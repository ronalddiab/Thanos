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302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F31" i="3"/>
  <c r="F28" i="3" l="1"/>
  <c r="E29" i="3" l="1"/>
  <c r="E28" i="3"/>
  <c r="F29" i="3"/>
  <c r="F30" i="3" l="1"/>
  <c r="E30" i="3" l="1"/>
  <c r="E31" i="3" l="1"/>
  <c r="M29" i="1" l="1"/>
  <c r="M28" i="1"/>
  <c r="E26" i="3" l="1"/>
  <c r="F25" i="3" l="1"/>
  <c r="F26" i="3" l="1"/>
  <c r="E25" i="3"/>
  <c r="F27" i="3" l="1"/>
  <c r="E27" i="3" l="1"/>
  <c r="F23" i="3" l="1"/>
  <c r="E22" i="3"/>
  <c r="F24" i="3" l="1"/>
  <c r="E23" i="3"/>
  <c r="E24" i="3" l="1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B40" i="4"/>
  <c r="EZ40" i="4"/>
  <c r="BI32" i="3" s="1"/>
  <c r="EX40" i="4"/>
  <c r="EV40" i="4"/>
  <c r="ET40" i="4"/>
  <c r="EQ40" i="4"/>
  <c r="EO40" i="4"/>
  <c r="EM40" i="4"/>
  <c r="BE32" i="3" s="1"/>
  <c r="EK40" i="4"/>
  <c r="EI40" i="4"/>
  <c r="EG40" i="4"/>
  <c r="ED40" i="4"/>
  <c r="EB40" i="4"/>
  <c r="DZ40" i="4"/>
  <c r="AX32" i="3" s="1"/>
  <c r="DX40" i="4"/>
  <c r="DV40" i="4"/>
  <c r="DT40" i="4"/>
  <c r="DQ40" i="4"/>
  <c r="DO40" i="4"/>
  <c r="DM40" i="4"/>
  <c r="AS32" i="3" s="1"/>
  <c r="DK40" i="4"/>
  <c r="DI40" i="4"/>
  <c r="DG40" i="4"/>
  <c r="DE40" i="4"/>
  <c r="DC40" i="4"/>
  <c r="DA40" i="4"/>
  <c r="AM32" i="3" s="1"/>
  <c r="CY40" i="4"/>
  <c r="CW40" i="4"/>
  <c r="CT40" i="4"/>
  <c r="CQ40" i="4"/>
  <c r="CN40" i="4"/>
  <c r="CK40" i="4"/>
  <c r="Z32" i="3" s="1"/>
  <c r="CI40" i="4"/>
  <c r="CG40" i="4"/>
  <c r="CE40" i="4"/>
  <c r="CC40" i="4"/>
  <c r="CA40" i="4"/>
  <c r="BY40" i="4"/>
  <c r="AD32" i="3" s="1"/>
  <c r="BV40" i="4"/>
  <c r="BS40" i="4"/>
  <c r="BF40" i="4"/>
  <c r="BC40" i="4"/>
  <c r="AZ40" i="4"/>
  <c r="AV40" i="4"/>
  <c r="V32" i="3" s="1"/>
  <c r="AS40" i="4"/>
  <c r="AP40" i="4"/>
  <c r="AM40" i="4"/>
  <c r="AJ40" i="4"/>
  <c r="AG40" i="4"/>
  <c r="AD40" i="4"/>
  <c r="P32" i="3" s="1"/>
  <c r="AA40" i="4"/>
  <c r="X40" i="4"/>
  <c r="U40" i="4"/>
  <c r="R40" i="4"/>
  <c r="Q40" i="4"/>
  <c r="O40" i="4"/>
  <c r="K32" i="3" s="1"/>
  <c r="M40" i="4"/>
  <c r="K40" i="4"/>
  <c r="I40" i="4"/>
  <c r="H40" i="4"/>
  <c r="F40" i="4"/>
  <c r="E40" i="4"/>
  <c r="C40" i="4"/>
  <c r="B40" i="4"/>
  <c r="FB39" i="4"/>
  <c r="EZ39" i="4"/>
  <c r="EX39" i="4"/>
  <c r="EV39" i="4"/>
  <c r="BH31" i="3" s="1"/>
  <c r="ET39" i="4"/>
  <c r="EQ39" i="4"/>
  <c r="EO39" i="4"/>
  <c r="EM39" i="4"/>
  <c r="EK39" i="4"/>
  <c r="EI39" i="4"/>
  <c r="BB31" i="3" s="1"/>
  <c r="EG39" i="4"/>
  <c r="ED39" i="4"/>
  <c r="EB39" i="4"/>
  <c r="DZ39" i="4"/>
  <c r="DX39" i="4"/>
  <c r="DV39" i="4"/>
  <c r="DT39" i="4"/>
  <c r="DQ39" i="4"/>
  <c r="DO39" i="4"/>
  <c r="DM39" i="4"/>
  <c r="DK39" i="4"/>
  <c r="DI39" i="4"/>
  <c r="AQ31" i="3" s="1"/>
  <c r="DG39" i="4"/>
  <c r="DE39" i="4"/>
  <c r="DC39" i="4"/>
  <c r="DA39" i="4"/>
  <c r="CY39" i="4"/>
  <c r="CW39" i="4"/>
  <c r="AK31" i="3" s="1"/>
  <c r="CT39" i="4"/>
  <c r="CQ39" i="4"/>
  <c r="CN39" i="4"/>
  <c r="CK39" i="4"/>
  <c r="CI39" i="4"/>
  <c r="CG39" i="4"/>
  <c r="AH31" i="3" s="1"/>
  <c r="CE39" i="4"/>
  <c r="CC39" i="4"/>
  <c r="CA39" i="4"/>
  <c r="BY39" i="4"/>
  <c r="BV39" i="4"/>
  <c r="BS39" i="4"/>
  <c r="BF39" i="4"/>
  <c r="BC39" i="4"/>
  <c r="AZ39" i="4"/>
  <c r="AV39" i="4"/>
  <c r="AS39" i="4"/>
  <c r="AP39" i="4"/>
  <c r="T31" i="3" s="1"/>
  <c r="AM39" i="4"/>
  <c r="AJ39" i="4"/>
  <c r="AG39" i="4"/>
  <c r="AD39" i="4"/>
  <c r="AA39" i="4"/>
  <c r="X39" i="4"/>
  <c r="N31" i="3" s="1"/>
  <c r="U39" i="4"/>
  <c r="R39" i="4"/>
  <c r="Q39" i="4"/>
  <c r="O39" i="4"/>
  <c r="M39" i="4"/>
  <c r="K39" i="4"/>
  <c r="I39" i="4"/>
  <c r="H39" i="4"/>
  <c r="F39" i="4"/>
  <c r="E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BL30" i="3" s="1"/>
  <c r="K30" i="1" s="1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BL29" i="3" s="1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Q36" i="4"/>
  <c r="EO36" i="4"/>
  <c r="EM36" i="4"/>
  <c r="EK36" i="4"/>
  <c r="EI36" i="4"/>
  <c r="EG36" i="4"/>
  <c r="ED36" i="4"/>
  <c r="EB36" i="4"/>
  <c r="DZ36" i="4"/>
  <c r="DX36" i="4"/>
  <c r="DV36" i="4"/>
  <c r="DT36" i="4"/>
  <c r="DQ36" i="4"/>
  <c r="DO36" i="4"/>
  <c r="DM36" i="4"/>
  <c r="DK36" i="4"/>
  <c r="DI36" i="4"/>
  <c r="DG36" i="4"/>
  <c r="DE36" i="4"/>
  <c r="DC36" i="4"/>
  <c r="DA36" i="4"/>
  <c r="CY36" i="4"/>
  <c r="CW36" i="4"/>
  <c r="CT36" i="4"/>
  <c r="CQ36" i="4"/>
  <c r="CN36" i="4"/>
  <c r="CK36" i="4"/>
  <c r="CI36" i="4"/>
  <c r="CG36" i="4"/>
  <c r="CE36" i="4"/>
  <c r="CC36" i="4"/>
  <c r="CA36" i="4"/>
  <c r="BY36" i="4"/>
  <c r="BV36" i="4"/>
  <c r="BS36" i="4"/>
  <c r="BF36" i="4"/>
  <c r="BC36" i="4"/>
  <c r="AZ36" i="4"/>
  <c r="AV36" i="4"/>
  <c r="AS36" i="4"/>
  <c r="AP36" i="4"/>
  <c r="AM36" i="4"/>
  <c r="AJ36" i="4"/>
  <c r="AG36" i="4"/>
  <c r="AD36" i="4"/>
  <c r="AA36" i="4"/>
  <c r="X36" i="4"/>
  <c r="U36" i="4"/>
  <c r="R36" i="4"/>
  <c r="Q36" i="4"/>
  <c r="O36" i="4"/>
  <c r="M36" i="4"/>
  <c r="K36" i="4"/>
  <c r="I36" i="4"/>
  <c r="H36" i="4"/>
  <c r="F36" i="4"/>
  <c r="E36" i="4"/>
  <c r="C36" i="4"/>
  <c r="B36" i="4"/>
  <c r="FB35" i="4"/>
  <c r="EZ35" i="4"/>
  <c r="EX35" i="4"/>
  <c r="EV35" i="4"/>
  <c r="ET35" i="4"/>
  <c r="EQ35" i="4"/>
  <c r="EO35" i="4"/>
  <c r="EM35" i="4"/>
  <c r="EK35" i="4"/>
  <c r="EI35" i="4"/>
  <c r="EG35" i="4"/>
  <c r="ED35" i="4"/>
  <c r="EB35" i="4"/>
  <c r="DZ35" i="4"/>
  <c r="DX35" i="4"/>
  <c r="DV35" i="4"/>
  <c r="DT35" i="4"/>
  <c r="DQ35" i="4"/>
  <c r="DO35" i="4"/>
  <c r="DM35" i="4"/>
  <c r="DK35" i="4"/>
  <c r="DI35" i="4"/>
  <c r="DG35" i="4"/>
  <c r="DE35" i="4"/>
  <c r="DC35" i="4"/>
  <c r="DA35" i="4"/>
  <c r="CY35" i="4"/>
  <c r="CW35" i="4"/>
  <c r="CT35" i="4"/>
  <c r="CQ35" i="4"/>
  <c r="CN35" i="4"/>
  <c r="CK35" i="4"/>
  <c r="CI35" i="4"/>
  <c r="CG35" i="4"/>
  <c r="CE35" i="4"/>
  <c r="CC35" i="4"/>
  <c r="CA35" i="4"/>
  <c r="BY35" i="4"/>
  <c r="BV35" i="4"/>
  <c r="BS35" i="4"/>
  <c r="BF35" i="4"/>
  <c r="BC35" i="4"/>
  <c r="AZ35" i="4"/>
  <c r="AV35" i="4"/>
  <c r="AS35" i="4"/>
  <c r="AP35" i="4"/>
  <c r="AM35" i="4"/>
  <c r="AJ35" i="4"/>
  <c r="AG35" i="4"/>
  <c r="AD35" i="4"/>
  <c r="AA35" i="4"/>
  <c r="X35" i="4"/>
  <c r="U35" i="4"/>
  <c r="R35" i="4"/>
  <c r="Q35" i="4"/>
  <c r="O35" i="4"/>
  <c r="M35" i="4"/>
  <c r="K35" i="4"/>
  <c r="I35" i="4"/>
  <c r="H35" i="4"/>
  <c r="F35" i="4"/>
  <c r="E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U34" i="4"/>
  <c r="R34" i="4"/>
  <c r="Q34" i="4"/>
  <c r="O34" i="4"/>
  <c r="M34" i="4"/>
  <c r="K34" i="4"/>
  <c r="I34" i="4"/>
  <c r="H34" i="4"/>
  <c r="F34" i="4"/>
  <c r="E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BL25" i="3" s="1"/>
  <c r="K25" i="1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K24" i="1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K22" i="1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K21" i="1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B32" i="1"/>
  <c r="M32" i="1"/>
  <c r="N32" i="1"/>
  <c r="B32" i="3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9" i="1"/>
  <c r="H32" i="3" l="1"/>
  <c r="Q32" i="3"/>
  <c r="W32" i="3"/>
  <c r="AE32" i="3"/>
  <c r="AA32" i="3"/>
  <c r="AL32" i="3"/>
  <c r="AR32" i="3"/>
  <c r="AY32" i="3"/>
  <c r="BF32" i="3"/>
  <c r="BK32" i="3"/>
  <c r="L32" i="3"/>
  <c r="R32" i="3"/>
  <c r="X32" i="3"/>
  <c r="AF32" i="3"/>
  <c r="AB32" i="3"/>
  <c r="AO32" i="3"/>
  <c r="AT32" i="3"/>
  <c r="AZ32" i="3"/>
  <c r="BC32" i="3"/>
  <c r="H31" i="3"/>
  <c r="Q31" i="3"/>
  <c r="W31" i="3"/>
  <c r="AE31" i="3"/>
  <c r="AL31" i="3"/>
  <c r="AR31" i="3"/>
  <c r="AY31" i="3"/>
  <c r="BF31" i="3"/>
  <c r="BK31" i="3"/>
  <c r="M32" i="3"/>
  <c r="E32" i="1" s="1"/>
  <c r="S32" i="3"/>
  <c r="Y32" i="3"/>
  <c r="AG32" i="3"/>
  <c r="AC32" i="3"/>
  <c r="AN32" i="3"/>
  <c r="AU32" i="3"/>
  <c r="BA32" i="3"/>
  <c r="BG32" i="3"/>
  <c r="L31" i="3"/>
  <c r="R31" i="3"/>
  <c r="X31" i="3"/>
  <c r="AO31" i="3"/>
  <c r="AT31" i="3"/>
  <c r="I32" i="3"/>
  <c r="J32" i="3"/>
  <c r="N32" i="3"/>
  <c r="T32" i="3"/>
  <c r="AH32" i="3"/>
  <c r="AK32" i="3"/>
  <c r="AQ32" i="3"/>
  <c r="BB32" i="3"/>
  <c r="BH32" i="3"/>
  <c r="G32" i="3"/>
  <c r="I32" i="1" s="1"/>
  <c r="O32" i="3"/>
  <c r="U32" i="3"/>
  <c r="AI32" i="3"/>
  <c r="AJ32" i="3"/>
  <c r="AP32" i="3"/>
  <c r="AW32" i="3"/>
  <c r="BD32" i="3"/>
  <c r="BJ32" i="3"/>
  <c r="I31" i="3"/>
  <c r="J31" i="3"/>
  <c r="G31" i="3"/>
  <c r="I31" i="1" s="1"/>
  <c r="O31" i="3"/>
  <c r="U31" i="3"/>
  <c r="AI31" i="3"/>
  <c r="AJ31" i="3"/>
  <c r="AP31" i="3"/>
  <c r="AW31" i="3"/>
  <c r="BD31" i="3"/>
  <c r="BJ31" i="3"/>
  <c r="K31" i="3"/>
  <c r="P31" i="3"/>
  <c r="V31" i="3"/>
  <c r="AD31" i="3"/>
  <c r="Z31" i="3"/>
  <c r="AM31" i="3"/>
  <c r="AS31" i="3"/>
  <c r="AX31" i="3"/>
  <c r="BE31" i="3"/>
  <c r="BI31" i="3"/>
  <c r="AA31" i="3"/>
  <c r="AF31" i="3"/>
  <c r="AB31" i="3"/>
  <c r="AZ31" i="3"/>
  <c r="BC31" i="3"/>
  <c r="M31" i="3"/>
  <c r="S31" i="3"/>
  <c r="Y31" i="3"/>
  <c r="AG31" i="3"/>
  <c r="AC31" i="3"/>
  <c r="AN31" i="3"/>
  <c r="AU31" i="3"/>
  <c r="BA31" i="3"/>
  <c r="BG31" i="3"/>
  <c r="M29" i="3"/>
  <c r="Q29" i="3"/>
  <c r="U29" i="3"/>
  <c r="Y29" i="3"/>
  <c r="L28" i="3"/>
  <c r="X28" i="3"/>
  <c r="AB28" i="3"/>
  <c r="AT28" i="3"/>
  <c r="BC28" i="3"/>
  <c r="AD29" i="3"/>
  <c r="Z29" i="3"/>
  <c r="G30" i="3"/>
  <c r="I30" i="1" s="1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AC29" i="3"/>
  <c r="AN29" i="3"/>
  <c r="AU29" i="3"/>
  <c r="BA29" i="3"/>
  <c r="BG29" i="3"/>
  <c r="M30" i="3"/>
  <c r="Q30" i="3"/>
  <c r="U30" i="3"/>
  <c r="Y30" i="3"/>
  <c r="AD30" i="3"/>
  <c r="AF30" i="3"/>
  <c r="AH30" i="3"/>
  <c r="Z30" i="3"/>
  <c r="R28" i="3"/>
  <c r="AF28" i="3"/>
  <c r="AO28" i="3"/>
  <c r="AZ28" i="3"/>
  <c r="O29" i="3"/>
  <c r="S29" i="3"/>
  <c r="W29" i="3"/>
  <c r="AG29" i="3"/>
  <c r="AI29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AM29" i="3"/>
  <c r="AS29" i="3"/>
  <c r="AX29" i="3"/>
  <c r="BE29" i="3"/>
  <c r="BI29" i="3"/>
  <c r="H30" i="3"/>
  <c r="L30" i="3"/>
  <c r="O30" i="3"/>
  <c r="S30" i="3"/>
  <c r="W30" i="3"/>
  <c r="AE30" i="3"/>
  <c r="AG30" i="3"/>
  <c r="AI30" i="3"/>
  <c r="AB30" i="3"/>
  <c r="L26" i="3"/>
  <c r="R26" i="3"/>
  <c r="X26" i="3"/>
  <c r="H29" i="3"/>
  <c r="L29" i="3"/>
  <c r="AE29" i="3"/>
  <c r="AH29" i="3"/>
  <c r="AA29" i="3"/>
  <c r="AF29" i="3"/>
  <c r="G29" i="3"/>
  <c r="I29" i="1" s="1"/>
  <c r="K29" i="3"/>
  <c r="AK29" i="3"/>
  <c r="AL29" i="3"/>
  <c r="AQ29" i="3"/>
  <c r="AR29" i="3"/>
  <c r="AY29" i="3"/>
  <c r="BB29" i="3"/>
  <c r="BF29" i="3"/>
  <c r="BH29" i="3"/>
  <c r="BK29" i="3"/>
  <c r="AB29" i="3"/>
  <c r="J29" i="3"/>
  <c r="I29" i="3"/>
  <c r="N29" i="3"/>
  <c r="P29" i="3"/>
  <c r="R29" i="3"/>
  <c r="T29" i="3"/>
  <c r="V29" i="3"/>
  <c r="X29" i="3"/>
  <c r="AJ29" i="3"/>
  <c r="AO29" i="3"/>
  <c r="AP29" i="3"/>
  <c r="AT29" i="3"/>
  <c r="AW29" i="3"/>
  <c r="AZ29" i="3"/>
  <c r="BD29" i="3"/>
  <c r="BC29" i="3"/>
  <c r="BJ29" i="3"/>
  <c r="AB26" i="3"/>
  <c r="AO26" i="3"/>
  <c r="AT26" i="3"/>
  <c r="AZ26" i="3"/>
  <c r="BC26" i="3"/>
  <c r="N27" i="3"/>
  <c r="T27" i="3"/>
  <c r="AH27" i="3"/>
  <c r="AK27" i="3"/>
  <c r="AQ27" i="3"/>
  <c r="BB27" i="3"/>
  <c r="BH27" i="3"/>
  <c r="K28" i="3"/>
  <c r="P28" i="3"/>
  <c r="V28" i="3"/>
  <c r="AD28" i="3"/>
  <c r="Z28" i="3"/>
  <c r="AM28" i="3"/>
  <c r="AS28" i="3"/>
  <c r="AX28" i="3"/>
  <c r="BE28" i="3"/>
  <c r="BI28" i="3"/>
  <c r="H28" i="3"/>
  <c r="Q28" i="3"/>
  <c r="W28" i="3"/>
  <c r="AE28" i="3"/>
  <c r="AA28" i="3"/>
  <c r="AL28" i="3"/>
  <c r="AR28" i="3"/>
  <c r="AY28" i="3"/>
  <c r="BF28" i="3"/>
  <c r="BK28" i="3"/>
  <c r="M28" i="3"/>
  <c r="S28" i="3"/>
  <c r="Y28" i="3"/>
  <c r="AG28" i="3"/>
  <c r="AC28" i="3"/>
  <c r="AN28" i="3"/>
  <c r="AU28" i="3"/>
  <c r="BA28" i="3"/>
  <c r="BG28" i="3"/>
  <c r="J28" i="3"/>
  <c r="I28" i="3"/>
  <c r="N28" i="3"/>
  <c r="T28" i="3"/>
  <c r="AH28" i="3"/>
  <c r="AK28" i="3"/>
  <c r="AQ28" i="3"/>
  <c r="BB28" i="3"/>
  <c r="BH28" i="3"/>
  <c r="G28" i="3"/>
  <c r="I28" i="1" s="1"/>
  <c r="O28" i="3"/>
  <c r="U28" i="3"/>
  <c r="AI28" i="3"/>
  <c r="AJ28" i="3"/>
  <c r="AP28" i="3"/>
  <c r="AW28" i="3"/>
  <c r="BD28" i="3"/>
  <c r="BJ28" i="3"/>
  <c r="AF26" i="3"/>
  <c r="I27" i="3"/>
  <c r="J27" i="3"/>
  <c r="M26" i="3"/>
  <c r="S26" i="3"/>
  <c r="Y26" i="3"/>
  <c r="AG26" i="3"/>
  <c r="AC26" i="3"/>
  <c r="AN26" i="3"/>
  <c r="AU26" i="3"/>
  <c r="BA26" i="3"/>
  <c r="BG26" i="3"/>
  <c r="G27" i="3"/>
  <c r="I27" i="1" s="1"/>
  <c r="O27" i="3"/>
  <c r="U27" i="3"/>
  <c r="AI27" i="3"/>
  <c r="AJ27" i="3"/>
  <c r="AP27" i="3"/>
  <c r="AW27" i="3"/>
  <c r="BD27" i="3"/>
  <c r="BJ27" i="3"/>
  <c r="J26" i="3"/>
  <c r="I26" i="3"/>
  <c r="N26" i="3"/>
  <c r="T26" i="3"/>
  <c r="AH26" i="3"/>
  <c r="AK26" i="3"/>
  <c r="AQ26" i="3"/>
  <c r="BB26" i="3"/>
  <c r="BH26" i="3"/>
  <c r="K27" i="3"/>
  <c r="P27" i="3"/>
  <c r="V27" i="3"/>
  <c r="AD27" i="3"/>
  <c r="Z27" i="3"/>
  <c r="AM27" i="3"/>
  <c r="AS27" i="3"/>
  <c r="AX27" i="3"/>
  <c r="BE27" i="3"/>
  <c r="BI27" i="3"/>
  <c r="G26" i="3"/>
  <c r="I26" i="1" s="1"/>
  <c r="O26" i="3"/>
  <c r="U26" i="3"/>
  <c r="AI26" i="3"/>
  <c r="AJ26" i="3"/>
  <c r="AP26" i="3"/>
  <c r="AW26" i="3"/>
  <c r="BD26" i="3"/>
  <c r="BJ26" i="3"/>
  <c r="H27" i="3"/>
  <c r="Q27" i="3"/>
  <c r="W27" i="3"/>
  <c r="AE27" i="3"/>
  <c r="AA27" i="3"/>
  <c r="AL27" i="3"/>
  <c r="AR27" i="3"/>
  <c r="AY27" i="3"/>
  <c r="BF27" i="3"/>
  <c r="BK27" i="3"/>
  <c r="H25" i="3"/>
  <c r="L25" i="3"/>
  <c r="AE25" i="3"/>
  <c r="AH25" i="3"/>
  <c r="K26" i="3"/>
  <c r="P26" i="3"/>
  <c r="V26" i="3"/>
  <c r="AD26" i="3"/>
  <c r="Z26" i="3"/>
  <c r="AM26" i="3"/>
  <c r="AS26" i="3"/>
  <c r="AX26" i="3"/>
  <c r="BE26" i="3"/>
  <c r="BI26" i="3"/>
  <c r="L27" i="3"/>
  <c r="R27" i="3"/>
  <c r="X27" i="3"/>
  <c r="AF27" i="3"/>
  <c r="AB27" i="3"/>
  <c r="AO27" i="3"/>
  <c r="AT27" i="3"/>
  <c r="AZ27" i="3"/>
  <c r="BC27" i="3"/>
  <c r="H26" i="3"/>
  <c r="Q26" i="3"/>
  <c r="W26" i="3"/>
  <c r="AE26" i="3"/>
  <c r="AA26" i="3"/>
  <c r="AL26" i="3"/>
  <c r="AR26" i="3"/>
  <c r="AY26" i="3"/>
  <c r="BF26" i="3"/>
  <c r="BK26" i="3"/>
  <c r="M27" i="3"/>
  <c r="S27" i="3"/>
  <c r="Y27" i="3"/>
  <c r="AG27" i="3"/>
  <c r="AC27" i="3"/>
  <c r="AN27" i="3"/>
  <c r="AU27" i="3"/>
  <c r="BA27" i="3"/>
  <c r="BG27" i="3"/>
  <c r="AA25" i="3"/>
  <c r="AC25" i="3"/>
  <c r="AM25" i="3"/>
  <c r="AN25" i="3"/>
  <c r="AS25" i="3"/>
  <c r="AU25" i="3"/>
  <c r="AX25" i="3"/>
  <c r="BA25" i="3"/>
  <c r="BE25" i="3"/>
  <c r="BG25" i="3"/>
  <c r="BI25" i="3"/>
  <c r="X24" i="3"/>
  <c r="AJ24" i="3"/>
  <c r="AO24" i="3"/>
  <c r="AP24" i="3"/>
  <c r="AT24" i="3"/>
  <c r="AW24" i="3"/>
  <c r="AZ24" i="3"/>
  <c r="BD24" i="3"/>
  <c r="BJ24" i="3"/>
  <c r="M25" i="3"/>
  <c r="O25" i="3"/>
  <c r="Q25" i="3"/>
  <c r="S25" i="3"/>
  <c r="U25" i="3"/>
  <c r="W25" i="3"/>
  <c r="Y25" i="3"/>
  <c r="AF25" i="3"/>
  <c r="AI25" i="3"/>
  <c r="G25" i="3"/>
  <c r="I25" i="1" s="1"/>
  <c r="K25" i="3"/>
  <c r="AK25" i="3"/>
  <c r="AL25" i="3"/>
  <c r="AQ25" i="3"/>
  <c r="AR25" i="3"/>
  <c r="AY25" i="3"/>
  <c r="BB25" i="3"/>
  <c r="BF25" i="3"/>
  <c r="BH25" i="3"/>
  <c r="BK25" i="3"/>
  <c r="AD25" i="3"/>
  <c r="AG25" i="3"/>
  <c r="Z25" i="3"/>
  <c r="AB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E31" i="1" l="1"/>
  <c r="E29" i="1"/>
  <c r="E30" i="1"/>
  <c r="E28" i="1"/>
  <c r="E26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0" i="1"/>
  <c r="E8" i="1"/>
  <c r="E11" i="1"/>
  <c r="E4" i="1"/>
  <c r="E9" i="1"/>
  <c r="E6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BL19" i="3" s="1"/>
  <c r="K19" i="1" s="1"/>
  <c r="G27" i="4"/>
  <c r="D27" i="4"/>
  <c r="EL26" i="4"/>
  <c r="EL25" i="4"/>
  <c r="CS27" i="4" l="1"/>
  <c r="CR27" i="4"/>
  <c r="CS28" i="4"/>
  <c r="CR28" i="4"/>
  <c r="CO27" i="4"/>
  <c r="CP27" i="4"/>
  <c r="CO28" i="4"/>
  <c r="CP28" i="4"/>
  <c r="CM27" i="4"/>
  <c r="CL27" i="4"/>
  <c r="CM28" i="4"/>
  <c r="CL2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BT31" i="4" l="1"/>
  <c r="S31" i="4"/>
  <c r="P31" i="4"/>
  <c r="BT30" i="4"/>
  <c r="S30" i="4"/>
  <c r="P30" i="4"/>
  <c r="BH30" i="4" l="1"/>
  <c r="BG30" i="4"/>
  <c r="BH31" i="4"/>
  <c r="BG31" i="4"/>
  <c r="BD30" i="4"/>
  <c r="BE30" i="4"/>
  <c r="BD31" i="4"/>
  <c r="BE31" i="4"/>
  <c r="BA30" i="4"/>
  <c r="BB30" i="4"/>
  <c r="BB31" i="4"/>
  <c r="BA31" i="4"/>
  <c r="ER31" i="4" l="1"/>
  <c r="EP31" i="4"/>
  <c r="EN31" i="4"/>
  <c r="EL31" i="4"/>
  <c r="EJ31" i="4"/>
  <c r="EH31" i="4"/>
  <c r="ER30" i="4"/>
  <c r="EP30" i="4"/>
  <c r="EN30" i="4"/>
  <c r="EL30" i="4"/>
  <c r="EJ30" i="4"/>
  <c r="EH30" i="4"/>
  <c r="FC36" i="4" l="1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J36" i="4"/>
  <c r="CH36" i="4"/>
  <c r="CF36" i="4"/>
  <c r="CD36" i="4"/>
  <c r="CB36" i="4"/>
  <c r="BZ36" i="4"/>
  <c r="BT36" i="4"/>
  <c r="S36" i="4"/>
  <c r="P36" i="4"/>
  <c r="N36" i="4"/>
  <c r="L36" i="4"/>
  <c r="J36" i="4"/>
  <c r="BL28" i="3" s="1"/>
  <c r="K28" i="1" s="1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BL27" i="3" s="1"/>
  <c r="K27" i="1" s="1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B34" i="4"/>
  <c r="BZ34" i="4"/>
  <c r="BT34" i="4"/>
  <c r="S34" i="4"/>
  <c r="P34" i="4"/>
  <c r="N34" i="4"/>
  <c r="L34" i="4"/>
  <c r="J34" i="4"/>
  <c r="BL26" i="3" s="1"/>
  <c r="K26" i="1" s="1"/>
  <c r="G34" i="4"/>
  <c r="D34" i="4"/>
  <c r="CX33" i="4"/>
  <c r="BH36" i="4" l="1"/>
  <c r="BG36" i="4"/>
  <c r="BD36" i="4"/>
  <c r="BE36" i="4"/>
  <c r="BB36" i="4"/>
  <c r="BA36" i="4"/>
  <c r="CS36" i="4"/>
  <c r="CR36" i="4"/>
  <c r="CS35" i="4"/>
  <c r="CR35" i="4"/>
  <c r="CS34" i="4"/>
  <c r="CR34" i="4"/>
  <c r="CP36" i="4"/>
  <c r="CO36" i="4"/>
  <c r="CP35" i="4"/>
  <c r="CO35" i="4"/>
  <c r="CP34" i="4"/>
  <c r="CO34" i="4"/>
  <c r="CM36" i="4"/>
  <c r="CL36" i="4"/>
  <c r="CM35" i="4"/>
  <c r="CL35" i="4"/>
  <c r="CM34" i="4"/>
  <c r="CL34" i="4"/>
  <c r="BW36" i="4"/>
  <c r="BX36" i="4"/>
  <c r="BW34" i="4"/>
  <c r="BX34" i="4"/>
  <c r="BX35" i="4"/>
  <c r="BW35" i="4"/>
  <c r="BH34" i="4"/>
  <c r="BG34" i="4"/>
  <c r="BH35" i="4"/>
  <c r="BG35" i="4"/>
  <c r="BE35" i="4"/>
  <c r="BD35" i="4"/>
  <c r="BE34" i="4"/>
  <c r="BD34" i="4"/>
  <c r="BB35" i="4"/>
  <c r="BA35" i="4"/>
  <c r="BB34" i="4"/>
  <c r="BA34" i="4"/>
  <c r="AX36" i="4"/>
  <c r="AW36" i="4"/>
  <c r="AW35" i="4"/>
  <c r="AX35" i="4"/>
  <c r="AX34" i="4"/>
  <c r="AW34" i="4"/>
  <c r="AT36" i="4"/>
  <c r="AU36" i="4"/>
  <c r="AU34" i="4"/>
  <c r="AT34" i="4"/>
  <c r="AU35" i="4"/>
  <c r="AT35" i="4"/>
  <c r="AR36" i="4"/>
  <c r="AQ36" i="4"/>
  <c r="AR34" i="4"/>
  <c r="AQ34" i="4"/>
  <c r="AR35" i="4"/>
  <c r="AQ35" i="4"/>
  <c r="AO36" i="4"/>
  <c r="AN36" i="4"/>
  <c r="AO34" i="4"/>
  <c r="AN34" i="4"/>
  <c r="AO35" i="4"/>
  <c r="AN35" i="4"/>
  <c r="AL36" i="4"/>
  <c r="AK36" i="4"/>
  <c r="AL35" i="4"/>
  <c r="AK35" i="4"/>
  <c r="AK34" i="4"/>
  <c r="AL34" i="4"/>
  <c r="AI36" i="4"/>
  <c r="AH36" i="4"/>
  <c r="AI35" i="4"/>
  <c r="AH35" i="4"/>
  <c r="AI34" i="4"/>
  <c r="AH34" i="4"/>
  <c r="AF36" i="4"/>
  <c r="AE36" i="4"/>
  <c r="AF34" i="4"/>
  <c r="AE34" i="4"/>
  <c r="AE35" i="4"/>
  <c r="AF35" i="4"/>
  <c r="AB36" i="4"/>
  <c r="AC36" i="4"/>
  <c r="AC34" i="4"/>
  <c r="AB34" i="4"/>
  <c r="AC35" i="4"/>
  <c r="AB35" i="4"/>
  <c r="Z36" i="4"/>
  <c r="Y36" i="4"/>
  <c r="Z34" i="4"/>
  <c r="Y34" i="4"/>
  <c r="Y35" i="4"/>
  <c r="Z35" i="4"/>
  <c r="W36" i="4"/>
  <c r="V36" i="4"/>
  <c r="W34" i="4"/>
  <c r="V34" i="4"/>
  <c r="W35" i="4"/>
  <c r="V35" i="4"/>
  <c r="FC40" i="4" l="1"/>
  <c r="FA40" i="4"/>
  <c r="EY40" i="4"/>
  <c r="EW40" i="4"/>
  <c r="EU40" i="4"/>
  <c r="ER40" i="4"/>
  <c r="EP40" i="4"/>
  <c r="EN40" i="4"/>
  <c r="EL40" i="4"/>
  <c r="EH40" i="4"/>
  <c r="EE40" i="4"/>
  <c r="EC40" i="4"/>
  <c r="EA40" i="4"/>
  <c r="DY40" i="4"/>
  <c r="DW40" i="4"/>
  <c r="DR40" i="4"/>
  <c r="DP40" i="4"/>
  <c r="DN40" i="4"/>
  <c r="DL40" i="4"/>
  <c r="DJ40" i="4"/>
  <c r="DH40" i="4"/>
  <c r="DF40" i="4"/>
  <c r="DD40" i="4"/>
  <c r="DB40" i="4"/>
  <c r="CZ40" i="4"/>
  <c r="CX40" i="4"/>
  <c r="CU40" i="4"/>
  <c r="CJ40" i="4"/>
  <c r="CH40" i="4"/>
  <c r="CD40" i="4"/>
  <c r="CB40" i="4"/>
  <c r="BZ40" i="4"/>
  <c r="BT40" i="4"/>
  <c r="S40" i="4"/>
  <c r="P40" i="4"/>
  <c r="N40" i="4"/>
  <c r="L40" i="4"/>
  <c r="J40" i="4"/>
  <c r="BL32" i="3" s="1"/>
  <c r="K32" i="1" s="1"/>
  <c r="G40" i="4"/>
  <c r="D40" i="4"/>
  <c r="FC39" i="4"/>
  <c r="FA39" i="4"/>
  <c r="EY39" i="4"/>
  <c r="EW39" i="4"/>
  <c r="EU39" i="4"/>
  <c r="ER39" i="4"/>
  <c r="EP39" i="4"/>
  <c r="EN39" i="4"/>
  <c r="EL39" i="4"/>
  <c r="EJ39" i="4"/>
  <c r="EH39" i="4"/>
  <c r="EE39" i="4"/>
  <c r="EC39" i="4"/>
  <c r="EA39" i="4"/>
  <c r="DY39" i="4"/>
  <c r="DW39" i="4"/>
  <c r="DU39" i="4"/>
  <c r="DR39" i="4"/>
  <c r="DP39" i="4"/>
  <c r="DN39" i="4"/>
  <c r="DL39" i="4"/>
  <c r="DJ39" i="4"/>
  <c r="DH39" i="4"/>
  <c r="DF39" i="4"/>
  <c r="DD39" i="4"/>
  <c r="DB39" i="4"/>
  <c r="CZ39" i="4"/>
  <c r="CX39" i="4"/>
  <c r="CU39" i="4"/>
  <c r="CT48" i="4" s="1"/>
  <c r="CT49" i="4" s="1"/>
  <c r="CJ39" i="4"/>
  <c r="CI48" i="4" s="1"/>
  <c r="CH39" i="4"/>
  <c r="CG48" i="4" s="1"/>
  <c r="CF39" i="4"/>
  <c r="CE48" i="4" s="1"/>
  <c r="CD39" i="4"/>
  <c r="CC48" i="4" s="1"/>
  <c r="CB39" i="4"/>
  <c r="CA48" i="4" s="1"/>
  <c r="BZ39" i="4"/>
  <c r="BY48" i="4" s="1"/>
  <c r="BT39" i="4"/>
  <c r="BS48" i="4" s="1"/>
  <c r="S39" i="4"/>
  <c r="R48" i="4" s="1"/>
  <c r="R49" i="4" s="1"/>
  <c r="P39" i="4"/>
  <c r="O48" i="4" s="1"/>
  <c r="O49" i="4" s="1"/>
  <c r="N39" i="4"/>
  <c r="L39" i="4"/>
  <c r="K48" i="4" s="1"/>
  <c r="K49" i="4" s="1"/>
  <c r="J39" i="4"/>
  <c r="G39" i="4"/>
  <c r="F48" i="4" s="1"/>
  <c r="F49" i="4" s="1"/>
  <c r="D39" i="4"/>
  <c r="C48" i="4" s="1"/>
  <c r="C49" i="4" s="1"/>
  <c r="EA38" i="4"/>
  <c r="EA37" i="4"/>
  <c r="I48" i="4" l="1"/>
  <c r="I49" i="4" s="1"/>
  <c r="BL31" i="3"/>
  <c r="K31" i="1" s="1"/>
  <c r="BH40" i="4"/>
  <c r="BG40" i="4"/>
  <c r="BH39" i="4"/>
  <c r="BG39" i="4"/>
  <c r="BF48" i="4" s="1"/>
  <c r="BF49" i="4" s="1"/>
  <c r="BD39" i="4"/>
  <c r="BE39" i="4"/>
  <c r="BD40" i="4"/>
  <c r="BE40" i="4"/>
  <c r="BB39" i="4"/>
  <c r="BA39" i="4"/>
  <c r="AZ48" i="4" s="1"/>
  <c r="BB40" i="4"/>
  <c r="BA40" i="4"/>
  <c r="CS39" i="4"/>
  <c r="CQ47" i="4" s="1"/>
  <c r="CR39" i="4"/>
  <c r="CQ48" i="4" s="1"/>
  <c r="CR40" i="4"/>
  <c r="CS40" i="4"/>
  <c r="CP39" i="4"/>
  <c r="CN47" i="4" s="1"/>
  <c r="CO39" i="4"/>
  <c r="CN48" i="4" s="1"/>
  <c r="CN49" i="4" s="1"/>
  <c r="CO40" i="4"/>
  <c r="CP40" i="4"/>
  <c r="CM39" i="4"/>
  <c r="CK47" i="4" s="1"/>
  <c r="CL39" i="4"/>
  <c r="CK48" i="4" s="1"/>
  <c r="CM40" i="4"/>
  <c r="CL40" i="4"/>
  <c r="BX39" i="4"/>
  <c r="BW39" i="4"/>
  <c r="BW40" i="4"/>
  <c r="BX40" i="4"/>
  <c r="AW39" i="4"/>
  <c r="AV48" i="4" s="1"/>
  <c r="AX39" i="4"/>
  <c r="AV47" i="4" s="1"/>
  <c r="AV49" i="4" s="1"/>
  <c r="AX40" i="4"/>
  <c r="AW40" i="4"/>
  <c r="AU39" i="4"/>
  <c r="AS47" i="4" s="1"/>
  <c r="AT39" i="4"/>
  <c r="AS48" i="4" s="1"/>
  <c r="AT40" i="4"/>
  <c r="AU40" i="4"/>
  <c r="AR39" i="4"/>
  <c r="AP47" i="4" s="1"/>
  <c r="AQ39" i="4"/>
  <c r="AP48" i="4" s="1"/>
  <c r="AR40" i="4"/>
  <c r="AQ40" i="4"/>
  <c r="AN40" i="4"/>
  <c r="AO40" i="4"/>
  <c r="AO39" i="4"/>
  <c r="AM47" i="4" s="1"/>
  <c r="AN39" i="4"/>
  <c r="AM48" i="4" s="1"/>
  <c r="AK39" i="4"/>
  <c r="AJ48" i="4" s="1"/>
  <c r="AL39" i="4"/>
  <c r="AJ47" i="4" s="1"/>
  <c r="AL40" i="4"/>
  <c r="AK40" i="4"/>
  <c r="AI39" i="4"/>
  <c r="AG47" i="4" s="1"/>
  <c r="AH39" i="4"/>
  <c r="AG48" i="4" s="1"/>
  <c r="AI40" i="4"/>
  <c r="AH40" i="4"/>
  <c r="AF39" i="4"/>
  <c r="AD47" i="4" s="1"/>
  <c r="AE39" i="4"/>
  <c r="AD48" i="4" s="1"/>
  <c r="AF40" i="4"/>
  <c r="AE40" i="4"/>
  <c r="AB39" i="4"/>
  <c r="AA48" i="4" s="1"/>
  <c r="AC39" i="4"/>
  <c r="AA47" i="4" s="1"/>
  <c r="AA49" i="4" s="1"/>
  <c r="AB40" i="4"/>
  <c r="AC40" i="4"/>
  <c r="Z39" i="4"/>
  <c r="X47" i="4" s="1"/>
  <c r="Y39" i="4"/>
  <c r="X48" i="4" s="1"/>
  <c r="Z40" i="4"/>
  <c r="Y40" i="4"/>
  <c r="V40" i="4"/>
  <c r="W40" i="4"/>
  <c r="W39" i="4"/>
  <c r="U47" i="4" s="1"/>
  <c r="V39" i="4"/>
  <c r="U48" i="4" s="1"/>
  <c r="CK49" i="4" l="1"/>
  <c r="CQ49" i="4"/>
  <c r="BC48" i="4"/>
  <c r="BC49" i="4" s="1"/>
  <c r="AZ49" i="4"/>
  <c r="BC51" i="4"/>
  <c r="AJ49" i="4"/>
  <c r="AS49" i="4"/>
  <c r="AP49" i="4"/>
  <c r="AM49" i="4"/>
  <c r="AG49" i="4"/>
  <c r="AD49" i="4"/>
  <c r="AA50" i="4"/>
  <c r="X49" i="4"/>
  <c r="U49" i="4"/>
  <c r="AM50" i="4"/>
  <c r="AV50" i="4" l="1"/>
  <c r="EJ40" i="4" l="1"/>
  <c r="CF40" i="4"/>
  <c r="DU4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<sst xmlns="http://schemas.openxmlformats.org/spreadsheetml/2006/main" count="413" uniqueCount="204">
  <si>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</si>
  <si>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</si>
  <si>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</si>
  <si>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</si>
  <si>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</si>
  <si>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</si>
  <si>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</si>
  <si>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</si>
  <si>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</si>
  <si>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</si>
  <si>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</si>
  <si>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</si>
  <si>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</si>
  <si>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</si>
  <si>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</si>
  <si>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</si>
  <si>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</si>
  <si>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</si>
  <si>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</si>
  <si>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</si>
  <si>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</si>
  <si>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</si>
  <si>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</si>
  <si>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</si>
  <si>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</si>
  <si>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</si>
  <si>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</si>
  <si>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</si>
  <si>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</si>
  <si>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</si>
  <si>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</si>
  <si>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</si>
  <si>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</si>
  <si>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</si>
  <si>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</si>
  <si>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</si>
  <si>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</si>
  <si>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</si>
  <si>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</si>
  <si>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</si>
  <si>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</si>
  <si>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</si>
  <si>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</si>
  <si>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</si>
  <si>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</si>
  <si>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</si>
  <si>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</si>
  <si>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</si>
  <si>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</si>
  <si>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</si>
  <si>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</si>
  <si>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</si>
  <si>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</si>
  <si>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</si>
  <si>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</si>
  <si>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</si>
  <si>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</si>
  <si>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</si>
  <si>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</si>
  <si>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</si>
  <si>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</si>
  <si>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</si>
  <si>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</si>
  <si>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</si>
  <si>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</si>
  <si>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</si>
  <si>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</si>
  <si>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</si>
  <si>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</si>
  <si>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</si>
  <si>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</si>
  <si>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</si>
  <si>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</si>
  <si>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</si>
  <si>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</si>
  <si>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</si>
  <si>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</si>
  <si>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</si>
  <si>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F&amp; B Village Daily Water Meter Reading  2020</t>
  </si>
  <si>
    <t>F &amp; B Electrical Daily Reading December 2020</t>
  </si>
  <si>
    <t>F &amp; B Village Chilled Water Reading December 2020</t>
  </si>
  <si>
    <t>F &amp; B Village Daily Lpg Reading December 2020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</si>
  <si>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</si>
  <si>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</si>
  <si>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</si>
  <si>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</si>
  <si>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</si>
  <si>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</si>
  <si>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</si>
  <si>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</si>
  <si>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</si>
  <si>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</si>
  <si>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</si>
  <si>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</si>
  <si>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</si>
  <si>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</si>
  <si>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</si>
  <si>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</si>
  <si>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</si>
  <si>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</si>
  <si>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</si>
  <si>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</si>
  <si>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</si>
  <si>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</si>
  <si>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</si>
  <si>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</si>
  <si>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</si>
  <si>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</si>
  <si>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</si>
  <si>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</si>
  <si>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</si>
  <si>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</si>
  <si>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</si>
  <si>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</si>
  <si>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</si>
  <si>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</si>
  <si>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</si>
  <si>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</si>
  <si>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</si>
  <si>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</si>
  <si>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</si>
  <si>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</si>
  <si>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</si>
  <si>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</si>
  <si>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</si>
  <si>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</si>
  <si>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</si>
  <si>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</si>
  <si>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</si>
  <si>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</si>
  <si>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</si>
  <si>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</si>
  <si>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</si>
  <si>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</si>
  <si>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</si>
  <si>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</si>
  <si>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</si>
  <si>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</si>
  <si>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</si>
  <si>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</si>
  <si>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</si>
  <si>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</si>
  <si>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</si>
  <si>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</si>
  <si>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</si>
  <si>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2018</t>
  </si>
  <si>
    <t>Daily consumption M³ December-2017</t>
  </si>
  <si>
    <t xml:space="preserve"> Reading M³</t>
  </si>
  <si>
    <t>Daily Consumption M³</t>
  </si>
  <si>
    <t>Daily consumption M³</t>
  </si>
  <si>
    <t xml:space="preserve">Reading KWH </t>
  </si>
  <si>
    <t>Daily Consumption Kwh 2018</t>
  </si>
  <si>
    <t>Daily Consumption Kwh 2017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</si>
  <si>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</si>
  <si>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</si>
  <si>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</si>
  <si>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</si>
  <si>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</si>
  <si>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</si>
  <si>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</si>
  <si>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</si>
  <si>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</si>
  <si>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</si>
  <si>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</si>
  <si>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December 2018</t>
  </si>
  <si>
    <t>Electricity Daily Consumption December 2018</t>
  </si>
  <si>
    <t>Total Chillers Btu Meter Monthly Consumption 2018</t>
  </si>
  <si>
    <t>Cold water Heat Exchanger 2018</t>
  </si>
  <si>
    <t>Lpg Daily Consumption December 2018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</si>
  <si>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</si>
  <si>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</si>
  <si>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</si>
  <si>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</si>
  <si>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</si>
  <si>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</si>
  <si>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</si>
  <si>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</si>
  <si>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</si>
  <si>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</si>
  <si>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</si>
  <si>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</si>
  <si>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</si>
  <si>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</si>
  <si>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</si>
  <si>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</si>
  <si>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</si>
  <si>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</si>
  <si>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</si>
  <si>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</si>
  <si>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</si>
  <si>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</si>
  <si>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</si>
  <si>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December  Reading 2017 two weeks</t>
  </si>
  <si>
    <t>December  Reading 2018 two weeks</t>
  </si>
  <si>
    <t>Grand Total All EMDB KWH</t>
  </si>
  <si>
    <t>Difference</t>
  </si>
  <si>
    <t>December  Reading 2017 Monthly</t>
  </si>
  <si>
    <t>December  Reading 2018 Monthly</t>
  </si>
  <si>
    <t>Total Monthly Electrical Kwh</t>
  </si>
  <si>
    <t>December  2017 Kwh</t>
  </si>
  <si>
    <t>December  2018 Kwh</t>
  </si>
  <si>
    <t>Saving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</si>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</sst>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0.79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B33">
            <v>0.74</v>
          </cell>
          <cell r="E33">
            <v>220713</v>
          </cell>
          <cell r="F33">
            <v>717</v>
          </cell>
          <cell r="G33">
            <v>795</v>
          </cell>
          <cell r="H33">
            <v>248178</v>
          </cell>
          <cell r="I33">
            <v>502</v>
          </cell>
          <cell r="J33">
            <v>522</v>
          </cell>
          <cell r="K33">
            <v>9452</v>
          </cell>
          <cell r="L33">
            <v>178</v>
          </cell>
          <cell r="N33">
            <v>924213</v>
          </cell>
          <cell r="O33">
            <v>266</v>
          </cell>
          <cell r="Q33">
            <v>245289</v>
          </cell>
          <cell r="R33">
            <v>49</v>
          </cell>
          <cell r="U33">
            <v>117650</v>
          </cell>
          <cell r="V33">
            <v>98</v>
          </cell>
          <cell r="W33">
            <v>94.129999999997381</v>
          </cell>
          <cell r="X33">
            <v>6466</v>
          </cell>
          <cell r="Y33">
            <v>10</v>
          </cell>
          <cell r="AE33">
            <v>8190416.6400000006</v>
          </cell>
          <cell r="AF33">
            <v>1997.5200000014156</v>
          </cell>
          <cell r="AH33">
            <v>15547087.919999998</v>
          </cell>
          <cell r="AI33">
            <v>4530.9599999990314</v>
          </cell>
          <cell r="AK33">
            <v>15828202.319999998</v>
          </cell>
          <cell r="AL33">
            <v>194.87999999895692</v>
          </cell>
          <cell r="AN33">
            <v>18913688.639999997</v>
          </cell>
          <cell r="AO33">
            <v>9841.4399999976158</v>
          </cell>
          <cell r="AQ33">
            <v>19225594.080000002</v>
          </cell>
          <cell r="AR33">
            <v>779.51999999955297</v>
          </cell>
          <cell r="AT33">
            <v>17655689.52</v>
          </cell>
          <cell r="AU33">
            <v>5310.480000000447</v>
          </cell>
          <cell r="AW33">
            <v>14855458.799999999</v>
          </cell>
          <cell r="AX33">
            <v>4043.7599999997765</v>
          </cell>
          <cell r="AZ33">
            <v>14382192.719999999</v>
          </cell>
          <cell r="BA33">
            <v>4579.679999999702</v>
          </cell>
          <cell r="BC33">
            <v>11229472.799999999</v>
          </cell>
          <cell r="BD33">
            <v>2825.7599999979138</v>
          </cell>
          <cell r="BF33">
            <v>17792787.599999998</v>
          </cell>
          <cell r="BG33">
            <v>5651.5199999958277</v>
          </cell>
          <cell r="BM33">
            <v>78188000</v>
          </cell>
          <cell r="BN33">
            <v>0</v>
          </cell>
          <cell r="BP33">
            <v>80932000</v>
          </cell>
          <cell r="BQ33">
            <v>48700</v>
          </cell>
          <cell r="BS33">
            <v>75092800</v>
          </cell>
          <cell r="BT33">
            <v>2100</v>
          </cell>
          <cell r="BV33">
            <v>10335730</v>
          </cell>
          <cell r="BW33">
            <v>168</v>
          </cell>
          <cell r="BY33">
            <v>0.62</v>
          </cell>
          <cell r="BZ33">
            <v>8.9999999999999969E-2</v>
          </cell>
          <cell r="CB33">
            <v>64635</v>
          </cell>
          <cell r="CC33">
            <v>20</v>
          </cell>
          <cell r="CD33">
            <v>55721</v>
          </cell>
          <cell r="CE33">
            <v>19</v>
          </cell>
          <cell r="CF33">
            <v>18849</v>
          </cell>
          <cell r="CG33">
            <v>7</v>
          </cell>
          <cell r="CH33">
            <v>25762</v>
          </cell>
          <cell r="CI33">
            <v>10</v>
          </cell>
          <cell r="CJ33">
            <v>28718</v>
          </cell>
          <cell r="CK33">
            <v>17</v>
          </cell>
          <cell r="CL33">
            <v>63005</v>
          </cell>
          <cell r="CM33">
            <v>38</v>
          </cell>
          <cell r="CN33">
            <v>269184</v>
          </cell>
          <cell r="CO33">
            <v>72</v>
          </cell>
          <cell r="CQ33">
            <v>216722</v>
          </cell>
          <cell r="CR33">
            <v>118</v>
          </cell>
          <cell r="CT33">
            <v>359052</v>
          </cell>
          <cell r="CU33">
            <v>220</v>
          </cell>
          <cell r="CW33">
            <v>697453</v>
          </cell>
          <cell r="CX33">
            <v>168</v>
          </cell>
          <cell r="CZ33">
            <v>8985</v>
          </cell>
          <cell r="DA33">
            <v>10</v>
          </cell>
          <cell r="DB33">
            <v>6099</v>
          </cell>
          <cell r="DC33">
            <v>6</v>
          </cell>
          <cell r="DD33">
            <v>32371</v>
          </cell>
          <cell r="DE33">
            <v>14</v>
          </cell>
          <cell r="DF33">
            <v>32573</v>
          </cell>
          <cell r="DG33">
            <v>9</v>
          </cell>
          <cell r="DH33">
            <v>22003</v>
          </cell>
          <cell r="DI33">
            <v>11</v>
          </cell>
          <cell r="DJ33">
            <v>24137</v>
          </cell>
          <cell r="DK33">
            <v>8</v>
          </cell>
          <cell r="DL33">
            <v>7246</v>
          </cell>
          <cell r="DM33">
            <v>10</v>
          </cell>
          <cell r="DN33">
            <v>9892</v>
          </cell>
          <cell r="DO33">
            <v>8</v>
          </cell>
          <cell r="DP33">
            <v>3324</v>
          </cell>
          <cell r="DQ33">
            <v>5</v>
          </cell>
          <cell r="DR33">
            <v>6562</v>
          </cell>
          <cell r="DS33">
            <v>9</v>
          </cell>
          <cell r="DT33">
            <v>30371</v>
          </cell>
          <cell r="DU33">
            <v>0</v>
          </cell>
          <cell r="DW33">
            <v>6503.6</v>
          </cell>
          <cell r="DX33">
            <v>11.600000000000364</v>
          </cell>
          <cell r="DY33">
            <v>11410.8</v>
          </cell>
          <cell r="DZ33">
            <v>7.7999999999992724</v>
          </cell>
          <cell r="EA33">
            <v>4901.8999999999996</v>
          </cell>
          <cell r="EB33">
            <v>6.8999999999996362</v>
          </cell>
          <cell r="EC33">
            <v>5481.5</v>
          </cell>
          <cell r="ED33">
            <v>7.5</v>
          </cell>
          <cell r="EE33">
            <v>1135747</v>
          </cell>
          <cell r="EF33">
            <v>637</v>
          </cell>
          <cell r="EI33">
            <v>233863.5</v>
          </cell>
          <cell r="EJ33">
            <v>132.60000000000582</v>
          </cell>
          <cell r="EL33">
            <v>12195100</v>
          </cell>
          <cell r="EM33">
            <v>4200</v>
          </cell>
          <cell r="EN33">
            <v>937570</v>
          </cell>
          <cell r="EO33">
            <v>260</v>
          </cell>
          <cell r="EP33">
            <v>7250200</v>
          </cell>
          <cell r="EQ33">
            <v>1800</v>
          </cell>
          <cell r="ER33">
            <v>2502700</v>
          </cell>
          <cell r="ES33">
            <v>300</v>
          </cell>
          <cell r="ET33">
            <v>1287880</v>
          </cell>
          <cell r="EU33">
            <v>650</v>
          </cell>
          <cell r="EV33">
            <v>16667800</v>
          </cell>
          <cell r="EW33">
            <v>2900</v>
          </cell>
          <cell r="EY33">
            <v>42358</v>
          </cell>
          <cell r="EZ33">
            <v>17</v>
          </cell>
          <cell r="FA33">
            <v>36975</v>
          </cell>
          <cell r="FB33">
            <v>15</v>
          </cell>
          <cell r="FC33">
            <v>7672</v>
          </cell>
          <cell r="FD33">
            <v>11</v>
          </cell>
          <cell r="FE33">
            <v>59484</v>
          </cell>
          <cell r="FF33">
            <v>14</v>
          </cell>
          <cell r="FG33">
            <v>50043</v>
          </cell>
          <cell r="FH33">
            <v>41</v>
          </cell>
        </row>
        <row r="34">
          <cell r="B34">
            <v>0.8</v>
          </cell>
          <cell r="E34">
            <v>221438</v>
          </cell>
          <cell r="F34">
            <v>725</v>
          </cell>
          <cell r="G34">
            <v>910</v>
          </cell>
          <cell r="H34">
            <v>248667</v>
          </cell>
          <cell r="I34">
            <v>489</v>
          </cell>
          <cell r="J34">
            <v>620</v>
          </cell>
          <cell r="K34">
            <v>9642</v>
          </cell>
          <cell r="L34">
            <v>190</v>
          </cell>
          <cell r="N34">
            <v>924290</v>
          </cell>
          <cell r="O34">
            <v>77</v>
          </cell>
          <cell r="Q34">
            <v>245382</v>
          </cell>
          <cell r="R34">
            <v>93</v>
          </cell>
          <cell r="U34">
            <v>117740</v>
          </cell>
          <cell r="V34">
            <v>90</v>
          </cell>
          <cell r="W34">
            <v>102.55000000000291</v>
          </cell>
          <cell r="X34">
            <v>6476</v>
          </cell>
          <cell r="Y34">
            <v>10</v>
          </cell>
          <cell r="AE34">
            <v>8192414.1599999992</v>
          </cell>
          <cell r="AF34">
            <v>1997.5199999986216</v>
          </cell>
          <cell r="AH34">
            <v>15551570.16</v>
          </cell>
          <cell r="AI34">
            <v>4482.2400000020862</v>
          </cell>
          <cell r="AK34">
            <v>15828397.199999999</v>
          </cell>
          <cell r="AL34">
            <v>194.88000000081956</v>
          </cell>
          <cell r="AN34">
            <v>18923286.48</v>
          </cell>
          <cell r="AO34">
            <v>9597.8400000035763</v>
          </cell>
          <cell r="AQ34">
            <v>19226227.439999998</v>
          </cell>
          <cell r="AR34">
            <v>633.35999999567866</v>
          </cell>
          <cell r="AT34">
            <v>17661097.439999998</v>
          </cell>
          <cell r="AU34">
            <v>5407.9199999980628</v>
          </cell>
          <cell r="AW34">
            <v>14859551.280000001</v>
          </cell>
          <cell r="AX34">
            <v>4092.4800000023097</v>
          </cell>
          <cell r="AZ34">
            <v>14386674.959999999</v>
          </cell>
          <cell r="BA34">
            <v>4482.2400000002235</v>
          </cell>
          <cell r="BC34">
            <v>11232054.959999999</v>
          </cell>
          <cell r="BD34">
            <v>2582.160000000149</v>
          </cell>
          <cell r="BF34">
            <v>17798487.84</v>
          </cell>
          <cell r="BG34">
            <v>5700.2400000020862</v>
          </cell>
          <cell r="BM34">
            <v>78188000</v>
          </cell>
          <cell r="BN34">
            <v>0</v>
          </cell>
          <cell r="BP34">
            <v>80981200</v>
          </cell>
          <cell r="BQ34">
            <v>49200</v>
          </cell>
          <cell r="BS34">
            <v>75092800</v>
          </cell>
          <cell r="BT34">
            <v>0</v>
          </cell>
          <cell r="BV34">
            <v>10342720</v>
          </cell>
          <cell r="BW34">
            <v>6990</v>
          </cell>
          <cell r="BY34">
            <v>0.77</v>
          </cell>
          <cell r="BZ34">
            <v>-0.15000000000000002</v>
          </cell>
          <cell r="CB34">
            <v>64655</v>
          </cell>
          <cell r="CC34">
            <v>20</v>
          </cell>
          <cell r="CD34">
            <v>55740</v>
          </cell>
          <cell r="CE34">
            <v>19</v>
          </cell>
          <cell r="CF34">
            <v>18856</v>
          </cell>
          <cell r="CG34">
            <v>7</v>
          </cell>
          <cell r="CH34">
            <v>25771</v>
          </cell>
          <cell r="CI34">
            <v>9</v>
          </cell>
          <cell r="CJ34">
            <v>28731</v>
          </cell>
          <cell r="CK34">
            <v>13</v>
          </cell>
          <cell r="CL34">
            <v>63043</v>
          </cell>
          <cell r="CM34">
            <v>38</v>
          </cell>
          <cell r="CN34">
            <v>269260</v>
          </cell>
          <cell r="CO34">
            <v>76</v>
          </cell>
          <cell r="CQ34">
            <v>216843</v>
          </cell>
          <cell r="CR34">
            <v>121</v>
          </cell>
          <cell r="CT34">
            <v>359301</v>
          </cell>
          <cell r="CU34">
            <v>249</v>
          </cell>
          <cell r="CW34">
            <v>697631</v>
          </cell>
          <cell r="CX34">
            <v>178</v>
          </cell>
          <cell r="CZ34">
            <v>8991</v>
          </cell>
          <cell r="DA34">
            <v>6</v>
          </cell>
          <cell r="DB34">
            <v>6102</v>
          </cell>
          <cell r="DC34">
            <v>3</v>
          </cell>
          <cell r="DD34">
            <v>32393</v>
          </cell>
          <cell r="DE34">
            <v>22</v>
          </cell>
          <cell r="DF34">
            <v>32593</v>
          </cell>
          <cell r="DG34">
            <v>20</v>
          </cell>
          <cell r="DH34">
            <v>22015</v>
          </cell>
          <cell r="DI34">
            <v>12</v>
          </cell>
          <cell r="DJ34">
            <v>24141</v>
          </cell>
          <cell r="DK34">
            <v>4</v>
          </cell>
          <cell r="DL34">
            <v>7263</v>
          </cell>
          <cell r="DM34">
            <v>17</v>
          </cell>
          <cell r="DN34">
            <v>9904</v>
          </cell>
          <cell r="DO34">
            <v>12</v>
          </cell>
          <cell r="DP34">
            <v>3331</v>
          </cell>
          <cell r="DQ34">
            <v>7</v>
          </cell>
          <cell r="DR34">
            <v>6577</v>
          </cell>
          <cell r="DS34">
            <v>15</v>
          </cell>
          <cell r="DT34">
            <v>30379</v>
          </cell>
          <cell r="DU34">
            <v>8</v>
          </cell>
          <cell r="DW34">
            <v>6514.6</v>
          </cell>
          <cell r="DX34">
            <v>11</v>
          </cell>
          <cell r="DY34">
            <v>11418.6</v>
          </cell>
          <cell r="DZ34">
            <v>7.8000000000010914</v>
          </cell>
          <cell r="EA34">
            <v>4908.7</v>
          </cell>
          <cell r="EB34">
            <v>6.8000000000001819</v>
          </cell>
          <cell r="EC34">
            <v>5488.2</v>
          </cell>
          <cell r="ED34">
            <v>6.6999999999998181</v>
          </cell>
          <cell r="EE34">
            <v>1136374</v>
          </cell>
          <cell r="EF34">
            <v>627</v>
          </cell>
          <cell r="EI34">
            <v>233991.5</v>
          </cell>
          <cell r="EJ34">
            <v>128</v>
          </cell>
          <cell r="EL34">
            <v>12198600</v>
          </cell>
          <cell r="EM34">
            <v>3500</v>
          </cell>
          <cell r="EN34">
            <v>937820</v>
          </cell>
          <cell r="EO34">
            <v>250</v>
          </cell>
          <cell r="EP34">
            <v>7251900</v>
          </cell>
          <cell r="EQ34">
            <v>1700</v>
          </cell>
          <cell r="ER34">
            <v>2503200</v>
          </cell>
          <cell r="ES34">
            <v>500</v>
          </cell>
          <cell r="ET34">
            <v>1288490</v>
          </cell>
          <cell r="EU34">
            <v>610</v>
          </cell>
          <cell r="EV34">
            <v>16670100</v>
          </cell>
          <cell r="EW34">
            <v>2300</v>
          </cell>
          <cell r="EY34">
            <v>42375</v>
          </cell>
          <cell r="EZ34">
            <v>17</v>
          </cell>
          <cell r="FA34">
            <v>36989</v>
          </cell>
          <cell r="FB34">
            <v>14</v>
          </cell>
          <cell r="FC34">
            <v>7685</v>
          </cell>
          <cell r="FD34">
            <v>13</v>
          </cell>
          <cell r="FE34">
            <v>59498</v>
          </cell>
          <cell r="FF34">
            <v>14</v>
          </cell>
          <cell r="FG34">
            <v>50078</v>
          </cell>
          <cell r="FH34">
            <v>35</v>
          </cell>
        </row>
        <row r="35">
          <cell r="B35">
            <v>0.73</v>
          </cell>
          <cell r="E35">
            <v>221992</v>
          </cell>
          <cell r="F35">
            <v>554</v>
          </cell>
          <cell r="G35">
            <v>498</v>
          </cell>
          <cell r="H35">
            <v>249095</v>
          </cell>
          <cell r="I35">
            <v>428</v>
          </cell>
          <cell r="J35">
            <v>509</v>
          </cell>
          <cell r="K35">
            <v>9858</v>
          </cell>
          <cell r="L35">
            <v>216</v>
          </cell>
          <cell r="N35">
            <v>924308</v>
          </cell>
          <cell r="O35">
            <v>18</v>
          </cell>
          <cell r="Q35">
            <v>245382</v>
          </cell>
          <cell r="R35">
            <v>0</v>
          </cell>
          <cell r="U35">
            <v>117811</v>
          </cell>
          <cell r="V35">
            <v>71</v>
          </cell>
          <cell r="W35">
            <v>103.05000000000291</v>
          </cell>
          <cell r="X35">
            <v>6481</v>
          </cell>
          <cell r="Y35">
            <v>5</v>
          </cell>
          <cell r="AE35">
            <v>8194216.7999999998</v>
          </cell>
          <cell r="AF35">
            <v>1802.640000000596</v>
          </cell>
          <cell r="AH35">
            <v>15556003.68</v>
          </cell>
          <cell r="AI35">
            <v>4433.519999999553</v>
          </cell>
          <cell r="AK35">
            <v>15828494.640000001</v>
          </cell>
          <cell r="AL35">
            <v>97.440000001341105</v>
          </cell>
          <cell r="AN35">
            <v>18931520.16</v>
          </cell>
          <cell r="AO35">
            <v>8233.679999999702</v>
          </cell>
          <cell r="AQ35">
            <v>19226714.639999997</v>
          </cell>
          <cell r="AR35">
            <v>487.19999999925494</v>
          </cell>
          <cell r="AT35">
            <v>17666554.080000002</v>
          </cell>
          <cell r="AU35">
            <v>5456.6400000043213</v>
          </cell>
          <cell r="AW35">
            <v>14863400.16</v>
          </cell>
          <cell r="AX35">
            <v>3848.8799999989569</v>
          </cell>
          <cell r="AZ35">
            <v>14391059.76</v>
          </cell>
          <cell r="BA35">
            <v>4384.8000000007451</v>
          </cell>
          <cell r="BC35">
            <v>11234734.559999999</v>
          </cell>
          <cell r="BD35">
            <v>2679.5999999996275</v>
          </cell>
          <cell r="BF35">
            <v>17803847.039999999</v>
          </cell>
          <cell r="BG35">
            <v>5359.1999999992549</v>
          </cell>
          <cell r="BM35">
            <v>78188000</v>
          </cell>
          <cell r="BN35">
            <v>0</v>
          </cell>
          <cell r="BP35">
            <v>81021700</v>
          </cell>
          <cell r="BQ35">
            <v>40500</v>
          </cell>
          <cell r="BS35">
            <v>75092800</v>
          </cell>
          <cell r="BT35">
            <v>0</v>
          </cell>
          <cell r="BV35">
            <v>10348880</v>
          </cell>
          <cell r="BW35">
            <v>6160</v>
          </cell>
          <cell r="BY35">
            <v>0.65</v>
          </cell>
          <cell r="BZ35">
            <v>0.12</v>
          </cell>
          <cell r="CB35">
            <v>64675</v>
          </cell>
          <cell r="CC35">
            <v>20</v>
          </cell>
          <cell r="CD35">
            <v>55758</v>
          </cell>
          <cell r="CE35">
            <v>18</v>
          </cell>
          <cell r="CF35">
            <v>18861</v>
          </cell>
          <cell r="CG35">
            <v>5</v>
          </cell>
          <cell r="CH35">
            <v>25782</v>
          </cell>
          <cell r="CI35">
            <v>11</v>
          </cell>
          <cell r="CJ35">
            <v>28744</v>
          </cell>
          <cell r="CK35">
            <v>13</v>
          </cell>
          <cell r="CL35">
            <v>63079</v>
          </cell>
          <cell r="CM35">
            <v>36</v>
          </cell>
          <cell r="CN35">
            <v>269332</v>
          </cell>
          <cell r="CO35">
            <v>72</v>
          </cell>
          <cell r="CQ35">
            <v>216957</v>
          </cell>
          <cell r="CR35">
            <v>114</v>
          </cell>
          <cell r="CT35">
            <v>359572</v>
          </cell>
          <cell r="CU35">
            <v>271</v>
          </cell>
          <cell r="CW35">
            <v>697801</v>
          </cell>
          <cell r="CX35">
            <v>170</v>
          </cell>
          <cell r="CZ35">
            <v>9000</v>
          </cell>
          <cell r="DA35">
            <v>9</v>
          </cell>
          <cell r="DB35">
            <v>6108</v>
          </cell>
          <cell r="DC35">
            <v>6</v>
          </cell>
          <cell r="DD35">
            <v>32409</v>
          </cell>
          <cell r="DE35">
            <v>16</v>
          </cell>
          <cell r="DF35">
            <v>32605</v>
          </cell>
          <cell r="DG35">
            <v>12</v>
          </cell>
          <cell r="DH35">
            <v>22027</v>
          </cell>
          <cell r="DI35">
            <v>12</v>
          </cell>
          <cell r="DJ35">
            <v>24148</v>
          </cell>
          <cell r="DK35">
            <v>7</v>
          </cell>
          <cell r="DL35">
            <v>7274</v>
          </cell>
          <cell r="DM35">
            <v>11</v>
          </cell>
          <cell r="DN35">
            <v>9911</v>
          </cell>
          <cell r="DO35">
            <v>7</v>
          </cell>
          <cell r="DP35">
            <v>3335</v>
          </cell>
          <cell r="DQ35">
            <v>4</v>
          </cell>
          <cell r="DR35">
            <v>6589</v>
          </cell>
          <cell r="DS35">
            <v>12</v>
          </cell>
          <cell r="DT35">
            <v>30380</v>
          </cell>
          <cell r="DU35">
            <v>1</v>
          </cell>
          <cell r="DW35">
            <v>6524.3</v>
          </cell>
          <cell r="DX35">
            <v>9.6999999999998181</v>
          </cell>
          <cell r="DY35">
            <v>11426</v>
          </cell>
          <cell r="DZ35">
            <v>7.3999999999996362</v>
          </cell>
          <cell r="EA35">
            <v>4915.5</v>
          </cell>
          <cell r="EB35">
            <v>6.8000000000001819</v>
          </cell>
          <cell r="EC35">
            <v>5494.2</v>
          </cell>
          <cell r="ED35">
            <v>6</v>
          </cell>
          <cell r="EE35">
            <v>1136923</v>
          </cell>
          <cell r="EF35">
            <v>549</v>
          </cell>
          <cell r="EI35">
            <v>234118.6</v>
          </cell>
          <cell r="EJ35">
            <v>127.10000000000582</v>
          </cell>
          <cell r="EL35">
            <v>12201700</v>
          </cell>
          <cell r="EM35">
            <v>3100</v>
          </cell>
          <cell r="EN35">
            <v>938040</v>
          </cell>
          <cell r="EO35">
            <v>220</v>
          </cell>
          <cell r="EP35">
            <v>7253500</v>
          </cell>
          <cell r="EQ35">
            <v>1600</v>
          </cell>
          <cell r="ER35">
            <v>2503300</v>
          </cell>
          <cell r="ES35">
            <v>100</v>
          </cell>
          <cell r="ET35">
            <v>1289100</v>
          </cell>
          <cell r="EU35">
            <v>610</v>
          </cell>
          <cell r="EV35">
            <v>16671700</v>
          </cell>
          <cell r="EW35">
            <v>1600</v>
          </cell>
          <cell r="EY35">
            <v>42393</v>
          </cell>
          <cell r="EZ35">
            <v>18</v>
          </cell>
          <cell r="FA35">
            <v>37004</v>
          </cell>
          <cell r="FB35">
            <v>15</v>
          </cell>
          <cell r="FC35">
            <v>7695</v>
          </cell>
          <cell r="FD35">
            <v>10</v>
          </cell>
          <cell r="FE35">
            <v>59514</v>
          </cell>
          <cell r="FF35">
            <v>16</v>
          </cell>
          <cell r="FG35">
            <v>50113</v>
          </cell>
          <cell r="FH35">
            <v>35</v>
          </cell>
        </row>
        <row r="36">
          <cell r="B36">
            <v>0.7</v>
          </cell>
          <cell r="E36">
            <v>222546</v>
          </cell>
          <cell r="F36">
            <v>554</v>
          </cell>
          <cell r="G36">
            <v>751</v>
          </cell>
          <cell r="H36">
            <v>249535</v>
          </cell>
          <cell r="I36">
            <v>440</v>
          </cell>
          <cell r="J36">
            <v>349</v>
          </cell>
          <cell r="K36">
            <v>10037</v>
          </cell>
          <cell r="L36">
            <v>179</v>
          </cell>
          <cell r="N36">
            <v>924308</v>
          </cell>
          <cell r="O36">
            <v>0</v>
          </cell>
          <cell r="Q36">
            <v>245382</v>
          </cell>
          <cell r="R36">
            <v>0</v>
          </cell>
          <cell r="U36">
            <v>117882</v>
          </cell>
          <cell r="V36">
            <v>71</v>
          </cell>
          <cell r="W36">
            <v>90.969999999993888</v>
          </cell>
          <cell r="X36">
            <v>6490</v>
          </cell>
          <cell r="Y36">
            <v>9</v>
          </cell>
          <cell r="AE36">
            <v>8195922</v>
          </cell>
          <cell r="AF36">
            <v>1705.2000000001863</v>
          </cell>
          <cell r="AH36">
            <v>15560485.919999998</v>
          </cell>
          <cell r="AI36">
            <v>4482.2399999983609</v>
          </cell>
          <cell r="AK36">
            <v>15828592.08</v>
          </cell>
          <cell r="AL36">
            <v>97.439999999478459</v>
          </cell>
          <cell r="AN36">
            <v>18939851.280000001</v>
          </cell>
          <cell r="AO36">
            <v>8331.1200000010431</v>
          </cell>
          <cell r="AQ36">
            <v>19227153.119999997</v>
          </cell>
          <cell r="AR36">
            <v>438.48000000044703</v>
          </cell>
          <cell r="AT36">
            <v>17671815.84</v>
          </cell>
          <cell r="AU36">
            <v>5261.7599999979138</v>
          </cell>
          <cell r="AW36">
            <v>14867346.48</v>
          </cell>
          <cell r="AX36">
            <v>3946.320000000298</v>
          </cell>
          <cell r="AZ36">
            <v>14395639.439999999</v>
          </cell>
          <cell r="BA36">
            <v>4579.679999999702</v>
          </cell>
          <cell r="BC36">
            <v>11237462.880000001</v>
          </cell>
          <cell r="BD36">
            <v>2728.3200000021607</v>
          </cell>
          <cell r="BF36">
            <v>17809352.399999999</v>
          </cell>
          <cell r="BG36">
            <v>5505.359999999404</v>
          </cell>
          <cell r="BM36">
            <v>78188000</v>
          </cell>
          <cell r="BN36">
            <v>0</v>
          </cell>
          <cell r="BP36">
            <v>81062100</v>
          </cell>
          <cell r="BQ36">
            <v>40400</v>
          </cell>
          <cell r="BS36">
            <v>75092800</v>
          </cell>
          <cell r="BT36">
            <v>0</v>
          </cell>
          <cell r="BV36">
            <v>10355310</v>
          </cell>
          <cell r="BW36">
            <v>6430</v>
          </cell>
          <cell r="BY36">
            <v>0.6</v>
          </cell>
          <cell r="BZ36">
            <v>5.0000000000000044E-2</v>
          </cell>
          <cell r="CB36">
            <v>64695</v>
          </cell>
          <cell r="CC36">
            <v>20</v>
          </cell>
          <cell r="CD36">
            <v>55777</v>
          </cell>
          <cell r="CE36">
            <v>19</v>
          </cell>
          <cell r="CF36">
            <v>18869</v>
          </cell>
          <cell r="CG36">
            <v>8</v>
          </cell>
          <cell r="CH36">
            <v>25792</v>
          </cell>
          <cell r="CI36">
            <v>10</v>
          </cell>
          <cell r="CJ36">
            <v>28758</v>
          </cell>
          <cell r="CK36">
            <v>14</v>
          </cell>
          <cell r="CL36">
            <v>63114</v>
          </cell>
          <cell r="CM36">
            <v>35</v>
          </cell>
          <cell r="CN36">
            <v>269405</v>
          </cell>
          <cell r="CO36">
            <v>73</v>
          </cell>
          <cell r="CQ36">
            <v>217077</v>
          </cell>
          <cell r="CR36">
            <v>120</v>
          </cell>
          <cell r="CT36">
            <v>359784</v>
          </cell>
          <cell r="CU36">
            <v>212</v>
          </cell>
          <cell r="CW36">
            <v>697973</v>
          </cell>
          <cell r="CX36">
            <v>172</v>
          </cell>
          <cell r="CZ36">
            <v>9009</v>
          </cell>
          <cell r="DA36">
            <v>9</v>
          </cell>
          <cell r="DB36">
            <v>6114</v>
          </cell>
          <cell r="DC36">
            <v>6</v>
          </cell>
          <cell r="DD36">
            <v>32426</v>
          </cell>
          <cell r="DE36">
            <v>17</v>
          </cell>
          <cell r="DF36">
            <v>32620</v>
          </cell>
          <cell r="DG36">
            <v>15</v>
          </cell>
          <cell r="DH36">
            <v>22039</v>
          </cell>
          <cell r="DI36">
            <v>12</v>
          </cell>
          <cell r="DJ36">
            <v>24155</v>
          </cell>
          <cell r="DK36">
            <v>7</v>
          </cell>
          <cell r="DL36">
            <v>7288</v>
          </cell>
          <cell r="DM36">
            <v>14</v>
          </cell>
          <cell r="DN36">
            <v>9917</v>
          </cell>
          <cell r="DO36">
            <v>6</v>
          </cell>
          <cell r="DP36">
            <v>3339</v>
          </cell>
          <cell r="DQ36">
            <v>4</v>
          </cell>
          <cell r="DR36">
            <v>6598</v>
          </cell>
          <cell r="DS36">
            <v>9</v>
          </cell>
          <cell r="DT36">
            <v>30380</v>
          </cell>
          <cell r="DU36">
            <v>0</v>
          </cell>
          <cell r="DW36">
            <v>6534.8</v>
          </cell>
          <cell r="DX36">
            <v>10.5</v>
          </cell>
          <cell r="DY36">
            <v>11433.5</v>
          </cell>
          <cell r="DZ36">
            <v>7.5</v>
          </cell>
          <cell r="EA36">
            <v>4922.6000000000004</v>
          </cell>
          <cell r="EB36">
            <v>7.1000000000003638</v>
          </cell>
          <cell r="EC36">
            <v>5501</v>
          </cell>
          <cell r="ED36">
            <v>6.8000000000001819</v>
          </cell>
          <cell r="EE36">
            <v>1137492</v>
          </cell>
          <cell r="EF36">
            <v>569</v>
          </cell>
          <cell r="EI36">
            <v>234251.4</v>
          </cell>
          <cell r="EJ36">
            <v>132.79999999998836</v>
          </cell>
          <cell r="EL36">
            <v>12204900</v>
          </cell>
          <cell r="EM36">
            <v>3200</v>
          </cell>
          <cell r="EN36">
            <v>938260</v>
          </cell>
          <cell r="EO36">
            <v>220</v>
          </cell>
          <cell r="EP36">
            <v>7255200</v>
          </cell>
          <cell r="EQ36">
            <v>1700</v>
          </cell>
          <cell r="ER36">
            <v>2503500</v>
          </cell>
          <cell r="ES36">
            <v>200</v>
          </cell>
          <cell r="ET36">
            <v>1289700</v>
          </cell>
          <cell r="EU36">
            <v>600</v>
          </cell>
          <cell r="EV36">
            <v>16673200</v>
          </cell>
          <cell r="EW36">
            <v>1500</v>
          </cell>
          <cell r="EY36">
            <v>42410</v>
          </cell>
          <cell r="EZ36">
            <v>17</v>
          </cell>
          <cell r="FA36">
            <v>37004</v>
          </cell>
          <cell r="FB36">
            <v>0</v>
          </cell>
          <cell r="FC36">
            <v>7705</v>
          </cell>
          <cell r="FD36">
            <v>10</v>
          </cell>
          <cell r="FE36">
            <v>59528</v>
          </cell>
          <cell r="FF36">
            <v>14</v>
          </cell>
          <cell r="FG36">
            <v>50148</v>
          </cell>
          <cell r="FH36">
            <v>35</v>
          </cell>
        </row>
        <row r="37">
          <cell r="B37">
            <v>0.83</v>
          </cell>
          <cell r="E37">
            <v>223205</v>
          </cell>
          <cell r="F37">
            <v>659</v>
          </cell>
          <cell r="G37">
            <v>989</v>
          </cell>
          <cell r="H37">
            <v>250061</v>
          </cell>
          <cell r="I37">
            <v>526</v>
          </cell>
          <cell r="J37">
            <v>557.00999999999476</v>
          </cell>
          <cell r="K37">
            <v>10038</v>
          </cell>
          <cell r="L37">
            <v>1</v>
          </cell>
          <cell r="N37">
            <v>924308</v>
          </cell>
          <cell r="O37">
            <v>0</v>
          </cell>
          <cell r="Q37">
            <v>245382</v>
          </cell>
          <cell r="R37">
            <v>0</v>
          </cell>
          <cell r="U37">
            <v>117956</v>
          </cell>
          <cell r="V37">
            <v>74</v>
          </cell>
          <cell r="W37">
            <v>84.620000000002619</v>
          </cell>
          <cell r="X37">
            <v>6496</v>
          </cell>
          <cell r="Y37">
            <v>6</v>
          </cell>
          <cell r="AE37">
            <v>8197773.3599999994</v>
          </cell>
          <cell r="AF37">
            <v>1851.359999999404</v>
          </cell>
          <cell r="AH37">
            <v>15565016.880000001</v>
          </cell>
          <cell r="AI37">
            <v>4530.9600000027567</v>
          </cell>
          <cell r="AK37">
            <v>15828689.52</v>
          </cell>
          <cell r="AL37">
            <v>97.439999999478459</v>
          </cell>
          <cell r="AN37">
            <v>18949010.639999997</v>
          </cell>
          <cell r="AO37">
            <v>9159.3599999956787</v>
          </cell>
          <cell r="AQ37">
            <v>19227153.119999997</v>
          </cell>
          <cell r="AR37">
            <v>0</v>
          </cell>
          <cell r="AT37">
            <v>17677175.039999999</v>
          </cell>
          <cell r="AU37">
            <v>5359.1999999992549</v>
          </cell>
          <cell r="AW37">
            <v>14871536.4</v>
          </cell>
          <cell r="AX37">
            <v>4189.9199999999255</v>
          </cell>
          <cell r="AZ37">
            <v>14400267.84</v>
          </cell>
          <cell r="BA37">
            <v>4628.4000000003725</v>
          </cell>
          <cell r="BC37">
            <v>11240483.52</v>
          </cell>
          <cell r="BD37">
            <v>3020.6399999987334</v>
          </cell>
          <cell r="BF37">
            <v>17814955.199999999</v>
          </cell>
          <cell r="BG37">
            <v>5602.8000000007451</v>
          </cell>
          <cell r="BM37">
            <v>78188000</v>
          </cell>
          <cell r="BN37">
            <v>0</v>
          </cell>
          <cell r="BP37">
            <v>81103400</v>
          </cell>
          <cell r="BQ37">
            <v>41300</v>
          </cell>
          <cell r="BS37">
            <v>75092800</v>
          </cell>
          <cell r="BT37">
            <v>0</v>
          </cell>
          <cell r="BV37">
            <v>10362870</v>
          </cell>
          <cell r="BW37">
            <v>7560</v>
          </cell>
          <cell r="BY37">
            <v>0.68</v>
          </cell>
          <cell r="BZ37">
            <v>-8.0000000000000071E-2</v>
          </cell>
          <cell r="CB37">
            <v>64716</v>
          </cell>
          <cell r="CC37">
            <v>21</v>
          </cell>
          <cell r="CD37">
            <v>55796</v>
          </cell>
          <cell r="CE37">
            <v>19</v>
          </cell>
          <cell r="CF37">
            <v>18876</v>
          </cell>
          <cell r="CG37">
            <v>7</v>
          </cell>
          <cell r="CH37">
            <v>25803</v>
          </cell>
          <cell r="CI37">
            <v>11</v>
          </cell>
          <cell r="CJ37">
            <v>28772</v>
          </cell>
          <cell r="CK37">
            <v>14</v>
          </cell>
          <cell r="CL37">
            <v>63148</v>
          </cell>
          <cell r="CM37">
            <v>34</v>
          </cell>
          <cell r="CN37">
            <v>269479</v>
          </cell>
          <cell r="CO37">
            <v>74</v>
          </cell>
          <cell r="CQ37">
            <v>217197</v>
          </cell>
          <cell r="CR37">
            <v>120</v>
          </cell>
          <cell r="CT37">
            <v>360081</v>
          </cell>
          <cell r="CU37">
            <v>297</v>
          </cell>
          <cell r="CW37">
            <v>698145</v>
          </cell>
          <cell r="CX37">
            <v>172</v>
          </cell>
          <cell r="CZ37">
            <v>9023</v>
          </cell>
          <cell r="DA37">
            <v>14</v>
          </cell>
          <cell r="DB37">
            <v>6124</v>
          </cell>
          <cell r="DC37">
            <v>10</v>
          </cell>
          <cell r="DD37">
            <v>32445</v>
          </cell>
          <cell r="DE37">
            <v>19</v>
          </cell>
          <cell r="DF37">
            <v>32634</v>
          </cell>
          <cell r="DG37">
            <v>14</v>
          </cell>
          <cell r="DH37">
            <v>22052</v>
          </cell>
          <cell r="DI37">
            <v>13</v>
          </cell>
          <cell r="DJ37">
            <v>24162</v>
          </cell>
          <cell r="DK37">
            <v>7</v>
          </cell>
          <cell r="DL37">
            <v>7301</v>
          </cell>
          <cell r="DM37">
            <v>13</v>
          </cell>
          <cell r="DN37">
            <v>9923</v>
          </cell>
          <cell r="DO37">
            <v>6</v>
          </cell>
          <cell r="DP37">
            <v>3344</v>
          </cell>
          <cell r="DQ37">
            <v>5</v>
          </cell>
          <cell r="DR37">
            <v>6608</v>
          </cell>
          <cell r="DS37">
            <v>10</v>
          </cell>
          <cell r="DT37">
            <v>30380</v>
          </cell>
          <cell r="DU37">
            <v>0</v>
          </cell>
          <cell r="DW37">
            <v>6545.9</v>
          </cell>
          <cell r="DX37">
            <v>11.099999999999454</v>
          </cell>
          <cell r="DY37">
            <v>11441.6</v>
          </cell>
          <cell r="DZ37">
            <v>8.1000000000003638</v>
          </cell>
          <cell r="EA37">
            <v>4929.8999999999996</v>
          </cell>
          <cell r="EB37">
            <v>7.2999999999992724</v>
          </cell>
          <cell r="EC37">
            <v>5508.1</v>
          </cell>
          <cell r="ED37">
            <v>7.1000000000003638</v>
          </cell>
          <cell r="EE37">
            <v>1138062</v>
          </cell>
          <cell r="EF37">
            <v>570</v>
          </cell>
          <cell r="EI37">
            <v>234381.2</v>
          </cell>
          <cell r="EJ37">
            <v>129.80000000001746</v>
          </cell>
          <cell r="EL37">
            <v>12208000</v>
          </cell>
          <cell r="EM37">
            <v>3100</v>
          </cell>
          <cell r="EN37">
            <v>938500</v>
          </cell>
          <cell r="EO37">
            <v>240</v>
          </cell>
          <cell r="EP37">
            <v>7256800</v>
          </cell>
          <cell r="EQ37">
            <v>1600</v>
          </cell>
          <cell r="ER37">
            <v>2503800</v>
          </cell>
          <cell r="ES37">
            <v>300</v>
          </cell>
          <cell r="ET37">
            <v>1290250</v>
          </cell>
          <cell r="EU37">
            <v>550</v>
          </cell>
          <cell r="EV37">
            <v>16675100</v>
          </cell>
          <cell r="EW37">
            <v>1900</v>
          </cell>
          <cell r="EY37">
            <v>42427</v>
          </cell>
          <cell r="EZ37">
            <v>17</v>
          </cell>
          <cell r="FA37">
            <v>37037</v>
          </cell>
          <cell r="FB37">
            <v>33</v>
          </cell>
          <cell r="FC37">
            <v>7714</v>
          </cell>
          <cell r="FD37">
            <v>9</v>
          </cell>
          <cell r="FE37">
            <v>59547</v>
          </cell>
          <cell r="FF37">
            <v>19</v>
          </cell>
          <cell r="FG37">
            <v>50184</v>
          </cell>
          <cell r="FH37">
            <v>36</v>
          </cell>
        </row>
        <row r="38">
          <cell r="B38">
            <v>0.84</v>
          </cell>
          <cell r="E38">
            <v>223865</v>
          </cell>
          <cell r="F38">
            <v>660</v>
          </cell>
          <cell r="G38">
            <v>769</v>
          </cell>
          <cell r="H38">
            <v>250609</v>
          </cell>
          <cell r="I38">
            <v>548</v>
          </cell>
          <cell r="J38">
            <v>484.49000000000524</v>
          </cell>
          <cell r="K38">
            <v>10038</v>
          </cell>
          <cell r="L38">
            <v>0</v>
          </cell>
          <cell r="N38">
            <v>924389</v>
          </cell>
          <cell r="O38">
            <v>81</v>
          </cell>
          <cell r="Q38">
            <v>245382</v>
          </cell>
          <cell r="R38">
            <v>0</v>
          </cell>
          <cell r="U38">
            <v>118029</v>
          </cell>
          <cell r="V38">
            <v>73</v>
          </cell>
          <cell r="W38">
            <v>83.770000000004075</v>
          </cell>
          <cell r="X38">
            <v>6505</v>
          </cell>
          <cell r="Y38">
            <v>9</v>
          </cell>
          <cell r="AE38">
            <v>8199527.2800000003</v>
          </cell>
          <cell r="AF38">
            <v>1753.9200000008568</v>
          </cell>
          <cell r="AH38">
            <v>15569547.84</v>
          </cell>
          <cell r="AI38">
            <v>4530.9599999990314</v>
          </cell>
          <cell r="AK38">
            <v>15828786.959999999</v>
          </cell>
          <cell r="AL38">
            <v>97.439999999478459</v>
          </cell>
          <cell r="AN38">
            <v>18958072.560000002</v>
          </cell>
          <cell r="AO38">
            <v>9061.9200000055134</v>
          </cell>
          <cell r="AQ38">
            <v>19227153.119999997</v>
          </cell>
          <cell r="AR38">
            <v>0</v>
          </cell>
          <cell r="AT38">
            <v>17682534.239999998</v>
          </cell>
          <cell r="AU38">
            <v>5359.1999999992549</v>
          </cell>
          <cell r="AW38">
            <v>14875872.48</v>
          </cell>
          <cell r="AX38">
            <v>4336.0800000000745</v>
          </cell>
          <cell r="AZ38">
            <v>14405042.4</v>
          </cell>
          <cell r="BA38">
            <v>4774.5600000005215</v>
          </cell>
          <cell r="BC38">
            <v>11244186.24</v>
          </cell>
          <cell r="BD38">
            <v>3702.7200000006706</v>
          </cell>
          <cell r="BF38">
            <v>17820558</v>
          </cell>
          <cell r="BG38">
            <v>5602.8000000007451</v>
          </cell>
          <cell r="BM38">
            <v>78188000</v>
          </cell>
          <cell r="BN38">
            <v>0</v>
          </cell>
          <cell r="BP38">
            <v>81144000</v>
          </cell>
          <cell r="BQ38">
            <v>40600</v>
          </cell>
          <cell r="BS38">
            <v>75092800</v>
          </cell>
          <cell r="BT38">
            <v>0</v>
          </cell>
          <cell r="BV38">
            <v>10370030</v>
          </cell>
          <cell r="BW38">
            <v>7160</v>
          </cell>
          <cell r="BY38">
            <v>0.59</v>
          </cell>
          <cell r="BZ38">
            <v>9.000000000000008E-2</v>
          </cell>
          <cell r="CB38">
            <v>64736</v>
          </cell>
          <cell r="CC38">
            <v>20</v>
          </cell>
          <cell r="CD38">
            <v>55815</v>
          </cell>
          <cell r="CE38">
            <v>19</v>
          </cell>
          <cell r="CF38">
            <v>18883</v>
          </cell>
          <cell r="CG38">
            <v>7</v>
          </cell>
          <cell r="CH38">
            <v>25814</v>
          </cell>
          <cell r="CI38">
            <v>11</v>
          </cell>
          <cell r="CJ38">
            <v>28786</v>
          </cell>
          <cell r="CK38">
            <v>14</v>
          </cell>
          <cell r="CL38">
            <v>63186</v>
          </cell>
          <cell r="CM38">
            <v>38</v>
          </cell>
          <cell r="CN38">
            <v>269551</v>
          </cell>
          <cell r="CO38">
            <v>72</v>
          </cell>
          <cell r="CQ38">
            <v>217306</v>
          </cell>
          <cell r="CR38">
            <v>109</v>
          </cell>
          <cell r="CT38">
            <v>360353</v>
          </cell>
          <cell r="CU38">
            <v>272</v>
          </cell>
          <cell r="CW38">
            <v>698316</v>
          </cell>
          <cell r="CX38">
            <v>171</v>
          </cell>
          <cell r="CZ38">
            <v>9036</v>
          </cell>
          <cell r="DA38">
            <v>13</v>
          </cell>
          <cell r="DB38">
            <v>6132</v>
          </cell>
          <cell r="DC38">
            <v>8</v>
          </cell>
          <cell r="DD38">
            <v>32464</v>
          </cell>
          <cell r="DE38">
            <v>19</v>
          </cell>
          <cell r="DF38">
            <v>32650</v>
          </cell>
          <cell r="DG38">
            <v>16</v>
          </cell>
          <cell r="DH38">
            <v>22066</v>
          </cell>
          <cell r="DI38">
            <v>14</v>
          </cell>
          <cell r="DJ38">
            <v>24170</v>
          </cell>
          <cell r="DK38">
            <v>8</v>
          </cell>
          <cell r="DL38">
            <v>7313</v>
          </cell>
          <cell r="DM38">
            <v>12</v>
          </cell>
          <cell r="DN38">
            <v>9929</v>
          </cell>
          <cell r="DO38">
            <v>6</v>
          </cell>
          <cell r="DP38">
            <v>3348</v>
          </cell>
          <cell r="DQ38">
            <v>4</v>
          </cell>
          <cell r="DR38">
            <v>6618</v>
          </cell>
          <cell r="DS38">
            <v>10</v>
          </cell>
          <cell r="DT38">
            <v>30380</v>
          </cell>
          <cell r="DU38">
            <v>0</v>
          </cell>
          <cell r="DW38">
            <v>6557.1</v>
          </cell>
          <cell r="DX38">
            <v>11.200000000000728</v>
          </cell>
          <cell r="DY38">
            <v>11449.8</v>
          </cell>
          <cell r="DZ38">
            <v>8.1999999999989086</v>
          </cell>
          <cell r="EA38">
            <v>4936.8999999999996</v>
          </cell>
          <cell r="EB38">
            <v>7</v>
          </cell>
          <cell r="EC38">
            <v>5514.2</v>
          </cell>
          <cell r="ED38">
            <v>6.0999999999994543</v>
          </cell>
          <cell r="EE38">
            <v>1138614</v>
          </cell>
          <cell r="EF38">
            <v>552</v>
          </cell>
          <cell r="EI38">
            <v>234511.8</v>
          </cell>
          <cell r="EJ38">
            <v>130.59999999997672</v>
          </cell>
          <cell r="EL38">
            <v>12211500</v>
          </cell>
          <cell r="EM38">
            <v>3500</v>
          </cell>
          <cell r="EN38">
            <v>938760</v>
          </cell>
          <cell r="EO38">
            <v>260</v>
          </cell>
          <cell r="EP38">
            <v>7258600</v>
          </cell>
          <cell r="EQ38">
            <v>1800</v>
          </cell>
          <cell r="ER38">
            <v>2504000</v>
          </cell>
          <cell r="ES38">
            <v>200</v>
          </cell>
          <cell r="ET38">
            <v>1290890</v>
          </cell>
          <cell r="EU38">
            <v>640</v>
          </cell>
          <cell r="EV38">
            <v>16677300</v>
          </cell>
          <cell r="EW38">
            <v>2200</v>
          </cell>
          <cell r="EY38">
            <v>42443</v>
          </cell>
          <cell r="EZ38">
            <v>16</v>
          </cell>
          <cell r="FA38">
            <v>37053</v>
          </cell>
          <cell r="FB38">
            <v>16</v>
          </cell>
          <cell r="FC38">
            <v>7723</v>
          </cell>
          <cell r="FD38">
            <v>9</v>
          </cell>
          <cell r="FE38">
            <v>59566</v>
          </cell>
          <cell r="FF38">
            <v>19</v>
          </cell>
          <cell r="FG38">
            <v>50222</v>
          </cell>
          <cell r="FH38">
            <v>38</v>
          </cell>
        </row>
        <row r="39">
          <cell r="B39">
            <v>0.88</v>
          </cell>
          <cell r="E39">
            <v>224550</v>
          </cell>
          <cell r="F39">
            <v>685</v>
          </cell>
          <cell r="G39">
            <v>828</v>
          </cell>
          <cell r="H39">
            <v>251142</v>
          </cell>
          <cell r="I39">
            <v>533</v>
          </cell>
          <cell r="J39">
            <v>537.5</v>
          </cell>
          <cell r="K39">
            <v>10164</v>
          </cell>
          <cell r="L39">
            <v>126</v>
          </cell>
          <cell r="N39">
            <v>924463</v>
          </cell>
          <cell r="O39">
            <v>74</v>
          </cell>
          <cell r="Q39">
            <v>245382</v>
          </cell>
          <cell r="R39">
            <v>0</v>
          </cell>
          <cell r="U39">
            <v>118107</v>
          </cell>
          <cell r="V39">
            <v>78</v>
          </cell>
          <cell r="W39">
            <v>90.009999999994761</v>
          </cell>
          <cell r="X39">
            <v>6511</v>
          </cell>
          <cell r="Y39">
            <v>6</v>
          </cell>
          <cell r="AE39">
            <v>8201524.7999999998</v>
          </cell>
          <cell r="AF39">
            <v>1997.519999999553</v>
          </cell>
          <cell r="AH39">
            <v>15574078.799999999</v>
          </cell>
          <cell r="AI39">
            <v>4530.9599999990314</v>
          </cell>
          <cell r="AK39">
            <v>15828884.4</v>
          </cell>
          <cell r="AL39">
            <v>97.440000001341105</v>
          </cell>
          <cell r="AN39">
            <v>18966696</v>
          </cell>
          <cell r="AO39">
            <v>8623.4399999976158</v>
          </cell>
          <cell r="AQ39">
            <v>19227591.599999998</v>
          </cell>
          <cell r="AR39">
            <v>438.48000000044703</v>
          </cell>
          <cell r="AT39">
            <v>17687796</v>
          </cell>
          <cell r="AU39">
            <v>5261.7600000016391</v>
          </cell>
          <cell r="AW39">
            <v>14879818.799999999</v>
          </cell>
          <cell r="AX39">
            <v>3946.3199999984354</v>
          </cell>
          <cell r="AZ39">
            <v>14409719.52</v>
          </cell>
          <cell r="BA39">
            <v>4677.1199999991804</v>
          </cell>
          <cell r="BC39">
            <v>11247060.719999999</v>
          </cell>
          <cell r="BD39">
            <v>2874.4799999985844</v>
          </cell>
          <cell r="BF39">
            <v>17826550.560000002</v>
          </cell>
          <cell r="BG39">
            <v>5992.5600000023842</v>
          </cell>
          <cell r="BM39">
            <v>78188000</v>
          </cell>
          <cell r="BN39">
            <v>0</v>
          </cell>
          <cell r="BP39">
            <v>81185500</v>
          </cell>
          <cell r="BQ39">
            <v>41500</v>
          </cell>
          <cell r="BS39">
            <v>75092800</v>
          </cell>
          <cell r="BT39">
            <v>0</v>
          </cell>
          <cell r="BV39">
            <v>10377260</v>
          </cell>
          <cell r="BW39">
            <v>7230</v>
          </cell>
          <cell r="BY39">
            <v>0.69</v>
          </cell>
          <cell r="BZ39">
            <v>-9.9999999999999978E-2</v>
          </cell>
          <cell r="CB39">
            <v>64757</v>
          </cell>
          <cell r="CC39">
            <v>21</v>
          </cell>
          <cell r="CD39">
            <v>55832</v>
          </cell>
          <cell r="CE39">
            <v>17</v>
          </cell>
          <cell r="CF39">
            <v>18888</v>
          </cell>
          <cell r="CG39">
            <v>5</v>
          </cell>
          <cell r="CH39">
            <v>25824</v>
          </cell>
          <cell r="CI39">
            <v>10</v>
          </cell>
          <cell r="CJ39">
            <v>28793</v>
          </cell>
          <cell r="CK39">
            <v>7</v>
          </cell>
          <cell r="CL39">
            <v>63227</v>
          </cell>
          <cell r="CM39">
            <v>41</v>
          </cell>
          <cell r="CN39">
            <v>269622</v>
          </cell>
          <cell r="CO39">
            <v>71</v>
          </cell>
          <cell r="CQ39">
            <v>217423</v>
          </cell>
          <cell r="CR39">
            <v>117</v>
          </cell>
          <cell r="CT39">
            <v>360613</v>
          </cell>
          <cell r="CU39">
            <v>260</v>
          </cell>
          <cell r="CW39">
            <v>698487</v>
          </cell>
          <cell r="CX39">
            <v>171</v>
          </cell>
          <cell r="CZ39">
            <v>9050</v>
          </cell>
          <cell r="DA39">
            <v>14</v>
          </cell>
          <cell r="DB39">
            <v>6141</v>
          </cell>
          <cell r="DC39">
            <v>9</v>
          </cell>
          <cell r="DD39">
            <v>32482</v>
          </cell>
          <cell r="DE39">
            <v>18</v>
          </cell>
          <cell r="DF39">
            <v>32666</v>
          </cell>
          <cell r="DG39">
            <v>16</v>
          </cell>
          <cell r="DH39">
            <v>22080</v>
          </cell>
          <cell r="DI39">
            <v>14</v>
          </cell>
          <cell r="DJ39">
            <v>24179</v>
          </cell>
          <cell r="DK39">
            <v>9</v>
          </cell>
          <cell r="DL39">
            <v>7327</v>
          </cell>
          <cell r="DM39">
            <v>14</v>
          </cell>
          <cell r="DN39">
            <v>9940</v>
          </cell>
          <cell r="DO39">
            <v>11</v>
          </cell>
          <cell r="DP39">
            <v>3354</v>
          </cell>
          <cell r="DQ39">
            <v>6</v>
          </cell>
          <cell r="DR39">
            <v>6628</v>
          </cell>
          <cell r="DS39">
            <v>10</v>
          </cell>
          <cell r="DT39">
            <v>30380</v>
          </cell>
          <cell r="DU39">
            <v>0</v>
          </cell>
          <cell r="DW39">
            <v>6568.3</v>
          </cell>
          <cell r="DX39">
            <v>11.199999999999818</v>
          </cell>
          <cell r="DY39">
            <v>11458.1</v>
          </cell>
          <cell r="DZ39">
            <v>8.3000000000010914</v>
          </cell>
          <cell r="EA39">
            <v>4944</v>
          </cell>
          <cell r="EB39">
            <v>7.1000000000003638</v>
          </cell>
          <cell r="EC39">
            <v>5522.2</v>
          </cell>
          <cell r="ED39">
            <v>8</v>
          </cell>
          <cell r="EE39">
            <v>1139204</v>
          </cell>
          <cell r="EF39">
            <v>590</v>
          </cell>
          <cell r="EI39">
            <v>234645</v>
          </cell>
          <cell r="EJ39">
            <v>133.20000000001164</v>
          </cell>
          <cell r="EL39">
            <v>12214000</v>
          </cell>
          <cell r="EM39">
            <v>2500</v>
          </cell>
          <cell r="EN39">
            <v>938940</v>
          </cell>
          <cell r="EO39">
            <v>180</v>
          </cell>
          <cell r="EP39">
            <v>7259800</v>
          </cell>
          <cell r="EQ39">
            <v>1200</v>
          </cell>
          <cell r="ER39">
            <v>2504200</v>
          </cell>
          <cell r="ES39">
            <v>200</v>
          </cell>
          <cell r="ET39">
            <v>1291330</v>
          </cell>
          <cell r="EU39">
            <v>440</v>
          </cell>
          <cell r="EV39">
            <v>16678700</v>
          </cell>
          <cell r="EW39">
            <v>1400</v>
          </cell>
          <cell r="EY39">
            <v>42462</v>
          </cell>
          <cell r="EZ39">
            <v>19</v>
          </cell>
          <cell r="FA39">
            <v>37070</v>
          </cell>
          <cell r="FB39">
            <v>17</v>
          </cell>
          <cell r="FC39">
            <v>7737</v>
          </cell>
          <cell r="FD39">
            <v>14</v>
          </cell>
          <cell r="FE39">
            <v>59584</v>
          </cell>
          <cell r="FF39">
            <v>18</v>
          </cell>
          <cell r="FG39">
            <v>50259</v>
          </cell>
          <cell r="FH39">
            <v>37</v>
          </cell>
        </row>
        <row r="40">
          <cell r="B40">
            <v>0.92</v>
          </cell>
          <cell r="E40">
            <v>225226</v>
          </cell>
          <cell r="F40">
            <v>676</v>
          </cell>
          <cell r="G40">
            <v>761</v>
          </cell>
          <cell r="H40">
            <v>251689</v>
          </cell>
          <cell r="I40">
            <v>547</v>
          </cell>
          <cell r="J40">
            <v>476.47000000000116</v>
          </cell>
          <cell r="K40">
            <v>10233</v>
          </cell>
          <cell r="L40">
            <v>69</v>
          </cell>
          <cell r="N40">
            <v>924513</v>
          </cell>
          <cell r="O40">
            <v>50</v>
          </cell>
          <cell r="Q40">
            <v>245382</v>
          </cell>
          <cell r="R40">
            <v>0</v>
          </cell>
          <cell r="U40">
            <v>118193</v>
          </cell>
          <cell r="V40">
            <v>86</v>
          </cell>
          <cell r="W40">
            <v>85.430000000000291</v>
          </cell>
          <cell r="X40">
            <v>6524</v>
          </cell>
          <cell r="Y40">
            <v>13</v>
          </cell>
          <cell r="AE40">
            <v>8204545.4400000004</v>
          </cell>
          <cell r="AF40">
            <v>3020.640000000596</v>
          </cell>
          <cell r="AH40">
            <v>15578561.039999999</v>
          </cell>
          <cell r="AI40">
            <v>4482.2400000002235</v>
          </cell>
          <cell r="AK40">
            <v>15837020.640000001</v>
          </cell>
          <cell r="AL40">
            <v>8136.2400000002235</v>
          </cell>
          <cell r="AN40">
            <v>18967085.760000002</v>
          </cell>
          <cell r="AO40">
            <v>389.76000000163913</v>
          </cell>
          <cell r="AQ40">
            <v>19227689.039999999</v>
          </cell>
          <cell r="AR40">
            <v>97.440000001341105</v>
          </cell>
          <cell r="AT40">
            <v>17693496.239999998</v>
          </cell>
          <cell r="AU40">
            <v>5700.2399999983609</v>
          </cell>
          <cell r="AW40">
            <v>14884008.719999999</v>
          </cell>
          <cell r="AX40">
            <v>4189.9199999999255</v>
          </cell>
          <cell r="AZ40">
            <v>14414542.799999999</v>
          </cell>
          <cell r="BA40">
            <v>4823.2799999993294</v>
          </cell>
          <cell r="BC40">
            <v>11250130.08</v>
          </cell>
          <cell r="BD40">
            <v>3069.3600000012666</v>
          </cell>
          <cell r="BF40">
            <v>17832591.84</v>
          </cell>
          <cell r="BG40">
            <v>6041.2799999974668</v>
          </cell>
          <cell r="BM40">
            <v>78229800</v>
          </cell>
          <cell r="BN40">
            <v>41800</v>
          </cell>
          <cell r="BP40">
            <v>81187800</v>
          </cell>
          <cell r="BQ40">
            <v>2300</v>
          </cell>
          <cell r="BS40">
            <v>75092800</v>
          </cell>
          <cell r="BT40">
            <v>0</v>
          </cell>
          <cell r="BV40">
            <v>10384850</v>
          </cell>
          <cell r="BW40">
            <v>7590</v>
          </cell>
          <cell r="BY40">
            <v>0.6</v>
          </cell>
          <cell r="BZ40">
            <v>8.9999999999999969E-2</v>
          </cell>
          <cell r="CB40">
            <v>64774</v>
          </cell>
          <cell r="CC40">
            <v>17</v>
          </cell>
          <cell r="CD40">
            <v>55850</v>
          </cell>
          <cell r="CE40">
            <v>18</v>
          </cell>
          <cell r="CF40">
            <v>18895</v>
          </cell>
          <cell r="CG40">
            <v>7</v>
          </cell>
          <cell r="CH40">
            <v>25836</v>
          </cell>
          <cell r="CI40">
            <v>12</v>
          </cell>
          <cell r="CJ40">
            <v>28807</v>
          </cell>
          <cell r="CK40">
            <v>14</v>
          </cell>
          <cell r="CL40">
            <v>63265</v>
          </cell>
          <cell r="CM40">
            <v>38</v>
          </cell>
          <cell r="CN40">
            <v>269697</v>
          </cell>
          <cell r="CO40">
            <v>75</v>
          </cell>
          <cell r="CQ40">
            <v>217553</v>
          </cell>
          <cell r="CR40">
            <v>130</v>
          </cell>
          <cell r="CT40">
            <v>360873</v>
          </cell>
          <cell r="CU40">
            <v>260</v>
          </cell>
          <cell r="CW40">
            <v>698665</v>
          </cell>
          <cell r="CX40">
            <v>178</v>
          </cell>
          <cell r="CZ40">
            <v>9063</v>
          </cell>
          <cell r="DA40">
            <v>13</v>
          </cell>
          <cell r="DB40">
            <v>6152</v>
          </cell>
          <cell r="DC40">
            <v>11</v>
          </cell>
          <cell r="DD40">
            <v>32506</v>
          </cell>
          <cell r="DE40">
            <v>24</v>
          </cell>
          <cell r="DF40">
            <v>32683</v>
          </cell>
          <cell r="DG40">
            <v>17</v>
          </cell>
          <cell r="DH40">
            <v>22093</v>
          </cell>
          <cell r="DI40">
            <v>13</v>
          </cell>
          <cell r="DJ40">
            <v>24185</v>
          </cell>
          <cell r="DK40">
            <v>6</v>
          </cell>
          <cell r="DL40">
            <v>7343</v>
          </cell>
          <cell r="DM40">
            <v>16</v>
          </cell>
          <cell r="DN40">
            <v>9948</v>
          </cell>
          <cell r="DO40">
            <v>8</v>
          </cell>
          <cell r="DP40">
            <v>3360</v>
          </cell>
          <cell r="DQ40">
            <v>6</v>
          </cell>
          <cell r="DR40">
            <v>6638</v>
          </cell>
          <cell r="DS40">
            <v>10</v>
          </cell>
          <cell r="DT40">
            <v>30380</v>
          </cell>
          <cell r="DU40">
            <v>0</v>
          </cell>
          <cell r="DW40">
            <v>6580.2</v>
          </cell>
          <cell r="DX40">
            <v>11.899999999999636</v>
          </cell>
          <cell r="DY40">
            <v>11466.6</v>
          </cell>
          <cell r="DZ40">
            <v>8.5</v>
          </cell>
          <cell r="EA40">
            <v>4951.1000000000004</v>
          </cell>
          <cell r="EB40">
            <v>7.1000000000003638</v>
          </cell>
          <cell r="EC40">
            <v>5530.6</v>
          </cell>
          <cell r="ED40">
            <v>8.4000000000005457</v>
          </cell>
          <cell r="EE40">
            <v>1139808</v>
          </cell>
          <cell r="EF40">
            <v>604</v>
          </cell>
          <cell r="EI40">
            <v>234781.9</v>
          </cell>
          <cell r="EJ40">
            <v>136.89999999999418</v>
          </cell>
          <cell r="EL40">
            <v>12217800</v>
          </cell>
          <cell r="EM40">
            <v>3800</v>
          </cell>
          <cell r="EN40">
            <v>939210</v>
          </cell>
          <cell r="EO40">
            <v>270</v>
          </cell>
          <cell r="EP40">
            <v>7261800</v>
          </cell>
          <cell r="EQ40">
            <v>2000</v>
          </cell>
          <cell r="ER40">
            <v>2504400</v>
          </cell>
          <cell r="ES40">
            <v>200</v>
          </cell>
          <cell r="ET40">
            <v>1291970</v>
          </cell>
          <cell r="EU40">
            <v>640</v>
          </cell>
          <cell r="EV40">
            <v>16681600</v>
          </cell>
          <cell r="EW40">
            <v>2900</v>
          </cell>
          <cell r="EY40">
            <v>42480</v>
          </cell>
          <cell r="EZ40">
            <v>18</v>
          </cell>
          <cell r="FA40">
            <v>37086</v>
          </cell>
          <cell r="FB40">
            <v>16</v>
          </cell>
          <cell r="FC40">
            <v>7748</v>
          </cell>
          <cell r="FD40">
            <v>11</v>
          </cell>
          <cell r="FE40">
            <v>59602</v>
          </cell>
          <cell r="FF40">
            <v>18</v>
          </cell>
          <cell r="FG40">
            <v>50302</v>
          </cell>
          <cell r="FH40">
            <v>43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4" sqref="H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SUM(Submetering!Z2:AB2,Submetering!AD2:AI2)</f>
        <v>852.39</v>
      </c>
      <c r="H2" s="217">
        <f>1.72/0.52</f>
        <v>3.3076923076923075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17">
        <f>Submetering!E2</f>
        <v>94.800000000000011</v>
      </c>
      <c r="N2">
        <f>Submetering!F2</f>
        <v>182</v>
      </c>
    </row>
    <row r="3" spans="1:14" x14ac:dyDescent="0.25">
      <c r="A3" t="s">
        <v>14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SUM(Submetering!Z3:AB3,Submetering!AD3:AI3)</f>
        <v>810.81</v>
      </c>
      <c r="H3" s="217">
        <f t="shared" ref="H3:H32" si="0">1.72/0.52</f>
        <v>3.3076923076923075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17">
        <f>Submetering!E3</f>
        <v>78.210000000000008</v>
      </c>
      <c r="N3">
        <f>Submetering!F3</f>
        <v>154</v>
      </c>
    </row>
    <row r="4" spans="1:14" x14ac:dyDescent="0.25">
      <c r="A4" t="s">
        <v>14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SUM(Submetering!Z4:AB4,Submetering!AD4:AI4)</f>
        <v>803.24999999999989</v>
      </c>
      <c r="H4" s="217">
        <f t="shared" si="0"/>
        <v>3.3076923076923075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17">
        <f>Submetering!E4</f>
        <v>85.32</v>
      </c>
      <c r="N4">
        <f>Submetering!F4</f>
        <v>162</v>
      </c>
    </row>
    <row r="5" spans="1:14" x14ac:dyDescent="0.25">
      <c r="A5" t="s">
        <v>14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SUM(Submetering!Z5:AB5,Submetering!AD5:AI5)</f>
        <v>861.83999999999992</v>
      </c>
      <c r="H5" s="217">
        <f t="shared" si="0"/>
        <v>3.3076923076923075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17">
        <f>Submetering!E5</f>
        <v>82.949999999999989</v>
      </c>
      <c r="N5">
        <f>Submetering!F5</f>
        <v>146</v>
      </c>
    </row>
    <row r="6" spans="1:14" x14ac:dyDescent="0.25">
      <c r="A6" t="s">
        <v>14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SUM(Submetering!Z6:AB6,Submetering!AD6:AI6)</f>
        <v>827.81999999999994</v>
      </c>
      <c r="H6" s="217">
        <f t="shared" si="0"/>
        <v>3.3076923076923075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17">
        <f>Submetering!E6</f>
        <v>97.169999999999987</v>
      </c>
      <c r="N6">
        <f>Submetering!F6</f>
        <v>166</v>
      </c>
    </row>
    <row r="7" spans="1:14" x14ac:dyDescent="0.25">
      <c r="A7" t="s">
        <v>14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SUM(Submetering!Z7:AB7,Submetering!AD7:AI7)</f>
        <v>820.25999999999988</v>
      </c>
      <c r="H7" s="217">
        <f t="shared" si="0"/>
        <v>3.3076923076923075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17">
        <f>Submetering!E7</f>
        <v>111.39</v>
      </c>
      <c r="N7">
        <f>Submetering!F7</f>
        <v>177</v>
      </c>
    </row>
    <row r="8" spans="1:14" x14ac:dyDescent="0.25">
      <c r="A8" t="s">
        <v>14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SUM(Submetering!Z8:AB8,Submetering!AD8:AI8)</f>
        <v>869.4</v>
      </c>
      <c r="H8" s="217">
        <f t="shared" si="0"/>
        <v>3.3076923076923075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17">
        <f>Submetering!E8</f>
        <v>130.35000000000002</v>
      </c>
      <c r="N8">
        <f>Submetering!F8</f>
        <v>202</v>
      </c>
    </row>
    <row r="9" spans="1:14" x14ac:dyDescent="0.25">
      <c r="A9" t="s">
        <v>14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SUM(Submetering!Z9:AB9,Submetering!AD9:AI9)</f>
        <v>924.21</v>
      </c>
      <c r="H9" s="217">
        <f t="shared" si="0"/>
        <v>3.3076923076923075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17">
        <f>Submetering!E9</f>
        <v>144.57</v>
      </c>
      <c r="N9">
        <f>Submetering!F9</f>
        <v>227</v>
      </c>
    </row>
    <row r="10" spans="1:14" x14ac:dyDescent="0.25">
      <c r="A10" t="s">
        <v>14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SUM(Submetering!Z10:AB10,Submetering!AD10:AI10)</f>
        <v>888.29999999999984</v>
      </c>
      <c r="H10" s="217">
        <f t="shared" si="0"/>
        <v>3.3076923076923075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17">
        <f>Submetering!E10</f>
        <v>151.68</v>
      </c>
      <c r="N10">
        <f>Submetering!F10</f>
        <v>240</v>
      </c>
    </row>
    <row r="11" spans="1:14" x14ac:dyDescent="0.25">
      <c r="A11" t="s">
        <v>14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SUM(Submetering!Z11:AB11,Submetering!AD11:AI11)</f>
        <v>990.3599999999999</v>
      </c>
      <c r="H11" s="217">
        <f t="shared" si="0"/>
        <v>3.3076923076923075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17">
        <f>Submetering!E11</f>
        <v>151.68</v>
      </c>
      <c r="N11">
        <f>Submetering!F11</f>
        <v>256</v>
      </c>
    </row>
    <row r="12" spans="1:14" x14ac:dyDescent="0.25">
      <c r="A12" t="s">
        <v>14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SUM(Submetering!Z12:AB12,Submetering!AD12:AI12)</f>
        <v>1031.9399999999998</v>
      </c>
      <c r="H12" s="217">
        <f t="shared" si="0"/>
        <v>3.3076923076923075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17">
        <f>Submetering!E12</f>
        <v>144.57</v>
      </c>
      <c r="N12">
        <f>Submetering!F12</f>
        <v>226</v>
      </c>
    </row>
    <row r="13" spans="1:14" x14ac:dyDescent="0.25">
      <c r="A13" t="s">
        <v>14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SUM(Submetering!Z13:AB13,Submetering!AD13:AI13)</f>
        <v>1030.05</v>
      </c>
      <c r="H13" s="217">
        <f t="shared" si="0"/>
        <v>3.3076923076923075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17">
        <f>Submetering!E13</f>
        <v>135.08999999999997</v>
      </c>
      <c r="N13">
        <f>Submetering!F13</f>
        <v>232</v>
      </c>
    </row>
    <row r="14" spans="1:14" x14ac:dyDescent="0.25">
      <c r="A14" t="s">
        <v>14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SUM(Submetering!Z14:AB14,Submetering!AD14:AI14)</f>
        <v>1045.1699999999998</v>
      </c>
      <c r="H14" s="217">
        <f t="shared" si="0"/>
        <v>3.3076923076923075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17">
        <f>Submetering!E14</f>
        <v>106.65</v>
      </c>
      <c r="N14">
        <f>Submetering!F14</f>
        <v>193</v>
      </c>
    </row>
    <row r="15" spans="1:14" x14ac:dyDescent="0.25">
      <c r="A15" t="s">
        <v>14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SUM(Submetering!Z15:AB15,Submetering!AD15:AI15)</f>
        <v>1069.74</v>
      </c>
      <c r="H15" s="217">
        <f t="shared" si="0"/>
        <v>3.3076923076923075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17">
        <f>Submetering!E15</f>
        <v>116.13</v>
      </c>
      <c r="N15">
        <f>Submetering!F15</f>
        <v>216</v>
      </c>
    </row>
    <row r="16" spans="1:14" x14ac:dyDescent="0.25">
      <c r="A16" t="s">
        <v>14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SUM(Submetering!Z16:AB16,Submetering!AD16:AI16)</f>
        <v>807.03000000000009</v>
      </c>
      <c r="H16" s="217">
        <f t="shared" si="0"/>
        <v>3.3076923076923075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17">
        <f>Submetering!E16</f>
        <v>161.16000000000003</v>
      </c>
      <c r="N16">
        <f>Submetering!F16</f>
        <v>276</v>
      </c>
    </row>
    <row r="17" spans="1:14" x14ac:dyDescent="0.25">
      <c r="A17" t="s">
        <v>14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SUM(Submetering!Z17:AB17,Submetering!AD17:AI17)</f>
        <v>952.56000000000006</v>
      </c>
      <c r="H17" s="217">
        <f t="shared" si="0"/>
        <v>3.3076923076923075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17">
        <f>Submetering!E17</f>
        <v>175.38</v>
      </c>
      <c r="N17">
        <f>Submetering!F17</f>
        <v>420</v>
      </c>
    </row>
    <row r="18" spans="1:14" x14ac:dyDescent="0.25">
      <c r="A18" t="s">
        <v>14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SUM(Submetering!Z18:AB18,Submetering!AD18:AI18)</f>
        <v>1033.8300000000002</v>
      </c>
      <c r="H18" s="217">
        <f t="shared" si="0"/>
        <v>3.3076923076923075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17">
        <f>Submetering!E18</f>
        <v>158.79000000000002</v>
      </c>
      <c r="N18">
        <f>Submetering!F18</f>
        <v>301</v>
      </c>
    </row>
    <row r="19" spans="1:14" x14ac:dyDescent="0.25">
      <c r="A19" t="s">
        <v>14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SUM(Submetering!Z19:AB19,Submetering!AD19:AI19)</f>
        <v>886.40999999999985</v>
      </c>
      <c r="H19" s="217">
        <f t="shared" si="0"/>
        <v>3.3076923076923075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17">
        <f>Submetering!E19</f>
        <v>135.08999999999997</v>
      </c>
      <c r="N19">
        <f>Submetering!F19</f>
        <v>260</v>
      </c>
    </row>
    <row r="20" spans="1:14" x14ac:dyDescent="0.25">
      <c r="A20" t="s">
        <v>14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SUM(Submetering!Z20:AB20,Submetering!AD20:AI20)</f>
        <v>975.24</v>
      </c>
      <c r="H20" s="217">
        <f t="shared" si="0"/>
        <v>3.3076923076923075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17">
        <f>Submetering!E20</f>
        <v>158.79000000000002</v>
      </c>
      <c r="N20">
        <f>Submetering!F20</f>
        <v>302</v>
      </c>
    </row>
    <row r="21" spans="1:14" x14ac:dyDescent="0.25">
      <c r="A21" t="s">
        <v>14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SUM(Submetering!Z21:AB21,Submetering!AD21:AI21)</f>
        <v>1047.0599999999997</v>
      </c>
      <c r="H21" s="217">
        <f t="shared" si="0"/>
        <v>3.3076923076923075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17">
        <f>Submetering!E21</f>
        <v>170.64</v>
      </c>
      <c r="N21">
        <f>Submetering!F21</f>
        <v>340</v>
      </c>
    </row>
    <row r="22" spans="1:14" x14ac:dyDescent="0.25">
      <c r="A22" t="s">
        <v>14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SUM(Submetering!Z22:AB22,Submetering!AD22:AI22)</f>
        <v>1073.52</v>
      </c>
      <c r="H22" s="217">
        <f t="shared" si="0"/>
        <v>3.3076923076923075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17">
        <f>Submetering!E22</f>
        <v>170.64</v>
      </c>
      <c r="N22">
        <f>Submetering!F22</f>
        <v>364</v>
      </c>
    </row>
    <row r="23" spans="1:14" x14ac:dyDescent="0.25">
      <c r="A23" t="s">
        <v>14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SUM(Submetering!Z23:AB23,Submetering!AD23:AI23)</f>
        <v>994.14</v>
      </c>
      <c r="H23" s="217">
        <f t="shared" si="0"/>
        <v>3.3076923076923075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17">
        <f>Submetering!E23</f>
        <v>187.23000000000002</v>
      </c>
      <c r="N23">
        <f>Submetering!F23</f>
        <v>414</v>
      </c>
    </row>
    <row r="24" spans="1:14" x14ac:dyDescent="0.25">
      <c r="A24" t="s">
        <v>14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SUM(Submetering!Z24:AB24,Submetering!AD24:AI24)</f>
        <v>996.02999999999986</v>
      </c>
      <c r="H24" s="217">
        <f t="shared" si="0"/>
        <v>3.3076923076923075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17">
        <f>Submetering!E24</f>
        <v>173.01</v>
      </c>
      <c r="N24">
        <f>Submetering!F24</f>
        <v>394</v>
      </c>
    </row>
    <row r="25" spans="1:14" x14ac:dyDescent="0.25">
      <c r="A25" t="s">
        <v>14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39755.51999999024</v>
      </c>
      <c r="F25">
        <v>0.44447999999999999</v>
      </c>
      <c r="G25" s="3">
        <f>SUM(Submetering!Z25:AB25,Submetering!AD25:AI25)</f>
        <v>984.68999999999983</v>
      </c>
      <c r="H25" s="217">
        <f t="shared" si="0"/>
        <v>3.3076923076923075</v>
      </c>
      <c r="I25" s="3">
        <f>Submetering!G25</f>
        <v>717</v>
      </c>
      <c r="J25">
        <v>13.83</v>
      </c>
      <c r="K25" s="3">
        <f>Submetering!BL25</f>
        <v>178</v>
      </c>
      <c r="L25">
        <v>1.2</v>
      </c>
      <c r="M25" s="217">
        <f>Submetering!E25</f>
        <v>173.01</v>
      </c>
      <c r="N25">
        <f>Submetering!F25</f>
        <v>388</v>
      </c>
    </row>
    <row r="26" spans="1:14" x14ac:dyDescent="0.25">
      <c r="A26" t="s">
        <v>14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39170.880000003614</v>
      </c>
      <c r="F26">
        <v>0.44447999999999999</v>
      </c>
      <c r="G26" s="3">
        <f>SUM(Submetering!Z26:AB26,Submetering!AD26:AI26)</f>
        <v>1043.28</v>
      </c>
      <c r="H26" s="217">
        <f t="shared" si="0"/>
        <v>3.3076923076923075</v>
      </c>
      <c r="I26" s="3">
        <f>Submetering!G26</f>
        <v>725</v>
      </c>
      <c r="J26">
        <v>13.83</v>
      </c>
      <c r="K26" s="3">
        <f>Submetering!BL26</f>
        <v>190</v>
      </c>
      <c r="L26">
        <v>1.2</v>
      </c>
      <c r="M26" s="217">
        <f>Submetering!E26</f>
        <v>165.89999999999998</v>
      </c>
      <c r="N26">
        <f>Submetering!F26</f>
        <v>372</v>
      </c>
    </row>
    <row r="27" spans="1:14" x14ac:dyDescent="0.25">
      <c r="A27" t="s">
        <v>14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36783.600000003353</v>
      </c>
      <c r="F27">
        <v>0.44447999999999999</v>
      </c>
      <c r="G27" s="3">
        <f>SUM(Submetering!Z27:AB27,Submetering!AD27:AI27)</f>
        <v>1058.3999999999999</v>
      </c>
      <c r="H27" s="217">
        <f t="shared" si="0"/>
        <v>3.3076923076923075</v>
      </c>
      <c r="I27" s="3">
        <f>Submetering!G27</f>
        <v>554</v>
      </c>
      <c r="J27">
        <v>13.83</v>
      </c>
      <c r="K27" s="3">
        <f>Submetering!BL27</f>
        <v>216</v>
      </c>
      <c r="L27">
        <v>1.2</v>
      </c>
      <c r="M27" s="217">
        <f>Submetering!E27</f>
        <v>173.01</v>
      </c>
      <c r="N27">
        <f>Submetering!F27</f>
        <v>418</v>
      </c>
    </row>
    <row r="28" spans="1:14" x14ac:dyDescent="0.25">
      <c r="A28" t="s">
        <v>14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37075.919999998994</v>
      </c>
      <c r="F28">
        <v>0.44447999999999999</v>
      </c>
      <c r="G28" s="3">
        <f>SUM(Submetering!Z28:AB28,Submetering!AD28:AI28)</f>
        <v>965.79</v>
      </c>
      <c r="H28" s="217">
        <f t="shared" si="0"/>
        <v>3.3076923076923075</v>
      </c>
      <c r="I28" s="3">
        <f>Submetering!G28</f>
        <v>554</v>
      </c>
      <c r="J28">
        <v>13.83</v>
      </c>
      <c r="K28" s="3">
        <f>Submetering!BL28</f>
        <v>179</v>
      </c>
      <c r="L28">
        <v>1.2</v>
      </c>
      <c r="M28" s="217">
        <f>Submetering!E29</f>
        <v>196.70999999999998</v>
      </c>
      <c r="N28">
        <f>Submetering!F28</f>
        <v>433</v>
      </c>
    </row>
    <row r="29" spans="1:14" x14ac:dyDescent="0.25">
      <c r="A29" t="s">
        <v>14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38440.079999996349</v>
      </c>
      <c r="F29">
        <v>0.44447999999999999</v>
      </c>
      <c r="G29" s="3">
        <f>SUM(Submetering!Z29:AB29,Submetering!AD29:AI29)</f>
        <v>1128.33</v>
      </c>
      <c r="H29" s="217">
        <f t="shared" si="0"/>
        <v>3.3076923076923075</v>
      </c>
      <c r="I29" s="3">
        <f>Submetering!G29</f>
        <v>659</v>
      </c>
      <c r="J29">
        <v>13.83</v>
      </c>
      <c r="K29" s="3">
        <f>Submetering!BL29</f>
        <v>1</v>
      </c>
      <c r="L29">
        <v>1.2</v>
      </c>
      <c r="M29" s="217">
        <f>Submetering!E30</f>
        <v>199.07999999999998</v>
      </c>
      <c r="N29">
        <f>Submetering!F29</f>
        <v>466</v>
      </c>
    </row>
    <row r="30" spans="1:14" x14ac:dyDescent="0.25">
      <c r="A30" t="s">
        <v>14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39219.600000006147</v>
      </c>
      <c r="F30">
        <v>0.44447999999999999</v>
      </c>
      <c r="G30" s="3">
        <f>SUM(Submetering!Z30:AB30,Submetering!AD30:AI30)</f>
        <v>1062.1799999999998</v>
      </c>
      <c r="H30" s="217">
        <f t="shared" si="0"/>
        <v>3.3076923076923075</v>
      </c>
      <c r="I30" s="3">
        <f>Submetering!G30</f>
        <v>660</v>
      </c>
      <c r="J30">
        <v>13.83</v>
      </c>
      <c r="K30" s="3">
        <f>Submetering!BL30</f>
        <v>0</v>
      </c>
      <c r="L30">
        <v>1.2</v>
      </c>
      <c r="M30" s="217">
        <f>Submetering!E30</f>
        <v>199.07999999999998</v>
      </c>
      <c r="N30">
        <f>Submetering!F30</f>
        <v>463</v>
      </c>
    </row>
    <row r="31" spans="1:14" x14ac:dyDescent="0.25">
      <c r="A31" t="s">
        <v>14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38440.079999998212</v>
      </c>
      <c r="F31">
        <v>0.44447999999999999</v>
      </c>
      <c r="G31" s="3">
        <f>SUM(Submetering!Z31:AB31,Submetering!AD31:AI31)</f>
        <v>1037.6100000000001</v>
      </c>
      <c r="H31" s="217">
        <f t="shared" si="0"/>
        <v>3.3076923076923075</v>
      </c>
      <c r="I31" s="3">
        <f>Submetering!G31</f>
        <v>685</v>
      </c>
      <c r="J31">
        <v>13.83</v>
      </c>
      <c r="K31" s="3">
        <f>Submetering!BL31</f>
        <v>126</v>
      </c>
      <c r="L31">
        <v>1.2</v>
      </c>
      <c r="M31" s="217">
        <f>Submetering!E31</f>
        <v>208.56</v>
      </c>
      <c r="N31">
        <f>Submetering!F31</f>
        <v>464</v>
      </c>
    </row>
    <row r="32" spans="1:14" x14ac:dyDescent="0.25">
      <c r="A32" t="s">
        <v>14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39950.400000000373</v>
      </c>
      <c r="F32">
        <v>0.44447999999999999</v>
      </c>
      <c r="G32" s="3">
        <f>SUM(Submetering!Z32:AB32,Submetering!AD32:AI32)</f>
        <v>1079.1899999999998</v>
      </c>
      <c r="H32" s="217">
        <f t="shared" si="0"/>
        <v>3.3076923076923075</v>
      </c>
      <c r="I32" s="3">
        <f>Submetering!G32</f>
        <v>676</v>
      </c>
      <c r="J32">
        <v>13.83</v>
      </c>
      <c r="K32" s="3">
        <f>Submetering!BL32</f>
        <v>69</v>
      </c>
      <c r="L32">
        <v>1.2</v>
      </c>
      <c r="M32" s="217">
        <f>Submetering!E32</f>
        <v>218.04000000000002</v>
      </c>
      <c r="N32">
        <f>Submetering!F32</f>
        <v>465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X2" activePane="bottomRight" state="frozen"/>
      <selection pane="topRight" activeCell="C1" sqref="C1"/>
      <selection pane="bottomLeft" activeCell="A2" sqref="A2"/>
      <selection pane="bottomRight" activeCell="BM22" sqref="BM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12</v>
      </c>
      <c r="D2">
        <v>2022</v>
      </c>
      <c r="E2" s="74">
        <f>237*0.4</f>
        <v>94.800000000000011</v>
      </c>
      <c r="F2" s="75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0">
        <f>('DJB Daily Readings'!BY10-'DJB Daily Readings'!BY9)*1.89</f>
        <v>39.69</v>
      </c>
      <c r="AE2" s="80">
        <f>('DJB Daily Readings'!CA10-'DJB Daily Readings'!CA9)*1.89</f>
        <v>37.799999999999997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34.019999999999996</v>
      </c>
      <c r="AI2" s="80">
        <f>('DJB Daily Readings'!CI10-'DJB Daily Readings'!CI9)*1.89</f>
        <v>64.259999999999991</v>
      </c>
      <c r="AJ2" s="77">
        <f>'DJB Daily Readings'!CY10-'DJB Daily Readings'!CY9</f>
        <v>5</v>
      </c>
      <c r="AK2" s="77">
        <f>'DJB Daily Readings'!CW10-'DJB Daily Readings'!CW9</f>
        <v>8</v>
      </c>
      <c r="AL2" s="78">
        <f>'DJB Daily Readings'!DC10-'DJB Daily Readings'!DC9</f>
        <v>15</v>
      </c>
      <c r="AM2" s="78">
        <f>'DJB Daily Readings'!DA10-'DJB Daily Readings'!DA9</f>
        <v>16</v>
      </c>
      <c r="AN2" s="78">
        <f>'DJB Daily Readings'!DG10-'DJB Daily Readings'!DG9</f>
        <v>6</v>
      </c>
      <c r="AO2" s="78">
        <f>'DJB Daily Readings'!DE10-'DJB Daily Readings'!DE9</f>
        <v>10</v>
      </c>
      <c r="AP2" s="78">
        <f>'DJB Daily Readings'!DK10-'DJB Daily Readings'!DK9</f>
        <v>8</v>
      </c>
      <c r="AQ2" s="78">
        <f>'DJB Daily Readings'!DI10-'DJB Daily Readings'!DI9</f>
        <v>9</v>
      </c>
      <c r="AR2" s="78">
        <f>'DJB Daily Readings'!DO10-'DJB Daily Readings'!DO9</f>
        <v>9</v>
      </c>
      <c r="AS2" s="78">
        <f>'DJB Daily Readings'!DM10-'DJB Daily Readings'!DM9</f>
        <v>4</v>
      </c>
      <c r="AT2" s="78">
        <f>'DJB Daily Readings'!DQ10-'DJB Daily Readings'!DQ9</f>
        <v>10</v>
      </c>
      <c r="AU2" s="78">
        <f>'DJB Daily Readings'!DT10-'DJB Daily Readings'!DT9</f>
        <v>12</v>
      </c>
      <c r="AW2" s="78">
        <f>'DJB Daily Readings'!DX10-'DJB Daily Readings'!DX9</f>
        <v>6.8000000000001819</v>
      </c>
      <c r="AX2" s="78">
        <f>'DJB Daily Readings'!DZ10-'DJB Daily Readings'!DZ9</f>
        <v>6.8000000000001819</v>
      </c>
      <c r="AY2" s="78">
        <f>'DJB Daily Readings'!EB10-'DJB Daily Readings'!EB9</f>
        <v>608</v>
      </c>
      <c r="AZ2" s="78">
        <f>'DJB Daily Readings'!ED10-'DJB Daily Readings'!ED9</f>
        <v>154.89999999999418</v>
      </c>
      <c r="BA2" s="78">
        <f>'DJB Daily Readings'!EG10-'DJB Daily Readings'!EG9</f>
        <v>4400</v>
      </c>
      <c r="BB2" s="78">
        <f>'DJB Daily Readings'!EI10-'DJB Daily Readings'!EI9</f>
        <v>340</v>
      </c>
      <c r="BC2" s="78">
        <f>'DJB Daily Readings'!EQ10-'DJB Daily Readings'!EQ9</f>
        <v>5600</v>
      </c>
      <c r="BD2" s="78">
        <f>'DJB Daily Readings'!EK10-'DJB Daily Readings'!EK9</f>
        <v>2000</v>
      </c>
      <c r="BE2" s="78">
        <f>'DJB Daily Readings'!EM10-'DJB Daily Readings'!EM9</f>
        <v>400</v>
      </c>
      <c r="BF2" s="78">
        <f>'DJB Daily Readings'!EO10-'DJB Daily Readings'!EO9</f>
        <v>700</v>
      </c>
      <c r="BG2" s="78">
        <f>('DJB Daily Readings'!ET10-'DJB Daily Readings'!ET9)*1.89</f>
        <v>30.24</v>
      </c>
      <c r="BH2" s="78">
        <f>('DJB Daily Readings'!EV10-'DJB Daily Readings'!EV9)*1.89</f>
        <v>24.57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68.039999999999992</v>
      </c>
      <c r="BL2" s="78">
        <f>'DJB Daily Readings'!J9</f>
        <v>164</v>
      </c>
    </row>
    <row r="3" spans="1:65" x14ac:dyDescent="0.25">
      <c r="A3" t="s">
        <v>14</v>
      </c>
      <c r="B3">
        <f>B2+1</f>
        <v>2</v>
      </c>
      <c r="C3">
        <v>12</v>
      </c>
      <c r="D3">
        <v>2022</v>
      </c>
      <c r="E3" s="74">
        <f>237*0.33</f>
        <v>78.210000000000008</v>
      </c>
      <c r="F3" s="75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0">
        <f>('DJB Daily Readings'!BY11-'DJB Daily Readings'!BY10)*1.89</f>
        <v>35.909999999999997</v>
      </c>
      <c r="AE3" s="80">
        <f>('DJB Daily Readings'!CA11-'DJB Daily Readings'!CA10)*1.89</f>
        <v>35.909999999999997</v>
      </c>
      <c r="AF3" s="80">
        <f>('DJB Daily Readings'!CC11-'DJB Daily Readings'!CC10)*1.89</f>
        <v>11.34</v>
      </c>
      <c r="AG3" s="80">
        <f>('DJB Daily Readings'!CE11-'DJB Daily Readings'!CE10)*1.89</f>
        <v>18.899999999999999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60.48</v>
      </c>
      <c r="AJ3" s="77">
        <f>'DJB Daily Readings'!CY11-'DJB Daily Readings'!CY10</f>
        <v>5</v>
      </c>
      <c r="AK3" s="77">
        <f>'DJB Daily Readings'!CW11-'DJB Daily Readings'!CW10</f>
        <v>8</v>
      </c>
      <c r="AL3" s="78">
        <f>'DJB Daily Readings'!DC11-'DJB Daily Readings'!DC10</f>
        <v>12</v>
      </c>
      <c r="AM3" s="78">
        <f>'DJB Daily Readings'!DA11-'DJB Daily Readings'!DA10</f>
        <v>15</v>
      </c>
      <c r="AN3" s="78">
        <f>'DJB Daily Readings'!DG11-'DJB Daily Readings'!DG10</f>
        <v>4</v>
      </c>
      <c r="AO3" s="78">
        <f>'DJB Daily Readings'!DE11-'DJB Daily Readings'!DE10</f>
        <v>10</v>
      </c>
      <c r="AP3" s="78">
        <f>'DJB Daily Readings'!DK11-'DJB Daily Readings'!DK10</f>
        <v>8</v>
      </c>
      <c r="AQ3" s="78">
        <f>'DJB Daily Readings'!DI11-'DJB Daily Readings'!DI10</f>
        <v>9</v>
      </c>
      <c r="AR3" s="78">
        <f>'DJB Daily Readings'!DO11-'DJB Daily Readings'!DO10</f>
        <v>10</v>
      </c>
      <c r="AS3" s="78">
        <f>'DJB Daily Readings'!DM11-'DJB Daily Readings'!DM10</f>
        <v>4</v>
      </c>
      <c r="AT3" s="78">
        <f>'DJB Daily Readings'!DQ11-'DJB Daily Readings'!DQ10</f>
        <v>5</v>
      </c>
      <c r="AU3" s="78">
        <f>'DJB Daily Readings'!DT11-'DJB Daily Readings'!DT10</f>
        <v>10.899999999999636</v>
      </c>
      <c r="AW3" s="78">
        <f>'DJB Daily Readings'!DX11-'DJB Daily Readings'!DX10</f>
        <v>6.5</v>
      </c>
      <c r="AX3" s="78">
        <f>'DJB Daily Readings'!DZ11-'DJB Daily Readings'!DZ10</f>
        <v>6.8999999999996362</v>
      </c>
      <c r="AY3" s="78">
        <f>'DJB Daily Readings'!EB11-'DJB Daily Readings'!EB10</f>
        <v>614</v>
      </c>
      <c r="AZ3" s="78">
        <f>'DJB Daily Readings'!ED11-'DJB Daily Readings'!ED10</f>
        <v>148.30000000001746</v>
      </c>
      <c r="BA3" s="78">
        <f>'DJB Daily Readings'!EG11-'DJB Daily Readings'!EG10</f>
        <v>4300</v>
      </c>
      <c r="BB3" s="78">
        <f>'DJB Daily Readings'!EI11-'DJB Daily Readings'!EI10</f>
        <v>290</v>
      </c>
      <c r="BC3" s="78">
        <f>'DJB Daily Readings'!EQ11-'DJB Daily Readings'!EQ10</f>
        <v>5100</v>
      </c>
      <c r="BD3" s="78">
        <f>'DJB Daily Readings'!EK11-'DJB Daily Readings'!EK10</f>
        <v>2100</v>
      </c>
      <c r="BE3" s="78">
        <f>'DJB Daily Readings'!EM11-'DJB Daily Readings'!EM10</f>
        <v>600</v>
      </c>
      <c r="BF3" s="78">
        <f>'DJB Daily Readings'!EO11-'DJB Daily Readings'!EO10</f>
        <v>750</v>
      </c>
      <c r="BG3" s="78">
        <f>('DJB Daily Readings'!ET11-'DJB Daily Readings'!ET10)*1.89</f>
        <v>30.24</v>
      </c>
      <c r="BH3" s="78">
        <f>('DJB Daily Readings'!EV11-'DJB Daily Readings'!EV10)*1.89</f>
        <v>20.79</v>
      </c>
      <c r="BI3" s="78">
        <f>('DJB Daily Readings'!EZ11-'DJB Daily Readings'!EZ10)*1.89</f>
        <v>34.019999999999996</v>
      </c>
      <c r="BJ3" s="78">
        <f>('DJB Daily Readings'!EX11-'DJB Daily Readings'!EX10)*1.89</f>
        <v>20.79</v>
      </c>
      <c r="BK3" s="78">
        <f>('DJB Daily Readings'!FB11-'DJB Daily Readings'!FB10)*1.89</f>
        <v>66.149999999999991</v>
      </c>
      <c r="BL3" s="78">
        <f>'DJB Daily Readings'!J11</f>
        <v>176</v>
      </c>
    </row>
    <row r="4" spans="1:65" x14ac:dyDescent="0.25">
      <c r="A4" t="s">
        <v>14</v>
      </c>
      <c r="B4">
        <f t="shared" ref="B4:B32" si="0">B3+1</f>
        <v>3</v>
      </c>
      <c r="C4">
        <v>12</v>
      </c>
      <c r="D4">
        <v>2022</v>
      </c>
      <c r="E4" s="74">
        <f>237*0.36</f>
        <v>85.32</v>
      </c>
      <c r="F4" s="75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0">
        <f>('DJB Daily Readings'!BY12-'DJB Daily Readings'!BY11)*1.89</f>
        <v>34.019999999999996</v>
      </c>
      <c r="AE4" s="80">
        <f>('DJB Daily Readings'!CA12-'DJB Daily Readings'!CA11)*1.89</f>
        <v>35.909999999999997</v>
      </c>
      <c r="AF4" s="80">
        <f>('DJB Daily Readings'!CC12-'DJB Daily Readings'!CC11)*1.89</f>
        <v>13.229999999999999</v>
      </c>
      <c r="AG4" s="80">
        <f>('DJB Daily Readings'!CE12-'DJB Daily Readings'!CE11)*1.89</f>
        <v>20.79</v>
      </c>
      <c r="AH4" s="80">
        <f>('DJB Daily Readings'!CG12-'DJB Daily Readings'!CG11)*1.89</f>
        <v>26.459999999999997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7</v>
      </c>
      <c r="AL4" s="78">
        <f>'DJB Daily Readings'!DC12-'DJB Daily Readings'!DC11</f>
        <v>10</v>
      </c>
      <c r="AM4" s="78">
        <f>'DJB Daily Readings'!DA12-'DJB Daily Readings'!DA11</f>
        <v>12</v>
      </c>
      <c r="AN4" s="78">
        <f>'DJB Daily Readings'!DG12-'DJB Daily Readings'!DG11</f>
        <v>6</v>
      </c>
      <c r="AO4" s="78">
        <f>'DJB Daily Readings'!DE12-'DJB Daily Readings'!DE11</f>
        <v>9</v>
      </c>
      <c r="AP4" s="78">
        <f>'DJB Daily Readings'!DK12-'DJB Daily Readings'!DK11</f>
        <v>7</v>
      </c>
      <c r="AQ4" s="78">
        <f>'DJB Daily Readings'!DI12-'DJB Daily Readings'!DI11</f>
        <v>9</v>
      </c>
      <c r="AR4" s="78">
        <f>'DJB Daily Readings'!DO12-'DJB Daily Readings'!DO11</f>
        <v>9</v>
      </c>
      <c r="AS4" s="78">
        <f>'DJB Daily Readings'!DM12-'DJB Daily Readings'!DM11</f>
        <v>3</v>
      </c>
      <c r="AT4" s="78">
        <f>'DJB Daily Readings'!DQ12-'DJB Daily Readings'!DQ11</f>
        <v>6</v>
      </c>
      <c r="AU4" s="78">
        <f>'DJB Daily Readings'!DT12-'DJB Daily Readings'!DT11</f>
        <v>11.900000000000546</v>
      </c>
      <c r="AW4" s="78">
        <f>'DJB Daily Readings'!DX12-'DJB Daily Readings'!DX11</f>
        <v>6.6999999999998181</v>
      </c>
      <c r="AX4" s="78">
        <f>'DJB Daily Readings'!DZ12-'DJB Daily Readings'!DZ11</f>
        <v>8.1000000000003638</v>
      </c>
      <c r="AY4" s="78">
        <f>'DJB Daily Readings'!EB12-'DJB Daily Readings'!EB11</f>
        <v>620</v>
      </c>
      <c r="AZ4" s="78">
        <f>'DJB Daily Readings'!ED12-'DJB Daily Readings'!ED11</f>
        <v>159</v>
      </c>
      <c r="BA4" s="78">
        <f>'DJB Daily Readings'!EG12-'DJB Daily Readings'!EG11</f>
        <v>5600</v>
      </c>
      <c r="BB4" s="78">
        <f>'DJB Daily Readings'!EI12-'DJB Daily Readings'!EI11</f>
        <v>270</v>
      </c>
      <c r="BC4" s="78">
        <f>'DJB Daily Readings'!EQ12-'DJB Daily Readings'!EQ11</f>
        <v>5800</v>
      </c>
      <c r="BD4" s="78">
        <f>'DJB Daily Readings'!EK12-'DJB Daily Readings'!EK11</f>
        <v>2500</v>
      </c>
      <c r="BE4" s="78">
        <f>'DJB Daily Readings'!EM12-'DJB Daily Readings'!EM11</f>
        <v>600</v>
      </c>
      <c r="BF4" s="78">
        <f>'DJB Daily Readings'!EO12-'DJB Daily Readings'!EO11</f>
        <v>800</v>
      </c>
      <c r="BG4" s="78">
        <f>('DJB Daily Readings'!ET12-'DJB Daily Readings'!ET11)*1.89</f>
        <v>32.129999999999995</v>
      </c>
      <c r="BH4" s="78">
        <f>('DJB Daily Readings'!EV12-'DJB Daily Readings'!EV11)*1.89</f>
        <v>26.459999999999997</v>
      </c>
      <c r="BI4" s="78">
        <f>('DJB Daily Readings'!EZ12-'DJB Daily Readings'!EZ11)*1.89</f>
        <v>28.349999999999998</v>
      </c>
      <c r="BJ4" s="78">
        <f>('DJB Daily Readings'!EX12-'DJB Daily Readings'!EX11)*1.89</f>
        <v>18.899999999999999</v>
      </c>
      <c r="BK4" s="78">
        <f>('DJB Daily Readings'!FB12-'DJB Daily Readings'!FB11)*1.89</f>
        <v>62.37</v>
      </c>
      <c r="BL4" s="78">
        <f>'DJB Daily Readings'!J12</f>
        <v>169</v>
      </c>
    </row>
    <row r="5" spans="1:65" x14ac:dyDescent="0.25">
      <c r="A5" t="s">
        <v>14</v>
      </c>
      <c r="B5">
        <f t="shared" si="0"/>
        <v>4</v>
      </c>
      <c r="C5">
        <v>12</v>
      </c>
      <c r="D5">
        <v>2022</v>
      </c>
      <c r="E5" s="74">
        <f>237*0.35</f>
        <v>82.949999999999989</v>
      </c>
      <c r="F5" s="75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9.4499999999999993</v>
      </c>
      <c r="AG5" s="80">
        <f>('DJB Daily Readings'!CE13-'DJB Daily Readings'!CE12)*1.89</f>
        <v>17.009999999999998</v>
      </c>
      <c r="AH5" s="80">
        <f>('DJB Daily Readings'!CG13-'DJB Daily Readings'!CG12)*1.89</f>
        <v>24.57</v>
      </c>
      <c r="AI5" s="80">
        <f>('DJB Daily Readings'!CI13-'DJB Daily Readings'!CI12)*1.89</f>
        <v>69.929999999999993</v>
      </c>
      <c r="AJ5" s="77">
        <f>'DJB Daily Readings'!CY13-'DJB Daily Readings'!CY12</f>
        <v>4</v>
      </c>
      <c r="AK5" s="77">
        <f>'DJB Daily Readings'!CW13-'DJB Daily Readings'!CW12</f>
        <v>8</v>
      </c>
      <c r="AL5" s="78">
        <f>'DJB Daily Readings'!DC13-'DJB Daily Readings'!DC12</f>
        <v>16</v>
      </c>
      <c r="AM5" s="78">
        <f>'DJB Daily Readings'!DA13-'DJB Daily Readings'!DA12</f>
        <v>22</v>
      </c>
      <c r="AN5" s="78">
        <f>'DJB Daily Readings'!DG13-'DJB Daily Readings'!DG12</f>
        <v>9</v>
      </c>
      <c r="AO5" s="78">
        <f>'DJB Daily Readings'!DE13-'DJB Daily Readings'!DE12</f>
        <v>12</v>
      </c>
      <c r="AP5" s="78">
        <f>'DJB Daily Readings'!DK13-'DJB Daily Readings'!DK12</f>
        <v>14</v>
      </c>
      <c r="AQ5" s="78">
        <f>'DJB Daily Readings'!DI13-'DJB Daily Readings'!DI12</f>
        <v>16</v>
      </c>
      <c r="AR5" s="78">
        <f>'DJB Daily Readings'!DO13-'DJB Daily Readings'!DO12</f>
        <v>8</v>
      </c>
      <c r="AS5" s="78">
        <f>'DJB Daily Readings'!DM13-'DJB Daily Readings'!DM12</f>
        <v>5</v>
      </c>
      <c r="AT5" s="78">
        <f>'DJB Daily Readings'!DQ13-'DJB Daily Readings'!DQ12</f>
        <v>5</v>
      </c>
      <c r="AU5" s="78">
        <f>'DJB Daily Readings'!DT13-'DJB Daily Readings'!DT12</f>
        <v>10.599999999999454</v>
      </c>
      <c r="AW5" s="78">
        <f>'DJB Daily Readings'!DX13-'DJB Daily Readings'!DX12</f>
        <v>6.5</v>
      </c>
      <c r="AX5" s="78">
        <f>'DJB Daily Readings'!DZ13-'DJB Daily Readings'!DZ12</f>
        <v>7.3999999999996362</v>
      </c>
      <c r="AY5" s="78">
        <f>'DJB Daily Readings'!EB13-'DJB Daily Readings'!EB12</f>
        <v>550</v>
      </c>
      <c r="AZ5" s="78">
        <f>'DJB Daily Readings'!ED13-'DJB Daily Readings'!ED12</f>
        <v>148.29999999998836</v>
      </c>
      <c r="BA5" s="78">
        <f>'DJB Daily Readings'!EG13-'DJB Daily Readings'!EG12</f>
        <v>4700</v>
      </c>
      <c r="BB5" s="78">
        <f>'DJB Daily Readings'!EI13-'DJB Daily Readings'!EI12</f>
        <v>280</v>
      </c>
      <c r="BC5" s="78">
        <f>'DJB Daily Readings'!EQ13-'DJB Daily Readings'!EQ12</f>
        <v>4700</v>
      </c>
      <c r="BD5" s="78">
        <f>'DJB Daily Readings'!EK13-'DJB Daily Readings'!EK12</f>
        <v>2200</v>
      </c>
      <c r="BE5" s="78">
        <f>'DJB Daily Readings'!EM13-'DJB Daily Readings'!EM12</f>
        <v>600</v>
      </c>
      <c r="BF5" s="78">
        <f>'DJB Daily Readings'!EO13-'DJB Daily Readings'!EO12</f>
        <v>750</v>
      </c>
      <c r="BG5" s="78">
        <f>('DJB Daily Readings'!ET13-'DJB Daily Readings'!ET12)*1.89</f>
        <v>30.24</v>
      </c>
      <c r="BH5" s="78">
        <f>('DJB Daily Readings'!EV13-'DJB Daily Readings'!EV12)*1.89</f>
        <v>20.79</v>
      </c>
      <c r="BI5" s="78">
        <f>('DJB Daily Readings'!EZ13-'DJB Daily Readings'!EZ12)*1.89</f>
        <v>24.57</v>
      </c>
      <c r="BJ5" s="78">
        <f>('DJB Daily Readings'!EX13-'DJB Daily Readings'!EX12)*1.89</f>
        <v>18.899999999999999</v>
      </c>
      <c r="BK5" s="78">
        <f>('DJB Daily Readings'!FB13-'DJB Daily Readings'!FB12)*1.89</f>
        <v>51.029999999999994</v>
      </c>
      <c r="BL5" s="78">
        <f>'DJB Daily Readings'!J13</f>
        <v>162</v>
      </c>
      <c r="BM5" s="78"/>
    </row>
    <row r="6" spans="1:65" x14ac:dyDescent="0.25">
      <c r="A6" t="s">
        <v>14</v>
      </c>
      <c r="B6">
        <f t="shared" si="0"/>
        <v>5</v>
      </c>
      <c r="C6">
        <v>12</v>
      </c>
      <c r="D6">
        <v>2022</v>
      </c>
      <c r="E6" s="74">
        <f>237*0.41</f>
        <v>97.169999999999987</v>
      </c>
      <c r="F6" s="75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0">
        <f>('DJB Daily Readings'!BY14-'DJB Daily Readings'!BY13)*1.89</f>
        <v>34.019999999999996</v>
      </c>
      <c r="AE6" s="80">
        <f>('DJB Daily Readings'!CA14-'DJB Daily Readings'!CA13)*1.89</f>
        <v>35.909999999999997</v>
      </c>
      <c r="AF6" s="80">
        <f>('DJB Daily Readings'!CC14-'DJB Daily Readings'!CC13)*1.89</f>
        <v>13.229999999999999</v>
      </c>
      <c r="AG6" s="80">
        <f>('DJB Daily Readings'!CE14-'DJB Daily Readings'!CE13)*1.89</f>
        <v>20.79</v>
      </c>
      <c r="AH6" s="80">
        <f>('DJB Daily Readings'!CG14-'DJB Daily Readings'!CG13)*1.89</f>
        <v>24.57</v>
      </c>
      <c r="AI6" s="80">
        <f>('DJB Daily Readings'!CI14-'DJB Daily Readings'!CI13)*1.89</f>
        <v>62.37</v>
      </c>
      <c r="AJ6" s="77">
        <f>'DJB Daily Readings'!CY14-'DJB Daily Readings'!CY13</f>
        <v>5</v>
      </c>
      <c r="AK6" s="77">
        <f>'DJB Daily Readings'!CW14-'DJB Daily Readings'!CW13</f>
        <v>5</v>
      </c>
      <c r="AL6" s="78">
        <f>'DJB Daily Readings'!DC14-'DJB Daily Readings'!DC13</f>
        <v>12</v>
      </c>
      <c r="AM6" s="78">
        <f>'DJB Daily Readings'!DA14-'DJB Daily Readings'!DA13</f>
        <v>13</v>
      </c>
      <c r="AN6" s="78">
        <f>'DJB Daily Readings'!DG14-'DJB Daily Readings'!DG13</f>
        <v>6</v>
      </c>
      <c r="AO6" s="78">
        <f>'DJB Daily Readings'!DE14-'DJB Daily Readings'!DE13</f>
        <v>10</v>
      </c>
      <c r="AP6" s="78">
        <f>'DJB Daily Readings'!DK14-'DJB Daily Readings'!DK13</f>
        <v>8</v>
      </c>
      <c r="AQ6" s="78">
        <f>'DJB Daily Readings'!DI14-'DJB Daily Readings'!DI13</f>
        <v>9</v>
      </c>
      <c r="AR6" s="78">
        <f>'DJB Daily Readings'!DO14-'DJB Daily Readings'!DO13</f>
        <v>7</v>
      </c>
      <c r="AS6" s="78">
        <f>'DJB Daily Readings'!DM14-'DJB Daily Readings'!DM13</f>
        <v>3</v>
      </c>
      <c r="AT6" s="78">
        <f>'DJB Daily Readings'!DQ14-'DJB Daily Readings'!DQ13</f>
        <v>6</v>
      </c>
      <c r="AU6" s="78">
        <f>'DJB Daily Readings'!DT14-'DJB Daily Readings'!DT13</f>
        <v>10.700000000000728</v>
      </c>
      <c r="AW6" s="78">
        <f>'DJB Daily Readings'!DX14-'DJB Daily Readings'!DX13</f>
        <v>6.3000000000001819</v>
      </c>
      <c r="AX6" s="78">
        <f>'DJB Daily Readings'!DZ14-'DJB Daily Readings'!DZ13</f>
        <v>6.6000000000003638</v>
      </c>
      <c r="AY6" s="78">
        <f>'DJB Daily Readings'!EB14-'DJB Daily Readings'!EB13</f>
        <v>562</v>
      </c>
      <c r="AZ6" s="78">
        <f>'DJB Daily Readings'!ED14-'DJB Daily Readings'!ED13</f>
        <v>151.10000000000582</v>
      </c>
      <c r="BA6" s="78">
        <f>'DJB Daily Readings'!EG14-'DJB Daily Readings'!EG13</f>
        <v>4900</v>
      </c>
      <c r="BB6" s="78">
        <f>'DJB Daily Readings'!EI14-'DJB Daily Readings'!EI13</f>
        <v>280</v>
      </c>
      <c r="BC6" s="78">
        <f>'DJB Daily Readings'!EQ14-'DJB Daily Readings'!EQ13</f>
        <v>4500</v>
      </c>
      <c r="BD6" s="78">
        <f>'DJB Daily Readings'!EK14-'DJB Daily Readings'!EK13</f>
        <v>2300</v>
      </c>
      <c r="BE6" s="78">
        <f>'DJB Daily Readings'!EM14-'DJB Daily Readings'!EM13</f>
        <v>600</v>
      </c>
      <c r="BF6" s="78">
        <f>'DJB Daily Readings'!EO14-'DJB Daily Readings'!EO13</f>
        <v>750</v>
      </c>
      <c r="BG6" s="78">
        <f>('DJB Daily Readings'!ET14-'DJB Daily Readings'!ET13)*1.89</f>
        <v>30.24</v>
      </c>
      <c r="BH6" s="78">
        <f>('DJB Daily Readings'!EV14-'DJB Daily Readings'!EV13)*1.89</f>
        <v>20.79</v>
      </c>
      <c r="BI6" s="78">
        <f>('DJB Daily Readings'!EZ14-'DJB Daily Readings'!EZ13)*1.89</f>
        <v>22.68</v>
      </c>
      <c r="BJ6" s="78">
        <f>('DJB Daily Readings'!EX14-'DJB Daily Readings'!EX13)*1.89</f>
        <v>18.899999999999999</v>
      </c>
      <c r="BK6" s="78">
        <f>('DJB Daily Readings'!FB14-'DJB Daily Readings'!FB13)*1.89</f>
        <v>62.37</v>
      </c>
      <c r="BL6" s="78">
        <f>'DJB Daily Readings'!J14</f>
        <v>138</v>
      </c>
    </row>
    <row r="7" spans="1:65" x14ac:dyDescent="0.25">
      <c r="A7" t="s">
        <v>14</v>
      </c>
      <c r="B7">
        <f t="shared" si="0"/>
        <v>6</v>
      </c>
      <c r="C7">
        <v>12</v>
      </c>
      <c r="D7">
        <v>2022</v>
      </c>
      <c r="E7" s="74">
        <f>237*0.47</f>
        <v>111.39</v>
      </c>
      <c r="F7" s="75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0">
        <f>('DJB Daily Readings'!BY15-'DJB Daily Readings'!BY14)*1.89</f>
        <v>35.909999999999997</v>
      </c>
      <c r="AE7" s="80">
        <f>('DJB Daily Readings'!CA15-'DJB Daily Readings'!CA14)*1.89</f>
        <v>34.019999999999996</v>
      </c>
      <c r="AF7" s="80">
        <f>('DJB Daily Readings'!CC15-'DJB Daily Readings'!CC14)*1.89</f>
        <v>13.229999999999999</v>
      </c>
      <c r="AG7" s="80">
        <f>('DJB Daily Readings'!CE15-'DJB Daily Readings'!CE14)*1.89</f>
        <v>20.79</v>
      </c>
      <c r="AH7" s="80">
        <f>('DJB Daily Readings'!CG15-'DJB Daily Readings'!CG14)*1.89</f>
        <v>34.019999999999996</v>
      </c>
      <c r="AI7" s="80">
        <f>('DJB Daily Readings'!CI15-'DJB Daily Readings'!CI14)*1.89</f>
        <v>54.809999999999995</v>
      </c>
      <c r="AJ7" s="77">
        <f>'DJB Daily Readings'!CY15-'DJB Daily Readings'!CY14</f>
        <v>2</v>
      </c>
      <c r="AK7" s="77">
        <f>'DJB Daily Readings'!CW15-'DJB Daily Readings'!CW14</f>
        <v>6</v>
      </c>
      <c r="AL7" s="78">
        <f>'DJB Daily Readings'!DC15-'DJB Daily Readings'!DC14</f>
        <v>14</v>
      </c>
      <c r="AM7" s="78">
        <f>'DJB Daily Readings'!DA15-'DJB Daily Readings'!DA14</f>
        <v>14</v>
      </c>
      <c r="AN7" s="78">
        <f>'DJB Daily Readings'!DG15-'DJB Daily Readings'!DG14</f>
        <v>5</v>
      </c>
      <c r="AO7" s="78">
        <f>'DJB Daily Readings'!DE15-'DJB Daily Readings'!DE14</f>
        <v>10</v>
      </c>
      <c r="AP7" s="78">
        <f>'DJB Daily Readings'!DK15-'DJB Daily Readings'!DK14</f>
        <v>8</v>
      </c>
      <c r="AQ7" s="78">
        <f>'DJB Daily Readings'!DI15-'DJB Daily Readings'!DI14</f>
        <v>9</v>
      </c>
      <c r="AR7" s="78">
        <f>'DJB Daily Readings'!DO15-'DJB Daily Readings'!DO14</f>
        <v>8</v>
      </c>
      <c r="AS7" s="78">
        <f>'DJB Daily Readings'!DM15-'DJB Daily Readings'!DM14</f>
        <v>3</v>
      </c>
      <c r="AT7" s="78">
        <f>'DJB Daily Readings'!DQ15-'DJB Daily Readings'!DQ14</f>
        <v>7</v>
      </c>
      <c r="AU7" s="78">
        <f>'DJB Daily Readings'!DT15-'DJB Daily Readings'!DT14</f>
        <v>10.899999999999636</v>
      </c>
      <c r="AW7" s="78">
        <f>'DJB Daily Readings'!DX15-'DJB Daily Readings'!DX14</f>
        <v>6.3999999999996362</v>
      </c>
      <c r="AX7" s="78">
        <f>'DJB Daily Readings'!DZ15-'DJB Daily Readings'!DZ14</f>
        <v>6.3999999999996362</v>
      </c>
      <c r="AY7" s="78">
        <f>'DJB Daily Readings'!EB15-'DJB Daily Readings'!EB14</f>
        <v>561</v>
      </c>
      <c r="AZ7" s="78">
        <f>'DJB Daily Readings'!ED15-'DJB Daily Readings'!ED14</f>
        <v>151.10000000000582</v>
      </c>
      <c r="BA7" s="78">
        <f>'DJB Daily Readings'!EG15-'DJB Daily Readings'!EG14</f>
        <v>4300</v>
      </c>
      <c r="BB7" s="78">
        <f>'DJB Daily Readings'!EI15-'DJB Daily Readings'!EI14</f>
        <v>270</v>
      </c>
      <c r="BC7" s="78">
        <f>'DJB Daily Readings'!EQ15-'DJB Daily Readings'!EQ14</f>
        <v>4300</v>
      </c>
      <c r="BD7" s="78">
        <f>'DJB Daily Readings'!EK15-'DJB Daily Readings'!EK14</f>
        <v>2200</v>
      </c>
      <c r="BE7" s="78">
        <f>'DJB Daily Readings'!EM15-'DJB Daily Readings'!EM14</f>
        <v>500</v>
      </c>
      <c r="BF7" s="78">
        <f>'DJB Daily Readings'!EO15-'DJB Daily Readings'!EO14</f>
        <v>720</v>
      </c>
      <c r="BG7" s="78">
        <f>('DJB Daily Readings'!ET15-'DJB Daily Readings'!ET14)*1.89</f>
        <v>30.24</v>
      </c>
      <c r="BH7" s="78">
        <f>('DJB Daily Readings'!EV15-'DJB Daily Readings'!EV14)*1.89</f>
        <v>18.899999999999999</v>
      </c>
      <c r="BI7" s="78">
        <f>('DJB Daily Readings'!EZ15-'DJB Daily Readings'!EZ14)*1.89</f>
        <v>18.899999999999999</v>
      </c>
      <c r="BJ7" s="78">
        <f>('DJB Daily Readings'!EX15-'DJB Daily Readings'!EX14)*1.89</f>
        <v>13.229999999999999</v>
      </c>
      <c r="BK7" s="78">
        <f>('DJB Daily Readings'!FB15-'DJB Daily Readings'!FB14)*1.89</f>
        <v>54.809999999999995</v>
      </c>
      <c r="BL7" s="78">
        <f>'DJB Daily Readings'!J15</f>
        <v>137</v>
      </c>
    </row>
    <row r="8" spans="1:65" x14ac:dyDescent="0.25">
      <c r="A8" t="s">
        <v>14</v>
      </c>
      <c r="B8">
        <f t="shared" si="0"/>
        <v>7</v>
      </c>
      <c r="C8">
        <v>12</v>
      </c>
      <c r="D8">
        <v>2022</v>
      </c>
      <c r="E8" s="74">
        <f>237*0.55</f>
        <v>130.35000000000002</v>
      </c>
      <c r="F8" s="75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0">
        <f>('DJB Daily Readings'!BY16-'DJB Daily Readings'!BY15)*1.89</f>
        <v>37.799999999999997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17.009999999999998</v>
      </c>
      <c r="AH8" s="80">
        <f>('DJB Daily Readings'!CG16-'DJB Daily Readings'!CG15)*1.89</f>
        <v>26.459999999999997</v>
      </c>
      <c r="AI8" s="80">
        <f>('DJB Daily Readings'!CI16-'DJB Daily Readings'!CI15)*1.89</f>
        <v>60.48</v>
      </c>
      <c r="AJ8" s="77">
        <f>'DJB Daily Readings'!CY16-'DJB Daily Readings'!CY15</f>
        <v>7</v>
      </c>
      <c r="AK8" s="77">
        <f>'DJB Daily Readings'!CW16-'DJB Daily Readings'!CW15</f>
        <v>9</v>
      </c>
      <c r="AL8" s="78">
        <f>'DJB Daily Readings'!DC16-'DJB Daily Readings'!DC15</f>
        <v>12</v>
      </c>
      <c r="AM8" s="78">
        <f>'DJB Daily Readings'!DA16-'DJB Daily Readings'!DA15</f>
        <v>15</v>
      </c>
      <c r="AN8" s="78">
        <f>'DJB Daily Readings'!DG16-'DJB Daily Readings'!DG15</f>
        <v>6</v>
      </c>
      <c r="AO8" s="78">
        <f>'DJB Daily Readings'!DE16-'DJB Daily Readings'!DE15</f>
        <v>10</v>
      </c>
      <c r="AP8" s="78">
        <f>'DJB Daily Readings'!DK16-'DJB Daily Readings'!DK15</f>
        <v>6</v>
      </c>
      <c r="AQ8" s="78">
        <f>'DJB Daily Readings'!DI16-'DJB Daily Readings'!DI15</f>
        <v>8</v>
      </c>
      <c r="AR8" s="78">
        <f>'DJB Daily Readings'!DO16-'DJB Daily Readings'!DO15</f>
        <v>8</v>
      </c>
      <c r="AS8" s="78">
        <f>'DJB Daily Readings'!DM16-'DJB Daily Readings'!DM15</f>
        <v>4</v>
      </c>
      <c r="AT8" s="78">
        <f>'DJB Daily Readings'!DQ16-'DJB Daily Readings'!DQ15</f>
        <v>6</v>
      </c>
      <c r="AU8" s="78">
        <f>'DJB Daily Readings'!DT16-'DJB Daily Readings'!DT15</f>
        <v>11.5</v>
      </c>
      <c r="AW8" s="78">
        <f>'DJB Daily Readings'!DX16-'DJB Daily Readings'!DX15</f>
        <v>6.5</v>
      </c>
      <c r="AX8" s="78">
        <f>'DJB Daily Readings'!DZ16-'DJB Daily Readings'!DZ15</f>
        <v>5.6999999999998181</v>
      </c>
      <c r="AY8" s="78">
        <f>'DJB Daily Readings'!EB16-'DJB Daily Readings'!EB15</f>
        <v>540</v>
      </c>
      <c r="AZ8" s="78">
        <f>'DJB Daily Readings'!ED16-'DJB Daily Readings'!ED15</f>
        <v>153.29999999998836</v>
      </c>
      <c r="BA8" s="78">
        <f>'DJB Daily Readings'!EG16-'DJB Daily Readings'!EG15</f>
        <v>4100</v>
      </c>
      <c r="BB8" s="78">
        <f>'DJB Daily Readings'!EI16-'DJB Daily Readings'!EI15</f>
        <v>270</v>
      </c>
      <c r="BC8" s="78">
        <f>'DJB Daily Readings'!EQ16-'DJB Daily Readings'!EQ15</f>
        <v>4700</v>
      </c>
      <c r="BD8" s="78">
        <f>'DJB Daily Readings'!EK16-'DJB Daily Readings'!EK15</f>
        <v>2000</v>
      </c>
      <c r="BE8" s="78">
        <f>'DJB Daily Readings'!EM16-'DJB Daily Readings'!EM15</f>
        <v>300</v>
      </c>
      <c r="BF8" s="78">
        <f>'DJB Daily Readings'!EO16-'DJB Daily Readings'!EO15</f>
        <v>720</v>
      </c>
      <c r="BG8" s="78">
        <f>('DJB Daily Readings'!ET16-'DJB Daily Readings'!ET15)*1.89</f>
        <v>28.349999999999998</v>
      </c>
      <c r="BH8" s="78">
        <f>('DJB Daily Readings'!EV16-'DJB Daily Readings'!EV15)*1.89</f>
        <v>22.68</v>
      </c>
      <c r="BI8" s="78">
        <f>('DJB Daily Readings'!EZ16-'DJB Daily Readings'!EZ15)*1.89</f>
        <v>28.349999999999998</v>
      </c>
      <c r="BJ8" s="78">
        <f>('DJB Daily Readings'!EX16-'DJB Daily Readings'!EX15)*1.89</f>
        <v>15.12</v>
      </c>
      <c r="BK8" s="78">
        <f>('DJB Daily Readings'!FB16-'DJB Daily Readings'!FB15)*1.89</f>
        <v>60.48</v>
      </c>
      <c r="BL8" s="78">
        <f>'DJB Daily Readings'!J16</f>
        <v>133</v>
      </c>
    </row>
    <row r="9" spans="1:65" x14ac:dyDescent="0.25">
      <c r="A9" t="s">
        <v>14</v>
      </c>
      <c r="B9">
        <f t="shared" si="0"/>
        <v>8</v>
      </c>
      <c r="C9">
        <v>12</v>
      </c>
      <c r="D9">
        <v>2022</v>
      </c>
      <c r="E9" s="74">
        <f>237*0.61</f>
        <v>144.57</v>
      </c>
      <c r="F9" s="75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0">
        <f>('DJB Daily Readings'!BY17-'DJB Daily Readings'!BY16)*1.89</f>
        <v>34.019999999999996</v>
      </c>
      <c r="AE9" s="80">
        <f>('DJB Daily Readings'!CA17-'DJB Daily Readings'!CA16)*1.89</f>
        <v>39.69</v>
      </c>
      <c r="AF9" s="80">
        <f>('DJB Daily Readings'!CC17-'DJB Daily Readings'!CC16)*1.89</f>
        <v>11.34</v>
      </c>
      <c r="AG9" s="80">
        <f>('DJB Daily Readings'!CE17-'DJB Daily Readings'!CE16)*1.89</f>
        <v>22.68</v>
      </c>
      <c r="AH9" s="80">
        <f>('DJB Daily Readings'!CG17-'DJB Daily Readings'!CG16)*1.89</f>
        <v>32.129999999999995</v>
      </c>
      <c r="AI9" s="80">
        <f>('DJB Daily Readings'!CI17-'DJB Daily Readings'!CI16)*1.89</f>
        <v>58.589999999999996</v>
      </c>
      <c r="AJ9" s="77">
        <f>'DJB Daily Readings'!CY17-'DJB Daily Readings'!CY16</f>
        <v>5</v>
      </c>
      <c r="AK9" s="77">
        <f>'DJB Daily Readings'!CW17-'DJB Daily Readings'!CW16</f>
        <v>9</v>
      </c>
      <c r="AL9" s="78">
        <f>'DJB Daily Readings'!DC17-'DJB Daily Readings'!DC16</f>
        <v>14</v>
      </c>
      <c r="AM9" s="78">
        <f>'DJB Daily Readings'!DA17-'DJB Daily Readings'!DA16</f>
        <v>11</v>
      </c>
      <c r="AN9" s="78">
        <f>'DJB Daily Readings'!DG17-'DJB Daily Readings'!DG16</f>
        <v>7</v>
      </c>
      <c r="AO9" s="78">
        <f>'DJB Daily Readings'!DE17-'DJB Daily Readings'!DE16</f>
        <v>12</v>
      </c>
      <c r="AP9" s="78">
        <f>'DJB Daily Readings'!DK17-'DJB Daily Readings'!DK16</f>
        <v>11</v>
      </c>
      <c r="AQ9" s="78">
        <f>'DJB Daily Readings'!DI17-'DJB Daily Readings'!DI16</f>
        <v>9</v>
      </c>
      <c r="AR9" s="78">
        <f>'DJB Daily Readings'!DO17-'DJB Daily Readings'!DO16</f>
        <v>9</v>
      </c>
      <c r="AS9" s="78">
        <f>'DJB Daily Readings'!DM17-'DJB Daily Readings'!DM16</f>
        <v>3</v>
      </c>
      <c r="AT9" s="78">
        <f>'DJB Daily Readings'!DQ17-'DJB Daily Readings'!DQ16</f>
        <v>10</v>
      </c>
      <c r="AU9" s="78">
        <f>'DJB Daily Readings'!DT17-'DJB Daily Readings'!DT16</f>
        <v>12</v>
      </c>
      <c r="AW9" s="78">
        <f>'DJB Daily Readings'!DX17-'DJB Daily Readings'!DX16</f>
        <v>7</v>
      </c>
      <c r="AX9" s="78">
        <f>'DJB Daily Readings'!DZ17-'DJB Daily Readings'!DZ16</f>
        <v>6.9000000000005457</v>
      </c>
      <c r="AY9" s="78">
        <f>'DJB Daily Readings'!EB17-'DJB Daily Readings'!EB16</f>
        <v>571</v>
      </c>
      <c r="AZ9" s="78">
        <f>'DJB Daily Readings'!ED17-'DJB Daily Readings'!ED16</f>
        <v>164.20000000001164</v>
      </c>
      <c r="BA9" s="78">
        <f>'DJB Daily Readings'!EG17-'DJB Daily Readings'!EG16</f>
        <v>4500</v>
      </c>
      <c r="BB9" s="78">
        <f>'DJB Daily Readings'!EI17-'DJB Daily Readings'!EI16</f>
        <v>290</v>
      </c>
      <c r="BC9" s="78">
        <f>'DJB Daily Readings'!EQ17-'DJB Daily Readings'!EQ16</f>
        <v>5400</v>
      </c>
      <c r="BD9" s="78">
        <f>'DJB Daily Readings'!EK17-'DJB Daily Readings'!EK16</f>
        <v>2400</v>
      </c>
      <c r="BE9" s="78">
        <f>'DJB Daily Readings'!EM17-'DJB Daily Readings'!EM16</f>
        <v>400</v>
      </c>
      <c r="BF9" s="78">
        <f>'DJB Daily Readings'!EO17-'DJB Daily Readings'!EO16</f>
        <v>760</v>
      </c>
      <c r="BG9" s="78">
        <f>('DJB Daily Readings'!ET17-'DJB Daily Readings'!ET16)*1.89</f>
        <v>32.129999999999995</v>
      </c>
      <c r="BH9" s="78">
        <f>('DJB Daily Readings'!EV17-'DJB Daily Readings'!EV16)*1.89</f>
        <v>26.459999999999997</v>
      </c>
      <c r="BI9" s="78">
        <f>('DJB Daily Readings'!EZ17-'DJB Daily Readings'!EZ16)*1.89</f>
        <v>28.349999999999998</v>
      </c>
      <c r="BJ9" s="78">
        <f>('DJB Daily Readings'!EX17-'DJB Daily Readings'!EX16)*1.89</f>
        <v>17.009999999999998</v>
      </c>
      <c r="BK9" s="78">
        <f>('DJB Daily Readings'!FB17-'DJB Daily Readings'!FB16)*1.89</f>
        <v>73.709999999999994</v>
      </c>
      <c r="BL9" s="78">
        <f>'DJB Daily Readings'!J17</f>
        <v>149</v>
      </c>
    </row>
    <row r="10" spans="1:65" x14ac:dyDescent="0.25">
      <c r="A10" t="s">
        <v>14</v>
      </c>
      <c r="B10">
        <f t="shared" si="0"/>
        <v>9</v>
      </c>
      <c r="C10">
        <v>12</v>
      </c>
      <c r="D10">
        <v>2022</v>
      </c>
      <c r="E10" s="74">
        <f>237*0.64</f>
        <v>151.68</v>
      </c>
      <c r="F10" s="75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0">
        <f>('DJB Daily Readings'!BY18-'DJB Daily Readings'!BY17)*1.89</f>
        <v>32.129999999999995</v>
      </c>
      <c r="AE10" s="80">
        <f>('DJB Daily Readings'!CA18-'DJB Daily Readings'!CA17)*1.89</f>
        <v>34.019999999999996</v>
      </c>
      <c r="AF10" s="80">
        <f>('DJB Daily Readings'!CC18-'DJB Daily Readings'!CC17)*1.89</f>
        <v>9.4499999999999993</v>
      </c>
      <c r="AG10" s="80">
        <f>('DJB Daily Readings'!CE18-'DJB Daily Readings'!CE17)*1.89</f>
        <v>18.899999999999999</v>
      </c>
      <c r="AH10" s="80">
        <f>('DJB Daily Readings'!CG18-'DJB Daily Readings'!CG17)*1.89</f>
        <v>22.68</v>
      </c>
      <c r="AI10" s="80">
        <f>('DJB Daily Readings'!CI18-'DJB Daily Readings'!CI17)*1.89</f>
        <v>54.809999999999995</v>
      </c>
      <c r="AJ10" s="77">
        <f>'DJB Daily Readings'!CY18-'DJB Daily Readings'!CY17</f>
        <v>5</v>
      </c>
      <c r="AK10" s="77">
        <f>'DJB Daily Readings'!CW18-'DJB Daily Readings'!CW17</f>
        <v>8</v>
      </c>
      <c r="AL10" s="78">
        <f>'DJB Daily Readings'!DC18-'DJB Daily Readings'!DC17</f>
        <v>13</v>
      </c>
      <c r="AM10" s="78">
        <f>'DJB Daily Readings'!DA18-'DJB Daily Readings'!DA17</f>
        <v>15</v>
      </c>
      <c r="AN10" s="78">
        <f>'DJB Daily Readings'!DG18-'DJB Daily Readings'!DG17</f>
        <v>7</v>
      </c>
      <c r="AO10" s="78">
        <f>'DJB Daily Readings'!DE18-'DJB Daily Readings'!DE17</f>
        <v>9</v>
      </c>
      <c r="AP10" s="78">
        <f>'DJB Daily Readings'!DK18-'DJB Daily Readings'!DK17</f>
        <v>10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0</v>
      </c>
      <c r="AU10" s="78">
        <f>'DJB Daily Readings'!DT18-'DJB Daily Readings'!DT17</f>
        <v>10.199999999999818</v>
      </c>
      <c r="AW10" s="78">
        <f>'DJB Daily Readings'!DX18-'DJB Daily Readings'!DX17</f>
        <v>5.8999999999996362</v>
      </c>
      <c r="AX10" s="78">
        <f>'DJB Daily Readings'!DZ18-'DJB Daily Readings'!DZ17</f>
        <v>7.0999999999994543</v>
      </c>
      <c r="AY10" s="78">
        <f>'DJB Daily Readings'!EB18-'DJB Daily Readings'!EB17</f>
        <v>545</v>
      </c>
      <c r="AZ10" s="78">
        <f>'DJB Daily Readings'!ED18-'DJB Daily Readings'!ED17</f>
        <v>119.19999999998254</v>
      </c>
      <c r="BA10" s="78">
        <f>'DJB Daily Readings'!EG18-'DJB Daily Readings'!EG17</f>
        <v>3600</v>
      </c>
      <c r="BB10" s="78">
        <f>'DJB Daily Readings'!EI18-'DJB Daily Readings'!EI17</f>
        <v>250</v>
      </c>
      <c r="BC10" s="78">
        <f>'DJB Daily Readings'!EQ18-'DJB Daily Readings'!EQ17</f>
        <v>3300</v>
      </c>
      <c r="BD10" s="78">
        <f>'DJB Daily Readings'!EK18-'DJB Daily Readings'!EK17</f>
        <v>1700</v>
      </c>
      <c r="BE10" s="78">
        <f>'DJB Daily Readings'!EM18-'DJB Daily Readings'!EM17</f>
        <v>300</v>
      </c>
      <c r="BF10" s="78">
        <f>'DJB Daily Readings'!EO18-'DJB Daily Readings'!EO17</f>
        <v>630</v>
      </c>
      <c r="BG10" s="78">
        <f>('DJB Daily Readings'!ET18-'DJB Daily Readings'!ET17)*1.89</f>
        <v>26.459999999999997</v>
      </c>
      <c r="BH10" s="78">
        <f>('DJB Daily Readings'!EV18-'DJB Daily Readings'!EV17)*1.89</f>
        <v>18.899999999999999</v>
      </c>
      <c r="BI10" s="78">
        <f>('DJB Daily Readings'!EZ18-'DJB Daily Readings'!EZ17)*1.89</f>
        <v>28.349999999999998</v>
      </c>
      <c r="BJ10" s="78">
        <f>('DJB Daily Readings'!EX18-'DJB Daily Readings'!EX17)*1.89</f>
        <v>20.79</v>
      </c>
      <c r="BK10" s="78">
        <f>('DJB Daily Readings'!FB18-'DJB Daily Readings'!FB17)*1.89</f>
        <v>62.37</v>
      </c>
      <c r="BL10" s="78">
        <f>'DJB Daily Readings'!J18</f>
        <v>122</v>
      </c>
    </row>
    <row r="11" spans="1:65" x14ac:dyDescent="0.25">
      <c r="A11" t="s">
        <v>14</v>
      </c>
      <c r="B11">
        <f t="shared" si="0"/>
        <v>10</v>
      </c>
      <c r="C11">
        <v>12</v>
      </c>
      <c r="D11">
        <v>2022</v>
      </c>
      <c r="E11" s="74">
        <f>237*0.64</f>
        <v>151.68</v>
      </c>
      <c r="F11" s="75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0">
        <f>('DJB Daily Readings'!BY19-'DJB Daily Readings'!BY18)*1.89</f>
        <v>35.909999999999997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18.899999999999999</v>
      </c>
      <c r="AH11" s="80">
        <f>('DJB Daily Readings'!CG19-'DJB Daily Readings'!CG18)*1.89</f>
        <v>28.349999999999998</v>
      </c>
      <c r="AI11" s="80">
        <f>('DJB Daily Readings'!CI19-'DJB Daily Readings'!CI18)*1.89</f>
        <v>60.48</v>
      </c>
      <c r="AJ11" s="77">
        <f>'DJB Daily Readings'!CY19-'DJB Daily Readings'!CY18</f>
        <v>5</v>
      </c>
      <c r="AK11" s="77">
        <f>'DJB Daily Readings'!CW19-'DJB Daily Readings'!CW18</f>
        <v>8</v>
      </c>
      <c r="AL11" s="78">
        <f>'DJB Daily Readings'!DC19-'DJB Daily Readings'!DC18</f>
        <v>9</v>
      </c>
      <c r="AM11" s="78">
        <f>'DJB Daily Readings'!DA19-'DJB Daily Readings'!DA18</f>
        <v>11</v>
      </c>
      <c r="AN11" s="78">
        <f>'DJB Daily Readings'!DG19-'DJB Daily Readings'!DG18</f>
        <v>7</v>
      </c>
      <c r="AO11" s="78">
        <f>'DJB Daily Readings'!DE19-'DJB Daily Readings'!DE18</f>
        <v>10</v>
      </c>
      <c r="AP11" s="78">
        <f>'DJB Daily Readings'!DK19-'DJB Daily Readings'!DK18</f>
        <v>10</v>
      </c>
      <c r="AQ11" s="78">
        <f>'DJB Daily Readings'!DI19-'DJB Daily Readings'!DI18</f>
        <v>9</v>
      </c>
      <c r="AR11" s="78">
        <f>'DJB Daily Readings'!DO19-'DJB Daily Readings'!DO18</f>
        <v>9</v>
      </c>
      <c r="AS11" s="78">
        <f>'DJB Daily Readings'!DM19-'DJB Daily Readings'!DM18</f>
        <v>3</v>
      </c>
      <c r="AT11" s="78">
        <f>'DJB Daily Readings'!DQ19-'DJB Daily Readings'!DQ18</f>
        <v>0</v>
      </c>
      <c r="AU11" s="78">
        <f>'DJB Daily Readings'!DT19-'DJB Daily Readings'!DT18</f>
        <v>11.699999999999818</v>
      </c>
      <c r="AW11" s="78">
        <f>'DJB Daily Readings'!DX19-'DJB Daily Readings'!DX18</f>
        <v>6.6000000000003638</v>
      </c>
      <c r="AX11" s="78">
        <f>'DJB Daily Readings'!DZ19-'DJB Daily Readings'!DZ18</f>
        <v>7.5</v>
      </c>
      <c r="AY11" s="78">
        <f>'DJB Daily Readings'!EB19-'DJB Daily Readings'!EB18</f>
        <v>578</v>
      </c>
      <c r="AZ11" s="78">
        <f>'DJB Daily Readings'!ED19-'DJB Daily Readings'!ED18</f>
        <v>134.39999999999418</v>
      </c>
      <c r="BA11" s="78">
        <f>'DJB Daily Readings'!EG19-'DJB Daily Readings'!EG18</f>
        <v>2700</v>
      </c>
      <c r="BB11" s="78">
        <f>'DJB Daily Readings'!EI19-'DJB Daily Readings'!EI18</f>
        <v>270</v>
      </c>
      <c r="BC11" s="78">
        <f>'DJB Daily Readings'!EQ19-'DJB Daily Readings'!EQ18</f>
        <v>2700</v>
      </c>
      <c r="BD11" s="78">
        <f>'DJB Daily Readings'!EK19-'DJB Daily Readings'!EK18</f>
        <v>1500</v>
      </c>
      <c r="BE11" s="78">
        <f>'DJB Daily Readings'!EM19-'DJB Daily Readings'!EM18</f>
        <v>300</v>
      </c>
      <c r="BF11" s="78">
        <f>'DJB Daily Readings'!EO19-'DJB Daily Readings'!EO18</f>
        <v>700</v>
      </c>
      <c r="BG11" s="78">
        <f>('DJB Daily Readings'!ET19-'DJB Daily Readings'!ET18)*1.89</f>
        <v>30.24</v>
      </c>
      <c r="BH11" s="78">
        <f>('DJB Daily Readings'!EV19-'DJB Daily Readings'!EV18)*1.89</f>
        <v>20.79</v>
      </c>
      <c r="BI11" s="78">
        <f>('DJB Daily Readings'!EZ19-'DJB Daily Readings'!EZ18)*1.89</f>
        <v>28.349999999999998</v>
      </c>
      <c r="BJ11" s="78">
        <f>('DJB Daily Readings'!EX19-'DJB Daily Readings'!EX18)*1.89</f>
        <v>20.79</v>
      </c>
      <c r="BK11" s="78">
        <f>('DJB Daily Readings'!FB19-'DJB Daily Readings'!FB18)*1.89</f>
        <v>56.699999999999996</v>
      </c>
      <c r="BL11" s="78">
        <f>'DJB Daily Readings'!J19</f>
        <v>140</v>
      </c>
    </row>
    <row r="12" spans="1:65" x14ac:dyDescent="0.25">
      <c r="A12" t="s">
        <v>14</v>
      </c>
      <c r="B12">
        <f t="shared" si="0"/>
        <v>11</v>
      </c>
      <c r="C12">
        <v>12</v>
      </c>
      <c r="D12">
        <v>2022</v>
      </c>
      <c r="E12" s="74">
        <f>237*0.61</f>
        <v>144.57</v>
      </c>
      <c r="F12" s="75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0">
        <f>('DJB Daily Readings'!BY20-'DJB Daily Readings'!BY19)*1.89</f>
        <v>37.799999999999997</v>
      </c>
      <c r="AE12" s="80">
        <f>('DJB Daily Readings'!CA20-'DJB Daily Readings'!CA19)*1.89</f>
        <v>35.909999999999997</v>
      </c>
      <c r="AF12" s="80">
        <f>('DJB Daily Readings'!CC20-'DJB Daily Readings'!CC19)*1.89</f>
        <v>13.229999999999999</v>
      </c>
      <c r="AG12" s="80">
        <f>('DJB Daily Readings'!CE20-'DJB Daily Readings'!CE19)*1.89</f>
        <v>20.79</v>
      </c>
      <c r="AH12" s="80">
        <f>('DJB Daily Readings'!CG20-'DJB Daily Readings'!CG19)*1.89</f>
        <v>26.459999999999997</v>
      </c>
      <c r="AI12" s="80">
        <f>('DJB Daily Readings'!CI20-'DJB Daily Readings'!CI19)*1.89</f>
        <v>69.929999999999993</v>
      </c>
      <c r="AJ12" s="77">
        <f>'DJB Daily Readings'!CY20-'DJB Daily Readings'!CY19</f>
        <v>3</v>
      </c>
      <c r="AK12" s="77">
        <f>'DJB Daily Readings'!CW20-'DJB Daily Readings'!CW19</f>
        <v>3</v>
      </c>
      <c r="AL12" s="78">
        <f>'DJB Daily Readings'!DC20-'DJB Daily Readings'!DC19</f>
        <v>15</v>
      </c>
      <c r="AM12" s="78">
        <f>'DJB Daily Readings'!DA20-'DJB Daily Readings'!DA19</f>
        <v>25</v>
      </c>
      <c r="AN12" s="78">
        <f>'DJB Daily Readings'!DG20-'DJB Daily Readings'!DG19</f>
        <v>5</v>
      </c>
      <c r="AO12" s="78">
        <f>'DJB Daily Readings'!DE20-'DJB Daily Readings'!DE19</f>
        <v>7</v>
      </c>
      <c r="AP12" s="78">
        <f>'DJB Daily Readings'!DK20-'DJB Daily Readings'!DK19</f>
        <v>10</v>
      </c>
      <c r="AQ12" s="78">
        <f>'DJB Daily Readings'!DI20-'DJB Daily Readings'!DI19</f>
        <v>14</v>
      </c>
      <c r="AR12" s="78">
        <f>'DJB Daily Readings'!DO20-'DJB Daily Readings'!DO19</f>
        <v>5</v>
      </c>
      <c r="AS12" s="78">
        <f>'DJB Daily Readings'!DM20-'DJB Daily Readings'!DM19</f>
        <v>6</v>
      </c>
      <c r="AT12" s="78">
        <f>'DJB Daily Readings'!DQ20-'DJB Daily Readings'!DQ19</f>
        <v>15</v>
      </c>
      <c r="AU12" s="78">
        <f>'DJB Daily Readings'!DT20-'DJB Daily Readings'!DT19</f>
        <v>11</v>
      </c>
      <c r="AW12" s="78">
        <f>'DJB Daily Readings'!DX20-'DJB Daily Readings'!DX19</f>
        <v>6.6000000000003638</v>
      </c>
      <c r="AX12" s="78">
        <f>'DJB Daily Readings'!DZ20-'DJB Daily Readings'!DZ19</f>
        <v>7.4000000000005457</v>
      </c>
      <c r="AY12" s="78">
        <f>'DJB Daily Readings'!EB20-'DJB Daily Readings'!EB19</f>
        <v>553</v>
      </c>
      <c r="AZ12" s="78">
        <f>'DJB Daily Readings'!ED20-'DJB Daily Readings'!ED19</f>
        <v>128.20000000001164</v>
      </c>
      <c r="BA12" s="78">
        <f>'DJB Daily Readings'!EG20-'DJB Daily Readings'!EG19</f>
        <v>3800</v>
      </c>
      <c r="BB12" s="78">
        <f>'DJB Daily Readings'!EI20-'DJB Daily Readings'!EI19</f>
        <v>230</v>
      </c>
      <c r="BC12" s="78">
        <f>'DJB Daily Readings'!EQ20-'DJB Daily Readings'!EQ19</f>
        <v>1700</v>
      </c>
      <c r="BD12" s="78">
        <f>'DJB Daily Readings'!EK20-'DJB Daily Readings'!EK19</f>
        <v>1900</v>
      </c>
      <c r="BE12" s="78">
        <f>'DJB Daily Readings'!EM20-'DJB Daily Readings'!EM19</f>
        <v>400</v>
      </c>
      <c r="BF12" s="78">
        <f>'DJB Daily Readings'!EO20-'DJB Daily Readings'!EO19</f>
        <v>630</v>
      </c>
      <c r="BG12" s="78">
        <f>('DJB Daily Readings'!ET20-'DJB Daily Readings'!ET19)*1.89</f>
        <v>28.349999999999998</v>
      </c>
      <c r="BH12" s="78">
        <f>('DJB Daily Readings'!EV20-'DJB Daily Readings'!EV19)*1.89</f>
        <v>18.899999999999999</v>
      </c>
      <c r="BI12" s="78">
        <f>('DJB Daily Readings'!EZ20-'DJB Daily Readings'!EZ19)*1.89</f>
        <v>20.79</v>
      </c>
      <c r="BJ12" s="78">
        <f>('DJB Daily Readings'!EX20-'DJB Daily Readings'!EX19)*1.89</f>
        <v>20.79</v>
      </c>
      <c r="BK12" s="78">
        <f>('DJB Daily Readings'!FB20-'DJB Daily Readings'!FB19)*1.89</f>
        <v>62.37</v>
      </c>
      <c r="BL12" s="78">
        <f>'DJB Daily Readings'!J20</f>
        <v>149</v>
      </c>
    </row>
    <row r="13" spans="1:65" x14ac:dyDescent="0.25">
      <c r="A13" t="s">
        <v>14</v>
      </c>
      <c r="B13">
        <f t="shared" si="0"/>
        <v>12</v>
      </c>
      <c r="C13">
        <v>12</v>
      </c>
      <c r="D13">
        <v>2022</v>
      </c>
      <c r="E13" s="74">
        <f>237*0.57</f>
        <v>135.08999999999997</v>
      </c>
      <c r="F13" s="75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0">
        <f>('DJB Daily Readings'!BY21-'DJB Daily Readings'!BY20)*1.89</f>
        <v>37.799999999999997</v>
      </c>
      <c r="AE13" s="80">
        <f>('DJB Daily Readings'!CA21-'DJB Daily Readings'!CA20)*1.89</f>
        <v>37.799999999999997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18.899999999999999</v>
      </c>
      <c r="AH13" s="80">
        <f>('DJB Daily Readings'!CG21-'DJB Daily Readings'!CG20)*1.89</f>
        <v>28.349999999999998</v>
      </c>
      <c r="AI13" s="80">
        <f>('DJB Daily Readings'!CI21-'DJB Daily Readings'!CI20)*1.89</f>
        <v>54.809999999999995</v>
      </c>
      <c r="AJ13" s="77">
        <f>'DJB Daily Readings'!CY21-'DJB Daily Readings'!CY20</f>
        <v>2</v>
      </c>
      <c r="AK13" s="77">
        <f>'DJB Daily Readings'!CW21-'DJB Daily Readings'!CW20</f>
        <v>4</v>
      </c>
      <c r="AL13" s="78">
        <f>'DJB Daily Readings'!DC21-'DJB Daily Readings'!DC20</f>
        <v>13</v>
      </c>
      <c r="AM13" s="78">
        <f>'DJB Daily Readings'!DA21-'DJB Daily Readings'!DA20</f>
        <v>12</v>
      </c>
      <c r="AN13" s="78">
        <f>'DJB Daily Readings'!DG21-'DJB Daily Readings'!DG20</f>
        <v>6</v>
      </c>
      <c r="AO13" s="78">
        <f>'DJB Daily Readings'!DE21-'DJB Daily Readings'!DE20</f>
        <v>10</v>
      </c>
      <c r="AP13" s="78">
        <f>'DJB Daily Readings'!DK21-'DJB Daily Readings'!DK20</f>
        <v>9</v>
      </c>
      <c r="AQ13" s="78">
        <f>'DJB Daily Readings'!DI21-'DJB Daily Readings'!DI20</f>
        <v>10</v>
      </c>
      <c r="AR13" s="78">
        <f>'DJB Daily Readings'!DO21-'DJB Daily Readings'!DO20</f>
        <v>8</v>
      </c>
      <c r="AS13" s="78">
        <f>'DJB Daily Readings'!DM21-'DJB Daily Readings'!DM20</f>
        <v>5</v>
      </c>
      <c r="AT13" s="78">
        <f>'DJB Daily Readings'!DQ21-'DJB Daily Readings'!DQ20</f>
        <v>10</v>
      </c>
      <c r="AU13" s="78">
        <f>'DJB Daily Readings'!DT21-'DJB Daily Readings'!DT20</f>
        <v>11.300000000000182</v>
      </c>
      <c r="AW13" s="78">
        <f>'DJB Daily Readings'!DX21-'DJB Daily Readings'!DX20</f>
        <v>6.6999999999998181</v>
      </c>
      <c r="AX13" s="78">
        <f>'DJB Daily Readings'!DZ21-'DJB Daily Readings'!DZ20</f>
        <v>6.8000000000001819</v>
      </c>
      <c r="AY13" s="78">
        <f>'DJB Daily Readings'!EB21-'DJB Daily Readings'!EB20</f>
        <v>578</v>
      </c>
      <c r="AZ13" s="78">
        <f>'DJB Daily Readings'!ED21-'DJB Daily Readings'!ED20</f>
        <v>136.29999999998836</v>
      </c>
      <c r="BA13" s="78">
        <f>'DJB Daily Readings'!EG21-'DJB Daily Readings'!EG20</f>
        <v>2900</v>
      </c>
      <c r="BB13" s="78">
        <f>'DJB Daily Readings'!EI21-'DJB Daily Readings'!EI20</f>
        <v>250</v>
      </c>
      <c r="BC13" s="78">
        <f>'DJB Daily Readings'!EQ21-'DJB Daily Readings'!EQ20</f>
        <v>1900</v>
      </c>
      <c r="BD13" s="78">
        <f>'DJB Daily Readings'!EK21-'DJB Daily Readings'!EK20</f>
        <v>1600</v>
      </c>
      <c r="BE13" s="78">
        <f>'DJB Daily Readings'!EM21-'DJB Daily Readings'!EM20</f>
        <v>300</v>
      </c>
      <c r="BF13" s="78">
        <f>'DJB Daily Readings'!EO21-'DJB Daily Readings'!EO20</f>
        <v>630</v>
      </c>
      <c r="BG13" s="78">
        <f>('DJB Daily Readings'!ET21-'DJB Daily Readings'!ET20)*1.89</f>
        <v>32.129999999999995</v>
      </c>
      <c r="BH13" s="78">
        <f>('DJB Daily Readings'!EV21-'DJB Daily Readings'!EV20)*1.89</f>
        <v>20.79</v>
      </c>
      <c r="BI13" s="78">
        <f>('DJB Daily Readings'!EZ21-'DJB Daily Readings'!EZ20)*1.89</f>
        <v>18.899999999999999</v>
      </c>
      <c r="BJ13" s="78">
        <f>('DJB Daily Readings'!EX21-'DJB Daily Readings'!EX20)*1.89</f>
        <v>15.12</v>
      </c>
      <c r="BK13" s="78">
        <f>('DJB Daily Readings'!FB21-'DJB Daily Readings'!FB20)*1.89</f>
        <v>64.259999999999991</v>
      </c>
      <c r="BL13" s="78">
        <f>'DJB Daily Readings'!J21</f>
        <v>139</v>
      </c>
    </row>
    <row r="14" spans="1:65" x14ac:dyDescent="0.25">
      <c r="A14" t="s">
        <v>14</v>
      </c>
      <c r="B14">
        <f t="shared" si="0"/>
        <v>13</v>
      </c>
      <c r="C14">
        <v>12</v>
      </c>
      <c r="D14">
        <v>2022</v>
      </c>
      <c r="E14" s="74">
        <f>237*0.45</f>
        <v>106.65</v>
      </c>
      <c r="F14" s="75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11.34</v>
      </c>
      <c r="AG14" s="80">
        <f>('DJB Daily Readings'!CE22-'DJB Daily Readings'!CE21)*1.89</f>
        <v>20.79</v>
      </c>
      <c r="AH14" s="80">
        <f>('DJB Daily Readings'!CG22-'DJB Daily Readings'!CG21)*1.89</f>
        <v>24.57</v>
      </c>
      <c r="AI14" s="80">
        <f>('DJB Daily Readings'!CI22-'DJB Daily Readings'!CI21)*1.89</f>
        <v>54.809999999999995</v>
      </c>
      <c r="AJ14" s="77">
        <f>'DJB Daily Readings'!CY22-'DJB Daily Readings'!CY21</f>
        <v>3</v>
      </c>
      <c r="AK14" s="77">
        <f>'DJB Daily Readings'!CW22-'DJB Daily Readings'!CW21</f>
        <v>6</v>
      </c>
      <c r="AL14" s="78">
        <f>'DJB Daily Readings'!DC22-'DJB Daily Readings'!DC21</f>
        <v>13</v>
      </c>
      <c r="AM14" s="78">
        <f>'DJB Daily Readings'!DA22-'DJB Daily Readings'!DA21</f>
        <v>13</v>
      </c>
      <c r="AN14" s="78">
        <f>'DJB Daily Readings'!DG22-'DJB Daily Readings'!DG21</f>
        <v>5</v>
      </c>
      <c r="AO14" s="78">
        <f>'DJB Daily Readings'!DE22-'DJB Daily Readings'!DE21</f>
        <v>8</v>
      </c>
      <c r="AP14" s="78">
        <f>'DJB Daily Readings'!DK22-'DJB Daily Readings'!DK21</f>
        <v>7</v>
      </c>
      <c r="AQ14" s="78">
        <f>'DJB Daily Readings'!DI22-'DJB Daily Readings'!DI21</f>
        <v>8</v>
      </c>
      <c r="AR14" s="78">
        <f>'DJB Daily Readings'!DO22-'DJB Daily Readings'!DO21</f>
        <v>7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'DJB Daily Readings'!DT22-'DJB Daily Readings'!DT21</f>
        <v>10</v>
      </c>
      <c r="AW14" s="78">
        <f>'DJB Daily Readings'!DX22-'DJB Daily Readings'!DX21</f>
        <v>6</v>
      </c>
      <c r="AX14" s="78">
        <f>'DJB Daily Readings'!DZ22-'DJB Daily Readings'!DZ21</f>
        <v>5.8999999999996362</v>
      </c>
      <c r="AY14" s="78">
        <f>'DJB Daily Readings'!EB22-'DJB Daily Readings'!EB21</f>
        <v>492</v>
      </c>
      <c r="AZ14" s="78">
        <f>'DJB Daily Readings'!ED22-'DJB Daily Readings'!ED21</f>
        <v>122.90000000002328</v>
      </c>
      <c r="BA14" s="78">
        <f>'DJB Daily Readings'!EG22-'DJB Daily Readings'!EG21</f>
        <v>2700</v>
      </c>
      <c r="BB14" s="78">
        <f>'DJB Daily Readings'!EI22-'DJB Daily Readings'!EI21</f>
        <v>220</v>
      </c>
      <c r="BC14" s="78">
        <f>'DJB Daily Readings'!EQ22-'DJB Daily Readings'!EQ21</f>
        <v>1800</v>
      </c>
      <c r="BD14" s="78">
        <f>'DJB Daily Readings'!EK22-'DJB Daily Readings'!EK21</f>
        <v>1600</v>
      </c>
      <c r="BE14" s="78">
        <f>'DJB Daily Readings'!EM22-'DJB Daily Readings'!EM21</f>
        <v>300</v>
      </c>
      <c r="BF14" s="78">
        <f>'DJB Daily Readings'!EO22-'DJB Daily Readings'!EO21</f>
        <v>590</v>
      </c>
      <c r="BG14" s="78">
        <f>('DJB Daily Readings'!ET22-'DJB Daily Readings'!ET21)*1.89</f>
        <v>28.349999999999998</v>
      </c>
      <c r="BH14" s="78">
        <f>('DJB Daily Readings'!EV22-'DJB Daily Readings'!EV21)*1.89</f>
        <v>17.009999999999998</v>
      </c>
      <c r="BI14" s="78">
        <f>('DJB Daily Readings'!EZ22-'DJB Daily Readings'!EZ21)*1.89</f>
        <v>22.68</v>
      </c>
      <c r="BJ14" s="78">
        <f>('DJB Daily Readings'!EX22-'DJB Daily Readings'!EX21)*1.89</f>
        <v>11.34</v>
      </c>
      <c r="BK14" s="78">
        <f>('DJB Daily Readings'!FB22-'DJB Daily Readings'!FB21)*1.89</f>
        <v>47.25</v>
      </c>
      <c r="BL14" s="78">
        <f>'DJB Daily Readings'!J22</f>
        <v>137</v>
      </c>
    </row>
    <row r="15" spans="1:65" x14ac:dyDescent="0.25">
      <c r="A15" t="s">
        <v>14</v>
      </c>
      <c r="B15">
        <f t="shared" si="0"/>
        <v>14</v>
      </c>
      <c r="C15">
        <v>12</v>
      </c>
      <c r="D15">
        <v>2022</v>
      </c>
      <c r="E15" s="74">
        <f>237*0.49</f>
        <v>116.13</v>
      </c>
      <c r="F15" s="75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0">
        <f>('DJB Daily Readings'!BY23-'DJB Daily Readings'!BY22)*1.89</f>
        <v>37.799999999999997</v>
      </c>
      <c r="AE15" s="80">
        <f>('DJB Daily Readings'!CA23-'DJB Daily Readings'!CA22)*1.89</f>
        <v>34.019999999999996</v>
      </c>
      <c r="AF15" s="80">
        <f>('DJB Daily Readings'!CC23-'DJB Daily Readings'!CC22)*1.89</f>
        <v>11.34</v>
      </c>
      <c r="AG15" s="80">
        <f>('DJB Daily Readings'!CE23-'DJB Daily Readings'!CE22)*1.89</f>
        <v>20.79</v>
      </c>
      <c r="AH15" s="80">
        <f>('DJB Daily Readings'!CG23-'DJB Daily Readings'!CG22)*1.89</f>
        <v>26.459999999999997</v>
      </c>
      <c r="AI15" s="80">
        <f>('DJB Daily Readings'!CI23-'DJB Daily Readings'!CI22)*1.89</f>
        <v>56.699999999999996</v>
      </c>
      <c r="AJ15" s="77">
        <f>'DJB Daily Readings'!CY23-'DJB Daily Readings'!CY22</f>
        <v>6</v>
      </c>
      <c r="AK15" s="77">
        <f>'DJB Daily Readings'!CW23-'DJB Daily Readings'!CW22</f>
        <v>8</v>
      </c>
      <c r="AL15" s="78">
        <f>'DJB Daily Readings'!DC23-'DJB Daily Readings'!DC22</f>
        <v>12</v>
      </c>
      <c r="AM15" s="78">
        <f>'DJB Daily Readings'!DA23-'DJB Daily Readings'!DA22</f>
        <v>14</v>
      </c>
      <c r="AN15" s="78">
        <f>'DJB Daily Readings'!DG23-'DJB Daily Readings'!DG22</f>
        <v>5</v>
      </c>
      <c r="AO15" s="78">
        <f>'DJB Daily Readings'!DE23-'DJB Daily Readings'!DE22</f>
        <v>9</v>
      </c>
      <c r="AP15" s="78">
        <f>'DJB Daily Readings'!DK23-'DJB Daily Readings'!DK22</f>
        <v>6</v>
      </c>
      <c r="AQ15" s="78">
        <f>'DJB Daily Readings'!DI23-'DJB Daily Readings'!DI22</f>
        <v>10</v>
      </c>
      <c r="AR15" s="78">
        <f>'DJB Daily Readings'!DO23-'DJB Daily Readings'!DO22</f>
        <v>11</v>
      </c>
      <c r="AS15" s="78">
        <f>'DJB Daily Readings'!DM23-'DJB Daily Readings'!DM22</f>
        <v>2</v>
      </c>
      <c r="AT15" s="78">
        <f>'DJB Daily Readings'!DQ23-'DJB Daily Readings'!DQ22</f>
        <v>3</v>
      </c>
      <c r="AU15" s="78">
        <f>'DJB Daily Readings'!DT23-'DJB Daily Readings'!DT22</f>
        <v>10.5</v>
      </c>
      <c r="AW15" s="78">
        <f>'DJB Daily Readings'!DX23-'DJB Daily Readings'!DX22</f>
        <v>6.0999999999994543</v>
      </c>
      <c r="AX15" s="78">
        <f>'DJB Daily Readings'!DZ23-'DJB Daily Readings'!DZ22</f>
        <v>6.3000000000001819</v>
      </c>
      <c r="AY15" s="78">
        <f>'DJB Daily Readings'!EB23-'DJB Daily Readings'!EB22</f>
        <v>501</v>
      </c>
      <c r="AZ15" s="78">
        <f>'DJB Daily Readings'!ED23-'DJB Daily Readings'!ED22</f>
        <v>128.89999999999418</v>
      </c>
      <c r="BA15" s="78">
        <f>'DJB Daily Readings'!EG23-'DJB Daily Readings'!EG22</f>
        <v>3100</v>
      </c>
      <c r="BB15" s="78">
        <f>'DJB Daily Readings'!EI23-'DJB Daily Readings'!EI22</f>
        <v>250</v>
      </c>
      <c r="BC15" s="78">
        <f>'DJB Daily Readings'!EQ23-'DJB Daily Readings'!EQ22</f>
        <v>2100</v>
      </c>
      <c r="BD15" s="78">
        <f>'DJB Daily Readings'!EK23-'DJB Daily Readings'!EK22</f>
        <v>1900</v>
      </c>
      <c r="BE15" s="78">
        <f>'DJB Daily Readings'!EM23-'DJB Daily Readings'!EM22</f>
        <v>300</v>
      </c>
      <c r="BF15" s="78">
        <f>'DJB Daily Readings'!EO23-'DJB Daily Readings'!EO22</f>
        <v>670</v>
      </c>
      <c r="BG15" s="78">
        <f>('DJB Daily Readings'!ET23-'DJB Daily Readings'!ET22)*1.89</f>
        <v>28.349999999999998</v>
      </c>
      <c r="BH15" s="78">
        <f>('DJB Daily Readings'!EV23-'DJB Daily Readings'!EV22)*1.89</f>
        <v>20.79</v>
      </c>
      <c r="BI15" s="78">
        <f>('DJB Daily Readings'!EZ23-'DJB Daily Readings'!EZ22)*1.89</f>
        <v>28.349999999999998</v>
      </c>
      <c r="BJ15" s="78">
        <f>('DJB Daily Readings'!EX23-'DJB Daily Readings'!EX22)*1.89</f>
        <v>15.12</v>
      </c>
      <c r="BK15" s="78">
        <f>('DJB Daily Readings'!FB23-'DJB Daily Readings'!FB22)*1.89</f>
        <v>56.699999999999996</v>
      </c>
      <c r="BL15" s="78">
        <f>'DJB Daily Readings'!J23</f>
        <v>139</v>
      </c>
    </row>
    <row r="16" spans="1:65" x14ac:dyDescent="0.25">
      <c r="A16" t="s">
        <v>14</v>
      </c>
      <c r="B16">
        <f t="shared" si="0"/>
        <v>15</v>
      </c>
      <c r="C16">
        <v>12</v>
      </c>
      <c r="D16">
        <v>2022</v>
      </c>
      <c r="E16" s="74">
        <f>237*0.68</f>
        <v>161.16000000000003</v>
      </c>
      <c r="F16" s="75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0">
        <f>('DJB Daily Readings'!BY24-'DJB Daily Readings'!BY23)*1.89</f>
        <v>39.69</v>
      </c>
      <c r="AE16" s="80">
        <f>('DJB Daily Readings'!CA24-'DJB Daily Readings'!CA23)*1.89</f>
        <v>35.909999999999997</v>
      </c>
      <c r="AF16" s="80">
        <f>('DJB Daily Readings'!CC24-'DJB Daily Readings'!CC23)*1.89</f>
        <v>13.229999999999999</v>
      </c>
      <c r="AG16" s="80">
        <f>('DJB Daily Readings'!CE24-'DJB Daily Readings'!CE23)*1.89</f>
        <v>17.009999999999998</v>
      </c>
      <c r="AH16" s="80">
        <f>('DJB Daily Readings'!CG24-'DJB Daily Readings'!CG23)*1.89</f>
        <v>28.349999999999998</v>
      </c>
      <c r="AI16" s="80">
        <f>('DJB Daily Readings'!CI24-'DJB Daily Readings'!CI23)*1.89</f>
        <v>58.589999999999996</v>
      </c>
      <c r="AJ16" s="77">
        <f>'DJB Daily Readings'!CY24-'DJB Daily Readings'!CY23</f>
        <v>3</v>
      </c>
      <c r="AK16" s="77">
        <f>'DJB Daily Readings'!CW24-'DJB Daily Readings'!CW23</f>
        <v>5</v>
      </c>
      <c r="AL16" s="78">
        <f>'DJB Daily Readings'!DC24-'DJB Daily Readings'!DC23</f>
        <v>13</v>
      </c>
      <c r="AM16" s="78">
        <f>'DJB Daily Readings'!DA24-'DJB Daily Readings'!DA23</f>
        <v>16</v>
      </c>
      <c r="AN16" s="78">
        <f>'DJB Daily Readings'!DG24-'DJB Daily Readings'!DG23</f>
        <v>6</v>
      </c>
      <c r="AO16" s="78">
        <f>'DJB Daily Readings'!DE24-'DJB Daily Readings'!DE23</f>
        <v>10</v>
      </c>
      <c r="AP16" s="78">
        <f>'DJB Daily Readings'!DK24-'DJB Daily Readings'!DK23</f>
        <v>7</v>
      </c>
      <c r="AQ16" s="78">
        <f>'DJB Daily Readings'!DI24-'DJB Daily Readings'!DI23</f>
        <v>10</v>
      </c>
      <c r="AR16" s="78">
        <f>'DJB Daily Readings'!DO24-'DJB Daily Readings'!DO23</f>
        <v>7</v>
      </c>
      <c r="AS16" s="78">
        <f>'DJB Daily Readings'!DM24-'DJB Daily Readings'!DM23</f>
        <v>4</v>
      </c>
      <c r="AT16" s="78">
        <f>'DJB Daily Readings'!DQ24-'DJB Daily Readings'!DQ23</f>
        <v>7</v>
      </c>
      <c r="AU16" s="78">
        <f>'DJB Daily Readings'!DT24-'DJB Daily Readings'!DT23</f>
        <v>11.5</v>
      </c>
      <c r="AW16" s="78">
        <f>'DJB Daily Readings'!DX24-'DJB Daily Readings'!DX23</f>
        <v>6.5</v>
      </c>
      <c r="AX16" s="78">
        <f>'DJB Daily Readings'!DZ24-'DJB Daily Readings'!DZ23</f>
        <v>6.3999999999996362</v>
      </c>
      <c r="AY16" s="78">
        <f>'DJB Daily Readings'!EB24-'DJB Daily Readings'!EB23</f>
        <v>578</v>
      </c>
      <c r="AZ16" s="78">
        <f>'DJB Daily Readings'!ED24-'DJB Daily Readings'!ED23</f>
        <v>131.89999999999418</v>
      </c>
      <c r="BA16" s="78">
        <f>'DJB Daily Readings'!EG24-'DJB Daily Readings'!EG23</f>
        <v>3500</v>
      </c>
      <c r="BB16" s="78">
        <f>'DJB Daily Readings'!EI24-'DJB Daily Readings'!EI23</f>
        <v>250</v>
      </c>
      <c r="BC16" s="78">
        <f>'DJB Daily Readings'!EQ24-'DJB Daily Readings'!EQ23</f>
        <v>2000</v>
      </c>
      <c r="BD16" s="78">
        <f>'DJB Daily Readings'!EK24-'DJB Daily Readings'!EK23</f>
        <v>2000</v>
      </c>
      <c r="BE16" s="78">
        <f>'DJB Daily Readings'!EM24-'DJB Daily Readings'!EM23</f>
        <v>400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20.79</v>
      </c>
      <c r="BI16" s="78">
        <f>('DJB Daily Readings'!EZ24-'DJB Daily Readings'!EZ23)*1.89</f>
        <v>26.459999999999997</v>
      </c>
      <c r="BJ16" s="78">
        <f>('DJB Daily Readings'!EX24-'DJB Daily Readings'!EX23)*1.89</f>
        <v>15.12</v>
      </c>
      <c r="BK16" s="78">
        <f>('DJB Daily Readings'!FB24-'DJB Daily Readings'!FB23)*1.89</f>
        <v>58.589999999999996</v>
      </c>
      <c r="BL16" s="78">
        <f>'DJB Daily Readings'!J24</f>
        <v>142</v>
      </c>
    </row>
    <row r="17" spans="1:64" x14ac:dyDescent="0.25">
      <c r="A17" t="s">
        <v>14</v>
      </c>
      <c r="B17">
        <f t="shared" si="0"/>
        <v>16</v>
      </c>
      <c r="C17">
        <v>12</v>
      </c>
      <c r="D17">
        <v>2022</v>
      </c>
      <c r="E17" s="74">
        <f>237*0.74</f>
        <v>175.38</v>
      </c>
      <c r="F17" s="75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0">
        <f>('DJB Daily Readings'!BY25-'DJB Daily Readings'!BY24)*1.89</f>
        <v>35.909999999999997</v>
      </c>
      <c r="AE17" s="80">
        <f>('DJB Daily Readings'!CA25-'DJB Daily Readings'!CA24)*1.89</f>
        <v>32.129999999999995</v>
      </c>
      <c r="AF17" s="80">
        <f>('DJB Daily Readings'!CC25-'DJB Daily Readings'!CC24)*1.89</f>
        <v>13.229999999999999</v>
      </c>
      <c r="AG17" s="80">
        <f>('DJB Daily Readings'!CE25-'DJB Daily Readings'!CE24)*1.89</f>
        <v>18.899999999999999</v>
      </c>
      <c r="AH17" s="80">
        <f>('DJB Daily Readings'!CG25-'DJB Daily Readings'!CG24)*1.89</f>
        <v>26.459999999999997</v>
      </c>
      <c r="AI17" s="80">
        <f>('DJB Daily Readings'!CI25-'DJB Daily Readings'!CI24)*1.89</f>
        <v>60.48</v>
      </c>
      <c r="AJ17" s="77">
        <f>'DJB Daily Readings'!CY25-'DJB Daily Readings'!CY24</f>
        <v>3</v>
      </c>
      <c r="AK17" s="77">
        <f>'DJB Daily Readings'!CW25-'DJB Daily Readings'!CW24</f>
        <v>5</v>
      </c>
      <c r="AL17" s="78">
        <f>'DJB Daily Readings'!DC25-'DJB Daily Readings'!DC24</f>
        <v>12</v>
      </c>
      <c r="AM17" s="78">
        <f>'DJB Daily Readings'!DA25-'DJB Daily Readings'!DA24</f>
        <v>14</v>
      </c>
      <c r="AN17" s="78">
        <f>'DJB Daily Readings'!DG25-'DJB Daily Readings'!DG24</f>
        <v>6</v>
      </c>
      <c r="AO17" s="78">
        <f>'DJB Daily Readings'!DE25-'DJB Daily Readings'!DE24</f>
        <v>9</v>
      </c>
      <c r="AP17" s="78">
        <f>'DJB Daily Readings'!DK25-'DJB Daily Readings'!DK24</f>
        <v>7</v>
      </c>
      <c r="AQ17" s="78">
        <f>'DJB Daily Readings'!DI25-'DJB Daily Readings'!DI24</f>
        <v>9</v>
      </c>
      <c r="AR17" s="78">
        <f>'DJB Daily Readings'!DO25-'DJB Daily Readings'!DO24</f>
        <v>7</v>
      </c>
      <c r="AS17" s="78">
        <f>'DJB Daily Readings'!DM25-'DJB Daily Readings'!DM24</f>
        <v>4</v>
      </c>
      <c r="AT17" s="78">
        <f>'DJB Daily Readings'!DQ25-'DJB Daily Readings'!DQ24</f>
        <v>0</v>
      </c>
      <c r="AU17" s="78">
        <f>'DJB Daily Readings'!DT25-'DJB Daily Readings'!DT24</f>
        <v>11.5</v>
      </c>
      <c r="AW17" s="78">
        <f>'DJB Daily Readings'!DX25-'DJB Daily Readings'!DX24</f>
        <v>6.2000000000007276</v>
      </c>
      <c r="AX17" s="78">
        <f>'DJB Daily Readings'!DZ25-'DJB Daily Readings'!DZ24</f>
        <v>7.4000000000005457</v>
      </c>
      <c r="AY17" s="78">
        <f>'DJB Daily Readings'!EB25-'DJB Daily Readings'!EB24</f>
        <v>597</v>
      </c>
      <c r="AZ17" s="78">
        <f>'DJB Daily Readings'!ED25-'DJB Daily Readings'!ED24</f>
        <v>132</v>
      </c>
      <c r="BA17" s="78">
        <f>'DJB Daily Readings'!EG25-'DJB Daily Readings'!EG24</f>
        <v>3500</v>
      </c>
      <c r="BB17" s="78">
        <f>'DJB Daily Readings'!EI25-'DJB Daily Readings'!EI24</f>
        <v>260</v>
      </c>
      <c r="BC17" s="78">
        <f>'DJB Daily Readings'!EQ25-'DJB Daily Readings'!EQ24</f>
        <v>4100</v>
      </c>
      <c r="BD17" s="78">
        <f>'DJB Daily Readings'!EK25-'DJB Daily Readings'!EK24</f>
        <v>1800</v>
      </c>
      <c r="BE17" s="78">
        <f>'DJB Daily Readings'!EM25-'DJB Daily Readings'!EM24</f>
        <v>300</v>
      </c>
      <c r="BF17" s="78">
        <f>'DJB Daily Readings'!EO25-'DJB Daily Readings'!EO24</f>
        <v>640</v>
      </c>
      <c r="BG17" s="78">
        <f>('DJB Daily Readings'!ET25-'DJB Daily Readings'!ET24)*1.89</f>
        <v>32.129999999999995</v>
      </c>
      <c r="BH17" s="78">
        <f>('DJB Daily Readings'!EV25-'DJB Daily Readings'!EV24)*1.89</f>
        <v>18.899999999999999</v>
      </c>
      <c r="BI17" s="78">
        <f>('DJB Daily Readings'!EZ25-'DJB Daily Readings'!EZ24)*1.89</f>
        <v>30.24</v>
      </c>
      <c r="BJ17" s="78">
        <f>('DJB Daily Readings'!EX25-'DJB Daily Readings'!EX24)*1.89</f>
        <v>18.899999999999999</v>
      </c>
      <c r="BK17" s="78">
        <f>('DJB Daily Readings'!FB25-'DJB Daily Readings'!FB24)*1.89</f>
        <v>68.039999999999992</v>
      </c>
      <c r="BL17" s="78">
        <f>'DJB Daily Readings'!J25</f>
        <v>154</v>
      </c>
    </row>
    <row r="18" spans="1:64" x14ac:dyDescent="0.25">
      <c r="A18" t="s">
        <v>14</v>
      </c>
      <c r="B18">
        <f t="shared" si="0"/>
        <v>17</v>
      </c>
      <c r="C18">
        <v>12</v>
      </c>
      <c r="D18">
        <v>2022</v>
      </c>
      <c r="E18" s="74">
        <f>237*0.67</f>
        <v>158.79000000000002</v>
      </c>
      <c r="F18" s="75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0">
        <f>('DJB Daily Readings'!BY26-'DJB Daily Readings'!BY25)*1.89</f>
        <v>39.69</v>
      </c>
      <c r="AE18" s="80">
        <f>('DJB Daily Readings'!CA26-'DJB Daily Readings'!CA25)*1.89</f>
        <v>39.69</v>
      </c>
      <c r="AF18" s="80">
        <f>('DJB Daily Readings'!CC26-'DJB Daily Readings'!CC25)*1.89</f>
        <v>13.229999999999999</v>
      </c>
      <c r="AG18" s="80">
        <f>('DJB Daily Readings'!CE26-'DJB Daily Readings'!CE25)*1.89</f>
        <v>18.899999999999999</v>
      </c>
      <c r="AH18" s="80">
        <f>('DJB Daily Readings'!CG26-'DJB Daily Readings'!CG25)*1.89</f>
        <v>30.24</v>
      </c>
      <c r="AI18" s="80">
        <f>('DJB Daily Readings'!CI26-'DJB Daily Readings'!CI25)*1.89</f>
        <v>62.37</v>
      </c>
      <c r="AJ18" s="77">
        <f>'DJB Daily Readings'!CY26-'DJB Daily Readings'!CY25</f>
        <v>3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15</v>
      </c>
      <c r="AN18" s="78">
        <f>'DJB Daily Readings'!DG26-'DJB Daily Readings'!DG25</f>
        <v>6</v>
      </c>
      <c r="AO18" s="78">
        <f>'DJB Daily Readings'!DE26-'DJB Daily Readings'!DE25</f>
        <v>9</v>
      </c>
      <c r="AP18" s="78">
        <f>'DJB Daily Readings'!DK26-'DJB Daily Readings'!DK25</f>
        <v>7</v>
      </c>
      <c r="AQ18" s="78">
        <f>'DJB Daily Readings'!DI26-'DJB Daily Readings'!DI25</f>
        <v>9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0</v>
      </c>
      <c r="AU18" s="78">
        <f>'DJB Daily Readings'!DT26-'DJB Daily Readings'!DT25</f>
        <v>11.600000000000364</v>
      </c>
      <c r="AW18" s="78">
        <f>'DJB Daily Readings'!DX26-'DJB Daily Readings'!DX25</f>
        <v>6.7999999999992724</v>
      </c>
      <c r="AX18" s="78">
        <f>'DJB Daily Readings'!DZ26-'DJB Daily Readings'!DZ25</f>
        <v>8</v>
      </c>
      <c r="AY18" s="78">
        <f>'DJB Daily Readings'!EB26-'DJB Daily Readings'!EB25</f>
        <v>637</v>
      </c>
      <c r="AZ18" s="78">
        <f>'DJB Daily Readings'!ED26-'DJB Daily Readings'!ED25</f>
        <v>136</v>
      </c>
      <c r="BA18" s="78">
        <f>'DJB Daily Readings'!EG26-'DJB Daily Readings'!EG25</f>
        <v>3400</v>
      </c>
      <c r="BB18" s="78">
        <f>'DJB Daily Readings'!EI26-'DJB Daily Readings'!EI25</f>
        <v>270</v>
      </c>
      <c r="BC18" s="78">
        <f>'DJB Daily Readings'!EQ26-'DJB Daily Readings'!EQ25</f>
        <v>500</v>
      </c>
      <c r="BD18" s="78">
        <f>'DJB Daily Readings'!EK26-'DJB Daily Readings'!EK25</f>
        <v>1900</v>
      </c>
      <c r="BE18" s="78">
        <f>'DJB Daily Readings'!EM26-'DJB Daily Readings'!EM25</f>
        <v>300</v>
      </c>
      <c r="BF18" s="78">
        <f>'DJB Daily Readings'!EO26-'DJB Daily Readings'!EO25</f>
        <v>690</v>
      </c>
      <c r="BG18" s="78">
        <f>('DJB Daily Readings'!ET26-'DJB Daily Readings'!ET25)*1.89</f>
        <v>35.909999999999997</v>
      </c>
      <c r="BH18" s="78">
        <f>('DJB Daily Readings'!EV26-'DJB Daily Readings'!EV25)*1.89</f>
        <v>22.68</v>
      </c>
      <c r="BI18" s="78">
        <f>('DJB Daily Readings'!EZ26-'DJB Daily Readings'!EZ25)*1.89</f>
        <v>22.68</v>
      </c>
      <c r="BJ18" s="78">
        <f>('DJB Daily Readings'!EX26-'DJB Daily Readings'!EX25)*1.89</f>
        <v>20.79</v>
      </c>
      <c r="BK18" s="78">
        <f>('DJB Daily Readings'!FB26-'DJB Daily Readings'!FB25)*1.89</f>
        <v>71.819999999999993</v>
      </c>
      <c r="BL18" s="78">
        <f>'DJB Daily Readings'!J26</f>
        <v>165</v>
      </c>
    </row>
    <row r="19" spans="1:64" x14ac:dyDescent="0.25">
      <c r="A19" t="s">
        <v>14</v>
      </c>
      <c r="B19">
        <f t="shared" si="0"/>
        <v>18</v>
      </c>
      <c r="C19">
        <v>12</v>
      </c>
      <c r="D19">
        <v>2022</v>
      </c>
      <c r="E19" s="74">
        <f>237*0.57</f>
        <v>135.08999999999997</v>
      </c>
      <c r="F19" s="75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0">
        <f>('DJB Daily Readings'!BY27-'DJB Daily Readings'!BY26)*1.89</f>
        <v>34.019999999999996</v>
      </c>
      <c r="AE19" s="80">
        <f>('DJB Daily Readings'!CA27-'DJB Daily Readings'!CA26)*1.89</f>
        <v>34.019999999999996</v>
      </c>
      <c r="AF19" s="80">
        <f>('DJB Daily Readings'!CC27-'DJB Daily Readings'!CC26)*1.89</f>
        <v>9.4499999999999993</v>
      </c>
      <c r="AG19" s="80">
        <f>('DJB Daily Readings'!CE27-'DJB Daily Readings'!CE26)*1.89</f>
        <v>20.79</v>
      </c>
      <c r="AH19" s="80">
        <f>('DJB Daily Readings'!CG27-'DJB Daily Readings'!CG26)*1.89</f>
        <v>24.57</v>
      </c>
      <c r="AI19" s="80">
        <f>('DJB Daily Readings'!CI27-'DJB Daily Readings'!CI26)*1.89</f>
        <v>52.919999999999995</v>
      </c>
      <c r="AJ19" s="77">
        <f>'DJB Daily Readings'!CY27-'DJB Daily Readings'!CY26</f>
        <v>9</v>
      </c>
      <c r="AK19" s="77">
        <f>'DJB Daily Readings'!CW27-'DJB Daily Readings'!CW26</f>
        <v>13</v>
      </c>
      <c r="AL19" s="78">
        <f>'DJB Daily Readings'!DC27-'DJB Daily Readings'!DC26</f>
        <v>15</v>
      </c>
      <c r="AM19" s="78">
        <f>'DJB Daily Readings'!DA27-'DJB Daily Readings'!DA26</f>
        <v>21</v>
      </c>
      <c r="AN19" s="78">
        <f>'DJB Daily Readings'!DG27-'DJB Daily Readings'!DG26</f>
        <v>4</v>
      </c>
      <c r="AO19" s="78">
        <f>'DJB Daily Readings'!DE27-'DJB Daily Readings'!DE26</f>
        <v>12</v>
      </c>
      <c r="AP19" s="78">
        <f>'DJB Daily Readings'!DK27-'DJB Daily Readings'!DK26</f>
        <v>17</v>
      </c>
      <c r="AQ19" s="78">
        <f>'DJB Daily Readings'!DI27-'DJB Daily Readings'!DI26</f>
        <v>13</v>
      </c>
      <c r="AR19" s="78">
        <f>'DJB Daily Readings'!DO27-'DJB Daily Readings'!DO26</f>
        <v>10</v>
      </c>
      <c r="AS19" s="78">
        <f>'DJB Daily Readings'!DM27-'DJB Daily Readings'!DM26</f>
        <v>5</v>
      </c>
      <c r="AT19" s="78">
        <f>'DJB Daily Readings'!DQ27-'DJB Daily Readings'!DQ26</f>
        <v>0</v>
      </c>
      <c r="AU19" s="78">
        <f>'DJB Daily Readings'!DT27-'DJB Daily Readings'!DT26</f>
        <v>10.300000000000182</v>
      </c>
      <c r="AW19" s="78">
        <f>'DJB Daily Readings'!DX27-'DJB Daily Readings'!DX26</f>
        <v>6.1000000000003638</v>
      </c>
      <c r="AX19" s="78">
        <f>'DJB Daily Readings'!DZ27-'DJB Daily Readings'!DZ26</f>
        <v>6.7999999999992724</v>
      </c>
      <c r="AY19" s="78">
        <f>'DJB Daily Readings'!EB27-'DJB Daily Readings'!EB26</f>
        <v>480</v>
      </c>
      <c r="AZ19" s="78">
        <f>'DJB Daily Readings'!ED27-'DJB Daily Readings'!ED26</f>
        <v>129.60000000000582</v>
      </c>
      <c r="BA19" s="78">
        <f>'DJB Daily Readings'!EG27-'DJB Daily Readings'!EG26</f>
        <v>3200</v>
      </c>
      <c r="BB19" s="78">
        <f>'DJB Daily Readings'!EI27-'DJB Daily Readings'!EI26</f>
        <v>210</v>
      </c>
      <c r="BC19" s="78">
        <f>'DJB Daily Readings'!EQ27-'DJB Daily Readings'!EQ26</f>
        <v>2200</v>
      </c>
      <c r="BD19" s="78">
        <f>'DJB Daily Readings'!EK27-'DJB Daily Readings'!EK26</f>
        <v>1600</v>
      </c>
      <c r="BE19" s="78">
        <f>'DJB Daily Readings'!EM27-'DJB Daily Readings'!EM26</f>
        <v>400</v>
      </c>
      <c r="BF19" s="78">
        <f>'DJB Daily Readings'!EO27-'DJB Daily Readings'!EO26</f>
        <v>580</v>
      </c>
      <c r="BG19" s="78">
        <f>('DJB Daily Readings'!ET27-'DJB Daily Readings'!ET26)*1.89</f>
        <v>30.24</v>
      </c>
      <c r="BH19" s="78">
        <f>('DJB Daily Readings'!EV27-'DJB Daily Readings'!EV26)*1.89</f>
        <v>18.899999999999999</v>
      </c>
      <c r="BI19" s="78">
        <f>('DJB Daily Readings'!EZ27-'DJB Daily Readings'!EZ26)*1.89</f>
        <v>22.68</v>
      </c>
      <c r="BJ19" s="78">
        <f>('DJB Daily Readings'!EX27-'DJB Daily Readings'!EX26)*1.89</f>
        <v>17.009999999999998</v>
      </c>
      <c r="BK19" s="78">
        <f>('DJB Daily Readings'!FB27-'DJB Daily Readings'!FB26)*1.89</f>
        <v>49.14</v>
      </c>
      <c r="BL19" s="78">
        <f>'DJB Daily Readings'!J27</f>
        <v>159</v>
      </c>
    </row>
    <row r="20" spans="1:64" x14ac:dyDescent="0.25">
      <c r="A20" t="s">
        <v>14</v>
      </c>
      <c r="B20">
        <f t="shared" si="0"/>
        <v>19</v>
      </c>
      <c r="C20">
        <v>12</v>
      </c>
      <c r="D20">
        <v>2022</v>
      </c>
      <c r="E20" s="74">
        <f>237*0.67</f>
        <v>158.79000000000002</v>
      </c>
      <c r="F20" s="75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0">
        <f>('DJB Daily Readings'!BY28-'DJB Daily Readings'!BY27)*1.89</f>
        <v>37.799999999999997</v>
      </c>
      <c r="AE20" s="80">
        <f>('DJB Daily Readings'!CA28-'DJB Daily Readings'!CA27)*1.89</f>
        <v>35.909999999999997</v>
      </c>
      <c r="AF20" s="80">
        <f>('DJB Daily Readings'!CC28-'DJB Daily Readings'!CC27)*1.89</f>
        <v>11.34</v>
      </c>
      <c r="AG20" s="80">
        <f>('DJB Daily Readings'!CE28-'DJB Daily Readings'!CE27)*1.89</f>
        <v>20.79</v>
      </c>
      <c r="AH20" s="80">
        <f>('DJB Daily Readings'!CG28-'DJB Daily Readings'!CG27)*1.89</f>
        <v>28.349999999999998</v>
      </c>
      <c r="AI20" s="80">
        <f>('DJB Daily Readings'!CI28-'DJB Daily Readings'!CI27)*1.89</f>
        <v>58.589999999999996</v>
      </c>
      <c r="AJ20" s="77">
        <f>'DJB Daily Readings'!CY28-'DJB Daily Readings'!CY27</f>
        <v>5</v>
      </c>
      <c r="AK20" s="77">
        <f>'DJB Daily Readings'!CW28-'DJB Daily Readings'!CW27</f>
        <v>7</v>
      </c>
      <c r="AL20" s="78">
        <f>'DJB Daily Readings'!DC28-'DJB Daily Readings'!DC27</f>
        <v>13</v>
      </c>
      <c r="AM20" s="78">
        <f>'DJB Daily Readings'!DA28-'DJB Daily Readings'!DA27</f>
        <v>14</v>
      </c>
      <c r="AN20" s="78">
        <f>'DJB Daily Readings'!DG28-'DJB Daily Readings'!DG27</f>
        <v>7</v>
      </c>
      <c r="AO20" s="78">
        <f>'DJB Daily Readings'!DE28-'DJB Daily Readings'!DE27</f>
        <v>9</v>
      </c>
      <c r="AP20" s="78">
        <f>'DJB Daily Readings'!DK28-'DJB Daily Readings'!DK27</f>
        <v>7</v>
      </c>
      <c r="AQ20" s="78">
        <f>'DJB Daily Readings'!DI28-'DJB Daily Readings'!DI27</f>
        <v>10</v>
      </c>
      <c r="AR20" s="78">
        <f>'DJB Daily Readings'!DO28-'DJB Daily Readings'!DO27</f>
        <v>7</v>
      </c>
      <c r="AS20" s="78">
        <f>'DJB Daily Readings'!DM28-'DJB Daily Readings'!DM27</f>
        <v>4</v>
      </c>
      <c r="AT20" s="78">
        <f>'DJB Daily Readings'!DQ28-'DJB Daily Readings'!DQ27</f>
        <v>5</v>
      </c>
      <c r="AU20" s="78">
        <f>'DJB Daily Readings'!DT28-'DJB Daily Readings'!DT27</f>
        <v>10.799999999999272</v>
      </c>
      <c r="AW20" s="78">
        <f>'DJB Daily Readings'!DX28-'DJB Daily Readings'!DX27</f>
        <v>6.6000000000003638</v>
      </c>
      <c r="AX20" s="78">
        <f>'DJB Daily Readings'!DZ28-'DJB Daily Readings'!DZ27</f>
        <v>5.9000000000005457</v>
      </c>
      <c r="AY20" s="78">
        <f>'DJB Daily Readings'!EB28-'DJB Daily Readings'!EB27</f>
        <v>565</v>
      </c>
      <c r="AZ20" s="78">
        <f>'DJB Daily Readings'!ED28-'DJB Daily Readings'!ED27</f>
        <v>129.89999999999418</v>
      </c>
      <c r="BA20" s="78">
        <f>'DJB Daily Readings'!EG28-'DJB Daily Readings'!EG27</f>
        <v>3100</v>
      </c>
      <c r="BB20" s="78">
        <f>'DJB Daily Readings'!EI28-'DJB Daily Readings'!EI27</f>
        <v>240</v>
      </c>
      <c r="BC20" s="78">
        <f>'DJB Daily Readings'!EQ28-'DJB Daily Readings'!EQ27</f>
        <v>1900</v>
      </c>
      <c r="BD20" s="78">
        <f>'DJB Daily Readings'!EK28-'DJB Daily Readings'!EK27</f>
        <v>1700</v>
      </c>
      <c r="BE20" s="78">
        <f>'DJB Daily Readings'!EM28-'DJB Daily Readings'!EM27</f>
        <v>300</v>
      </c>
      <c r="BF20" s="78">
        <f>'DJB Daily Readings'!EO28-'DJB Daily Readings'!EO27</f>
        <v>610</v>
      </c>
      <c r="BG20" s="78">
        <f>('DJB Daily Readings'!ET28-'DJB Daily Readings'!ET27)*1.89</f>
        <v>30.24</v>
      </c>
      <c r="BH20" s="78">
        <f>('DJB Daily Readings'!EV28-'DJB Daily Readings'!EV27)*1.89</f>
        <v>22.68</v>
      </c>
      <c r="BI20" s="78">
        <f>('DJB Daily Readings'!EZ28-'DJB Daily Readings'!EZ27)*1.89</f>
        <v>24.57</v>
      </c>
      <c r="BJ20" s="78">
        <f>('DJB Daily Readings'!EX28-'DJB Daily Readings'!EX27)*1.89</f>
        <v>18.899999999999999</v>
      </c>
      <c r="BK20" s="78">
        <f>('DJB Daily Readings'!FB28-'DJB Daily Readings'!FB27)*1.89</f>
        <v>60.48</v>
      </c>
      <c r="BL20" s="78">
        <f>'DJB Daily Readings'!J28</f>
        <v>123</v>
      </c>
    </row>
    <row r="21" spans="1:64" x14ac:dyDescent="0.25">
      <c r="A21" t="s">
        <v>14</v>
      </c>
      <c r="B21">
        <f t="shared" si="0"/>
        <v>20</v>
      </c>
      <c r="C21">
        <v>12</v>
      </c>
      <c r="D21">
        <v>2022</v>
      </c>
      <c r="E21" s="74">
        <f>237*0.72</f>
        <v>170.64</v>
      </c>
      <c r="F21" s="75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0">
        <f>('DJB Daily Readings'!BY29-'DJB Daily Readings'!BY28)*1.89</f>
        <v>37.799999999999997</v>
      </c>
      <c r="AE21" s="80">
        <f>('DJB Daily Readings'!CA29-'DJB Daily Readings'!CA28)*1.89</f>
        <v>35.909999999999997</v>
      </c>
      <c r="AF21" s="80">
        <f>('DJB Daily Readings'!CC29-'DJB Daily Readings'!CC28)*1.89</f>
        <v>13.229999999999999</v>
      </c>
      <c r="AG21" s="80">
        <f>('DJB Daily Readings'!CE29-'DJB Daily Readings'!CE28)*1.89</f>
        <v>18.899999999999999</v>
      </c>
      <c r="AH21" s="80">
        <f>('DJB Daily Readings'!CG29-'DJB Daily Readings'!CG28)*1.89</f>
        <v>28.349999999999998</v>
      </c>
      <c r="AI21" s="80">
        <f>('DJB Daily Readings'!CI29-'DJB Daily Readings'!CI28)*1.89</f>
        <v>60.48</v>
      </c>
      <c r="AJ21" s="77">
        <f>'DJB Daily Readings'!CY29-'DJB Daily Readings'!CY28</f>
        <v>5</v>
      </c>
      <c r="AK21" s="77">
        <f>'DJB Daily Readings'!CW29-'DJB Daily Readings'!CW28</f>
        <v>6</v>
      </c>
      <c r="AL21" s="78">
        <f>'DJB Daily Readings'!DC29-'DJB Daily Readings'!DC28</f>
        <v>13</v>
      </c>
      <c r="AM21" s="78">
        <f>'DJB Daily Readings'!DA29-'DJB Daily Readings'!DA28</f>
        <v>14</v>
      </c>
      <c r="AN21" s="78">
        <f>'DJB Daily Readings'!DG29-'DJB Daily Readings'!DG28</f>
        <v>6</v>
      </c>
      <c r="AO21" s="78">
        <f>'DJB Daily Readings'!DE29-'DJB Daily Readings'!DE28</f>
        <v>11</v>
      </c>
      <c r="AP21" s="78">
        <f>'DJB Daily Readings'!DK29-'DJB Daily Readings'!DK28</f>
        <v>6</v>
      </c>
      <c r="AQ21" s="78">
        <f>'DJB Daily Readings'!DI29-'DJB Daily Readings'!DI28</f>
        <v>7</v>
      </c>
      <c r="AR21" s="78">
        <f>'DJB Daily Readings'!DO29-'DJB Daily Readings'!DO28</f>
        <v>8</v>
      </c>
      <c r="AS21" s="78">
        <f>'DJB Daily Readings'!DM29-'DJB Daily Readings'!DM28</f>
        <v>4</v>
      </c>
      <c r="AT21" s="78">
        <f>'DJB Daily Readings'!DQ29-'DJB Daily Readings'!DQ28</f>
        <v>7</v>
      </c>
      <c r="AU21" s="78">
        <f>'DJB Daily Readings'!DT29-'DJB Daily Readings'!DT28</f>
        <v>11.200000000000728</v>
      </c>
      <c r="AW21" s="78">
        <f>'DJB Daily Readings'!DX29-'DJB Daily Readings'!DX28</f>
        <v>6.5999999999994543</v>
      </c>
      <c r="AX21" s="78">
        <f>'DJB Daily Readings'!DZ29-'DJB Daily Readings'!DZ28</f>
        <v>6</v>
      </c>
      <c r="AY21" s="78">
        <f>'DJB Daily Readings'!EB29-'DJB Daily Readings'!EB28</f>
        <v>568</v>
      </c>
      <c r="AZ21" s="78">
        <f>'DJB Daily Readings'!ED29-'DJB Daily Readings'!ED28</f>
        <v>133</v>
      </c>
      <c r="BA21" s="78">
        <f>'DJB Daily Readings'!EG29-'DJB Daily Readings'!EG28</f>
        <v>2900</v>
      </c>
      <c r="BB21" s="78">
        <f>'DJB Daily Readings'!EI29-'DJB Daily Readings'!EI28</f>
        <v>180</v>
      </c>
      <c r="BC21" s="78">
        <f>'DJB Daily Readings'!EQ29-'DJB Daily Readings'!EQ28</f>
        <v>1900</v>
      </c>
      <c r="BD21" s="78">
        <f>'DJB Daily Readings'!EK29-'DJB Daily Readings'!EK28</f>
        <v>1500</v>
      </c>
      <c r="BE21" s="78">
        <f>'DJB Daily Readings'!EM29-'DJB Daily Readings'!EM28</f>
        <v>300</v>
      </c>
      <c r="BF21" s="78">
        <f>'DJB Daily Readings'!EO29-'DJB Daily Readings'!EO28</f>
        <v>570</v>
      </c>
      <c r="BG21" s="78">
        <f>('DJB Daily Readings'!ET29-'DJB Daily Readings'!ET28)*1.89</f>
        <v>26.459999999999997</v>
      </c>
      <c r="BH21" s="78">
        <f>('DJB Daily Readings'!EV29-'DJB Daily Readings'!EV28)*1.89</f>
        <v>22.68</v>
      </c>
      <c r="BI21" s="78">
        <f>('DJB Daily Readings'!EZ29-'DJB Daily Readings'!EZ28)*1.89</f>
        <v>34.019999999999996</v>
      </c>
      <c r="BJ21" s="78">
        <f>('DJB Daily Readings'!EX29-'DJB Daily Readings'!EX28)*1.89</f>
        <v>13.229999999999999</v>
      </c>
      <c r="BK21" s="78">
        <f>('DJB Daily Readings'!FB29-'DJB Daily Readings'!FB28)*1.89</f>
        <v>60.48</v>
      </c>
      <c r="BL21" s="78">
        <f>'DJB Daily Readings'!J29</f>
        <v>151</v>
      </c>
    </row>
    <row r="22" spans="1:64" x14ac:dyDescent="0.25">
      <c r="A22" t="s">
        <v>14</v>
      </c>
      <c r="B22">
        <f t="shared" si="0"/>
        <v>21</v>
      </c>
      <c r="C22">
        <v>12</v>
      </c>
      <c r="D22">
        <v>2022</v>
      </c>
      <c r="E22" s="74">
        <f>237*0.72</f>
        <v>170.64</v>
      </c>
      <c r="F22" s="75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">
        <f>'DJB Daily Readings'!O30-'DJB Daily Readings'!O29</f>
        <v>88</v>
      </c>
      <c r="L22" s="3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0">
        <f>('DJB Daily Readings'!BY30-'DJB Daily Readings'!BY29)*1.89</f>
        <v>39.69</v>
      </c>
      <c r="AE22" s="80">
        <f>('DJB Daily Readings'!CA30-'DJB Daily Readings'!CA29)*1.89</f>
        <v>35.909999999999997</v>
      </c>
      <c r="AF22" s="80">
        <f>('DJB Daily Readings'!CC30-'DJB Daily Readings'!CC29)*1.89</f>
        <v>11.34</v>
      </c>
      <c r="AG22" s="80">
        <f>('DJB Daily Readings'!CE30-'DJB Daily Readings'!CE29)*1.89</f>
        <v>22.68</v>
      </c>
      <c r="AH22" s="80">
        <f>('DJB Daily Readings'!CG30-'DJB Daily Readings'!CG29)*1.89</f>
        <v>26.459999999999997</v>
      </c>
      <c r="AI22" s="80">
        <f>('DJB Daily Readings'!CI30-'DJB Daily Readings'!CI29)*1.89</f>
        <v>66.149999999999991</v>
      </c>
      <c r="AJ22" s="77">
        <f>'DJB Daily Readings'!CY30-'DJB Daily Readings'!CY29</f>
        <v>7</v>
      </c>
      <c r="AK22" s="77">
        <f>'DJB Daily Readings'!CW30-'DJB Daily Readings'!CW29</f>
        <v>10</v>
      </c>
      <c r="AL22" s="78">
        <f>'DJB Daily Readings'!DC30-'DJB Daily Readings'!DC29</f>
        <v>13</v>
      </c>
      <c r="AM22" s="78">
        <f>'DJB Daily Readings'!DA30-'DJB Daily Readings'!DA29</f>
        <v>16</v>
      </c>
      <c r="AN22" s="78">
        <f>'DJB Daily Readings'!DG30-'DJB Daily Readings'!DG29</f>
        <v>7</v>
      </c>
      <c r="AO22" s="78">
        <f>'DJB Daily Readings'!DE30-'DJB Daily Readings'!DE29</f>
        <v>10</v>
      </c>
      <c r="AP22" s="78">
        <f>'DJB Daily Readings'!DK30-'DJB Daily Readings'!DK29</f>
        <v>6</v>
      </c>
      <c r="AQ22" s="78">
        <f>'DJB Daily Readings'!DI30-'DJB Daily Readings'!DI29</f>
        <v>8</v>
      </c>
      <c r="AR22" s="78">
        <f>'DJB Daily Readings'!DO30-'DJB Daily Readings'!DO29</f>
        <v>8</v>
      </c>
      <c r="AS22" s="78">
        <f>'DJB Daily Readings'!DM30-'DJB Daily Readings'!DM29</f>
        <v>5</v>
      </c>
      <c r="AT22" s="78">
        <f>'DJB Daily Readings'!DQ30-'DJB Daily Readings'!DQ29</f>
        <v>3</v>
      </c>
      <c r="AU22" s="78">
        <f>'DJB Daily Readings'!DT30-'DJB Daily Readings'!DT29</f>
        <v>11.5</v>
      </c>
      <c r="AW22" s="78">
        <f>'DJB Daily Readings'!DX30-'DJB Daily Readings'!DX29</f>
        <v>6.5</v>
      </c>
      <c r="AX22" s="78">
        <f>'DJB Daily Readings'!DZ30-'DJB Daily Readings'!DZ29</f>
        <v>5.8999999999996362</v>
      </c>
      <c r="AY22" s="78">
        <f>'DJB Daily Readings'!EB30-'DJB Daily Readings'!EB29</f>
        <v>557</v>
      </c>
      <c r="AZ22" s="78">
        <f>'DJB Daily Readings'!ED30-'DJB Daily Readings'!ED29</f>
        <v>130.89999999999418</v>
      </c>
      <c r="BA22" s="78">
        <f>'DJB Daily Readings'!EG30-'DJB Daily Readings'!EG29</f>
        <v>3100</v>
      </c>
      <c r="BB22" s="78">
        <f>'DJB Daily Readings'!EI30-'DJB Daily Readings'!EI29</f>
        <v>270</v>
      </c>
      <c r="BC22" s="78">
        <f>'DJB Daily Readings'!EQ30-'DJB Daily Readings'!EQ29</f>
        <v>2200</v>
      </c>
      <c r="BD22" s="78">
        <f>'DJB Daily Readings'!EK30-'DJB Daily Readings'!EK29</f>
        <v>1800</v>
      </c>
      <c r="BE22" s="78">
        <f>'DJB Daily Readings'!EM30-'DJB Daily Readings'!EM29</f>
        <v>100</v>
      </c>
      <c r="BF22" s="78">
        <f>'DJB Daily Readings'!EO30-'DJB Daily Readings'!EO29</f>
        <v>700</v>
      </c>
      <c r="BG22" s="78">
        <f>('DJB Daily Readings'!ET30-'DJB Daily Readings'!ET29)*1.89</f>
        <v>28.349999999999998</v>
      </c>
      <c r="BH22" s="78">
        <f>('DJB Daily Readings'!EV30-'DJB Daily Readings'!EV29)*1.89</f>
        <v>22.68</v>
      </c>
      <c r="BI22" s="78">
        <f>('DJB Daily Readings'!EZ30-'DJB Daily Readings'!EZ29)*1.89</f>
        <v>30.24</v>
      </c>
      <c r="BJ22" s="78">
        <f>('DJB Daily Readings'!EX30-'DJB Daily Readings'!EX29)*1.89</f>
        <v>15.12</v>
      </c>
      <c r="BK22" s="78">
        <f>('DJB Daily Readings'!FB30-'DJB Daily Readings'!FB29)*1.89</f>
        <v>62.37</v>
      </c>
      <c r="BL22" s="78">
        <f>'DJB Daily Readings'!J30</f>
        <v>147</v>
      </c>
    </row>
    <row r="23" spans="1:64" x14ac:dyDescent="0.25">
      <c r="A23" t="s">
        <v>14</v>
      </c>
      <c r="B23">
        <f t="shared" si="0"/>
        <v>22</v>
      </c>
      <c r="C23">
        <v>12</v>
      </c>
      <c r="D23">
        <v>2022</v>
      </c>
      <c r="E23" s="74">
        <f>237*0.79</f>
        <v>187.23000000000002</v>
      </c>
      <c r="F23" s="75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">
        <f>'DJB Daily Readings'!O31-'DJB Daily Readings'!O30</f>
        <v>80</v>
      </c>
      <c r="L23" s="3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0">
        <f>('DJB Daily Readings'!BY31-'DJB Daily Readings'!BY30)*1.89</f>
        <v>37.799999999999997</v>
      </c>
      <c r="AE23" s="80">
        <f>('DJB Daily Readings'!CA31-'DJB Daily Readings'!CA30)*1.89</f>
        <v>35.909999999999997</v>
      </c>
      <c r="AF23" s="80">
        <f>('DJB Daily Readings'!CC31-'DJB Daily Readings'!CC30)*1.89</f>
        <v>9.4499999999999993</v>
      </c>
      <c r="AG23" s="80">
        <f>('DJB Daily Readings'!CE31-'DJB Daily Readings'!CE30)*1.89</f>
        <v>22.68</v>
      </c>
      <c r="AH23" s="80">
        <f>('DJB Daily Readings'!CG31-'DJB Daily Readings'!CG30)*1.89</f>
        <v>26.459999999999997</v>
      </c>
      <c r="AI23" s="80">
        <f>('DJB Daily Readings'!CI31-'DJB Daily Readings'!CI30)*1.89</f>
        <v>62.37</v>
      </c>
      <c r="AJ23" s="77">
        <f>'DJB Daily Readings'!CY31-'DJB Daily Readings'!CY30</f>
        <v>8</v>
      </c>
      <c r="AK23" s="77">
        <f>'DJB Daily Readings'!CW31-'DJB Daily Readings'!CW30</f>
        <v>9</v>
      </c>
      <c r="AL23" s="78">
        <f>'DJB Daily Readings'!DC31-'DJB Daily Readings'!DC30</f>
        <v>11</v>
      </c>
      <c r="AM23" s="78">
        <f>'DJB Daily Readings'!DA31-'DJB Daily Readings'!DA30</f>
        <v>15</v>
      </c>
      <c r="AN23" s="78">
        <f>'DJB Daily Readings'!DG31-'DJB Daily Readings'!DG30</f>
        <v>6</v>
      </c>
      <c r="AO23" s="78">
        <f>'DJB Daily Readings'!DE31-'DJB Daily Readings'!DE30</f>
        <v>10</v>
      </c>
      <c r="AP23" s="78">
        <f>'DJB Daily Readings'!DK31-'DJB Daily Readings'!DK30</f>
        <v>9</v>
      </c>
      <c r="AQ23" s="78">
        <f>'DJB Daily Readings'!DI31-'DJB Daily Readings'!DI30</f>
        <v>9</v>
      </c>
      <c r="AR23" s="78">
        <f>'DJB Daily Readings'!DO31-'DJB Daily Readings'!DO30</f>
        <v>7</v>
      </c>
      <c r="AS23" s="78">
        <f>'DJB Daily Readings'!DM31-'DJB Daily Readings'!DM30</f>
        <v>4</v>
      </c>
      <c r="AT23" s="78">
        <f>'DJB Daily Readings'!DQ31-'DJB Daily Readings'!DQ30</f>
        <v>6</v>
      </c>
      <c r="AU23" s="78">
        <f>'DJB Daily Readings'!DT31-'DJB Daily Readings'!DT30</f>
        <v>11.299999999999272</v>
      </c>
      <c r="AW23" s="78">
        <f>'DJB Daily Readings'!DX31-'DJB Daily Readings'!DX30</f>
        <v>6.1999999999998181</v>
      </c>
      <c r="AX23" s="78">
        <f>'DJB Daily Readings'!DZ31-'DJB Daily Readings'!DZ30</f>
        <v>6</v>
      </c>
      <c r="AY23" s="78">
        <f>'DJB Daily Readings'!EB31-'DJB Daily Readings'!EB30</f>
        <v>561</v>
      </c>
      <c r="AZ23" s="78">
        <f>'DJB Daily Readings'!ED31-'DJB Daily Readings'!ED30</f>
        <v>125</v>
      </c>
      <c r="BA23" s="78">
        <f>'DJB Daily Readings'!EG31-'DJB Daily Readings'!EG30</f>
        <v>2400</v>
      </c>
      <c r="BB23" s="78">
        <f>'DJB Daily Readings'!EI31-'DJB Daily Readings'!EI30</f>
        <v>200</v>
      </c>
      <c r="BC23" s="78">
        <f>'DJB Daily Readings'!EQ31-'DJB Daily Readings'!EQ30</f>
        <v>1700</v>
      </c>
      <c r="BD23" s="78">
        <f>'DJB Daily Readings'!EK31-'DJB Daily Readings'!EK30</f>
        <v>1300</v>
      </c>
      <c r="BE23" s="78">
        <f>'DJB Daily Readings'!EM31-'DJB Daily Readings'!EM30</f>
        <v>100</v>
      </c>
      <c r="BF23" s="78">
        <f>'DJB Daily Readings'!EO31-'DJB Daily Readings'!EO30</f>
        <v>520</v>
      </c>
      <c r="BG23" s="78">
        <f>('DJB Daily Readings'!ET31-'DJB Daily Readings'!ET30)*1.89</f>
        <v>32.129999999999995</v>
      </c>
      <c r="BH23" s="78">
        <f>('DJB Daily Readings'!EV31-'DJB Daily Readings'!EV30)*1.89</f>
        <v>24.57</v>
      </c>
      <c r="BI23" s="78">
        <f>('DJB Daily Readings'!EZ31-'DJB Daily Readings'!EZ30)*1.89</f>
        <v>28.349999999999998</v>
      </c>
      <c r="BJ23" s="78">
        <f>('DJB Daily Readings'!EX31-'DJB Daily Readings'!EX30)*1.89</f>
        <v>18.899999999999999</v>
      </c>
      <c r="BK23" s="78">
        <f>('DJB Daily Readings'!FB31-'DJB Daily Readings'!FB30)*1.89</f>
        <v>56.699999999999996</v>
      </c>
      <c r="BL23" s="78">
        <f>'DJB Daily Readings'!J31</f>
        <v>163</v>
      </c>
    </row>
    <row r="24" spans="1:64" x14ac:dyDescent="0.25">
      <c r="A24" t="s">
        <v>14</v>
      </c>
      <c r="B24">
        <f t="shared" si="0"/>
        <v>23</v>
      </c>
      <c r="C24">
        <v>12</v>
      </c>
      <c r="D24">
        <v>2022</v>
      </c>
      <c r="E24" s="74">
        <f>237*0.73</f>
        <v>173.01</v>
      </c>
      <c r="F24" s="75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">
        <f>'DJB Daily Readings'!O32-'DJB Daily Readings'!O31</f>
        <v>92</v>
      </c>
      <c r="L24" s="3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0">
        <f>('DJB Daily Readings'!BY32-'DJB Daily Readings'!BY31)*1.89</f>
        <v>34.019999999999996</v>
      </c>
      <c r="AE24" s="80">
        <f>('DJB Daily Readings'!CA32-'DJB Daily Readings'!CA31)*1.89</f>
        <v>37.799999999999997</v>
      </c>
      <c r="AF24" s="80">
        <f>('DJB Daily Readings'!CC32-'DJB Daily Readings'!CC31)*1.89</f>
        <v>15.12</v>
      </c>
      <c r="AG24" s="80">
        <f>('DJB Daily Readings'!CE32-'DJB Daily Readings'!CE31)*1.89</f>
        <v>24.57</v>
      </c>
      <c r="AH24" s="80">
        <f>('DJB Daily Readings'!CG32-'DJB Daily Readings'!CG31)*1.89</f>
        <v>32.129999999999995</v>
      </c>
      <c r="AI24" s="80">
        <f>('DJB Daily Readings'!CI32-'DJB Daily Readings'!CI31)*1.89</f>
        <v>64.259999999999991</v>
      </c>
      <c r="AJ24" s="77">
        <f>'DJB Daily Readings'!CY32-'DJB Daily Readings'!CY31</f>
        <v>7</v>
      </c>
      <c r="AK24" s="77">
        <f>'DJB Daily Readings'!CW32-'DJB Daily Readings'!CW31</f>
        <v>11</v>
      </c>
      <c r="AL24" s="78">
        <f>'DJB Daily Readings'!DC32-'DJB Daily Readings'!DC31</f>
        <v>10</v>
      </c>
      <c r="AM24" s="78">
        <f>'DJB Daily Readings'!DA32-'DJB Daily Readings'!DA31</f>
        <v>17</v>
      </c>
      <c r="AN24" s="78">
        <f>'DJB Daily Readings'!DG32-'DJB Daily Readings'!DG31</f>
        <v>8</v>
      </c>
      <c r="AO24" s="78">
        <f>'DJB Daily Readings'!DE32-'DJB Daily Readings'!DE31</f>
        <v>12</v>
      </c>
      <c r="AP24" s="78">
        <f>'DJB Daily Readings'!DK32-'DJB Daily Readings'!DK31</f>
        <v>8</v>
      </c>
      <c r="AQ24" s="78">
        <f>'DJB Daily Readings'!DI32-'DJB Daily Readings'!DI31</f>
        <v>10</v>
      </c>
      <c r="AR24" s="78">
        <f>'DJB Daily Readings'!DO32-'DJB Daily Readings'!DO31</f>
        <v>9</v>
      </c>
      <c r="AS24" s="78">
        <f>'DJB Daily Readings'!DM32-'DJB Daily Readings'!DM31</f>
        <v>5</v>
      </c>
      <c r="AT24" s="78">
        <f>'DJB Daily Readings'!DQ32-'DJB Daily Readings'!DQ31</f>
        <v>9</v>
      </c>
      <c r="AU24" s="78">
        <f>'DJB Daily Readings'!DT32-'DJB Daily Readings'!DT31</f>
        <v>11.600000000000364</v>
      </c>
      <c r="AW24" s="78">
        <f>'DJB Daily Readings'!DX32-'DJB Daily Readings'!DX31</f>
        <v>6.6000000000003638</v>
      </c>
      <c r="AX24" s="78">
        <f>'DJB Daily Readings'!DZ32-'DJB Daily Readings'!DZ31</f>
        <v>6.3000000000001819</v>
      </c>
      <c r="AY24" s="78">
        <f>'DJB Daily Readings'!EB32-'DJB Daily Readings'!EB31</f>
        <v>582</v>
      </c>
      <c r="AZ24" s="78">
        <f>'DJB Daily Readings'!ED32-'DJB Daily Readings'!ED31</f>
        <v>132.5</v>
      </c>
      <c r="BA24" s="78">
        <f>'DJB Daily Readings'!EG32-'DJB Daily Readings'!EG31</f>
        <v>3200</v>
      </c>
      <c r="BB24" s="78">
        <f>'DJB Daily Readings'!EI32-'DJB Daily Readings'!EI31</f>
        <v>220</v>
      </c>
      <c r="BC24" s="78">
        <f>'DJB Daily Readings'!EQ32-'DJB Daily Readings'!EQ31</f>
        <v>2500</v>
      </c>
      <c r="BD24" s="78">
        <f>'DJB Daily Readings'!EK32-'DJB Daily Readings'!EK31</f>
        <v>1700</v>
      </c>
      <c r="BE24" s="78">
        <f>'DJB Daily Readings'!EM32-'DJB Daily Readings'!EM31</f>
        <v>200</v>
      </c>
      <c r="BF24" s="78">
        <f>'DJB Daily Readings'!EO32-'DJB Daily Readings'!EO31</f>
        <v>620</v>
      </c>
      <c r="BG24" s="78">
        <f>('DJB Daily Readings'!ET32-'DJB Daily Readings'!ET31)*1.89</f>
        <v>30.24</v>
      </c>
      <c r="BH24" s="78">
        <f>('DJB Daily Readings'!EV32-'DJB Daily Readings'!EV31)*1.89</f>
        <v>24.57</v>
      </c>
      <c r="BI24" s="78">
        <f>('DJB Daily Readings'!EZ32-'DJB Daily Readings'!EZ31)*1.89</f>
        <v>26.459999999999997</v>
      </c>
      <c r="BJ24" s="78">
        <f>('DJB Daily Readings'!EX32-'DJB Daily Readings'!EX31)*1.89</f>
        <v>22.68</v>
      </c>
      <c r="BK24" s="78">
        <f>('DJB Daily Readings'!FB32-'DJB Daily Readings'!FB31)*1.89</f>
        <v>66.149999999999991</v>
      </c>
      <c r="BL24" s="78">
        <f>'DJB Daily Readings'!J32</f>
        <v>172</v>
      </c>
    </row>
    <row r="25" spans="1:64" x14ac:dyDescent="0.25">
      <c r="A25" t="s">
        <v>14</v>
      </c>
      <c r="B25">
        <f t="shared" si="0"/>
        <v>24</v>
      </c>
      <c r="C25">
        <v>12</v>
      </c>
      <c r="D25">
        <v>2022</v>
      </c>
      <c r="E25" s="74">
        <f>237*0.73</f>
        <v>173.01</v>
      </c>
      <c r="F25" s="75">
        <f>279+109</f>
        <v>388</v>
      </c>
      <c r="G25" s="3">
        <f>'DJB Daily Readings'!C33-'DJB Daily Readings'!C32</f>
        <v>717</v>
      </c>
      <c r="H25" s="3">
        <f>'DJB Daily Readings'!F33-'DJB Daily Readings'!F32</f>
        <v>502</v>
      </c>
      <c r="I25" s="3">
        <f>'DJB Daily Readings'!K33-'DJB Daily Readings'!K32</f>
        <v>266</v>
      </c>
      <c r="J25" s="3">
        <f>'DJB Daily Readings'!K33-'DJB Daily Readings'!K32</f>
        <v>266</v>
      </c>
      <c r="K25" s="3">
        <f>'DJB Daily Readings'!O33-'DJB Daily Readings'!O32</f>
        <v>98</v>
      </c>
      <c r="L25" s="3">
        <f>'DJB Daily Readings'!R33-'DJB Daily Readings'!R32</f>
        <v>10</v>
      </c>
      <c r="M25" s="3">
        <f>'DJB Daily Readings'!U33-'DJB Daily Readings'!U32</f>
        <v>1997.5200000014156</v>
      </c>
      <c r="N25" s="3">
        <f>'DJB Daily Readings'!X33-'DJB Daily Readings'!X32</f>
        <v>4530.9599999990314</v>
      </c>
      <c r="O25" s="3">
        <f>'DJB Daily Readings'!AA33-'DJB Daily Readings'!AA32</f>
        <v>194.87999999895692</v>
      </c>
      <c r="P25" s="3">
        <f>'DJB Daily Readings'!AD33-'DJB Daily Readings'!AD32</f>
        <v>9841.4399999976158</v>
      </c>
      <c r="Q25" s="3">
        <f>'DJB Daily Readings'!AG33-'DJB Daily Readings'!AG32</f>
        <v>779.51999999955297</v>
      </c>
      <c r="R25" s="3">
        <f>'DJB Daily Readings'!AJ33-'DJB Daily Readings'!AJ32</f>
        <v>5310.480000000447</v>
      </c>
      <c r="S25" s="3">
        <f>'DJB Daily Readings'!AM33-'DJB Daily Readings'!AM32</f>
        <v>4043.7599999997765</v>
      </c>
      <c r="T25" s="3">
        <f>'DJB Daily Readings'!AP33-'DJB Daily Readings'!AP32</f>
        <v>4579.679999999702</v>
      </c>
      <c r="U25" s="3">
        <f>'DJB Daily Readings'!AS33-'DJB Daily Readings'!AS32</f>
        <v>2825.7599999979138</v>
      </c>
      <c r="V25" s="3">
        <f>'DJB Daily Readings'!AV33-'DJB Daily Readings'!AV32</f>
        <v>5651.5199999958277</v>
      </c>
      <c r="W25" s="3">
        <f>'DJB Daily Readings'!AZ33-'DJB Daily Readings'!AZ32</f>
        <v>0</v>
      </c>
      <c r="X25" s="3">
        <f>'DJB Daily Readings'!BC33-'DJB Daily Readings'!BC32</f>
        <v>48700</v>
      </c>
      <c r="Y25" s="3">
        <f>'DJB Daily Readings'!BF33-'DJB Daily Readings'!BF32</f>
        <v>2100</v>
      </c>
      <c r="Z25" s="3">
        <f>('DJB Daily Readings'!CK33-'DJB Daily Readings'!CK32)*1.89</f>
        <v>136.07999999999998</v>
      </c>
      <c r="AA25" s="3">
        <f>('DJB Daily Readings'!CN33-'DJB Daily Readings'!CN32)*1.89</f>
        <v>223.01999999999998</v>
      </c>
      <c r="AB25" s="3">
        <f>('DJB Daily Readings'!CQ33-'DJB Daily Readings'!CQ32)*1.89</f>
        <v>415.79999999999995</v>
      </c>
      <c r="AC25" s="3">
        <f>'DJB Daily Readings'!CT33-'DJB Daily Readings'!CT32</f>
        <v>168</v>
      </c>
      <c r="AD25" s="80">
        <f>('DJB Daily Readings'!BY33-'DJB Daily Readings'!BY32)*1.89</f>
        <v>37.799999999999997</v>
      </c>
      <c r="AE25" s="80">
        <f>('DJB Daily Readings'!CA33-'DJB Daily Readings'!CA32)*1.89</f>
        <v>35.909999999999997</v>
      </c>
      <c r="AF25" s="80">
        <f>('DJB Daily Readings'!CC33-'DJB Daily Readings'!CC32)*1.89</f>
        <v>13.229999999999999</v>
      </c>
      <c r="AG25" s="80">
        <f>('DJB Daily Readings'!CE33-'DJB Daily Readings'!CE32)*1.89</f>
        <v>18.899999999999999</v>
      </c>
      <c r="AH25" s="80">
        <f>('DJB Daily Readings'!CG33-'DJB Daily Readings'!CG32)*1.89</f>
        <v>32.129999999999995</v>
      </c>
      <c r="AI25" s="80">
        <f>('DJB Daily Readings'!CI33-'DJB Daily Readings'!CI32)*1.89</f>
        <v>71.819999999999993</v>
      </c>
      <c r="AJ25" s="77">
        <f>'DJB Daily Readings'!CY33-'DJB Daily Readings'!CY32</f>
        <v>6</v>
      </c>
      <c r="AK25" s="77">
        <f>'DJB Daily Readings'!CW33-'DJB Daily Readings'!CW32</f>
        <v>10</v>
      </c>
      <c r="AL25" s="78">
        <f>'DJB Daily Readings'!DC33-'DJB Daily Readings'!DC32</f>
        <v>9</v>
      </c>
      <c r="AM25" s="78">
        <f>'DJB Daily Readings'!DA33-'DJB Daily Readings'!DA32</f>
        <v>14</v>
      </c>
      <c r="AN25" s="78">
        <f>'DJB Daily Readings'!DG33-'DJB Daily Readings'!DG32</f>
        <v>8</v>
      </c>
      <c r="AO25" s="78">
        <f>'DJB Daily Readings'!DE33-'DJB Daily Readings'!DE32</f>
        <v>11</v>
      </c>
      <c r="AP25" s="78">
        <f>'DJB Daily Readings'!DK33-'DJB Daily Readings'!DK32</f>
        <v>8</v>
      </c>
      <c r="AQ25" s="78">
        <f>'DJB Daily Readings'!DI33-'DJB Daily Readings'!DI32</f>
        <v>10</v>
      </c>
      <c r="AR25" s="78">
        <f>'DJB Daily Readings'!DO33-'DJB Daily Readings'!DO32</f>
        <v>9</v>
      </c>
      <c r="AS25" s="78">
        <f>'DJB Daily Readings'!DM33-'DJB Daily Readings'!DM32</f>
        <v>5</v>
      </c>
      <c r="AT25" s="78">
        <f>'DJB Daily Readings'!DQ33-'DJB Daily Readings'!DQ32</f>
        <v>0</v>
      </c>
      <c r="AU25" s="78">
        <f>'DJB Daily Readings'!DT33-'DJB Daily Readings'!DT32</f>
        <v>11.600000000000364</v>
      </c>
      <c r="AW25" s="78">
        <f>'DJB Daily Readings'!DX33-'DJB Daily Readings'!DX32</f>
        <v>6.8999999999996362</v>
      </c>
      <c r="AX25" s="78">
        <f>'DJB Daily Readings'!DZ33-'DJB Daily Readings'!DZ32</f>
        <v>7.5</v>
      </c>
      <c r="AY25" s="78">
        <f>'DJB Daily Readings'!EB33-'DJB Daily Readings'!EB32</f>
        <v>637</v>
      </c>
      <c r="AZ25" s="78">
        <f>'DJB Daily Readings'!ED33-'DJB Daily Readings'!ED32</f>
        <v>132.60000000000582</v>
      </c>
      <c r="BA25" s="78">
        <f>'DJB Daily Readings'!EG33-'DJB Daily Readings'!EG32</f>
        <v>4200</v>
      </c>
      <c r="BB25" s="78">
        <f>'DJB Daily Readings'!EI33-'DJB Daily Readings'!EI32</f>
        <v>260</v>
      </c>
      <c r="BC25" s="78">
        <f>'DJB Daily Readings'!EQ33-'DJB Daily Readings'!EQ32</f>
        <v>2900</v>
      </c>
      <c r="BD25" s="78">
        <f>'DJB Daily Readings'!EK33-'DJB Daily Readings'!EK32</f>
        <v>1800</v>
      </c>
      <c r="BE25" s="78">
        <f>'DJB Daily Readings'!EM33-'DJB Daily Readings'!EM32</f>
        <v>300</v>
      </c>
      <c r="BF25" s="78">
        <f>'DJB Daily Readings'!EO33-'DJB Daily Readings'!EO32</f>
        <v>650</v>
      </c>
      <c r="BG25" s="78">
        <f>('DJB Daily Readings'!ET33-'DJB Daily Readings'!ET32)*1.89</f>
        <v>32.129999999999995</v>
      </c>
      <c r="BH25" s="78">
        <f>('DJB Daily Readings'!EV33-'DJB Daily Readings'!EV32)*1.89</f>
        <v>28.349999999999998</v>
      </c>
      <c r="BI25" s="78">
        <f>('DJB Daily Readings'!EZ33-'DJB Daily Readings'!EZ32)*1.89</f>
        <v>26.459999999999997</v>
      </c>
      <c r="BJ25" s="78">
        <f>('DJB Daily Readings'!EX33-'DJB Daily Readings'!EX32)*1.89</f>
        <v>20.79</v>
      </c>
      <c r="BK25" s="78">
        <f>('DJB Daily Readings'!FB33-'DJB Daily Readings'!FB32)*1.89</f>
        <v>77.489999999999995</v>
      </c>
      <c r="BL25" s="78">
        <f>'DJB Daily Readings'!J33</f>
        <v>178</v>
      </c>
    </row>
    <row r="26" spans="1:64" x14ac:dyDescent="0.25">
      <c r="A26" t="s">
        <v>14</v>
      </c>
      <c r="B26">
        <f>B25+1</f>
        <v>25</v>
      </c>
      <c r="C26">
        <v>12</v>
      </c>
      <c r="D26">
        <v>2022</v>
      </c>
      <c r="E26" s="74">
        <f>237*0.7</f>
        <v>165.89999999999998</v>
      </c>
      <c r="F26" s="75">
        <f>274+98</f>
        <v>372</v>
      </c>
      <c r="G26" s="3">
        <f>'DJB Daily Readings'!C34-'DJB Daily Readings'!C33</f>
        <v>725</v>
      </c>
      <c r="H26" s="3">
        <f>'DJB Daily Readings'!F34-'DJB Daily Readings'!F33</f>
        <v>489</v>
      </c>
      <c r="I26" s="3">
        <f>'DJB Daily Readings'!K34-'DJB Daily Readings'!K33</f>
        <v>77</v>
      </c>
      <c r="J26" s="3">
        <f>'DJB Daily Readings'!K34-'DJB Daily Readings'!K33</f>
        <v>77</v>
      </c>
      <c r="K26" s="3">
        <f>'DJB Daily Readings'!O34-'DJB Daily Readings'!O33</f>
        <v>90</v>
      </c>
      <c r="L26" s="3">
        <f>'DJB Daily Readings'!R34-'DJB Daily Readings'!R33</f>
        <v>10</v>
      </c>
      <c r="M26" s="3">
        <f>'DJB Daily Readings'!U34-'DJB Daily Readings'!U33</f>
        <v>1997.5199999986216</v>
      </c>
      <c r="N26" s="3">
        <f>'DJB Daily Readings'!X34-'DJB Daily Readings'!X33</f>
        <v>4482.2400000020862</v>
      </c>
      <c r="O26" s="3">
        <f>'DJB Daily Readings'!AA34-'DJB Daily Readings'!AA33</f>
        <v>194.88000000081956</v>
      </c>
      <c r="P26" s="3">
        <f>'DJB Daily Readings'!AD34-'DJB Daily Readings'!AD33</f>
        <v>9597.8400000035763</v>
      </c>
      <c r="Q26" s="3">
        <f>'DJB Daily Readings'!AG34-'DJB Daily Readings'!AG33</f>
        <v>633.35999999567866</v>
      </c>
      <c r="R26" s="3">
        <f>'DJB Daily Readings'!AJ34-'DJB Daily Readings'!AJ33</f>
        <v>5407.9199999980628</v>
      </c>
      <c r="S26" s="3">
        <f>'DJB Daily Readings'!AM34-'DJB Daily Readings'!AM33</f>
        <v>4092.4800000023097</v>
      </c>
      <c r="T26" s="3">
        <f>'DJB Daily Readings'!AP34-'DJB Daily Readings'!AP33</f>
        <v>4482.2400000002235</v>
      </c>
      <c r="U26" s="3">
        <f>'DJB Daily Readings'!AS34-'DJB Daily Readings'!AS33</f>
        <v>2582.160000000149</v>
      </c>
      <c r="V26" s="3">
        <f>'DJB Daily Readings'!AV34-'DJB Daily Readings'!AV33</f>
        <v>5700.2400000020862</v>
      </c>
      <c r="W26" s="3">
        <f>'DJB Daily Readings'!AZ34-'DJB Daily Readings'!AZ33</f>
        <v>0</v>
      </c>
      <c r="X26" s="3">
        <f>'DJB Daily Readings'!BC34-'DJB Daily Readings'!BC33</f>
        <v>49200</v>
      </c>
      <c r="Y26" s="3">
        <f>'DJB Daily Readings'!BF34-'DJB Daily Readings'!BF33</f>
        <v>0</v>
      </c>
      <c r="Z26" s="3">
        <f>('DJB Daily Readings'!CK34-'DJB Daily Readings'!CK33)*1.89</f>
        <v>143.63999999999999</v>
      </c>
      <c r="AA26" s="3">
        <f>('DJB Daily Readings'!CN34-'DJB Daily Readings'!CN33)*1.89</f>
        <v>228.69</v>
      </c>
      <c r="AB26" s="3">
        <f>('DJB Daily Readings'!CQ34-'DJB Daily Readings'!CQ33)*1.89</f>
        <v>470.60999999999996</v>
      </c>
      <c r="AC26" s="3">
        <f>'DJB Daily Readings'!CT34-'DJB Daily Readings'!CT33</f>
        <v>178</v>
      </c>
      <c r="AD26" s="80">
        <f>('DJB Daily Readings'!BY34-'DJB Daily Readings'!BY33)*1.89</f>
        <v>37.799999999999997</v>
      </c>
      <c r="AE26" s="80">
        <f>('DJB Daily Readings'!CA34-'DJB Daily Readings'!CA33)*1.89</f>
        <v>35.909999999999997</v>
      </c>
      <c r="AF26" s="80">
        <f>('DJB Daily Readings'!CC34-'DJB Daily Readings'!CC33)*1.89</f>
        <v>13.229999999999999</v>
      </c>
      <c r="AG26" s="80">
        <f>('DJB Daily Readings'!CE34-'DJB Daily Readings'!CE33)*1.89</f>
        <v>17.009999999999998</v>
      </c>
      <c r="AH26" s="80">
        <f>('DJB Daily Readings'!CG34-'DJB Daily Readings'!CG33)*1.89</f>
        <v>24.57</v>
      </c>
      <c r="AI26" s="80">
        <f>('DJB Daily Readings'!CI34-'DJB Daily Readings'!CI33)*1.89</f>
        <v>71.819999999999993</v>
      </c>
      <c r="AJ26" s="77">
        <f>'DJB Daily Readings'!CY34-'DJB Daily Readings'!CY33</f>
        <v>3</v>
      </c>
      <c r="AK26" s="77">
        <f>'DJB Daily Readings'!CW34-'DJB Daily Readings'!CW33</f>
        <v>6</v>
      </c>
      <c r="AL26" s="78">
        <f>'DJB Daily Readings'!DC34-'DJB Daily Readings'!DC33</f>
        <v>20</v>
      </c>
      <c r="AM26" s="78">
        <f>'DJB Daily Readings'!DA34-'DJB Daily Readings'!DA33</f>
        <v>22</v>
      </c>
      <c r="AN26" s="78">
        <f>'DJB Daily Readings'!DG34-'DJB Daily Readings'!DG33</f>
        <v>4</v>
      </c>
      <c r="AO26" s="78">
        <f>'DJB Daily Readings'!DE34-'DJB Daily Readings'!DE33</f>
        <v>12</v>
      </c>
      <c r="AP26" s="78">
        <f>'DJB Daily Readings'!DK34-'DJB Daily Readings'!DK33</f>
        <v>12</v>
      </c>
      <c r="AQ26" s="78">
        <f>'DJB Daily Readings'!DI34-'DJB Daily Readings'!DI33</f>
        <v>17</v>
      </c>
      <c r="AR26" s="78">
        <f>'DJB Daily Readings'!DO34-'DJB Daily Readings'!DO33</f>
        <v>15</v>
      </c>
      <c r="AS26" s="78">
        <f>'DJB Daily Readings'!DM34-'DJB Daily Readings'!DM33</f>
        <v>7</v>
      </c>
      <c r="AT26" s="78">
        <f>'DJB Daily Readings'!DQ34-'DJB Daily Readings'!DQ33</f>
        <v>8</v>
      </c>
      <c r="AU26" s="78">
        <f>'DJB Daily Readings'!DT34-'DJB Daily Readings'!DT33</f>
        <v>11</v>
      </c>
      <c r="AW26" s="78">
        <f>'DJB Daily Readings'!DX34-'DJB Daily Readings'!DX33</f>
        <v>6.8000000000001819</v>
      </c>
      <c r="AX26" s="78">
        <f>'DJB Daily Readings'!DZ34-'DJB Daily Readings'!DZ33</f>
        <v>6.6999999999998181</v>
      </c>
      <c r="AY26" s="78">
        <f>'DJB Daily Readings'!EB34-'DJB Daily Readings'!EB33</f>
        <v>627</v>
      </c>
      <c r="AZ26" s="78">
        <f>'DJB Daily Readings'!ED34-'DJB Daily Readings'!ED33</f>
        <v>128</v>
      </c>
      <c r="BA26" s="78">
        <f>'DJB Daily Readings'!EG34-'DJB Daily Readings'!EG33</f>
        <v>3500</v>
      </c>
      <c r="BB26" s="78">
        <f>'DJB Daily Readings'!EI34-'DJB Daily Readings'!EI33</f>
        <v>250</v>
      </c>
      <c r="BC26" s="78">
        <f>'DJB Daily Readings'!EQ34-'DJB Daily Readings'!EQ33</f>
        <v>2300</v>
      </c>
      <c r="BD26" s="78">
        <f>'DJB Daily Readings'!EK34-'DJB Daily Readings'!EK33</f>
        <v>1700</v>
      </c>
      <c r="BE26" s="78">
        <f>'DJB Daily Readings'!EM34-'DJB Daily Readings'!EM33</f>
        <v>500</v>
      </c>
      <c r="BF26" s="78">
        <f>'DJB Daily Readings'!EO34-'DJB Daily Readings'!EO33</f>
        <v>610</v>
      </c>
      <c r="BG26" s="78">
        <f>('DJB Daily Readings'!ET34-'DJB Daily Readings'!ET33)*1.89</f>
        <v>32.129999999999995</v>
      </c>
      <c r="BH26" s="78">
        <f>('DJB Daily Readings'!EV34-'DJB Daily Readings'!EV33)*1.89</f>
        <v>26.459999999999997</v>
      </c>
      <c r="BI26" s="78">
        <f>('DJB Daily Readings'!EZ34-'DJB Daily Readings'!EZ33)*1.89</f>
        <v>26.459999999999997</v>
      </c>
      <c r="BJ26" s="78">
        <f>('DJB Daily Readings'!EX34-'DJB Daily Readings'!EX33)*1.89</f>
        <v>24.57</v>
      </c>
      <c r="BK26" s="78">
        <f>('DJB Daily Readings'!FB34-'DJB Daily Readings'!FB33)*1.89</f>
        <v>66.149999999999991</v>
      </c>
      <c r="BL26" s="78">
        <f>'DJB Daily Readings'!J34</f>
        <v>190</v>
      </c>
    </row>
    <row r="27" spans="1:64" x14ac:dyDescent="0.25">
      <c r="A27" t="s">
        <v>14</v>
      </c>
      <c r="B27">
        <f t="shared" si="0"/>
        <v>26</v>
      </c>
      <c r="C27">
        <v>12</v>
      </c>
      <c r="D27">
        <v>2022</v>
      </c>
      <c r="E27" s="74">
        <f>237*0.73</f>
        <v>173.01</v>
      </c>
      <c r="F27" s="75">
        <f>304+114</f>
        <v>418</v>
      </c>
      <c r="G27" s="3">
        <f>'DJB Daily Readings'!C35-'DJB Daily Readings'!C34</f>
        <v>554</v>
      </c>
      <c r="H27" s="3">
        <f>'DJB Daily Readings'!F35-'DJB Daily Readings'!F34</f>
        <v>428</v>
      </c>
      <c r="I27" s="3">
        <f>'DJB Daily Readings'!K35-'DJB Daily Readings'!K34</f>
        <v>18</v>
      </c>
      <c r="J27" s="3">
        <f>'DJB Daily Readings'!K35-'DJB Daily Readings'!K34</f>
        <v>18</v>
      </c>
      <c r="K27" s="3">
        <f>'DJB Daily Readings'!O35-'DJB Daily Readings'!O34</f>
        <v>71</v>
      </c>
      <c r="L27" s="3">
        <f>'DJB Daily Readings'!R35-'DJB Daily Readings'!R34</f>
        <v>5</v>
      </c>
      <c r="M27" s="3">
        <f>'DJB Daily Readings'!U35-'DJB Daily Readings'!U34</f>
        <v>1802.640000000596</v>
      </c>
      <c r="N27" s="3">
        <f>'DJB Daily Readings'!X35-'DJB Daily Readings'!X34</f>
        <v>4433.519999999553</v>
      </c>
      <c r="O27" s="3">
        <f>'DJB Daily Readings'!AA35-'DJB Daily Readings'!AA34</f>
        <v>97.440000001341105</v>
      </c>
      <c r="P27" s="3">
        <f>'DJB Daily Readings'!AD35-'DJB Daily Readings'!AD34</f>
        <v>8233.679999999702</v>
      </c>
      <c r="Q27" s="3">
        <f>'DJB Daily Readings'!AG35-'DJB Daily Readings'!AG34</f>
        <v>487.19999999925494</v>
      </c>
      <c r="R27" s="3">
        <f>'DJB Daily Readings'!AJ35-'DJB Daily Readings'!AJ34</f>
        <v>5456.6400000043213</v>
      </c>
      <c r="S27" s="3">
        <f>'DJB Daily Readings'!AM35-'DJB Daily Readings'!AM34</f>
        <v>3848.8799999989569</v>
      </c>
      <c r="T27" s="3">
        <f>'DJB Daily Readings'!AP35-'DJB Daily Readings'!AP34</f>
        <v>4384.8000000007451</v>
      </c>
      <c r="U27" s="3">
        <f>'DJB Daily Readings'!AS35-'DJB Daily Readings'!AS34</f>
        <v>2679.5999999996275</v>
      </c>
      <c r="V27" s="3">
        <f>'DJB Daily Readings'!AV35-'DJB Daily Readings'!AV34</f>
        <v>5359.1999999992549</v>
      </c>
      <c r="W27" s="3">
        <f>'DJB Daily Readings'!AZ35-'DJB Daily Readings'!AZ34</f>
        <v>0</v>
      </c>
      <c r="X27" s="3">
        <f>'DJB Daily Readings'!BC35-'DJB Daily Readings'!BC34</f>
        <v>40500</v>
      </c>
      <c r="Y27" s="3">
        <f>'DJB Daily Readings'!BF35-'DJB Daily Readings'!BF34</f>
        <v>0</v>
      </c>
      <c r="Z27" s="3">
        <f>('DJB Daily Readings'!CK35-'DJB Daily Readings'!CK34)*1.89</f>
        <v>136.07999999999998</v>
      </c>
      <c r="AA27" s="3">
        <f>('DJB Daily Readings'!CN35-'DJB Daily Readings'!CN34)*1.89</f>
        <v>215.45999999999998</v>
      </c>
      <c r="AB27" s="3">
        <f>('DJB Daily Readings'!CQ35-'DJB Daily Readings'!CQ34)*1.89</f>
        <v>512.18999999999994</v>
      </c>
      <c r="AC27" s="3">
        <f>'DJB Daily Readings'!CT35-'DJB Daily Readings'!CT34</f>
        <v>170</v>
      </c>
      <c r="AD27" s="80">
        <f>('DJB Daily Readings'!BY35-'DJB Daily Readings'!BY34)*1.89</f>
        <v>37.799999999999997</v>
      </c>
      <c r="AE27" s="80">
        <f>('DJB Daily Readings'!CA35-'DJB Daily Readings'!CA34)*1.89</f>
        <v>34.019999999999996</v>
      </c>
      <c r="AF27" s="80">
        <f>('DJB Daily Readings'!CC35-'DJB Daily Readings'!CC34)*1.89</f>
        <v>9.4499999999999993</v>
      </c>
      <c r="AG27" s="80">
        <f>('DJB Daily Readings'!CE35-'DJB Daily Readings'!CE34)*1.89</f>
        <v>20.79</v>
      </c>
      <c r="AH27" s="80">
        <f>('DJB Daily Readings'!CG35-'DJB Daily Readings'!CG34)*1.89</f>
        <v>24.57</v>
      </c>
      <c r="AI27" s="80">
        <f>('DJB Daily Readings'!CI35-'DJB Daily Readings'!CI34)*1.89</f>
        <v>68.039999999999992</v>
      </c>
      <c r="AJ27" s="77">
        <f>'DJB Daily Readings'!CY35-'DJB Daily Readings'!CY34</f>
        <v>6</v>
      </c>
      <c r="AK27" s="77">
        <f>'DJB Daily Readings'!CW35-'DJB Daily Readings'!CW34</f>
        <v>9</v>
      </c>
      <c r="AL27" s="78">
        <f>'DJB Daily Readings'!DC35-'DJB Daily Readings'!DC34</f>
        <v>12</v>
      </c>
      <c r="AM27" s="78">
        <f>'DJB Daily Readings'!DA35-'DJB Daily Readings'!DA34</f>
        <v>16</v>
      </c>
      <c r="AN27" s="78">
        <f>'DJB Daily Readings'!DG35-'DJB Daily Readings'!DG34</f>
        <v>7</v>
      </c>
      <c r="AO27" s="78">
        <f>'DJB Daily Readings'!DE35-'DJB Daily Readings'!DE34</f>
        <v>12</v>
      </c>
      <c r="AP27" s="78">
        <f>'DJB Daily Readings'!DK35-'DJB Daily Readings'!DK34</f>
        <v>7</v>
      </c>
      <c r="AQ27" s="78">
        <f>'DJB Daily Readings'!DI35-'DJB Daily Readings'!DI34</f>
        <v>11</v>
      </c>
      <c r="AR27" s="78">
        <f>'DJB Daily Readings'!DO35-'DJB Daily Readings'!DO34</f>
        <v>12</v>
      </c>
      <c r="AS27" s="78">
        <f>'DJB Daily Readings'!DM35-'DJB Daily Readings'!DM34</f>
        <v>4</v>
      </c>
      <c r="AT27" s="78">
        <f>'DJB Daily Readings'!DQ35-'DJB Daily Readings'!DQ34</f>
        <v>1</v>
      </c>
      <c r="AU27" s="78">
        <f>'DJB Daily Readings'!DT35-'DJB Daily Readings'!DT34</f>
        <v>9.6999999999998181</v>
      </c>
      <c r="AW27" s="78">
        <f>'DJB Daily Readings'!DX35-'DJB Daily Readings'!DX34</f>
        <v>6.8000000000001819</v>
      </c>
      <c r="AX27" s="78">
        <f>'DJB Daily Readings'!DZ35-'DJB Daily Readings'!DZ34</f>
        <v>6</v>
      </c>
      <c r="AY27" s="78">
        <f>'DJB Daily Readings'!EB35-'DJB Daily Readings'!EB34</f>
        <v>549</v>
      </c>
      <c r="AZ27" s="78">
        <f>'DJB Daily Readings'!ED35-'DJB Daily Readings'!ED34</f>
        <v>127.10000000000582</v>
      </c>
      <c r="BA27" s="78">
        <f>'DJB Daily Readings'!EG35-'DJB Daily Readings'!EG34</f>
        <v>3100</v>
      </c>
      <c r="BB27" s="78">
        <f>'DJB Daily Readings'!EI35-'DJB Daily Readings'!EI34</f>
        <v>220</v>
      </c>
      <c r="BC27" s="78">
        <f>'DJB Daily Readings'!EQ35-'DJB Daily Readings'!EQ34</f>
        <v>1600</v>
      </c>
      <c r="BD27" s="78">
        <f>'DJB Daily Readings'!EK35-'DJB Daily Readings'!EK34</f>
        <v>1600</v>
      </c>
      <c r="BE27" s="78">
        <f>'DJB Daily Readings'!EM35-'DJB Daily Readings'!EM34</f>
        <v>100</v>
      </c>
      <c r="BF27" s="78">
        <f>'DJB Daily Readings'!EO35-'DJB Daily Readings'!EO34</f>
        <v>610</v>
      </c>
      <c r="BG27" s="78">
        <f>('DJB Daily Readings'!ET35-'DJB Daily Readings'!ET34)*1.89</f>
        <v>34.019999999999996</v>
      </c>
      <c r="BH27" s="78">
        <f>('DJB Daily Readings'!EV35-'DJB Daily Readings'!EV34)*1.89</f>
        <v>28.349999999999998</v>
      </c>
      <c r="BI27" s="78">
        <f>('DJB Daily Readings'!EZ35-'DJB Daily Readings'!EZ34)*1.89</f>
        <v>30.24</v>
      </c>
      <c r="BJ27" s="78">
        <f>('DJB Daily Readings'!EX35-'DJB Daily Readings'!EX34)*1.89</f>
        <v>18.899999999999999</v>
      </c>
      <c r="BK27" s="78">
        <f>('DJB Daily Readings'!FB35-'DJB Daily Readings'!FB34)*1.89</f>
        <v>66.149999999999991</v>
      </c>
      <c r="BL27" s="78">
        <f>'DJB Daily Readings'!J35</f>
        <v>216</v>
      </c>
    </row>
    <row r="28" spans="1:64" x14ac:dyDescent="0.25">
      <c r="A28" t="s">
        <v>14</v>
      </c>
      <c r="B28">
        <f t="shared" si="0"/>
        <v>27</v>
      </c>
      <c r="C28">
        <v>12</v>
      </c>
      <c r="D28">
        <v>2022</v>
      </c>
      <c r="E28" s="74">
        <f>237*0.8</f>
        <v>189.60000000000002</v>
      </c>
      <c r="F28" s="75">
        <f>310+123</f>
        <v>433</v>
      </c>
      <c r="G28" s="3">
        <f>'DJB Daily Readings'!C36-'DJB Daily Readings'!C35</f>
        <v>554</v>
      </c>
      <c r="H28" s="3">
        <f>'DJB Daily Readings'!F36-'DJB Daily Readings'!F35</f>
        <v>440</v>
      </c>
      <c r="I28" s="3">
        <f>'DJB Daily Readings'!K36-'DJB Daily Readings'!K35</f>
        <v>0</v>
      </c>
      <c r="J28" s="3">
        <f>'DJB Daily Readings'!K36-'DJB Daily Readings'!K35</f>
        <v>0</v>
      </c>
      <c r="K28" s="3">
        <f>'DJB Daily Readings'!O36-'DJB Daily Readings'!O35</f>
        <v>71</v>
      </c>
      <c r="L28" s="3">
        <f>'DJB Daily Readings'!R36-'DJB Daily Readings'!R35</f>
        <v>9</v>
      </c>
      <c r="M28" s="3">
        <f>'DJB Daily Readings'!U36-'DJB Daily Readings'!U35</f>
        <v>1705.2000000001863</v>
      </c>
      <c r="N28" s="3">
        <f>'DJB Daily Readings'!X36-'DJB Daily Readings'!X35</f>
        <v>4482.2399999983609</v>
      </c>
      <c r="O28" s="3">
        <f>'DJB Daily Readings'!AA36-'DJB Daily Readings'!AA35</f>
        <v>97.439999999478459</v>
      </c>
      <c r="P28" s="3">
        <f>'DJB Daily Readings'!AD36-'DJB Daily Readings'!AD35</f>
        <v>8331.1200000010431</v>
      </c>
      <c r="Q28" s="3">
        <f>'DJB Daily Readings'!AG36-'DJB Daily Readings'!AG35</f>
        <v>438.48000000044703</v>
      </c>
      <c r="R28" s="3">
        <f>'DJB Daily Readings'!AJ36-'DJB Daily Readings'!AJ35</f>
        <v>5261.7599999979138</v>
      </c>
      <c r="S28" s="3">
        <f>'DJB Daily Readings'!AM36-'DJB Daily Readings'!AM35</f>
        <v>3946.320000000298</v>
      </c>
      <c r="T28" s="3">
        <f>'DJB Daily Readings'!AP36-'DJB Daily Readings'!AP35</f>
        <v>4579.679999999702</v>
      </c>
      <c r="U28" s="3">
        <f>'DJB Daily Readings'!AS36-'DJB Daily Readings'!AS35</f>
        <v>2728.3200000021607</v>
      </c>
      <c r="V28" s="3">
        <f>'DJB Daily Readings'!AV36-'DJB Daily Readings'!AV35</f>
        <v>5505.359999999404</v>
      </c>
      <c r="W28" s="3">
        <f>'DJB Daily Readings'!AZ36-'DJB Daily Readings'!AZ35</f>
        <v>0</v>
      </c>
      <c r="X28" s="3">
        <f>'DJB Daily Readings'!BC36-'DJB Daily Readings'!BC35</f>
        <v>40400</v>
      </c>
      <c r="Y28" s="3">
        <f>'DJB Daily Readings'!BF36-'DJB Daily Readings'!BF35</f>
        <v>0</v>
      </c>
      <c r="Z28" s="3">
        <f>('DJB Daily Readings'!CK36-'DJB Daily Readings'!CK35)*1.89</f>
        <v>137.97</v>
      </c>
      <c r="AA28" s="3">
        <f>('DJB Daily Readings'!CN36-'DJB Daily Readings'!CN35)*1.89</f>
        <v>226.79999999999998</v>
      </c>
      <c r="AB28" s="3">
        <f>('DJB Daily Readings'!CQ36-'DJB Daily Readings'!CQ35)*1.89</f>
        <v>400.68</v>
      </c>
      <c r="AC28" s="3">
        <f>'DJB Daily Readings'!CT36-'DJB Daily Readings'!CT35</f>
        <v>172</v>
      </c>
      <c r="AD28" s="80">
        <f>('DJB Daily Readings'!BY36-'DJB Daily Readings'!BY35)*1.89</f>
        <v>37.799999999999997</v>
      </c>
      <c r="AE28" s="80">
        <f>('DJB Daily Readings'!CA36-'DJB Daily Readings'!CA35)*1.89</f>
        <v>35.909999999999997</v>
      </c>
      <c r="AF28" s="80">
        <f>('DJB Daily Readings'!CC36-'DJB Daily Readings'!CC35)*1.89</f>
        <v>15.12</v>
      </c>
      <c r="AG28" s="80">
        <f>('DJB Daily Readings'!CE36-'DJB Daily Readings'!CE35)*1.89</f>
        <v>18.899999999999999</v>
      </c>
      <c r="AH28" s="80">
        <f>('DJB Daily Readings'!CG36-'DJB Daily Readings'!CG35)*1.89</f>
        <v>26.459999999999997</v>
      </c>
      <c r="AI28" s="80">
        <f>('DJB Daily Readings'!CI36-'DJB Daily Readings'!CI35)*1.89</f>
        <v>66.149999999999991</v>
      </c>
      <c r="AJ28" s="77">
        <f>'DJB Daily Readings'!CY36-'DJB Daily Readings'!CY35</f>
        <v>6</v>
      </c>
      <c r="AK28" s="77">
        <f>'DJB Daily Readings'!CW36-'DJB Daily Readings'!CW35</f>
        <v>9</v>
      </c>
      <c r="AL28" s="78">
        <f>'DJB Daily Readings'!DC36-'DJB Daily Readings'!DC35</f>
        <v>15</v>
      </c>
      <c r="AM28" s="78">
        <f>'DJB Daily Readings'!DA36-'DJB Daily Readings'!DA35</f>
        <v>17</v>
      </c>
      <c r="AN28" s="78">
        <f>'DJB Daily Readings'!DG36-'DJB Daily Readings'!DG35</f>
        <v>7</v>
      </c>
      <c r="AO28" s="78">
        <f>'DJB Daily Readings'!DE36-'DJB Daily Readings'!DE35</f>
        <v>12</v>
      </c>
      <c r="AP28" s="78">
        <f>'DJB Daily Readings'!DK36-'DJB Daily Readings'!DK35</f>
        <v>6</v>
      </c>
      <c r="AQ28" s="78">
        <f>'DJB Daily Readings'!DI36-'DJB Daily Readings'!DI35</f>
        <v>14</v>
      </c>
      <c r="AR28" s="78">
        <f>'DJB Daily Readings'!DO36-'DJB Daily Readings'!DO35</f>
        <v>9</v>
      </c>
      <c r="AS28" s="78">
        <f>'DJB Daily Readings'!DM36-'DJB Daily Readings'!DM35</f>
        <v>4</v>
      </c>
      <c r="AT28" s="78">
        <f>'DJB Daily Readings'!DQ36-'DJB Daily Readings'!DQ35</f>
        <v>0</v>
      </c>
      <c r="AU28" s="78">
        <f>'DJB Daily Readings'!DT36-'DJB Daily Readings'!DT35</f>
        <v>10.5</v>
      </c>
      <c r="AW28" s="78">
        <f>'DJB Daily Readings'!DX36-'DJB Daily Readings'!DX35</f>
        <v>7.1000000000003638</v>
      </c>
      <c r="AX28" s="78">
        <f>'DJB Daily Readings'!DZ36-'DJB Daily Readings'!DZ35</f>
        <v>6.8000000000001819</v>
      </c>
      <c r="AY28" s="78">
        <f>'DJB Daily Readings'!EB36-'DJB Daily Readings'!EB35</f>
        <v>569</v>
      </c>
      <c r="AZ28" s="78">
        <f>'DJB Daily Readings'!ED36-'DJB Daily Readings'!ED35</f>
        <v>132.79999999998836</v>
      </c>
      <c r="BA28" s="78">
        <f>'DJB Daily Readings'!EG36-'DJB Daily Readings'!EG35</f>
        <v>3200</v>
      </c>
      <c r="BB28" s="78">
        <f>'DJB Daily Readings'!EI36-'DJB Daily Readings'!EI35</f>
        <v>220</v>
      </c>
      <c r="BC28" s="78">
        <f>'DJB Daily Readings'!EQ36-'DJB Daily Readings'!EQ35</f>
        <v>1500</v>
      </c>
      <c r="BD28" s="78">
        <f>'DJB Daily Readings'!EK36-'DJB Daily Readings'!EK35</f>
        <v>1700</v>
      </c>
      <c r="BE28" s="78">
        <f>'DJB Daily Readings'!EM36-'DJB Daily Readings'!EM35</f>
        <v>200</v>
      </c>
      <c r="BF28" s="78">
        <f>'DJB Daily Readings'!EO36-'DJB Daily Readings'!EO35</f>
        <v>600</v>
      </c>
      <c r="BG28" s="78">
        <f>('DJB Daily Readings'!ET36-'DJB Daily Readings'!ET35)*1.89</f>
        <v>32.129999999999995</v>
      </c>
      <c r="BH28" s="78">
        <f>('DJB Daily Readings'!EV36-'DJB Daily Readings'!EV35)*1.89</f>
        <v>0</v>
      </c>
      <c r="BI28" s="78">
        <f>('DJB Daily Readings'!EZ36-'DJB Daily Readings'!EZ35)*1.89</f>
        <v>26.459999999999997</v>
      </c>
      <c r="BJ28" s="78">
        <f>('DJB Daily Readings'!EX36-'DJB Daily Readings'!EX35)*1.89</f>
        <v>18.899999999999999</v>
      </c>
      <c r="BK28" s="78">
        <f>('DJB Daily Readings'!FB36-'DJB Daily Readings'!FB35)*1.89</f>
        <v>66.149999999999991</v>
      </c>
      <c r="BL28" s="78">
        <f>'DJB Daily Readings'!J36</f>
        <v>179</v>
      </c>
    </row>
    <row r="29" spans="1:64" x14ac:dyDescent="0.25">
      <c r="A29" t="s">
        <v>14</v>
      </c>
      <c r="B29">
        <f t="shared" si="0"/>
        <v>28</v>
      </c>
      <c r="C29">
        <v>12</v>
      </c>
      <c r="D29">
        <v>2022</v>
      </c>
      <c r="E29" s="74">
        <f>237*0.83</f>
        <v>196.70999999999998</v>
      </c>
      <c r="F29" s="75">
        <f>341+125</f>
        <v>466</v>
      </c>
      <c r="G29" s="3">
        <f>'DJB Daily Readings'!C37-'DJB Daily Readings'!C36</f>
        <v>659</v>
      </c>
      <c r="H29" s="3">
        <f>'DJB Daily Readings'!F37-'DJB Daily Readings'!F36</f>
        <v>526</v>
      </c>
      <c r="I29" s="3">
        <f>'DJB Daily Readings'!K37-'DJB Daily Readings'!K36</f>
        <v>0</v>
      </c>
      <c r="J29" s="3">
        <f>'DJB Daily Readings'!K37-'DJB Daily Readings'!K36</f>
        <v>0</v>
      </c>
      <c r="K29" s="3">
        <f>'DJB Daily Readings'!O37-'DJB Daily Readings'!O36</f>
        <v>74</v>
      </c>
      <c r="L29" s="3">
        <f>'DJB Daily Readings'!R37-'DJB Daily Readings'!R36</f>
        <v>6</v>
      </c>
      <c r="M29" s="3">
        <f>'DJB Daily Readings'!U37-'DJB Daily Readings'!U36</f>
        <v>1851.359999999404</v>
      </c>
      <c r="N29" s="3">
        <f>'DJB Daily Readings'!X37-'DJB Daily Readings'!X36</f>
        <v>4530.9600000027567</v>
      </c>
      <c r="O29" s="3">
        <f>'DJB Daily Readings'!AA37-'DJB Daily Readings'!AA36</f>
        <v>97.439999999478459</v>
      </c>
      <c r="P29" s="3">
        <f>'DJB Daily Readings'!AD37-'DJB Daily Readings'!AD36</f>
        <v>9159.3599999956787</v>
      </c>
      <c r="Q29" s="3">
        <f>'DJB Daily Readings'!AG37-'DJB Daily Readings'!AG36</f>
        <v>0</v>
      </c>
      <c r="R29" s="3">
        <f>'DJB Daily Readings'!AJ37-'DJB Daily Readings'!AJ36</f>
        <v>5359.1999999992549</v>
      </c>
      <c r="S29" s="3">
        <f>'DJB Daily Readings'!AM37-'DJB Daily Readings'!AM36</f>
        <v>4189.9199999999255</v>
      </c>
      <c r="T29" s="3">
        <f>'DJB Daily Readings'!AP37-'DJB Daily Readings'!AP36</f>
        <v>4628.4000000003725</v>
      </c>
      <c r="U29" s="3">
        <f>'DJB Daily Readings'!AS37-'DJB Daily Readings'!AS36</f>
        <v>3020.6399999987334</v>
      </c>
      <c r="V29" s="3">
        <f>'DJB Daily Readings'!AV37-'DJB Daily Readings'!AV36</f>
        <v>5602.8000000007451</v>
      </c>
      <c r="W29" s="3">
        <f>'DJB Daily Readings'!AZ37-'DJB Daily Readings'!AZ36</f>
        <v>0</v>
      </c>
      <c r="X29" s="3">
        <f>'DJB Daily Readings'!BC37-'DJB Daily Readings'!BC36</f>
        <v>41300</v>
      </c>
      <c r="Y29" s="3">
        <f>'DJB Daily Readings'!BF37-'DJB Daily Readings'!BF36</f>
        <v>0</v>
      </c>
      <c r="Z29" s="3">
        <f>('DJB Daily Readings'!CK37-'DJB Daily Readings'!CK36)*1.89</f>
        <v>139.85999999999999</v>
      </c>
      <c r="AA29" s="3">
        <f>('DJB Daily Readings'!CN37-'DJB Daily Readings'!CN36)*1.89</f>
        <v>226.79999999999998</v>
      </c>
      <c r="AB29" s="3">
        <f>('DJB Daily Readings'!CQ37-'DJB Daily Readings'!CQ36)*1.89</f>
        <v>561.32999999999993</v>
      </c>
      <c r="AC29" s="3">
        <f>'DJB Daily Readings'!CT37-'DJB Daily Readings'!CT36</f>
        <v>172</v>
      </c>
      <c r="AD29" s="80">
        <f>('DJB Daily Readings'!BY37-'DJB Daily Readings'!BY36)*1.89</f>
        <v>39.69</v>
      </c>
      <c r="AE29" s="80">
        <f>('DJB Daily Readings'!CA37-'DJB Daily Readings'!CA36)*1.89</f>
        <v>35.909999999999997</v>
      </c>
      <c r="AF29" s="80">
        <f>('DJB Daily Readings'!CC37-'DJB Daily Readings'!CC36)*1.89</f>
        <v>13.229999999999999</v>
      </c>
      <c r="AG29" s="80">
        <f>('DJB Daily Readings'!CE37-'DJB Daily Readings'!CE36)*1.89</f>
        <v>20.79</v>
      </c>
      <c r="AH29" s="80">
        <f>('DJB Daily Readings'!CG37-'DJB Daily Readings'!CG36)*1.89</f>
        <v>26.459999999999997</v>
      </c>
      <c r="AI29" s="80">
        <f>('DJB Daily Readings'!CI37-'DJB Daily Readings'!CI36)*1.89</f>
        <v>64.259999999999991</v>
      </c>
      <c r="AJ29" s="77">
        <f>'DJB Daily Readings'!CY37-'DJB Daily Readings'!CY36</f>
        <v>10</v>
      </c>
      <c r="AK29" s="77">
        <f>'DJB Daily Readings'!CW37-'DJB Daily Readings'!CW36</f>
        <v>14</v>
      </c>
      <c r="AL29" s="78">
        <f>'DJB Daily Readings'!DC37-'DJB Daily Readings'!DC36</f>
        <v>14</v>
      </c>
      <c r="AM29" s="78">
        <f>'DJB Daily Readings'!DA37-'DJB Daily Readings'!DA36</f>
        <v>19</v>
      </c>
      <c r="AN29" s="78">
        <f>'DJB Daily Readings'!DG37-'DJB Daily Readings'!DG36</f>
        <v>7</v>
      </c>
      <c r="AO29" s="78">
        <f>'DJB Daily Readings'!DE37-'DJB Daily Readings'!DE36</f>
        <v>13</v>
      </c>
      <c r="AP29" s="78">
        <f>'DJB Daily Readings'!DK37-'DJB Daily Readings'!DK36</f>
        <v>6</v>
      </c>
      <c r="AQ29" s="78">
        <f>'DJB Daily Readings'!DI37-'DJB Daily Readings'!DI36</f>
        <v>13</v>
      </c>
      <c r="AR29" s="78">
        <f>'DJB Daily Readings'!DO37-'DJB Daily Readings'!DO36</f>
        <v>10</v>
      </c>
      <c r="AS29" s="78">
        <f>'DJB Daily Readings'!DM37-'DJB Daily Readings'!DM36</f>
        <v>5</v>
      </c>
      <c r="AT29" s="78">
        <f>'DJB Daily Readings'!DQ37-'DJB Daily Readings'!DQ36</f>
        <v>0</v>
      </c>
      <c r="AU29" s="78">
        <f>'DJB Daily Readings'!DT37-'DJB Daily Readings'!DT36</f>
        <v>11.099999999999454</v>
      </c>
      <c r="AW29" s="78">
        <f>'DJB Daily Readings'!DX37-'DJB Daily Readings'!DX36</f>
        <v>7.2999999999992724</v>
      </c>
      <c r="AX29" s="78">
        <f>'DJB Daily Readings'!DZ37-'DJB Daily Readings'!DZ36</f>
        <v>7.1000000000003638</v>
      </c>
      <c r="AY29" s="78">
        <f>'DJB Daily Readings'!EB37-'DJB Daily Readings'!EB36</f>
        <v>570</v>
      </c>
      <c r="AZ29" s="78">
        <f>'DJB Daily Readings'!ED37-'DJB Daily Readings'!ED36</f>
        <v>129.80000000001746</v>
      </c>
      <c r="BA29" s="78">
        <f>'DJB Daily Readings'!EG37-'DJB Daily Readings'!EG36</f>
        <v>3100</v>
      </c>
      <c r="BB29" s="78">
        <f>'DJB Daily Readings'!EI37-'DJB Daily Readings'!EI36</f>
        <v>240</v>
      </c>
      <c r="BC29" s="78">
        <f>'DJB Daily Readings'!EQ37-'DJB Daily Readings'!EQ36</f>
        <v>1900</v>
      </c>
      <c r="BD29" s="78">
        <f>'DJB Daily Readings'!EK37-'DJB Daily Readings'!EK36</f>
        <v>1600</v>
      </c>
      <c r="BE29" s="78">
        <f>'DJB Daily Readings'!EM37-'DJB Daily Readings'!EM36</f>
        <v>300</v>
      </c>
      <c r="BF29" s="78">
        <f>'DJB Daily Readings'!EO37-'DJB Daily Readings'!EO36</f>
        <v>550</v>
      </c>
      <c r="BG29" s="78">
        <f>('DJB Daily Readings'!ET37-'DJB Daily Readings'!ET36)*1.89</f>
        <v>32.129999999999995</v>
      </c>
      <c r="BH29" s="78">
        <f>('DJB Daily Readings'!EV37-'DJB Daily Readings'!EV36)*1.89</f>
        <v>62.37</v>
      </c>
      <c r="BI29" s="78">
        <f>('DJB Daily Readings'!EZ37-'DJB Daily Readings'!EZ36)*1.89</f>
        <v>35.909999999999997</v>
      </c>
      <c r="BJ29" s="78">
        <f>('DJB Daily Readings'!EX37-'DJB Daily Readings'!EX36)*1.89</f>
        <v>17.009999999999998</v>
      </c>
      <c r="BK29" s="78">
        <f>('DJB Daily Readings'!FB37-'DJB Daily Readings'!FB36)*1.89</f>
        <v>68.039999999999992</v>
      </c>
      <c r="BL29" s="78">
        <f>'DJB Daily Readings'!J37</f>
        <v>1</v>
      </c>
    </row>
    <row r="30" spans="1:64" x14ac:dyDescent="0.25">
      <c r="A30" t="s">
        <v>14</v>
      </c>
      <c r="B30">
        <f t="shared" si="0"/>
        <v>29</v>
      </c>
      <c r="C30">
        <v>12</v>
      </c>
      <c r="D30">
        <v>2022</v>
      </c>
      <c r="E30" s="74">
        <f>237*0.84</f>
        <v>199.07999999999998</v>
      </c>
      <c r="F30" s="75">
        <f>346+117</f>
        <v>463</v>
      </c>
      <c r="G30" s="3">
        <f>'DJB Daily Readings'!C38-'DJB Daily Readings'!C37</f>
        <v>660</v>
      </c>
      <c r="H30" s="3">
        <f>'DJB Daily Readings'!F38-'DJB Daily Readings'!F37</f>
        <v>548</v>
      </c>
      <c r="I30" s="3">
        <f>'DJB Daily Readings'!K38-'DJB Daily Readings'!K37</f>
        <v>81</v>
      </c>
      <c r="J30" s="3">
        <f>'DJB Daily Readings'!K38-'DJB Daily Readings'!K37</f>
        <v>81</v>
      </c>
      <c r="K30" s="3">
        <f>'DJB Daily Readings'!O38-'DJB Daily Readings'!O37</f>
        <v>73</v>
      </c>
      <c r="L30" s="3">
        <f>'DJB Daily Readings'!R38-'DJB Daily Readings'!R37</f>
        <v>9</v>
      </c>
      <c r="M30" s="3">
        <f>'DJB Daily Readings'!U38-'DJB Daily Readings'!U37</f>
        <v>1753.9200000008568</v>
      </c>
      <c r="N30" s="3">
        <f>'DJB Daily Readings'!X38-'DJB Daily Readings'!X37</f>
        <v>4530.9599999990314</v>
      </c>
      <c r="O30" s="3">
        <f>'DJB Daily Readings'!AA38-'DJB Daily Readings'!AA37</f>
        <v>97.439999999478459</v>
      </c>
      <c r="P30" s="3">
        <f>'DJB Daily Readings'!AD38-'DJB Daily Readings'!AD37</f>
        <v>9061.9200000055134</v>
      </c>
      <c r="Q30" s="3">
        <f>'DJB Daily Readings'!AG38-'DJB Daily Readings'!AG37</f>
        <v>0</v>
      </c>
      <c r="R30" s="3">
        <f>'DJB Daily Readings'!AJ38-'DJB Daily Readings'!AJ37</f>
        <v>5359.1999999992549</v>
      </c>
      <c r="S30" s="3">
        <f>'DJB Daily Readings'!AM38-'DJB Daily Readings'!AM37</f>
        <v>4336.0800000000745</v>
      </c>
      <c r="T30" s="3">
        <f>'DJB Daily Readings'!AP38-'DJB Daily Readings'!AP37</f>
        <v>4774.5600000005215</v>
      </c>
      <c r="U30" s="3">
        <f>'DJB Daily Readings'!AS38-'DJB Daily Readings'!AS37</f>
        <v>3702.7200000006706</v>
      </c>
      <c r="V30" s="3">
        <f>'DJB Daily Readings'!AV38-'DJB Daily Readings'!AV37</f>
        <v>5602.8000000007451</v>
      </c>
      <c r="W30" s="3">
        <f>'DJB Daily Readings'!AZ38-'DJB Daily Readings'!AZ37</f>
        <v>0</v>
      </c>
      <c r="X30" s="3">
        <f>'DJB Daily Readings'!BC38-'DJB Daily Readings'!BC37</f>
        <v>40600</v>
      </c>
      <c r="Y30" s="3">
        <f>'DJB Daily Readings'!BF38-'DJB Daily Readings'!BF37</f>
        <v>0</v>
      </c>
      <c r="Z30" s="3">
        <f>('DJB Daily Readings'!CK38-'DJB Daily Readings'!CK37)*1.89</f>
        <v>136.07999999999998</v>
      </c>
      <c r="AA30" s="3">
        <f>('DJB Daily Readings'!CN38-'DJB Daily Readings'!CN37)*1.89</f>
        <v>206.01</v>
      </c>
      <c r="AB30" s="3">
        <f>('DJB Daily Readings'!CQ38-'DJB Daily Readings'!CQ37)*1.89</f>
        <v>514.07999999999993</v>
      </c>
      <c r="AC30" s="3">
        <f>'DJB Daily Readings'!CT38-'DJB Daily Readings'!CT37</f>
        <v>171</v>
      </c>
      <c r="AD30" s="80">
        <f>('DJB Daily Readings'!BY38-'DJB Daily Readings'!BY37)*1.89</f>
        <v>37.799999999999997</v>
      </c>
      <c r="AE30" s="80">
        <f>('DJB Daily Readings'!CA38-'DJB Daily Readings'!CA37)*1.89</f>
        <v>35.909999999999997</v>
      </c>
      <c r="AF30" s="80">
        <f>('DJB Daily Readings'!CC38-'DJB Daily Readings'!CC37)*1.89</f>
        <v>13.229999999999999</v>
      </c>
      <c r="AG30" s="80">
        <f>('DJB Daily Readings'!CE38-'DJB Daily Readings'!CE37)*1.89</f>
        <v>20.79</v>
      </c>
      <c r="AH30" s="80">
        <f>('DJB Daily Readings'!CG38-'DJB Daily Readings'!CG37)*1.89</f>
        <v>26.459999999999997</v>
      </c>
      <c r="AI30" s="80">
        <f>('DJB Daily Readings'!CI38-'DJB Daily Readings'!CI37)*1.89</f>
        <v>71.819999999999993</v>
      </c>
      <c r="AJ30" s="77">
        <f>'DJB Daily Readings'!CY38-'DJB Daily Readings'!CY37</f>
        <v>8</v>
      </c>
      <c r="AK30" s="77">
        <f>'DJB Daily Readings'!CW38-'DJB Daily Readings'!CW37</f>
        <v>13</v>
      </c>
      <c r="AL30" s="78">
        <f>'DJB Daily Readings'!DC38-'DJB Daily Readings'!DC37</f>
        <v>16</v>
      </c>
      <c r="AM30" s="78">
        <f>'DJB Daily Readings'!DA38-'DJB Daily Readings'!DA37</f>
        <v>19</v>
      </c>
      <c r="AN30" s="78">
        <f>'DJB Daily Readings'!DG38-'DJB Daily Readings'!DG37</f>
        <v>8</v>
      </c>
      <c r="AO30" s="78">
        <f>'DJB Daily Readings'!DE38-'DJB Daily Readings'!DE37</f>
        <v>14</v>
      </c>
      <c r="AP30" s="78">
        <f>'DJB Daily Readings'!DK38-'DJB Daily Readings'!DK37</f>
        <v>6</v>
      </c>
      <c r="AQ30" s="78">
        <f>'DJB Daily Readings'!DI38-'DJB Daily Readings'!DI37</f>
        <v>12</v>
      </c>
      <c r="AR30" s="78">
        <f>'DJB Daily Readings'!DO38-'DJB Daily Readings'!DO37</f>
        <v>10</v>
      </c>
      <c r="AS30" s="78">
        <f>'DJB Daily Readings'!DM38-'DJB Daily Readings'!DM37</f>
        <v>4</v>
      </c>
      <c r="AT30" s="78">
        <f>'DJB Daily Readings'!DQ38-'DJB Daily Readings'!DQ37</f>
        <v>0</v>
      </c>
      <c r="AU30" s="78">
        <f>'DJB Daily Readings'!DT38-'DJB Daily Readings'!DT37</f>
        <v>11.200000000000728</v>
      </c>
      <c r="AW30" s="78">
        <f>'DJB Daily Readings'!DX38-'DJB Daily Readings'!DX37</f>
        <v>7</v>
      </c>
      <c r="AX30" s="78">
        <f>'DJB Daily Readings'!DZ38-'DJB Daily Readings'!DZ37</f>
        <v>6.0999999999994543</v>
      </c>
      <c r="AY30" s="78">
        <f>'DJB Daily Readings'!EB38-'DJB Daily Readings'!EB37</f>
        <v>552</v>
      </c>
      <c r="AZ30" s="78">
        <f>'DJB Daily Readings'!ED38-'DJB Daily Readings'!ED37</f>
        <v>130.59999999997672</v>
      </c>
      <c r="BA30" s="78">
        <f>'DJB Daily Readings'!EG38-'DJB Daily Readings'!EG37</f>
        <v>3500</v>
      </c>
      <c r="BB30" s="78">
        <f>'DJB Daily Readings'!EI38-'DJB Daily Readings'!EI37</f>
        <v>260</v>
      </c>
      <c r="BC30" s="78">
        <f>'DJB Daily Readings'!EQ38-'DJB Daily Readings'!EQ37</f>
        <v>2200</v>
      </c>
      <c r="BD30" s="78">
        <f>'DJB Daily Readings'!EK38-'DJB Daily Readings'!EK37</f>
        <v>1800</v>
      </c>
      <c r="BE30" s="78">
        <f>'DJB Daily Readings'!EM38-'DJB Daily Readings'!EM37</f>
        <v>200</v>
      </c>
      <c r="BF30" s="78">
        <f>'DJB Daily Readings'!EO38-'DJB Daily Readings'!EO37</f>
        <v>640</v>
      </c>
      <c r="BG30" s="78">
        <f>('DJB Daily Readings'!ET38-'DJB Daily Readings'!ET37)*1.89</f>
        <v>30.24</v>
      </c>
      <c r="BH30" s="78">
        <f>('DJB Daily Readings'!EV38-'DJB Daily Readings'!EV37)*1.89</f>
        <v>30.24</v>
      </c>
      <c r="BI30" s="78">
        <f>('DJB Daily Readings'!EZ38-'DJB Daily Readings'!EZ37)*1.89</f>
        <v>35.909999999999997</v>
      </c>
      <c r="BJ30" s="78">
        <f>('DJB Daily Readings'!EX38-'DJB Daily Readings'!EX37)*1.89</f>
        <v>17.009999999999998</v>
      </c>
      <c r="BK30" s="78">
        <f>('DJB Daily Readings'!FB38-'DJB Daily Readings'!FB37)*1.89</f>
        <v>71.819999999999993</v>
      </c>
      <c r="BL30" s="78">
        <f>'DJB Daily Readings'!J38</f>
        <v>0</v>
      </c>
    </row>
    <row r="31" spans="1:64" x14ac:dyDescent="0.25">
      <c r="A31" t="s">
        <v>14</v>
      </c>
      <c r="B31">
        <f t="shared" si="0"/>
        <v>30</v>
      </c>
      <c r="C31">
        <v>12</v>
      </c>
      <c r="D31">
        <v>2022</v>
      </c>
      <c r="E31" s="74">
        <f>237*0.88</f>
        <v>208.56</v>
      </c>
      <c r="F31" s="75">
        <f>343+121</f>
        <v>464</v>
      </c>
      <c r="G31" s="3">
        <f>'DJB Daily Readings'!C39-'DJB Daily Readings'!C38</f>
        <v>685</v>
      </c>
      <c r="H31" s="3">
        <f>'DJB Daily Readings'!F39-'DJB Daily Readings'!F38</f>
        <v>533</v>
      </c>
      <c r="I31" s="3">
        <f>'DJB Daily Readings'!K39-'DJB Daily Readings'!K38</f>
        <v>74</v>
      </c>
      <c r="J31" s="3">
        <f>'DJB Daily Readings'!K39-'DJB Daily Readings'!K38</f>
        <v>74</v>
      </c>
      <c r="K31" s="3">
        <f>'DJB Daily Readings'!O39-'DJB Daily Readings'!O38</f>
        <v>78</v>
      </c>
      <c r="L31" s="3">
        <f>'DJB Daily Readings'!R39-'DJB Daily Readings'!R38</f>
        <v>6</v>
      </c>
      <c r="M31" s="3">
        <f>'DJB Daily Readings'!U39-'DJB Daily Readings'!U38</f>
        <v>1997.519999999553</v>
      </c>
      <c r="N31" s="3">
        <f>'DJB Daily Readings'!X39-'DJB Daily Readings'!X38</f>
        <v>4530.9599999990314</v>
      </c>
      <c r="O31" s="3">
        <f>'DJB Daily Readings'!AA39-'DJB Daily Readings'!AA38</f>
        <v>97.440000001341105</v>
      </c>
      <c r="P31" s="3">
        <f>'DJB Daily Readings'!AD39-'DJB Daily Readings'!AD38</f>
        <v>8623.4399999976158</v>
      </c>
      <c r="Q31" s="3">
        <f>'DJB Daily Readings'!AG39-'DJB Daily Readings'!AG38</f>
        <v>438.48000000044703</v>
      </c>
      <c r="R31" s="3">
        <f>'DJB Daily Readings'!AJ39-'DJB Daily Readings'!AJ38</f>
        <v>5261.7600000016391</v>
      </c>
      <c r="S31" s="3">
        <f>'DJB Daily Readings'!AM39-'DJB Daily Readings'!AM38</f>
        <v>3946.3199999984354</v>
      </c>
      <c r="T31" s="3">
        <f>'DJB Daily Readings'!AP39-'DJB Daily Readings'!AP38</f>
        <v>4677.1199999991804</v>
      </c>
      <c r="U31" s="3">
        <f>'DJB Daily Readings'!AS39-'DJB Daily Readings'!AS38</f>
        <v>2874.4799999985844</v>
      </c>
      <c r="V31" s="3">
        <f>'DJB Daily Readings'!AV39-'DJB Daily Readings'!AV38</f>
        <v>5992.5600000023842</v>
      </c>
      <c r="W31" s="3">
        <f>'DJB Daily Readings'!AZ39-'DJB Daily Readings'!AZ38</f>
        <v>0</v>
      </c>
      <c r="X31" s="3">
        <f>'DJB Daily Readings'!BC39-'DJB Daily Readings'!BC38</f>
        <v>41500</v>
      </c>
      <c r="Y31" s="3">
        <f>'DJB Daily Readings'!BF39-'DJB Daily Readings'!BF38</f>
        <v>0</v>
      </c>
      <c r="Z31" s="3">
        <f>('DJB Daily Readings'!CK39-'DJB Daily Readings'!CK38)*1.89</f>
        <v>134.19</v>
      </c>
      <c r="AA31" s="3">
        <f>('DJB Daily Readings'!CN39-'DJB Daily Readings'!CN38)*1.89</f>
        <v>221.13</v>
      </c>
      <c r="AB31" s="3">
        <f>('DJB Daily Readings'!CQ39-'DJB Daily Readings'!CQ38)*1.89</f>
        <v>491.4</v>
      </c>
      <c r="AC31" s="3">
        <f>'DJB Daily Readings'!CT39-'DJB Daily Readings'!CT38</f>
        <v>171</v>
      </c>
      <c r="AD31" s="80">
        <f>('DJB Daily Readings'!BY39-'DJB Daily Readings'!BY38)*1.89</f>
        <v>39.69</v>
      </c>
      <c r="AE31" s="80">
        <f>('DJB Daily Readings'!CA39-'DJB Daily Readings'!CA38)*1.89</f>
        <v>32.129999999999995</v>
      </c>
      <c r="AF31" s="80">
        <f>('DJB Daily Readings'!CC39-'DJB Daily Readings'!CC38)*1.89</f>
        <v>9.4499999999999993</v>
      </c>
      <c r="AG31" s="80">
        <f>('DJB Daily Readings'!CE39-'DJB Daily Readings'!CE38)*1.89</f>
        <v>18.899999999999999</v>
      </c>
      <c r="AH31" s="80">
        <f>('DJB Daily Readings'!CG39-'DJB Daily Readings'!CG38)*1.89</f>
        <v>13.229999999999999</v>
      </c>
      <c r="AI31" s="80">
        <f>('DJB Daily Readings'!CI39-'DJB Daily Readings'!CI38)*1.89</f>
        <v>77.489999999999995</v>
      </c>
      <c r="AJ31" s="77">
        <f>'DJB Daily Readings'!CY39-'DJB Daily Readings'!CY38</f>
        <v>9</v>
      </c>
      <c r="AK31" s="77">
        <f>'DJB Daily Readings'!CW39-'DJB Daily Readings'!CW38</f>
        <v>14</v>
      </c>
      <c r="AL31" s="78">
        <f>'DJB Daily Readings'!DC39-'DJB Daily Readings'!DC38</f>
        <v>16</v>
      </c>
      <c r="AM31" s="78">
        <f>'DJB Daily Readings'!DA39-'DJB Daily Readings'!DA38</f>
        <v>18</v>
      </c>
      <c r="AN31" s="78">
        <f>'DJB Daily Readings'!DG39-'DJB Daily Readings'!DG38</f>
        <v>9</v>
      </c>
      <c r="AO31" s="78">
        <f>'DJB Daily Readings'!DE39-'DJB Daily Readings'!DE38</f>
        <v>14</v>
      </c>
      <c r="AP31" s="78">
        <f>'DJB Daily Readings'!DK39-'DJB Daily Readings'!DK38</f>
        <v>11</v>
      </c>
      <c r="AQ31" s="78">
        <f>'DJB Daily Readings'!DI39-'DJB Daily Readings'!DI38</f>
        <v>14</v>
      </c>
      <c r="AR31" s="78">
        <f>'DJB Daily Readings'!DO39-'DJB Daily Readings'!DO38</f>
        <v>10</v>
      </c>
      <c r="AS31" s="78">
        <f>'DJB Daily Readings'!DM39-'DJB Daily Readings'!DM38</f>
        <v>6</v>
      </c>
      <c r="AT31" s="78">
        <f>'DJB Daily Readings'!DQ39-'DJB Daily Readings'!DQ38</f>
        <v>0</v>
      </c>
      <c r="AU31" s="78">
        <f>'DJB Daily Readings'!DT39-'DJB Daily Readings'!DT38</f>
        <v>11.199999999999818</v>
      </c>
      <c r="AW31" s="78">
        <f>'DJB Daily Readings'!DX39-'DJB Daily Readings'!DX38</f>
        <v>7.1000000000003638</v>
      </c>
      <c r="AX31" s="78">
        <f>'DJB Daily Readings'!DZ39-'DJB Daily Readings'!DZ38</f>
        <v>8</v>
      </c>
      <c r="AY31" s="78">
        <f>'DJB Daily Readings'!EB39-'DJB Daily Readings'!EB38</f>
        <v>590</v>
      </c>
      <c r="AZ31" s="78">
        <f>'DJB Daily Readings'!ED39-'DJB Daily Readings'!ED38</f>
        <v>133.20000000001164</v>
      </c>
      <c r="BA31" s="78">
        <f>'DJB Daily Readings'!EG39-'DJB Daily Readings'!EG38</f>
        <v>2500</v>
      </c>
      <c r="BB31" s="78">
        <f>'DJB Daily Readings'!EI39-'DJB Daily Readings'!EI38</f>
        <v>180</v>
      </c>
      <c r="BC31" s="78">
        <f>'DJB Daily Readings'!EQ39-'DJB Daily Readings'!EQ38</f>
        <v>1400</v>
      </c>
      <c r="BD31" s="78">
        <f>'DJB Daily Readings'!EK39-'DJB Daily Readings'!EK38</f>
        <v>1200</v>
      </c>
      <c r="BE31" s="78">
        <f>'DJB Daily Readings'!EM39-'DJB Daily Readings'!EM38</f>
        <v>200</v>
      </c>
      <c r="BF31" s="78">
        <f>'DJB Daily Readings'!EO39-'DJB Daily Readings'!EO38</f>
        <v>440</v>
      </c>
      <c r="BG31" s="78">
        <f>('DJB Daily Readings'!ET39-'DJB Daily Readings'!ET38)*1.89</f>
        <v>35.909999999999997</v>
      </c>
      <c r="BH31" s="78">
        <f>('DJB Daily Readings'!EV39-'DJB Daily Readings'!EV38)*1.89</f>
        <v>32.129999999999995</v>
      </c>
      <c r="BI31" s="78">
        <f>('DJB Daily Readings'!EZ39-'DJB Daily Readings'!EZ38)*1.89</f>
        <v>34.019999999999996</v>
      </c>
      <c r="BJ31" s="78">
        <f>('DJB Daily Readings'!EX39-'DJB Daily Readings'!EX38)*1.89</f>
        <v>26.459999999999997</v>
      </c>
      <c r="BK31" s="78">
        <f>('DJB Daily Readings'!FB39-'DJB Daily Readings'!FB38)*1.89</f>
        <v>69.929999999999993</v>
      </c>
      <c r="BL31" s="78">
        <f>'DJB Daily Readings'!J39</f>
        <v>126</v>
      </c>
    </row>
    <row r="32" spans="1:64" x14ac:dyDescent="0.25">
      <c r="A32" t="s">
        <v>14</v>
      </c>
      <c r="B32">
        <f t="shared" si="0"/>
        <v>31</v>
      </c>
      <c r="C32">
        <v>12</v>
      </c>
      <c r="D32">
        <v>2022</v>
      </c>
      <c r="E32" s="74">
        <f>237*0.92</f>
        <v>218.04000000000002</v>
      </c>
      <c r="F32" s="75">
        <f>341+124</f>
        <v>465</v>
      </c>
      <c r="G32" s="3">
        <f>'DJB Daily Readings'!C40-'DJB Daily Readings'!C39</f>
        <v>676</v>
      </c>
      <c r="H32" s="3">
        <f>'DJB Daily Readings'!F40-'DJB Daily Readings'!F39</f>
        <v>547</v>
      </c>
      <c r="I32" s="3">
        <f>'DJB Daily Readings'!K40-'DJB Daily Readings'!K39</f>
        <v>50</v>
      </c>
      <c r="J32" s="3">
        <f>'DJB Daily Readings'!K40-'DJB Daily Readings'!K39</f>
        <v>50</v>
      </c>
      <c r="K32" s="3">
        <f>'DJB Daily Readings'!O40-'DJB Daily Readings'!O39</f>
        <v>86</v>
      </c>
      <c r="L32" s="3">
        <f>'DJB Daily Readings'!R40-'DJB Daily Readings'!R39</f>
        <v>13</v>
      </c>
      <c r="M32" s="3">
        <f>'DJB Daily Readings'!U40-'DJB Daily Readings'!U39</f>
        <v>3020.640000000596</v>
      </c>
      <c r="N32" s="3">
        <f>'DJB Daily Readings'!X40-'DJB Daily Readings'!X39</f>
        <v>4482.2400000002235</v>
      </c>
      <c r="O32" s="3">
        <f>'DJB Daily Readings'!AA40-'DJB Daily Readings'!AA39</f>
        <v>8136.2400000002235</v>
      </c>
      <c r="P32" s="3">
        <f>'DJB Daily Readings'!AD40-'DJB Daily Readings'!AD39</f>
        <v>389.76000000163913</v>
      </c>
      <c r="Q32" s="3">
        <f>'DJB Daily Readings'!AG40-'DJB Daily Readings'!AG39</f>
        <v>97.440000001341105</v>
      </c>
      <c r="R32" s="3">
        <f>'DJB Daily Readings'!AJ40-'DJB Daily Readings'!AJ39</f>
        <v>5700.2399999983609</v>
      </c>
      <c r="S32" s="3">
        <f>'DJB Daily Readings'!AM40-'DJB Daily Readings'!AM39</f>
        <v>4189.9199999999255</v>
      </c>
      <c r="T32" s="3">
        <f>'DJB Daily Readings'!AP40-'DJB Daily Readings'!AP39</f>
        <v>4823.2799999993294</v>
      </c>
      <c r="U32" s="3">
        <f>'DJB Daily Readings'!AS40-'DJB Daily Readings'!AS39</f>
        <v>3069.3600000012666</v>
      </c>
      <c r="V32" s="3">
        <f>'DJB Daily Readings'!AV40-'DJB Daily Readings'!AV39</f>
        <v>6041.2799999974668</v>
      </c>
      <c r="W32" s="3">
        <f>'DJB Daily Readings'!AZ40-'DJB Daily Readings'!AZ39</f>
        <v>41800</v>
      </c>
      <c r="X32" s="3">
        <f>'DJB Daily Readings'!BC40-'DJB Daily Readings'!BC39</f>
        <v>2300</v>
      </c>
      <c r="Y32" s="3">
        <f>'DJB Daily Readings'!BF40-'DJB Daily Readings'!BF39</f>
        <v>0</v>
      </c>
      <c r="Z32" s="3">
        <f>('DJB Daily Readings'!CK40-'DJB Daily Readings'!CK39)*1.89</f>
        <v>141.75</v>
      </c>
      <c r="AA32" s="3">
        <f>('DJB Daily Readings'!CN40-'DJB Daily Readings'!CN39)*1.89</f>
        <v>245.7</v>
      </c>
      <c r="AB32" s="3">
        <f>('DJB Daily Readings'!CQ40-'DJB Daily Readings'!CQ39)*1.89</f>
        <v>491.4</v>
      </c>
      <c r="AC32" s="3">
        <f>'DJB Daily Readings'!CT40-'DJB Daily Readings'!CT39</f>
        <v>178</v>
      </c>
      <c r="AD32" s="80">
        <f>('DJB Daily Readings'!BY40-'DJB Daily Readings'!BY39)*1.89</f>
        <v>32.129999999999995</v>
      </c>
      <c r="AE32" s="80">
        <f>('DJB Daily Readings'!CA40-'DJB Daily Readings'!CA39)*1.89</f>
        <v>34.019999999999996</v>
      </c>
      <c r="AF32" s="80">
        <f>('DJB Daily Readings'!CC40-'DJB Daily Readings'!CC39)*1.89</f>
        <v>13.229999999999999</v>
      </c>
      <c r="AG32" s="80">
        <f>('DJB Daily Readings'!CE40-'DJB Daily Readings'!CE39)*1.89</f>
        <v>22.68</v>
      </c>
      <c r="AH32" s="80">
        <f>('DJB Daily Readings'!CG40-'DJB Daily Readings'!CG39)*1.89</f>
        <v>26.459999999999997</v>
      </c>
      <c r="AI32" s="80">
        <f>('DJB Daily Readings'!CI40-'DJB Daily Readings'!CI39)*1.89</f>
        <v>71.819999999999993</v>
      </c>
      <c r="AJ32" s="77">
        <f>'DJB Daily Readings'!CY40-'DJB Daily Readings'!CY39</f>
        <v>11</v>
      </c>
      <c r="AK32" s="77">
        <f>'DJB Daily Readings'!CW40-'DJB Daily Readings'!CW39</f>
        <v>13</v>
      </c>
      <c r="AL32" s="78">
        <f>'DJB Daily Readings'!DC40-'DJB Daily Readings'!DC39</f>
        <v>17</v>
      </c>
      <c r="AM32" s="78">
        <f>'DJB Daily Readings'!DA40-'DJB Daily Readings'!DA39</f>
        <v>24</v>
      </c>
      <c r="AN32" s="78">
        <f>'DJB Daily Readings'!DG40-'DJB Daily Readings'!DG39</f>
        <v>6</v>
      </c>
      <c r="AO32" s="78">
        <f>'DJB Daily Readings'!DE40-'DJB Daily Readings'!DE39</f>
        <v>13</v>
      </c>
      <c r="AP32" s="78">
        <f>'DJB Daily Readings'!DK40-'DJB Daily Readings'!DK39</f>
        <v>8</v>
      </c>
      <c r="AQ32" s="78">
        <f>'DJB Daily Readings'!DI40-'DJB Daily Readings'!DI39</f>
        <v>16</v>
      </c>
      <c r="AR32" s="78">
        <f>'DJB Daily Readings'!DO40-'DJB Daily Readings'!DO39</f>
        <v>10</v>
      </c>
      <c r="AS32" s="78">
        <f>'DJB Daily Readings'!DM40-'DJB Daily Readings'!DM39</f>
        <v>6</v>
      </c>
      <c r="AT32" s="78">
        <f>'DJB Daily Readings'!DQ40-'DJB Daily Readings'!DQ39</f>
        <v>0</v>
      </c>
      <c r="AU32" s="78">
        <f>'DJB Daily Readings'!DT40-'DJB Daily Readings'!DT39</f>
        <v>11.899999999999636</v>
      </c>
      <c r="AW32" s="78">
        <f>'DJB Daily Readings'!DX40-'DJB Daily Readings'!DX39</f>
        <v>7.1000000000003638</v>
      </c>
      <c r="AX32" s="78">
        <f>'DJB Daily Readings'!DZ40-'DJB Daily Readings'!DZ39</f>
        <v>8.4000000000005457</v>
      </c>
      <c r="AY32" s="78">
        <f>'DJB Daily Readings'!EB40-'DJB Daily Readings'!EB39</f>
        <v>604</v>
      </c>
      <c r="AZ32" s="78">
        <f>'DJB Daily Readings'!ED40-'DJB Daily Readings'!ED39</f>
        <v>136.89999999999418</v>
      </c>
      <c r="BA32" s="78">
        <f>'DJB Daily Readings'!EG40-'DJB Daily Readings'!EG39</f>
        <v>3800</v>
      </c>
      <c r="BB32" s="78">
        <f>'DJB Daily Readings'!EI40-'DJB Daily Readings'!EI39</f>
        <v>270</v>
      </c>
      <c r="BC32" s="78">
        <f>'DJB Daily Readings'!EQ40-'DJB Daily Readings'!EQ39</f>
        <v>2900</v>
      </c>
      <c r="BD32" s="78">
        <f>'DJB Daily Readings'!EK40-'DJB Daily Readings'!EK39</f>
        <v>2000</v>
      </c>
      <c r="BE32" s="78">
        <f>'DJB Daily Readings'!EM40-'DJB Daily Readings'!EM39</f>
        <v>200</v>
      </c>
      <c r="BF32" s="78">
        <f>'DJB Daily Readings'!EO40-'DJB Daily Readings'!EO39</f>
        <v>640</v>
      </c>
      <c r="BG32" s="78">
        <f>('DJB Daily Readings'!ET40-'DJB Daily Readings'!ET39)*1.89</f>
        <v>34.019999999999996</v>
      </c>
      <c r="BH32" s="78">
        <f>('DJB Daily Readings'!EV40-'DJB Daily Readings'!EV39)*1.89</f>
        <v>30.24</v>
      </c>
      <c r="BI32" s="78">
        <f>('DJB Daily Readings'!EZ40-'DJB Daily Readings'!EZ39)*1.89</f>
        <v>34.019999999999996</v>
      </c>
      <c r="BJ32" s="78">
        <f>('DJB Daily Readings'!EX40-'DJB Daily Readings'!EX39)*1.89</f>
        <v>20.79</v>
      </c>
      <c r="BK32" s="78">
        <f>('DJB Daily Readings'!FB40-'DJB Daily Readings'!FB39)*1.89</f>
        <v>81.27</v>
      </c>
      <c r="BL32" s="78">
        <f>'DJB Daily Readings'!J40</f>
        <v>69</v>
      </c>
    </row>
  </sheetData>
  <pageMargins left="0.7" right="0.7" top="0.75" bottom="0.75" header="0.3" footer="0.3"/>
  <pageSetup paperSize="9" orientation="portrait" r:id="rId1"/>
  <ignoredErrors>
    <ignoredError sqref="E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I40" sqref="EI40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63" t="s">
        <v>73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</row>
    <row r="2" spans="1:159" ht="16.5" customHeight="1" x14ac:dyDescent="0.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</row>
    <row r="3" spans="1:159" ht="45" customHeight="1" x14ac:dyDescent="0.25">
      <c r="A3" s="463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</row>
    <row r="4" spans="1:159" ht="16.5" customHeight="1" x14ac:dyDescent="0.25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</row>
    <row r="5" spans="1:159" ht="10.5" customHeight="1" thickBot="1" x14ac:dyDescent="0.3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3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3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3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3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3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3"/>
      <c r="ET5" s="464"/>
      <c r="EU5" s="464"/>
      <c r="EV5" s="464"/>
      <c r="EW5" s="464"/>
      <c r="EX5" s="464"/>
      <c r="EY5" s="464"/>
      <c r="EZ5" s="464"/>
      <c r="FA5" s="464"/>
      <c r="FB5" s="464"/>
      <c r="FC5" s="464"/>
    </row>
    <row r="6" spans="1:159" ht="24.75" customHeight="1" thickBot="1" x14ac:dyDescent="0.3">
      <c r="A6" s="465" t="s">
        <v>74</v>
      </c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7"/>
      <c r="T6" s="489"/>
      <c r="U6" s="468" t="s">
        <v>75</v>
      </c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70"/>
      <c r="AY6" s="396"/>
      <c r="AZ6" s="468" t="s">
        <v>76</v>
      </c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69"/>
      <c r="BN6" s="469"/>
      <c r="BO6" s="469"/>
      <c r="BP6" s="469"/>
      <c r="BQ6" s="469"/>
      <c r="BR6" s="469"/>
      <c r="BS6" s="469"/>
      <c r="BT6" s="470"/>
      <c r="BU6" s="362"/>
      <c r="BV6" s="471" t="s">
        <v>77</v>
      </c>
      <c r="BW6" s="472"/>
      <c r="BX6" s="472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3"/>
      <c r="CV6" s="422"/>
      <c r="CW6" s="481" t="s">
        <v>78</v>
      </c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2"/>
      <c r="DS6" s="407"/>
      <c r="DT6" s="372" t="s">
        <v>79</v>
      </c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4"/>
      <c r="EF6" s="346"/>
      <c r="EG6" s="372" t="s">
        <v>80</v>
      </c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4"/>
      <c r="ES6" s="395"/>
      <c r="ET6" s="392" t="s">
        <v>81</v>
      </c>
      <c r="EU6" s="393"/>
      <c r="EV6" s="393"/>
      <c r="EW6" s="393"/>
      <c r="EX6" s="393"/>
      <c r="EY6" s="393"/>
      <c r="EZ6" s="393"/>
      <c r="FA6" s="393"/>
      <c r="FB6" s="393"/>
      <c r="FC6" s="394"/>
    </row>
    <row r="7" spans="1:159" ht="45" customHeight="1" thickBot="1" x14ac:dyDescent="0.3">
      <c r="A7" s="474" t="s">
        <v>82</v>
      </c>
      <c r="B7" s="476" t="s">
        <v>83</v>
      </c>
      <c r="C7" s="435" t="s">
        <v>84</v>
      </c>
      <c r="D7" s="433"/>
      <c r="E7" s="436"/>
      <c r="F7" s="478" t="s">
        <v>85</v>
      </c>
      <c r="G7" s="479"/>
      <c r="H7" s="480"/>
      <c r="I7" s="483" t="s">
        <v>86</v>
      </c>
      <c r="J7" s="483"/>
      <c r="K7" s="484" t="s">
        <v>87</v>
      </c>
      <c r="L7" s="485"/>
      <c r="M7" s="486" t="s">
        <v>88</v>
      </c>
      <c r="N7" s="480"/>
      <c r="O7" s="486" t="s">
        <v>89</v>
      </c>
      <c r="P7" s="479"/>
      <c r="Q7" s="480"/>
      <c r="R7" s="484" t="s">
        <v>90</v>
      </c>
      <c r="S7" s="487"/>
      <c r="T7" s="489"/>
      <c r="U7" s="488" t="s">
        <v>91</v>
      </c>
      <c r="V7" s="448"/>
      <c r="W7" s="449"/>
      <c r="X7" s="447" t="s">
        <v>92</v>
      </c>
      <c r="Y7" s="448"/>
      <c r="Z7" s="449"/>
      <c r="AA7" s="447" t="s">
        <v>93</v>
      </c>
      <c r="AB7" s="448"/>
      <c r="AC7" s="449"/>
      <c r="AD7" s="447" t="s">
        <v>94</v>
      </c>
      <c r="AE7" s="448"/>
      <c r="AF7" s="449"/>
      <c r="AG7" s="447" t="s">
        <v>95</v>
      </c>
      <c r="AH7" s="448"/>
      <c r="AI7" s="449"/>
      <c r="AJ7" s="444" t="s">
        <v>96</v>
      </c>
      <c r="AK7" s="445"/>
      <c r="AL7" s="446"/>
      <c r="AM7" s="444" t="s">
        <v>97</v>
      </c>
      <c r="AN7" s="445"/>
      <c r="AO7" s="446"/>
      <c r="AP7" s="447" t="s">
        <v>98</v>
      </c>
      <c r="AQ7" s="448"/>
      <c r="AR7" s="449"/>
      <c r="AS7" s="444" t="s">
        <v>99</v>
      </c>
      <c r="AT7" s="445"/>
      <c r="AU7" s="446"/>
      <c r="AV7" s="450" t="s">
        <v>100</v>
      </c>
      <c r="AW7" s="451"/>
      <c r="AX7" s="452"/>
      <c r="AY7" s="396"/>
      <c r="AZ7" s="453" t="s">
        <v>101</v>
      </c>
      <c r="BA7" s="451"/>
      <c r="BB7" s="454"/>
      <c r="BC7" s="455" t="s">
        <v>102</v>
      </c>
      <c r="BD7" s="455"/>
      <c r="BE7" s="455"/>
      <c r="BF7" s="455" t="s">
        <v>103</v>
      </c>
      <c r="BG7" s="455"/>
      <c r="BH7" s="455"/>
      <c r="BI7" s="439" t="s">
        <v>104</v>
      </c>
      <c r="BJ7" s="439"/>
      <c r="BK7" s="439" t="s">
        <v>105</v>
      </c>
      <c r="BL7" s="439"/>
      <c r="BM7" s="439" t="s">
        <v>106</v>
      </c>
      <c r="BN7" s="439"/>
      <c r="BO7" s="439" t="s">
        <v>107</v>
      </c>
      <c r="BP7" s="439"/>
      <c r="BQ7" s="440" t="s">
        <v>108</v>
      </c>
      <c r="BR7" s="441"/>
      <c r="BS7" s="442" t="s">
        <v>109</v>
      </c>
      <c r="BT7" s="443"/>
      <c r="BU7" s="363"/>
      <c r="BV7" s="365" t="s">
        <v>110</v>
      </c>
      <c r="BW7" s="366"/>
      <c r="BX7" s="367"/>
      <c r="BY7" s="368" t="s">
        <v>111</v>
      </c>
      <c r="BZ7" s="368"/>
      <c r="CA7" s="369" t="s">
        <v>112</v>
      </c>
      <c r="CB7" s="370"/>
      <c r="CC7" s="369" t="s">
        <v>113</v>
      </c>
      <c r="CD7" s="370"/>
      <c r="CE7" s="369" t="s">
        <v>114</v>
      </c>
      <c r="CF7" s="370"/>
      <c r="CG7" s="369" t="s">
        <v>115</v>
      </c>
      <c r="CH7" s="370"/>
      <c r="CI7" s="369" t="s">
        <v>116</v>
      </c>
      <c r="CJ7" s="370"/>
      <c r="CK7" s="419" t="s">
        <v>117</v>
      </c>
      <c r="CL7" s="366"/>
      <c r="CM7" s="367"/>
      <c r="CN7" s="419" t="s">
        <v>118</v>
      </c>
      <c r="CO7" s="366"/>
      <c r="CP7" s="367"/>
      <c r="CQ7" s="419" t="s">
        <v>119</v>
      </c>
      <c r="CR7" s="366"/>
      <c r="CS7" s="367"/>
      <c r="CT7" s="420" t="s">
        <v>120</v>
      </c>
      <c r="CU7" s="421"/>
      <c r="CV7" s="423"/>
      <c r="CW7" s="390" t="s">
        <v>121</v>
      </c>
      <c r="CX7" s="391"/>
      <c r="CY7" s="391"/>
      <c r="CZ7" s="391"/>
      <c r="DA7" s="432" t="s">
        <v>122</v>
      </c>
      <c r="DB7" s="433"/>
      <c r="DC7" s="433"/>
      <c r="DD7" s="434"/>
      <c r="DE7" s="432" t="s">
        <v>123</v>
      </c>
      <c r="DF7" s="433"/>
      <c r="DG7" s="433"/>
      <c r="DH7" s="433"/>
      <c r="DI7" s="390" t="s">
        <v>124</v>
      </c>
      <c r="DJ7" s="432"/>
      <c r="DK7" s="432"/>
      <c r="DL7" s="398"/>
      <c r="DM7" s="435" t="s">
        <v>125</v>
      </c>
      <c r="DN7" s="433"/>
      <c r="DO7" s="433"/>
      <c r="DP7" s="436"/>
      <c r="DQ7" s="435" t="s">
        <v>126</v>
      </c>
      <c r="DR7" s="436"/>
      <c r="DS7" s="408"/>
      <c r="DT7" s="405" t="s">
        <v>127</v>
      </c>
      <c r="DU7" s="406"/>
      <c r="DV7" s="413" t="s">
        <v>128</v>
      </c>
      <c r="DW7" s="406"/>
      <c r="DX7" s="371" t="s">
        <v>129</v>
      </c>
      <c r="DY7" s="413"/>
      <c r="DZ7" s="413" t="s">
        <v>130</v>
      </c>
      <c r="EA7" s="406"/>
      <c r="EB7" s="413" t="s">
        <v>131</v>
      </c>
      <c r="EC7" s="406"/>
      <c r="ED7" s="413" t="s">
        <v>132</v>
      </c>
      <c r="EE7" s="414"/>
      <c r="EF7" s="347"/>
      <c r="EG7" s="388" t="s">
        <v>133</v>
      </c>
      <c r="EH7" s="371"/>
      <c r="EI7" s="371" t="s">
        <v>134</v>
      </c>
      <c r="EJ7" s="371"/>
      <c r="EK7" s="371" t="s">
        <v>135</v>
      </c>
      <c r="EL7" s="371"/>
      <c r="EM7" s="371" t="s">
        <v>136</v>
      </c>
      <c r="EN7" s="371"/>
      <c r="EO7" s="371" t="s">
        <v>137</v>
      </c>
      <c r="EP7" s="371"/>
      <c r="EQ7" s="371" t="s">
        <v>138</v>
      </c>
      <c r="ER7" s="389"/>
      <c r="ES7" s="395"/>
      <c r="ET7" s="390" t="s">
        <v>139</v>
      </c>
      <c r="EU7" s="391"/>
      <c r="EV7" s="391" t="s">
        <v>140</v>
      </c>
      <c r="EW7" s="391"/>
      <c r="EX7" s="391" t="s">
        <v>141</v>
      </c>
      <c r="EY7" s="391"/>
      <c r="EZ7" s="391" t="s">
        <v>142</v>
      </c>
      <c r="FA7" s="391"/>
      <c r="FB7" s="391" t="s">
        <v>143</v>
      </c>
      <c r="FC7" s="398"/>
    </row>
    <row r="8" spans="1:159" s="4" customFormat="1" ht="44.25" customHeight="1" thickBot="1" x14ac:dyDescent="0.3">
      <c r="A8" s="475"/>
      <c r="B8" s="477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89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396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363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23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408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347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396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43830</v>
      </c>
      <c r="B9" s="266">
        <f>'[1]December - 2022'!B9</f>
        <v>0.51</v>
      </c>
      <c r="C9" s="241">
        <f>'[1]December - 2022'!E9</f>
        <v>204542</v>
      </c>
      <c r="D9" s="380">
        <f>C10-C9</f>
        <v>732</v>
      </c>
      <c r="E9" s="382">
        <f>'[1]December - 2022'!G9</f>
        <v>576</v>
      </c>
      <c r="F9" s="150">
        <f>'[1]December - 2022'!H9</f>
        <v>237720</v>
      </c>
      <c r="G9" s="338">
        <f>F10-F9</f>
        <v>427</v>
      </c>
      <c r="H9" s="382">
        <f>'[1]December - 2022'!J9</f>
        <v>407</v>
      </c>
      <c r="I9" s="242">
        <f>'[1]December - 2022'!K9</f>
        <v>5844</v>
      </c>
      <c r="J9" s="338">
        <f>I10-I9</f>
        <v>164</v>
      </c>
      <c r="K9" s="242">
        <f>'[1]December - 2022'!N9</f>
        <v>918944</v>
      </c>
      <c r="L9" s="337">
        <f>K10-K9</f>
        <v>277</v>
      </c>
      <c r="M9" s="242">
        <f>'[1]December - 2022'!Q9</f>
        <v>243148</v>
      </c>
      <c r="N9" s="337">
        <f>M10-M9</f>
        <v>112</v>
      </c>
      <c r="O9" s="242">
        <f>'[1]December - 2022'!U9</f>
        <v>115205</v>
      </c>
      <c r="P9" s="338">
        <f>O10-O9</f>
        <v>131</v>
      </c>
      <c r="Q9" s="382">
        <f>'[1]December - 2022'!W9</f>
        <v>105.08999999999651</v>
      </c>
      <c r="R9" s="242">
        <f>'[1]December - 2022'!X9</f>
        <v>6237</v>
      </c>
      <c r="S9" s="384">
        <f>R10-R9</f>
        <v>18</v>
      </c>
      <c r="T9" s="490"/>
      <c r="U9" s="247">
        <f>'[1]December - 2022'!AE9</f>
        <v>8125472.8800000008</v>
      </c>
      <c r="V9" s="386">
        <f>U10-U9</f>
        <v>2630.8799999989569</v>
      </c>
      <c r="W9" s="378">
        <f>'[1]December - 2022'!AF9</f>
        <v>2630.8799999989569</v>
      </c>
      <c r="X9" s="233">
        <f>'[1]December - 2022'!AH9</f>
        <v>15438880.799999999</v>
      </c>
      <c r="Y9" s="338">
        <f>X10-X9</f>
        <v>4579.6800000015646</v>
      </c>
      <c r="Z9" s="378">
        <f>'[1]December - 2022'!AI9</f>
        <v>4579.6800000015646</v>
      </c>
      <c r="AA9" s="233">
        <f>'[1]December - 2022'!AK9</f>
        <v>15753173.52</v>
      </c>
      <c r="AB9" s="338">
        <f>AA10-AA9</f>
        <v>0</v>
      </c>
      <c r="AC9" s="378">
        <f>'[1]December - 2022'!AL9</f>
        <v>0</v>
      </c>
      <c r="AD9" s="233">
        <f>'[1]December - 2022'!AN9</f>
        <v>18820730.879999999</v>
      </c>
      <c r="AE9" s="338">
        <f>AD10-AD9</f>
        <v>48.719999998807907</v>
      </c>
      <c r="AF9" s="378">
        <f>'[1]December - 2022'!AO9</f>
        <v>48.719999998807907</v>
      </c>
      <c r="AG9" s="233">
        <f>'[1]December - 2022'!AQ9</f>
        <v>19140870</v>
      </c>
      <c r="AH9" s="338">
        <f>AG10-AG9</f>
        <v>12959.519999999553</v>
      </c>
      <c r="AI9" s="378">
        <f>'[1]December - 2022'!AR9</f>
        <v>12959.519999999553</v>
      </c>
      <c r="AJ9" s="233">
        <f>'[1]December - 2022'!AT9</f>
        <v>17520394.080000002</v>
      </c>
      <c r="AK9" s="338">
        <f>AJ10-AJ9</f>
        <v>5943.8399999961257</v>
      </c>
      <c r="AL9" s="378">
        <f>'[1]December - 2022'!AU9</f>
        <v>5943.8399999961257</v>
      </c>
      <c r="AM9" s="233">
        <f>'[1]December - 2022'!AW9</f>
        <v>14752513.439999999</v>
      </c>
      <c r="AN9" s="338">
        <f>AM10-AM9</f>
        <v>4384.8000000007451</v>
      </c>
      <c r="AO9" s="378">
        <f>'[1]December - 2022'!AX9</f>
        <v>4384.8000000007451</v>
      </c>
      <c r="AP9" s="233">
        <f>'[1]December - 2022'!AZ9</f>
        <v>14272426.559999999</v>
      </c>
      <c r="AQ9" s="338">
        <f>AP10-AP9</f>
        <v>4872</v>
      </c>
      <c r="AR9" s="378">
        <f>'[1]December - 2022'!BA9</f>
        <v>4872</v>
      </c>
      <c r="AS9" s="233">
        <f>'[1]December - 2022'!BC9</f>
        <v>11154687.6</v>
      </c>
      <c r="AT9" s="338">
        <f>AS10-AS9</f>
        <v>3118.0800000000745</v>
      </c>
      <c r="AU9" s="378">
        <f>'[1]December - 2022'!BD9</f>
        <v>3118.0800000000745</v>
      </c>
      <c r="AV9" s="233">
        <f>'[1]December - 2022'!BF9</f>
        <v>17655543.359999999</v>
      </c>
      <c r="AW9" s="338">
        <f>AV10-AV9</f>
        <v>5554.0799999982119</v>
      </c>
      <c r="AX9" s="459">
        <f>'[1]December - 2022'!BG9</f>
        <v>5554.0799999982119</v>
      </c>
      <c r="AY9" s="456"/>
      <c r="AZ9" s="250">
        <f>'[1]December - 2022'!BM9</f>
        <v>77840000</v>
      </c>
      <c r="BA9" s="461">
        <f>AZ10-AZ9</f>
        <v>0</v>
      </c>
      <c r="BB9" s="457">
        <f>'[1]December - 2022'!BN9</f>
        <v>0</v>
      </c>
      <c r="BC9" s="250">
        <f>'[1]December - 2022'!BP9</f>
        <v>80452400</v>
      </c>
      <c r="BD9" s="461">
        <f>BC10-BC9</f>
        <v>0</v>
      </c>
      <c r="BE9" s="457">
        <f>'[1]December - 2022'!BQ9</f>
        <v>0</v>
      </c>
      <c r="BF9" s="250">
        <f>'[1]December - 2022'!BS9</f>
        <v>74637500</v>
      </c>
      <c r="BG9" s="461">
        <f>BF10-BF9</f>
        <v>65200</v>
      </c>
      <c r="BH9" s="457">
        <f>'[1]December - 2022'!BT9</f>
        <v>65200</v>
      </c>
      <c r="BI9" s="26"/>
      <c r="BJ9" s="337"/>
      <c r="BK9" s="26"/>
      <c r="BL9" s="26"/>
      <c r="BM9" s="26"/>
      <c r="BN9" s="26"/>
      <c r="BO9" s="26"/>
      <c r="BP9" s="26"/>
      <c r="BQ9" s="26"/>
      <c r="BR9" s="26"/>
      <c r="BS9" s="251">
        <f>'[1]December - 2022'!BV9</f>
        <v>10171610</v>
      </c>
      <c r="BT9" s="355">
        <f>BS10-BS9</f>
        <v>7460</v>
      </c>
      <c r="BU9" s="363"/>
      <c r="BV9" s="84">
        <f>'[1]December - 2022'!BY9</f>
        <v>0.74</v>
      </c>
      <c r="BW9" s="357">
        <f>BV10-BV9</f>
        <v>-5.9999999999999942E-2</v>
      </c>
      <c r="BX9" s="359">
        <f>'[1]December - 2022'!$BZ$9:$BZ$10</f>
        <v>5.9999999999999942E-2</v>
      </c>
      <c r="BY9" s="85">
        <f>'[1]December - 2022'!CB9</f>
        <v>64169</v>
      </c>
      <c r="BZ9" s="361">
        <f>BY10-BY9</f>
        <v>21</v>
      </c>
      <c r="CA9" s="85">
        <f>'[1]December - 2022'!CD9</f>
        <v>55264</v>
      </c>
      <c r="CB9" s="361">
        <f>CA10-CA9</f>
        <v>20</v>
      </c>
      <c r="CC9" s="85">
        <f>'[1]December - 2022'!CF9</f>
        <v>18695</v>
      </c>
      <c r="CD9" s="361">
        <f>CC10-CC9</f>
        <v>7</v>
      </c>
      <c r="CE9" s="85">
        <f>'[1]December - 2022'!CH9</f>
        <v>25508</v>
      </c>
      <c r="CF9" s="361">
        <f>CE10-CE9</f>
        <v>10</v>
      </c>
      <c r="CG9" s="85">
        <f>'[1]December - 2022'!CJ9</f>
        <v>28364</v>
      </c>
      <c r="CH9" s="361">
        <f>CG10-CG9</f>
        <v>18</v>
      </c>
      <c r="CI9" s="85">
        <f>'[1]December - 2022'!CL9</f>
        <v>62228</v>
      </c>
      <c r="CJ9" s="361">
        <f>CI10-CI9</f>
        <v>34</v>
      </c>
      <c r="CK9" s="85">
        <f>'[1]December - 2022'!CN9</f>
        <v>267458</v>
      </c>
      <c r="CL9" s="361">
        <f>CK10-CK9</f>
        <v>73</v>
      </c>
      <c r="CM9" s="375">
        <f>'[1]December - 2022'!CO9</f>
        <v>73</v>
      </c>
      <c r="CN9" s="85">
        <f>'[1]December - 2022'!CQ9</f>
        <v>214182</v>
      </c>
      <c r="CO9" s="361">
        <f>CN10-CN9</f>
        <v>102</v>
      </c>
      <c r="CP9" s="375">
        <f>'[1]December - 2022'!CR9</f>
        <v>102</v>
      </c>
      <c r="CQ9" s="85">
        <f>'[1]December - 2022'!CT9</f>
        <v>353835</v>
      </c>
      <c r="CR9" s="361">
        <f>CQ10-CQ9</f>
        <v>166</v>
      </c>
      <c r="CS9" s="375">
        <f>'[1]December - 2022'!CU9</f>
        <v>166</v>
      </c>
      <c r="CT9" s="85">
        <f>'[1]December - 2022'!CW9</f>
        <v>693437</v>
      </c>
      <c r="CU9" s="437">
        <f>CT10-CT9</f>
        <v>168</v>
      </c>
      <c r="CV9" s="423"/>
      <c r="CW9" s="267">
        <f>'[1]December - 2022'!CZ9</f>
        <v>8807</v>
      </c>
      <c r="CX9" s="349">
        <f>CW10-CW9</f>
        <v>8</v>
      </c>
      <c r="CY9" s="268">
        <f>'[1]December - 2022'!DB9</f>
        <v>5981</v>
      </c>
      <c r="CZ9" s="349">
        <f>CY10-CY9</f>
        <v>5</v>
      </c>
      <c r="DA9" s="268">
        <f>'[1]December - 2022'!DD9</f>
        <v>32007</v>
      </c>
      <c r="DB9" s="349">
        <f>DA10-DA9</f>
        <v>16</v>
      </c>
      <c r="DC9" s="268">
        <f>'[1]December - 2022'!DF9</f>
        <v>32272</v>
      </c>
      <c r="DD9" s="349">
        <f>DC10-DC9</f>
        <v>15</v>
      </c>
      <c r="DE9" s="268">
        <f>'[1]December - 2022'!DH9</f>
        <v>21764</v>
      </c>
      <c r="DF9" s="349">
        <f>DE10-DE9</f>
        <v>10</v>
      </c>
      <c r="DG9" s="268">
        <f>'[1]December - 2022'!DJ9</f>
        <v>23989</v>
      </c>
      <c r="DH9" s="349">
        <f>DG10-DG9</f>
        <v>6</v>
      </c>
      <c r="DI9" s="268">
        <f>'[1]December - 2022'!DL9</f>
        <v>7013</v>
      </c>
      <c r="DJ9" s="349">
        <f>DI10-DI9</f>
        <v>9</v>
      </c>
      <c r="DK9" s="268">
        <f>'[1]December - 2022'!DN9</f>
        <v>9688</v>
      </c>
      <c r="DL9" s="349">
        <f>DK10-DK9</f>
        <v>8</v>
      </c>
      <c r="DM9" s="268">
        <f>'[1]December - 2022'!DP9</f>
        <v>3228</v>
      </c>
      <c r="DN9" s="349">
        <f>DM10-DM9</f>
        <v>4</v>
      </c>
      <c r="DO9" s="268">
        <f>'[1]December - 2022'!DR9</f>
        <v>6366</v>
      </c>
      <c r="DP9" s="349">
        <f>DO10-DO9</f>
        <v>9</v>
      </c>
      <c r="DQ9" s="268">
        <f>'[1]December - 2022'!DT9</f>
        <v>30245</v>
      </c>
      <c r="DR9" s="351">
        <f>DQ10-DQ9</f>
        <v>10</v>
      </c>
      <c r="DS9" s="408"/>
      <c r="DT9" s="190">
        <f>'[1]December - 2022'!DW9</f>
        <v>6235.5</v>
      </c>
      <c r="DU9" s="353">
        <f>DT10-DT9</f>
        <v>12</v>
      </c>
      <c r="DV9" s="87">
        <f>'[1]December - 2022'!DY9</f>
        <v>11223.7</v>
      </c>
      <c r="DW9" s="415">
        <f>DV10-DV9</f>
        <v>9.0999999999985448</v>
      </c>
      <c r="DX9" s="87">
        <f>'[1]December - 2022'!EA9</f>
        <v>4746.3</v>
      </c>
      <c r="DY9" s="353">
        <f>DX10-DX9</f>
        <v>6.8000000000001819</v>
      </c>
      <c r="DZ9" s="87">
        <f>'[1]December - 2022'!EC9</f>
        <v>5319.5</v>
      </c>
      <c r="EA9" s="353">
        <f>DZ10-DZ9</f>
        <v>6.8000000000001819</v>
      </c>
      <c r="EB9" s="87">
        <f>'[1]December - 2022'!EE9</f>
        <v>1122112</v>
      </c>
      <c r="EC9" s="353">
        <f>EB10-EB9</f>
        <v>608</v>
      </c>
      <c r="ED9" s="87">
        <f>'[1]December - 2022'!EI9</f>
        <v>230550</v>
      </c>
      <c r="EE9" s="417">
        <f>ED10-ED9</f>
        <v>154.89999999999418</v>
      </c>
      <c r="EF9" s="347"/>
      <c r="EG9" s="214">
        <f>'[1]December - 2022'!EL9</f>
        <v>12107000</v>
      </c>
      <c r="EH9" s="339">
        <f>EG10-EG9</f>
        <v>4400</v>
      </c>
      <c r="EI9" s="86">
        <f>'[1]December - 2022'!EN9</f>
        <v>931450</v>
      </c>
      <c r="EJ9" s="339">
        <f>EI10-EI9</f>
        <v>340</v>
      </c>
      <c r="EK9" s="86">
        <f>'[1]December - 2022'!EP9</f>
        <v>7205200</v>
      </c>
      <c r="EL9" s="339">
        <f>EK10-EK9</f>
        <v>2000</v>
      </c>
      <c r="EM9" s="86">
        <f>'[1]December - 2022'!ER9</f>
        <v>2494100</v>
      </c>
      <c r="EN9" s="339">
        <f>EM10-EM9</f>
        <v>400</v>
      </c>
      <c r="EO9" s="86">
        <f>'[1]December - 2022'!ET9</f>
        <v>1271830</v>
      </c>
      <c r="EP9" s="339">
        <f>EO10-EO9</f>
        <v>700</v>
      </c>
      <c r="EQ9" s="86">
        <f>'[1]December - 2022'!EV9</f>
        <v>16592300</v>
      </c>
      <c r="ER9" s="403">
        <f>EQ10-EQ9</f>
        <v>5600</v>
      </c>
      <c r="ES9" s="395"/>
      <c r="ET9" s="256">
        <f>'[1]December - 2022'!EY9</f>
        <v>41974</v>
      </c>
      <c r="EU9" s="350">
        <f>ET10-ET9</f>
        <v>16</v>
      </c>
      <c r="EV9" s="257">
        <f>'[1]December - 2022'!FA9</f>
        <v>36697</v>
      </c>
      <c r="EW9" s="350">
        <f>EV10-EV9</f>
        <v>13</v>
      </c>
      <c r="EX9" s="257">
        <f>'[1]December - 2022'!FC9</f>
        <v>7448</v>
      </c>
      <c r="EY9" s="350">
        <v>0</v>
      </c>
      <c r="EZ9" s="257">
        <f>'[1]December - 2022'!FE9</f>
        <v>59149</v>
      </c>
      <c r="FA9" s="350">
        <f>EZ10-EZ9</f>
        <v>15</v>
      </c>
      <c r="FB9" s="257">
        <f>'[1]December - 2022'!FG9</f>
        <v>49260</v>
      </c>
      <c r="FC9" s="352">
        <f>FB10-FB9</f>
        <v>36</v>
      </c>
    </row>
    <row r="10" spans="1:159" ht="30" customHeight="1" x14ac:dyDescent="0.25">
      <c r="A10" s="187">
        <v>43831</v>
      </c>
      <c r="B10" s="189">
        <f>'[1]December - 2022'!B10</f>
        <v>0.4</v>
      </c>
      <c r="C10" s="229">
        <f>'[1]December - 2022'!E10</f>
        <v>205274</v>
      </c>
      <c r="D10" s="381"/>
      <c r="E10" s="383"/>
      <c r="F10" s="150">
        <f>'[1]December - 2022'!H10</f>
        <v>238147</v>
      </c>
      <c r="G10" s="377"/>
      <c r="H10" s="383"/>
      <c r="I10" s="150">
        <f>'[1]December - 2022'!K10</f>
        <v>6008</v>
      </c>
      <c r="J10" s="377"/>
      <c r="K10" s="150">
        <f>'[1]December - 2022'!N10</f>
        <v>919221</v>
      </c>
      <c r="L10" s="338"/>
      <c r="M10" s="150">
        <f>'[1]December - 2022'!Q10</f>
        <v>243260</v>
      </c>
      <c r="N10" s="338"/>
      <c r="O10" s="150">
        <f>'[1]December - 2022'!U10</f>
        <v>115336</v>
      </c>
      <c r="P10" s="377"/>
      <c r="Q10" s="383"/>
      <c r="R10" s="150">
        <f>'[1]December - 2022'!X10</f>
        <v>6255</v>
      </c>
      <c r="S10" s="385"/>
      <c r="T10" s="490"/>
      <c r="U10" s="247">
        <f>'[1]December - 2022'!AE10</f>
        <v>8128103.7599999998</v>
      </c>
      <c r="V10" s="387"/>
      <c r="W10" s="379"/>
      <c r="X10" s="233">
        <f>'[1]December - 2022'!AH10</f>
        <v>15443460.48</v>
      </c>
      <c r="Y10" s="377"/>
      <c r="Z10" s="379"/>
      <c r="AA10" s="233">
        <f>'[1]December - 2022'!AK10</f>
        <v>15753173.52</v>
      </c>
      <c r="AB10" s="377"/>
      <c r="AC10" s="379"/>
      <c r="AD10" s="233">
        <f>'[1]December - 2022'!AN10</f>
        <v>18820779.599999998</v>
      </c>
      <c r="AE10" s="377"/>
      <c r="AF10" s="379"/>
      <c r="AG10" s="233">
        <f>'[1]December - 2022'!AQ10</f>
        <v>19153829.52</v>
      </c>
      <c r="AH10" s="377"/>
      <c r="AI10" s="379"/>
      <c r="AJ10" s="233">
        <f>'[1]December - 2022'!AT10</f>
        <v>17526337.919999998</v>
      </c>
      <c r="AK10" s="377"/>
      <c r="AL10" s="379"/>
      <c r="AM10" s="233">
        <f>'[1]December - 2022'!AW10</f>
        <v>14756898.24</v>
      </c>
      <c r="AN10" s="377"/>
      <c r="AO10" s="379"/>
      <c r="AP10" s="233">
        <f>'[1]December - 2022'!AZ10</f>
        <v>14277298.559999999</v>
      </c>
      <c r="AQ10" s="377"/>
      <c r="AR10" s="379"/>
      <c r="AS10" s="233">
        <f>'[1]December - 2022'!BC10</f>
        <v>11157805.68</v>
      </c>
      <c r="AT10" s="377"/>
      <c r="AU10" s="379"/>
      <c r="AV10" s="233">
        <f>'[1]December - 2022'!BF10</f>
        <v>17661097.439999998</v>
      </c>
      <c r="AW10" s="377"/>
      <c r="AX10" s="460"/>
      <c r="AY10" s="456"/>
      <c r="AZ10" s="250">
        <f>'[1]December - 2022'!BM10</f>
        <v>77840000</v>
      </c>
      <c r="BA10" s="462"/>
      <c r="BB10" s="458"/>
      <c r="BC10" s="250">
        <f>'[1]December - 2022'!BP10</f>
        <v>80452400</v>
      </c>
      <c r="BD10" s="462"/>
      <c r="BE10" s="458"/>
      <c r="BF10" s="250">
        <f>'[1]December - 2022'!BS10</f>
        <v>74702700</v>
      </c>
      <c r="BG10" s="462"/>
      <c r="BH10" s="458"/>
      <c r="BI10" s="25"/>
      <c r="BJ10" s="338"/>
      <c r="BK10" s="25"/>
      <c r="BL10" s="25"/>
      <c r="BM10" s="25"/>
      <c r="BN10" s="25"/>
      <c r="BO10" s="25"/>
      <c r="BP10" s="25"/>
      <c r="BQ10" s="25"/>
      <c r="BR10" s="25"/>
      <c r="BS10" s="251">
        <f>'[1]December - 2022'!BV10</f>
        <v>10179070</v>
      </c>
      <c r="BT10" s="356"/>
      <c r="BU10" s="363"/>
      <c r="BV10" s="84">
        <f>'[1]December - 2022'!BY10</f>
        <v>0.68</v>
      </c>
      <c r="BW10" s="358"/>
      <c r="BX10" s="360"/>
      <c r="BY10" s="85">
        <f>'[1]December - 2022'!CB10</f>
        <v>64190</v>
      </c>
      <c r="BZ10" s="355"/>
      <c r="CA10" s="85">
        <f>'[1]December - 2022'!CD10</f>
        <v>55284</v>
      </c>
      <c r="CB10" s="355"/>
      <c r="CC10" s="85">
        <f>'[1]December - 2022'!CF10</f>
        <v>18702</v>
      </c>
      <c r="CD10" s="355"/>
      <c r="CE10" s="85">
        <f>'[1]December - 2022'!CH10</f>
        <v>25518</v>
      </c>
      <c r="CF10" s="355"/>
      <c r="CG10" s="85">
        <f>'[1]December - 2022'!CJ10</f>
        <v>28382</v>
      </c>
      <c r="CH10" s="355"/>
      <c r="CI10" s="85">
        <f>'[1]December - 2022'!CL10</f>
        <v>62262</v>
      </c>
      <c r="CJ10" s="355"/>
      <c r="CK10" s="85">
        <f>'[1]December - 2022'!CN10</f>
        <v>267531</v>
      </c>
      <c r="CL10" s="355"/>
      <c r="CM10" s="376"/>
      <c r="CN10" s="85">
        <f>'[1]December - 2022'!CQ10</f>
        <v>214284</v>
      </c>
      <c r="CO10" s="355"/>
      <c r="CP10" s="376"/>
      <c r="CQ10" s="85">
        <f>'[1]December - 2022'!CT10</f>
        <v>354001</v>
      </c>
      <c r="CR10" s="355"/>
      <c r="CS10" s="376"/>
      <c r="CT10" s="85">
        <f>'[1]December - 2022'!CW10</f>
        <v>693605</v>
      </c>
      <c r="CU10" s="438"/>
      <c r="CV10" s="423"/>
      <c r="CW10" s="234">
        <f>'[1]December - 2022'!CZ10</f>
        <v>8815</v>
      </c>
      <c r="CX10" s="350"/>
      <c r="CY10" s="235">
        <f>'[1]December - 2022'!DB10</f>
        <v>5986</v>
      </c>
      <c r="CZ10" s="350"/>
      <c r="DA10" s="235">
        <f>'[1]December - 2022'!DD10</f>
        <v>32023</v>
      </c>
      <c r="DB10" s="350"/>
      <c r="DC10" s="235">
        <f>'[1]December - 2022'!DF10</f>
        <v>32287</v>
      </c>
      <c r="DD10" s="350"/>
      <c r="DE10" s="235">
        <f>'[1]December - 2022'!DH10</f>
        <v>21774</v>
      </c>
      <c r="DF10" s="350"/>
      <c r="DG10" s="235">
        <f>'[1]December - 2022'!DJ10</f>
        <v>23995</v>
      </c>
      <c r="DH10" s="350"/>
      <c r="DI10" s="235">
        <f>'[1]December - 2022'!DL10</f>
        <v>7022</v>
      </c>
      <c r="DJ10" s="350"/>
      <c r="DK10" s="235">
        <f>'[1]December - 2022'!DN10</f>
        <v>9696</v>
      </c>
      <c r="DL10" s="350"/>
      <c r="DM10" s="235">
        <f>'[1]December - 2022'!DP10</f>
        <v>3232</v>
      </c>
      <c r="DN10" s="350"/>
      <c r="DO10" s="235">
        <f>'[1]December - 2022'!DR10</f>
        <v>6375</v>
      </c>
      <c r="DP10" s="350"/>
      <c r="DQ10" s="268">
        <f>'[1]December - 2022'!DT10</f>
        <v>30255</v>
      </c>
      <c r="DR10" s="352"/>
      <c r="DS10" s="408"/>
      <c r="DT10" s="190">
        <f>'[1]December - 2022'!DW10</f>
        <v>6247.5</v>
      </c>
      <c r="DU10" s="354"/>
      <c r="DV10" s="87">
        <f>'[1]December - 2022'!DY10</f>
        <v>11232.8</v>
      </c>
      <c r="DW10" s="416"/>
      <c r="DX10" s="87">
        <f>'[1]December - 2022'!EA10</f>
        <v>4753.1000000000004</v>
      </c>
      <c r="DY10" s="354"/>
      <c r="DZ10" s="87">
        <f>'[1]December - 2022'!EC10</f>
        <v>5326.3</v>
      </c>
      <c r="EA10" s="354"/>
      <c r="EB10" s="87">
        <f>'[1]December - 2022'!EE10</f>
        <v>1122720</v>
      </c>
      <c r="EC10" s="354"/>
      <c r="ED10" s="87">
        <f>'[1]December - 2022'!EI10</f>
        <v>230704.9</v>
      </c>
      <c r="EE10" s="418"/>
      <c r="EF10" s="347"/>
      <c r="EG10" s="214">
        <f>'[1]December - 2022'!EL10</f>
        <v>12111400</v>
      </c>
      <c r="EH10" s="340"/>
      <c r="EI10" s="86">
        <f>'[1]December - 2022'!EN10</f>
        <v>931790</v>
      </c>
      <c r="EJ10" s="340"/>
      <c r="EK10" s="86">
        <f>'[1]December - 2022'!EP10</f>
        <v>7207200</v>
      </c>
      <c r="EL10" s="340"/>
      <c r="EM10" s="86">
        <f>'[1]December - 2022'!ER10</f>
        <v>2494500</v>
      </c>
      <c r="EN10" s="340"/>
      <c r="EO10" s="86">
        <f>'[1]December - 2022'!ET10</f>
        <v>1272530</v>
      </c>
      <c r="EP10" s="340"/>
      <c r="EQ10" s="86">
        <f>'[1]December - 2022'!EV10</f>
        <v>16597900</v>
      </c>
      <c r="ER10" s="404"/>
      <c r="ES10" s="395"/>
      <c r="ET10" s="256">
        <f>'[1]December - 2022'!EY10</f>
        <v>41990</v>
      </c>
      <c r="EU10" s="399"/>
      <c r="EV10" s="257">
        <f>'[1]December - 2022'!FA10</f>
        <v>36710</v>
      </c>
      <c r="EW10" s="399"/>
      <c r="EX10" s="257">
        <f>'[1]December - 2022'!FC10</f>
        <v>7456</v>
      </c>
      <c r="EY10" s="399"/>
      <c r="EZ10" s="257">
        <f>'[1]December - 2022'!FE10</f>
        <v>59164</v>
      </c>
      <c r="FA10" s="399"/>
      <c r="FB10" s="257">
        <f>'[1]December - 2022'!FG10</f>
        <v>49296</v>
      </c>
      <c r="FC10" s="400"/>
    </row>
    <row r="11" spans="1:159" ht="30" customHeight="1" x14ac:dyDescent="0.25">
      <c r="A11" s="187">
        <v>43832</v>
      </c>
      <c r="B11" s="189">
        <f>'[1]December - 2022'!B11</f>
        <v>0.33</v>
      </c>
      <c r="C11" s="229">
        <f>'[1]December - 2022'!E11</f>
        <v>205947</v>
      </c>
      <c r="D11" s="152">
        <f>'[1]December - 2022'!F11</f>
        <v>673</v>
      </c>
      <c r="E11" s="150">
        <f>'[1]December - 2022'!G11</f>
        <v>692</v>
      </c>
      <c r="F11" s="150">
        <f>'[1]December - 2022'!H11</f>
        <v>238575</v>
      </c>
      <c r="G11" s="152">
        <f>'[1]December - 2022'!I11</f>
        <v>428</v>
      </c>
      <c r="H11" s="150">
        <f>'[1]December - 2022'!J11</f>
        <v>443</v>
      </c>
      <c r="I11" s="150">
        <f>'[1]December - 2022'!K11</f>
        <v>6184</v>
      </c>
      <c r="J11" s="152">
        <f>'[1]December - 2022'!L11</f>
        <v>176</v>
      </c>
      <c r="K11" s="150">
        <f>'[1]December - 2022'!N11</f>
        <v>919483</v>
      </c>
      <c r="L11" s="152">
        <f>'[1]December - 2022'!O11</f>
        <v>262</v>
      </c>
      <c r="M11" s="150">
        <f>'[1]December - 2022'!Q11</f>
        <v>243371</v>
      </c>
      <c r="N11" s="152">
        <f>'[1]December - 2022'!R11</f>
        <v>111</v>
      </c>
      <c r="O11" s="150">
        <f>'[1]December - 2022'!U11</f>
        <v>115458</v>
      </c>
      <c r="P11" s="152">
        <f>'[1]December - 2022'!V11</f>
        <v>122</v>
      </c>
      <c r="Q11" s="150">
        <f>'[1]December - 2022'!W11</f>
        <v>95.110000000000582</v>
      </c>
      <c r="R11" s="150">
        <f>'[1]December - 2022'!X11</f>
        <v>6266</v>
      </c>
      <c r="S11" s="188">
        <f>'[1]December - 2022'!Y11</f>
        <v>11</v>
      </c>
      <c r="T11" s="490"/>
      <c r="U11" s="247">
        <f>'[1]December - 2022'!AE11</f>
        <v>8130832.0800000001</v>
      </c>
      <c r="V11" s="218">
        <f>'[1]December - 2022'!AF11</f>
        <v>2728.320000000298</v>
      </c>
      <c r="W11" s="88">
        <f>'[1]December - 2022'!AF11</f>
        <v>2728.320000000298</v>
      </c>
      <c r="X11" s="233">
        <f>'[1]December - 2022'!AH11</f>
        <v>15448088.880000001</v>
      </c>
      <c r="Y11" s="218">
        <f>'[1]December - 2022'!AI11</f>
        <v>4628.4000000003725</v>
      </c>
      <c r="Z11" s="88">
        <f>'[1]December - 2022'!AI11</f>
        <v>4628.4000000003725</v>
      </c>
      <c r="AA11" s="233">
        <f>'[1]December - 2022'!AK11</f>
        <v>15753222.24</v>
      </c>
      <c r="AB11" s="218">
        <f>'[1]December - 2022'!AL11</f>
        <v>48.720000000670552</v>
      </c>
      <c r="AC11" s="88">
        <f>'[1]December - 2022'!AL11</f>
        <v>48.720000000670552</v>
      </c>
      <c r="AD11" s="233">
        <f>'[1]December - 2022'!AN11</f>
        <v>18821169.359999999</v>
      </c>
      <c r="AE11" s="218">
        <f>'[1]December - 2022'!AO11</f>
        <v>389.76000000163913</v>
      </c>
      <c r="AF11" s="88">
        <f>'[1]December - 2022'!AO11</f>
        <v>389.76000000163913</v>
      </c>
      <c r="AG11" s="233">
        <f>'[1]December - 2022'!AQ11</f>
        <v>19166642.879999999</v>
      </c>
      <c r="AH11" s="218">
        <f>'[1]December - 2022'!AR11</f>
        <v>12813.359999999404</v>
      </c>
      <c r="AI11" s="88">
        <f>'[1]December - 2022'!AR11</f>
        <v>12813.359999999404</v>
      </c>
      <c r="AJ11" s="233">
        <f>'[1]December - 2022'!AT11</f>
        <v>17532038.16</v>
      </c>
      <c r="AK11" s="218">
        <f>'[1]December - 2022'!AU11</f>
        <v>5700.2400000020862</v>
      </c>
      <c r="AL11" s="88">
        <f>'[1]December - 2022'!AU11</f>
        <v>5700.2400000020862</v>
      </c>
      <c r="AM11" s="233">
        <f>'[1]December - 2022'!AW11</f>
        <v>14760942</v>
      </c>
      <c r="AN11" s="218">
        <f>'[1]December - 2022'!AX11</f>
        <v>4043.7599999997765</v>
      </c>
      <c r="AO11" s="88">
        <f>'[1]December - 2022'!AX11</f>
        <v>4043.7599999997765</v>
      </c>
      <c r="AP11" s="233">
        <f>'[1]December - 2022'!AZ11</f>
        <v>14281975.68</v>
      </c>
      <c r="AQ11" s="218">
        <f>'[1]December - 2022'!BA11</f>
        <v>4677.1200000010431</v>
      </c>
      <c r="AR11" s="88">
        <f>'[1]December - 2022'!BA11</f>
        <v>4677.1200000010431</v>
      </c>
      <c r="AS11" s="233">
        <f>'[1]December - 2022'!BC11</f>
        <v>11160826.319999998</v>
      </c>
      <c r="AT11" s="218">
        <f>'[1]December - 2022'!BD11</f>
        <v>3020.6399999987334</v>
      </c>
      <c r="AU11" s="88">
        <f>'[1]December - 2022'!BD11</f>
        <v>3020.6399999987334</v>
      </c>
      <c r="AV11" s="233">
        <f>'[1]December - 2022'!BF11</f>
        <v>17666992.560000002</v>
      </c>
      <c r="AW11" s="230">
        <f>'[1]December - 2022'!BG11</f>
        <v>5895.1200000047684</v>
      </c>
      <c r="AX11" s="231">
        <f>'[1]December - 2022'!BG11</f>
        <v>5895.1200000047684</v>
      </c>
      <c r="AY11" s="456"/>
      <c r="AZ11" s="250">
        <f>'[1]December - 2022'!BM11</f>
        <v>77840000</v>
      </c>
      <c r="BA11" s="161">
        <f>'[1]December - 2022'!BN11</f>
        <v>0</v>
      </c>
      <c r="BB11" s="89">
        <f>'[1]December - 2022'!BN11</f>
        <v>0</v>
      </c>
      <c r="BC11" s="250">
        <f>'[1]December - 2022'!BP11</f>
        <v>80452400</v>
      </c>
      <c r="BD11" s="224">
        <f>'[1]December - 2022'!BQ11</f>
        <v>0</v>
      </c>
      <c r="BE11" s="89">
        <f>'[1]December - 2022'!BQ11</f>
        <v>0</v>
      </c>
      <c r="BF11" s="250">
        <f>'[1]December - 2022'!BS11</f>
        <v>74767400</v>
      </c>
      <c r="BG11" s="224">
        <f>'[1]December - 2022'!BT11</f>
        <v>64700</v>
      </c>
      <c r="BH11" s="89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'[1]December - 2022'!BV11</f>
        <v>10186430</v>
      </c>
      <c r="BT11" s="166">
        <f>'[1]December - 2022'!BW11</f>
        <v>7360</v>
      </c>
      <c r="BU11" s="363"/>
      <c r="BV11" s="84">
        <f>'[1]December - 2022'!BY11</f>
        <v>0.6</v>
      </c>
      <c r="BW11" s="220">
        <f>'[1]December - 2022'!BZ11</f>
        <v>8.0000000000000071E-2</v>
      </c>
      <c r="BX11" s="84">
        <f>'[1]December - 2022'!BZ11</f>
        <v>8.0000000000000071E-2</v>
      </c>
      <c r="BY11" s="85">
        <f>'[1]December - 2022'!CB11</f>
        <v>64209</v>
      </c>
      <c r="BZ11" s="172">
        <f>'[1]December - 2022'!CC11</f>
        <v>19</v>
      </c>
      <c r="CA11" s="85">
        <f>'[1]December - 2022'!CD11</f>
        <v>55303</v>
      </c>
      <c r="CB11" s="172">
        <f>'[1]December - 2022'!CE11</f>
        <v>19</v>
      </c>
      <c r="CC11" s="85">
        <f>'[1]December - 2022'!CF11</f>
        <v>18708</v>
      </c>
      <c r="CD11" s="172">
        <f>'[1]December - 2022'!CG11</f>
        <v>6</v>
      </c>
      <c r="CE11" s="85">
        <f>'[1]December - 2022'!CH11</f>
        <v>25528</v>
      </c>
      <c r="CF11" s="172">
        <f>'[1]December - 2022'!CI11</f>
        <v>10</v>
      </c>
      <c r="CG11" s="85">
        <f>'[1]December - 2022'!CJ11</f>
        <v>28396</v>
      </c>
      <c r="CH11" s="172">
        <f>'[1]December - 2022'!CK11</f>
        <v>14</v>
      </c>
      <c r="CI11" s="85">
        <f>'[1]December - 2022'!CL11</f>
        <v>62294</v>
      </c>
      <c r="CJ11" s="172">
        <f>'[1]December - 2022'!CM11</f>
        <v>32</v>
      </c>
      <c r="CK11" s="85">
        <f>'[1]December - 2022'!CN11</f>
        <v>267602</v>
      </c>
      <c r="CL11" s="225">
        <f>'[1]December - 2022'!CO11</f>
        <v>71</v>
      </c>
      <c r="CM11" s="85">
        <f>'[1]December - 2022'!CO11</f>
        <v>71</v>
      </c>
      <c r="CN11" s="85">
        <f>'[1]December - 2022'!CQ11</f>
        <v>214383</v>
      </c>
      <c r="CO11" s="225">
        <f>'[1]December - 2022'!CR11</f>
        <v>99</v>
      </c>
      <c r="CP11" s="85">
        <f>'[1]December - 2022'!CR11</f>
        <v>99</v>
      </c>
      <c r="CQ11" s="85">
        <f>'[1]December - 2022'!CT11</f>
        <v>354160</v>
      </c>
      <c r="CR11" s="225">
        <f>'[1]December - 2022'!CU11</f>
        <v>159</v>
      </c>
      <c r="CS11" s="85">
        <f>'[1]December - 2022'!CU11</f>
        <v>159</v>
      </c>
      <c r="CT11" s="85">
        <f>'[1]December - 2022'!CW11</f>
        <v>693770</v>
      </c>
      <c r="CU11" s="172">
        <f>'[1]December - 2022'!CX11</f>
        <v>165</v>
      </c>
      <c r="CV11" s="423"/>
      <c r="CW11" s="234">
        <f>'[1]December - 2022'!CZ11</f>
        <v>8823</v>
      </c>
      <c r="CX11" s="179">
        <f>'[1]December - 2022'!DA11</f>
        <v>8</v>
      </c>
      <c r="CY11" s="235">
        <f>'[1]December - 2022'!DB11</f>
        <v>5991</v>
      </c>
      <c r="CZ11" s="179">
        <f>'[1]December - 2022'!DC11</f>
        <v>5</v>
      </c>
      <c r="DA11" s="235">
        <f>'[1]December - 2022'!DD11</f>
        <v>32038</v>
      </c>
      <c r="DB11" s="179">
        <f>'[1]December - 2022'!DE11</f>
        <v>15</v>
      </c>
      <c r="DC11" s="235">
        <f>'[1]December - 2022'!DF11</f>
        <v>32299</v>
      </c>
      <c r="DD11" s="179">
        <f>'[1]December - 2022'!DG11</f>
        <v>12</v>
      </c>
      <c r="DE11" s="235">
        <f>'[1]December - 2022'!DH11</f>
        <v>21784</v>
      </c>
      <c r="DF11" s="179">
        <f>'[1]December - 2022'!DI11</f>
        <v>10</v>
      </c>
      <c r="DG11" s="235">
        <f>'[1]December - 2022'!DJ11</f>
        <v>23999</v>
      </c>
      <c r="DH11" s="179">
        <f>'[1]December - 2022'!DK11</f>
        <v>4</v>
      </c>
      <c r="DI11" s="235">
        <f>'[1]December - 2022'!DL11</f>
        <v>7031</v>
      </c>
      <c r="DJ11" s="179">
        <f>'[1]December - 2022'!DM11</f>
        <v>9</v>
      </c>
      <c r="DK11" s="235">
        <f>'[1]December - 2022'!DN11</f>
        <v>9704</v>
      </c>
      <c r="DL11" s="179">
        <f>'[1]December - 2022'!DO11</f>
        <v>8</v>
      </c>
      <c r="DM11" s="235">
        <f>'[1]December - 2022'!DP11</f>
        <v>3236</v>
      </c>
      <c r="DN11" s="179">
        <f>'[1]December - 2022'!DQ11</f>
        <v>4</v>
      </c>
      <c r="DO11" s="235">
        <f>'[1]December - 2022'!DR11</f>
        <v>6385</v>
      </c>
      <c r="DP11" s="179">
        <f>'[1]December - 2022'!DS11</f>
        <v>10</v>
      </c>
      <c r="DQ11" s="235">
        <f>'[1]December - 2022'!DT11</f>
        <v>30260</v>
      </c>
      <c r="DR11" s="186">
        <f>'[1]December - 2022'!DU11</f>
        <v>5</v>
      </c>
      <c r="DS11" s="408"/>
      <c r="DT11" s="190">
        <f>'[1]December - 2022'!DW11</f>
        <v>6258.4</v>
      </c>
      <c r="DU11" s="201">
        <f>'[1]December - 2022'!DX11</f>
        <v>10.899999999999636</v>
      </c>
      <c r="DV11" s="87">
        <f>'[1]December - 2022'!DY11</f>
        <v>11241.1</v>
      </c>
      <c r="DW11" s="195">
        <f>'[1]December - 2022'!DZ11</f>
        <v>8.3000000000010914</v>
      </c>
      <c r="DX11" s="87">
        <f>'[1]December - 2022'!EA11</f>
        <v>4759.6000000000004</v>
      </c>
      <c r="DY11" s="195">
        <f>'[1]December - 2022'!EB11</f>
        <v>6.5</v>
      </c>
      <c r="DZ11" s="87">
        <f>'[1]December - 2022'!EC11</f>
        <v>5333.2</v>
      </c>
      <c r="EA11" s="195">
        <f>'[1]December - 2022'!ED11</f>
        <v>6.8999999999996362</v>
      </c>
      <c r="EB11" s="87">
        <f>'[1]December - 2022'!EE11</f>
        <v>1123334</v>
      </c>
      <c r="EC11" s="195">
        <f>'[1]December - 2022'!EF11</f>
        <v>614</v>
      </c>
      <c r="ED11" s="87">
        <f>'[1]December - 2022'!EI11</f>
        <v>230853.2</v>
      </c>
      <c r="EE11" s="208">
        <f>'[1]December - 2022'!EJ11</f>
        <v>148.30000000001746</v>
      </c>
      <c r="EF11" s="347"/>
      <c r="EG11" s="214">
        <f>'[1]December - 2022'!EL11</f>
        <v>12115700</v>
      </c>
      <c r="EH11" s="209">
        <f>'[1]December - 2022'!EM11</f>
        <v>4300</v>
      </c>
      <c r="EI11" s="86">
        <f>'[1]December - 2022'!EN11</f>
        <v>932080</v>
      </c>
      <c r="EJ11" s="209">
        <f>'[1]December - 2022'!EO11</f>
        <v>290</v>
      </c>
      <c r="EK11" s="86">
        <f>'[1]December - 2022'!EP11</f>
        <v>7209300</v>
      </c>
      <c r="EL11" s="209">
        <f>'[1]December - 2022'!EQ11</f>
        <v>2100</v>
      </c>
      <c r="EM11" s="86">
        <f>'[1]December - 2022'!ER11</f>
        <v>2495100</v>
      </c>
      <c r="EN11" s="209">
        <f>'[1]December - 2022'!ES11</f>
        <v>600</v>
      </c>
      <c r="EO11" s="86">
        <f>'[1]December - 2022'!ET11</f>
        <v>1273280</v>
      </c>
      <c r="EP11" s="209">
        <f>'[1]December - 2022'!EU11</f>
        <v>750</v>
      </c>
      <c r="EQ11" s="86">
        <f>'[1]December - 2022'!EV11</f>
        <v>16603000</v>
      </c>
      <c r="ER11" s="209">
        <f>'[1]December - 2022'!EW11</f>
        <v>5100</v>
      </c>
      <c r="ES11" s="395"/>
      <c r="ET11" s="256">
        <f>'[1]December - 2022'!EY11</f>
        <v>42006</v>
      </c>
      <c r="EU11" s="253">
        <f>'[1]December - 2022'!EZ11</f>
        <v>16</v>
      </c>
      <c r="EV11" s="257">
        <f>'[1]December - 2022'!FA11</f>
        <v>36721</v>
      </c>
      <c r="EW11" s="253">
        <f>'[1]December - 2022'!FB11</f>
        <v>11</v>
      </c>
      <c r="EX11" s="257">
        <f>'[1]December - 2022'!FC11</f>
        <v>7467</v>
      </c>
      <c r="EY11" s="253">
        <f>'[1]December - 2022'!FD11</f>
        <v>11</v>
      </c>
      <c r="EZ11" s="257">
        <f>'[1]December - 2022'!FE11</f>
        <v>59182</v>
      </c>
      <c r="FA11" s="253">
        <f>'[1]December - 2022'!FF11</f>
        <v>18</v>
      </c>
      <c r="FB11" s="257">
        <f>'[1]December - 2022'!FG11</f>
        <v>49331</v>
      </c>
      <c r="FC11" s="254">
        <f>'[1]December - 2022'!FH11</f>
        <v>35</v>
      </c>
    </row>
    <row r="12" spans="1:159" ht="30" customHeight="1" x14ac:dyDescent="0.25">
      <c r="A12" s="187">
        <v>43833</v>
      </c>
      <c r="B12" s="189">
        <f>'[1]December - 2022'!B12</f>
        <v>0.36</v>
      </c>
      <c r="C12" s="229">
        <f>'[1]December - 2022'!E12</f>
        <v>206671</v>
      </c>
      <c r="D12" s="152">
        <f>'[1]December - 2022'!F12</f>
        <v>724</v>
      </c>
      <c r="E12" s="150">
        <f>'[1]December - 2022'!G12</f>
        <v>736</v>
      </c>
      <c r="F12" s="150">
        <f>'[1]December - 2022'!H12</f>
        <v>239006</v>
      </c>
      <c r="G12" s="152">
        <f>'[1]December - 2022'!I12</f>
        <v>431</v>
      </c>
      <c r="H12" s="150">
        <f>'[1]December - 2022'!J12</f>
        <v>453</v>
      </c>
      <c r="I12" s="150">
        <f>'[1]December - 2022'!K12</f>
        <v>6353</v>
      </c>
      <c r="J12" s="152">
        <f>'[1]December - 2022'!L12</f>
        <v>169</v>
      </c>
      <c r="K12" s="150">
        <f>'[1]December - 2022'!N12</f>
        <v>919733</v>
      </c>
      <c r="L12" s="152">
        <f>'[1]December - 2022'!O12</f>
        <v>250</v>
      </c>
      <c r="M12" s="150">
        <f>'[1]December - 2022'!Q12</f>
        <v>243484</v>
      </c>
      <c r="N12" s="152">
        <f>'[1]December - 2022'!R12</f>
        <v>113</v>
      </c>
      <c r="O12" s="150">
        <f>'[1]December - 2022'!U12</f>
        <v>115580</v>
      </c>
      <c r="P12" s="152">
        <f>'[1]December - 2022'!V12</f>
        <v>122</v>
      </c>
      <c r="Q12" s="150">
        <f>'[1]December - 2022'!W12</f>
        <v>78.409999999996217</v>
      </c>
      <c r="R12" s="150">
        <f>'[1]December - 2022'!X12</f>
        <v>6278</v>
      </c>
      <c r="S12" s="188">
        <f>'[1]December - 2022'!Y12</f>
        <v>12</v>
      </c>
      <c r="T12" s="490"/>
      <c r="U12" s="247">
        <f>'[1]December - 2022'!AE12</f>
        <v>8133316.7999999998</v>
      </c>
      <c r="V12" s="218">
        <f>'[1]December - 2022'!AF12</f>
        <v>2484.7199999997392</v>
      </c>
      <c r="W12" s="88">
        <f>'[1]December - 2022'!AF12</f>
        <v>2484.7199999997392</v>
      </c>
      <c r="X12" s="233">
        <f>'[1]December - 2022'!AH12</f>
        <v>15452376.24</v>
      </c>
      <c r="Y12" s="218">
        <f>'[1]December - 2022'!AI12</f>
        <v>4287.359999999404</v>
      </c>
      <c r="Z12" s="88">
        <f>'[1]December - 2022'!AI12</f>
        <v>4287.359999999404</v>
      </c>
      <c r="AA12" s="233">
        <f>'[1]December - 2022'!AK12</f>
        <v>15754245.359999999</v>
      </c>
      <c r="AB12" s="218">
        <f>'[1]December - 2022'!AL12</f>
        <v>1023.1199999991804</v>
      </c>
      <c r="AC12" s="88">
        <f>'[1]December - 2022'!AL12</f>
        <v>1023.1199999991804</v>
      </c>
      <c r="AD12" s="233">
        <f>'[1]December - 2022'!AN12</f>
        <v>18832716</v>
      </c>
      <c r="AE12" s="218">
        <f>'[1]December - 2022'!AO12</f>
        <v>11546.640000000596</v>
      </c>
      <c r="AF12" s="88">
        <f>'[1]December - 2022'!AO12</f>
        <v>11546.640000000596</v>
      </c>
      <c r="AG12" s="233">
        <f>'[1]December - 2022'!AQ12</f>
        <v>19166642.879999999</v>
      </c>
      <c r="AH12" s="218">
        <f>'[1]December - 2022'!AR12</f>
        <v>0</v>
      </c>
      <c r="AI12" s="88">
        <f>'[1]December - 2022'!AR12</f>
        <v>0</v>
      </c>
      <c r="AJ12" s="233">
        <f>'[1]December - 2022'!AT12</f>
        <v>17537397.359999999</v>
      </c>
      <c r="AK12" s="218">
        <f>'[1]December - 2022'!AU12</f>
        <v>5359.1999999992549</v>
      </c>
      <c r="AL12" s="88">
        <f>'[1]December - 2022'!AU12</f>
        <v>5359.1999999992549</v>
      </c>
      <c r="AM12" s="233">
        <f>'[1]December - 2022'!AW12</f>
        <v>14764937.039999999</v>
      </c>
      <c r="AN12" s="218">
        <f>'[1]December - 2022'!AX12</f>
        <v>3995.0399999991059</v>
      </c>
      <c r="AO12" s="88">
        <f>'[1]December - 2022'!AX12</f>
        <v>3995.0399999991059</v>
      </c>
      <c r="AP12" s="233">
        <f>'[1]December - 2022'!AZ12</f>
        <v>14286360.48</v>
      </c>
      <c r="AQ12" s="218">
        <f>'[1]December - 2022'!BA12</f>
        <v>4384.8000000007451</v>
      </c>
      <c r="AR12" s="88">
        <f>'[1]December - 2022'!BA12</f>
        <v>4384.8000000007451</v>
      </c>
      <c r="AS12" s="233">
        <f>'[1]December - 2022'!BC12</f>
        <v>11163895.68</v>
      </c>
      <c r="AT12" s="218">
        <f>'[1]December - 2022'!BD12</f>
        <v>3069.3600000012666</v>
      </c>
      <c r="AU12" s="88">
        <f>'[1]December - 2022'!BD12</f>
        <v>3069.3600000012666</v>
      </c>
      <c r="AV12" s="233">
        <f>'[1]December - 2022'!BF12</f>
        <v>17672692.800000001</v>
      </c>
      <c r="AW12" s="230">
        <f>'[1]December - 2022'!BG12</f>
        <v>5700.2399999983609</v>
      </c>
      <c r="AX12" s="231">
        <f>'[1]December - 2022'!BG12</f>
        <v>5700.2399999983609</v>
      </c>
      <c r="AY12" s="456"/>
      <c r="AZ12" s="250">
        <f>'[1]December - 2022'!BM12</f>
        <v>77840000</v>
      </c>
      <c r="BA12" s="161">
        <f>'[1]December - 2022'!BN12</f>
        <v>0</v>
      </c>
      <c r="BB12" s="89">
        <f>'[1]December - 2022'!BN12</f>
        <v>0</v>
      </c>
      <c r="BC12" s="250">
        <f>'[1]December - 2022'!BP12</f>
        <v>80516400</v>
      </c>
      <c r="BD12" s="224">
        <f>'[1]December - 2022'!BQ12</f>
        <v>64000</v>
      </c>
      <c r="BE12" s="89">
        <f>'[1]December - 2022'!BQ12</f>
        <v>64000</v>
      </c>
      <c r="BF12" s="250">
        <f>'[1]December - 2022'!BS12</f>
        <v>74769600</v>
      </c>
      <c r="BG12" s="224">
        <f>'[1]December - 2022'!BT12</f>
        <v>2200</v>
      </c>
      <c r="BH12" s="89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'[1]December - 2022'!BV12</f>
        <v>10193780</v>
      </c>
      <c r="BT12" s="166">
        <f>'[1]December - 2022'!BW12</f>
        <v>7350</v>
      </c>
      <c r="BU12" s="363"/>
      <c r="BV12" s="84">
        <f>'[1]December - 2022'!BY12</f>
        <v>0.7</v>
      </c>
      <c r="BW12" s="220">
        <f>'[1]December - 2022'!BZ12</f>
        <v>-9.9999999999999978E-2</v>
      </c>
      <c r="BX12" s="84">
        <f>'[1]December - 2022'!BZ12</f>
        <v>-9.9999999999999978E-2</v>
      </c>
      <c r="BY12" s="85">
        <f>'[1]December - 2022'!CB12</f>
        <v>64227</v>
      </c>
      <c r="BZ12" s="172">
        <f>'[1]December - 2022'!CC12</f>
        <v>18</v>
      </c>
      <c r="CA12" s="85">
        <f>'[1]December - 2022'!CD12</f>
        <v>55322</v>
      </c>
      <c r="CB12" s="172">
        <f>'[1]December - 2022'!CE12</f>
        <v>19</v>
      </c>
      <c r="CC12" s="85">
        <f>'[1]December - 2022'!CF12</f>
        <v>18715</v>
      </c>
      <c r="CD12" s="172">
        <f>'[1]December - 2022'!CG12</f>
        <v>7</v>
      </c>
      <c r="CE12" s="85">
        <f>'[1]December - 2022'!CH12</f>
        <v>25539</v>
      </c>
      <c r="CF12" s="172">
        <f>'[1]December - 2022'!CI12</f>
        <v>11</v>
      </c>
      <c r="CG12" s="85">
        <f>'[1]December - 2022'!CJ12</f>
        <v>28410</v>
      </c>
      <c r="CH12" s="172">
        <f>'[1]December - 2022'!CK12</f>
        <v>14</v>
      </c>
      <c r="CI12" s="85">
        <f>'[1]December - 2022'!CL12</f>
        <v>62330</v>
      </c>
      <c r="CJ12" s="172">
        <f>'[1]December - 2022'!CM12</f>
        <v>36</v>
      </c>
      <c r="CK12" s="85">
        <f>'[1]December - 2022'!CN12</f>
        <v>267673</v>
      </c>
      <c r="CL12" s="225">
        <f>'[1]December - 2022'!CO12</f>
        <v>71</v>
      </c>
      <c r="CM12" s="85">
        <f>'[1]December - 2022'!CO12</f>
        <v>71</v>
      </c>
      <c r="CN12" s="85">
        <f>'[1]December - 2022'!CQ12</f>
        <v>214485</v>
      </c>
      <c r="CO12" s="225">
        <f>'[1]December - 2022'!CR12</f>
        <v>102</v>
      </c>
      <c r="CP12" s="85">
        <f>'[1]December - 2022'!CR12</f>
        <v>102</v>
      </c>
      <c r="CQ12" s="85">
        <f>'[1]December - 2022'!CT12</f>
        <v>354307</v>
      </c>
      <c r="CR12" s="225">
        <f>'[1]December - 2022'!CU12</f>
        <v>147</v>
      </c>
      <c r="CS12" s="85">
        <f>'[1]December - 2022'!CU12</f>
        <v>147</v>
      </c>
      <c r="CT12" s="85">
        <f>'[1]December - 2022'!CW12</f>
        <v>693935</v>
      </c>
      <c r="CU12" s="172">
        <f>'[1]December - 2022'!CX12</f>
        <v>165</v>
      </c>
      <c r="CV12" s="423"/>
      <c r="CW12" s="234">
        <f>'[1]December - 2022'!CZ12</f>
        <v>8830</v>
      </c>
      <c r="CX12" s="179">
        <f>'[1]December - 2022'!DA12</f>
        <v>7</v>
      </c>
      <c r="CY12" s="235">
        <f>'[1]December - 2022'!DB12</f>
        <v>5996</v>
      </c>
      <c r="CZ12" s="179">
        <f>'[1]December - 2022'!DC12</f>
        <v>5</v>
      </c>
      <c r="DA12" s="235">
        <f>'[1]December - 2022'!DD12</f>
        <v>32050</v>
      </c>
      <c r="DB12" s="179">
        <f>'[1]December - 2022'!DE12</f>
        <v>12</v>
      </c>
      <c r="DC12" s="235">
        <f>'[1]December - 2022'!DF12</f>
        <v>32309</v>
      </c>
      <c r="DD12" s="179">
        <f>'[1]December - 2022'!DG12</f>
        <v>10</v>
      </c>
      <c r="DE12" s="235">
        <f>'[1]December - 2022'!DH12</f>
        <v>21793</v>
      </c>
      <c r="DF12" s="179">
        <f>'[1]December - 2022'!DI12</f>
        <v>9</v>
      </c>
      <c r="DG12" s="235">
        <f>'[1]December - 2022'!DJ12</f>
        <v>24005</v>
      </c>
      <c r="DH12" s="179">
        <f>'[1]December - 2022'!DK12</f>
        <v>6</v>
      </c>
      <c r="DI12" s="235">
        <f>'[1]December - 2022'!DL12</f>
        <v>7040</v>
      </c>
      <c r="DJ12" s="179">
        <f>'[1]December - 2022'!DM12</f>
        <v>9</v>
      </c>
      <c r="DK12" s="235">
        <f>'[1]December - 2022'!DN12</f>
        <v>9711</v>
      </c>
      <c r="DL12" s="179">
        <f>'[1]December - 2022'!DO12</f>
        <v>7</v>
      </c>
      <c r="DM12" s="235">
        <f>'[1]December - 2022'!DP12</f>
        <v>3239</v>
      </c>
      <c r="DN12" s="179">
        <f>'[1]December - 2022'!DQ12</f>
        <v>3</v>
      </c>
      <c r="DO12" s="235">
        <f>'[1]December - 2022'!DR12</f>
        <v>6394</v>
      </c>
      <c r="DP12" s="179">
        <f>'[1]December - 2022'!DS12</f>
        <v>9</v>
      </c>
      <c r="DQ12" s="235">
        <f>'[1]December - 2022'!DT12</f>
        <v>30266</v>
      </c>
      <c r="DR12" s="186">
        <f>'[1]December - 2022'!DU12</f>
        <v>6</v>
      </c>
      <c r="DS12" s="408"/>
      <c r="DT12" s="190">
        <f>'[1]December - 2022'!DW12</f>
        <v>6270.3</v>
      </c>
      <c r="DU12" s="201">
        <f>'[1]December - 2022'!DX12</f>
        <v>11.900000000000546</v>
      </c>
      <c r="DV12" s="87">
        <f>'[1]December - 2022'!DY12</f>
        <v>11248.9</v>
      </c>
      <c r="DW12" s="195">
        <f>'[1]December - 2022'!DZ12</f>
        <v>7.7999999999992724</v>
      </c>
      <c r="DX12" s="87">
        <f>'[1]December - 2022'!EA12</f>
        <v>4766.3</v>
      </c>
      <c r="DY12" s="195">
        <f>'[1]December - 2022'!EB12</f>
        <v>6.6999999999998181</v>
      </c>
      <c r="DZ12" s="87">
        <f>'[1]December - 2022'!EC12</f>
        <v>5341.3</v>
      </c>
      <c r="EA12" s="195">
        <f>'[1]December - 2022'!ED12</f>
        <v>8.1000000000003638</v>
      </c>
      <c r="EB12" s="87">
        <f>'[1]December - 2022'!EE12</f>
        <v>1123954</v>
      </c>
      <c r="EC12" s="195">
        <f>'[1]December - 2022'!EF12</f>
        <v>620</v>
      </c>
      <c r="ED12" s="87">
        <f>'[1]December - 2022'!EI12</f>
        <v>231012.2</v>
      </c>
      <c r="EE12" s="208">
        <f>'[1]December - 2022'!EJ12</f>
        <v>159</v>
      </c>
      <c r="EF12" s="347"/>
      <c r="EG12" s="214">
        <f>'[1]December - 2022'!EL12</f>
        <v>12121300</v>
      </c>
      <c r="EH12" s="209">
        <f>'[1]December - 2022'!EM12</f>
        <v>5600</v>
      </c>
      <c r="EI12" s="86">
        <f>'[1]December - 2022'!EN12</f>
        <v>932350</v>
      </c>
      <c r="EJ12" s="209">
        <f>'[1]December - 2022'!EO12</f>
        <v>270</v>
      </c>
      <c r="EK12" s="86">
        <f>'[1]December - 2022'!EP12</f>
        <v>7211800</v>
      </c>
      <c r="EL12" s="209">
        <f>'[1]December - 2022'!EQ12</f>
        <v>2500</v>
      </c>
      <c r="EM12" s="86">
        <f>'[1]December - 2022'!ER12</f>
        <v>2495700</v>
      </c>
      <c r="EN12" s="209">
        <f>'[1]December - 2022'!ES12</f>
        <v>600</v>
      </c>
      <c r="EO12" s="86">
        <f>'[1]December - 2022'!ET12</f>
        <v>1274080</v>
      </c>
      <c r="EP12" s="209">
        <f>'[1]December - 2022'!EU12</f>
        <v>800</v>
      </c>
      <c r="EQ12" s="86">
        <f>'[1]December - 2022'!EV12</f>
        <v>16608800</v>
      </c>
      <c r="ER12" s="209">
        <f>'[1]December - 2022'!EW12</f>
        <v>5800</v>
      </c>
      <c r="ES12" s="395"/>
      <c r="ET12" s="256">
        <f>'[1]December - 2022'!EY12</f>
        <v>42023</v>
      </c>
      <c r="EU12" s="253">
        <f>'[1]December - 2022'!EZ12</f>
        <v>17</v>
      </c>
      <c r="EV12" s="257">
        <f>'[1]December - 2022'!FA12</f>
        <v>36735</v>
      </c>
      <c r="EW12" s="253">
        <f>'[1]December - 2022'!FB12</f>
        <v>14</v>
      </c>
      <c r="EX12" s="257">
        <f>'[1]December - 2022'!FC12</f>
        <v>7477</v>
      </c>
      <c r="EY12" s="253">
        <f>'[1]December - 2022'!FD12</f>
        <v>10</v>
      </c>
      <c r="EZ12" s="257">
        <f>'[1]December - 2022'!FE12</f>
        <v>59197</v>
      </c>
      <c r="FA12" s="253">
        <f>'[1]December - 2022'!FF12</f>
        <v>15</v>
      </c>
      <c r="FB12" s="257">
        <f>'[1]December - 2022'!FG12</f>
        <v>49364</v>
      </c>
      <c r="FC12" s="254">
        <f>'[1]December - 2022'!FH12</f>
        <v>33</v>
      </c>
    </row>
    <row r="13" spans="1:159" ht="30" customHeight="1" x14ac:dyDescent="0.25">
      <c r="A13" s="187">
        <v>43834</v>
      </c>
      <c r="B13" s="189">
        <f>'[1]December - 2022'!B13</f>
        <v>0.35</v>
      </c>
      <c r="C13" s="229">
        <f>'[1]December - 2022'!E13</f>
        <v>207335</v>
      </c>
      <c r="D13" s="152">
        <f>'[1]December - 2022'!F13</f>
        <v>664</v>
      </c>
      <c r="E13" s="150">
        <f>'[1]December - 2022'!G13</f>
        <v>767</v>
      </c>
      <c r="F13" s="150">
        <f>'[1]December - 2022'!H13</f>
        <v>239417</v>
      </c>
      <c r="G13" s="152">
        <f>'[1]December - 2022'!I13</f>
        <v>411</v>
      </c>
      <c r="H13" s="150">
        <f>'[1]December - 2022'!J13</f>
        <v>455</v>
      </c>
      <c r="I13" s="150">
        <f>'[1]December - 2022'!K13</f>
        <v>6515</v>
      </c>
      <c r="J13" s="152">
        <f>'[1]December - 2022'!L13</f>
        <v>162</v>
      </c>
      <c r="K13" s="150">
        <f>'[1]December - 2022'!N13</f>
        <v>919981</v>
      </c>
      <c r="L13" s="152">
        <f>'[1]December - 2022'!O13</f>
        <v>248</v>
      </c>
      <c r="M13" s="150">
        <f>'[1]December - 2022'!Q13</f>
        <v>243560</v>
      </c>
      <c r="N13" s="152">
        <f>'[1]December - 2022'!R13</f>
        <v>76</v>
      </c>
      <c r="O13" s="150">
        <f>'[1]December - 2022'!U13</f>
        <v>115696</v>
      </c>
      <c r="P13" s="152">
        <f>'[1]December - 2022'!V13</f>
        <v>116</v>
      </c>
      <c r="Q13" s="150">
        <f>'[1]December - 2022'!W13</f>
        <v>111.76000000000204</v>
      </c>
      <c r="R13" s="150">
        <f>'[1]December - 2022'!X13</f>
        <v>6288</v>
      </c>
      <c r="S13" s="188">
        <f>'[1]December - 2022'!Y13</f>
        <v>10</v>
      </c>
      <c r="T13" s="490"/>
      <c r="U13" s="247">
        <f>'[1]December - 2022'!AE13</f>
        <v>8135898.959999999</v>
      </c>
      <c r="V13" s="218">
        <f>'[1]December - 2022'!AF13</f>
        <v>2582.1599999992177</v>
      </c>
      <c r="W13" s="88">
        <f>'[1]December - 2022'!AF13</f>
        <v>2582.1599999992177</v>
      </c>
      <c r="X13" s="233">
        <f>'[1]December - 2022'!AH13</f>
        <v>15456858.48</v>
      </c>
      <c r="Y13" s="218">
        <f>'[1]December - 2022'!AI13</f>
        <v>4482.2400000002235</v>
      </c>
      <c r="Z13" s="88">
        <f>'[1]December - 2022'!AI13</f>
        <v>4482.2400000002235</v>
      </c>
      <c r="AA13" s="233">
        <f>'[1]December - 2022'!AK13</f>
        <v>15755171.039999999</v>
      </c>
      <c r="AB13" s="218">
        <f>'[1]December - 2022'!AL13</f>
        <v>925.67999999970198</v>
      </c>
      <c r="AC13" s="88">
        <f>'[1]December - 2022'!AL13</f>
        <v>925.67999999970198</v>
      </c>
      <c r="AD13" s="233">
        <f>'[1]December - 2022'!AN13</f>
        <v>18844262.639999997</v>
      </c>
      <c r="AE13" s="218">
        <f>'[1]December - 2022'!AO13</f>
        <v>11546.639999996871</v>
      </c>
      <c r="AF13" s="88">
        <f>'[1]December - 2022'!AO13</f>
        <v>11546.639999996871</v>
      </c>
      <c r="AG13" s="233">
        <f>'[1]December - 2022'!AQ13</f>
        <v>19166642.879999999</v>
      </c>
      <c r="AH13" s="218">
        <f>'[1]December - 2022'!AR13</f>
        <v>0</v>
      </c>
      <c r="AI13" s="88">
        <f>'[1]December - 2022'!AR13</f>
        <v>0</v>
      </c>
      <c r="AJ13" s="233">
        <f>'[1]December - 2022'!AT13</f>
        <v>17543097.599999998</v>
      </c>
      <c r="AK13" s="218">
        <f>'[1]December - 2022'!AU13</f>
        <v>5700.2399999983609</v>
      </c>
      <c r="AL13" s="88">
        <f>'[1]December - 2022'!AU13</f>
        <v>5700.2399999983609</v>
      </c>
      <c r="AM13" s="233">
        <f>'[1]December - 2022'!AW13</f>
        <v>14769078.24</v>
      </c>
      <c r="AN13" s="218">
        <f>'[1]December - 2022'!AX13</f>
        <v>4141.2000000011176</v>
      </c>
      <c r="AO13" s="88">
        <f>'[1]December - 2022'!AX13</f>
        <v>4141.2000000011176</v>
      </c>
      <c r="AP13" s="233">
        <f>'[1]December - 2022'!AZ13</f>
        <v>14290794</v>
      </c>
      <c r="AQ13" s="218">
        <f>'[1]December - 2022'!BA13</f>
        <v>4433.519999999553</v>
      </c>
      <c r="AR13" s="88">
        <f>'[1]December - 2022'!BA13</f>
        <v>4433.519999999553</v>
      </c>
      <c r="AS13" s="233">
        <f>'[1]December - 2022'!BC13</f>
        <v>11166965.040000001</v>
      </c>
      <c r="AT13" s="218">
        <f>'[1]December - 2022'!BD13</f>
        <v>3069.3600000012666</v>
      </c>
      <c r="AU13" s="88">
        <f>'[1]December - 2022'!BD13</f>
        <v>3069.3600000012666</v>
      </c>
      <c r="AV13" s="233">
        <f>'[1]December - 2022'!BF13</f>
        <v>17678490.48</v>
      </c>
      <c r="AW13" s="230">
        <f>'[1]December - 2022'!BG13</f>
        <v>5797.679999999702</v>
      </c>
      <c r="AX13" s="231">
        <f>'[1]December - 2022'!BG13</f>
        <v>5797.679999999702</v>
      </c>
      <c r="AY13" s="456"/>
      <c r="AZ13" s="250">
        <f>'[1]December - 2022'!BM13</f>
        <v>77840000</v>
      </c>
      <c r="BA13" s="161">
        <f>'[1]December - 2022'!BN13</f>
        <v>0</v>
      </c>
      <c r="BB13" s="89">
        <f>'[1]December - 2022'!BN13</f>
        <v>0</v>
      </c>
      <c r="BC13" s="250">
        <f>'[1]December - 2022'!BP13</f>
        <v>80580000</v>
      </c>
      <c r="BD13" s="224">
        <f>'[1]December - 2022'!BQ13</f>
        <v>63600</v>
      </c>
      <c r="BE13" s="89">
        <f>'[1]December - 2022'!BQ13</f>
        <v>63600</v>
      </c>
      <c r="BF13" s="250">
        <f>'[1]December - 2022'!BS13</f>
        <v>74769600</v>
      </c>
      <c r="BG13" s="224">
        <f>'[1]December - 2022'!BT13</f>
        <v>0</v>
      </c>
      <c r="BH13" s="89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'[1]December - 2022'!BV13</f>
        <v>10200980</v>
      </c>
      <c r="BT13" s="166">
        <f>'[1]December - 2022'!BW13</f>
        <v>7200</v>
      </c>
      <c r="BU13" s="363"/>
      <c r="BV13" s="84">
        <f>'[1]December - 2022'!BY13</f>
        <v>0.84</v>
      </c>
      <c r="BW13" s="220">
        <f>'[1]December - 2022'!BZ13</f>
        <v>-0.14000000000000001</v>
      </c>
      <c r="BX13" s="84">
        <f>'[1]December - 2022'!BZ13</f>
        <v>-0.14000000000000001</v>
      </c>
      <c r="BY13" s="85">
        <f>'[1]December - 2022'!CB13</f>
        <v>64246</v>
      </c>
      <c r="BZ13" s="172">
        <f>'[1]December - 2022'!CC13</f>
        <v>19</v>
      </c>
      <c r="CA13" s="85">
        <f>'[1]December - 2022'!CD13</f>
        <v>55342</v>
      </c>
      <c r="CB13" s="172">
        <f>'[1]December - 2022'!CE13</f>
        <v>20</v>
      </c>
      <c r="CC13" s="85">
        <f>'[1]December - 2022'!CF13</f>
        <v>18720</v>
      </c>
      <c r="CD13" s="172">
        <f>'[1]December - 2022'!CG13</f>
        <v>5</v>
      </c>
      <c r="CE13" s="85">
        <f>'[1]December - 2022'!CH13</f>
        <v>25548</v>
      </c>
      <c r="CF13" s="172">
        <f>'[1]December - 2022'!CI13</f>
        <v>9</v>
      </c>
      <c r="CG13" s="85">
        <f>'[1]December - 2022'!CJ13</f>
        <v>28423</v>
      </c>
      <c r="CH13" s="172">
        <f>'[1]December - 2022'!CK13</f>
        <v>13</v>
      </c>
      <c r="CI13" s="85">
        <f>'[1]December - 2022'!CL13</f>
        <v>62367</v>
      </c>
      <c r="CJ13" s="172">
        <f>'[1]December - 2022'!CM13</f>
        <v>37</v>
      </c>
      <c r="CK13" s="85">
        <f>'[1]December - 2022'!CN13</f>
        <v>267746</v>
      </c>
      <c r="CL13" s="225">
        <f>'[1]December - 2022'!CO13</f>
        <v>73</v>
      </c>
      <c r="CM13" s="85">
        <f>'[1]December - 2022'!CO13</f>
        <v>73</v>
      </c>
      <c r="CN13" s="85">
        <f>'[1]December - 2022'!CQ13</f>
        <v>214589</v>
      </c>
      <c r="CO13" s="225">
        <f>'[1]December - 2022'!CR13</f>
        <v>104</v>
      </c>
      <c r="CP13" s="85">
        <f>'[1]December - 2022'!CR13</f>
        <v>104</v>
      </c>
      <c r="CQ13" s="85">
        <f>'[1]December - 2022'!CT13</f>
        <v>354483</v>
      </c>
      <c r="CR13" s="225">
        <f>'[1]December - 2022'!CU13</f>
        <v>176</v>
      </c>
      <c r="CS13" s="85">
        <f>'[1]December - 2022'!CU13</f>
        <v>176</v>
      </c>
      <c r="CT13" s="85">
        <f>'[1]December - 2022'!CW13</f>
        <v>694105</v>
      </c>
      <c r="CU13" s="172">
        <f>'[1]December - 2022'!CX13</f>
        <v>170</v>
      </c>
      <c r="CV13" s="423"/>
      <c r="CW13" s="234">
        <f>'[1]December - 2022'!CZ13</f>
        <v>8838</v>
      </c>
      <c r="CX13" s="179">
        <f>'[1]December - 2022'!DA13</f>
        <v>8</v>
      </c>
      <c r="CY13" s="235">
        <f>'[1]December - 2022'!DB13</f>
        <v>6000</v>
      </c>
      <c r="CZ13" s="179">
        <f>'[1]December - 2022'!DC13</f>
        <v>4</v>
      </c>
      <c r="DA13" s="235">
        <f>'[1]December - 2022'!DD13</f>
        <v>32072</v>
      </c>
      <c r="DB13" s="179">
        <f>'[1]December - 2022'!DE13</f>
        <v>22</v>
      </c>
      <c r="DC13" s="235">
        <f>'[1]December - 2022'!DF13</f>
        <v>32325</v>
      </c>
      <c r="DD13" s="179">
        <f>'[1]December - 2022'!DG13</f>
        <v>16</v>
      </c>
      <c r="DE13" s="235">
        <f>'[1]December - 2022'!DH13</f>
        <v>21805</v>
      </c>
      <c r="DF13" s="179">
        <f>'[1]December - 2022'!DI13</f>
        <v>12</v>
      </c>
      <c r="DG13" s="235">
        <f>'[1]December - 2022'!DJ13</f>
        <v>24014</v>
      </c>
      <c r="DH13" s="179">
        <f>'[1]December - 2022'!DK13</f>
        <v>9</v>
      </c>
      <c r="DI13" s="235">
        <f>'[1]December - 2022'!DL13</f>
        <v>7056</v>
      </c>
      <c r="DJ13" s="179">
        <f>'[1]December - 2022'!DM13</f>
        <v>16</v>
      </c>
      <c r="DK13" s="235">
        <f>'[1]December - 2022'!DN13</f>
        <v>9725</v>
      </c>
      <c r="DL13" s="179">
        <f>'[1]December - 2022'!DO13</f>
        <v>14</v>
      </c>
      <c r="DM13" s="235">
        <f>'[1]December - 2022'!DP13</f>
        <v>3244</v>
      </c>
      <c r="DN13" s="179">
        <f>'[1]December - 2022'!DQ13</f>
        <v>5</v>
      </c>
      <c r="DO13" s="235">
        <f>'[1]December - 2022'!DR13</f>
        <v>6402</v>
      </c>
      <c r="DP13" s="179">
        <f>'[1]December - 2022'!DS13</f>
        <v>8</v>
      </c>
      <c r="DQ13" s="235">
        <f>'[1]December - 2022'!DT13</f>
        <v>30271</v>
      </c>
      <c r="DR13" s="186">
        <f>'[1]December - 2022'!DU13</f>
        <v>5</v>
      </c>
      <c r="DS13" s="408"/>
      <c r="DT13" s="190">
        <f>'[1]December - 2022'!DW13</f>
        <v>6280.9</v>
      </c>
      <c r="DU13" s="201">
        <f>'[1]December - 2022'!DX13</f>
        <v>10.599999999999454</v>
      </c>
      <c r="DV13" s="87">
        <f>'[1]December - 2022'!DY13</f>
        <v>11256.5</v>
      </c>
      <c r="DW13" s="195">
        <f>'[1]December - 2022'!DZ13</f>
        <v>7.6000000000003638</v>
      </c>
      <c r="DX13" s="87">
        <f>'[1]December - 2022'!EA13</f>
        <v>4772.8</v>
      </c>
      <c r="DY13" s="195">
        <f>'[1]December - 2022'!EB13</f>
        <v>6.5</v>
      </c>
      <c r="DZ13" s="87">
        <f>'[1]December - 2022'!EC13</f>
        <v>5348.7</v>
      </c>
      <c r="EA13" s="195">
        <f>'[1]December - 2022'!ED13</f>
        <v>7.3999999999996362</v>
      </c>
      <c r="EB13" s="87">
        <f>'[1]December - 2022'!EE13</f>
        <v>1124504</v>
      </c>
      <c r="EC13" s="195">
        <f>'[1]December - 2022'!EF13</f>
        <v>550</v>
      </c>
      <c r="ED13" s="87">
        <f>'[1]December - 2022'!EI13</f>
        <v>231160.5</v>
      </c>
      <c r="EE13" s="208">
        <f>'[1]December - 2022'!EJ13</f>
        <v>148.29999999998836</v>
      </c>
      <c r="EF13" s="347"/>
      <c r="EG13" s="214">
        <f>'[1]December - 2022'!EL13</f>
        <v>12126000</v>
      </c>
      <c r="EH13" s="209">
        <f>'[1]December - 2022'!EM13</f>
        <v>4700</v>
      </c>
      <c r="EI13" s="86">
        <f>'[1]December - 2022'!EN13</f>
        <v>932630</v>
      </c>
      <c r="EJ13" s="209">
        <f>'[1]December - 2022'!EO13</f>
        <v>280</v>
      </c>
      <c r="EK13" s="86">
        <f>'[1]December - 2022'!EP13</f>
        <v>7214000</v>
      </c>
      <c r="EL13" s="209">
        <f>'[1]December - 2022'!EQ13</f>
        <v>2200</v>
      </c>
      <c r="EM13" s="86">
        <f>'[1]December - 2022'!ER13</f>
        <v>2496300</v>
      </c>
      <c r="EN13" s="209">
        <f>'[1]December - 2022'!ES13</f>
        <v>600</v>
      </c>
      <c r="EO13" s="86">
        <f>'[1]December - 2022'!ET13</f>
        <v>1274830</v>
      </c>
      <c r="EP13" s="209">
        <f>'[1]December - 2022'!EU13</f>
        <v>750</v>
      </c>
      <c r="EQ13" s="86">
        <f>'[1]December - 2022'!EV13</f>
        <v>16613500</v>
      </c>
      <c r="ER13" s="209">
        <f>'[1]December - 2022'!EW13</f>
        <v>4700</v>
      </c>
      <c r="ES13" s="395"/>
      <c r="ET13" s="256">
        <f>'[1]December - 2022'!EY13</f>
        <v>42039</v>
      </c>
      <c r="EU13" s="253">
        <f>'[1]December - 2022'!EZ13</f>
        <v>16</v>
      </c>
      <c r="EV13" s="257">
        <f>'[1]December - 2022'!FA13</f>
        <v>36746</v>
      </c>
      <c r="EW13" s="253">
        <f>'[1]December - 2022'!FB13</f>
        <v>11</v>
      </c>
      <c r="EX13" s="257">
        <f>'[1]December - 2022'!FC13</f>
        <v>7487</v>
      </c>
      <c r="EY13" s="253">
        <f>'[1]December - 2022'!FD13</f>
        <v>10</v>
      </c>
      <c r="EZ13" s="257">
        <f>'[1]December - 2022'!FE13</f>
        <v>59210</v>
      </c>
      <c r="FA13" s="253">
        <f>'[1]December - 2022'!FF13</f>
        <v>13</v>
      </c>
      <c r="FB13" s="257">
        <f>'[1]December - 2022'!FG13</f>
        <v>49391</v>
      </c>
      <c r="FC13" s="254">
        <f>'[1]December - 2022'!FH13</f>
        <v>27</v>
      </c>
    </row>
    <row r="14" spans="1:159" ht="30" customHeight="1" x14ac:dyDescent="0.25">
      <c r="A14" s="187">
        <v>43835</v>
      </c>
      <c r="B14" s="189">
        <f>'[1]December - 2022'!B14</f>
        <v>0.41</v>
      </c>
      <c r="C14" s="229">
        <f>'[1]December - 2022'!E14</f>
        <v>208004</v>
      </c>
      <c r="D14" s="152">
        <f>'[1]December - 2022'!F14</f>
        <v>669</v>
      </c>
      <c r="E14" s="150">
        <f>'[1]December - 2022'!G14</f>
        <v>714</v>
      </c>
      <c r="F14" s="150">
        <f>'[1]December - 2022'!H14</f>
        <v>239769</v>
      </c>
      <c r="G14" s="152">
        <f>'[1]December - 2022'!I14</f>
        <v>352</v>
      </c>
      <c r="H14" s="150">
        <f>'[1]December - 2022'!J14</f>
        <v>445</v>
      </c>
      <c r="I14" s="150">
        <f>'[1]December - 2022'!K14</f>
        <v>6653</v>
      </c>
      <c r="J14" s="152">
        <f>'[1]December - 2022'!L14</f>
        <v>138</v>
      </c>
      <c r="K14" s="150">
        <f>'[1]December - 2022'!N14</f>
        <v>920252</v>
      </c>
      <c r="L14" s="152">
        <f>'[1]December - 2022'!O14</f>
        <v>271</v>
      </c>
      <c r="M14" s="150">
        <f>'[1]December - 2022'!Q14</f>
        <v>243714</v>
      </c>
      <c r="N14" s="152">
        <f>'[1]December - 2022'!R14</f>
        <v>154</v>
      </c>
      <c r="O14" s="150">
        <f>'[1]December - 2022'!U14</f>
        <v>115816</v>
      </c>
      <c r="P14" s="152">
        <f>'[1]December - 2022'!V14</f>
        <v>120</v>
      </c>
      <c r="Q14" s="150">
        <f>'[1]December - 2022'!W14</f>
        <v>83.080000000001746</v>
      </c>
      <c r="R14" s="150">
        <f>'[1]December - 2022'!X14</f>
        <v>6306</v>
      </c>
      <c r="S14" s="188">
        <f>'[1]December - 2022'!Y14</f>
        <v>18</v>
      </c>
      <c r="T14" s="490"/>
      <c r="U14" s="247">
        <f>'[1]December - 2022'!AE14</f>
        <v>8138383.6800000006</v>
      </c>
      <c r="V14" s="218">
        <f>'[1]December - 2022'!AF14</f>
        <v>2484.7200000016019</v>
      </c>
      <c r="W14" s="88">
        <f>'[1]December - 2022'!AF14</f>
        <v>2484.7200000016019</v>
      </c>
      <c r="X14" s="233">
        <f>'[1]December - 2022'!AH14</f>
        <v>15461486.880000001</v>
      </c>
      <c r="Y14" s="218">
        <f>'[1]December - 2022'!AI14</f>
        <v>4628.4000000003725</v>
      </c>
      <c r="Z14" s="88">
        <f>'[1]December - 2022'!AI14</f>
        <v>4628.4000000003725</v>
      </c>
      <c r="AA14" s="233">
        <f>'[1]December - 2022'!AK14</f>
        <v>15756048</v>
      </c>
      <c r="AB14" s="218">
        <f>'[1]December - 2022'!AL14</f>
        <v>876.96000000089407</v>
      </c>
      <c r="AC14" s="88">
        <f>'[1]December - 2022'!AL14</f>
        <v>876.96000000089407</v>
      </c>
      <c r="AD14" s="233">
        <f>'[1]December - 2022'!AN14</f>
        <v>18855468.239999998</v>
      </c>
      <c r="AE14" s="218">
        <f>'[1]December - 2022'!AO14</f>
        <v>11205.60000000149</v>
      </c>
      <c r="AF14" s="88">
        <f>'[1]December - 2022'!AO14</f>
        <v>11205.60000000149</v>
      </c>
      <c r="AG14" s="233">
        <f>'[1]December - 2022'!AQ14</f>
        <v>19166642.879999999</v>
      </c>
      <c r="AH14" s="218">
        <f>'[1]December - 2022'!AR14</f>
        <v>0</v>
      </c>
      <c r="AI14" s="88">
        <f>'[1]December - 2022'!AR14</f>
        <v>0</v>
      </c>
      <c r="AJ14" s="233">
        <f>'[1]December - 2022'!AT14</f>
        <v>17548797.84</v>
      </c>
      <c r="AK14" s="218">
        <f>'[1]December - 2022'!AU14</f>
        <v>5700.2400000020862</v>
      </c>
      <c r="AL14" s="88">
        <f>'[1]December - 2022'!AU14</f>
        <v>5700.2400000020862</v>
      </c>
      <c r="AM14" s="233">
        <f>'[1]December - 2022'!AW14</f>
        <v>14773268.16</v>
      </c>
      <c r="AN14" s="218">
        <f>'[1]December - 2022'!AX14</f>
        <v>4189.9199999999255</v>
      </c>
      <c r="AO14" s="88">
        <f>'[1]December - 2022'!AX14</f>
        <v>4189.9199999999255</v>
      </c>
      <c r="AP14" s="233">
        <f>'[1]December - 2022'!AZ14</f>
        <v>14295130.08</v>
      </c>
      <c r="AQ14" s="218">
        <f>'[1]December - 2022'!BA14</f>
        <v>4336.0800000000745</v>
      </c>
      <c r="AR14" s="88">
        <f>'[1]December - 2022'!BA14</f>
        <v>4336.0800000000745</v>
      </c>
      <c r="AS14" s="233">
        <f>'[1]December - 2022'!BC14</f>
        <v>11169985.68</v>
      </c>
      <c r="AT14" s="218">
        <f>'[1]December - 2022'!BD14</f>
        <v>3020.6399999987334</v>
      </c>
      <c r="AU14" s="88">
        <f>'[1]December - 2022'!BD14</f>
        <v>3020.6399999987334</v>
      </c>
      <c r="AV14" s="233">
        <f>'[1]December - 2022'!BF14</f>
        <v>17684190.719999999</v>
      </c>
      <c r="AW14" s="230">
        <f>'[1]December - 2022'!BG14</f>
        <v>5700.2399999983609</v>
      </c>
      <c r="AX14" s="231">
        <f>'[1]December - 2022'!BG14</f>
        <v>5700.2399999983609</v>
      </c>
      <c r="AY14" s="456"/>
      <c r="AZ14" s="250">
        <f>'[1]December - 2022'!BM14</f>
        <v>77840000</v>
      </c>
      <c r="BA14" s="161">
        <f>'[1]December - 2022'!BN14</f>
        <v>0</v>
      </c>
      <c r="BB14" s="89">
        <f>'[1]December - 2022'!BN14</f>
        <v>0</v>
      </c>
      <c r="BC14" s="250">
        <f>'[1]December - 2022'!BP14</f>
        <v>80642700</v>
      </c>
      <c r="BD14" s="224">
        <f>'[1]December - 2022'!BQ14</f>
        <v>62700</v>
      </c>
      <c r="BE14" s="89">
        <f>'[1]December - 2022'!BQ14</f>
        <v>62700</v>
      </c>
      <c r="BF14" s="250">
        <f>'[1]December - 2022'!BS14</f>
        <v>74769600</v>
      </c>
      <c r="BG14" s="224">
        <f>'[1]December - 2022'!BT14</f>
        <v>0</v>
      </c>
      <c r="BH14" s="89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'[1]December - 2022'!BV14</f>
        <v>10207430</v>
      </c>
      <c r="BT14" s="166">
        <f>'[1]December - 2022'!BW14</f>
        <v>6450</v>
      </c>
      <c r="BU14" s="363"/>
      <c r="BV14" s="84">
        <f>'[1]December - 2022'!BY14</f>
        <v>0.77</v>
      </c>
      <c r="BW14" s="220">
        <f>'[1]December - 2022'!BZ14</f>
        <v>6.9999999999999951E-2</v>
      </c>
      <c r="BX14" s="84">
        <f>'[1]December - 2022'!BZ14</f>
        <v>6.9999999999999951E-2</v>
      </c>
      <c r="BY14" s="85">
        <f>'[1]December - 2022'!CB14</f>
        <v>64264</v>
      </c>
      <c r="BZ14" s="172">
        <f>'[1]December - 2022'!CC14</f>
        <v>18</v>
      </c>
      <c r="CA14" s="85">
        <f>'[1]December - 2022'!CD14</f>
        <v>55361</v>
      </c>
      <c r="CB14" s="172">
        <f>'[1]December - 2022'!CE14</f>
        <v>19</v>
      </c>
      <c r="CC14" s="85">
        <f>'[1]December - 2022'!CF14</f>
        <v>18727</v>
      </c>
      <c r="CD14" s="172">
        <f>'[1]December - 2022'!CG14</f>
        <v>7</v>
      </c>
      <c r="CE14" s="85">
        <f>'[1]December - 2022'!CH14</f>
        <v>25559</v>
      </c>
      <c r="CF14" s="172">
        <f>'[1]December - 2022'!CI14</f>
        <v>11</v>
      </c>
      <c r="CG14" s="85">
        <f>'[1]December - 2022'!CJ14</f>
        <v>28436</v>
      </c>
      <c r="CH14" s="172">
        <f>'[1]December - 2022'!CK14</f>
        <v>13</v>
      </c>
      <c r="CI14" s="85">
        <f>'[1]December - 2022'!CL14</f>
        <v>62400</v>
      </c>
      <c r="CJ14" s="172">
        <f>'[1]December - 2022'!CM14</f>
        <v>33</v>
      </c>
      <c r="CK14" s="85">
        <f>'[1]December - 2022'!CN14</f>
        <v>267817</v>
      </c>
      <c r="CL14" s="225">
        <f>'[1]December - 2022'!CO14</f>
        <v>71</v>
      </c>
      <c r="CM14" s="85">
        <f>'[1]December - 2022'!CO14</f>
        <v>71</v>
      </c>
      <c r="CN14" s="85">
        <f>'[1]December - 2022'!CQ14</f>
        <v>214688</v>
      </c>
      <c r="CO14" s="225">
        <f>'[1]December - 2022'!CR14</f>
        <v>99</v>
      </c>
      <c r="CP14" s="85">
        <f>'[1]December - 2022'!CR14</f>
        <v>99</v>
      </c>
      <c r="CQ14" s="85">
        <f>'[1]December - 2022'!CT14</f>
        <v>354650</v>
      </c>
      <c r="CR14" s="225">
        <f>'[1]December - 2022'!CU14</f>
        <v>167</v>
      </c>
      <c r="CS14" s="85">
        <f>'[1]December - 2022'!CU14</f>
        <v>167</v>
      </c>
      <c r="CT14" s="85">
        <f>'[1]December - 2022'!CW14</f>
        <v>694269</v>
      </c>
      <c r="CU14" s="172">
        <f>'[1]December - 2022'!CX14</f>
        <v>164</v>
      </c>
      <c r="CV14" s="423"/>
      <c r="CW14" s="234">
        <f>'[1]December - 2022'!CZ14</f>
        <v>8843</v>
      </c>
      <c r="CX14" s="179">
        <f>'[1]December - 2022'!DA14</f>
        <v>5</v>
      </c>
      <c r="CY14" s="235">
        <f>'[1]December - 2022'!DB14</f>
        <v>6005</v>
      </c>
      <c r="CZ14" s="179">
        <f>'[1]December - 2022'!DC14</f>
        <v>5</v>
      </c>
      <c r="DA14" s="235">
        <f>'[1]December - 2022'!DD14</f>
        <v>32085</v>
      </c>
      <c r="DB14" s="179">
        <f>'[1]December - 2022'!DE14</f>
        <v>13</v>
      </c>
      <c r="DC14" s="235">
        <f>'[1]December - 2022'!DF14</f>
        <v>32337</v>
      </c>
      <c r="DD14" s="179">
        <f>'[1]December - 2022'!DG14</f>
        <v>12</v>
      </c>
      <c r="DE14" s="235">
        <f>'[1]December - 2022'!DH14</f>
        <v>21815</v>
      </c>
      <c r="DF14" s="179">
        <f>'[1]December - 2022'!DI14</f>
        <v>10</v>
      </c>
      <c r="DG14" s="235">
        <f>'[1]December - 2022'!DJ14</f>
        <v>24020</v>
      </c>
      <c r="DH14" s="179">
        <f>'[1]December - 2022'!DK14</f>
        <v>6</v>
      </c>
      <c r="DI14" s="235">
        <f>'[1]December - 2022'!DL14</f>
        <v>7065</v>
      </c>
      <c r="DJ14" s="179">
        <f>'[1]December - 2022'!DM14</f>
        <v>9</v>
      </c>
      <c r="DK14" s="235">
        <f>'[1]December - 2022'!DN14</f>
        <v>9733</v>
      </c>
      <c r="DL14" s="179">
        <f>'[1]December - 2022'!DO14</f>
        <v>8</v>
      </c>
      <c r="DM14" s="235">
        <f>'[1]December - 2022'!DP14</f>
        <v>3247</v>
      </c>
      <c r="DN14" s="179">
        <f>'[1]December - 2022'!DQ14</f>
        <v>3</v>
      </c>
      <c r="DO14" s="235">
        <f>'[1]December - 2022'!DR14</f>
        <v>6409</v>
      </c>
      <c r="DP14" s="179">
        <f>'[1]December - 2022'!DS14</f>
        <v>7</v>
      </c>
      <c r="DQ14" s="235">
        <f>'[1]December - 2022'!DT14</f>
        <v>30277</v>
      </c>
      <c r="DR14" s="186">
        <f>'[1]December - 2022'!DU14</f>
        <v>6</v>
      </c>
      <c r="DS14" s="408"/>
      <c r="DT14" s="190">
        <f>'[1]December - 2022'!DW14</f>
        <v>6291.6</v>
      </c>
      <c r="DU14" s="201">
        <f>'[1]December - 2022'!DX14</f>
        <v>10.700000000000728</v>
      </c>
      <c r="DV14" s="87">
        <f>'[1]December - 2022'!DY14</f>
        <v>11264.3</v>
      </c>
      <c r="DW14" s="195">
        <f>'[1]December - 2022'!DZ14</f>
        <v>7.7999999999992724</v>
      </c>
      <c r="DX14" s="87">
        <f>'[1]December - 2022'!EA14</f>
        <v>4779.1000000000004</v>
      </c>
      <c r="DY14" s="195">
        <f>'[1]December - 2022'!EB14</f>
        <v>6.3000000000001819</v>
      </c>
      <c r="DZ14" s="87">
        <f>'[1]December - 2022'!EC14</f>
        <v>5355.3</v>
      </c>
      <c r="EA14" s="195">
        <f>'[1]December - 2022'!ED14</f>
        <v>6.6000000000003638</v>
      </c>
      <c r="EB14" s="87">
        <f>'[1]December - 2022'!EE14</f>
        <v>1125066</v>
      </c>
      <c r="EC14" s="195">
        <f>'[1]December - 2022'!EF14</f>
        <v>562</v>
      </c>
      <c r="ED14" s="87">
        <f>'[1]December - 2022'!EI14</f>
        <v>231311.6</v>
      </c>
      <c r="EE14" s="208">
        <f>'[1]December - 2022'!EJ14</f>
        <v>151.10000000000582</v>
      </c>
      <c r="EF14" s="347"/>
      <c r="EG14" s="214">
        <f>'[1]December - 2022'!EL14</f>
        <v>12130900</v>
      </c>
      <c r="EH14" s="209">
        <f>'[1]December - 2022'!EM14</f>
        <v>4900</v>
      </c>
      <c r="EI14" s="86">
        <f>'[1]December - 2022'!EN14</f>
        <v>932910</v>
      </c>
      <c r="EJ14" s="209">
        <f>'[1]December - 2022'!EO14</f>
        <v>280</v>
      </c>
      <c r="EK14" s="86">
        <f>'[1]December - 2022'!EP14</f>
        <v>7216300</v>
      </c>
      <c r="EL14" s="209">
        <f>'[1]December - 2022'!EQ14</f>
        <v>2300</v>
      </c>
      <c r="EM14" s="86">
        <f>'[1]December - 2022'!ER14</f>
        <v>2496900</v>
      </c>
      <c r="EN14" s="209">
        <f>'[1]December - 2022'!ES14</f>
        <v>600</v>
      </c>
      <c r="EO14" s="86">
        <f>'[1]December - 2022'!ET14</f>
        <v>1275580</v>
      </c>
      <c r="EP14" s="209">
        <f>'[1]December - 2022'!EU14</f>
        <v>750</v>
      </c>
      <c r="EQ14" s="86">
        <f>'[1]December - 2022'!EV14</f>
        <v>16618000</v>
      </c>
      <c r="ER14" s="209">
        <f>'[1]December - 2022'!EW14</f>
        <v>4500</v>
      </c>
      <c r="ES14" s="395"/>
      <c r="ET14" s="256">
        <f>'[1]December - 2022'!EY14</f>
        <v>42055</v>
      </c>
      <c r="EU14" s="253">
        <f>'[1]December - 2022'!EZ14</f>
        <v>16</v>
      </c>
      <c r="EV14" s="257">
        <f>'[1]December - 2022'!FA14</f>
        <v>36757</v>
      </c>
      <c r="EW14" s="253">
        <f>'[1]December - 2022'!FB14</f>
        <v>11</v>
      </c>
      <c r="EX14" s="257">
        <f>'[1]December - 2022'!FC14</f>
        <v>7497</v>
      </c>
      <c r="EY14" s="253">
        <f>'[1]December - 2022'!FD14</f>
        <v>10</v>
      </c>
      <c r="EZ14" s="257">
        <f>'[1]December - 2022'!FE14</f>
        <v>59222</v>
      </c>
      <c r="FA14" s="253">
        <f>'[1]December - 2022'!FF14</f>
        <v>12</v>
      </c>
      <c r="FB14" s="257">
        <f>'[1]December - 2022'!FG14</f>
        <v>49424</v>
      </c>
      <c r="FC14" s="254">
        <f>'[1]December - 2022'!FH14</f>
        <v>33</v>
      </c>
    </row>
    <row r="15" spans="1:159" ht="30" customHeight="1" x14ac:dyDescent="0.25">
      <c r="A15" s="187">
        <v>43836</v>
      </c>
      <c r="B15" s="189">
        <f>'[1]December - 2022'!B15</f>
        <v>0.47</v>
      </c>
      <c r="C15" s="229">
        <f>'[1]December - 2022'!E15</f>
        <v>208681</v>
      </c>
      <c r="D15" s="152">
        <f>'[1]December - 2022'!F15</f>
        <v>677</v>
      </c>
      <c r="E15" s="150">
        <f>'[1]December - 2022'!G15</f>
        <v>728</v>
      </c>
      <c r="F15" s="150">
        <f>'[1]December - 2022'!H15</f>
        <v>240169</v>
      </c>
      <c r="G15" s="152">
        <f>'[1]December - 2022'!I15</f>
        <v>400</v>
      </c>
      <c r="H15" s="150">
        <f>'[1]December - 2022'!J15</f>
        <v>402</v>
      </c>
      <c r="I15" s="150">
        <f>'[1]December - 2022'!K15</f>
        <v>6790</v>
      </c>
      <c r="J15" s="152">
        <f>'[1]December - 2022'!L15</f>
        <v>137</v>
      </c>
      <c r="K15" s="150">
        <f>'[1]December - 2022'!N15</f>
        <v>920512</v>
      </c>
      <c r="L15" s="152">
        <f>'[1]December - 2022'!O15</f>
        <v>260</v>
      </c>
      <c r="M15" s="150">
        <f>'[1]December - 2022'!Q15</f>
        <v>243833</v>
      </c>
      <c r="N15" s="152">
        <f>'[1]December - 2022'!R15</f>
        <v>119</v>
      </c>
      <c r="O15" s="150">
        <f>'[1]December - 2022'!U15</f>
        <v>115932</v>
      </c>
      <c r="P15" s="152">
        <f>'[1]December - 2022'!V15</f>
        <v>116</v>
      </c>
      <c r="Q15" s="150">
        <f>'[1]December - 2022'!W15</f>
        <v>82.790000000000873</v>
      </c>
      <c r="R15" s="150">
        <f>'[1]December - 2022'!X15</f>
        <v>6314</v>
      </c>
      <c r="S15" s="188">
        <f>'[1]December - 2022'!Y15</f>
        <v>8</v>
      </c>
      <c r="T15" s="490"/>
      <c r="U15" s="247">
        <f>'[1]December - 2022'!AE15</f>
        <v>8140917.1199999992</v>
      </c>
      <c r="V15" s="218">
        <f>'[1]December - 2022'!AF15</f>
        <v>2533.4399999985471</v>
      </c>
      <c r="W15" s="88">
        <f>'[1]December - 2022'!AF15</f>
        <v>2533.4399999985471</v>
      </c>
      <c r="X15" s="233">
        <f>'[1]December - 2022'!AH15</f>
        <v>15466017.84</v>
      </c>
      <c r="Y15" s="218">
        <f>'[1]December - 2022'!AI15</f>
        <v>4530.9599999990314</v>
      </c>
      <c r="Z15" s="88">
        <f>'[1]December - 2022'!AI15</f>
        <v>4530.9599999990314</v>
      </c>
      <c r="AA15" s="233">
        <f>'[1]December - 2022'!AK15</f>
        <v>15756924.959999999</v>
      </c>
      <c r="AB15" s="218">
        <f>'[1]December - 2022'!AL15</f>
        <v>876.95999999903142</v>
      </c>
      <c r="AC15" s="88">
        <f>'[1]December - 2022'!AL15</f>
        <v>876.95999999903142</v>
      </c>
      <c r="AD15" s="233">
        <f>'[1]December - 2022'!AN15</f>
        <v>18866430.239999998</v>
      </c>
      <c r="AE15" s="218">
        <f>'[1]December - 2022'!AO15</f>
        <v>10962</v>
      </c>
      <c r="AF15" s="88">
        <f>'[1]December - 2022'!AO15</f>
        <v>10962</v>
      </c>
      <c r="AG15" s="233">
        <f>'[1]December - 2022'!AQ15</f>
        <v>19166642.879999999</v>
      </c>
      <c r="AH15" s="218">
        <f>'[1]December - 2022'!AR15</f>
        <v>0</v>
      </c>
      <c r="AI15" s="88">
        <f>'[1]December - 2022'!AR15</f>
        <v>0</v>
      </c>
      <c r="AJ15" s="233">
        <f>'[1]December - 2022'!AT15</f>
        <v>17554254.48</v>
      </c>
      <c r="AK15" s="218">
        <f>'[1]December - 2022'!AU15</f>
        <v>5456.640000000596</v>
      </c>
      <c r="AL15" s="88">
        <f>'[1]December - 2022'!AU15</f>
        <v>5456.640000000596</v>
      </c>
      <c r="AM15" s="233">
        <f>'[1]December - 2022'!AW15</f>
        <v>14777409.359999999</v>
      </c>
      <c r="AN15" s="218">
        <f>'[1]December - 2022'!AX15</f>
        <v>4141.1999999992549</v>
      </c>
      <c r="AO15" s="88">
        <f>'[1]December - 2022'!AX15</f>
        <v>4141.1999999992549</v>
      </c>
      <c r="AP15" s="233">
        <f>'[1]December - 2022'!AZ15</f>
        <v>14299563.6</v>
      </c>
      <c r="AQ15" s="218">
        <f>'[1]December - 2022'!BA15</f>
        <v>4433.519999999553</v>
      </c>
      <c r="AR15" s="88">
        <f>'[1]December - 2022'!BA15</f>
        <v>4433.519999999553</v>
      </c>
      <c r="AS15" s="233">
        <f>'[1]December - 2022'!BC15</f>
        <v>11173298.640000001</v>
      </c>
      <c r="AT15" s="218">
        <f>'[1]December - 2022'!BD15</f>
        <v>3312.9600000008941</v>
      </c>
      <c r="AU15" s="88">
        <f>'[1]December - 2022'!BD15</f>
        <v>3312.9600000008941</v>
      </c>
      <c r="AV15" s="233">
        <f>'[1]December - 2022'!BF15</f>
        <v>17689744.800000001</v>
      </c>
      <c r="AW15" s="230">
        <f>'[1]December - 2022'!BG15</f>
        <v>5554.0800000019372</v>
      </c>
      <c r="AX15" s="231">
        <f>'[1]December - 2022'!BG15</f>
        <v>5554.0800000019372</v>
      </c>
      <c r="AY15" s="456"/>
      <c r="AZ15" s="250">
        <f>'[1]December - 2022'!BM15</f>
        <v>77840000</v>
      </c>
      <c r="BA15" s="161">
        <f>'[1]December - 2022'!BN15</f>
        <v>0</v>
      </c>
      <c r="BB15" s="89">
        <f>'[1]December - 2022'!BN15</f>
        <v>0</v>
      </c>
      <c r="BC15" s="250">
        <f>'[1]December - 2022'!BP15</f>
        <v>80706400</v>
      </c>
      <c r="BD15" s="224">
        <f>'[1]December - 2022'!BQ15</f>
        <v>63700</v>
      </c>
      <c r="BE15" s="89">
        <f>'[1]December - 2022'!BQ15</f>
        <v>63700</v>
      </c>
      <c r="BF15" s="250">
        <f>'[1]December - 2022'!BS15</f>
        <v>74769600</v>
      </c>
      <c r="BG15" s="224">
        <f>'[1]December - 2022'!BT15</f>
        <v>0</v>
      </c>
      <c r="BH15" s="89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'[1]December - 2022'!BV15</f>
        <v>10214370</v>
      </c>
      <c r="BT15" s="166">
        <f>'[1]December - 2022'!BW15</f>
        <v>6940</v>
      </c>
      <c r="BU15" s="363"/>
      <c r="BV15" s="84">
        <f>'[1]December - 2022'!BY15</f>
        <v>0.69</v>
      </c>
      <c r="BW15" s="220">
        <f>'[1]December - 2022'!BZ15</f>
        <v>8.0000000000000071E-2</v>
      </c>
      <c r="BX15" s="84">
        <f>'[1]December - 2022'!BZ15</f>
        <v>8.0000000000000071E-2</v>
      </c>
      <c r="BY15" s="85">
        <f>'[1]December - 2022'!CB15</f>
        <v>64283</v>
      </c>
      <c r="BZ15" s="172">
        <f>'[1]December - 2022'!CC15</f>
        <v>19</v>
      </c>
      <c r="CA15" s="85">
        <f>'[1]December - 2022'!CD15</f>
        <v>55379</v>
      </c>
      <c r="CB15" s="172">
        <f>'[1]December - 2022'!CE15</f>
        <v>18</v>
      </c>
      <c r="CC15" s="85">
        <f>'[1]December - 2022'!CF15</f>
        <v>18734</v>
      </c>
      <c r="CD15" s="172">
        <f>'[1]December - 2022'!CG15</f>
        <v>7</v>
      </c>
      <c r="CE15" s="85">
        <f>'[1]December - 2022'!CH15</f>
        <v>25570</v>
      </c>
      <c r="CF15" s="172">
        <f>'[1]December - 2022'!CI15</f>
        <v>11</v>
      </c>
      <c r="CG15" s="85">
        <f>'[1]December - 2022'!CJ15</f>
        <v>28454</v>
      </c>
      <c r="CH15" s="172">
        <f>'[1]December - 2022'!CK15</f>
        <v>18</v>
      </c>
      <c r="CI15" s="85">
        <f>'[1]December - 2022'!CL15</f>
        <v>62429</v>
      </c>
      <c r="CJ15" s="172">
        <f>'[1]December - 2022'!CM15</f>
        <v>29</v>
      </c>
      <c r="CK15" s="85">
        <f>'[1]December - 2022'!CN15</f>
        <v>267888</v>
      </c>
      <c r="CL15" s="225">
        <f>'[1]December - 2022'!CO15</f>
        <v>71</v>
      </c>
      <c r="CM15" s="85">
        <f>'[1]December - 2022'!CO15</f>
        <v>71</v>
      </c>
      <c r="CN15" s="85">
        <f>'[1]December - 2022'!CQ15</f>
        <v>214790</v>
      </c>
      <c r="CO15" s="225">
        <f>'[1]December - 2022'!CR15</f>
        <v>102</v>
      </c>
      <c r="CP15" s="85">
        <f>'[1]December - 2022'!CR15</f>
        <v>102</v>
      </c>
      <c r="CQ15" s="85">
        <f>'[1]December - 2022'!CT15</f>
        <v>354809</v>
      </c>
      <c r="CR15" s="225">
        <f>'[1]December - 2022'!CU15</f>
        <v>159</v>
      </c>
      <c r="CS15" s="85">
        <f>'[1]December - 2022'!CU15</f>
        <v>159</v>
      </c>
      <c r="CT15" s="85">
        <f>'[1]December - 2022'!CW15</f>
        <v>694434</v>
      </c>
      <c r="CU15" s="172">
        <f>'[1]December - 2022'!CX15</f>
        <v>165</v>
      </c>
      <c r="CV15" s="423"/>
      <c r="CW15" s="234">
        <f>'[1]December - 2022'!CZ15</f>
        <v>8849</v>
      </c>
      <c r="CX15" s="179">
        <f>'[1]December - 2022'!DA15</f>
        <v>6</v>
      </c>
      <c r="CY15" s="235">
        <f>'[1]December - 2022'!DB15</f>
        <v>6007</v>
      </c>
      <c r="CZ15" s="179">
        <f>'[1]December - 2022'!DC15</f>
        <v>2</v>
      </c>
      <c r="DA15" s="235">
        <f>'[1]December - 2022'!DD15</f>
        <v>32099</v>
      </c>
      <c r="DB15" s="179">
        <f>'[1]December - 2022'!DE15</f>
        <v>14</v>
      </c>
      <c r="DC15" s="235">
        <f>'[1]December - 2022'!DF15</f>
        <v>32351</v>
      </c>
      <c r="DD15" s="179">
        <f>'[1]December - 2022'!DG15</f>
        <v>14</v>
      </c>
      <c r="DE15" s="235">
        <f>'[1]December - 2022'!DH15</f>
        <v>21825</v>
      </c>
      <c r="DF15" s="179">
        <f>'[1]December - 2022'!DI15</f>
        <v>10</v>
      </c>
      <c r="DG15" s="235">
        <f>'[1]December - 2022'!DJ15</f>
        <v>24025</v>
      </c>
      <c r="DH15" s="179">
        <f>'[1]December - 2022'!DK15</f>
        <v>5</v>
      </c>
      <c r="DI15" s="235">
        <f>'[1]December - 2022'!DL15</f>
        <v>7074</v>
      </c>
      <c r="DJ15" s="179">
        <f>'[1]December - 2022'!DM15</f>
        <v>9</v>
      </c>
      <c r="DK15" s="235">
        <f>'[1]December - 2022'!DN15</f>
        <v>9741</v>
      </c>
      <c r="DL15" s="179">
        <f>'[1]December - 2022'!DO15</f>
        <v>8</v>
      </c>
      <c r="DM15" s="235">
        <f>'[1]December - 2022'!DP15</f>
        <v>3250</v>
      </c>
      <c r="DN15" s="179">
        <f>'[1]December - 2022'!DQ15</f>
        <v>3</v>
      </c>
      <c r="DO15" s="235">
        <f>'[1]December - 2022'!DR15</f>
        <v>6417</v>
      </c>
      <c r="DP15" s="179">
        <f>'[1]December - 2022'!DS15</f>
        <v>8</v>
      </c>
      <c r="DQ15" s="235">
        <f>'[1]December - 2022'!DT15</f>
        <v>30284</v>
      </c>
      <c r="DR15" s="186">
        <f>'[1]December - 2022'!DU15</f>
        <v>7</v>
      </c>
      <c r="DS15" s="408"/>
      <c r="DT15" s="190">
        <f>'[1]December - 2022'!DW15</f>
        <v>6302.5</v>
      </c>
      <c r="DU15" s="201">
        <f>'[1]December - 2022'!DX15</f>
        <v>10.899999999999636</v>
      </c>
      <c r="DV15" s="87">
        <f>'[1]December - 2022'!DY15</f>
        <v>11271.6</v>
      </c>
      <c r="DW15" s="195">
        <f>'[1]December - 2022'!DZ15</f>
        <v>7.3000000000010914</v>
      </c>
      <c r="DX15" s="87">
        <f>'[1]December - 2022'!EA15</f>
        <v>4785.5</v>
      </c>
      <c r="DY15" s="195">
        <f>'[1]December - 2022'!EB15</f>
        <v>6.3999999999996362</v>
      </c>
      <c r="DZ15" s="87">
        <f>'[1]December - 2022'!EC15</f>
        <v>5361.7</v>
      </c>
      <c r="EA15" s="195">
        <f>'[1]December - 2022'!ED15</f>
        <v>6.3999999999996362</v>
      </c>
      <c r="EB15" s="87">
        <f>'[1]December - 2022'!EE15</f>
        <v>1125627</v>
      </c>
      <c r="EC15" s="195">
        <f>'[1]December - 2022'!EF15</f>
        <v>561</v>
      </c>
      <c r="ED15" s="87">
        <f>'[1]December - 2022'!EI15</f>
        <v>231462.7</v>
      </c>
      <c r="EE15" s="208">
        <f>'[1]December - 2022'!EJ15</f>
        <v>151.10000000000582</v>
      </c>
      <c r="EF15" s="347"/>
      <c r="EG15" s="214">
        <f>'[1]December - 2022'!EL15</f>
        <v>12135200</v>
      </c>
      <c r="EH15" s="209">
        <f>'[1]December - 2022'!EM15</f>
        <v>4300</v>
      </c>
      <c r="EI15" s="86">
        <f>'[1]December - 2022'!EN15</f>
        <v>933180</v>
      </c>
      <c r="EJ15" s="209">
        <f>'[1]December - 2022'!EO15</f>
        <v>270</v>
      </c>
      <c r="EK15" s="86">
        <f>'[1]December - 2022'!EP15</f>
        <v>7218500</v>
      </c>
      <c r="EL15" s="209">
        <f>'[1]December - 2022'!EQ15</f>
        <v>2200</v>
      </c>
      <c r="EM15" s="86">
        <f>'[1]December - 2022'!ER15</f>
        <v>2497400</v>
      </c>
      <c r="EN15" s="209">
        <f>'[1]December - 2022'!ES15</f>
        <v>500</v>
      </c>
      <c r="EO15" s="86">
        <f>'[1]December - 2022'!ET15</f>
        <v>1276300</v>
      </c>
      <c r="EP15" s="209">
        <f>'[1]December - 2022'!EU15</f>
        <v>720</v>
      </c>
      <c r="EQ15" s="86">
        <f>'[1]December - 2022'!EV15</f>
        <v>16622300</v>
      </c>
      <c r="ER15" s="209">
        <f>'[1]December - 2022'!EW15</f>
        <v>4300</v>
      </c>
      <c r="ES15" s="395"/>
      <c r="ET15" s="256">
        <f>'[1]December - 2022'!EY15</f>
        <v>42071</v>
      </c>
      <c r="EU15" s="253">
        <f>'[1]December - 2022'!EZ15</f>
        <v>16</v>
      </c>
      <c r="EV15" s="257">
        <f>'[1]December - 2022'!FA15</f>
        <v>36767</v>
      </c>
      <c r="EW15" s="253">
        <f>'[1]December - 2022'!FB15</f>
        <v>10</v>
      </c>
      <c r="EX15" s="257">
        <f>'[1]December - 2022'!FC15</f>
        <v>7504</v>
      </c>
      <c r="EY15" s="253">
        <f>'[1]December - 2022'!FD15</f>
        <v>7</v>
      </c>
      <c r="EZ15" s="257">
        <f>'[1]December - 2022'!FE15</f>
        <v>59232</v>
      </c>
      <c r="FA15" s="253">
        <f>'[1]December - 2022'!FF15</f>
        <v>10</v>
      </c>
      <c r="FB15" s="257">
        <f>'[1]December - 2022'!FG15</f>
        <v>49453</v>
      </c>
      <c r="FC15" s="254">
        <f>'[1]December - 2022'!FH15</f>
        <v>29</v>
      </c>
    </row>
    <row r="16" spans="1:159" ht="30" customHeight="1" x14ac:dyDescent="0.25">
      <c r="A16" s="187">
        <v>43837</v>
      </c>
      <c r="B16" s="189">
        <f>'[1]December - 2022'!B16</f>
        <v>0.55000000000000004</v>
      </c>
      <c r="C16" s="229">
        <f>'[1]December - 2022'!E16</f>
        <v>209352</v>
      </c>
      <c r="D16" s="152">
        <f>'[1]December - 2022'!F16</f>
        <v>671</v>
      </c>
      <c r="E16" s="150">
        <f>'[1]December - 2022'!G16</f>
        <v>705</v>
      </c>
      <c r="F16" s="150">
        <f>'[1]December - 2022'!H16</f>
        <v>240563</v>
      </c>
      <c r="G16" s="152">
        <f>'[1]December - 2022'!I16</f>
        <v>394</v>
      </c>
      <c r="H16" s="150">
        <f>'[1]December - 2022'!J16</f>
        <v>427</v>
      </c>
      <c r="I16" s="150">
        <f>'[1]December - 2022'!K16</f>
        <v>6923</v>
      </c>
      <c r="J16" s="152">
        <f>'[1]December - 2022'!L16</f>
        <v>133</v>
      </c>
      <c r="K16" s="150">
        <f>'[1]December - 2022'!N16</f>
        <v>920763</v>
      </c>
      <c r="L16" s="152">
        <f>'[1]December - 2022'!O16</f>
        <v>251</v>
      </c>
      <c r="M16" s="150">
        <f>'[1]December - 2022'!Q16</f>
        <v>243950</v>
      </c>
      <c r="N16" s="152">
        <f>'[1]December - 2022'!R16</f>
        <v>117</v>
      </c>
      <c r="O16" s="150">
        <f>'[1]December - 2022'!U16</f>
        <v>116043</v>
      </c>
      <c r="P16" s="152">
        <f>'[1]December - 2022'!V16</f>
        <v>111</v>
      </c>
      <c r="Q16" s="150">
        <f>'[1]December - 2022'!W16</f>
        <v>83.099999999998545</v>
      </c>
      <c r="R16" s="150">
        <f>'[1]December - 2022'!X16</f>
        <v>6327</v>
      </c>
      <c r="S16" s="188">
        <f>'[1]December - 2022'!Y16</f>
        <v>13</v>
      </c>
      <c r="T16" s="490"/>
      <c r="U16" s="247">
        <f>'[1]December - 2022'!AE16</f>
        <v>8143548</v>
      </c>
      <c r="V16" s="218">
        <f>'[1]December - 2022'!AF16</f>
        <v>2630.8800000008196</v>
      </c>
      <c r="W16" s="88">
        <f>'[1]December - 2022'!AF16</f>
        <v>2630.8800000008196</v>
      </c>
      <c r="X16" s="233">
        <f>'[1]December - 2022'!AH16</f>
        <v>15470548.799999999</v>
      </c>
      <c r="Y16" s="218">
        <f>'[1]December - 2022'!AI16</f>
        <v>4530.9599999990314</v>
      </c>
      <c r="Z16" s="88">
        <f>'[1]December - 2022'!AI16</f>
        <v>4530.9599999990314</v>
      </c>
      <c r="AA16" s="233">
        <f>'[1]December - 2022'!AK16</f>
        <v>15757801.919999998</v>
      </c>
      <c r="AB16" s="218">
        <f>'[1]December - 2022'!AL16</f>
        <v>876.95999999903142</v>
      </c>
      <c r="AC16" s="88">
        <f>'[1]December - 2022'!AL16</f>
        <v>876.95999999903142</v>
      </c>
      <c r="AD16" s="233">
        <f>'[1]December - 2022'!AN16</f>
        <v>18877099.919999998</v>
      </c>
      <c r="AE16" s="218">
        <f>'[1]December - 2022'!AO16</f>
        <v>10669.679999999702</v>
      </c>
      <c r="AF16" s="88">
        <f>'[1]December - 2022'!AO16</f>
        <v>10669.679999999702</v>
      </c>
      <c r="AG16" s="233">
        <f>'[1]December - 2022'!AQ16</f>
        <v>19166642.879999999</v>
      </c>
      <c r="AH16" s="218">
        <f>'[1]December - 2022'!AR16</f>
        <v>0</v>
      </c>
      <c r="AI16" s="88">
        <f>'[1]December - 2022'!AR16</f>
        <v>0</v>
      </c>
      <c r="AJ16" s="233">
        <f>'[1]December - 2022'!AT16</f>
        <v>17559857.280000001</v>
      </c>
      <c r="AK16" s="218">
        <f>'[1]December - 2022'!AU16</f>
        <v>5602.8000000007451</v>
      </c>
      <c r="AL16" s="88">
        <f>'[1]December - 2022'!AU16</f>
        <v>5602.8000000007451</v>
      </c>
      <c r="AM16" s="233">
        <f>'[1]December - 2022'!AW16</f>
        <v>14781794.16</v>
      </c>
      <c r="AN16" s="218">
        <f>'[1]December - 2022'!AX16</f>
        <v>4384.8000000007451</v>
      </c>
      <c r="AO16" s="88">
        <f>'[1]December - 2022'!AX16</f>
        <v>4384.8000000007451</v>
      </c>
      <c r="AP16" s="233">
        <f>'[1]December - 2022'!AZ16</f>
        <v>14303899.68</v>
      </c>
      <c r="AQ16" s="218">
        <f>'[1]December - 2022'!BA16</f>
        <v>4336.0800000000745</v>
      </c>
      <c r="AR16" s="88">
        <f>'[1]December - 2022'!BA16</f>
        <v>4336.0800000000745</v>
      </c>
      <c r="AS16" s="233">
        <f>'[1]December - 2022'!BC16</f>
        <v>11176562.880000001</v>
      </c>
      <c r="AT16" s="218">
        <f>'[1]December - 2022'!BD16</f>
        <v>3264.2400000002235</v>
      </c>
      <c r="AU16" s="88">
        <f>'[1]December - 2022'!BD16</f>
        <v>3264.2400000002235</v>
      </c>
      <c r="AV16" s="233">
        <f>'[1]December - 2022'!BF16</f>
        <v>17695445.039999999</v>
      </c>
      <c r="AW16" s="230">
        <f>'[1]December - 2022'!BG16</f>
        <v>5700.2399999983609</v>
      </c>
      <c r="AX16" s="231">
        <f>'[1]December - 2022'!BG16</f>
        <v>5700.2399999983609</v>
      </c>
      <c r="AY16" s="456"/>
      <c r="AZ16" s="250">
        <f>'[1]December - 2022'!BM16</f>
        <v>77840000</v>
      </c>
      <c r="BA16" s="161">
        <f>'[1]December - 2022'!BN16</f>
        <v>0</v>
      </c>
      <c r="BB16" s="89">
        <f>'[1]December - 2022'!BN16</f>
        <v>0</v>
      </c>
      <c r="BC16" s="250">
        <f>'[1]December - 2022'!BP16</f>
        <v>80764100</v>
      </c>
      <c r="BD16" s="224">
        <f>'[1]December - 2022'!BQ16</f>
        <v>57700</v>
      </c>
      <c r="BE16" s="89">
        <f>'[1]December - 2022'!BQ16</f>
        <v>57700</v>
      </c>
      <c r="BF16" s="250">
        <f>'[1]December - 2022'!BS16</f>
        <v>74769600</v>
      </c>
      <c r="BG16" s="224">
        <f>'[1]December - 2022'!BT16</f>
        <v>0</v>
      </c>
      <c r="BH16" s="89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'[1]December - 2022'!BV16</f>
        <v>10219540</v>
      </c>
      <c r="BT16" s="166">
        <f>'[1]December - 2022'!BW16</f>
        <v>5170</v>
      </c>
      <c r="BU16" s="363"/>
      <c r="BV16" s="84">
        <f>'[1]December - 2022'!BY16</f>
        <v>0.63</v>
      </c>
      <c r="BW16" s="220">
        <f>'[1]December - 2022'!BZ16</f>
        <v>5.9999999999999942E-2</v>
      </c>
      <c r="BX16" s="84">
        <f>'[1]December - 2022'!BZ16</f>
        <v>5.9999999999999942E-2</v>
      </c>
      <c r="BY16" s="85">
        <f>'[1]December - 2022'!CB16</f>
        <v>64303</v>
      </c>
      <c r="BZ16" s="172">
        <f>'[1]December - 2022'!CC16</f>
        <v>20</v>
      </c>
      <c r="CA16" s="85">
        <f>'[1]December - 2022'!CD16</f>
        <v>55398</v>
      </c>
      <c r="CB16" s="172">
        <f>'[1]December - 2022'!CE16</f>
        <v>19</v>
      </c>
      <c r="CC16" s="85">
        <f>'[1]December - 2022'!CF16</f>
        <v>18741</v>
      </c>
      <c r="CD16" s="172">
        <f>'[1]December - 2022'!CG16</f>
        <v>7</v>
      </c>
      <c r="CE16" s="85">
        <f>'[1]December - 2022'!CH16</f>
        <v>25579</v>
      </c>
      <c r="CF16" s="172">
        <f>'[1]December - 2022'!CI16</f>
        <v>9</v>
      </c>
      <c r="CG16" s="85">
        <f>'[1]December - 2022'!CJ16</f>
        <v>28468</v>
      </c>
      <c r="CH16" s="172">
        <f>'[1]December - 2022'!CK16</f>
        <v>14</v>
      </c>
      <c r="CI16" s="85">
        <f>'[1]December - 2022'!CL16</f>
        <v>62461</v>
      </c>
      <c r="CJ16" s="172">
        <f>'[1]December - 2022'!CM16</f>
        <v>32</v>
      </c>
      <c r="CK16" s="85">
        <f>'[1]December - 2022'!CN16</f>
        <v>267958</v>
      </c>
      <c r="CL16" s="225">
        <f>'[1]December - 2022'!CO16</f>
        <v>70</v>
      </c>
      <c r="CM16" s="85">
        <f>'[1]December - 2022'!CO16</f>
        <v>70</v>
      </c>
      <c r="CN16" s="85">
        <f>'[1]December - 2022'!CQ16</f>
        <v>214890</v>
      </c>
      <c r="CO16" s="225">
        <f>'[1]December - 2022'!CR16</f>
        <v>100</v>
      </c>
      <c r="CP16" s="85">
        <f>'[1]December - 2022'!CR16</f>
        <v>100</v>
      </c>
      <c r="CQ16" s="85">
        <f>'[1]December - 2022'!CT16</f>
        <v>354998</v>
      </c>
      <c r="CR16" s="225">
        <f>'[1]December - 2022'!CU16</f>
        <v>189</v>
      </c>
      <c r="CS16" s="85">
        <f>'[1]December - 2022'!CU16</f>
        <v>189</v>
      </c>
      <c r="CT16" s="85">
        <f>'[1]December - 2022'!CW16</f>
        <v>694598</v>
      </c>
      <c r="CU16" s="172">
        <f>'[1]December - 2022'!CX16</f>
        <v>164</v>
      </c>
      <c r="CV16" s="423"/>
      <c r="CW16" s="234">
        <f>'[1]December - 2022'!CZ16</f>
        <v>8858</v>
      </c>
      <c r="CX16" s="179">
        <f>'[1]December - 2022'!DA16</f>
        <v>9</v>
      </c>
      <c r="CY16" s="235">
        <f>'[1]December - 2022'!DB16</f>
        <v>6014</v>
      </c>
      <c r="CZ16" s="179">
        <f>'[1]December - 2022'!DC16</f>
        <v>7</v>
      </c>
      <c r="DA16" s="235">
        <f>'[1]December - 2022'!DD16</f>
        <v>32114</v>
      </c>
      <c r="DB16" s="179">
        <f>'[1]December - 2022'!DE16</f>
        <v>15</v>
      </c>
      <c r="DC16" s="235">
        <f>'[1]December - 2022'!DF16</f>
        <v>32363</v>
      </c>
      <c r="DD16" s="179">
        <f>'[1]December - 2022'!DG16</f>
        <v>12</v>
      </c>
      <c r="DE16" s="235">
        <f>'[1]December - 2022'!DH16</f>
        <v>21835</v>
      </c>
      <c r="DF16" s="179">
        <f>'[1]December - 2022'!DI16</f>
        <v>10</v>
      </c>
      <c r="DG16" s="235">
        <f>'[1]December - 2022'!DJ16</f>
        <v>24031</v>
      </c>
      <c r="DH16" s="179">
        <f>'[1]December - 2022'!DK16</f>
        <v>6</v>
      </c>
      <c r="DI16" s="235">
        <f>'[1]December - 2022'!DL16</f>
        <v>7082</v>
      </c>
      <c r="DJ16" s="179">
        <f>'[1]December - 2022'!DM16</f>
        <v>8</v>
      </c>
      <c r="DK16" s="235">
        <f>'[1]December - 2022'!DN16</f>
        <v>9747</v>
      </c>
      <c r="DL16" s="179">
        <f>'[1]December - 2022'!DO16</f>
        <v>6</v>
      </c>
      <c r="DM16" s="235">
        <f>'[1]December - 2022'!DP16</f>
        <v>3254</v>
      </c>
      <c r="DN16" s="179">
        <f>'[1]December - 2022'!DQ16</f>
        <v>4</v>
      </c>
      <c r="DO16" s="235">
        <f>'[1]December - 2022'!DR16</f>
        <v>6425</v>
      </c>
      <c r="DP16" s="179">
        <f>'[1]December - 2022'!DS16</f>
        <v>8</v>
      </c>
      <c r="DQ16" s="235">
        <f>'[1]December - 2022'!DT16</f>
        <v>30290</v>
      </c>
      <c r="DR16" s="186">
        <f>'[1]December - 2022'!DU16</f>
        <v>6</v>
      </c>
      <c r="DS16" s="408"/>
      <c r="DT16" s="190">
        <f>'[1]December - 2022'!DW16</f>
        <v>6314</v>
      </c>
      <c r="DU16" s="201">
        <f>'[1]December - 2022'!DX16</f>
        <v>11.5</v>
      </c>
      <c r="DV16" s="87">
        <f>'[1]December - 2022'!DY16</f>
        <v>11279.5</v>
      </c>
      <c r="DW16" s="195">
        <f>'[1]December - 2022'!DZ16</f>
        <v>7.8999999999996362</v>
      </c>
      <c r="DX16" s="87">
        <f>'[1]December - 2022'!EA16</f>
        <v>4792</v>
      </c>
      <c r="DY16" s="195">
        <f>'[1]December - 2022'!EB16</f>
        <v>6.5</v>
      </c>
      <c r="DZ16" s="87">
        <f>'[1]December - 2022'!EC16</f>
        <v>5367.4</v>
      </c>
      <c r="EA16" s="195">
        <f>'[1]December - 2022'!ED16</f>
        <v>5.6999999999998181</v>
      </c>
      <c r="EB16" s="87">
        <f>'[1]December - 2022'!EE16</f>
        <v>1126167</v>
      </c>
      <c r="EC16" s="195">
        <f>'[1]December - 2022'!EF16</f>
        <v>540</v>
      </c>
      <c r="ED16" s="87">
        <f>'[1]December - 2022'!EI16</f>
        <v>231616</v>
      </c>
      <c r="EE16" s="208">
        <f>'[1]December - 2022'!EJ16</f>
        <v>153.29999999998836</v>
      </c>
      <c r="EF16" s="347"/>
      <c r="EG16" s="214">
        <f>'[1]December - 2022'!EL16</f>
        <v>12139300</v>
      </c>
      <c r="EH16" s="209">
        <f>'[1]December - 2022'!EM16</f>
        <v>4100</v>
      </c>
      <c r="EI16" s="86">
        <f>'[1]December - 2022'!EN16</f>
        <v>933450</v>
      </c>
      <c r="EJ16" s="209">
        <f>'[1]December - 2022'!EO16</f>
        <v>270</v>
      </c>
      <c r="EK16" s="86">
        <f>'[1]December - 2022'!EP16</f>
        <v>7220500</v>
      </c>
      <c r="EL16" s="209">
        <f>'[1]December - 2022'!EQ16</f>
        <v>2000</v>
      </c>
      <c r="EM16" s="86">
        <f>'[1]December - 2022'!ER16</f>
        <v>2497700</v>
      </c>
      <c r="EN16" s="209">
        <f>'[1]December - 2022'!ES16</f>
        <v>300</v>
      </c>
      <c r="EO16" s="86">
        <f>'[1]December - 2022'!ET16</f>
        <v>1277020</v>
      </c>
      <c r="EP16" s="209">
        <f>'[1]December - 2022'!EU16</f>
        <v>720</v>
      </c>
      <c r="EQ16" s="86">
        <f>'[1]December - 2022'!EV16</f>
        <v>16627000</v>
      </c>
      <c r="ER16" s="209">
        <f>'[1]December - 2022'!EW16</f>
        <v>4700</v>
      </c>
      <c r="ES16" s="395"/>
      <c r="ET16" s="256">
        <f>'[1]December - 2022'!EY16</f>
        <v>42086</v>
      </c>
      <c r="EU16" s="253">
        <f>'[1]December - 2022'!EZ16</f>
        <v>15</v>
      </c>
      <c r="EV16" s="257">
        <f>'[1]December - 2022'!FA16</f>
        <v>36779</v>
      </c>
      <c r="EW16" s="253">
        <f>'[1]December - 2022'!FB16</f>
        <v>12</v>
      </c>
      <c r="EX16" s="257">
        <f>'[1]December - 2022'!FC16</f>
        <v>7512</v>
      </c>
      <c r="EY16" s="253">
        <f>'[1]December - 2022'!FD16</f>
        <v>8</v>
      </c>
      <c r="EZ16" s="257">
        <f>'[1]December - 2022'!FE16</f>
        <v>59247</v>
      </c>
      <c r="FA16" s="253">
        <f>'[1]December - 2022'!FF16</f>
        <v>15</v>
      </c>
      <c r="FB16" s="257">
        <f>'[1]December - 2022'!FG16</f>
        <v>49485</v>
      </c>
      <c r="FC16" s="254">
        <f>'[1]December - 2022'!FH16</f>
        <v>32</v>
      </c>
    </row>
    <row r="17" spans="1:159" ht="30" customHeight="1" x14ac:dyDescent="0.25">
      <c r="A17" s="187">
        <v>43838</v>
      </c>
      <c r="B17" s="189">
        <f>'[1]December - 2022'!B17</f>
        <v>0.61</v>
      </c>
      <c r="C17" s="229">
        <f>'[1]December - 2022'!E17</f>
        <v>210127</v>
      </c>
      <c r="D17" s="152">
        <f>'[1]December - 2022'!F17</f>
        <v>775</v>
      </c>
      <c r="E17" s="150">
        <f>'[1]December - 2022'!G17</f>
        <v>760</v>
      </c>
      <c r="F17" s="150">
        <f>'[1]December - 2022'!H17</f>
        <v>241001</v>
      </c>
      <c r="G17" s="152">
        <f>'[1]December - 2022'!I17</f>
        <v>438</v>
      </c>
      <c r="H17" s="150">
        <f>'[1]December - 2022'!J17</f>
        <v>433</v>
      </c>
      <c r="I17" s="150">
        <f>'[1]December - 2022'!K17</f>
        <v>7072</v>
      </c>
      <c r="J17" s="152">
        <f>'[1]December - 2022'!L17</f>
        <v>149</v>
      </c>
      <c r="K17" s="150">
        <f>'[1]December - 2022'!N17</f>
        <v>921036</v>
      </c>
      <c r="L17" s="152">
        <f>'[1]December - 2022'!O17</f>
        <v>273</v>
      </c>
      <c r="M17" s="150">
        <f>'[1]December - 2022'!Q17</f>
        <v>244102</v>
      </c>
      <c r="N17" s="152">
        <f>'[1]December - 2022'!R17</f>
        <v>152</v>
      </c>
      <c r="O17" s="150">
        <f>'[1]December - 2022'!U17</f>
        <v>116162</v>
      </c>
      <c r="P17" s="152">
        <f>'[1]December - 2022'!V17</f>
        <v>119</v>
      </c>
      <c r="Q17" s="150">
        <f>'[1]December - 2022'!W17</f>
        <v>85.430000000000291</v>
      </c>
      <c r="R17" s="150">
        <f>'[1]December - 2022'!X17</f>
        <v>6337</v>
      </c>
      <c r="S17" s="188">
        <f>'[1]December - 2022'!Y17</f>
        <v>10</v>
      </c>
      <c r="T17" s="490"/>
      <c r="U17" s="247">
        <f>'[1]December - 2022'!AE17</f>
        <v>8146471.2000000002</v>
      </c>
      <c r="V17" s="218">
        <f>'[1]December - 2022'!AF17</f>
        <v>2923.2000000001863</v>
      </c>
      <c r="W17" s="88">
        <f>'[1]December - 2022'!AF17</f>
        <v>2923.2000000001863</v>
      </c>
      <c r="X17" s="233">
        <f>'[1]December - 2022'!AH17</f>
        <v>15475518.24</v>
      </c>
      <c r="Y17" s="218">
        <f>'[1]December - 2022'!AI17</f>
        <v>4969.4400000013411</v>
      </c>
      <c r="Z17" s="88">
        <f>'[1]December - 2022'!AI17</f>
        <v>4969.4400000013411</v>
      </c>
      <c r="AA17" s="233">
        <f>'[1]December - 2022'!AK17</f>
        <v>15759068.640000001</v>
      </c>
      <c r="AB17" s="218">
        <f>'[1]December - 2022'!AL17</f>
        <v>1266.7200000025332</v>
      </c>
      <c r="AC17" s="88">
        <f>'[1]December - 2022'!AL17</f>
        <v>1266.7200000025332</v>
      </c>
      <c r="AD17" s="233">
        <f>'[1]December - 2022'!AN17</f>
        <v>18889377.359999999</v>
      </c>
      <c r="AE17" s="218">
        <f>'[1]December - 2022'!AO17</f>
        <v>12277.440000001341</v>
      </c>
      <c r="AF17" s="88">
        <f>'[1]December - 2022'!AO17</f>
        <v>12277.440000001341</v>
      </c>
      <c r="AG17" s="233">
        <f>'[1]December - 2022'!AQ17</f>
        <v>19166935.199999999</v>
      </c>
      <c r="AH17" s="218">
        <f>'[1]December - 2022'!AR17</f>
        <v>292.32000000029802</v>
      </c>
      <c r="AI17" s="88">
        <f>'[1]December - 2022'!AR17</f>
        <v>292.32000000029802</v>
      </c>
      <c r="AJ17" s="233">
        <f>'[1]December - 2022'!AT17</f>
        <v>17566044.719999999</v>
      </c>
      <c r="AK17" s="218">
        <f>'[1]December - 2022'!AU17</f>
        <v>6187.4399999976158</v>
      </c>
      <c r="AL17" s="88">
        <f>'[1]December - 2022'!AU17</f>
        <v>6187.4399999976158</v>
      </c>
      <c r="AM17" s="233">
        <f>'[1]December - 2022'!AW17</f>
        <v>14786568.719999999</v>
      </c>
      <c r="AN17" s="218">
        <f>'[1]December - 2022'!AX17</f>
        <v>4774.5599999986589</v>
      </c>
      <c r="AO17" s="88">
        <f>'[1]December - 2022'!AX17</f>
        <v>4774.5599999986589</v>
      </c>
      <c r="AP17" s="233">
        <f>'[1]December - 2022'!AZ17</f>
        <v>14308771.68</v>
      </c>
      <c r="AQ17" s="218">
        <f>'[1]December - 2022'!BA17</f>
        <v>4872</v>
      </c>
      <c r="AR17" s="88">
        <f>'[1]December - 2022'!BA17</f>
        <v>4872</v>
      </c>
      <c r="AS17" s="233">
        <f>'[1]December - 2022'!BC17</f>
        <v>11180168.16</v>
      </c>
      <c r="AT17" s="218">
        <f>'[1]December - 2022'!BD17</f>
        <v>3605.2799999993294</v>
      </c>
      <c r="AU17" s="88">
        <f>'[1]December - 2022'!BD17</f>
        <v>3605.2799999993294</v>
      </c>
      <c r="AV17" s="233">
        <f>'[1]December - 2022'!BF17</f>
        <v>17701632.48</v>
      </c>
      <c r="AW17" s="230">
        <f>'[1]December - 2022'!BG17</f>
        <v>6187.4400000013411</v>
      </c>
      <c r="AX17" s="231">
        <f>'[1]December - 2022'!BG17</f>
        <v>6187.4400000013411</v>
      </c>
      <c r="AY17" s="456"/>
      <c r="AZ17" s="250">
        <f>'[1]December - 2022'!BM17</f>
        <v>77840800</v>
      </c>
      <c r="BA17" s="161">
        <f>'[1]December - 2022'!BN17</f>
        <v>800</v>
      </c>
      <c r="BB17" s="89">
        <f>'[1]December - 2022'!BN17</f>
        <v>800</v>
      </c>
      <c r="BC17" s="250">
        <f>'[1]December - 2022'!BP17</f>
        <v>80826000</v>
      </c>
      <c r="BD17" s="224">
        <f>'[1]December - 2022'!BQ17</f>
        <v>61900</v>
      </c>
      <c r="BE17" s="89">
        <f>'[1]December - 2022'!BQ17</f>
        <v>61900</v>
      </c>
      <c r="BF17" s="250">
        <f>'[1]December - 2022'!BS17</f>
        <v>74770900</v>
      </c>
      <c r="BG17" s="224">
        <f>'[1]December - 2022'!BT17</f>
        <v>1300</v>
      </c>
      <c r="BH17" s="89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'[1]December - 2022'!BV17</f>
        <v>10225400</v>
      </c>
      <c r="BT17" s="166">
        <f>'[1]December - 2022'!BW17</f>
        <v>5860</v>
      </c>
      <c r="BU17" s="363"/>
      <c r="BV17" s="84">
        <f>'[1]December - 2022'!BY17</f>
        <v>0.66</v>
      </c>
      <c r="BW17" s="220">
        <f>'[1]December - 2022'!BZ17</f>
        <v>-3.0000000000000027E-2</v>
      </c>
      <c r="BX17" s="84">
        <f>'[1]December - 2022'!BZ17</f>
        <v>-3.0000000000000027E-2</v>
      </c>
      <c r="BY17" s="85">
        <f>'[1]December - 2022'!CB17</f>
        <v>64321</v>
      </c>
      <c r="BZ17" s="172">
        <f>'[1]December - 2022'!CC17</f>
        <v>18</v>
      </c>
      <c r="CA17" s="85">
        <f>'[1]December - 2022'!CD17</f>
        <v>55419</v>
      </c>
      <c r="CB17" s="172">
        <f>'[1]December - 2022'!CE17</f>
        <v>21</v>
      </c>
      <c r="CC17" s="85">
        <f>'[1]December - 2022'!CF17</f>
        <v>18747</v>
      </c>
      <c r="CD17" s="172">
        <f>'[1]December - 2022'!CG17</f>
        <v>6</v>
      </c>
      <c r="CE17" s="85">
        <f>'[1]December - 2022'!CH17</f>
        <v>25591</v>
      </c>
      <c r="CF17" s="172">
        <f>'[1]December - 2022'!CI17</f>
        <v>12</v>
      </c>
      <c r="CG17" s="85">
        <f>'[1]December - 2022'!CJ17</f>
        <v>28485</v>
      </c>
      <c r="CH17" s="172">
        <f>'[1]December - 2022'!CK17</f>
        <v>17</v>
      </c>
      <c r="CI17" s="85">
        <f>'[1]December - 2022'!CL17</f>
        <v>62492</v>
      </c>
      <c r="CJ17" s="172">
        <f>'[1]December - 2022'!CM17</f>
        <v>31</v>
      </c>
      <c r="CK17" s="85">
        <f>'[1]December - 2022'!CN17</f>
        <v>268034</v>
      </c>
      <c r="CL17" s="225">
        <f>'[1]December - 2022'!CO17</f>
        <v>76</v>
      </c>
      <c r="CM17" s="85">
        <f>'[1]December - 2022'!CO17</f>
        <v>76</v>
      </c>
      <c r="CN17" s="85">
        <f>'[1]December - 2022'!CQ17</f>
        <v>215001</v>
      </c>
      <c r="CO17" s="225">
        <f>'[1]December - 2022'!CR17</f>
        <v>111</v>
      </c>
      <c r="CP17" s="85">
        <f>'[1]December - 2022'!CR17</f>
        <v>111</v>
      </c>
      <c r="CQ17" s="85">
        <f>'[1]December - 2022'!CT17</f>
        <v>355195</v>
      </c>
      <c r="CR17" s="225">
        <f>'[1]December - 2022'!CU17</f>
        <v>197</v>
      </c>
      <c r="CS17" s="85">
        <f>'[1]December - 2022'!CU17</f>
        <v>197</v>
      </c>
      <c r="CT17" s="85">
        <f>'[1]December - 2022'!CW17</f>
        <v>694774</v>
      </c>
      <c r="CU17" s="172">
        <f>'[1]December - 2022'!CX17</f>
        <v>176</v>
      </c>
      <c r="CV17" s="423"/>
      <c r="CW17" s="234">
        <f>'[1]December - 2022'!CZ17</f>
        <v>8867</v>
      </c>
      <c r="CX17" s="179">
        <f>'[1]December - 2022'!DA17</f>
        <v>9</v>
      </c>
      <c r="CY17" s="235">
        <f>'[1]December - 2022'!DB17</f>
        <v>6019</v>
      </c>
      <c r="CZ17" s="179">
        <f>'[1]December - 2022'!DC17</f>
        <v>5</v>
      </c>
      <c r="DA17" s="235">
        <f>'[1]December - 2022'!DD17</f>
        <v>32125</v>
      </c>
      <c r="DB17" s="179">
        <f>'[1]December - 2022'!DE17</f>
        <v>11</v>
      </c>
      <c r="DC17" s="235">
        <f>'[1]December - 2022'!DF17</f>
        <v>32377</v>
      </c>
      <c r="DD17" s="179">
        <f>'[1]December - 2022'!DG17</f>
        <v>14</v>
      </c>
      <c r="DE17" s="235">
        <f>'[1]December - 2022'!DH17</f>
        <v>21847</v>
      </c>
      <c r="DF17" s="179">
        <f>'[1]December - 2022'!DI17</f>
        <v>12</v>
      </c>
      <c r="DG17" s="235">
        <f>'[1]December - 2022'!DJ17</f>
        <v>24038</v>
      </c>
      <c r="DH17" s="179">
        <f>'[1]December - 2022'!DK17</f>
        <v>7</v>
      </c>
      <c r="DI17" s="235">
        <f>'[1]December - 2022'!DL17</f>
        <v>7091</v>
      </c>
      <c r="DJ17" s="179">
        <f>'[1]December - 2022'!DM17</f>
        <v>9</v>
      </c>
      <c r="DK17" s="235">
        <f>'[1]December - 2022'!DN17</f>
        <v>9758</v>
      </c>
      <c r="DL17" s="179">
        <f>'[1]December - 2022'!DO17</f>
        <v>11</v>
      </c>
      <c r="DM17" s="235">
        <f>'[1]December - 2022'!DP17</f>
        <v>3257</v>
      </c>
      <c r="DN17" s="179">
        <f>'[1]December - 2022'!DQ17</f>
        <v>3</v>
      </c>
      <c r="DO17" s="235">
        <f>'[1]December - 2022'!DR17</f>
        <v>6434</v>
      </c>
      <c r="DP17" s="179">
        <f>'[1]December - 2022'!DS17</f>
        <v>9</v>
      </c>
      <c r="DQ17" s="235">
        <f>'[1]December - 2022'!DT17</f>
        <v>30300</v>
      </c>
      <c r="DR17" s="186">
        <f>'[1]December - 2022'!DU17</f>
        <v>10</v>
      </c>
      <c r="DS17" s="408"/>
      <c r="DT17" s="190">
        <f>'[1]December - 2022'!DW17</f>
        <v>6326</v>
      </c>
      <c r="DU17" s="201">
        <f>'[1]December - 2022'!DX17</f>
        <v>12</v>
      </c>
      <c r="DV17" s="87">
        <f>'[1]December - 2022'!DY17</f>
        <v>11288.4</v>
      </c>
      <c r="DW17" s="195">
        <f>'[1]December - 2022'!DZ17</f>
        <v>8.8999999999996362</v>
      </c>
      <c r="DX17" s="87">
        <f>'[1]December - 2022'!EA17</f>
        <v>4799</v>
      </c>
      <c r="DY17" s="195">
        <f>'[1]December - 2022'!EB17</f>
        <v>7</v>
      </c>
      <c r="DZ17" s="87">
        <f>'[1]December - 2022'!EC17</f>
        <v>5374.3</v>
      </c>
      <c r="EA17" s="195">
        <f>'[1]December - 2022'!ED17</f>
        <v>6.9000000000005457</v>
      </c>
      <c r="EB17" s="87">
        <f>'[1]December - 2022'!EE17</f>
        <v>1126738</v>
      </c>
      <c r="EC17" s="195">
        <f>'[1]December - 2022'!EF17</f>
        <v>571</v>
      </c>
      <c r="ED17" s="87">
        <f>'[1]December - 2022'!EI17</f>
        <v>231780.2</v>
      </c>
      <c r="EE17" s="208">
        <f>'[1]December - 2022'!EJ17</f>
        <v>164.20000000001164</v>
      </c>
      <c r="EF17" s="347"/>
      <c r="EG17" s="214">
        <f>'[1]December - 2022'!EL17</f>
        <v>12143800</v>
      </c>
      <c r="EH17" s="209">
        <f>'[1]December - 2022'!EM17</f>
        <v>4500</v>
      </c>
      <c r="EI17" s="86">
        <f>'[1]December - 2022'!EN17</f>
        <v>933740</v>
      </c>
      <c r="EJ17" s="209">
        <f>'[1]December - 2022'!EO17</f>
        <v>290</v>
      </c>
      <c r="EK17" s="86">
        <f>'[1]December - 2022'!EP17</f>
        <v>7222900</v>
      </c>
      <c r="EL17" s="209">
        <f>'[1]December - 2022'!EQ17</f>
        <v>2400</v>
      </c>
      <c r="EM17" s="86">
        <f>'[1]December - 2022'!ER17</f>
        <v>2498100</v>
      </c>
      <c r="EN17" s="209">
        <f>'[1]December - 2022'!ES17</f>
        <v>400</v>
      </c>
      <c r="EO17" s="86">
        <f>'[1]December - 2022'!ET17</f>
        <v>1277780</v>
      </c>
      <c r="EP17" s="209">
        <f>'[1]December - 2022'!EU17</f>
        <v>760</v>
      </c>
      <c r="EQ17" s="86">
        <f>'[1]December - 2022'!EV17</f>
        <v>16632400</v>
      </c>
      <c r="ER17" s="209">
        <f>'[1]December - 2022'!EW17</f>
        <v>5400</v>
      </c>
      <c r="ES17" s="395"/>
      <c r="ET17" s="256">
        <f>'[1]December - 2022'!EY17</f>
        <v>42103</v>
      </c>
      <c r="EU17" s="253">
        <f>'[1]December - 2022'!EZ17</f>
        <v>17</v>
      </c>
      <c r="EV17" s="257">
        <f>'[1]December - 2022'!FA17</f>
        <v>36793</v>
      </c>
      <c r="EW17" s="253">
        <f>'[1]December - 2022'!FB17</f>
        <v>14</v>
      </c>
      <c r="EX17" s="257">
        <f>'[1]December - 2022'!FC17</f>
        <v>7521</v>
      </c>
      <c r="EY17" s="253">
        <f>'[1]December - 2022'!FD17</f>
        <v>9</v>
      </c>
      <c r="EZ17" s="257">
        <f>'[1]December - 2022'!FE17</f>
        <v>59262</v>
      </c>
      <c r="FA17" s="253">
        <f>'[1]December - 2022'!FF17</f>
        <v>15</v>
      </c>
      <c r="FB17" s="257">
        <f>'[1]December - 2022'!FG17</f>
        <v>49524</v>
      </c>
      <c r="FC17" s="254">
        <f>'[1]December - 2022'!FH17</f>
        <v>39</v>
      </c>
    </row>
    <row r="18" spans="1:159" ht="30" customHeight="1" x14ac:dyDescent="0.25">
      <c r="A18" s="187">
        <v>43839</v>
      </c>
      <c r="B18" s="189">
        <f>'[1]December - 2022'!B18</f>
        <v>0.64</v>
      </c>
      <c r="C18" s="229">
        <f>'[1]December - 2022'!E18</f>
        <v>210833</v>
      </c>
      <c r="D18" s="152">
        <f>'[1]December - 2022'!F18</f>
        <v>706</v>
      </c>
      <c r="E18" s="150">
        <f>'[1]December - 2022'!G18</f>
        <v>748</v>
      </c>
      <c r="F18" s="150">
        <f>'[1]December - 2022'!H18</f>
        <v>241418</v>
      </c>
      <c r="G18" s="152">
        <f>'[1]December - 2022'!I18</f>
        <v>417</v>
      </c>
      <c r="H18" s="150">
        <f>'[1]December - 2022'!J18</f>
        <v>446</v>
      </c>
      <c r="I18" s="150">
        <f>'[1]December - 2022'!K18</f>
        <v>7194</v>
      </c>
      <c r="J18" s="152">
        <f>'[1]December - 2022'!L18</f>
        <v>122</v>
      </c>
      <c r="K18" s="150">
        <f>'[1]December - 2022'!N18</f>
        <v>921250</v>
      </c>
      <c r="L18" s="152">
        <f>'[1]December - 2022'!O18</f>
        <v>214</v>
      </c>
      <c r="M18" s="150">
        <f>'[1]December - 2022'!Q18</f>
        <v>244225</v>
      </c>
      <c r="N18" s="152">
        <f>'[1]December - 2022'!R18</f>
        <v>123</v>
      </c>
      <c r="O18" s="150">
        <f>'[1]December - 2022'!U18</f>
        <v>116268</v>
      </c>
      <c r="P18" s="152">
        <f>'[1]December - 2022'!V18</f>
        <v>106</v>
      </c>
      <c r="Q18" s="150">
        <f>'[1]December - 2022'!W18</f>
        <v>81.980000000003201</v>
      </c>
      <c r="R18" s="150">
        <f>'[1]December - 2022'!X18</f>
        <v>6346</v>
      </c>
      <c r="S18" s="188">
        <f>'[1]December - 2022'!Y18</f>
        <v>9</v>
      </c>
      <c r="T18" s="490"/>
      <c r="U18" s="247">
        <f>'[1]December - 2022'!AE18</f>
        <v>8148858.4800000004</v>
      </c>
      <c r="V18" s="218">
        <f>'[1]December - 2022'!AF18</f>
        <v>2387.2800000002608</v>
      </c>
      <c r="W18" s="88">
        <f>'[1]December - 2022'!AF18</f>
        <v>2387.2800000002608</v>
      </c>
      <c r="X18" s="233">
        <f>'[1]December - 2022'!AH18</f>
        <v>15479659.439999999</v>
      </c>
      <c r="Y18" s="218">
        <f>'[1]December - 2022'!AI18</f>
        <v>4141.1999999992549</v>
      </c>
      <c r="Z18" s="88">
        <f>'[1]December - 2022'!AI18</f>
        <v>4141.1999999992549</v>
      </c>
      <c r="AA18" s="233">
        <f>'[1]December - 2022'!AK18</f>
        <v>15759896.880000001</v>
      </c>
      <c r="AB18" s="218">
        <f>'[1]December - 2022'!AL18</f>
        <v>828.24000000022352</v>
      </c>
      <c r="AC18" s="88">
        <f>'[1]December - 2022'!AL18</f>
        <v>828.24000000022352</v>
      </c>
      <c r="AD18" s="233">
        <f>'[1]December - 2022'!AN18</f>
        <v>18898439.280000001</v>
      </c>
      <c r="AE18" s="218">
        <f>'[1]December - 2022'!AO18</f>
        <v>9061.9200000017881</v>
      </c>
      <c r="AF18" s="88">
        <f>'[1]December - 2022'!AO18</f>
        <v>9061.9200000017881</v>
      </c>
      <c r="AG18" s="233">
        <f>'[1]December - 2022'!AQ18</f>
        <v>19167227.52</v>
      </c>
      <c r="AH18" s="218">
        <f>'[1]December - 2022'!AR18</f>
        <v>292.32000000029802</v>
      </c>
      <c r="AI18" s="88">
        <f>'[1]December - 2022'!AR18</f>
        <v>292.32000000029802</v>
      </c>
      <c r="AJ18" s="233">
        <f>'[1]December - 2022'!AT18</f>
        <v>17571403.919999998</v>
      </c>
      <c r="AK18" s="218">
        <f>'[1]December - 2022'!AU18</f>
        <v>5359.1999999992549</v>
      </c>
      <c r="AL18" s="88">
        <f>'[1]December - 2022'!AU18</f>
        <v>5359.1999999992549</v>
      </c>
      <c r="AM18" s="233">
        <f>'[1]December - 2022'!AW18</f>
        <v>14790515.039999999</v>
      </c>
      <c r="AN18" s="218">
        <f>'[1]December - 2022'!AX18</f>
        <v>3946.320000000298</v>
      </c>
      <c r="AO18" s="88">
        <f>'[1]December - 2022'!AX18</f>
        <v>3946.320000000298</v>
      </c>
      <c r="AP18" s="233">
        <f>'[1]December - 2022'!AZ18</f>
        <v>14312912.880000001</v>
      </c>
      <c r="AQ18" s="218">
        <f>'[1]December - 2022'!BA18</f>
        <v>4141.2000000011176</v>
      </c>
      <c r="AR18" s="88">
        <f>'[1]December - 2022'!BA18</f>
        <v>4141.2000000011176</v>
      </c>
      <c r="AS18" s="233">
        <f>'[1]December - 2022'!BC18</f>
        <v>11183042.640000001</v>
      </c>
      <c r="AT18" s="218">
        <f>'[1]December - 2022'!BD18</f>
        <v>2874.480000000447</v>
      </c>
      <c r="AU18" s="88">
        <f>'[1]December - 2022'!BD18</f>
        <v>2874.480000000447</v>
      </c>
      <c r="AV18" s="233">
        <f>'[1]December - 2022'!BF18</f>
        <v>17707137.84</v>
      </c>
      <c r="AW18" s="230">
        <f>'[1]December - 2022'!BG18</f>
        <v>5505.359999999404</v>
      </c>
      <c r="AX18" s="231">
        <f>'[1]December - 2022'!BG18</f>
        <v>5505.359999999404</v>
      </c>
      <c r="AY18" s="456"/>
      <c r="AZ18" s="250">
        <f>'[1]December - 2022'!BM18</f>
        <v>77840800</v>
      </c>
      <c r="BA18" s="161">
        <f>'[1]December - 2022'!BN18</f>
        <v>0</v>
      </c>
      <c r="BB18" s="89">
        <f>'[1]December - 2022'!BN18</f>
        <v>0</v>
      </c>
      <c r="BC18" s="250">
        <f>'[1]December - 2022'!BP18</f>
        <v>80881200</v>
      </c>
      <c r="BD18" s="224">
        <f>'[1]December - 2022'!BQ18</f>
        <v>55200</v>
      </c>
      <c r="BE18" s="89">
        <f>'[1]December - 2022'!BQ18</f>
        <v>55200</v>
      </c>
      <c r="BF18" s="250">
        <f>'[1]December - 2022'!BS18</f>
        <v>74770900</v>
      </c>
      <c r="BG18" s="224">
        <f>'[1]December - 2022'!BT18</f>
        <v>0</v>
      </c>
      <c r="BH18" s="89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'[1]December - 2022'!BV18</f>
        <v>10230950</v>
      </c>
      <c r="BT18" s="166">
        <f>'[1]December - 2022'!BW18</f>
        <v>5550</v>
      </c>
      <c r="BU18" s="363"/>
      <c r="BV18" s="84">
        <f>'[1]December - 2022'!BY18</f>
        <v>0.71</v>
      </c>
      <c r="BW18" s="220">
        <f>'[1]December - 2022'!BZ18</f>
        <v>-4.9999999999999933E-2</v>
      </c>
      <c r="BX18" s="84">
        <f>'[1]December - 2022'!BZ18</f>
        <v>-4.9999999999999933E-2</v>
      </c>
      <c r="BY18" s="85">
        <f>'[1]December - 2022'!CB18</f>
        <v>64338</v>
      </c>
      <c r="BZ18" s="172">
        <f>'[1]December - 2022'!CC18</f>
        <v>17</v>
      </c>
      <c r="CA18" s="85">
        <f>'[1]December - 2022'!CD18</f>
        <v>55437</v>
      </c>
      <c r="CB18" s="172">
        <f>'[1]December - 2022'!CE18</f>
        <v>18</v>
      </c>
      <c r="CC18" s="85">
        <f>'[1]December - 2022'!CF18</f>
        <v>18752</v>
      </c>
      <c r="CD18" s="172">
        <f>'[1]December - 2022'!CG18</f>
        <v>5</v>
      </c>
      <c r="CE18" s="85">
        <f>'[1]December - 2022'!CH18</f>
        <v>25601</v>
      </c>
      <c r="CF18" s="172">
        <f>'[1]December - 2022'!CI18</f>
        <v>10</v>
      </c>
      <c r="CG18" s="85">
        <f>'[1]December - 2022'!CJ18</f>
        <v>28497</v>
      </c>
      <c r="CH18" s="172">
        <f>'[1]December - 2022'!CK18</f>
        <v>12</v>
      </c>
      <c r="CI18" s="85">
        <f>'[1]December - 2022'!CL18</f>
        <v>62521</v>
      </c>
      <c r="CJ18" s="172">
        <f>'[1]December - 2022'!CM18</f>
        <v>29</v>
      </c>
      <c r="CK18" s="85">
        <f>'[1]December - 2022'!CN18</f>
        <v>268100</v>
      </c>
      <c r="CL18" s="225">
        <f>'[1]December - 2022'!CO18</f>
        <v>66</v>
      </c>
      <c r="CM18" s="85">
        <f>'[1]December - 2022'!CO18</f>
        <v>66</v>
      </c>
      <c r="CN18" s="85">
        <f>'[1]December - 2022'!CQ18</f>
        <v>215095</v>
      </c>
      <c r="CO18" s="225">
        <f>'[1]December - 2022'!CR18</f>
        <v>94</v>
      </c>
      <c r="CP18" s="85">
        <f>'[1]December - 2022'!CR18</f>
        <v>94</v>
      </c>
      <c r="CQ18" s="85">
        <f>'[1]December - 2022'!CT18</f>
        <v>355414</v>
      </c>
      <c r="CR18" s="225">
        <f>'[1]December - 2022'!CU18</f>
        <v>219</v>
      </c>
      <c r="CS18" s="85">
        <f>'[1]December - 2022'!CU18</f>
        <v>219</v>
      </c>
      <c r="CT18" s="85">
        <f>'[1]December - 2022'!CW18</f>
        <v>694928</v>
      </c>
      <c r="CU18" s="172">
        <f>'[1]December - 2022'!CX18</f>
        <v>154</v>
      </c>
      <c r="CV18" s="423"/>
      <c r="CW18" s="234">
        <f>'[1]December - 2022'!CZ18</f>
        <v>8875</v>
      </c>
      <c r="CX18" s="179">
        <f>'[1]December - 2022'!DA18</f>
        <v>8</v>
      </c>
      <c r="CY18" s="235">
        <f>'[1]December - 2022'!DB18</f>
        <v>6024</v>
      </c>
      <c r="CZ18" s="179">
        <f>'[1]December - 2022'!DC18</f>
        <v>5</v>
      </c>
      <c r="DA18" s="235">
        <f>'[1]December - 2022'!DD18</f>
        <v>32140</v>
      </c>
      <c r="DB18" s="179">
        <f>'[1]December - 2022'!DE18</f>
        <v>15</v>
      </c>
      <c r="DC18" s="235">
        <f>'[1]December - 2022'!DF18</f>
        <v>32390</v>
      </c>
      <c r="DD18" s="179">
        <f>'[1]December - 2022'!DG18</f>
        <v>13</v>
      </c>
      <c r="DE18" s="235">
        <f>'[1]December - 2022'!DH18</f>
        <v>21856</v>
      </c>
      <c r="DF18" s="179">
        <f>'[1]December - 2022'!DI18</f>
        <v>9</v>
      </c>
      <c r="DG18" s="235">
        <f>'[1]December - 2022'!DJ18</f>
        <v>24045</v>
      </c>
      <c r="DH18" s="179">
        <f>'[1]December - 2022'!DK18</f>
        <v>7</v>
      </c>
      <c r="DI18" s="235">
        <f>'[1]December - 2022'!DL18</f>
        <v>7100</v>
      </c>
      <c r="DJ18" s="179">
        <f>'[1]December - 2022'!DM18</f>
        <v>9</v>
      </c>
      <c r="DK18" s="235">
        <f>'[1]December - 2022'!DN18</f>
        <v>9768</v>
      </c>
      <c r="DL18" s="179">
        <f>'[1]December - 2022'!DO18</f>
        <v>10</v>
      </c>
      <c r="DM18" s="235">
        <f>'[1]December - 2022'!DP18</f>
        <v>3260</v>
      </c>
      <c r="DN18" s="179">
        <f>'[1]December - 2022'!DQ18</f>
        <v>3</v>
      </c>
      <c r="DO18" s="235">
        <f>'[1]December - 2022'!DR18</f>
        <v>6443</v>
      </c>
      <c r="DP18" s="179">
        <f>'[1]December - 2022'!DS18</f>
        <v>9</v>
      </c>
      <c r="DQ18" s="235">
        <f>'[1]December - 2022'!DT18</f>
        <v>30300</v>
      </c>
      <c r="DR18" s="186">
        <f>'[1]December - 2022'!DU18</f>
        <v>0</v>
      </c>
      <c r="DS18" s="408"/>
      <c r="DT18" s="190">
        <f>'[1]December - 2022'!DW18</f>
        <v>6336.2</v>
      </c>
      <c r="DU18" s="201">
        <f>'[1]December - 2022'!DX18</f>
        <v>10.199999999999818</v>
      </c>
      <c r="DV18" s="87">
        <f>'[1]December - 2022'!DY18</f>
        <v>11295.4</v>
      </c>
      <c r="DW18" s="195">
        <f>'[1]December - 2022'!DZ18</f>
        <v>7</v>
      </c>
      <c r="DX18" s="87">
        <f>'[1]December - 2022'!EA18</f>
        <v>4804.8999999999996</v>
      </c>
      <c r="DY18" s="195">
        <f>'[1]December - 2022'!EB18</f>
        <v>5.8999999999996362</v>
      </c>
      <c r="DZ18" s="87">
        <f>'[1]December - 2022'!EC18</f>
        <v>5381.4</v>
      </c>
      <c r="EA18" s="195">
        <f>'[1]December - 2022'!ED18</f>
        <v>7.0999999999994543</v>
      </c>
      <c r="EB18" s="87">
        <f>'[1]December - 2022'!EE18</f>
        <v>1127283</v>
      </c>
      <c r="EC18" s="195">
        <f>'[1]December - 2022'!EF18</f>
        <v>545</v>
      </c>
      <c r="ED18" s="87">
        <f>'[1]December - 2022'!EI18</f>
        <v>231899.4</v>
      </c>
      <c r="EE18" s="208">
        <f>'[1]December - 2022'!EJ18</f>
        <v>119.19999999998254</v>
      </c>
      <c r="EF18" s="347"/>
      <c r="EG18" s="214">
        <f>'[1]December - 2022'!EL18</f>
        <v>12147400</v>
      </c>
      <c r="EH18" s="209">
        <f>'[1]December - 2022'!EM18</f>
        <v>3600</v>
      </c>
      <c r="EI18" s="86">
        <f>'[1]December - 2022'!EN18</f>
        <v>933990</v>
      </c>
      <c r="EJ18" s="209">
        <f>'[1]December - 2022'!EO18</f>
        <v>250</v>
      </c>
      <c r="EK18" s="86">
        <f>'[1]December - 2022'!EP18</f>
        <v>7224600</v>
      </c>
      <c r="EL18" s="209">
        <f>'[1]December - 2022'!EQ18</f>
        <v>1700</v>
      </c>
      <c r="EM18" s="86">
        <f>'[1]December - 2022'!ER18</f>
        <v>2498400</v>
      </c>
      <c r="EN18" s="209">
        <f>'[1]December - 2022'!ES18</f>
        <v>300</v>
      </c>
      <c r="EO18" s="86">
        <f>'[1]December - 2022'!ET18</f>
        <v>1278410</v>
      </c>
      <c r="EP18" s="209">
        <f>'[1]December - 2022'!EU18</f>
        <v>630</v>
      </c>
      <c r="EQ18" s="86">
        <f>'[1]December - 2022'!EV18</f>
        <v>16635700</v>
      </c>
      <c r="ER18" s="209">
        <f>'[1]December - 2022'!EW18</f>
        <v>3300</v>
      </c>
      <c r="ES18" s="395"/>
      <c r="ET18" s="256">
        <f>'[1]December - 2022'!EY18</f>
        <v>42117</v>
      </c>
      <c r="EU18" s="253">
        <f>'[1]December - 2022'!EZ18</f>
        <v>14</v>
      </c>
      <c r="EV18" s="257">
        <f>'[1]December - 2022'!FA18</f>
        <v>36803</v>
      </c>
      <c r="EW18" s="253">
        <f>'[1]December - 2022'!FB18</f>
        <v>10</v>
      </c>
      <c r="EX18" s="257">
        <f>'[1]December - 2022'!FC18</f>
        <v>7532</v>
      </c>
      <c r="EY18" s="253">
        <f>'[1]December - 2022'!FD18</f>
        <v>11</v>
      </c>
      <c r="EZ18" s="257">
        <f>'[1]December - 2022'!FE18</f>
        <v>59277</v>
      </c>
      <c r="FA18" s="253">
        <f>'[1]December - 2022'!FF18</f>
        <v>15</v>
      </c>
      <c r="FB18" s="257">
        <f>'[1]December - 2022'!FG18</f>
        <v>49557</v>
      </c>
      <c r="FC18" s="254">
        <f>'[1]December - 2022'!FH18</f>
        <v>33</v>
      </c>
    </row>
    <row r="19" spans="1:159" ht="30" customHeight="1" x14ac:dyDescent="0.25">
      <c r="A19" s="187">
        <v>43840</v>
      </c>
      <c r="B19" s="189">
        <f>'[1]December - 2022'!B19</f>
        <v>0.64</v>
      </c>
      <c r="C19" s="229">
        <f>'[1]December - 2022'!E19</f>
        <v>211548</v>
      </c>
      <c r="D19" s="152">
        <f>'[1]December - 2022'!F19</f>
        <v>715</v>
      </c>
      <c r="E19" s="150">
        <f>'[1]December - 2022'!G19</f>
        <v>672</v>
      </c>
      <c r="F19" s="150">
        <f>'[1]December - 2022'!H19</f>
        <v>241891</v>
      </c>
      <c r="G19" s="152">
        <f>'[1]December - 2022'!I19</f>
        <v>473</v>
      </c>
      <c r="H19" s="150">
        <f>'[1]December - 2022'!J19</f>
        <v>481</v>
      </c>
      <c r="I19" s="150">
        <f>'[1]December - 2022'!K19</f>
        <v>7334</v>
      </c>
      <c r="J19" s="152">
        <f>'[1]December - 2022'!L19</f>
        <v>140</v>
      </c>
      <c r="K19" s="150">
        <f>'[1]December - 2022'!N19</f>
        <v>921498</v>
      </c>
      <c r="L19" s="152">
        <f>'[1]December - 2022'!O19</f>
        <v>248</v>
      </c>
      <c r="M19" s="150">
        <f>'[1]December - 2022'!Q19</f>
        <v>244336</v>
      </c>
      <c r="N19" s="152">
        <f>'[1]December - 2022'!R19</f>
        <v>111</v>
      </c>
      <c r="O19" s="150">
        <f>'[1]December - 2022'!U19</f>
        <v>116376</v>
      </c>
      <c r="P19" s="152">
        <f>'[1]December - 2022'!V19</f>
        <v>108</v>
      </c>
      <c r="Q19" s="150">
        <f>'[1]December - 2022'!W19</f>
        <v>87.389999999999418</v>
      </c>
      <c r="R19" s="150">
        <f>'[1]December - 2022'!X19</f>
        <v>6352</v>
      </c>
      <c r="S19" s="188">
        <f>'[1]December - 2022'!Y19</f>
        <v>6</v>
      </c>
      <c r="T19" s="490"/>
      <c r="U19" s="151">
        <f>'[1]December - 2022'!AE19</f>
        <v>8150904.7199999988</v>
      </c>
      <c r="V19" s="218">
        <f>'[1]December - 2022'!AF19</f>
        <v>2046.2399999983609</v>
      </c>
      <c r="W19" s="88">
        <f>'[1]December - 2022'!AF19</f>
        <v>2046.2399999983609</v>
      </c>
      <c r="X19" s="233">
        <f>'[1]December - 2022'!AH19</f>
        <v>15484092.959999999</v>
      </c>
      <c r="Y19" s="218">
        <f>'[1]December - 2022'!AI19</f>
        <v>4433.519999999553</v>
      </c>
      <c r="Z19" s="88">
        <f>'[1]December - 2022'!AI19</f>
        <v>4433.519999999553</v>
      </c>
      <c r="AA19" s="233">
        <f>'[1]December - 2022'!AK19</f>
        <v>15769543.439999999</v>
      </c>
      <c r="AB19" s="218">
        <f>'[1]December - 2022'!AL19</f>
        <v>9646.5599999986589</v>
      </c>
      <c r="AC19" s="88">
        <f>'[1]December - 2022'!AL19</f>
        <v>9646.5599999986589</v>
      </c>
      <c r="AD19" s="233">
        <f>'[1]December - 2022'!AN19</f>
        <v>18899413.68</v>
      </c>
      <c r="AE19" s="218">
        <f>'[1]December - 2022'!AO19</f>
        <v>974.39999999850988</v>
      </c>
      <c r="AF19" s="88">
        <f>'[1]December - 2022'!AO19</f>
        <v>974.39999999850988</v>
      </c>
      <c r="AG19" s="233">
        <f>'[1]December - 2022'!AQ19</f>
        <v>19167617.280000001</v>
      </c>
      <c r="AH19" s="218">
        <f>'[1]December - 2022'!AR19</f>
        <v>389.76000000163913</v>
      </c>
      <c r="AI19" s="88">
        <f>'[1]December - 2022'!AR19</f>
        <v>389.76000000163913</v>
      </c>
      <c r="AJ19" s="233">
        <f>'[1]December - 2022'!AT19</f>
        <v>17577055.439999998</v>
      </c>
      <c r="AK19" s="218">
        <f>'[1]December - 2022'!AU19</f>
        <v>5651.519999999553</v>
      </c>
      <c r="AL19" s="88">
        <f>'[1]December - 2022'!AU19</f>
        <v>5651.519999999553</v>
      </c>
      <c r="AM19" s="233">
        <f>'[1]December - 2022'!AW19</f>
        <v>14794997.280000001</v>
      </c>
      <c r="AN19" s="218">
        <f>'[1]December - 2022'!AX19</f>
        <v>4482.2400000020862</v>
      </c>
      <c r="AO19" s="88">
        <f>'[1]December - 2022'!AX19</f>
        <v>4482.2400000020862</v>
      </c>
      <c r="AP19" s="233">
        <f>'[1]December - 2022'!AZ19</f>
        <v>14317784.880000001</v>
      </c>
      <c r="AQ19" s="218">
        <f>'[1]December - 2022'!BA19</f>
        <v>4872</v>
      </c>
      <c r="AR19" s="88">
        <f>'[1]December - 2022'!BA19</f>
        <v>4872</v>
      </c>
      <c r="AS19" s="233">
        <f>'[1]December - 2022'!BC19</f>
        <v>11186014.559999999</v>
      </c>
      <c r="AT19" s="218">
        <f>'[1]December - 2022'!BD19</f>
        <v>2971.9199999980628</v>
      </c>
      <c r="AU19" s="88">
        <f>'[1]December - 2022'!BD19</f>
        <v>2971.9199999980628</v>
      </c>
      <c r="AV19" s="233">
        <f>'[1]December - 2022'!BF19</f>
        <v>17713081.68</v>
      </c>
      <c r="AW19" s="230">
        <f>'[1]December - 2022'!BG19</f>
        <v>5943.839999999851</v>
      </c>
      <c r="AX19" s="231">
        <f>'[1]December - 2022'!BG19</f>
        <v>5943.839999999851</v>
      </c>
      <c r="AY19" s="456"/>
      <c r="AZ19" s="250">
        <f>'[1]December - 2022'!BM19</f>
        <v>77891900</v>
      </c>
      <c r="BA19" s="161">
        <f>'[1]December - 2022'!BN19</f>
        <v>51100</v>
      </c>
      <c r="BB19" s="89">
        <f>'[1]December - 2022'!BN19</f>
        <v>51100</v>
      </c>
      <c r="BC19" s="250">
        <f>'[1]December - 2022'!BP19</f>
        <v>80883300</v>
      </c>
      <c r="BD19" s="224">
        <f>'[1]December - 2022'!BQ19</f>
        <v>2100</v>
      </c>
      <c r="BE19" s="89">
        <f>'[1]December - 2022'!BQ19</f>
        <v>2100</v>
      </c>
      <c r="BF19" s="250">
        <f>'[1]December - 2022'!BS19</f>
        <v>74770900</v>
      </c>
      <c r="BG19" s="224">
        <f>'[1]December - 2022'!BT19</f>
        <v>0</v>
      </c>
      <c r="BH19" s="89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'[1]December - 2022'!BV19</f>
        <v>10238440</v>
      </c>
      <c r="BT19" s="166">
        <f>'[1]December - 2022'!BW19</f>
        <v>7490</v>
      </c>
      <c r="BU19" s="363"/>
      <c r="BV19" s="84">
        <f>'[1]December - 2022'!BY19</f>
        <v>0.65</v>
      </c>
      <c r="BW19" s="220">
        <f>'[1]December - 2022'!BZ19</f>
        <v>5.9999999999999942E-2</v>
      </c>
      <c r="BX19" s="84">
        <f>'[1]December - 2022'!BZ19</f>
        <v>5.9999999999999942E-2</v>
      </c>
      <c r="BY19" s="85">
        <f>'[1]December - 2022'!CB19</f>
        <v>64357</v>
      </c>
      <c r="BZ19" s="172">
        <f>'[1]December - 2022'!CC19</f>
        <v>19</v>
      </c>
      <c r="CA19" s="85">
        <f>'[1]December - 2022'!CD19</f>
        <v>55455</v>
      </c>
      <c r="CB19" s="172">
        <f>'[1]December - 2022'!CE19</f>
        <v>18</v>
      </c>
      <c r="CC19" s="85">
        <f>'[1]December - 2022'!CF19</f>
        <v>18758</v>
      </c>
      <c r="CD19" s="172">
        <f>'[1]December - 2022'!CG19</f>
        <v>6</v>
      </c>
      <c r="CE19" s="85">
        <f>'[1]December - 2022'!CH19</f>
        <v>25611</v>
      </c>
      <c r="CF19" s="172">
        <f>'[1]December - 2022'!CI19</f>
        <v>10</v>
      </c>
      <c r="CG19" s="85">
        <f>'[1]December - 2022'!CJ19</f>
        <v>28512</v>
      </c>
      <c r="CH19" s="172">
        <f>'[1]December - 2022'!CK19</f>
        <v>15</v>
      </c>
      <c r="CI19" s="85">
        <f>'[1]December - 2022'!CL19</f>
        <v>62553</v>
      </c>
      <c r="CJ19" s="172">
        <f>'[1]December - 2022'!CM19</f>
        <v>32</v>
      </c>
      <c r="CK19" s="85">
        <f>'[1]December - 2022'!CN19</f>
        <v>268171</v>
      </c>
      <c r="CL19" s="225">
        <f>'[1]December - 2022'!CO19</f>
        <v>71</v>
      </c>
      <c r="CM19" s="85">
        <f>'[1]December - 2022'!CO19</f>
        <v>71</v>
      </c>
      <c r="CN19" s="85">
        <f>'[1]December - 2022'!CQ19</f>
        <v>215203</v>
      </c>
      <c r="CO19" s="225">
        <f>'[1]December - 2022'!CR19</f>
        <v>108</v>
      </c>
      <c r="CP19" s="85">
        <f>'[1]December - 2022'!CR19</f>
        <v>108</v>
      </c>
      <c r="CQ19" s="85">
        <f>'[1]December - 2022'!CT19</f>
        <v>355659</v>
      </c>
      <c r="CR19" s="225">
        <f>'[1]December - 2022'!CU19</f>
        <v>245</v>
      </c>
      <c r="CS19" s="85">
        <f>'[1]December - 2022'!CU19</f>
        <v>245</v>
      </c>
      <c r="CT19" s="85">
        <f>'[1]December - 2022'!CW19</f>
        <v>695095</v>
      </c>
      <c r="CU19" s="172">
        <f>'[1]December - 2022'!CX19</f>
        <v>167</v>
      </c>
      <c r="CV19" s="423"/>
      <c r="CW19" s="234">
        <f>'[1]December - 2022'!CZ19</f>
        <v>8883</v>
      </c>
      <c r="CX19" s="179">
        <f>'[1]December - 2022'!DA19</f>
        <v>8</v>
      </c>
      <c r="CY19" s="235">
        <f>'[1]December - 2022'!DB19</f>
        <v>6029</v>
      </c>
      <c r="CZ19" s="179">
        <f>'[1]December - 2022'!DC19</f>
        <v>5</v>
      </c>
      <c r="DA19" s="235">
        <f>'[1]December - 2022'!DD19</f>
        <v>32151</v>
      </c>
      <c r="DB19" s="179">
        <f>'[1]December - 2022'!DE19</f>
        <v>11</v>
      </c>
      <c r="DC19" s="235">
        <f>'[1]December - 2022'!DF19</f>
        <v>32399</v>
      </c>
      <c r="DD19" s="179">
        <f>'[1]December - 2022'!DG19</f>
        <v>9</v>
      </c>
      <c r="DE19" s="235">
        <f>'[1]December - 2022'!DH19</f>
        <v>21866</v>
      </c>
      <c r="DF19" s="179">
        <f>'[1]December - 2022'!DI19</f>
        <v>10</v>
      </c>
      <c r="DG19" s="235">
        <f>'[1]December - 2022'!DJ19</f>
        <v>24052</v>
      </c>
      <c r="DH19" s="179">
        <f>'[1]December - 2022'!DK19</f>
        <v>7</v>
      </c>
      <c r="DI19" s="235">
        <f>'[1]December - 2022'!DL19</f>
        <v>7109</v>
      </c>
      <c r="DJ19" s="179">
        <f>'[1]December - 2022'!DM19</f>
        <v>9</v>
      </c>
      <c r="DK19" s="235">
        <f>'[1]December - 2022'!DN19</f>
        <v>9778</v>
      </c>
      <c r="DL19" s="179">
        <f>'[1]December - 2022'!DO19</f>
        <v>10</v>
      </c>
      <c r="DM19" s="235">
        <f>'[1]December - 2022'!DP19</f>
        <v>3263</v>
      </c>
      <c r="DN19" s="179">
        <f>'[1]December - 2022'!DQ19</f>
        <v>3</v>
      </c>
      <c r="DO19" s="235">
        <f>'[1]December - 2022'!DR19</f>
        <v>6452</v>
      </c>
      <c r="DP19" s="179">
        <f>'[1]December - 2022'!DS19</f>
        <v>9</v>
      </c>
      <c r="DQ19" s="235">
        <f>'[1]December - 2022'!DT19</f>
        <v>30300</v>
      </c>
      <c r="DR19" s="186">
        <f>'[1]December - 2022'!DU19</f>
        <v>0</v>
      </c>
      <c r="DS19" s="408"/>
      <c r="DT19" s="190">
        <f>'[1]December - 2022'!DW19</f>
        <v>6347.9</v>
      </c>
      <c r="DU19" s="201">
        <f>'[1]December - 2022'!DX19</f>
        <v>11.699999999999818</v>
      </c>
      <c r="DV19" s="87">
        <f>'[1]December - 2022'!DY19</f>
        <v>11303.1</v>
      </c>
      <c r="DW19" s="195">
        <f>'[1]December - 2022'!DZ19</f>
        <v>7.7000000000007276</v>
      </c>
      <c r="DX19" s="87">
        <f>'[1]December - 2022'!EA19</f>
        <v>4811.5</v>
      </c>
      <c r="DY19" s="195">
        <f>'[1]December - 2022'!EB19</f>
        <v>6.6000000000003638</v>
      </c>
      <c r="DZ19" s="87">
        <f>'[1]December - 2022'!EC19</f>
        <v>5388.9</v>
      </c>
      <c r="EA19" s="195">
        <f>'[1]December - 2022'!ED19</f>
        <v>7.5</v>
      </c>
      <c r="EB19" s="87">
        <f>'[1]December - 2022'!EE19</f>
        <v>1127861</v>
      </c>
      <c r="EC19" s="195">
        <f>'[1]December - 2022'!EF19</f>
        <v>578</v>
      </c>
      <c r="ED19" s="87">
        <f>'[1]December - 2022'!EI19</f>
        <v>232033.8</v>
      </c>
      <c r="EE19" s="208">
        <f>'[1]December - 2022'!EJ19</f>
        <v>134.39999999999418</v>
      </c>
      <c r="EF19" s="347"/>
      <c r="EG19" s="214">
        <f>'[1]December - 2022'!EL19</f>
        <v>12150100</v>
      </c>
      <c r="EH19" s="209">
        <f>'[1]December - 2022'!EM19</f>
        <v>2700</v>
      </c>
      <c r="EI19" s="86">
        <f>'[1]December - 2022'!EN19</f>
        <v>934260</v>
      </c>
      <c r="EJ19" s="209">
        <f>'[1]December - 2022'!EO19</f>
        <v>270</v>
      </c>
      <c r="EK19" s="86">
        <f>'[1]December - 2022'!EP19</f>
        <v>7226100</v>
      </c>
      <c r="EL19" s="209">
        <f>'[1]December - 2022'!EQ19</f>
        <v>1500</v>
      </c>
      <c r="EM19" s="86">
        <f>'[1]December - 2022'!ER19</f>
        <v>2498700</v>
      </c>
      <c r="EN19" s="209">
        <f>'[1]December - 2022'!ES19</f>
        <v>300</v>
      </c>
      <c r="EO19" s="86">
        <f>'[1]December - 2022'!ET19</f>
        <v>1279110</v>
      </c>
      <c r="EP19" s="209">
        <f>'[1]December - 2022'!EU19</f>
        <v>700</v>
      </c>
      <c r="EQ19" s="86">
        <f>'[1]December - 2022'!EV19</f>
        <v>16638400</v>
      </c>
      <c r="ER19" s="209">
        <f>'[1]December - 2022'!EW19</f>
        <v>2700</v>
      </c>
      <c r="ES19" s="395"/>
      <c r="ET19" s="256">
        <f>'[1]December - 2022'!EY19</f>
        <v>42133</v>
      </c>
      <c r="EU19" s="253">
        <f>'[1]December - 2022'!EZ19</f>
        <v>16</v>
      </c>
      <c r="EV19" s="257">
        <f>'[1]December - 2022'!FA19</f>
        <v>36814</v>
      </c>
      <c r="EW19" s="253">
        <f>'[1]December - 2022'!FB19</f>
        <v>11</v>
      </c>
      <c r="EX19" s="257">
        <f>'[1]December - 2022'!FC19</f>
        <v>7543</v>
      </c>
      <c r="EY19" s="253">
        <f>'[1]December - 2022'!FD19</f>
        <v>11</v>
      </c>
      <c r="EZ19" s="257">
        <f>'[1]December - 2022'!FE19</f>
        <v>59292</v>
      </c>
      <c r="FA19" s="253">
        <f>'[1]December - 2022'!FF19</f>
        <v>15</v>
      </c>
      <c r="FB19" s="257">
        <f>'[1]December - 2022'!FG19</f>
        <v>49587</v>
      </c>
      <c r="FC19" s="254">
        <f>'[1]December - 2022'!FH19</f>
        <v>30</v>
      </c>
    </row>
    <row r="20" spans="1:159" ht="30" customHeight="1" x14ac:dyDescent="0.25">
      <c r="A20" s="187">
        <v>43841</v>
      </c>
      <c r="B20" s="189">
        <f>'[1]December - 2022'!B20</f>
        <v>0.61</v>
      </c>
      <c r="C20" s="229">
        <f>'[1]December - 2022'!E20</f>
        <v>212242</v>
      </c>
      <c r="D20" s="152">
        <f>'[1]December - 2022'!F20</f>
        <v>694</v>
      </c>
      <c r="E20" s="150">
        <f>'[1]December - 2022'!G20</f>
        <v>711</v>
      </c>
      <c r="F20" s="150">
        <f>'[1]December - 2022'!H20</f>
        <v>242333</v>
      </c>
      <c r="G20" s="152">
        <f>'[1]December - 2022'!I20</f>
        <v>442</v>
      </c>
      <c r="H20" s="150">
        <f>'[1]December - 2022'!J20</f>
        <v>473</v>
      </c>
      <c r="I20" s="150">
        <f>'[1]December - 2022'!K20</f>
        <v>7483</v>
      </c>
      <c r="J20" s="152">
        <f>'[1]December - 2022'!L20</f>
        <v>149</v>
      </c>
      <c r="K20" s="150">
        <f>'[1]December - 2022'!N20</f>
        <v>921753</v>
      </c>
      <c r="L20" s="152">
        <f>'[1]December - 2022'!O20</f>
        <v>255</v>
      </c>
      <c r="M20" s="150">
        <f>'[1]December - 2022'!Q20</f>
        <v>244457</v>
      </c>
      <c r="N20" s="152">
        <f>'[1]December - 2022'!R20</f>
        <v>121</v>
      </c>
      <c r="O20" s="150">
        <f>'[1]December - 2022'!U20</f>
        <v>116464</v>
      </c>
      <c r="P20" s="152">
        <f>'[1]December - 2022'!V20</f>
        <v>88</v>
      </c>
      <c r="Q20" s="150">
        <f>'[1]December - 2022'!W20</f>
        <v>88.259999999994761</v>
      </c>
      <c r="R20" s="150">
        <f>'[1]December - 2022'!X20</f>
        <v>6356</v>
      </c>
      <c r="S20" s="188">
        <f>'[1]December - 2022'!Y20</f>
        <v>4</v>
      </c>
      <c r="T20" s="490"/>
      <c r="U20" s="151">
        <f>'[1]December - 2022'!AE20</f>
        <v>8152853.5199999996</v>
      </c>
      <c r="V20" s="218">
        <f>'[1]December - 2022'!AF20</f>
        <v>1948.8000000007451</v>
      </c>
      <c r="W20" s="88">
        <f>'[1]December - 2022'!AF20</f>
        <v>1948.8000000007451</v>
      </c>
      <c r="X20" s="233">
        <f>'[1]December - 2022'!AH20</f>
        <v>15488721.359999999</v>
      </c>
      <c r="Y20" s="218">
        <f>'[1]December - 2022'!AI20</f>
        <v>4628.4000000003725</v>
      </c>
      <c r="Z20" s="88">
        <f>'[1]December - 2022'!AI20</f>
        <v>4628.4000000003725</v>
      </c>
      <c r="AA20" s="233">
        <f>'[1]December - 2022'!AK20</f>
        <v>15778556.640000001</v>
      </c>
      <c r="AB20" s="218">
        <f>'[1]December - 2022'!AL20</f>
        <v>9013.2000000011176</v>
      </c>
      <c r="AC20" s="88">
        <f>'[1]December - 2022'!AL20</f>
        <v>9013.2000000011176</v>
      </c>
      <c r="AD20" s="233">
        <f>'[1]December - 2022'!AN20</f>
        <v>18900095.760000002</v>
      </c>
      <c r="AE20" s="218">
        <f>'[1]December - 2022'!AO20</f>
        <v>682.08000000193715</v>
      </c>
      <c r="AF20" s="88">
        <f>'[1]December - 2022'!AO20</f>
        <v>682.08000000193715</v>
      </c>
      <c r="AG20" s="233">
        <f>'[1]December - 2022'!AQ20</f>
        <v>19168201.919999998</v>
      </c>
      <c r="AH20" s="218">
        <f>'[1]December - 2022'!AR20</f>
        <v>584.63999999687076</v>
      </c>
      <c r="AI20" s="88">
        <f>'[1]December - 2022'!AR20</f>
        <v>584.63999999687076</v>
      </c>
      <c r="AJ20" s="233">
        <f>'[1]December - 2022'!AT20</f>
        <v>17582950.560000002</v>
      </c>
      <c r="AK20" s="218">
        <f>'[1]December - 2022'!AU20</f>
        <v>5895.1200000047684</v>
      </c>
      <c r="AL20" s="88">
        <f>'[1]December - 2022'!AU20</f>
        <v>5895.1200000047684</v>
      </c>
      <c r="AM20" s="233">
        <f>'[1]December - 2022'!AW20</f>
        <v>14799382.08</v>
      </c>
      <c r="AN20" s="218">
        <f>'[1]December - 2022'!AX20</f>
        <v>4384.7999999988824</v>
      </c>
      <c r="AO20" s="88">
        <f>'[1]December - 2022'!AX20</f>
        <v>4384.7999999988824</v>
      </c>
      <c r="AP20" s="233">
        <f>'[1]December - 2022'!AZ20</f>
        <v>14322462</v>
      </c>
      <c r="AQ20" s="218">
        <f>'[1]December - 2022'!BA20</f>
        <v>4677.1199999991804</v>
      </c>
      <c r="AR20" s="88">
        <f>'[1]December - 2022'!BA20</f>
        <v>4677.1199999991804</v>
      </c>
      <c r="AS20" s="233">
        <f>'[1]December - 2022'!BC20</f>
        <v>11189376.24</v>
      </c>
      <c r="AT20" s="218">
        <f>'[1]December - 2022'!BD20</f>
        <v>3361.6800000015646</v>
      </c>
      <c r="AU20" s="88">
        <f>'[1]December - 2022'!BD20</f>
        <v>3361.6800000015646</v>
      </c>
      <c r="AV20" s="233">
        <f>'[1]December - 2022'!BF20</f>
        <v>17719074.239999998</v>
      </c>
      <c r="AW20" s="230">
        <f>'[1]December - 2022'!BG20</f>
        <v>5992.5599999986589</v>
      </c>
      <c r="AX20" s="231">
        <f>'[1]December - 2022'!BG20</f>
        <v>5992.5599999986589</v>
      </c>
      <c r="AY20" s="456"/>
      <c r="AZ20" s="250">
        <f>'[1]December - 2022'!BM20</f>
        <v>77940000</v>
      </c>
      <c r="BA20" s="161">
        <f>'[1]December - 2022'!BN20</f>
        <v>48100</v>
      </c>
      <c r="BB20" s="89">
        <f>'[1]December - 2022'!BN20</f>
        <v>48100</v>
      </c>
      <c r="BC20" s="250">
        <f>'[1]December - 2022'!BP20</f>
        <v>80883300</v>
      </c>
      <c r="BD20" s="224">
        <f>'[1]December - 2022'!BQ20</f>
        <v>0</v>
      </c>
      <c r="BE20" s="89">
        <f>'[1]December - 2022'!BQ20</f>
        <v>0</v>
      </c>
      <c r="BF20" s="250">
        <f>'[1]December - 2022'!BS20</f>
        <v>74770900</v>
      </c>
      <c r="BG20" s="224">
        <f>'[1]December - 2022'!BT20</f>
        <v>0</v>
      </c>
      <c r="BH20" s="89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'[1]December - 2022'!BV20</f>
        <v>10245780</v>
      </c>
      <c r="BT20" s="166">
        <f>'[1]December - 2022'!BW20</f>
        <v>7340</v>
      </c>
      <c r="BU20" s="363"/>
      <c r="BV20" s="84">
        <f>'[1]December - 2022'!BY20</f>
        <v>0.56999999999999995</v>
      </c>
      <c r="BW20" s="220">
        <f>'[1]December - 2022'!BZ20</f>
        <v>8.0000000000000071E-2</v>
      </c>
      <c r="BX20" s="84">
        <f>'[1]December - 2022'!BZ20</f>
        <v>8.0000000000000071E-2</v>
      </c>
      <c r="BY20" s="85">
        <f>'[1]December - 2022'!CB20</f>
        <v>64377</v>
      </c>
      <c r="BZ20" s="172">
        <f>'[1]December - 2022'!CC20</f>
        <v>20</v>
      </c>
      <c r="CA20" s="85">
        <f>'[1]December - 2022'!CD20</f>
        <v>55474</v>
      </c>
      <c r="CB20" s="172">
        <f>'[1]December - 2022'!CE20</f>
        <v>19</v>
      </c>
      <c r="CC20" s="85">
        <f>'[1]December - 2022'!CF20</f>
        <v>18765</v>
      </c>
      <c r="CD20" s="172">
        <f>'[1]December - 2022'!CG20</f>
        <v>7</v>
      </c>
      <c r="CE20" s="85">
        <f>'[1]December - 2022'!CH20</f>
        <v>25622</v>
      </c>
      <c r="CF20" s="172">
        <f>'[1]December - 2022'!CI20</f>
        <v>11</v>
      </c>
      <c r="CG20" s="85">
        <f>'[1]December - 2022'!CJ20</f>
        <v>28526</v>
      </c>
      <c r="CH20" s="172">
        <f>'[1]December - 2022'!CK20</f>
        <v>14</v>
      </c>
      <c r="CI20" s="85">
        <f>'[1]December - 2022'!CL20</f>
        <v>62590</v>
      </c>
      <c r="CJ20" s="172">
        <f>'[1]December - 2022'!CM20</f>
        <v>37</v>
      </c>
      <c r="CK20" s="85">
        <f>'[1]December - 2022'!CN20</f>
        <v>268244</v>
      </c>
      <c r="CL20" s="225">
        <f>'[1]December - 2022'!CO20</f>
        <v>73</v>
      </c>
      <c r="CM20" s="85">
        <f>'[1]December - 2022'!CO20</f>
        <v>73</v>
      </c>
      <c r="CN20" s="85">
        <f>'[1]December - 2022'!CQ20</f>
        <v>215313</v>
      </c>
      <c r="CO20" s="225">
        <f>'[1]December - 2022'!CR20</f>
        <v>110</v>
      </c>
      <c r="CP20" s="85">
        <f>'[1]December - 2022'!CR20</f>
        <v>110</v>
      </c>
      <c r="CQ20" s="85">
        <f>'[1]December - 2022'!CT20</f>
        <v>355914</v>
      </c>
      <c r="CR20" s="225">
        <f>'[1]December - 2022'!CU20</f>
        <v>255</v>
      </c>
      <c r="CS20" s="85">
        <f>'[1]December - 2022'!CU20</f>
        <v>255</v>
      </c>
      <c r="CT20" s="85">
        <f>'[1]December - 2022'!CW20</f>
        <v>695267</v>
      </c>
      <c r="CU20" s="172">
        <f>'[1]December - 2022'!CX20</f>
        <v>172</v>
      </c>
      <c r="CV20" s="423"/>
      <c r="CW20" s="234">
        <f>'[1]December - 2022'!CZ20</f>
        <v>8886</v>
      </c>
      <c r="CX20" s="179">
        <f>'[1]December - 2022'!DA20</f>
        <v>3</v>
      </c>
      <c r="CY20" s="235">
        <f>'[1]December - 2022'!DB20</f>
        <v>6032</v>
      </c>
      <c r="CZ20" s="179">
        <f>'[1]December - 2022'!DC20</f>
        <v>3</v>
      </c>
      <c r="DA20" s="235">
        <f>'[1]December - 2022'!DD20</f>
        <v>32176</v>
      </c>
      <c r="DB20" s="179">
        <f>'[1]December - 2022'!DE20</f>
        <v>25</v>
      </c>
      <c r="DC20" s="235">
        <f>'[1]December - 2022'!DF20</f>
        <v>32414</v>
      </c>
      <c r="DD20" s="179">
        <f>'[1]December - 2022'!DG20</f>
        <v>15</v>
      </c>
      <c r="DE20" s="235">
        <f>'[1]December - 2022'!DH20</f>
        <v>21873</v>
      </c>
      <c r="DF20" s="179">
        <f>'[1]December - 2022'!DI20</f>
        <v>7</v>
      </c>
      <c r="DG20" s="235">
        <f>'[1]December - 2022'!DJ20</f>
        <v>24057</v>
      </c>
      <c r="DH20" s="179">
        <f>'[1]December - 2022'!DK20</f>
        <v>5</v>
      </c>
      <c r="DI20" s="235">
        <f>'[1]December - 2022'!DL20</f>
        <v>7123</v>
      </c>
      <c r="DJ20" s="179">
        <f>'[1]December - 2022'!DM20</f>
        <v>14</v>
      </c>
      <c r="DK20" s="235">
        <f>'[1]December - 2022'!DN20</f>
        <v>9788</v>
      </c>
      <c r="DL20" s="179">
        <f>'[1]December - 2022'!DO20</f>
        <v>10</v>
      </c>
      <c r="DM20" s="235">
        <f>'[1]December - 2022'!DP20</f>
        <v>3269</v>
      </c>
      <c r="DN20" s="179">
        <f>'[1]December - 2022'!DQ20</f>
        <v>6</v>
      </c>
      <c r="DO20" s="235">
        <f>'[1]December - 2022'!DR20</f>
        <v>6457</v>
      </c>
      <c r="DP20" s="179">
        <f>'[1]December - 2022'!DS20</f>
        <v>5</v>
      </c>
      <c r="DQ20" s="235">
        <f>'[1]December - 2022'!DT20</f>
        <v>30315</v>
      </c>
      <c r="DR20" s="186">
        <f>'[1]December - 2022'!DU20</f>
        <v>15</v>
      </c>
      <c r="DS20" s="408"/>
      <c r="DT20" s="190">
        <f>'[1]December - 2022'!DW20</f>
        <v>6358.9</v>
      </c>
      <c r="DU20" s="201">
        <f>'[1]December - 2022'!DX20</f>
        <v>11</v>
      </c>
      <c r="DV20" s="87">
        <f>'[1]December - 2022'!DY20</f>
        <v>11310.8</v>
      </c>
      <c r="DW20" s="195">
        <f>'[1]December - 2022'!DZ20</f>
        <v>7.6999999999989086</v>
      </c>
      <c r="DX20" s="87">
        <f>'[1]December - 2022'!EA20</f>
        <v>4818.1000000000004</v>
      </c>
      <c r="DY20" s="195">
        <f>'[1]December - 2022'!EB20</f>
        <v>6.6000000000003638</v>
      </c>
      <c r="DZ20" s="87">
        <f>'[1]December - 2022'!EC20</f>
        <v>5396.3</v>
      </c>
      <c r="EA20" s="195">
        <f>'[1]December - 2022'!ED20</f>
        <v>7.4000000000005457</v>
      </c>
      <c r="EB20" s="87">
        <f>'[1]December - 2022'!EE20</f>
        <v>1128414</v>
      </c>
      <c r="EC20" s="195">
        <f>'[1]December - 2022'!EF20</f>
        <v>553</v>
      </c>
      <c r="ED20" s="87">
        <f>'[1]December - 2022'!EI20</f>
        <v>232162</v>
      </c>
      <c r="EE20" s="208">
        <f>'[1]December - 2022'!EJ20</f>
        <v>128.20000000001164</v>
      </c>
      <c r="EF20" s="347"/>
      <c r="EG20" s="214">
        <f>'[1]December - 2022'!EL20</f>
        <v>12153900</v>
      </c>
      <c r="EH20" s="209">
        <f>'[1]December - 2022'!EM20</f>
        <v>3800</v>
      </c>
      <c r="EI20" s="86">
        <f>'[1]December - 2022'!EN20</f>
        <v>934490</v>
      </c>
      <c r="EJ20" s="209">
        <f>'[1]December - 2022'!EO20</f>
        <v>230</v>
      </c>
      <c r="EK20" s="86">
        <f>'[1]December - 2022'!EP20</f>
        <v>7228000</v>
      </c>
      <c r="EL20" s="209">
        <f>'[1]December - 2022'!EQ20</f>
        <v>1900</v>
      </c>
      <c r="EM20" s="86">
        <f>'[1]December - 2022'!ER20</f>
        <v>2499100</v>
      </c>
      <c r="EN20" s="209">
        <f>'[1]December - 2022'!ES20</f>
        <v>400</v>
      </c>
      <c r="EO20" s="86">
        <f>'[1]December - 2022'!ET20</f>
        <v>1279740</v>
      </c>
      <c r="EP20" s="209">
        <f>'[1]December - 2022'!EU20</f>
        <v>630</v>
      </c>
      <c r="EQ20" s="86">
        <f>'[1]December - 2022'!EV20</f>
        <v>16640100</v>
      </c>
      <c r="ER20" s="209">
        <f>'[1]December - 2022'!EW20</f>
        <v>1700</v>
      </c>
      <c r="ES20" s="395"/>
      <c r="ET20" s="256">
        <f>'[1]December - 2022'!EY20</f>
        <v>42148</v>
      </c>
      <c r="EU20" s="253">
        <f>'[1]December - 2022'!EZ20</f>
        <v>15</v>
      </c>
      <c r="EV20" s="257">
        <f>'[1]December - 2022'!FA20</f>
        <v>36824</v>
      </c>
      <c r="EW20" s="253">
        <f>'[1]December - 2022'!FB20</f>
        <v>10</v>
      </c>
      <c r="EX20" s="257">
        <f>'[1]December - 2022'!FC20</f>
        <v>7554</v>
      </c>
      <c r="EY20" s="253">
        <f>'[1]December - 2022'!FD20</f>
        <v>11</v>
      </c>
      <c r="EZ20" s="257">
        <f>'[1]December - 2022'!FE20</f>
        <v>59303</v>
      </c>
      <c r="FA20" s="253">
        <f>'[1]December - 2022'!FF20</f>
        <v>11</v>
      </c>
      <c r="FB20" s="257">
        <f>'[1]December - 2022'!FG20</f>
        <v>49620</v>
      </c>
      <c r="FC20" s="254">
        <f>'[1]December - 2022'!FH20</f>
        <v>33</v>
      </c>
    </row>
    <row r="21" spans="1:159" ht="30" customHeight="1" x14ac:dyDescent="0.25">
      <c r="A21" s="187">
        <v>43842</v>
      </c>
      <c r="B21" s="189">
        <f>'[1]December - 2022'!B21</f>
        <v>0.56999999999999995</v>
      </c>
      <c r="C21" s="229">
        <f>'[1]December - 2022'!E21</f>
        <v>212986</v>
      </c>
      <c r="D21" s="152">
        <f>'[1]December - 2022'!F21</f>
        <v>744</v>
      </c>
      <c r="E21" s="150">
        <f>'[1]December - 2022'!G21</f>
        <v>715</v>
      </c>
      <c r="F21" s="150">
        <f>'[1]December - 2022'!H21</f>
        <v>242762</v>
      </c>
      <c r="G21" s="152">
        <f>'[1]December - 2022'!I21</f>
        <v>429</v>
      </c>
      <c r="H21" s="150">
        <f>'[1]December - 2022'!J21</f>
        <v>430</v>
      </c>
      <c r="I21" s="150">
        <f>'[1]December - 2022'!K21</f>
        <v>7622</v>
      </c>
      <c r="J21" s="152">
        <f>'[1]December - 2022'!L21</f>
        <v>139</v>
      </c>
      <c r="K21" s="150">
        <f>'[1]December - 2022'!N21</f>
        <v>922036</v>
      </c>
      <c r="L21" s="152">
        <f>'[1]December - 2022'!O21</f>
        <v>283</v>
      </c>
      <c r="M21" s="150">
        <f>'[1]December - 2022'!Q21</f>
        <v>244610</v>
      </c>
      <c r="N21" s="152">
        <f>'[1]December - 2022'!R21</f>
        <v>153</v>
      </c>
      <c r="O21" s="150">
        <f>'[1]December - 2022'!U21</f>
        <v>116545</v>
      </c>
      <c r="P21" s="152">
        <f>'[1]December - 2022'!V21</f>
        <v>81</v>
      </c>
      <c r="Q21" s="150">
        <f>'[1]December - 2022'!W21</f>
        <v>89.709999999999127</v>
      </c>
      <c r="R21" s="150">
        <f>'[1]December - 2022'!X21</f>
        <v>6362</v>
      </c>
      <c r="S21" s="188">
        <f>'[1]December - 2022'!Y21</f>
        <v>6</v>
      </c>
      <c r="T21" s="490"/>
      <c r="U21" s="151">
        <f>'[1]December - 2022'!AE21</f>
        <v>8154802.3199999994</v>
      </c>
      <c r="V21" s="218">
        <f>'[1]December - 2022'!AF21</f>
        <v>1948.7999999998137</v>
      </c>
      <c r="W21" s="88">
        <f>'[1]December - 2022'!AF21</f>
        <v>1948.7999999998137</v>
      </c>
      <c r="X21" s="233">
        <f>'[1]December - 2022'!AH21</f>
        <v>15493544.640000001</v>
      </c>
      <c r="Y21" s="218">
        <f>'[1]December - 2022'!AI21</f>
        <v>4823.2800000011921</v>
      </c>
      <c r="Z21" s="88">
        <f>'[1]December - 2022'!AI21</f>
        <v>4823.2800000011921</v>
      </c>
      <c r="AA21" s="233">
        <f>'[1]December - 2022'!AK21</f>
        <v>15787813.439999999</v>
      </c>
      <c r="AB21" s="218">
        <f>'[1]December - 2022'!AL21</f>
        <v>9256.7999999988824</v>
      </c>
      <c r="AC21" s="88">
        <f>'[1]December - 2022'!AL21</f>
        <v>9256.7999999988824</v>
      </c>
      <c r="AD21" s="233">
        <f>'[1]December - 2022'!AN21</f>
        <v>18900729.119999997</v>
      </c>
      <c r="AE21" s="218">
        <f>'[1]December - 2022'!AO21</f>
        <v>633.35999999567866</v>
      </c>
      <c r="AF21" s="88">
        <f>'[1]December - 2022'!AO21</f>
        <v>633.35999999567866</v>
      </c>
      <c r="AG21" s="233">
        <f>'[1]December - 2022'!AQ21</f>
        <v>19168737.84</v>
      </c>
      <c r="AH21" s="218">
        <f>'[1]December - 2022'!AR21</f>
        <v>535.92000000178814</v>
      </c>
      <c r="AI21" s="88">
        <f>'[1]December - 2022'!AR21</f>
        <v>535.92000000178814</v>
      </c>
      <c r="AJ21" s="233">
        <f>'[1]December - 2022'!AT21</f>
        <v>17588943.119999997</v>
      </c>
      <c r="AK21" s="218">
        <f>'[1]December - 2022'!AU21</f>
        <v>5992.5599999949336</v>
      </c>
      <c r="AL21" s="88">
        <f>'[1]December - 2022'!AU21</f>
        <v>5992.5599999949336</v>
      </c>
      <c r="AM21" s="233">
        <f>'[1]December - 2022'!AW21</f>
        <v>14804205.359999999</v>
      </c>
      <c r="AN21" s="218">
        <f>'[1]December - 2022'!AX21</f>
        <v>4823.2799999993294</v>
      </c>
      <c r="AO21" s="258">
        <f>'[1]December - 2022'!AX21</f>
        <v>4823.2799999993294</v>
      </c>
      <c r="AP21" s="233">
        <f>'[1]December - 2022'!AZ21</f>
        <v>14327285.280000001</v>
      </c>
      <c r="AQ21" s="218">
        <f>'[1]December - 2022'!BA21</f>
        <v>4823.2800000011921</v>
      </c>
      <c r="AR21" s="88">
        <f>'[1]December - 2022'!BA21</f>
        <v>4823.2800000011921</v>
      </c>
      <c r="AS21" s="233">
        <f>'[1]December - 2022'!BC21</f>
        <v>11192689.199999999</v>
      </c>
      <c r="AT21" s="218">
        <f>'[1]December - 2022'!BD21</f>
        <v>3312.9599999990314</v>
      </c>
      <c r="AU21" s="88">
        <f>'[1]December - 2022'!BD21</f>
        <v>3312.9599999990314</v>
      </c>
      <c r="AV21" s="233">
        <f>'[1]December - 2022'!BF21</f>
        <v>17724969.359999999</v>
      </c>
      <c r="AW21" s="230">
        <f>'[1]December - 2022'!BG21</f>
        <v>5895.1200000010431</v>
      </c>
      <c r="AX21" s="231">
        <f>'[1]December - 2022'!BG21</f>
        <v>5895.1200000010431</v>
      </c>
      <c r="AY21" s="456"/>
      <c r="AZ21" s="250">
        <f>'[1]December - 2022'!BM21</f>
        <v>77984000</v>
      </c>
      <c r="BA21" s="161">
        <f>'[1]December - 2022'!BN21</f>
        <v>44000</v>
      </c>
      <c r="BB21" s="89">
        <f>'[1]December - 2022'!BN21</f>
        <v>44000</v>
      </c>
      <c r="BC21" s="250">
        <f>'[1]December - 2022'!BP21</f>
        <v>80883300</v>
      </c>
      <c r="BD21" s="224">
        <f>'[1]December - 2022'!BQ21</f>
        <v>0</v>
      </c>
      <c r="BE21" s="89">
        <f>'[1]December - 2022'!BQ21</f>
        <v>0</v>
      </c>
      <c r="BF21" s="250">
        <f>'[1]December - 2022'!BS21</f>
        <v>74770900</v>
      </c>
      <c r="BG21" s="224">
        <f>'[1]December - 2022'!BT21</f>
        <v>0</v>
      </c>
      <c r="BH21" s="89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'[1]December - 2022'!BV21</f>
        <v>10253210</v>
      </c>
      <c r="BT21" s="166">
        <f>'[1]December - 2022'!BW21</f>
        <v>7430</v>
      </c>
      <c r="BU21" s="363"/>
      <c r="BV21" s="84">
        <f>'[1]December - 2022'!BY21</f>
        <v>0.67</v>
      </c>
      <c r="BW21" s="220">
        <f>'[1]December - 2022'!BZ21</f>
        <v>-0.10000000000000009</v>
      </c>
      <c r="BX21" s="84">
        <f>'[1]December - 2022'!BZ21</f>
        <v>-0.10000000000000009</v>
      </c>
      <c r="BY21" s="85">
        <f>'[1]December - 2022'!CB21</f>
        <v>64397</v>
      </c>
      <c r="BZ21" s="172">
        <f>'[1]December - 2022'!CC21</f>
        <v>20</v>
      </c>
      <c r="CA21" s="85">
        <f>'[1]December - 2022'!CD21</f>
        <v>55494</v>
      </c>
      <c r="CB21" s="172">
        <f>'[1]December - 2022'!CE21</f>
        <v>20</v>
      </c>
      <c r="CC21" s="85">
        <f>'[1]December - 2022'!CF21</f>
        <v>18772</v>
      </c>
      <c r="CD21" s="172">
        <f>'[1]December - 2022'!CG21</f>
        <v>7</v>
      </c>
      <c r="CE21" s="85">
        <f>'[1]December - 2022'!CH21</f>
        <v>25632</v>
      </c>
      <c r="CF21" s="172">
        <f>'[1]December - 2022'!CI21</f>
        <v>10</v>
      </c>
      <c r="CG21" s="85">
        <f>'[1]December - 2022'!CJ21</f>
        <v>28541</v>
      </c>
      <c r="CH21" s="172">
        <f>'[1]December - 2022'!CK21</f>
        <v>15</v>
      </c>
      <c r="CI21" s="85">
        <f>'[1]December - 2022'!CL21</f>
        <v>62619</v>
      </c>
      <c r="CJ21" s="172">
        <f>'[1]December - 2022'!CM21</f>
        <v>29</v>
      </c>
      <c r="CK21" s="85">
        <f>'[1]December - 2022'!CN21</f>
        <v>268319</v>
      </c>
      <c r="CL21" s="225">
        <f>'[1]December - 2022'!CO21</f>
        <v>75</v>
      </c>
      <c r="CM21" s="85">
        <f>'[1]December - 2022'!CO21</f>
        <v>75</v>
      </c>
      <c r="CN21" s="85">
        <f>'[1]December - 2022'!CQ21</f>
        <v>215420</v>
      </c>
      <c r="CO21" s="225">
        <f>'[1]December - 2022'!CR21</f>
        <v>107</v>
      </c>
      <c r="CP21" s="85">
        <f>'[1]December - 2022'!CR21</f>
        <v>107</v>
      </c>
      <c r="CQ21" s="85">
        <f>'[1]December - 2022'!CT21</f>
        <v>356176</v>
      </c>
      <c r="CR21" s="225">
        <f>'[1]December - 2022'!CU21</f>
        <v>262</v>
      </c>
      <c r="CS21" s="85">
        <f>'[1]December - 2022'!CU21</f>
        <v>262</v>
      </c>
      <c r="CT21" s="85">
        <f>'[1]December - 2022'!CW21</f>
        <v>695442</v>
      </c>
      <c r="CU21" s="172">
        <f>'[1]December - 2022'!CX21</f>
        <v>175</v>
      </c>
      <c r="CV21" s="423"/>
      <c r="CW21" s="234">
        <f>'[1]December - 2022'!CZ21</f>
        <v>8890</v>
      </c>
      <c r="CX21" s="179">
        <f>'[1]December - 2022'!DA21</f>
        <v>4</v>
      </c>
      <c r="CY21" s="235">
        <f>'[1]December - 2022'!DB21</f>
        <v>6034</v>
      </c>
      <c r="CZ21" s="179">
        <f>'[1]December - 2022'!DC21</f>
        <v>2</v>
      </c>
      <c r="DA21" s="235">
        <f>'[1]December - 2022'!DD21</f>
        <v>32188</v>
      </c>
      <c r="DB21" s="179">
        <f>'[1]December - 2022'!DE21</f>
        <v>12</v>
      </c>
      <c r="DC21" s="235">
        <f>'[1]December - 2022'!DF21</f>
        <v>32427</v>
      </c>
      <c r="DD21" s="179">
        <f>'[1]December - 2022'!DG21</f>
        <v>13</v>
      </c>
      <c r="DE21" s="235">
        <f>'[1]December - 2022'!DH21</f>
        <v>21883</v>
      </c>
      <c r="DF21" s="179">
        <f>'[1]December - 2022'!DI21</f>
        <v>10</v>
      </c>
      <c r="DG21" s="235">
        <f>'[1]December - 2022'!DJ21</f>
        <v>24063</v>
      </c>
      <c r="DH21" s="179">
        <f>'[1]December - 2022'!DK21</f>
        <v>6</v>
      </c>
      <c r="DI21" s="235">
        <f>'[1]December - 2022'!DL21</f>
        <v>7133</v>
      </c>
      <c r="DJ21" s="179">
        <f>'[1]December - 2022'!DM21</f>
        <v>10</v>
      </c>
      <c r="DK21" s="235">
        <f>'[1]December - 2022'!DN21</f>
        <v>9797</v>
      </c>
      <c r="DL21" s="179">
        <f>'[1]December - 2022'!DO21</f>
        <v>9</v>
      </c>
      <c r="DM21" s="235">
        <f>'[1]December - 2022'!DP21</f>
        <v>3274</v>
      </c>
      <c r="DN21" s="179">
        <f>'[1]December - 2022'!DQ21</f>
        <v>5</v>
      </c>
      <c r="DO21" s="235">
        <f>'[1]December - 2022'!DR21</f>
        <v>6465</v>
      </c>
      <c r="DP21" s="179">
        <f>'[1]December - 2022'!DS21</f>
        <v>8</v>
      </c>
      <c r="DQ21" s="235">
        <f>'[1]December - 2022'!DT21</f>
        <v>30325</v>
      </c>
      <c r="DR21" s="186">
        <f>'[1]December - 2022'!DU21</f>
        <v>10</v>
      </c>
      <c r="DS21" s="408"/>
      <c r="DT21" s="190">
        <f>'[1]December - 2022'!DW21</f>
        <v>6370.2</v>
      </c>
      <c r="DU21" s="201">
        <f>'[1]December - 2022'!DX21</f>
        <v>11.300000000000182</v>
      </c>
      <c r="DV21" s="87">
        <f>'[1]December - 2022'!DY21</f>
        <v>11318.7</v>
      </c>
      <c r="DW21" s="195">
        <f>'[1]December - 2022'!DZ21</f>
        <v>7.9000000000014552</v>
      </c>
      <c r="DX21" s="87">
        <f>'[1]December - 2022'!EA21</f>
        <v>4824.8</v>
      </c>
      <c r="DY21" s="195">
        <f>'[1]December - 2022'!EB21</f>
        <v>6.6999999999998181</v>
      </c>
      <c r="DZ21" s="87">
        <f>'[1]December - 2022'!EC21</f>
        <v>5403.1</v>
      </c>
      <c r="EA21" s="195">
        <f>'[1]December - 2022'!ED21</f>
        <v>6.8000000000001819</v>
      </c>
      <c r="EB21" s="87">
        <f>'[1]December - 2022'!EE21</f>
        <v>1128992</v>
      </c>
      <c r="EC21" s="195">
        <f>'[1]December - 2022'!EF21</f>
        <v>578</v>
      </c>
      <c r="ED21" s="87">
        <f>'[1]December - 2022'!EI21</f>
        <v>232298.3</v>
      </c>
      <c r="EE21" s="208">
        <f>'[1]December - 2022'!EJ21</f>
        <v>136.29999999998836</v>
      </c>
      <c r="EF21" s="347"/>
      <c r="EG21" s="214">
        <f>'[1]December - 2022'!EL21</f>
        <v>12156800</v>
      </c>
      <c r="EH21" s="209">
        <f>'[1]December - 2022'!EM21</f>
        <v>2900</v>
      </c>
      <c r="EI21" s="86">
        <f>'[1]December - 2022'!EN21</f>
        <v>934740</v>
      </c>
      <c r="EJ21" s="209">
        <f>'[1]December - 2022'!EO21</f>
        <v>250</v>
      </c>
      <c r="EK21" s="86">
        <f>'[1]December - 2022'!EP21</f>
        <v>7229600</v>
      </c>
      <c r="EL21" s="209">
        <f>'[1]December - 2022'!EQ21</f>
        <v>1600</v>
      </c>
      <c r="EM21" s="86">
        <f>'[1]December - 2022'!ER21</f>
        <v>2499400</v>
      </c>
      <c r="EN21" s="209">
        <f>'[1]December - 2022'!ES21</f>
        <v>300</v>
      </c>
      <c r="EO21" s="86">
        <f>'[1]December - 2022'!ET21</f>
        <v>1280370</v>
      </c>
      <c r="EP21" s="209">
        <f>'[1]December - 2022'!EU21</f>
        <v>630</v>
      </c>
      <c r="EQ21" s="86">
        <f>'[1]December - 2022'!EV21</f>
        <v>16642000</v>
      </c>
      <c r="ER21" s="209">
        <f>'[1]December - 2022'!EW21</f>
        <v>1900</v>
      </c>
      <c r="ES21" s="395"/>
      <c r="ET21" s="256">
        <f>'[1]December - 2022'!EY21</f>
        <v>42165</v>
      </c>
      <c r="EU21" s="253">
        <f>'[1]December - 2022'!EZ21</f>
        <v>17</v>
      </c>
      <c r="EV21" s="257">
        <f>'[1]December - 2022'!FA21</f>
        <v>36835</v>
      </c>
      <c r="EW21" s="253">
        <f>'[1]December - 2022'!FB21</f>
        <v>11</v>
      </c>
      <c r="EX21" s="257">
        <f>'[1]December - 2022'!FC21</f>
        <v>7562</v>
      </c>
      <c r="EY21" s="253">
        <f>'[1]December - 2022'!FD21</f>
        <v>8</v>
      </c>
      <c r="EZ21" s="257">
        <f>'[1]December - 2022'!FE21</f>
        <v>59313</v>
      </c>
      <c r="FA21" s="253">
        <f>'[1]December - 2022'!FF21</f>
        <v>10</v>
      </c>
      <c r="FB21" s="257">
        <f>'[1]December - 2022'!FG21</f>
        <v>49654</v>
      </c>
      <c r="FC21" s="254">
        <f>'[1]December - 2022'!FH21</f>
        <v>34</v>
      </c>
    </row>
    <row r="22" spans="1:159" ht="30" customHeight="1" x14ac:dyDescent="0.25">
      <c r="A22" s="187">
        <v>43843</v>
      </c>
      <c r="B22" s="189">
        <f>'[1]December - 2022'!B22</f>
        <v>0.45</v>
      </c>
      <c r="C22" s="229">
        <f>'[1]December - 2022'!E22</f>
        <v>213555</v>
      </c>
      <c r="D22" s="152">
        <f>'[1]December - 2022'!F22</f>
        <v>569</v>
      </c>
      <c r="E22" s="150">
        <f>'[1]December - 2022'!G22</f>
        <v>452</v>
      </c>
      <c r="F22" s="150">
        <f>'[1]December - 2022'!H22</f>
        <v>243126</v>
      </c>
      <c r="G22" s="152">
        <f>'[1]December - 2022'!I22</f>
        <v>364</v>
      </c>
      <c r="H22" s="150">
        <f>'[1]December - 2022'!J22</f>
        <v>426</v>
      </c>
      <c r="I22" s="150">
        <f>'[1]December - 2022'!K22</f>
        <v>7759</v>
      </c>
      <c r="J22" s="152">
        <f>'[1]December - 2022'!L22</f>
        <v>137</v>
      </c>
      <c r="K22" s="150">
        <f>'[1]December - 2022'!N22</f>
        <v>922251</v>
      </c>
      <c r="L22" s="152">
        <f>'[1]December - 2022'!O22</f>
        <v>215</v>
      </c>
      <c r="M22" s="150">
        <f>'[1]December - 2022'!Q22</f>
        <v>244710</v>
      </c>
      <c r="N22" s="152">
        <f>'[1]December - 2022'!R22</f>
        <v>100</v>
      </c>
      <c r="O22" s="150">
        <f>'[1]December - 2022'!U22</f>
        <v>116628</v>
      </c>
      <c r="P22" s="152">
        <f>'[1]December - 2022'!V22</f>
        <v>83</v>
      </c>
      <c r="Q22" s="150">
        <f>'[1]December - 2022'!W22</f>
        <v>86.950000000004366</v>
      </c>
      <c r="R22" s="150">
        <f>'[1]December - 2022'!X22</f>
        <v>6370</v>
      </c>
      <c r="S22" s="188">
        <f>'[1]December - 2022'!Y22</f>
        <v>8</v>
      </c>
      <c r="T22" s="490"/>
      <c r="U22" s="151">
        <f>'[1]December - 2022'!AE22</f>
        <v>8156653.6800000006</v>
      </c>
      <c r="V22" s="218">
        <f>'[1]December - 2022'!AF22</f>
        <v>1851.3600000012666</v>
      </c>
      <c r="W22" s="88">
        <f>'[1]December - 2022'!AF22</f>
        <v>1851.3600000012666</v>
      </c>
      <c r="X22" s="233">
        <f>'[1]December - 2022'!AH22</f>
        <v>15497880.719999999</v>
      </c>
      <c r="Y22" s="218">
        <f>'[1]December - 2022'!AI22</f>
        <v>4336.0799999982119</v>
      </c>
      <c r="Z22" s="88">
        <f>'[1]December - 2022'!AI22</f>
        <v>4336.0799999982119</v>
      </c>
      <c r="AA22" s="233">
        <f>'[1]December - 2022'!AK22</f>
        <v>15795900.959999999</v>
      </c>
      <c r="AB22" s="218">
        <f>'[1]December - 2022'!AL22</f>
        <v>8087.519999999553</v>
      </c>
      <c r="AC22" s="88">
        <f>'[1]December - 2022'!AL22</f>
        <v>8087.519999999553</v>
      </c>
      <c r="AD22" s="233">
        <f>'[1]December - 2022'!AN22</f>
        <v>18901313.760000002</v>
      </c>
      <c r="AE22" s="218">
        <f>'[1]December - 2022'!AO22</f>
        <v>584.64000000432134</v>
      </c>
      <c r="AF22" s="88">
        <f>'[1]December - 2022'!AO22</f>
        <v>584.64000000432134</v>
      </c>
      <c r="AG22" s="233">
        <f>'[1]December - 2022'!AQ22</f>
        <v>19169225.039999999</v>
      </c>
      <c r="AH22" s="218">
        <f>'[1]December - 2022'!AR22</f>
        <v>487.19999999925494</v>
      </c>
      <c r="AI22" s="88">
        <f>'[1]December - 2022'!AR22</f>
        <v>487.19999999925494</v>
      </c>
      <c r="AJ22" s="233">
        <f>'[1]December - 2022'!AT22</f>
        <v>17594399.760000002</v>
      </c>
      <c r="AK22" s="218">
        <f>'[1]December - 2022'!AU22</f>
        <v>5456.6400000043213</v>
      </c>
      <c r="AL22" s="88">
        <f>'[1]December - 2022'!AU22</f>
        <v>5456.6400000043213</v>
      </c>
      <c r="AM22" s="233">
        <f>'[1]December - 2022'!AW22</f>
        <v>14808005.52</v>
      </c>
      <c r="AN22" s="218">
        <f>'[1]December - 2022'!AX22</f>
        <v>3800.160000000149</v>
      </c>
      <c r="AO22" s="258">
        <f>'[1]December - 2022'!AX22</f>
        <v>3800.160000000149</v>
      </c>
      <c r="AP22" s="233">
        <f>'[1]December - 2022'!AZ22</f>
        <v>14331523.919999998</v>
      </c>
      <c r="AQ22" s="218">
        <f>'[1]December - 2022'!BA22</f>
        <v>4238.6399999968708</v>
      </c>
      <c r="AR22" s="88">
        <f>'[1]December - 2022'!BA22</f>
        <v>4238.6399999968708</v>
      </c>
      <c r="AS22" s="233">
        <f>'[1]December - 2022'!BC22</f>
        <v>11195417.52</v>
      </c>
      <c r="AT22" s="218">
        <f>'[1]December - 2022'!BD22</f>
        <v>2728.320000000298</v>
      </c>
      <c r="AU22" s="88">
        <f>'[1]December - 2022'!BD22</f>
        <v>2728.320000000298</v>
      </c>
      <c r="AV22" s="233">
        <f>'[1]December - 2022'!BF22</f>
        <v>17730328.560000002</v>
      </c>
      <c r="AW22" s="230">
        <f>'[1]December - 2022'!BG22</f>
        <v>5359.2000000029802</v>
      </c>
      <c r="AX22" s="231">
        <f>'[1]December - 2022'!BG22</f>
        <v>5359.2000000029802</v>
      </c>
      <c r="AY22" s="456"/>
      <c r="AZ22" s="250">
        <f>'[1]December - 2022'!BM22</f>
        <v>78029100</v>
      </c>
      <c r="BA22" s="161">
        <f>'[1]December - 2022'!BN22</f>
        <v>45100</v>
      </c>
      <c r="BB22" s="89">
        <f>'[1]December - 2022'!BN22</f>
        <v>45100</v>
      </c>
      <c r="BC22" s="250">
        <f>'[1]December - 2022'!BP22</f>
        <v>80883300</v>
      </c>
      <c r="BD22" s="224">
        <f>'[1]December - 2022'!BQ22</f>
        <v>0</v>
      </c>
      <c r="BE22" s="89">
        <f>'[1]December - 2022'!BQ22</f>
        <v>0</v>
      </c>
      <c r="BF22" s="250">
        <f>'[1]December - 2022'!BS22</f>
        <v>74770900</v>
      </c>
      <c r="BG22" s="224">
        <f>'[1]December - 2022'!BT22</f>
        <v>0</v>
      </c>
      <c r="BH22" s="89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'[1]December - 2022'!BV22</f>
        <v>10259410</v>
      </c>
      <c r="BT22" s="166">
        <f>'[1]December - 2022'!BW22</f>
        <v>6200</v>
      </c>
      <c r="BU22" s="363"/>
      <c r="BV22" s="84">
        <f>'[1]December - 2022'!BY22</f>
        <v>0.6</v>
      </c>
      <c r="BW22" s="220">
        <f>'[1]December - 2022'!BZ22</f>
        <v>7.0000000000000062E-2</v>
      </c>
      <c r="BX22" s="84">
        <f>'[1]December - 2022'!BZ22</f>
        <v>7.0000000000000062E-2</v>
      </c>
      <c r="BY22" s="85">
        <f>'[1]December - 2022'!CB22</f>
        <v>64417</v>
      </c>
      <c r="BZ22" s="172">
        <f>'[1]December - 2022'!CC22</f>
        <v>20</v>
      </c>
      <c r="CA22" s="85">
        <f>'[1]December - 2022'!CD22</f>
        <v>55513</v>
      </c>
      <c r="CB22" s="172">
        <f>'[1]December - 2022'!CE22</f>
        <v>19</v>
      </c>
      <c r="CC22" s="85">
        <f>'[1]December - 2022'!CF22</f>
        <v>18778</v>
      </c>
      <c r="CD22" s="172">
        <f>'[1]December - 2022'!CG22</f>
        <v>6</v>
      </c>
      <c r="CE22" s="85">
        <f>'[1]December - 2022'!CH22</f>
        <v>25643</v>
      </c>
      <c r="CF22" s="172">
        <f>'[1]December - 2022'!CI22</f>
        <v>11</v>
      </c>
      <c r="CG22" s="85">
        <f>'[1]December - 2022'!CJ22</f>
        <v>28554</v>
      </c>
      <c r="CH22" s="172">
        <f>'[1]December - 2022'!CK22</f>
        <v>13</v>
      </c>
      <c r="CI22" s="85">
        <f>'[1]December - 2022'!CL22</f>
        <v>62648</v>
      </c>
      <c r="CJ22" s="172">
        <f>'[1]December - 2022'!CM22</f>
        <v>29</v>
      </c>
      <c r="CK22" s="85">
        <f>'[1]December - 2022'!CN22</f>
        <v>268387</v>
      </c>
      <c r="CL22" s="225">
        <f>'[1]December - 2022'!CO22</f>
        <v>68</v>
      </c>
      <c r="CM22" s="85">
        <f>'[1]December - 2022'!CO22</f>
        <v>68</v>
      </c>
      <c r="CN22" s="85">
        <f>'[1]December - 2022'!CQ22</f>
        <v>215519</v>
      </c>
      <c r="CO22" s="225">
        <f>'[1]December - 2022'!CR22</f>
        <v>99</v>
      </c>
      <c r="CP22" s="85">
        <f>'[1]December - 2022'!CR22</f>
        <v>99</v>
      </c>
      <c r="CQ22" s="85">
        <f>'[1]December - 2022'!CT22</f>
        <v>356464</v>
      </c>
      <c r="CR22" s="225">
        <f>'[1]December - 2022'!CU22</f>
        <v>288</v>
      </c>
      <c r="CS22" s="85">
        <f>'[1]December - 2022'!CU22</f>
        <v>288</v>
      </c>
      <c r="CT22" s="85">
        <f>'[1]December - 2022'!CW22</f>
        <v>695601</v>
      </c>
      <c r="CU22" s="172">
        <f>'[1]December - 2022'!CX22</f>
        <v>159</v>
      </c>
      <c r="CV22" s="423"/>
      <c r="CW22" s="234">
        <f>'[1]December - 2022'!CZ22</f>
        <v>8896</v>
      </c>
      <c r="CX22" s="179">
        <f>'[1]December - 2022'!DA22</f>
        <v>6</v>
      </c>
      <c r="CY22" s="235">
        <f>'[1]December - 2022'!DB22</f>
        <v>6037</v>
      </c>
      <c r="CZ22" s="179">
        <f>'[1]December - 2022'!DC22</f>
        <v>3</v>
      </c>
      <c r="DA22" s="235">
        <f>'[1]December - 2022'!DD22</f>
        <v>32201</v>
      </c>
      <c r="DB22" s="179">
        <f>'[1]December - 2022'!DE22</f>
        <v>13</v>
      </c>
      <c r="DC22" s="235">
        <f>'[1]December - 2022'!DF22</f>
        <v>32440</v>
      </c>
      <c r="DD22" s="179">
        <f>'[1]December - 2022'!DG22</f>
        <v>13</v>
      </c>
      <c r="DE22" s="235">
        <f>'[1]December - 2022'!DH22</f>
        <v>21891</v>
      </c>
      <c r="DF22" s="179">
        <f>'[1]December - 2022'!DI22</f>
        <v>8</v>
      </c>
      <c r="DG22" s="235">
        <f>'[1]December - 2022'!DJ22</f>
        <v>24068</v>
      </c>
      <c r="DH22" s="179">
        <f>'[1]December - 2022'!DK22</f>
        <v>5</v>
      </c>
      <c r="DI22" s="235">
        <f>'[1]December - 2022'!DL22</f>
        <v>7141</v>
      </c>
      <c r="DJ22" s="179">
        <f>'[1]December - 2022'!DM22</f>
        <v>8</v>
      </c>
      <c r="DK22" s="235">
        <f>'[1]December - 2022'!DN22</f>
        <v>9804</v>
      </c>
      <c r="DL22" s="179">
        <f>'[1]December - 2022'!DO22</f>
        <v>7</v>
      </c>
      <c r="DM22" s="235">
        <f>'[1]December - 2022'!DP22</f>
        <v>3278</v>
      </c>
      <c r="DN22" s="179">
        <f>'[1]December - 2022'!DQ22</f>
        <v>4</v>
      </c>
      <c r="DO22" s="235">
        <f>'[1]December - 2022'!DR22</f>
        <v>6472</v>
      </c>
      <c r="DP22" s="179">
        <f>'[1]December - 2022'!DS22</f>
        <v>7</v>
      </c>
      <c r="DQ22" s="235">
        <f>'[1]December - 2022'!DT22</f>
        <v>30331</v>
      </c>
      <c r="DR22" s="186">
        <f>'[1]December - 2022'!DU22</f>
        <v>6</v>
      </c>
      <c r="DS22" s="408"/>
      <c r="DT22" s="190">
        <f>'[1]December - 2022'!DW22</f>
        <v>6380.2</v>
      </c>
      <c r="DU22" s="201">
        <f>'[1]December - 2022'!DX22</f>
        <v>10</v>
      </c>
      <c r="DV22" s="87">
        <f>'[1]December - 2022'!DY22</f>
        <v>11325.7</v>
      </c>
      <c r="DW22" s="195">
        <f>'[1]December - 2022'!DZ22</f>
        <v>7</v>
      </c>
      <c r="DX22" s="87">
        <f>'[1]December - 2022'!EA22</f>
        <v>4830.8</v>
      </c>
      <c r="DY22" s="195">
        <f>'[1]December - 2022'!EB22</f>
        <v>6</v>
      </c>
      <c r="DZ22" s="87">
        <f>'[1]December - 2022'!EC22</f>
        <v>5409</v>
      </c>
      <c r="EA22" s="195">
        <f>'[1]December - 2022'!ED22</f>
        <v>5.8999999999996362</v>
      </c>
      <c r="EB22" s="87">
        <f>'[1]December - 2022'!EE22</f>
        <v>1129484</v>
      </c>
      <c r="EC22" s="195">
        <f>'[1]December - 2022'!EF22</f>
        <v>492</v>
      </c>
      <c r="ED22" s="87">
        <f>'[1]December - 2022'!EI22</f>
        <v>232421.2</v>
      </c>
      <c r="EE22" s="208">
        <f>'[1]December - 2022'!EJ22</f>
        <v>122.90000000002328</v>
      </c>
      <c r="EF22" s="347"/>
      <c r="EG22" s="214">
        <f>'[1]December - 2022'!EL22</f>
        <v>12159500</v>
      </c>
      <c r="EH22" s="209">
        <f>'[1]December - 2022'!EM22</f>
        <v>2700</v>
      </c>
      <c r="EI22" s="86">
        <f>'[1]December - 2022'!EN22</f>
        <v>934960</v>
      </c>
      <c r="EJ22" s="209">
        <f>'[1]December - 2022'!EO22</f>
        <v>220</v>
      </c>
      <c r="EK22" s="86">
        <f>'[1]December - 2022'!EP22</f>
        <v>7231200</v>
      </c>
      <c r="EL22" s="209">
        <f>'[1]December - 2022'!EQ22</f>
        <v>1600</v>
      </c>
      <c r="EM22" s="86">
        <f>'[1]December - 2022'!ER22</f>
        <v>2499700</v>
      </c>
      <c r="EN22" s="209">
        <f>'[1]December - 2022'!ES22</f>
        <v>300</v>
      </c>
      <c r="EO22" s="86">
        <f>'[1]December - 2022'!ET22</f>
        <v>1280960</v>
      </c>
      <c r="EP22" s="209">
        <f>'[1]December - 2022'!EU22</f>
        <v>590</v>
      </c>
      <c r="EQ22" s="86">
        <f>'[1]December - 2022'!EV22</f>
        <v>16643800</v>
      </c>
      <c r="ER22" s="209">
        <f>'[1]December - 2022'!EW22</f>
        <v>1800</v>
      </c>
      <c r="ES22" s="395"/>
      <c r="ET22" s="256">
        <f>'[1]December - 2022'!EY22</f>
        <v>42180</v>
      </c>
      <c r="EU22" s="253">
        <f>'[1]December - 2022'!EZ22</f>
        <v>15</v>
      </c>
      <c r="EV22" s="257">
        <f>'[1]December - 2022'!FA22</f>
        <v>36844</v>
      </c>
      <c r="EW22" s="253">
        <f>'[1]December - 2022'!FB22</f>
        <v>9</v>
      </c>
      <c r="EX22" s="257">
        <f>'[1]December - 2022'!FC22</f>
        <v>7568</v>
      </c>
      <c r="EY22" s="253">
        <f>'[1]December - 2022'!FD22</f>
        <v>6</v>
      </c>
      <c r="EZ22" s="257">
        <f>'[1]December - 2022'!FE22</f>
        <v>59325</v>
      </c>
      <c r="FA22" s="253">
        <f>'[1]December - 2022'!FF22</f>
        <v>12</v>
      </c>
      <c r="FB22" s="257">
        <f>'[1]December - 2022'!FG22</f>
        <v>49679</v>
      </c>
      <c r="FC22" s="254">
        <f>'[1]December - 2022'!FH22</f>
        <v>25</v>
      </c>
    </row>
    <row r="23" spans="1:159" ht="30" customHeight="1" x14ac:dyDescent="0.25">
      <c r="A23" s="187">
        <v>43844</v>
      </c>
      <c r="B23" s="189">
        <f>'[1]December - 2022'!B23</f>
        <v>0.49</v>
      </c>
      <c r="C23" s="229">
        <f>'[1]December - 2022'!E23</f>
        <v>214174</v>
      </c>
      <c r="D23" s="152">
        <f>'[1]December - 2022'!F23</f>
        <v>619</v>
      </c>
      <c r="E23" s="150">
        <f>'[1]December - 2022'!G23</f>
        <v>716</v>
      </c>
      <c r="F23" s="150">
        <f>'[1]December - 2022'!H23</f>
        <v>243520</v>
      </c>
      <c r="G23" s="152">
        <f>'[1]December - 2022'!I23</f>
        <v>394</v>
      </c>
      <c r="H23" s="150">
        <f>'[1]December - 2022'!J23</f>
        <v>414</v>
      </c>
      <c r="I23" s="150">
        <f>'[1]December - 2022'!K23</f>
        <v>7898</v>
      </c>
      <c r="J23" s="152">
        <f>'[1]December - 2022'!L23</f>
        <v>139</v>
      </c>
      <c r="K23" s="150">
        <f>'[1]December - 2022'!N23</f>
        <v>922436</v>
      </c>
      <c r="L23" s="152">
        <f>'[1]December - 2022'!O23</f>
        <v>185</v>
      </c>
      <c r="M23" s="150">
        <f>'[1]December - 2022'!Q23</f>
        <v>244801</v>
      </c>
      <c r="N23" s="152">
        <f>'[1]December - 2022'!R23</f>
        <v>91</v>
      </c>
      <c r="O23" s="150">
        <f>'[1]December - 2022'!U23</f>
        <v>116728</v>
      </c>
      <c r="P23" s="152">
        <f>'[1]December - 2022'!V23</f>
        <v>100</v>
      </c>
      <c r="Q23" s="150">
        <f>'[1]December - 2022'!W23</f>
        <v>87.580000000001746</v>
      </c>
      <c r="R23" s="150">
        <f>'[1]December - 2022'!X23</f>
        <v>6377</v>
      </c>
      <c r="S23" s="188">
        <f>'[1]December - 2022'!Y23</f>
        <v>7</v>
      </c>
      <c r="T23" s="490"/>
      <c r="U23" s="151">
        <f>'[1]December - 2022'!AE23</f>
        <v>8158602.4800000004</v>
      </c>
      <c r="V23" s="218">
        <f>'[1]December - 2022'!AF23</f>
        <v>1948.7999999998137</v>
      </c>
      <c r="W23" s="88">
        <f>'[1]December - 2022'!AF23</f>
        <v>1948.7999999998137</v>
      </c>
      <c r="X23" s="233">
        <f>'[1]December - 2022'!AH23</f>
        <v>15502265.52</v>
      </c>
      <c r="Y23" s="218">
        <f>'[1]December - 2022'!AI23</f>
        <v>4384.8000000007451</v>
      </c>
      <c r="Z23" s="88">
        <f>'[1]December - 2022'!AI23</f>
        <v>4384.8000000007451</v>
      </c>
      <c r="AA23" s="233">
        <f>'[1]December - 2022'!AK23</f>
        <v>15805011.6</v>
      </c>
      <c r="AB23" s="218">
        <f>'[1]December - 2022'!AL23</f>
        <v>9110.640000000596</v>
      </c>
      <c r="AC23" s="88">
        <f>'[1]December - 2022'!AL23</f>
        <v>9110.640000000596</v>
      </c>
      <c r="AD23" s="233">
        <f>'[1]December - 2022'!AN23</f>
        <v>18901995.84</v>
      </c>
      <c r="AE23" s="218">
        <f>'[1]December - 2022'!AO23</f>
        <v>682.07999999821186</v>
      </c>
      <c r="AF23" s="88">
        <f>'[1]December - 2022'!AO23</f>
        <v>682.07999999821186</v>
      </c>
      <c r="AG23" s="233">
        <f>'[1]December - 2022'!AQ23</f>
        <v>19169760.960000001</v>
      </c>
      <c r="AH23" s="218">
        <f>'[1]December - 2022'!AR23</f>
        <v>535.92000000178814</v>
      </c>
      <c r="AI23" s="88">
        <f>'[1]December - 2022'!AR23</f>
        <v>535.92000000178814</v>
      </c>
      <c r="AJ23" s="233">
        <f>'[1]December - 2022'!AT23</f>
        <v>17600002.560000002</v>
      </c>
      <c r="AK23" s="218">
        <f>'[1]December - 2022'!AU23</f>
        <v>5602.8000000007451</v>
      </c>
      <c r="AL23" s="88">
        <f>'[1]December - 2022'!AU23</f>
        <v>5602.8000000007451</v>
      </c>
      <c r="AM23" s="233">
        <f>'[1]December - 2022'!AW23</f>
        <v>14812244.16</v>
      </c>
      <c r="AN23" s="218">
        <f>'[1]December - 2022'!AX23</f>
        <v>4238.640000000596</v>
      </c>
      <c r="AO23" s="88">
        <f>'[1]December - 2022'!AX23</f>
        <v>4238.640000000596</v>
      </c>
      <c r="AP23" s="233">
        <f>'[1]December - 2022'!AZ23</f>
        <v>14335811.280000001</v>
      </c>
      <c r="AQ23" s="218">
        <f>'[1]December - 2022'!BA23</f>
        <v>4287.3600000031292</v>
      </c>
      <c r="AR23" s="88">
        <f>'[1]December - 2022'!BA23</f>
        <v>4287.3600000031292</v>
      </c>
      <c r="AS23" s="233">
        <f>'[1]December - 2022'!BC23</f>
        <v>11198438.16</v>
      </c>
      <c r="AT23" s="218">
        <f>'[1]December - 2022'!BD23</f>
        <v>3020.640000000596</v>
      </c>
      <c r="AU23" s="88">
        <f>'[1]December - 2022'!BD23</f>
        <v>3020.640000000596</v>
      </c>
      <c r="AV23" s="233">
        <f>'[1]December - 2022'!BF23</f>
        <v>17735882.639999997</v>
      </c>
      <c r="AW23" s="230">
        <f>'[1]December - 2022'!BG23</f>
        <v>5554.0799999944866</v>
      </c>
      <c r="AX23" s="231">
        <f>'[1]December - 2022'!BG23</f>
        <v>5554.0799999944866</v>
      </c>
      <c r="AY23" s="456"/>
      <c r="AZ23" s="250">
        <f>'[1]December - 2022'!BM23</f>
        <v>78079600</v>
      </c>
      <c r="BA23" s="161">
        <f>'[1]December - 2022'!BN23</f>
        <v>50500</v>
      </c>
      <c r="BB23" s="89">
        <f>'[1]December - 2022'!BN23</f>
        <v>50500</v>
      </c>
      <c r="BC23" s="250">
        <f>'[1]December - 2022'!BP23</f>
        <v>80883300</v>
      </c>
      <c r="BD23" s="224">
        <f>'[1]December - 2022'!BQ23</f>
        <v>0</v>
      </c>
      <c r="BE23" s="89">
        <f>'[1]December - 2022'!BQ23</f>
        <v>0</v>
      </c>
      <c r="BF23" s="250">
        <f>'[1]December - 2022'!BS23</f>
        <v>74770900</v>
      </c>
      <c r="BG23" s="224">
        <f>'[1]December - 2022'!BT23</f>
        <v>0</v>
      </c>
      <c r="BH23" s="89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'[1]December - 2022'!BV23</f>
        <v>10265660</v>
      </c>
      <c r="BT23" s="166">
        <f>'[1]December - 2022'!BW23</f>
        <v>6250</v>
      </c>
      <c r="BU23" s="363"/>
      <c r="BV23" s="84">
        <f>'[1]December - 2022'!BY23</f>
        <v>0.5</v>
      </c>
      <c r="BW23" s="220">
        <f>'[1]December - 2022'!BZ23</f>
        <v>9.9999999999999978E-2</v>
      </c>
      <c r="BX23" s="84">
        <f>'[1]December - 2022'!BZ23</f>
        <v>9.9999999999999978E-2</v>
      </c>
      <c r="BY23" s="85">
        <f>'[1]December - 2022'!CB23</f>
        <v>64437</v>
      </c>
      <c r="BZ23" s="172">
        <f>'[1]December - 2022'!CC23</f>
        <v>20</v>
      </c>
      <c r="CA23" s="85">
        <f>'[1]December - 2022'!CD23</f>
        <v>55531</v>
      </c>
      <c r="CB23" s="172">
        <f>'[1]December - 2022'!CE23</f>
        <v>18</v>
      </c>
      <c r="CC23" s="85">
        <f>'[1]December - 2022'!CF23</f>
        <v>18784</v>
      </c>
      <c r="CD23" s="172">
        <f>'[1]December - 2022'!CG23</f>
        <v>6</v>
      </c>
      <c r="CE23" s="85">
        <f>'[1]December - 2022'!CH23</f>
        <v>25654</v>
      </c>
      <c r="CF23" s="172">
        <f>'[1]December - 2022'!CI23</f>
        <v>11</v>
      </c>
      <c r="CG23" s="85">
        <f>'[1]December - 2022'!CJ23</f>
        <v>28568</v>
      </c>
      <c r="CH23" s="172">
        <f>'[1]December - 2022'!CK23</f>
        <v>14</v>
      </c>
      <c r="CI23" s="85">
        <f>'[1]December - 2022'!CL23</f>
        <v>62678</v>
      </c>
      <c r="CJ23" s="172">
        <f>'[1]December - 2022'!CM23</f>
        <v>30</v>
      </c>
      <c r="CK23" s="85">
        <f>'[1]December - 2022'!CN23</f>
        <v>268457</v>
      </c>
      <c r="CL23" s="225">
        <f>'[1]December - 2022'!CO23</f>
        <v>70</v>
      </c>
      <c r="CM23" s="85">
        <f>'[1]December - 2022'!CO23</f>
        <v>70</v>
      </c>
      <c r="CN23" s="85">
        <f>'[1]December - 2022'!CQ23</f>
        <v>215623</v>
      </c>
      <c r="CO23" s="225">
        <f>'[1]December - 2022'!CR23</f>
        <v>104</v>
      </c>
      <c r="CP23" s="85">
        <f>'[1]December - 2022'!CR23</f>
        <v>104</v>
      </c>
      <c r="CQ23" s="85">
        <f>'[1]December - 2022'!CT23</f>
        <v>356757</v>
      </c>
      <c r="CR23" s="225">
        <f>'[1]December - 2022'!CU23</f>
        <v>293</v>
      </c>
      <c r="CS23" s="85">
        <f>'[1]December - 2022'!CU23</f>
        <v>293</v>
      </c>
      <c r="CT23" s="85">
        <f>'[1]December - 2022'!CW23</f>
        <v>695764</v>
      </c>
      <c r="CU23" s="172">
        <f>'[1]December - 2022'!CX23</f>
        <v>163</v>
      </c>
      <c r="CV23" s="423"/>
      <c r="CW23" s="234">
        <f>'[1]December - 2022'!CZ23</f>
        <v>8904</v>
      </c>
      <c r="CX23" s="179">
        <f>'[1]December - 2022'!DA23</f>
        <v>8</v>
      </c>
      <c r="CY23" s="235">
        <f>'[1]December - 2022'!DB23</f>
        <v>6043</v>
      </c>
      <c r="CZ23" s="179">
        <f>'[1]December - 2022'!DC23</f>
        <v>6</v>
      </c>
      <c r="DA23" s="235">
        <f>'[1]December - 2022'!DD23</f>
        <v>32215</v>
      </c>
      <c r="DB23" s="179">
        <f>'[1]December - 2022'!DE23</f>
        <v>14</v>
      </c>
      <c r="DC23" s="235">
        <f>'[1]December - 2022'!DF23</f>
        <v>32452</v>
      </c>
      <c r="DD23" s="179">
        <f>'[1]December - 2022'!DG23</f>
        <v>12</v>
      </c>
      <c r="DE23" s="235">
        <f>'[1]December - 2022'!DH23</f>
        <v>21900</v>
      </c>
      <c r="DF23" s="179">
        <f>'[1]December - 2022'!DI23</f>
        <v>9</v>
      </c>
      <c r="DG23" s="235">
        <f>'[1]December - 2022'!DJ23</f>
        <v>24073</v>
      </c>
      <c r="DH23" s="179">
        <f>'[1]December - 2022'!DK23</f>
        <v>5</v>
      </c>
      <c r="DI23" s="235">
        <f>'[1]December - 2022'!DL23</f>
        <v>7151</v>
      </c>
      <c r="DJ23" s="179">
        <f>'[1]December - 2022'!DM23</f>
        <v>10</v>
      </c>
      <c r="DK23" s="235">
        <f>'[1]December - 2022'!DN23</f>
        <v>9810</v>
      </c>
      <c r="DL23" s="179">
        <f>'[1]December - 2022'!DO23</f>
        <v>6</v>
      </c>
      <c r="DM23" s="235">
        <f>'[1]December - 2022'!DP23</f>
        <v>3280</v>
      </c>
      <c r="DN23" s="179">
        <f>'[1]December - 2022'!DQ23</f>
        <v>2</v>
      </c>
      <c r="DO23" s="235">
        <f>'[1]December - 2022'!DR23</f>
        <v>6483</v>
      </c>
      <c r="DP23" s="179">
        <f>'[1]December - 2022'!DS23</f>
        <v>11</v>
      </c>
      <c r="DQ23" s="235">
        <f>'[1]December - 2022'!DT23</f>
        <v>30334</v>
      </c>
      <c r="DR23" s="186">
        <f>'[1]December - 2022'!DU23</f>
        <v>3</v>
      </c>
      <c r="DS23" s="408"/>
      <c r="DT23" s="190">
        <f>'[1]December - 2022'!DW23</f>
        <v>6390.7</v>
      </c>
      <c r="DU23" s="201">
        <f>'[1]December - 2022'!DX23</f>
        <v>10.5</v>
      </c>
      <c r="DV23" s="87">
        <f>'[1]December - 2022'!DY23</f>
        <v>11333.5</v>
      </c>
      <c r="DW23" s="195">
        <f>'[1]December - 2022'!DZ23</f>
        <v>7.7999999999992724</v>
      </c>
      <c r="DX23" s="87">
        <f>'[1]December - 2022'!EA23</f>
        <v>4836.8999999999996</v>
      </c>
      <c r="DY23" s="195">
        <f>'[1]December - 2022'!EB23</f>
        <v>6.0999999999994543</v>
      </c>
      <c r="DZ23" s="87">
        <f>'[1]December - 2022'!EC23</f>
        <v>5415.3</v>
      </c>
      <c r="EA23" s="195">
        <f>'[1]December - 2022'!ED23</f>
        <v>6.3000000000001819</v>
      </c>
      <c r="EB23" s="87">
        <f>'[1]December - 2022'!EE23</f>
        <v>1129985</v>
      </c>
      <c r="EC23" s="195">
        <f>'[1]December - 2022'!EF23</f>
        <v>501</v>
      </c>
      <c r="ED23" s="87">
        <f>'[1]December - 2022'!EI23</f>
        <v>232550.1</v>
      </c>
      <c r="EE23" s="208">
        <f>'[1]December - 2022'!EJ23</f>
        <v>128.89999999999418</v>
      </c>
      <c r="EF23" s="347"/>
      <c r="EG23" s="214">
        <f>'[1]December - 2022'!EL23</f>
        <v>12162600</v>
      </c>
      <c r="EH23" s="209">
        <f>'[1]December - 2022'!EM23</f>
        <v>3100</v>
      </c>
      <c r="EI23" s="86">
        <f>'[1]December - 2022'!EN23</f>
        <v>935210</v>
      </c>
      <c r="EJ23" s="209">
        <f>'[1]December - 2022'!EO23</f>
        <v>250</v>
      </c>
      <c r="EK23" s="86">
        <f>'[1]December - 2022'!EP23</f>
        <v>7233100</v>
      </c>
      <c r="EL23" s="209">
        <f>'[1]December - 2022'!EQ23</f>
        <v>1900</v>
      </c>
      <c r="EM23" s="86">
        <f>'[1]December - 2022'!ER23</f>
        <v>2500000</v>
      </c>
      <c r="EN23" s="209">
        <f>'[1]December - 2022'!ES23</f>
        <v>300</v>
      </c>
      <c r="EO23" s="86">
        <f>'[1]December - 2022'!ET23</f>
        <v>1281630</v>
      </c>
      <c r="EP23" s="209">
        <f>'[1]December - 2022'!EU23</f>
        <v>670</v>
      </c>
      <c r="EQ23" s="86">
        <f>'[1]December - 2022'!EV23</f>
        <v>16645900</v>
      </c>
      <c r="ER23" s="209">
        <f>'[1]December - 2022'!EW23</f>
        <v>2100</v>
      </c>
      <c r="ES23" s="395"/>
      <c r="ET23" s="256">
        <f>'[1]December - 2022'!EY23</f>
        <v>42195</v>
      </c>
      <c r="EU23" s="253">
        <f>'[1]December - 2022'!EZ23</f>
        <v>15</v>
      </c>
      <c r="EV23" s="257">
        <f>'[1]December - 2022'!FA23</f>
        <v>36855</v>
      </c>
      <c r="EW23" s="253">
        <f>'[1]December - 2022'!FB23</f>
        <v>11</v>
      </c>
      <c r="EX23" s="257">
        <f>'[1]December - 2022'!FC23</f>
        <v>7576</v>
      </c>
      <c r="EY23" s="253">
        <f>'[1]December - 2022'!FD23</f>
        <v>8</v>
      </c>
      <c r="EZ23" s="257">
        <f>'[1]December - 2022'!FE23</f>
        <v>59340</v>
      </c>
      <c r="FA23" s="253">
        <f>'[1]December - 2022'!FF23</f>
        <v>15</v>
      </c>
      <c r="FB23" s="257">
        <f>'[1]December - 2022'!FG23</f>
        <v>49709</v>
      </c>
      <c r="FC23" s="254">
        <f>'[1]December - 2022'!FH23</f>
        <v>30</v>
      </c>
    </row>
    <row r="24" spans="1:159" ht="30" customHeight="1" x14ac:dyDescent="0.25">
      <c r="A24" s="187">
        <v>43845</v>
      </c>
      <c r="B24" s="189">
        <f>'[1]December - 2022'!B24</f>
        <v>0.68</v>
      </c>
      <c r="C24" s="229">
        <f>'[1]December - 2022'!E24</f>
        <v>214801</v>
      </c>
      <c r="D24" s="152">
        <f>'[1]December - 2022'!F24</f>
        <v>627</v>
      </c>
      <c r="E24" s="150">
        <f>'[1]December - 2022'!G24</f>
        <v>746</v>
      </c>
      <c r="F24" s="150">
        <f>'[1]December - 2022'!H24</f>
        <v>243958</v>
      </c>
      <c r="G24" s="152">
        <f>'[1]December - 2022'!I24</f>
        <v>438</v>
      </c>
      <c r="H24" s="150">
        <f>'[1]December - 2022'!J24</f>
        <v>448</v>
      </c>
      <c r="I24" s="150">
        <f>'[1]December - 2022'!K24</f>
        <v>8040</v>
      </c>
      <c r="J24" s="152">
        <f>'[1]December - 2022'!L24</f>
        <v>142</v>
      </c>
      <c r="K24" s="150">
        <f>'[1]December - 2022'!N24</f>
        <v>922573</v>
      </c>
      <c r="L24" s="152">
        <f>'[1]December - 2022'!O24</f>
        <v>137</v>
      </c>
      <c r="M24" s="150">
        <f>'[1]December - 2022'!Q24</f>
        <v>244870</v>
      </c>
      <c r="N24" s="152">
        <f>'[1]December - 2022'!R24</f>
        <v>69</v>
      </c>
      <c r="O24" s="150">
        <f>'[1]December - 2022'!U24</f>
        <v>116822</v>
      </c>
      <c r="P24" s="152">
        <f>'[1]December - 2022'!V24</f>
        <v>94</v>
      </c>
      <c r="Q24" s="150">
        <f>'[1]December - 2022'!W24</f>
        <v>86.399999999994179</v>
      </c>
      <c r="R24" s="150">
        <f>'[1]December - 2022'!X24</f>
        <v>6384</v>
      </c>
      <c r="S24" s="188">
        <f>'[1]December - 2022'!Y24</f>
        <v>7</v>
      </c>
      <c r="T24" s="490"/>
      <c r="U24" s="151">
        <f>'[1]December - 2022'!AE24</f>
        <v>8160551.2800000003</v>
      </c>
      <c r="V24" s="218">
        <f>'[1]December - 2022'!AF24</f>
        <v>1948.7999999998137</v>
      </c>
      <c r="W24" s="88">
        <f>'[1]December - 2022'!AF24</f>
        <v>1948.7999999998137</v>
      </c>
      <c r="X24" s="233">
        <f>'[1]December - 2022'!AH24</f>
        <v>15506699.039999999</v>
      </c>
      <c r="Y24" s="218">
        <f>'[1]December - 2022'!AI24</f>
        <v>4433.519999999553</v>
      </c>
      <c r="Z24" s="88">
        <f>'[1]December - 2022'!AI24</f>
        <v>4433.519999999553</v>
      </c>
      <c r="AA24" s="233">
        <f>'[1]December - 2022'!AK24</f>
        <v>15814317.119999999</v>
      </c>
      <c r="AB24" s="218">
        <f>'[1]December - 2022'!AL24</f>
        <v>9305.519999999553</v>
      </c>
      <c r="AC24" s="88">
        <f>'[1]December - 2022'!AL24</f>
        <v>9305.519999999553</v>
      </c>
      <c r="AD24" s="233">
        <f>'[1]December - 2022'!AN24</f>
        <v>18902775.359999999</v>
      </c>
      <c r="AE24" s="218">
        <f>'[1]December - 2022'!AO24</f>
        <v>779.51999999955297</v>
      </c>
      <c r="AF24" s="88">
        <f>'[1]December - 2022'!AO24</f>
        <v>779.51999999955297</v>
      </c>
      <c r="AG24" s="233">
        <f>'[1]December - 2022'!AQ24</f>
        <v>19170296.879999999</v>
      </c>
      <c r="AH24" s="218">
        <f>'[1]December - 2022'!AR24</f>
        <v>535.91999999806285</v>
      </c>
      <c r="AI24" s="88">
        <f>'[1]December - 2022'!AR24</f>
        <v>535.91999999806285</v>
      </c>
      <c r="AJ24" s="233">
        <f>'[1]December - 2022'!AT24</f>
        <v>17605702.800000001</v>
      </c>
      <c r="AK24" s="218">
        <f>'[1]December - 2022'!AU24</f>
        <v>5700.2399999983609</v>
      </c>
      <c r="AL24" s="88">
        <f>'[1]December - 2022'!AU24</f>
        <v>5700.2399999983609</v>
      </c>
      <c r="AM24" s="233">
        <f>'[1]December - 2022'!AW24</f>
        <v>14816628.959999999</v>
      </c>
      <c r="AN24" s="218">
        <f>'[1]December - 2022'!AX24</f>
        <v>4384.7999999988824</v>
      </c>
      <c r="AO24" s="88">
        <f>'[1]December - 2022'!AX24</f>
        <v>4384.7999999988824</v>
      </c>
      <c r="AP24" s="233">
        <f>'[1]December - 2022'!AZ24</f>
        <v>14340342.24</v>
      </c>
      <c r="AQ24" s="218">
        <f>'[1]December - 2022'!BA24</f>
        <v>4530.9599999990314</v>
      </c>
      <c r="AR24" s="88">
        <f>'[1]December - 2022'!BA24</f>
        <v>4530.9599999990314</v>
      </c>
      <c r="AS24" s="233">
        <f>'[1]December - 2022'!BC24</f>
        <v>11201751.119999999</v>
      </c>
      <c r="AT24" s="218">
        <f>'[1]December - 2022'!BD24</f>
        <v>3312.9599999990314</v>
      </c>
      <c r="AU24" s="88">
        <f>'[1]December - 2022'!BD24</f>
        <v>3312.9599999990314</v>
      </c>
      <c r="AV24" s="233">
        <f>'[1]December - 2022'!BF24</f>
        <v>17741631.599999998</v>
      </c>
      <c r="AW24" s="230">
        <f>'[1]December - 2022'!BG24</f>
        <v>5748.9600000008941</v>
      </c>
      <c r="AX24" s="231">
        <f>'[1]December - 2022'!BG24</f>
        <v>5748.9600000008941</v>
      </c>
      <c r="AY24" s="456"/>
      <c r="AZ24" s="250">
        <f>'[1]December - 2022'!BM24</f>
        <v>78132100</v>
      </c>
      <c r="BA24" s="161">
        <f>'[1]December - 2022'!BN24</f>
        <v>52500</v>
      </c>
      <c r="BB24" s="89">
        <f>'[1]December - 2022'!BN24</f>
        <v>52500</v>
      </c>
      <c r="BC24" s="250">
        <f>'[1]December - 2022'!BP24</f>
        <v>80883300</v>
      </c>
      <c r="BD24" s="224">
        <f>'[1]December - 2022'!BQ24</f>
        <v>0</v>
      </c>
      <c r="BE24" s="89">
        <f>'[1]December - 2022'!BQ24</f>
        <v>0</v>
      </c>
      <c r="BF24" s="250">
        <f>'[1]December - 2022'!BS24</f>
        <v>74770900</v>
      </c>
      <c r="BG24" s="224">
        <f>'[1]December - 2022'!BT24</f>
        <v>0</v>
      </c>
      <c r="BH24" s="89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'[1]December - 2022'!BV24</f>
        <v>10272820</v>
      </c>
      <c r="BT24" s="166">
        <f>'[1]December - 2022'!BW24</f>
        <v>7160</v>
      </c>
      <c r="BU24" s="363"/>
      <c r="BV24" s="84">
        <f>'[1]December - 2022'!BY24</f>
        <v>0.44</v>
      </c>
      <c r="BW24" s="220">
        <f>'[1]December - 2022'!BZ24</f>
        <v>0.06</v>
      </c>
      <c r="BX24" s="84">
        <f>'[1]December - 2022'!BZ24</f>
        <v>0.06</v>
      </c>
      <c r="BY24" s="85">
        <f>'[1]December - 2022'!CB24</f>
        <v>64458</v>
      </c>
      <c r="BZ24" s="172">
        <f>'[1]December - 2022'!CC24</f>
        <v>21</v>
      </c>
      <c r="CA24" s="85">
        <f>'[1]December - 2022'!CD24</f>
        <v>55550</v>
      </c>
      <c r="CB24" s="172">
        <f>'[1]December - 2022'!CE24</f>
        <v>19</v>
      </c>
      <c r="CC24" s="85">
        <f>'[1]December - 2022'!CF24</f>
        <v>18791</v>
      </c>
      <c r="CD24" s="172">
        <f>'[1]December - 2022'!CG24</f>
        <v>7</v>
      </c>
      <c r="CE24" s="85">
        <f>'[1]December - 2022'!CH24</f>
        <v>25663</v>
      </c>
      <c r="CF24" s="172">
        <f>'[1]December - 2022'!CI24</f>
        <v>9</v>
      </c>
      <c r="CG24" s="85">
        <f>'[1]December - 2022'!CJ24</f>
        <v>28583</v>
      </c>
      <c r="CH24" s="172">
        <f>'[1]December - 2022'!CK24</f>
        <v>15</v>
      </c>
      <c r="CI24" s="85">
        <f>'[1]December - 2022'!CL24</f>
        <v>62709</v>
      </c>
      <c r="CJ24" s="172">
        <f>'[1]December - 2022'!CM24</f>
        <v>31</v>
      </c>
      <c r="CK24" s="85">
        <f>'[1]December - 2022'!CN24</f>
        <v>268529</v>
      </c>
      <c r="CL24" s="225">
        <f>'[1]December - 2022'!CO24</f>
        <v>72</v>
      </c>
      <c r="CM24" s="85">
        <f>'[1]December - 2022'!CO24</f>
        <v>72</v>
      </c>
      <c r="CN24" s="85">
        <f>'[1]December - 2022'!CQ24</f>
        <v>215732</v>
      </c>
      <c r="CO24" s="225">
        <f>'[1]December - 2022'!CR24</f>
        <v>109</v>
      </c>
      <c r="CP24" s="85">
        <f>'[1]December - 2022'!CR24</f>
        <v>109</v>
      </c>
      <c r="CQ24" s="85">
        <f>'[1]December - 2022'!CT24</f>
        <v>356901</v>
      </c>
      <c r="CR24" s="225">
        <f>'[1]December - 2022'!CU24</f>
        <v>144</v>
      </c>
      <c r="CS24" s="85">
        <f>'[1]December - 2022'!CU24</f>
        <v>144</v>
      </c>
      <c r="CT24" s="85">
        <f>'[1]December - 2022'!CW24</f>
        <v>695935</v>
      </c>
      <c r="CU24" s="172">
        <f>'[1]December - 2022'!CX24</f>
        <v>171</v>
      </c>
      <c r="CV24" s="423"/>
      <c r="CW24" s="234">
        <f>'[1]December - 2022'!CZ24</f>
        <v>8909</v>
      </c>
      <c r="CX24" s="179">
        <f>'[1]December - 2022'!DA24</f>
        <v>5</v>
      </c>
      <c r="CY24" s="235">
        <f>'[1]December - 2022'!DB24</f>
        <v>6046</v>
      </c>
      <c r="CZ24" s="179">
        <f>'[1]December - 2022'!DC24</f>
        <v>3</v>
      </c>
      <c r="DA24" s="235">
        <f>'[1]December - 2022'!DD24</f>
        <v>32231</v>
      </c>
      <c r="DB24" s="179">
        <f>'[1]December - 2022'!DE24</f>
        <v>16</v>
      </c>
      <c r="DC24" s="235">
        <f>'[1]December - 2022'!DF24</f>
        <v>32465</v>
      </c>
      <c r="DD24" s="179">
        <f>'[1]December - 2022'!DG24</f>
        <v>13</v>
      </c>
      <c r="DE24" s="235">
        <f>'[1]December - 2022'!DH24</f>
        <v>21910</v>
      </c>
      <c r="DF24" s="179">
        <f>'[1]December - 2022'!DI24</f>
        <v>10</v>
      </c>
      <c r="DG24" s="235">
        <f>'[1]December - 2022'!DJ24</f>
        <v>24079</v>
      </c>
      <c r="DH24" s="179">
        <f>'[1]December - 2022'!DK24</f>
        <v>6</v>
      </c>
      <c r="DI24" s="235">
        <f>'[1]December - 2022'!DL24</f>
        <v>7161</v>
      </c>
      <c r="DJ24" s="179">
        <f>'[1]December - 2022'!DM24</f>
        <v>10</v>
      </c>
      <c r="DK24" s="235">
        <f>'[1]December - 2022'!DN24</f>
        <v>9817</v>
      </c>
      <c r="DL24" s="179">
        <f>'[1]December - 2022'!DO24</f>
        <v>7</v>
      </c>
      <c r="DM24" s="235">
        <f>'[1]December - 2022'!DP24</f>
        <v>3284</v>
      </c>
      <c r="DN24" s="179">
        <f>'[1]December - 2022'!DQ24</f>
        <v>4</v>
      </c>
      <c r="DO24" s="235">
        <f>'[1]December - 2022'!DR24</f>
        <v>6490</v>
      </c>
      <c r="DP24" s="179">
        <f>'[1]December - 2022'!DS24</f>
        <v>7</v>
      </c>
      <c r="DQ24" s="235">
        <f>'[1]December - 2022'!DT24</f>
        <v>30341</v>
      </c>
      <c r="DR24" s="186">
        <f>'[1]December - 2022'!DU24</f>
        <v>7</v>
      </c>
      <c r="DS24" s="408"/>
      <c r="DT24" s="190">
        <f>'[1]December - 2022'!DW24</f>
        <v>6402.2</v>
      </c>
      <c r="DU24" s="201">
        <f>'[1]December - 2022'!DX24</f>
        <v>11.5</v>
      </c>
      <c r="DV24" s="87">
        <f>'[1]December - 2022'!DY24</f>
        <v>11341.4</v>
      </c>
      <c r="DW24" s="195">
        <f>'[1]December - 2022'!DZ24</f>
        <v>7.8999999999996362</v>
      </c>
      <c r="DX24" s="87">
        <f>'[1]December - 2022'!EA24</f>
        <v>4843.3999999999996</v>
      </c>
      <c r="DY24" s="195">
        <f>'[1]December - 2022'!EB24</f>
        <v>6.5</v>
      </c>
      <c r="DZ24" s="87">
        <f>'[1]December - 2022'!EC24</f>
        <v>5421.7</v>
      </c>
      <c r="EA24" s="195">
        <f>'[1]December - 2022'!ED24</f>
        <v>6.3999999999996362</v>
      </c>
      <c r="EB24" s="87">
        <f>'[1]December - 2022'!EE24</f>
        <v>1130563</v>
      </c>
      <c r="EC24" s="195">
        <f>'[1]December - 2022'!EF24</f>
        <v>578</v>
      </c>
      <c r="ED24" s="87">
        <f>'[1]December - 2022'!EI24</f>
        <v>232682</v>
      </c>
      <c r="EE24" s="208">
        <f>'[1]December - 2022'!EJ24</f>
        <v>131.89999999999418</v>
      </c>
      <c r="EF24" s="347"/>
      <c r="EG24" s="214">
        <f>'[1]December - 2022'!EL24</f>
        <v>12166100</v>
      </c>
      <c r="EH24" s="209">
        <f>'[1]December - 2022'!EM24</f>
        <v>3500</v>
      </c>
      <c r="EI24" s="86">
        <f>'[1]December - 2022'!EN24</f>
        <v>935460</v>
      </c>
      <c r="EJ24" s="209">
        <f>'[1]December - 2022'!EO24</f>
        <v>250</v>
      </c>
      <c r="EK24" s="86">
        <f>'[1]December - 2022'!EP24</f>
        <v>7235100</v>
      </c>
      <c r="EL24" s="209">
        <f>'[1]December - 2022'!EQ24</f>
        <v>2000</v>
      </c>
      <c r="EM24" s="86">
        <f>'[1]December - 2022'!ER24</f>
        <v>2500400</v>
      </c>
      <c r="EN24" s="209">
        <f>'[1]December - 2022'!ES24</f>
        <v>400</v>
      </c>
      <c r="EO24" s="86">
        <f>'[1]December - 2022'!ET24</f>
        <v>1282300</v>
      </c>
      <c r="EP24" s="209">
        <f>'[1]December - 2022'!EU24</f>
        <v>670</v>
      </c>
      <c r="EQ24" s="86">
        <f>'[1]December - 2022'!EV24</f>
        <v>16647900</v>
      </c>
      <c r="ER24" s="209">
        <f>'[1]December - 2022'!EW24</f>
        <v>2000</v>
      </c>
      <c r="ES24" s="395"/>
      <c r="ET24" s="256">
        <f>'[1]December - 2022'!EY24</f>
        <v>42211</v>
      </c>
      <c r="EU24" s="253">
        <f>'[1]December - 2022'!EZ24</f>
        <v>16</v>
      </c>
      <c r="EV24" s="257">
        <f>'[1]December - 2022'!FA24</f>
        <v>36866</v>
      </c>
      <c r="EW24" s="253">
        <f>'[1]December - 2022'!FB24</f>
        <v>11</v>
      </c>
      <c r="EX24" s="257">
        <f>'[1]December - 2022'!FC24</f>
        <v>7584</v>
      </c>
      <c r="EY24" s="253">
        <f>'[1]December - 2022'!FD24</f>
        <v>8</v>
      </c>
      <c r="EZ24" s="257">
        <f>'[1]December - 2022'!FE24</f>
        <v>59354</v>
      </c>
      <c r="FA24" s="253">
        <f>'[1]December - 2022'!FF24</f>
        <v>14</v>
      </c>
      <c r="FB24" s="257">
        <f>'[1]December - 2022'!FG24</f>
        <v>49740</v>
      </c>
      <c r="FC24" s="254">
        <f>'[1]December - 2022'!FH24</f>
        <v>31</v>
      </c>
    </row>
    <row r="25" spans="1:159" ht="30" customHeight="1" x14ac:dyDescent="0.25">
      <c r="A25" s="187">
        <v>43846</v>
      </c>
      <c r="B25" s="189">
        <f>'[1]December - 2022'!B25</f>
        <v>0.74</v>
      </c>
      <c r="C25" s="229">
        <f>'[1]December - 2022'!E25</f>
        <v>215446</v>
      </c>
      <c r="D25" s="152">
        <f>'[1]December - 2022'!F25</f>
        <v>645</v>
      </c>
      <c r="E25" s="150">
        <f>'[1]December - 2022'!G25</f>
        <v>744</v>
      </c>
      <c r="F25" s="150">
        <f>'[1]December - 2022'!H25</f>
        <v>244430</v>
      </c>
      <c r="G25" s="152">
        <f>'[1]December - 2022'!I25</f>
        <v>472</v>
      </c>
      <c r="H25" s="150">
        <f>'[1]December - 2022'!J25</f>
        <v>453</v>
      </c>
      <c r="I25" s="150">
        <f>'[1]December - 2022'!K25</f>
        <v>8194</v>
      </c>
      <c r="J25" s="152">
        <f>'[1]December - 2022'!L25</f>
        <v>154</v>
      </c>
      <c r="K25" s="150">
        <f>'[1]December - 2022'!N25</f>
        <v>922615</v>
      </c>
      <c r="L25" s="152">
        <f>'[1]December - 2022'!O25</f>
        <v>42</v>
      </c>
      <c r="M25" s="150">
        <f>'[1]December - 2022'!Q25</f>
        <v>244870</v>
      </c>
      <c r="N25" s="152">
        <f>'[1]December - 2022'!R25</f>
        <v>0</v>
      </c>
      <c r="O25" s="150">
        <f>'[1]December - 2022'!U25</f>
        <v>116920</v>
      </c>
      <c r="P25" s="152">
        <f>'[1]December - 2022'!V25</f>
        <v>98</v>
      </c>
      <c r="Q25" s="150">
        <f>'[1]December - 2022'!W25</f>
        <v>84.400000000001455</v>
      </c>
      <c r="R25" s="150">
        <f>'[1]December - 2022'!X25</f>
        <v>6393</v>
      </c>
      <c r="S25" s="188">
        <f>'[1]December - 2022'!Y25</f>
        <v>9</v>
      </c>
      <c r="T25" s="490"/>
      <c r="U25" s="151">
        <f>'[1]December - 2022'!AE25</f>
        <v>8162500.0800000001</v>
      </c>
      <c r="V25" s="218">
        <f>'[1]December - 2022'!AF25</f>
        <v>1948.7999999998137</v>
      </c>
      <c r="W25" s="88">
        <f>'[1]December - 2022'!AF25</f>
        <v>1948.7999999998137</v>
      </c>
      <c r="X25" s="233">
        <f>'[1]December - 2022'!AH25</f>
        <v>15511083.84</v>
      </c>
      <c r="Y25" s="218">
        <f>'[1]December - 2022'!AI25</f>
        <v>4384.8000000007451</v>
      </c>
      <c r="Z25" s="88">
        <f>'[1]December - 2022'!AI25</f>
        <v>4384.8000000007451</v>
      </c>
      <c r="AA25" s="233">
        <f>'[1]December - 2022'!AK25</f>
        <v>15823671.359999999</v>
      </c>
      <c r="AB25" s="218">
        <f>'[1]December - 2022'!AL25</f>
        <v>9354.2400000002235</v>
      </c>
      <c r="AC25" s="88">
        <f>'[1]December - 2022'!AL25</f>
        <v>9354.2400000002235</v>
      </c>
      <c r="AD25" s="233">
        <f>'[1]December - 2022'!AN25</f>
        <v>18903457.439999998</v>
      </c>
      <c r="AE25" s="218">
        <f>'[1]December - 2022'!AO25</f>
        <v>682.07999999821186</v>
      </c>
      <c r="AF25" s="88">
        <f>'[1]December - 2022'!AO25</f>
        <v>682.07999999821186</v>
      </c>
      <c r="AG25" s="233">
        <f>'[1]December - 2022'!AQ25</f>
        <v>19170832.800000001</v>
      </c>
      <c r="AH25" s="218">
        <f>'[1]December - 2022'!AR25</f>
        <v>535.92000000178814</v>
      </c>
      <c r="AI25" s="88">
        <f>'[1]December - 2022'!AR25</f>
        <v>535.92000000178814</v>
      </c>
      <c r="AJ25" s="233">
        <f>'[1]December - 2022'!AT25</f>
        <v>17611549.199999999</v>
      </c>
      <c r="AK25" s="218">
        <f>'[1]December - 2022'!AU25</f>
        <v>5846.3999999985099</v>
      </c>
      <c r="AL25" s="88">
        <f>'[1]December - 2022'!AU25</f>
        <v>5846.3999999985099</v>
      </c>
      <c r="AM25" s="233">
        <f>'[1]December - 2022'!AW25</f>
        <v>14821013.76</v>
      </c>
      <c r="AN25" s="218">
        <f>'[1]December - 2022'!AX25</f>
        <v>4384.8000000007451</v>
      </c>
      <c r="AO25" s="88">
        <f>'[1]December - 2022'!AX25</f>
        <v>4384.8000000007451</v>
      </c>
      <c r="AP25" s="233">
        <f>'[1]December - 2022'!AZ25</f>
        <v>14345068.08</v>
      </c>
      <c r="AQ25" s="218">
        <f>'[1]December - 2022'!BA25</f>
        <v>4725.839999999851</v>
      </c>
      <c r="AR25" s="88">
        <f>'[1]December - 2022'!BA25</f>
        <v>4725.839999999851</v>
      </c>
      <c r="AS25" s="233">
        <f>'[1]December - 2022'!BC25</f>
        <v>11205064.08</v>
      </c>
      <c r="AT25" s="218">
        <f>'[1]December - 2022'!BD25</f>
        <v>3312.9600000008941</v>
      </c>
      <c r="AU25" s="88">
        <f>'[1]December - 2022'!BD25</f>
        <v>3312.9600000008941</v>
      </c>
      <c r="AV25" s="233">
        <f>'[1]December - 2022'!BF25</f>
        <v>17747478</v>
      </c>
      <c r="AW25" s="230">
        <f>'[1]December - 2022'!BG25</f>
        <v>5846.4000000022352</v>
      </c>
      <c r="AX25" s="231">
        <f>'[1]December - 2022'!BG25</f>
        <v>5846.4000000022352</v>
      </c>
      <c r="AY25" s="456"/>
      <c r="AZ25" s="250">
        <f>'[1]December - 2022'!BM25</f>
        <v>78185100</v>
      </c>
      <c r="BA25" s="161">
        <f>'[1]December - 2022'!BN25</f>
        <v>53000</v>
      </c>
      <c r="BB25" s="89">
        <f>'[1]December - 2022'!BN25</f>
        <v>53000</v>
      </c>
      <c r="BC25" s="250">
        <f>'[1]December - 2022'!BP25</f>
        <v>80883300</v>
      </c>
      <c r="BD25" s="224">
        <f>'[1]December - 2022'!BQ25</f>
        <v>0</v>
      </c>
      <c r="BE25" s="89">
        <f>'[1]December - 2022'!BQ25</f>
        <v>0</v>
      </c>
      <c r="BF25" s="250">
        <f>'[1]December - 2022'!BS25</f>
        <v>74770900</v>
      </c>
      <c r="BG25" s="224">
        <f>'[1]December - 2022'!BT25</f>
        <v>0</v>
      </c>
      <c r="BH25" s="89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'[1]December - 2022'!BV25</f>
        <v>10280280</v>
      </c>
      <c r="BT25" s="166">
        <f>'[1]December - 2022'!BW25</f>
        <v>7460</v>
      </c>
      <c r="BU25" s="363"/>
      <c r="BV25" s="84">
        <f>'[1]December - 2022'!BY25</f>
        <v>0.51</v>
      </c>
      <c r="BW25" s="220">
        <f>'[1]December - 2022'!BZ25</f>
        <v>-7.0000000000000007E-2</v>
      </c>
      <c r="BX25" s="84">
        <f>'[1]December - 2022'!BZ25</f>
        <v>-7.0000000000000007E-2</v>
      </c>
      <c r="BY25" s="85">
        <f>'[1]December - 2022'!CB25</f>
        <v>64477</v>
      </c>
      <c r="BZ25" s="172">
        <f>'[1]December - 2022'!CC25</f>
        <v>19</v>
      </c>
      <c r="CA25" s="85">
        <f>'[1]December - 2022'!CD25</f>
        <v>55567</v>
      </c>
      <c r="CB25" s="172">
        <f>'[1]December - 2022'!CE25</f>
        <v>17</v>
      </c>
      <c r="CC25" s="85">
        <f>'[1]December - 2022'!CF25</f>
        <v>18798</v>
      </c>
      <c r="CD25" s="172">
        <f>'[1]December - 2022'!CG25</f>
        <v>7</v>
      </c>
      <c r="CE25" s="85">
        <f>'[1]December - 2022'!CH25</f>
        <v>25673</v>
      </c>
      <c r="CF25" s="172">
        <f>'[1]December - 2022'!CI25</f>
        <v>10</v>
      </c>
      <c r="CG25" s="85">
        <f>'[1]December - 2022'!CJ25</f>
        <v>28597</v>
      </c>
      <c r="CH25" s="172">
        <f>'[1]December - 2022'!CK25</f>
        <v>14</v>
      </c>
      <c r="CI25" s="85">
        <f>'[1]December - 2022'!CL25</f>
        <v>62741</v>
      </c>
      <c r="CJ25" s="172">
        <f>'[1]December - 2022'!CM25</f>
        <v>32</v>
      </c>
      <c r="CK25" s="85">
        <f>'[1]December - 2022'!CN25</f>
        <v>268602</v>
      </c>
      <c r="CL25" s="225">
        <f>'[1]December - 2022'!CO25</f>
        <v>73</v>
      </c>
      <c r="CM25" s="85">
        <f>'[1]December - 2022'!CO25</f>
        <v>73</v>
      </c>
      <c r="CN25" s="85">
        <f>'[1]December - 2022'!CQ25</f>
        <v>215841</v>
      </c>
      <c r="CO25" s="225">
        <f>'[1]December - 2022'!CR25</f>
        <v>109</v>
      </c>
      <c r="CP25" s="85">
        <f>'[1]December - 2022'!CR25</f>
        <v>109</v>
      </c>
      <c r="CQ25" s="85">
        <f>'[1]December - 2022'!CT25</f>
        <v>357124</v>
      </c>
      <c r="CR25" s="225">
        <f>'[1]December - 2022'!CU25</f>
        <v>223</v>
      </c>
      <c r="CS25" s="85">
        <f>'[1]December - 2022'!CU25</f>
        <v>223</v>
      </c>
      <c r="CT25" s="85">
        <f>'[1]December - 2022'!CW25</f>
        <v>696105</v>
      </c>
      <c r="CU25" s="172">
        <f>'[1]December - 2022'!CX25</f>
        <v>170</v>
      </c>
      <c r="CV25" s="423"/>
      <c r="CW25" s="234">
        <f>'[1]December - 2022'!CZ25</f>
        <v>8914</v>
      </c>
      <c r="CX25" s="179">
        <f>'[1]December - 2022'!DA25</f>
        <v>5</v>
      </c>
      <c r="CY25" s="235">
        <f>'[1]December - 2022'!DB25</f>
        <v>6049</v>
      </c>
      <c r="CZ25" s="179">
        <f>'[1]December - 2022'!DC25</f>
        <v>3</v>
      </c>
      <c r="DA25" s="235">
        <f>'[1]December - 2022'!DD25</f>
        <v>32245</v>
      </c>
      <c r="DB25" s="179">
        <f>'[1]December - 2022'!DE25</f>
        <v>14</v>
      </c>
      <c r="DC25" s="235">
        <f>'[1]December - 2022'!DF25</f>
        <v>32477</v>
      </c>
      <c r="DD25" s="179">
        <f>'[1]December - 2022'!DG25</f>
        <v>12</v>
      </c>
      <c r="DE25" s="235">
        <f>'[1]December - 2022'!DH25</f>
        <v>21919</v>
      </c>
      <c r="DF25" s="179">
        <f>'[1]December - 2022'!DI25</f>
        <v>9</v>
      </c>
      <c r="DG25" s="235">
        <f>'[1]December - 2022'!DJ25</f>
        <v>24085</v>
      </c>
      <c r="DH25" s="179">
        <f>'[1]December - 2022'!DK25</f>
        <v>6</v>
      </c>
      <c r="DI25" s="235">
        <f>'[1]December - 2022'!DL25</f>
        <v>7170</v>
      </c>
      <c r="DJ25" s="179">
        <f>'[1]December - 2022'!DM25</f>
        <v>9</v>
      </c>
      <c r="DK25" s="235">
        <f>'[1]December - 2022'!DN25</f>
        <v>9824</v>
      </c>
      <c r="DL25" s="179">
        <f>'[1]December - 2022'!DO25</f>
        <v>7</v>
      </c>
      <c r="DM25" s="235">
        <f>'[1]December - 2022'!DP25</f>
        <v>3288</v>
      </c>
      <c r="DN25" s="179">
        <f>'[1]December - 2022'!DQ25</f>
        <v>4</v>
      </c>
      <c r="DO25" s="235">
        <f>'[1]December - 2022'!DR25</f>
        <v>6497</v>
      </c>
      <c r="DP25" s="179">
        <f>'[1]December - 2022'!DS25</f>
        <v>7</v>
      </c>
      <c r="DQ25" s="235">
        <f>'[1]December - 2022'!DT25</f>
        <v>30341</v>
      </c>
      <c r="DR25" s="186">
        <f>'[1]December - 2022'!DU25</f>
        <v>0</v>
      </c>
      <c r="DS25" s="408"/>
      <c r="DT25" s="190">
        <f>'[1]December - 2022'!DW25</f>
        <v>6413.7</v>
      </c>
      <c r="DU25" s="201">
        <f>'[1]December - 2022'!DX25</f>
        <v>11.5</v>
      </c>
      <c r="DV25" s="87">
        <f>'[1]December - 2022'!DY25</f>
        <v>11349.5</v>
      </c>
      <c r="DW25" s="195">
        <f>'[1]December - 2022'!DZ25</f>
        <v>8.1000000000003638</v>
      </c>
      <c r="DX25" s="87">
        <f>'[1]December - 2022'!EA25</f>
        <v>4849.6000000000004</v>
      </c>
      <c r="DY25" s="195">
        <f>'[1]December - 2022'!EB25</f>
        <v>6.2000000000007276</v>
      </c>
      <c r="DZ25" s="87">
        <f>'[1]December - 2022'!EC25</f>
        <v>5429.1</v>
      </c>
      <c r="EA25" s="195">
        <f>'[1]December - 2022'!ED25</f>
        <v>7.4000000000005457</v>
      </c>
      <c r="EB25" s="87">
        <f>'[1]December - 2022'!EE25</f>
        <v>1131160</v>
      </c>
      <c r="EC25" s="195">
        <f>'[1]December - 2022'!EF25</f>
        <v>597</v>
      </c>
      <c r="ED25" s="87">
        <f>'[1]December - 2022'!EI25</f>
        <v>232814</v>
      </c>
      <c r="EE25" s="208">
        <f>'[1]December - 2022'!EJ25</f>
        <v>132</v>
      </c>
      <c r="EF25" s="347"/>
      <c r="EG25" s="214">
        <f>'[1]December - 2022'!EL25</f>
        <v>12169600</v>
      </c>
      <c r="EH25" s="209">
        <f>'[1]December - 2022'!EM25</f>
        <v>3500</v>
      </c>
      <c r="EI25" s="86">
        <f>'[1]December - 2022'!EN25</f>
        <v>935720</v>
      </c>
      <c r="EJ25" s="209">
        <f>'[1]December - 2022'!EO25</f>
        <v>260</v>
      </c>
      <c r="EK25" s="86">
        <f>'[1]December - 2022'!EP25</f>
        <v>7236900</v>
      </c>
      <c r="EL25" s="209">
        <f>'[1]December - 2022'!EQ25</f>
        <v>1800</v>
      </c>
      <c r="EM25" s="86">
        <f>'[1]December - 2022'!ER25</f>
        <v>2500700</v>
      </c>
      <c r="EN25" s="209">
        <f>'[1]December - 2022'!ES25</f>
        <v>300</v>
      </c>
      <c r="EO25" s="86">
        <f>'[1]December - 2022'!ET25</f>
        <v>1282940</v>
      </c>
      <c r="EP25" s="209">
        <f>'[1]December - 2022'!EU25</f>
        <v>640</v>
      </c>
      <c r="EQ25" s="86">
        <f>'[1]December - 2022'!EV25</f>
        <v>16652000</v>
      </c>
      <c r="ER25" s="209">
        <f>'[1]December - 2022'!EW25</f>
        <v>4100</v>
      </c>
      <c r="ES25" s="395"/>
      <c r="ET25" s="256">
        <f>'[1]December - 2022'!EY25</f>
        <v>42228</v>
      </c>
      <c r="EU25" s="253">
        <f>'[1]December - 2022'!EZ25</f>
        <v>17</v>
      </c>
      <c r="EV25" s="257">
        <f>'[1]December - 2022'!FA25</f>
        <v>36876</v>
      </c>
      <c r="EW25" s="253">
        <f>'[1]December - 2022'!FB25</f>
        <v>10</v>
      </c>
      <c r="EX25" s="257">
        <f>'[1]December - 2022'!FC25</f>
        <v>7594</v>
      </c>
      <c r="EY25" s="253">
        <f>'[1]December - 2022'!FD25</f>
        <v>10</v>
      </c>
      <c r="EZ25" s="257">
        <f>'[1]December - 2022'!FE25</f>
        <v>59370</v>
      </c>
      <c r="FA25" s="253">
        <f>'[1]December - 2022'!FF25</f>
        <v>16</v>
      </c>
      <c r="FB25" s="257">
        <f>'[1]December - 2022'!FG25</f>
        <v>49776</v>
      </c>
      <c r="FC25" s="254">
        <f>'[1]December - 2022'!FH25</f>
        <v>36</v>
      </c>
    </row>
    <row r="26" spans="1:159" ht="30" customHeight="1" x14ac:dyDescent="0.25">
      <c r="A26" s="187">
        <v>43847</v>
      </c>
      <c r="B26" s="189">
        <f>'[1]December - 2022'!B26</f>
        <v>0.67</v>
      </c>
      <c r="C26" s="229">
        <f>'[1]December - 2022'!E26</f>
        <v>216108</v>
      </c>
      <c r="D26" s="152">
        <f>'[1]December - 2022'!F26</f>
        <v>662</v>
      </c>
      <c r="E26" s="150">
        <f>'[1]December - 2022'!G26</f>
        <v>717</v>
      </c>
      <c r="F26" s="150">
        <f>'[1]December - 2022'!H26</f>
        <v>244952</v>
      </c>
      <c r="G26" s="152">
        <f>'[1]December - 2022'!I26</f>
        <v>522</v>
      </c>
      <c r="H26" s="150">
        <f>'[1]December - 2022'!J26</f>
        <v>457</v>
      </c>
      <c r="I26" s="150">
        <f>'[1]December - 2022'!K26</f>
        <v>8359</v>
      </c>
      <c r="J26" s="152">
        <f>'[1]December - 2022'!L26</f>
        <v>165</v>
      </c>
      <c r="K26" s="150">
        <f>'[1]December - 2022'!N26</f>
        <v>922633</v>
      </c>
      <c r="L26" s="152">
        <f>'[1]December - 2022'!O26</f>
        <v>18</v>
      </c>
      <c r="M26" s="150">
        <f>'[1]December - 2022'!Q26</f>
        <v>244870</v>
      </c>
      <c r="N26" s="152">
        <f>'[1]December - 2022'!R26</f>
        <v>0</v>
      </c>
      <c r="O26" s="150">
        <f>'[1]December - 2022'!U26</f>
        <v>117028</v>
      </c>
      <c r="P26" s="152">
        <f>'[1]December - 2022'!V26</f>
        <v>108</v>
      </c>
      <c r="Q26" s="150">
        <f>'[1]December - 2022'!W26</f>
        <v>87.980000000003201</v>
      </c>
      <c r="R26" s="150">
        <f>'[1]December - 2022'!X26</f>
        <v>6407</v>
      </c>
      <c r="S26" s="188">
        <f>'[1]December - 2022'!Y26</f>
        <v>14</v>
      </c>
      <c r="T26" s="490"/>
      <c r="U26" s="151">
        <f>'[1]December - 2022'!AE26</f>
        <v>8166348.959999999</v>
      </c>
      <c r="V26" s="218">
        <f>'[1]December - 2022'!AF26</f>
        <v>3848.8799999989569</v>
      </c>
      <c r="W26" s="88">
        <f>'[1]December - 2022'!AF26</f>
        <v>3848.8799999989569</v>
      </c>
      <c r="X26" s="233">
        <f>'[1]December - 2022'!AH26</f>
        <v>15515760.959999999</v>
      </c>
      <c r="Y26" s="218">
        <f>'[1]December - 2022'!AI26</f>
        <v>4677.1199999991804</v>
      </c>
      <c r="Z26" s="88">
        <f>'[1]December - 2022'!AI26</f>
        <v>4677.1199999991804</v>
      </c>
      <c r="AA26" s="233">
        <f>'[1]December - 2022'!AK26</f>
        <v>15824743.199999999</v>
      </c>
      <c r="AB26" s="218">
        <f>'[1]December - 2022'!AL26</f>
        <v>1071.839999999851</v>
      </c>
      <c r="AC26" s="88">
        <f>'[1]December - 2022'!AL26</f>
        <v>1071.839999999851</v>
      </c>
      <c r="AD26" s="233">
        <f>'[1]December - 2022'!AN26</f>
        <v>18903554.879999999</v>
      </c>
      <c r="AE26" s="218">
        <f>'[1]December - 2022'!AO26</f>
        <v>97.440000001341105</v>
      </c>
      <c r="AF26" s="88">
        <f>'[1]December - 2022'!AO26</f>
        <v>97.440000001341105</v>
      </c>
      <c r="AG26" s="233">
        <f>'[1]December - 2022'!AQ26</f>
        <v>19179797.280000001</v>
      </c>
      <c r="AH26" s="218">
        <f>'[1]December - 2022'!AR26</f>
        <v>8964.480000000447</v>
      </c>
      <c r="AI26" s="88">
        <f>'[1]December - 2022'!AR26</f>
        <v>8964.480000000447</v>
      </c>
      <c r="AJ26" s="233">
        <f>'[1]December - 2022'!AT26</f>
        <v>17617346.879999999</v>
      </c>
      <c r="AK26" s="218">
        <f>'[1]December - 2022'!AU26</f>
        <v>5797.679999999702</v>
      </c>
      <c r="AL26" s="88">
        <f>'[1]December - 2022'!AU26</f>
        <v>5797.679999999702</v>
      </c>
      <c r="AM26" s="233">
        <f>'[1]December - 2022'!AW26</f>
        <v>14825642.16</v>
      </c>
      <c r="AN26" s="218">
        <f>'[1]December - 2022'!AX26</f>
        <v>4628.4000000003725</v>
      </c>
      <c r="AO26" s="88">
        <f>'[1]December - 2022'!AX26</f>
        <v>4628.4000000003725</v>
      </c>
      <c r="AP26" s="233">
        <f>'[1]December - 2022'!AZ26</f>
        <v>14350037.52</v>
      </c>
      <c r="AQ26" s="218">
        <f>'[1]December - 2022'!BA26</f>
        <v>4969.4399999994785</v>
      </c>
      <c r="AR26" s="88">
        <f>'[1]December - 2022'!BA26</f>
        <v>4969.4399999994785</v>
      </c>
      <c r="AS26" s="233">
        <f>'[1]December - 2022'!BC26</f>
        <v>11208425.76</v>
      </c>
      <c r="AT26" s="218">
        <f>'[1]December - 2022'!BD26</f>
        <v>3361.679999999702</v>
      </c>
      <c r="AU26" s="88">
        <f>'[1]December - 2022'!BD26</f>
        <v>3361.679999999702</v>
      </c>
      <c r="AV26" s="233">
        <f>'[1]December - 2022'!BF26</f>
        <v>17753568</v>
      </c>
      <c r="AW26" s="230">
        <f>'[1]December - 2022'!BG26</f>
        <v>6090</v>
      </c>
      <c r="AX26" s="231">
        <f>'[1]December - 2022'!BG26</f>
        <v>6090</v>
      </c>
      <c r="AY26" s="456"/>
      <c r="AZ26" s="250">
        <f>'[1]December - 2022'!BM26</f>
        <v>78188000</v>
      </c>
      <c r="BA26" s="161">
        <f>'[1]December - 2022'!BN26</f>
        <v>2900</v>
      </c>
      <c r="BB26" s="89">
        <f>'[1]December - 2022'!BN26</f>
        <v>2900</v>
      </c>
      <c r="BC26" s="250">
        <f>'[1]December - 2022'!BP26</f>
        <v>80883300</v>
      </c>
      <c r="BD26" s="224">
        <f>'[1]December - 2022'!BQ26</f>
        <v>0</v>
      </c>
      <c r="BE26" s="89">
        <f>'[1]December - 2022'!BQ26</f>
        <v>0</v>
      </c>
      <c r="BF26" s="250">
        <f>'[1]December - 2022'!BS26</f>
        <v>74820500</v>
      </c>
      <c r="BG26" s="224">
        <f>'[1]December - 2022'!BT26</f>
        <v>49600</v>
      </c>
      <c r="BH26" s="89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'[1]December - 2022'!BV26</f>
        <v>10287790</v>
      </c>
      <c r="BT26" s="166">
        <f>'[1]December - 2022'!BW26</f>
        <v>7510</v>
      </c>
      <c r="BU26" s="363"/>
      <c r="BV26" s="84">
        <f>'[1]December - 2022'!BY26</f>
        <v>0.57999999999999996</v>
      </c>
      <c r="BW26" s="220">
        <f>'[1]December - 2022'!BZ26</f>
        <v>-6.9999999999999951E-2</v>
      </c>
      <c r="BX26" s="84">
        <f>'[1]December - 2022'!BZ26</f>
        <v>-6.9999999999999951E-2</v>
      </c>
      <c r="BY26" s="85">
        <f>'[1]December - 2022'!CB26</f>
        <v>64498</v>
      </c>
      <c r="BZ26" s="172">
        <f>'[1]December - 2022'!CC26</f>
        <v>21</v>
      </c>
      <c r="CA26" s="85">
        <f>'[1]December - 2022'!CD26</f>
        <v>55588</v>
      </c>
      <c r="CB26" s="172">
        <f>'[1]December - 2022'!CE26</f>
        <v>21</v>
      </c>
      <c r="CC26" s="85">
        <f>'[1]December - 2022'!CF26</f>
        <v>18805</v>
      </c>
      <c r="CD26" s="172">
        <f>'[1]December - 2022'!CG26</f>
        <v>7</v>
      </c>
      <c r="CE26" s="85">
        <f>'[1]December - 2022'!CH26</f>
        <v>25683</v>
      </c>
      <c r="CF26" s="172">
        <f>'[1]December - 2022'!CI26</f>
        <v>10</v>
      </c>
      <c r="CG26" s="85">
        <f>'[1]December - 2022'!CJ26</f>
        <v>28613</v>
      </c>
      <c r="CH26" s="172">
        <f>'[1]December - 2022'!CK26</f>
        <v>16</v>
      </c>
      <c r="CI26" s="85">
        <f>'[1]December - 2022'!CL26</f>
        <v>62774</v>
      </c>
      <c r="CJ26" s="172">
        <f>'[1]December - 2022'!CM26</f>
        <v>33</v>
      </c>
      <c r="CK26" s="85">
        <f>'[1]December - 2022'!CN26</f>
        <v>268676</v>
      </c>
      <c r="CL26" s="225">
        <f>'[1]December - 2022'!CO26</f>
        <v>74</v>
      </c>
      <c r="CM26" s="85">
        <f>'[1]December - 2022'!CO26</f>
        <v>74</v>
      </c>
      <c r="CN26" s="85">
        <f>'[1]December - 2022'!CQ26</f>
        <v>215960</v>
      </c>
      <c r="CO26" s="225">
        <f>'[1]December - 2022'!CR26</f>
        <v>119</v>
      </c>
      <c r="CP26" s="85">
        <f>'[1]December - 2022'!CR26</f>
        <v>119</v>
      </c>
      <c r="CQ26" s="85">
        <f>'[1]December - 2022'!CT26</f>
        <v>357370</v>
      </c>
      <c r="CR26" s="225">
        <f>'[1]December - 2022'!CU26</f>
        <v>246</v>
      </c>
      <c r="CS26" s="85">
        <f>'[1]December - 2022'!CU26</f>
        <v>246</v>
      </c>
      <c r="CT26" s="85">
        <f>'[1]December - 2022'!CW26</f>
        <v>696280</v>
      </c>
      <c r="CU26" s="172">
        <f>'[1]December - 2022'!CX26</f>
        <v>175</v>
      </c>
      <c r="CV26" s="423"/>
      <c r="CW26" s="234">
        <f>'[1]December - 2022'!CZ26</f>
        <v>8919</v>
      </c>
      <c r="CX26" s="179">
        <f>'[1]December - 2022'!DA26</f>
        <v>5</v>
      </c>
      <c r="CY26" s="235">
        <f>'[1]December - 2022'!DB26</f>
        <v>6052</v>
      </c>
      <c r="CZ26" s="179">
        <f>'[1]December - 2022'!DC26</f>
        <v>3</v>
      </c>
      <c r="DA26" s="235">
        <f>'[1]December - 2022'!DD26</f>
        <v>32260</v>
      </c>
      <c r="DB26" s="179">
        <f>'[1]December - 2022'!DE26</f>
        <v>15</v>
      </c>
      <c r="DC26" s="235">
        <f>'[1]December - 2022'!DF26</f>
        <v>32489</v>
      </c>
      <c r="DD26" s="179">
        <f>'[1]December - 2022'!DG26</f>
        <v>12</v>
      </c>
      <c r="DE26" s="235">
        <f>'[1]December - 2022'!DH26</f>
        <v>21928</v>
      </c>
      <c r="DF26" s="179">
        <f>'[1]December - 2022'!DI26</f>
        <v>9</v>
      </c>
      <c r="DG26" s="235">
        <f>'[1]December - 2022'!DJ26</f>
        <v>24091</v>
      </c>
      <c r="DH26" s="179">
        <f>'[1]December - 2022'!DK26</f>
        <v>6</v>
      </c>
      <c r="DI26" s="235">
        <f>'[1]December - 2022'!DL26</f>
        <v>7179</v>
      </c>
      <c r="DJ26" s="179">
        <f>'[1]December - 2022'!DM26</f>
        <v>9</v>
      </c>
      <c r="DK26" s="235">
        <f>'[1]December - 2022'!DN26</f>
        <v>9831</v>
      </c>
      <c r="DL26" s="179">
        <f>'[1]December - 2022'!DO26</f>
        <v>7</v>
      </c>
      <c r="DM26" s="235">
        <f>'[1]December - 2022'!DP26</f>
        <v>3292</v>
      </c>
      <c r="DN26" s="179">
        <f>'[1]December - 2022'!DQ26</f>
        <v>4</v>
      </c>
      <c r="DO26" s="235">
        <f>'[1]December - 2022'!DR26</f>
        <v>6504</v>
      </c>
      <c r="DP26" s="179">
        <f>'[1]December - 2022'!DS26</f>
        <v>7</v>
      </c>
      <c r="DQ26" s="235">
        <f>'[1]December - 2022'!DT26</f>
        <v>30341</v>
      </c>
      <c r="DR26" s="186">
        <f>'[1]December - 2022'!DU26</f>
        <v>0</v>
      </c>
      <c r="DS26" s="408"/>
      <c r="DT26" s="190">
        <f>'[1]December - 2022'!DW26</f>
        <v>6425.3</v>
      </c>
      <c r="DU26" s="201">
        <f>'[1]December - 2022'!DX26</f>
        <v>11.600000000000364</v>
      </c>
      <c r="DV26" s="87">
        <f>'[1]December - 2022'!DY26</f>
        <v>11357.9</v>
      </c>
      <c r="DW26" s="195">
        <f>'[1]December - 2022'!DZ26</f>
        <v>8.3999999999996362</v>
      </c>
      <c r="DX26" s="87">
        <f>'[1]December - 2022'!EA26</f>
        <v>4856.3999999999996</v>
      </c>
      <c r="DY26" s="195">
        <f>'[1]December - 2022'!EB26</f>
        <v>6.7999999999992724</v>
      </c>
      <c r="DZ26" s="87">
        <f>'[1]December - 2022'!EC26</f>
        <v>5437.1</v>
      </c>
      <c r="EA26" s="195">
        <f>'[1]December - 2022'!ED26</f>
        <v>8</v>
      </c>
      <c r="EB26" s="87">
        <f>'[1]December - 2022'!EE26</f>
        <v>1131797</v>
      </c>
      <c r="EC26" s="195">
        <f>'[1]December - 2022'!EF26</f>
        <v>637</v>
      </c>
      <c r="ED26" s="87">
        <f>'[1]December - 2022'!EI26</f>
        <v>232950</v>
      </c>
      <c r="EE26" s="208">
        <f>'[1]December - 2022'!EJ26</f>
        <v>136</v>
      </c>
      <c r="EF26" s="347"/>
      <c r="EG26" s="214">
        <f>'[1]December - 2022'!EL26</f>
        <v>12173000</v>
      </c>
      <c r="EH26" s="209">
        <f>'[1]December - 2022'!EM26</f>
        <v>3400</v>
      </c>
      <c r="EI26" s="86">
        <f>'[1]December - 2022'!EN26</f>
        <v>935990</v>
      </c>
      <c r="EJ26" s="209">
        <f>'[1]December - 2022'!EO26</f>
        <v>270</v>
      </c>
      <c r="EK26" s="86">
        <f>'[1]December - 2022'!EP26</f>
        <v>7238800</v>
      </c>
      <c r="EL26" s="209">
        <f>'[1]December - 2022'!EQ26</f>
        <v>1900</v>
      </c>
      <c r="EM26" s="86">
        <f>'[1]December - 2022'!ER26</f>
        <v>2501000</v>
      </c>
      <c r="EN26" s="209">
        <f>'[1]December - 2022'!ES26</f>
        <v>300</v>
      </c>
      <c r="EO26" s="86">
        <f>'[1]December - 2022'!ET26</f>
        <v>1283630</v>
      </c>
      <c r="EP26" s="209">
        <f>'[1]December - 2022'!EU26</f>
        <v>690</v>
      </c>
      <c r="EQ26" s="86">
        <f>'[1]December - 2022'!EV26</f>
        <v>16652500</v>
      </c>
      <c r="ER26" s="209">
        <f>'[1]December - 2022'!EW26</f>
        <v>500</v>
      </c>
      <c r="ES26" s="395"/>
      <c r="ET26" s="256">
        <f>'[1]December - 2022'!EY26</f>
        <v>42247</v>
      </c>
      <c r="EU26" s="253">
        <f>'[1]December - 2022'!EZ26</f>
        <v>19</v>
      </c>
      <c r="EV26" s="257">
        <f>'[1]December - 2022'!FA26</f>
        <v>36888</v>
      </c>
      <c r="EW26" s="253">
        <f>'[1]December - 2022'!FB26</f>
        <v>12</v>
      </c>
      <c r="EX26" s="257">
        <f>'[1]December - 2022'!FC26</f>
        <v>7605</v>
      </c>
      <c r="EY26" s="253">
        <f>'[1]December - 2022'!FD26</f>
        <v>11</v>
      </c>
      <c r="EZ26" s="257">
        <f>'[1]December - 2022'!FE26</f>
        <v>59382</v>
      </c>
      <c r="FA26" s="253">
        <f>'[1]December - 2022'!FF26</f>
        <v>12</v>
      </c>
      <c r="FB26" s="257">
        <f>'[1]December - 2022'!FG26</f>
        <v>49814</v>
      </c>
      <c r="FC26" s="254">
        <f>'[1]December - 2022'!FH26</f>
        <v>38</v>
      </c>
    </row>
    <row r="27" spans="1:159" ht="30" customHeight="1" x14ac:dyDescent="0.25">
      <c r="A27" s="187">
        <v>43848</v>
      </c>
      <c r="B27" s="189">
        <f>'[1]December - 2022'!B27</f>
        <v>0.56999999999999995</v>
      </c>
      <c r="C27" s="229">
        <f>'[1]December - 2022'!E27</f>
        <v>216676</v>
      </c>
      <c r="D27" s="152">
        <f>'[1]December - 2022'!F27</f>
        <v>568</v>
      </c>
      <c r="E27" s="150">
        <f>'[1]December - 2022'!G27</f>
        <v>697</v>
      </c>
      <c r="F27" s="150">
        <f>'[1]December - 2022'!H27</f>
        <v>245370</v>
      </c>
      <c r="G27" s="152">
        <f>'[1]December - 2022'!I27</f>
        <v>418</v>
      </c>
      <c r="H27" s="150">
        <f>'[1]December - 2022'!J27</f>
        <v>460</v>
      </c>
      <c r="I27" s="150">
        <f>'[1]December - 2022'!K27</f>
        <v>8518</v>
      </c>
      <c r="J27" s="152">
        <f>'[1]December - 2022'!L27</f>
        <v>159</v>
      </c>
      <c r="K27" s="150">
        <f>'[1]December - 2022'!N27</f>
        <v>922638</v>
      </c>
      <c r="L27" s="152">
        <f>'[1]December - 2022'!O27</f>
        <v>5</v>
      </c>
      <c r="M27" s="150">
        <f>'[1]December - 2022'!Q27</f>
        <v>244870</v>
      </c>
      <c r="N27" s="152">
        <f>'[1]December - 2022'!R27</f>
        <v>0</v>
      </c>
      <c r="O27" s="150">
        <f>'[1]December - 2022'!U27</f>
        <v>117119</v>
      </c>
      <c r="P27" s="152">
        <f>'[1]December - 2022'!V27</f>
        <v>91</v>
      </c>
      <c r="Q27" s="150">
        <f>'[1]December - 2022'!W27</f>
        <v>77.739999999997963</v>
      </c>
      <c r="R27" s="150">
        <f>'[1]December - 2022'!X27</f>
        <v>6415</v>
      </c>
      <c r="S27" s="188">
        <f>'[1]December - 2022'!Y27</f>
        <v>8</v>
      </c>
      <c r="T27" s="490"/>
      <c r="U27" s="151">
        <f>'[1]December - 2022'!AE27</f>
        <v>8169808.0800000001</v>
      </c>
      <c r="V27" s="218">
        <f>'[1]December - 2022'!AF27</f>
        <v>3459.1200000010431</v>
      </c>
      <c r="W27" s="88">
        <f>'[1]December - 2022'!AF27</f>
        <v>3459.1200000010431</v>
      </c>
      <c r="X27" s="233">
        <f>'[1]December - 2022'!AH27</f>
        <v>15519999.6</v>
      </c>
      <c r="Y27" s="218">
        <f>'[1]December - 2022'!AI27</f>
        <v>4238.640000000596</v>
      </c>
      <c r="Z27" s="88">
        <f>'[1]December - 2022'!AI27</f>
        <v>4238.640000000596</v>
      </c>
      <c r="AA27" s="233">
        <f>'[1]December - 2022'!AK27</f>
        <v>15825327.84</v>
      </c>
      <c r="AB27" s="218">
        <f>'[1]December - 2022'!AL27</f>
        <v>584.64000000059605</v>
      </c>
      <c r="AC27" s="88">
        <f>'[1]December - 2022'!AL27</f>
        <v>584.64000000059605</v>
      </c>
      <c r="AD27" s="233">
        <f>'[1]December - 2022'!AN27</f>
        <v>18903603.599999998</v>
      </c>
      <c r="AE27" s="218">
        <f>'[1]December - 2022'!AO27</f>
        <v>48.719999998807907</v>
      </c>
      <c r="AF27" s="88">
        <f>'[1]December - 2022'!AO27</f>
        <v>48.719999998807907</v>
      </c>
      <c r="AG27" s="233">
        <f>'[1]December - 2022'!AQ27</f>
        <v>19187251.439999998</v>
      </c>
      <c r="AH27" s="218">
        <f>'[1]December - 2022'!AR27</f>
        <v>7454.1599999964237</v>
      </c>
      <c r="AI27" s="88">
        <f>'[1]December - 2022'!AR27</f>
        <v>7454.1599999964237</v>
      </c>
      <c r="AJ27" s="233">
        <f>'[1]December - 2022'!AT27</f>
        <v>17622803.52</v>
      </c>
      <c r="AK27" s="218">
        <f>'[1]December - 2022'!AU27</f>
        <v>5456.640000000596</v>
      </c>
      <c r="AL27" s="88">
        <f>'[1]December - 2022'!AU27</f>
        <v>5456.640000000596</v>
      </c>
      <c r="AM27" s="233">
        <f>'[1]December - 2022'!AW27</f>
        <v>14829832.08</v>
      </c>
      <c r="AN27" s="218">
        <f>'[1]December - 2022'!AX27</f>
        <v>4189.9199999999255</v>
      </c>
      <c r="AO27" s="88">
        <f>'[1]December - 2022'!AX27</f>
        <v>4189.9199999999255</v>
      </c>
      <c r="AP27" s="233">
        <f>'[1]December - 2022'!AZ27</f>
        <v>14354422.319999998</v>
      </c>
      <c r="AQ27" s="218">
        <f>'[1]December - 2022'!BA27</f>
        <v>4384.7999999988824</v>
      </c>
      <c r="AR27" s="88">
        <f>'[1]December - 2022'!BA27</f>
        <v>4384.7999999988824</v>
      </c>
      <c r="AS27" s="233">
        <f>'[1]December - 2022'!BC27</f>
        <v>11211348.959999999</v>
      </c>
      <c r="AT27" s="218">
        <f>'[1]December - 2022'!BD27</f>
        <v>2923.1999999992549</v>
      </c>
      <c r="AU27" s="88">
        <f>'[1]December - 2022'!BD27</f>
        <v>2923.1999999992549</v>
      </c>
      <c r="AV27" s="233">
        <f>'[1]December - 2022'!BF27</f>
        <v>17759073.359999999</v>
      </c>
      <c r="AW27" s="230">
        <f>'[1]December - 2022'!BG27</f>
        <v>5505.359999999404</v>
      </c>
      <c r="AX27" s="231">
        <f>'[1]December - 2022'!BG27</f>
        <v>5505.359999999404</v>
      </c>
      <c r="AY27" s="456"/>
      <c r="AZ27" s="250">
        <f>'[1]December - 2022'!BM27</f>
        <v>78188000</v>
      </c>
      <c r="BA27" s="161">
        <f>'[1]December - 2022'!BN27</f>
        <v>0</v>
      </c>
      <c r="BB27" s="89">
        <f>'[1]December - 2022'!BN27</f>
        <v>0</v>
      </c>
      <c r="BC27" s="250">
        <f>'[1]December - 2022'!BP27</f>
        <v>80883300</v>
      </c>
      <c r="BD27" s="224">
        <f>'[1]December - 2022'!BQ27</f>
        <v>0</v>
      </c>
      <c r="BE27" s="89">
        <f>'[1]December - 2022'!BQ27</f>
        <v>0</v>
      </c>
      <c r="BF27" s="250">
        <f>'[1]December - 2022'!BS27</f>
        <v>74866400</v>
      </c>
      <c r="BG27" s="224">
        <f>'[1]December - 2022'!BT27</f>
        <v>45900</v>
      </c>
      <c r="BH27" s="89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'[1]December - 2022'!BV27</f>
        <v>10292910</v>
      </c>
      <c r="BT27" s="166">
        <f>'[1]December - 2022'!BW27</f>
        <v>5120</v>
      </c>
      <c r="BU27" s="363"/>
      <c r="BV27" s="84">
        <f>'[1]December - 2022'!BY27</f>
        <v>0.66</v>
      </c>
      <c r="BW27" s="220">
        <f>'[1]December - 2022'!BZ27</f>
        <v>-8.0000000000000071E-2</v>
      </c>
      <c r="BX27" s="84">
        <f>'[1]December - 2022'!BZ27</f>
        <v>-8.0000000000000071E-2</v>
      </c>
      <c r="BY27" s="85">
        <f>'[1]December - 2022'!CB27</f>
        <v>64516</v>
      </c>
      <c r="BZ27" s="172">
        <f>'[1]December - 2022'!CC27</f>
        <v>18</v>
      </c>
      <c r="CA27" s="85">
        <f>'[1]December - 2022'!CD27</f>
        <v>55606</v>
      </c>
      <c r="CB27" s="172">
        <f>'[1]December - 2022'!CE27</f>
        <v>18</v>
      </c>
      <c r="CC27" s="85">
        <f>'[1]December - 2022'!CF27</f>
        <v>18810</v>
      </c>
      <c r="CD27" s="172">
        <f>'[1]December - 2022'!CG27</f>
        <v>5</v>
      </c>
      <c r="CE27" s="85">
        <f>'[1]December - 2022'!CH27</f>
        <v>25694</v>
      </c>
      <c r="CF27" s="172">
        <f>'[1]December - 2022'!CI27</f>
        <v>11</v>
      </c>
      <c r="CG27" s="85">
        <f>'[1]December - 2022'!CJ27</f>
        <v>28626</v>
      </c>
      <c r="CH27" s="172">
        <f>'[1]December - 2022'!CK27</f>
        <v>13</v>
      </c>
      <c r="CI27" s="85">
        <f>'[1]December - 2022'!CL27</f>
        <v>62802</v>
      </c>
      <c r="CJ27" s="172">
        <f>'[1]December - 2022'!CM27</f>
        <v>28</v>
      </c>
      <c r="CK27" s="85">
        <f>'[1]December - 2022'!CN27</f>
        <v>268745</v>
      </c>
      <c r="CL27" s="225">
        <f>'[1]December - 2022'!CO27</f>
        <v>69</v>
      </c>
      <c r="CM27" s="85">
        <f>'[1]December - 2022'!CO27</f>
        <v>69</v>
      </c>
      <c r="CN27" s="85">
        <f>'[1]December - 2022'!CQ27</f>
        <v>216044</v>
      </c>
      <c r="CO27" s="225">
        <f>'[1]December - 2022'!CR27</f>
        <v>84</v>
      </c>
      <c r="CP27" s="85">
        <f>'[1]December - 2022'!CR27</f>
        <v>84</v>
      </c>
      <c r="CQ27" s="85">
        <f>'[1]December - 2022'!CT27</f>
        <v>357593</v>
      </c>
      <c r="CR27" s="225">
        <f>'[1]December - 2022'!CU27</f>
        <v>223</v>
      </c>
      <c r="CS27" s="85">
        <f>'[1]December - 2022'!CU27</f>
        <v>223</v>
      </c>
      <c r="CT27" s="85">
        <f>'[1]December - 2022'!CW27</f>
        <v>696443</v>
      </c>
      <c r="CU27" s="172">
        <f>'[1]December - 2022'!CX27</f>
        <v>163</v>
      </c>
      <c r="CV27" s="423"/>
      <c r="CW27" s="234">
        <f>'[1]December - 2022'!CZ27</f>
        <v>8932</v>
      </c>
      <c r="CX27" s="179">
        <f>'[1]December - 2022'!DA27</f>
        <v>13</v>
      </c>
      <c r="CY27" s="235">
        <f>'[1]December - 2022'!DB27</f>
        <v>6061</v>
      </c>
      <c r="CZ27" s="179">
        <f>'[1]December - 2022'!DC27</f>
        <v>9</v>
      </c>
      <c r="DA27" s="235">
        <f>'[1]December - 2022'!DD27</f>
        <v>32281</v>
      </c>
      <c r="DB27" s="179">
        <f>'[1]December - 2022'!DE27</f>
        <v>21</v>
      </c>
      <c r="DC27" s="235">
        <f>'[1]December - 2022'!DF27</f>
        <v>32504</v>
      </c>
      <c r="DD27" s="179">
        <f>'[1]December - 2022'!DG27</f>
        <v>15</v>
      </c>
      <c r="DE27" s="235">
        <f>'[1]December - 2022'!DH27</f>
        <v>21940</v>
      </c>
      <c r="DF27" s="179">
        <f>'[1]December - 2022'!DI27</f>
        <v>12</v>
      </c>
      <c r="DG27" s="235">
        <f>'[1]December - 2022'!DJ27</f>
        <v>24095</v>
      </c>
      <c r="DH27" s="179">
        <f>'[1]December - 2022'!DK27</f>
        <v>4</v>
      </c>
      <c r="DI27" s="235">
        <f>'[1]December - 2022'!DL27</f>
        <v>7192</v>
      </c>
      <c r="DJ27" s="179">
        <f>'[1]December - 2022'!DM27</f>
        <v>13</v>
      </c>
      <c r="DK27" s="235">
        <f>'[1]December - 2022'!DN27</f>
        <v>9848</v>
      </c>
      <c r="DL27" s="179">
        <f>'[1]December - 2022'!DO27</f>
        <v>17</v>
      </c>
      <c r="DM27" s="235">
        <f>'[1]December - 2022'!DP27</f>
        <v>3297</v>
      </c>
      <c r="DN27" s="179">
        <f>'[1]December - 2022'!DQ27</f>
        <v>5</v>
      </c>
      <c r="DO27" s="235">
        <f>'[1]December - 2022'!DR27</f>
        <v>6514</v>
      </c>
      <c r="DP27" s="179">
        <f>'[1]December - 2022'!DS27</f>
        <v>10</v>
      </c>
      <c r="DQ27" s="235">
        <f>'[1]December - 2022'!DT27</f>
        <v>30341</v>
      </c>
      <c r="DR27" s="186">
        <f>'[1]December - 2022'!DU27</f>
        <v>0</v>
      </c>
      <c r="DS27" s="408"/>
      <c r="DT27" s="190">
        <f>'[1]December - 2022'!DW27</f>
        <v>6435.6</v>
      </c>
      <c r="DU27" s="201">
        <f>'[1]December - 2022'!DX27</f>
        <v>10.300000000000182</v>
      </c>
      <c r="DV27" s="87">
        <f>'[1]December - 2022'!DY27</f>
        <v>11365.3</v>
      </c>
      <c r="DW27" s="195">
        <f>'[1]December - 2022'!DZ27</f>
        <v>7.3999999999996362</v>
      </c>
      <c r="DX27" s="87">
        <f>'[1]December - 2022'!EA27</f>
        <v>4862.5</v>
      </c>
      <c r="DY27" s="195">
        <f>'[1]December - 2022'!EB27</f>
        <v>6.1000000000003638</v>
      </c>
      <c r="DZ27" s="87">
        <f>'[1]December - 2022'!EC27</f>
        <v>5443.9</v>
      </c>
      <c r="EA27" s="195">
        <f>'[1]December - 2022'!ED27</f>
        <v>6.7999999999992724</v>
      </c>
      <c r="EB27" s="87">
        <f>'[1]December - 2022'!EE27</f>
        <v>1132277</v>
      </c>
      <c r="EC27" s="195">
        <f>'[1]December - 2022'!EF27</f>
        <v>480</v>
      </c>
      <c r="ED27" s="87">
        <f>'[1]December - 2022'!EI27</f>
        <v>233079.6</v>
      </c>
      <c r="EE27" s="208">
        <f>'[1]December - 2022'!EJ27</f>
        <v>129.60000000000582</v>
      </c>
      <c r="EF27" s="347"/>
      <c r="EG27" s="214">
        <f>'[1]December - 2022'!EL27</f>
        <v>12176200</v>
      </c>
      <c r="EH27" s="209">
        <f>'[1]December - 2022'!EM27</f>
        <v>3200</v>
      </c>
      <c r="EI27" s="86">
        <f>'[1]December - 2022'!EN27</f>
        <v>936200</v>
      </c>
      <c r="EJ27" s="209">
        <f>'[1]December - 2022'!EO27</f>
        <v>210</v>
      </c>
      <c r="EK27" s="86">
        <f>'[1]December - 2022'!EP27</f>
        <v>7240400</v>
      </c>
      <c r="EL27" s="209">
        <f>'[1]December - 2022'!EQ27</f>
        <v>1600</v>
      </c>
      <c r="EM27" s="86">
        <f>'[1]December - 2022'!ER27</f>
        <v>2501400</v>
      </c>
      <c r="EN27" s="209">
        <f>'[1]December - 2022'!ES27</f>
        <v>400</v>
      </c>
      <c r="EO27" s="86">
        <f>'[1]December - 2022'!ET27</f>
        <v>1284210</v>
      </c>
      <c r="EP27" s="209">
        <f>'[1]December - 2022'!EU27</f>
        <v>580</v>
      </c>
      <c r="EQ27" s="86">
        <f>'[1]December - 2022'!EV27</f>
        <v>16654700</v>
      </c>
      <c r="ER27" s="209">
        <f>'[1]December - 2022'!EW27</f>
        <v>2200</v>
      </c>
      <c r="ES27" s="395"/>
      <c r="ET27" s="256">
        <f>'[1]December - 2022'!EY27</f>
        <v>42263</v>
      </c>
      <c r="EU27" s="253">
        <f>'[1]December - 2022'!EZ27</f>
        <v>16</v>
      </c>
      <c r="EV27" s="257">
        <f>'[1]December - 2022'!FA27</f>
        <v>36898</v>
      </c>
      <c r="EW27" s="253">
        <f>'[1]December - 2022'!FB27</f>
        <v>10</v>
      </c>
      <c r="EX27" s="257">
        <f>'[1]December - 2022'!FC27</f>
        <v>7614</v>
      </c>
      <c r="EY27" s="253">
        <f>'[1]December - 2022'!FD27</f>
        <v>9</v>
      </c>
      <c r="EZ27" s="257">
        <f>'[1]December - 2022'!FE27</f>
        <v>59394</v>
      </c>
      <c r="FA27" s="253">
        <f>'[1]December - 2022'!FF27</f>
        <v>12</v>
      </c>
      <c r="FB27" s="257">
        <f>'[1]December - 2022'!FG27</f>
        <v>49840</v>
      </c>
      <c r="FC27" s="254">
        <f>'[1]December - 2022'!FH27</f>
        <v>26</v>
      </c>
    </row>
    <row r="28" spans="1:159" ht="30" customHeight="1" x14ac:dyDescent="0.25">
      <c r="A28" s="187">
        <v>43849</v>
      </c>
      <c r="B28" s="189">
        <f>'[1]December - 2022'!B28</f>
        <v>0.67</v>
      </c>
      <c r="C28" s="229">
        <f>'[1]December - 2022'!E28</f>
        <v>217221</v>
      </c>
      <c r="D28" s="152">
        <f>'[1]December - 2022'!F28</f>
        <v>545</v>
      </c>
      <c r="E28" s="150">
        <f>'[1]December - 2022'!G28</f>
        <v>677</v>
      </c>
      <c r="F28" s="150">
        <f>'[1]December - 2022'!H28</f>
        <v>245798</v>
      </c>
      <c r="G28" s="152">
        <f>'[1]December - 2022'!I28</f>
        <v>428</v>
      </c>
      <c r="H28" s="150">
        <f>'[1]December - 2022'!J28</f>
        <v>413</v>
      </c>
      <c r="I28" s="150">
        <f>'[1]December - 2022'!K28</f>
        <v>8641</v>
      </c>
      <c r="J28" s="152">
        <f>'[1]December - 2022'!L28</f>
        <v>123</v>
      </c>
      <c r="K28" s="150">
        <f>'[1]December - 2022'!N28</f>
        <v>922833</v>
      </c>
      <c r="L28" s="152">
        <f>'[1]December - 2022'!O28</f>
        <v>195</v>
      </c>
      <c r="M28" s="150">
        <f>'[1]December - 2022'!Q28</f>
        <v>244870</v>
      </c>
      <c r="N28" s="152">
        <f>'[1]December - 2022'!R28</f>
        <v>0</v>
      </c>
      <c r="O28" s="150">
        <f>'[1]December - 2022'!U28</f>
        <v>117207</v>
      </c>
      <c r="P28" s="152">
        <f>'[1]December - 2022'!V28</f>
        <v>88</v>
      </c>
      <c r="Q28" s="150">
        <f>'[1]December - 2022'!W28</f>
        <v>81.569999999999709</v>
      </c>
      <c r="R28" s="150">
        <f>'[1]December - 2022'!X28</f>
        <v>6427</v>
      </c>
      <c r="S28" s="188">
        <f>'[1]December - 2022'!Y28</f>
        <v>12</v>
      </c>
      <c r="T28" s="490"/>
      <c r="U28" s="151">
        <f>'[1]December - 2022'!AE28</f>
        <v>8173510.7999999998</v>
      </c>
      <c r="V28" s="218">
        <f>'[1]December - 2022'!AF28</f>
        <v>3702.7199999997392</v>
      </c>
      <c r="W28" s="88">
        <f>'[1]December - 2022'!AF28</f>
        <v>3702.7199999997392</v>
      </c>
      <c r="X28" s="233">
        <f>'[1]December - 2022'!AH28</f>
        <v>15524579.280000001</v>
      </c>
      <c r="Y28" s="218">
        <f>'[1]December - 2022'!AI28</f>
        <v>4579.6800000015646</v>
      </c>
      <c r="Z28" s="88">
        <f>'[1]December - 2022'!AI28</f>
        <v>4579.6800000015646</v>
      </c>
      <c r="AA28" s="233">
        <f>'[1]December - 2022'!AK28</f>
        <v>15825815.039999999</v>
      </c>
      <c r="AB28" s="218">
        <f>'[1]December - 2022'!AL28</f>
        <v>487.19999999925494</v>
      </c>
      <c r="AC28" s="88">
        <f>'[1]December - 2022'!AL28</f>
        <v>487.19999999925494</v>
      </c>
      <c r="AD28" s="233">
        <f>'[1]December - 2022'!AN28</f>
        <v>18903603.599999998</v>
      </c>
      <c r="AE28" s="218">
        <f>'[1]December - 2022'!AO28</f>
        <v>0</v>
      </c>
      <c r="AF28" s="88">
        <f>'[1]December - 2022'!AO28</f>
        <v>0</v>
      </c>
      <c r="AG28" s="233">
        <f>'[1]December - 2022'!AQ28</f>
        <v>19194803.039999999</v>
      </c>
      <c r="AH28" s="218">
        <f>'[1]December - 2022'!AR28</f>
        <v>7551.6000000014901</v>
      </c>
      <c r="AI28" s="88">
        <f>'[1]December - 2022'!AR28</f>
        <v>7551.6000000014901</v>
      </c>
      <c r="AJ28" s="233">
        <f>'[1]December - 2022'!AT28</f>
        <v>17628406.32</v>
      </c>
      <c r="AK28" s="218">
        <f>'[1]December - 2022'!AU28</f>
        <v>5602.8000000007451</v>
      </c>
      <c r="AL28" s="88">
        <f>'[1]December - 2022'!AU28</f>
        <v>5602.8000000007451</v>
      </c>
      <c r="AM28" s="233">
        <f>'[1]December - 2022'!AW28</f>
        <v>14833973.280000001</v>
      </c>
      <c r="AN28" s="218">
        <f>'[1]December - 2022'!AX28</f>
        <v>4141.2000000011176</v>
      </c>
      <c r="AO28" s="88">
        <f>'[1]December - 2022'!AX28</f>
        <v>4141.2000000011176</v>
      </c>
      <c r="AP28" s="233">
        <f>'[1]December - 2022'!AZ28</f>
        <v>14359050.719999999</v>
      </c>
      <c r="AQ28" s="218">
        <f>'[1]December - 2022'!BA28</f>
        <v>4628.4000000003725</v>
      </c>
      <c r="AR28" s="88">
        <f>'[1]December - 2022'!BA28</f>
        <v>4628.4000000003725</v>
      </c>
      <c r="AS28" s="233">
        <f>'[1]December - 2022'!BC28</f>
        <v>11214467.040000001</v>
      </c>
      <c r="AT28" s="218">
        <f>'[1]December - 2022'!BD28</f>
        <v>3118.0800000019372</v>
      </c>
      <c r="AU28" s="88">
        <f>'[1]December - 2022'!BD28</f>
        <v>3118.0800000019372</v>
      </c>
      <c r="AV28" s="233">
        <f>'[1]December - 2022'!BF28</f>
        <v>17764578.719999999</v>
      </c>
      <c r="AW28" s="230">
        <f>'[1]December - 2022'!BG28</f>
        <v>5505.359999999404</v>
      </c>
      <c r="AX28" s="231">
        <f>'[1]December - 2022'!BG28</f>
        <v>5505.359999999404</v>
      </c>
      <c r="AY28" s="456"/>
      <c r="AZ28" s="250">
        <f>'[1]December - 2022'!BM28</f>
        <v>78188000</v>
      </c>
      <c r="BA28" s="161">
        <f>'[1]December - 2022'!BN28</f>
        <v>0</v>
      </c>
      <c r="BB28" s="89">
        <f>'[1]December - 2022'!BN28</f>
        <v>0</v>
      </c>
      <c r="BC28" s="250">
        <f>'[1]December - 2022'!BP28</f>
        <v>80883300</v>
      </c>
      <c r="BD28" s="224">
        <f>'[1]December - 2022'!BQ28</f>
        <v>0</v>
      </c>
      <c r="BE28" s="89">
        <f>'[1]December - 2022'!BQ28</f>
        <v>0</v>
      </c>
      <c r="BF28" s="250">
        <f>'[1]December - 2022'!BS28</f>
        <v>74911400</v>
      </c>
      <c r="BG28" s="224">
        <f>'[1]December - 2022'!BT28</f>
        <v>45000</v>
      </c>
      <c r="BH28" s="89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'[1]December - 2022'!BV28</f>
        <v>10300280</v>
      </c>
      <c r="BT28" s="166">
        <f>'[1]December - 2022'!BW28</f>
        <v>7370</v>
      </c>
      <c r="BU28" s="363"/>
      <c r="BV28" s="84">
        <f>'[1]December - 2022'!BY28</f>
        <v>0.6</v>
      </c>
      <c r="BW28" s="220">
        <f>'[1]December - 2022'!BZ28</f>
        <v>6.0000000000000053E-2</v>
      </c>
      <c r="BX28" s="84">
        <f>'[1]December - 2022'!BZ28</f>
        <v>6.0000000000000053E-2</v>
      </c>
      <c r="BY28" s="85">
        <f>'[1]December - 2022'!CB28</f>
        <v>64536</v>
      </c>
      <c r="BZ28" s="172">
        <f>'[1]December - 2022'!CC28</f>
        <v>20</v>
      </c>
      <c r="CA28" s="85">
        <f>'[1]December - 2022'!CD28</f>
        <v>55625</v>
      </c>
      <c r="CB28" s="172">
        <f>'[1]December - 2022'!CE28</f>
        <v>19</v>
      </c>
      <c r="CC28" s="85">
        <f>'[1]December - 2022'!CF28</f>
        <v>18816</v>
      </c>
      <c r="CD28" s="172">
        <f>'[1]December - 2022'!CG28</f>
        <v>6</v>
      </c>
      <c r="CE28" s="85">
        <f>'[1]December - 2022'!CH28</f>
        <v>25705</v>
      </c>
      <c r="CF28" s="172">
        <f>'[1]December - 2022'!CI28</f>
        <v>11</v>
      </c>
      <c r="CG28" s="85">
        <f>'[1]December - 2022'!CJ28</f>
        <v>28641</v>
      </c>
      <c r="CH28" s="172">
        <f>'[1]December - 2022'!CK28</f>
        <v>15</v>
      </c>
      <c r="CI28" s="85">
        <f>'[1]December - 2022'!CL28</f>
        <v>62833</v>
      </c>
      <c r="CJ28" s="172">
        <f>'[1]December - 2022'!CM28</f>
        <v>31</v>
      </c>
      <c r="CK28" s="85">
        <f>'[1]December - 2022'!CN28</f>
        <v>268812</v>
      </c>
      <c r="CL28" s="225">
        <f>'[1]December - 2022'!CO28</f>
        <v>67</v>
      </c>
      <c r="CM28" s="85">
        <f>'[1]December - 2022'!CO28</f>
        <v>67</v>
      </c>
      <c r="CN28" s="85">
        <f>'[1]December - 2022'!CQ28</f>
        <v>216158</v>
      </c>
      <c r="CO28" s="225">
        <f>'[1]December - 2022'!CR28</f>
        <v>114</v>
      </c>
      <c r="CP28" s="85">
        <f>'[1]December - 2022'!CR28</f>
        <v>114</v>
      </c>
      <c r="CQ28" s="85">
        <f>'[1]December - 2022'!CT28</f>
        <v>357826</v>
      </c>
      <c r="CR28" s="225">
        <f>'[1]December - 2022'!CU28</f>
        <v>233</v>
      </c>
      <c r="CS28" s="85">
        <f>'[1]December - 2022'!CU28</f>
        <v>233</v>
      </c>
      <c r="CT28" s="85">
        <f>'[1]December - 2022'!CW28</f>
        <v>696592</v>
      </c>
      <c r="CU28" s="172">
        <f>'[1]December - 2022'!CX28</f>
        <v>149</v>
      </c>
      <c r="CV28" s="423"/>
      <c r="CW28" s="234">
        <f>'[1]December - 2022'!CZ28</f>
        <v>8939</v>
      </c>
      <c r="CX28" s="179">
        <f>'[1]December - 2022'!DA28</f>
        <v>7</v>
      </c>
      <c r="CY28" s="235">
        <f>'[1]December - 2022'!DB28</f>
        <v>6066</v>
      </c>
      <c r="CZ28" s="179">
        <f>'[1]December - 2022'!DC28</f>
        <v>5</v>
      </c>
      <c r="DA28" s="235">
        <f>'[1]December - 2022'!DD28</f>
        <v>32295</v>
      </c>
      <c r="DB28" s="179">
        <f>'[1]December - 2022'!DE28</f>
        <v>14</v>
      </c>
      <c r="DC28" s="235">
        <f>'[1]December - 2022'!DF28</f>
        <v>32517</v>
      </c>
      <c r="DD28" s="179">
        <f>'[1]December - 2022'!DG28</f>
        <v>13</v>
      </c>
      <c r="DE28" s="235">
        <f>'[1]December - 2022'!DH28</f>
        <v>21949</v>
      </c>
      <c r="DF28" s="179">
        <f>'[1]December - 2022'!DI28</f>
        <v>9</v>
      </c>
      <c r="DG28" s="235">
        <f>'[1]December - 2022'!DJ28</f>
        <v>24102</v>
      </c>
      <c r="DH28" s="179">
        <f>'[1]December - 2022'!DK28</f>
        <v>7</v>
      </c>
      <c r="DI28" s="235">
        <f>'[1]December - 2022'!DL28</f>
        <v>7202</v>
      </c>
      <c r="DJ28" s="179">
        <f>'[1]December - 2022'!DM28</f>
        <v>10</v>
      </c>
      <c r="DK28" s="235">
        <f>'[1]December - 2022'!DN28</f>
        <v>9855</v>
      </c>
      <c r="DL28" s="179">
        <f>'[1]December - 2022'!DO28</f>
        <v>7</v>
      </c>
      <c r="DM28" s="235">
        <f>'[1]December - 2022'!DP28</f>
        <v>3301</v>
      </c>
      <c r="DN28" s="179">
        <f>'[1]December - 2022'!DQ28</f>
        <v>4</v>
      </c>
      <c r="DO28" s="235">
        <f>'[1]December - 2022'!DR28</f>
        <v>6521</v>
      </c>
      <c r="DP28" s="179">
        <f>'[1]December - 2022'!DS28</f>
        <v>7</v>
      </c>
      <c r="DQ28" s="235">
        <f>'[1]December - 2022'!DT28</f>
        <v>30346</v>
      </c>
      <c r="DR28" s="186">
        <f>'[1]December - 2022'!DU28</f>
        <v>5</v>
      </c>
      <c r="DS28" s="408"/>
      <c r="DT28" s="190">
        <f>'[1]December - 2022'!DW28</f>
        <v>6446.4</v>
      </c>
      <c r="DU28" s="201">
        <f>'[1]December - 2022'!DX28</f>
        <v>10.799999999999272</v>
      </c>
      <c r="DV28" s="87">
        <f>'[1]December - 2022'!DY28</f>
        <v>11372.6</v>
      </c>
      <c r="DW28" s="195">
        <f>'[1]December - 2022'!DZ28</f>
        <v>7.3000000000010914</v>
      </c>
      <c r="DX28" s="87">
        <f>'[1]December - 2022'!EA28</f>
        <v>4869.1000000000004</v>
      </c>
      <c r="DY28" s="195">
        <f>'[1]December - 2022'!EB28</f>
        <v>6.6000000000003638</v>
      </c>
      <c r="DZ28" s="87">
        <f>'[1]December - 2022'!EC28</f>
        <v>5449.8</v>
      </c>
      <c r="EA28" s="195">
        <f>'[1]December - 2022'!ED28</f>
        <v>5.9000000000005457</v>
      </c>
      <c r="EB28" s="87">
        <f>'[1]December - 2022'!EE28</f>
        <v>1132842</v>
      </c>
      <c r="EC28" s="195">
        <f>'[1]December - 2022'!EF28</f>
        <v>565</v>
      </c>
      <c r="ED28" s="87">
        <f>'[1]December - 2022'!EI28</f>
        <v>233209.5</v>
      </c>
      <c r="EE28" s="208">
        <f>'[1]December - 2022'!EJ28</f>
        <v>129.89999999999418</v>
      </c>
      <c r="EF28" s="347"/>
      <c r="EG28" s="214">
        <f>'[1]December - 2022'!EL28</f>
        <v>12179300</v>
      </c>
      <c r="EH28" s="209">
        <f>'[1]December - 2022'!EM28</f>
        <v>3100</v>
      </c>
      <c r="EI28" s="86">
        <f>'[1]December - 2022'!EN28</f>
        <v>936440</v>
      </c>
      <c r="EJ28" s="209">
        <f>'[1]December - 2022'!EO28</f>
        <v>240</v>
      </c>
      <c r="EK28" s="86">
        <f>'[1]December - 2022'!EP28</f>
        <v>7242100</v>
      </c>
      <c r="EL28" s="209">
        <f>'[1]December - 2022'!EQ28</f>
        <v>1700</v>
      </c>
      <c r="EM28" s="86">
        <f>'[1]December - 2022'!ER28</f>
        <v>2501700</v>
      </c>
      <c r="EN28" s="209">
        <f>'[1]December - 2022'!ES28</f>
        <v>300</v>
      </c>
      <c r="EO28" s="86">
        <f>'[1]December - 2022'!ET28</f>
        <v>1284820</v>
      </c>
      <c r="EP28" s="209">
        <f>'[1]December - 2022'!EU28</f>
        <v>610</v>
      </c>
      <c r="EQ28" s="86">
        <f>'[1]December - 2022'!EV28</f>
        <v>16656600</v>
      </c>
      <c r="ER28" s="209">
        <f>'[1]December - 2022'!EW28</f>
        <v>1900</v>
      </c>
      <c r="ES28" s="395"/>
      <c r="ET28" s="256">
        <f>'[1]December - 2022'!EY28</f>
        <v>42279</v>
      </c>
      <c r="EU28" s="253">
        <f>'[1]December - 2022'!EZ28</f>
        <v>16</v>
      </c>
      <c r="EV28" s="257">
        <f>'[1]December - 2022'!FA28</f>
        <v>36910</v>
      </c>
      <c r="EW28" s="253">
        <f>'[1]December - 2022'!FB28</f>
        <v>12</v>
      </c>
      <c r="EX28" s="257">
        <f>'[1]December - 2022'!FC28</f>
        <v>7624</v>
      </c>
      <c r="EY28" s="253">
        <f>'[1]December - 2022'!FD28</f>
        <v>10</v>
      </c>
      <c r="EZ28" s="257">
        <f>'[1]December - 2022'!FE28</f>
        <v>59407</v>
      </c>
      <c r="FA28" s="253">
        <f>'[1]December - 2022'!FF28</f>
        <v>13</v>
      </c>
      <c r="FB28" s="257">
        <f>'[1]December - 2022'!FG28</f>
        <v>49872</v>
      </c>
      <c r="FC28" s="254">
        <f>'[1]December - 2022'!FH28</f>
        <v>32</v>
      </c>
    </row>
    <row r="29" spans="1:159" ht="30" customHeight="1" x14ac:dyDescent="0.25">
      <c r="A29" s="187">
        <v>43850</v>
      </c>
      <c r="B29" s="189">
        <f>'[1]December - 2022'!B29</f>
        <v>0.72</v>
      </c>
      <c r="C29" s="229">
        <f>'[1]December - 2022'!E29</f>
        <v>217809</v>
      </c>
      <c r="D29" s="152">
        <f>'[1]December - 2022'!F29</f>
        <v>588</v>
      </c>
      <c r="E29" s="150">
        <f>'[1]December - 2022'!G29</f>
        <v>714</v>
      </c>
      <c r="F29" s="150">
        <f>'[1]December - 2022'!H29</f>
        <v>246246</v>
      </c>
      <c r="G29" s="152">
        <f>'[1]December - 2022'!I29</f>
        <v>448</v>
      </c>
      <c r="H29" s="150">
        <f>'[1]December - 2022'!J29</f>
        <v>436</v>
      </c>
      <c r="I29" s="150">
        <f>'[1]December - 2022'!K29</f>
        <v>8792</v>
      </c>
      <c r="J29" s="152">
        <f>'[1]December - 2022'!L29</f>
        <v>151</v>
      </c>
      <c r="K29" s="150">
        <f>'[1]December - 2022'!N29</f>
        <v>923072</v>
      </c>
      <c r="L29" s="152">
        <f>'[1]December - 2022'!O29</f>
        <v>239</v>
      </c>
      <c r="M29" s="150">
        <f>'[1]December - 2022'!Q29</f>
        <v>244870</v>
      </c>
      <c r="N29" s="152">
        <f>'[1]December - 2022'!R29</f>
        <v>0</v>
      </c>
      <c r="O29" s="150">
        <f>'[1]December - 2022'!U29</f>
        <v>117292</v>
      </c>
      <c r="P29" s="152">
        <f>'[1]December - 2022'!V29</f>
        <v>85</v>
      </c>
      <c r="Q29" s="150">
        <f>'[1]December - 2022'!W29</f>
        <v>78.590000000003783</v>
      </c>
      <c r="R29" s="150">
        <f>'[1]December - 2022'!X29</f>
        <v>6432</v>
      </c>
      <c r="S29" s="188">
        <f>'[1]December - 2022'!Y29</f>
        <v>5</v>
      </c>
      <c r="T29" s="490"/>
      <c r="U29" s="151">
        <f>'[1]December - 2022'!AE29</f>
        <v>8177408.3999999994</v>
      </c>
      <c r="V29" s="218">
        <f>'[1]December - 2022'!AF29</f>
        <v>3897.5999999996275</v>
      </c>
      <c r="W29" s="88">
        <f>'[1]December - 2022'!AF29</f>
        <v>3897.5999999996275</v>
      </c>
      <c r="X29" s="233">
        <f>'[1]December - 2022'!AH29</f>
        <v>15529158.959999999</v>
      </c>
      <c r="Y29" s="218">
        <f>'[1]December - 2022'!AI29</f>
        <v>4579.6799999978393</v>
      </c>
      <c r="Z29" s="88">
        <f>'[1]December - 2022'!AI29</f>
        <v>4579.6799999978393</v>
      </c>
      <c r="AA29" s="233">
        <f>'[1]December - 2022'!AK29</f>
        <v>15826350.959999999</v>
      </c>
      <c r="AB29" s="218">
        <f>'[1]December - 2022'!AL29</f>
        <v>535.91999999992549</v>
      </c>
      <c r="AC29" s="88">
        <f>'[1]December - 2022'!AL29</f>
        <v>535.91999999992549</v>
      </c>
      <c r="AD29" s="233">
        <f>'[1]December - 2022'!AN29</f>
        <v>18903652.32</v>
      </c>
      <c r="AE29" s="218">
        <f>'[1]December - 2022'!AO29</f>
        <v>48.720000002533197</v>
      </c>
      <c r="AF29" s="88">
        <f>'[1]December - 2022'!AO29</f>
        <v>48.720000002533197</v>
      </c>
      <c r="AG29" s="233">
        <f>'[1]December - 2022'!AQ29</f>
        <v>19202354.639999997</v>
      </c>
      <c r="AH29" s="218">
        <f>'[1]December - 2022'!AR29</f>
        <v>7551.5999999977648</v>
      </c>
      <c r="AI29" s="88">
        <f>'[1]December - 2022'!AR29</f>
        <v>7551.5999999977648</v>
      </c>
      <c r="AJ29" s="233">
        <f>'[1]December - 2022'!AT29</f>
        <v>17634155.280000001</v>
      </c>
      <c r="AK29" s="218">
        <f>'[1]December - 2022'!AU29</f>
        <v>5748.9600000008941</v>
      </c>
      <c r="AL29" s="88">
        <f>'[1]December - 2022'!AU29</f>
        <v>5748.9600000008941</v>
      </c>
      <c r="AM29" s="233">
        <f>'[1]December - 2022'!AW29</f>
        <v>14838504.24</v>
      </c>
      <c r="AN29" s="218">
        <f>'[1]December - 2022'!AX29</f>
        <v>4530.9599999990314</v>
      </c>
      <c r="AO29" s="88">
        <f>'[1]December - 2022'!AX29</f>
        <v>4530.9599999990314</v>
      </c>
      <c r="AP29" s="233">
        <f>'[1]December - 2022'!AZ29</f>
        <v>14363825.280000001</v>
      </c>
      <c r="AQ29" s="218">
        <f>'[1]December - 2022'!BA29</f>
        <v>4774.5600000023842</v>
      </c>
      <c r="AR29" s="88">
        <f>'[1]December - 2022'!BA29</f>
        <v>4774.5600000023842</v>
      </c>
      <c r="AS29" s="233">
        <f>'[1]December - 2022'!BC29</f>
        <v>11217633.84</v>
      </c>
      <c r="AT29" s="218">
        <f>'[1]December - 2022'!BD29</f>
        <v>3166.7999999988824</v>
      </c>
      <c r="AU29" s="88">
        <f>'[1]December - 2022'!BD29</f>
        <v>3166.7999999988824</v>
      </c>
      <c r="AV29" s="233">
        <f>'[1]December - 2022'!BF29</f>
        <v>17770327.68</v>
      </c>
      <c r="AW29" s="230">
        <f>'[1]December - 2022'!BG29</f>
        <v>5748.9600000008941</v>
      </c>
      <c r="AX29" s="231">
        <f>'[1]December - 2022'!BG29</f>
        <v>5748.9600000008941</v>
      </c>
      <c r="AY29" s="456"/>
      <c r="AZ29" s="250">
        <f>'[1]December - 2022'!BM29</f>
        <v>78188000</v>
      </c>
      <c r="BA29" s="161">
        <f>'[1]December - 2022'!BN29</f>
        <v>0</v>
      </c>
      <c r="BB29" s="89">
        <f>'[1]December - 2022'!BN29</f>
        <v>0</v>
      </c>
      <c r="BC29" s="250">
        <f>'[1]December - 2022'!BP29</f>
        <v>80883300</v>
      </c>
      <c r="BD29" s="224">
        <f>'[1]December - 2022'!BQ29</f>
        <v>0</v>
      </c>
      <c r="BE29" s="89">
        <f>'[1]December - 2022'!BQ29</f>
        <v>0</v>
      </c>
      <c r="BF29" s="250">
        <f>'[1]December - 2022'!BS29</f>
        <v>74955700</v>
      </c>
      <c r="BG29" s="224">
        <f>'[1]December - 2022'!BT29</f>
        <v>44300</v>
      </c>
      <c r="BH29" s="89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'[1]December - 2022'!BV29</f>
        <v>10307350</v>
      </c>
      <c r="BT29" s="166">
        <f>'[1]December - 2022'!BW29</f>
        <v>7070</v>
      </c>
      <c r="BU29" s="363"/>
      <c r="BV29" s="84">
        <f>'[1]December - 2022'!BY29</f>
        <v>0.74</v>
      </c>
      <c r="BW29" s="220">
        <f>'[1]December - 2022'!BZ29</f>
        <v>-0.14000000000000001</v>
      </c>
      <c r="BX29" s="84">
        <f>'[1]December - 2022'!BZ29</f>
        <v>-0.14000000000000001</v>
      </c>
      <c r="BY29" s="85">
        <f>'[1]December - 2022'!CB29</f>
        <v>64556</v>
      </c>
      <c r="BZ29" s="172">
        <f>'[1]December - 2022'!CC29</f>
        <v>20</v>
      </c>
      <c r="CA29" s="85">
        <f>'[1]December - 2022'!CD29</f>
        <v>55644</v>
      </c>
      <c r="CB29" s="172">
        <f>'[1]December - 2022'!CE29</f>
        <v>19</v>
      </c>
      <c r="CC29" s="85">
        <f>'[1]December - 2022'!CF29</f>
        <v>18823</v>
      </c>
      <c r="CD29" s="172">
        <f>'[1]December - 2022'!CG29</f>
        <v>7</v>
      </c>
      <c r="CE29" s="85">
        <f>'[1]December - 2022'!CH29</f>
        <v>25715</v>
      </c>
      <c r="CF29" s="172">
        <f>'[1]December - 2022'!CI29</f>
        <v>10</v>
      </c>
      <c r="CG29" s="85">
        <f>'[1]December - 2022'!CJ29</f>
        <v>28656</v>
      </c>
      <c r="CH29" s="172">
        <f>'[1]December - 2022'!CK29</f>
        <v>15</v>
      </c>
      <c r="CI29" s="85">
        <f>'[1]December - 2022'!CL29</f>
        <v>62865</v>
      </c>
      <c r="CJ29" s="172">
        <f>'[1]December - 2022'!CM29</f>
        <v>32</v>
      </c>
      <c r="CK29" s="85">
        <f>'[1]December - 2022'!CN29</f>
        <v>268896</v>
      </c>
      <c r="CL29" s="225">
        <f>'[1]December - 2022'!CO29</f>
        <v>84</v>
      </c>
      <c r="CM29" s="85">
        <f>'[1]December - 2022'!CO29</f>
        <v>84</v>
      </c>
      <c r="CN29" s="85">
        <f>'[1]December - 2022'!CQ29</f>
        <v>216268</v>
      </c>
      <c r="CO29" s="225">
        <f>'[1]December - 2022'!CR29</f>
        <v>110</v>
      </c>
      <c r="CP29" s="85">
        <f>'[1]December - 2022'!CR29</f>
        <v>110</v>
      </c>
      <c r="CQ29" s="85">
        <f>'[1]December - 2022'!CT29</f>
        <v>358083</v>
      </c>
      <c r="CR29" s="225">
        <f>'[1]December - 2022'!CU29</f>
        <v>257</v>
      </c>
      <c r="CS29" s="85">
        <f>'[1]December - 2022'!CU29</f>
        <v>257</v>
      </c>
      <c r="CT29" s="85">
        <f>'[1]December - 2022'!CW29</f>
        <v>696773</v>
      </c>
      <c r="CU29" s="172">
        <f>'[1]December - 2022'!CX29</f>
        <v>181</v>
      </c>
      <c r="CV29" s="423"/>
      <c r="CW29" s="234">
        <f>'[1]December - 2022'!CZ29</f>
        <v>8945</v>
      </c>
      <c r="CX29" s="179">
        <f>'[1]December - 2022'!DA29</f>
        <v>6</v>
      </c>
      <c r="CY29" s="235">
        <f>'[1]December - 2022'!DB29</f>
        <v>6071</v>
      </c>
      <c r="CZ29" s="179">
        <f>'[1]December - 2022'!DC29</f>
        <v>5</v>
      </c>
      <c r="DA29" s="235">
        <f>'[1]December - 2022'!DD29</f>
        <v>32309</v>
      </c>
      <c r="DB29" s="179">
        <f>'[1]December - 2022'!DE29</f>
        <v>14</v>
      </c>
      <c r="DC29" s="235">
        <f>'[1]December - 2022'!DF29</f>
        <v>32530</v>
      </c>
      <c r="DD29" s="179">
        <f>'[1]December - 2022'!DG29</f>
        <v>13</v>
      </c>
      <c r="DE29" s="235">
        <f>'[1]December - 2022'!DH29</f>
        <v>21960</v>
      </c>
      <c r="DF29" s="179">
        <f>'[1]December - 2022'!DI29</f>
        <v>11</v>
      </c>
      <c r="DG29" s="235">
        <f>'[1]December - 2022'!DJ29</f>
        <v>24108</v>
      </c>
      <c r="DH29" s="179">
        <f>'[1]December - 2022'!DK29</f>
        <v>6</v>
      </c>
      <c r="DI29" s="235">
        <f>'[1]December - 2022'!DL29</f>
        <v>7209</v>
      </c>
      <c r="DJ29" s="179">
        <f>'[1]December - 2022'!DM29</f>
        <v>7</v>
      </c>
      <c r="DK29" s="235">
        <f>'[1]December - 2022'!DN29</f>
        <v>9861</v>
      </c>
      <c r="DL29" s="179">
        <f>'[1]December - 2022'!DO29</f>
        <v>6</v>
      </c>
      <c r="DM29" s="235">
        <f>'[1]December - 2022'!DP29</f>
        <v>3305</v>
      </c>
      <c r="DN29" s="179">
        <f>'[1]December - 2022'!DQ29</f>
        <v>4</v>
      </c>
      <c r="DO29" s="235">
        <f>'[1]December - 2022'!DR29</f>
        <v>6529</v>
      </c>
      <c r="DP29" s="179">
        <f>'[1]December - 2022'!DS29</f>
        <v>8</v>
      </c>
      <c r="DQ29" s="235">
        <f>'[1]December - 2022'!DT29</f>
        <v>30353</v>
      </c>
      <c r="DR29" s="186">
        <f>'[1]December - 2022'!DU29</f>
        <v>7</v>
      </c>
      <c r="DS29" s="408"/>
      <c r="DT29" s="190">
        <f>'[1]December - 2022'!DW29</f>
        <v>6457.6</v>
      </c>
      <c r="DU29" s="201">
        <f>'[1]December - 2022'!DX29</f>
        <v>11.200000000000728</v>
      </c>
      <c r="DV29" s="87">
        <f>'[1]December - 2022'!DY29</f>
        <v>11379.9</v>
      </c>
      <c r="DW29" s="195">
        <f>'[1]December - 2022'!DZ29</f>
        <v>7.2999999999992724</v>
      </c>
      <c r="DX29" s="87">
        <f>'[1]December - 2022'!EA29</f>
        <v>4875.7</v>
      </c>
      <c r="DY29" s="195">
        <f>'[1]December - 2022'!EB29</f>
        <v>6.5999999999994543</v>
      </c>
      <c r="DZ29" s="87">
        <f>'[1]December - 2022'!EC29</f>
        <v>5455.8</v>
      </c>
      <c r="EA29" s="195">
        <f>'[1]December - 2022'!ED29</f>
        <v>6</v>
      </c>
      <c r="EB29" s="87">
        <f>'[1]December - 2022'!EE29</f>
        <v>1133410</v>
      </c>
      <c r="EC29" s="195">
        <f>'[1]December - 2022'!EF29</f>
        <v>568</v>
      </c>
      <c r="ED29" s="87">
        <f>'[1]December - 2022'!EI29</f>
        <v>233342.5</v>
      </c>
      <c r="EE29" s="208">
        <f>'[1]December - 2022'!EJ29</f>
        <v>133</v>
      </c>
      <c r="EF29" s="347"/>
      <c r="EG29" s="214">
        <f>'[1]December - 2022'!EL29</f>
        <v>12182200</v>
      </c>
      <c r="EH29" s="209">
        <f>'[1]December - 2022'!EM29</f>
        <v>2900</v>
      </c>
      <c r="EI29" s="86">
        <f>'[1]December - 2022'!EN29</f>
        <v>936620</v>
      </c>
      <c r="EJ29" s="209">
        <f>'[1]December - 2022'!EO29</f>
        <v>180</v>
      </c>
      <c r="EK29" s="86">
        <f>'[1]December - 2022'!EP29</f>
        <v>7243600</v>
      </c>
      <c r="EL29" s="209">
        <f>'[1]December - 2022'!EQ29</f>
        <v>1500</v>
      </c>
      <c r="EM29" s="86">
        <f>'[1]December - 2022'!ER29</f>
        <v>2502000</v>
      </c>
      <c r="EN29" s="209">
        <f>'[1]December - 2022'!ES29</f>
        <v>300</v>
      </c>
      <c r="EO29" s="86">
        <f>'[1]December - 2022'!ET29</f>
        <v>1285390</v>
      </c>
      <c r="EP29" s="209">
        <f>'[1]December - 2022'!EU29</f>
        <v>570</v>
      </c>
      <c r="EQ29" s="86">
        <f>'[1]December - 2022'!EV29</f>
        <v>16658500</v>
      </c>
      <c r="ER29" s="209">
        <f>'[1]December - 2022'!EW29</f>
        <v>1900</v>
      </c>
      <c r="ES29" s="395"/>
      <c r="ET29" s="256">
        <f>'[1]December - 2022'!EY29</f>
        <v>42293</v>
      </c>
      <c r="EU29" s="253">
        <f>'[1]December - 2022'!EZ29</f>
        <v>14</v>
      </c>
      <c r="EV29" s="257">
        <f>'[1]December - 2022'!FA29</f>
        <v>36922</v>
      </c>
      <c r="EW29" s="253">
        <f>'[1]December - 2022'!FB29</f>
        <v>12</v>
      </c>
      <c r="EX29" s="257">
        <f>'[1]December - 2022'!FC29</f>
        <v>7631</v>
      </c>
      <c r="EY29" s="253">
        <f>'[1]December - 2022'!FD29</f>
        <v>7</v>
      </c>
      <c r="EZ29" s="257">
        <f>'[1]December - 2022'!FE29</f>
        <v>59425</v>
      </c>
      <c r="FA29" s="253">
        <f>'[1]December - 2022'!FF29</f>
        <v>18</v>
      </c>
      <c r="FB29" s="257">
        <f>'[1]December - 2022'!FG29</f>
        <v>49904</v>
      </c>
      <c r="FC29" s="254">
        <f>'[1]December - 2022'!FH29</f>
        <v>32</v>
      </c>
    </row>
    <row r="30" spans="1:159" ht="30" customHeight="1" x14ac:dyDescent="0.25">
      <c r="A30" s="187">
        <v>43851</v>
      </c>
      <c r="B30" s="189">
        <f>'[1]December - 2022'!B30</f>
        <v>0.72</v>
      </c>
      <c r="C30" s="229">
        <f>'[1]December - 2022'!E30</f>
        <v>218377</v>
      </c>
      <c r="D30" s="152">
        <f>'[1]December - 2022'!F30</f>
        <v>568</v>
      </c>
      <c r="E30" s="150">
        <f>'[1]December - 2022'!G30</f>
        <v>770</v>
      </c>
      <c r="F30" s="150">
        <f>'[1]December - 2022'!H30</f>
        <v>246690</v>
      </c>
      <c r="G30" s="152">
        <f>'[1]December - 2022'!I30</f>
        <v>444</v>
      </c>
      <c r="H30" s="150">
        <f>'[1]December - 2022'!J30</f>
        <v>455</v>
      </c>
      <c r="I30" s="150">
        <f>'[1]December - 2022'!K30</f>
        <v>8939</v>
      </c>
      <c r="J30" s="152">
        <f>'[1]December - 2022'!L30</f>
        <v>147</v>
      </c>
      <c r="K30" s="150">
        <f>'[1]December - 2022'!N30</f>
        <v>923333</v>
      </c>
      <c r="L30" s="152">
        <f>'[1]December - 2022'!O30</f>
        <v>261</v>
      </c>
      <c r="M30" s="150">
        <f>'[1]December - 2022'!Q30</f>
        <v>244870</v>
      </c>
      <c r="N30" s="152">
        <f>'[1]December - 2022'!R30</f>
        <v>0</v>
      </c>
      <c r="O30" s="150">
        <f>'[1]December - 2022'!U30</f>
        <v>117380</v>
      </c>
      <c r="P30" s="152">
        <f>'[1]December - 2022'!V30</f>
        <v>88</v>
      </c>
      <c r="Q30" s="150">
        <f>'[1]December - 2022'!W30</f>
        <v>88.57999999999447</v>
      </c>
      <c r="R30" s="150">
        <f>'[1]December - 2022'!X30</f>
        <v>6446</v>
      </c>
      <c r="S30" s="188">
        <f>'[1]December - 2022'!Y30</f>
        <v>14</v>
      </c>
      <c r="T30" s="490"/>
      <c r="U30" s="151">
        <f>'[1]December - 2022'!AE30</f>
        <v>8181013.6800000006</v>
      </c>
      <c r="V30" s="218">
        <f>'[1]December - 2022'!AF30</f>
        <v>3605.2800000011921</v>
      </c>
      <c r="W30" s="88">
        <f>'[1]December - 2022'!AF30</f>
        <v>3605.2800000011921</v>
      </c>
      <c r="X30" s="233">
        <f>'[1]December - 2022'!AH30</f>
        <v>15533738.640000001</v>
      </c>
      <c r="Y30" s="218">
        <f>'[1]December - 2022'!AI30</f>
        <v>4579.6800000015646</v>
      </c>
      <c r="Z30" s="88">
        <f>'[1]December - 2022'!AI30</f>
        <v>4579.6800000015646</v>
      </c>
      <c r="AA30" s="233">
        <f>'[1]December - 2022'!AK30</f>
        <v>15826886.880000001</v>
      </c>
      <c r="AB30" s="218">
        <f>'[1]December - 2022'!AL30</f>
        <v>535.92000000178814</v>
      </c>
      <c r="AC30" s="88">
        <f>'[1]December - 2022'!AL30</f>
        <v>535.92000000178814</v>
      </c>
      <c r="AD30" s="233">
        <f>'[1]December - 2022'!AN30</f>
        <v>18903701.039999999</v>
      </c>
      <c r="AE30" s="218">
        <f>'[1]December - 2022'!AO30</f>
        <v>48.719999998807907</v>
      </c>
      <c r="AF30" s="88">
        <f>'[1]December - 2022'!AO30</f>
        <v>48.719999998807907</v>
      </c>
      <c r="AG30" s="233">
        <f>'[1]December - 2022'!AQ30</f>
        <v>19209857.52</v>
      </c>
      <c r="AH30" s="218">
        <f>'[1]December - 2022'!AR30</f>
        <v>7502.8800000026822</v>
      </c>
      <c r="AI30" s="88">
        <f>'[1]December - 2022'!AR30</f>
        <v>7502.8800000026822</v>
      </c>
      <c r="AJ30" s="233">
        <f>'[1]December - 2022'!AT30</f>
        <v>17639758.080000002</v>
      </c>
      <c r="AK30" s="218">
        <f>'[1]December - 2022'!AU30</f>
        <v>5602.8000000007451</v>
      </c>
      <c r="AL30" s="88">
        <f>'[1]December - 2022'!AU30</f>
        <v>5602.8000000007451</v>
      </c>
      <c r="AM30" s="233">
        <f>'[1]December - 2022'!AW30</f>
        <v>14842986.48</v>
      </c>
      <c r="AN30" s="218">
        <f>'[1]December - 2022'!AX30</f>
        <v>4482.2400000002235</v>
      </c>
      <c r="AO30" s="88">
        <f>'[1]December - 2022'!AX30</f>
        <v>4482.2400000002235</v>
      </c>
      <c r="AP30" s="233">
        <f>'[1]December - 2022'!AZ30</f>
        <v>14368404.959999999</v>
      </c>
      <c r="AQ30" s="218">
        <f>'[1]December - 2022'!BA30</f>
        <v>4579.6799999978393</v>
      </c>
      <c r="AR30" s="88">
        <f>'[1]December - 2022'!BA30</f>
        <v>4579.6799999978393</v>
      </c>
      <c r="AS30" s="233">
        <f>'[1]December - 2022'!BC30</f>
        <v>11220800.640000001</v>
      </c>
      <c r="AT30" s="218">
        <f>'[1]December - 2022'!BD30</f>
        <v>3166.8000000007451</v>
      </c>
      <c r="AU30" s="88">
        <f>'[1]December - 2022'!BD30</f>
        <v>3166.8000000007451</v>
      </c>
      <c r="AV30" s="233">
        <f>'[1]December - 2022'!BF30</f>
        <v>17775881.760000002</v>
      </c>
      <c r="AW30" s="230">
        <f>'[1]December - 2022'!BG30</f>
        <v>5554.0800000019372</v>
      </c>
      <c r="AX30" s="231">
        <f>'[1]December - 2022'!BG30</f>
        <v>5554.0800000019372</v>
      </c>
      <c r="AY30" s="456"/>
      <c r="AZ30" s="250">
        <f>'[1]December - 2022'!BM30</f>
        <v>78188000</v>
      </c>
      <c r="BA30" s="161">
        <f>'[1]December - 2022'!BN30</f>
        <v>0</v>
      </c>
      <c r="BB30" s="89">
        <f>'[1]December - 2022'!BN30</f>
        <v>0</v>
      </c>
      <c r="BC30" s="250">
        <f>'[1]December - 2022'!BP30</f>
        <v>80883300</v>
      </c>
      <c r="BD30" s="224">
        <f>'[1]December - 2022'!BQ30</f>
        <v>0</v>
      </c>
      <c r="BE30" s="89">
        <f>'[1]December - 2022'!BQ30</f>
        <v>0</v>
      </c>
      <c r="BF30" s="250">
        <f>'[1]December - 2022'!BS30</f>
        <v>75000100</v>
      </c>
      <c r="BG30" s="224">
        <f>'[1]December - 2022'!BT30</f>
        <v>44400</v>
      </c>
      <c r="BH30" s="89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'[1]December - 2022'!BV30</f>
        <v>10314270</v>
      </c>
      <c r="BT30" s="166">
        <f>'[1]December - 2022'!BW30</f>
        <v>6920</v>
      </c>
      <c r="BU30" s="363"/>
      <c r="BV30" s="84">
        <f>'[1]December - 2022'!BY30</f>
        <v>0.65</v>
      </c>
      <c r="BW30" s="220">
        <f>'[1]December - 2022'!BZ30</f>
        <v>8.9999999999999969E-2</v>
      </c>
      <c r="BX30" s="84">
        <f>'[1]December - 2022'!BZ30</f>
        <v>8.9999999999999969E-2</v>
      </c>
      <c r="BY30" s="85">
        <f>'[1]December - 2022'!CB30</f>
        <v>64577</v>
      </c>
      <c r="BZ30" s="172">
        <f>'[1]December - 2022'!CC30</f>
        <v>21</v>
      </c>
      <c r="CA30" s="85">
        <f>'[1]December - 2022'!CD30</f>
        <v>55663</v>
      </c>
      <c r="CB30" s="172">
        <f>'[1]December - 2022'!CE30</f>
        <v>19</v>
      </c>
      <c r="CC30" s="85">
        <f>'[1]December - 2022'!CF30</f>
        <v>18829</v>
      </c>
      <c r="CD30" s="172">
        <f>'[1]December - 2022'!CG30</f>
        <v>6</v>
      </c>
      <c r="CE30" s="85">
        <f>'[1]December - 2022'!CH30</f>
        <v>25727</v>
      </c>
      <c r="CF30" s="172">
        <f>'[1]December - 2022'!CI30</f>
        <v>12</v>
      </c>
      <c r="CG30" s="85">
        <f>'[1]December - 2022'!CJ30</f>
        <v>28670</v>
      </c>
      <c r="CH30" s="172">
        <f>'[1]December - 2022'!CK30</f>
        <v>14</v>
      </c>
      <c r="CI30" s="85">
        <f>'[1]December - 2022'!CL30</f>
        <v>62900</v>
      </c>
      <c r="CJ30" s="172">
        <f>'[1]December - 2022'!CM30</f>
        <v>35</v>
      </c>
      <c r="CK30" s="85">
        <f>'[1]December - 2022'!CN30</f>
        <v>268969</v>
      </c>
      <c r="CL30" s="225">
        <f>'[1]December - 2022'!CO30</f>
        <v>73</v>
      </c>
      <c r="CM30" s="85">
        <f>'[1]December - 2022'!CO30</f>
        <v>73</v>
      </c>
      <c r="CN30" s="85">
        <f>'[1]December - 2022'!CQ30</f>
        <v>216381</v>
      </c>
      <c r="CO30" s="225">
        <f>'[1]December - 2022'!CR30</f>
        <v>113</v>
      </c>
      <c r="CP30" s="85">
        <f>'[1]December - 2022'!CR30</f>
        <v>113</v>
      </c>
      <c r="CQ30" s="85">
        <f>'[1]December - 2022'!CT30</f>
        <v>358358</v>
      </c>
      <c r="CR30" s="225">
        <f>'[1]December - 2022'!CU30</f>
        <v>275</v>
      </c>
      <c r="CS30" s="85">
        <f>'[1]December - 2022'!CU30</f>
        <v>275</v>
      </c>
      <c r="CT30" s="85">
        <f>'[1]December - 2022'!CW30</f>
        <v>696947</v>
      </c>
      <c r="CU30" s="172">
        <f>'[1]December - 2022'!CX30</f>
        <v>174</v>
      </c>
      <c r="CV30" s="423"/>
      <c r="CW30" s="234">
        <f>'[1]December - 2022'!CZ30</f>
        <v>8955</v>
      </c>
      <c r="CX30" s="179">
        <f>'[1]December - 2022'!DA30</f>
        <v>10</v>
      </c>
      <c r="CY30" s="235">
        <f>'[1]December - 2022'!DB30</f>
        <v>6078</v>
      </c>
      <c r="CZ30" s="179">
        <f>'[1]December - 2022'!DC30</f>
        <v>7</v>
      </c>
      <c r="DA30" s="235">
        <f>'[1]December - 2022'!DD30</f>
        <v>32325</v>
      </c>
      <c r="DB30" s="179">
        <f>'[1]December - 2022'!DE30</f>
        <v>16</v>
      </c>
      <c r="DC30" s="235">
        <f>'[1]December - 2022'!DF30</f>
        <v>32543</v>
      </c>
      <c r="DD30" s="179">
        <f>'[1]December - 2022'!DG30</f>
        <v>13</v>
      </c>
      <c r="DE30" s="235">
        <f>'[1]December - 2022'!DH30</f>
        <v>21970</v>
      </c>
      <c r="DF30" s="179">
        <f>'[1]December - 2022'!DI30</f>
        <v>10</v>
      </c>
      <c r="DG30" s="235">
        <f>'[1]December - 2022'!DJ30</f>
        <v>24115</v>
      </c>
      <c r="DH30" s="179">
        <f>'[1]December - 2022'!DK30</f>
        <v>7</v>
      </c>
      <c r="DI30" s="235">
        <f>'[1]December - 2022'!DL30</f>
        <v>7217</v>
      </c>
      <c r="DJ30" s="179">
        <f>'[1]December - 2022'!DM30</f>
        <v>8</v>
      </c>
      <c r="DK30" s="235">
        <f>'[1]December - 2022'!DN30</f>
        <v>9867</v>
      </c>
      <c r="DL30" s="179">
        <f>'[1]December - 2022'!DO30</f>
        <v>6</v>
      </c>
      <c r="DM30" s="235">
        <f>'[1]December - 2022'!DP30</f>
        <v>3310</v>
      </c>
      <c r="DN30" s="179">
        <f>'[1]December - 2022'!DQ30</f>
        <v>5</v>
      </c>
      <c r="DO30" s="235">
        <f>'[1]December - 2022'!DR30</f>
        <v>6537</v>
      </c>
      <c r="DP30" s="179">
        <f>'[1]December - 2022'!DS30</f>
        <v>8</v>
      </c>
      <c r="DQ30" s="235">
        <f>'[1]December - 2022'!DT30</f>
        <v>30356</v>
      </c>
      <c r="DR30" s="186">
        <f>'[1]December - 2022'!DU30</f>
        <v>3</v>
      </c>
      <c r="DS30" s="408"/>
      <c r="DT30" s="190">
        <f>'[1]December - 2022'!DW30</f>
        <v>6469.1</v>
      </c>
      <c r="DU30" s="201">
        <f>'[1]December - 2022'!DX30</f>
        <v>11.5</v>
      </c>
      <c r="DV30" s="87">
        <f>'[1]December - 2022'!DY30</f>
        <v>11387.7</v>
      </c>
      <c r="DW30" s="195">
        <f>'[1]December - 2022'!DZ30</f>
        <v>7.8000000000010914</v>
      </c>
      <c r="DX30" s="87">
        <f>'[1]December - 2022'!EA30</f>
        <v>4882.2</v>
      </c>
      <c r="DY30" s="195">
        <f>'[1]December - 2022'!EB30</f>
        <v>6.5</v>
      </c>
      <c r="DZ30" s="87">
        <f>'[1]December - 2022'!EC30</f>
        <v>5461.7</v>
      </c>
      <c r="EA30" s="195">
        <f>'[1]December - 2022'!ED30</f>
        <v>5.8999999999996362</v>
      </c>
      <c r="EB30" s="87">
        <f>'[1]December - 2022'!EE30</f>
        <v>1133967</v>
      </c>
      <c r="EC30" s="195">
        <f>'[1]December - 2022'!EF30</f>
        <v>557</v>
      </c>
      <c r="ED30" s="87">
        <f>'[1]December - 2022'!EI30</f>
        <v>233473.4</v>
      </c>
      <c r="EE30" s="208">
        <f>'[1]December - 2022'!EJ30</f>
        <v>130.89999999999418</v>
      </c>
      <c r="EF30" s="347"/>
      <c r="EG30" s="214">
        <f>'[1]December - 2022'!EL30</f>
        <v>12185300</v>
      </c>
      <c r="EH30" s="209">
        <f>'[1]December - 2022'!EM30</f>
        <v>3100</v>
      </c>
      <c r="EI30" s="86">
        <f>'[1]December - 2022'!EN30</f>
        <v>936890</v>
      </c>
      <c r="EJ30" s="209">
        <f>'[1]December - 2022'!EO30</f>
        <v>270</v>
      </c>
      <c r="EK30" s="86">
        <f>'[1]December - 2022'!EP30</f>
        <v>7245400</v>
      </c>
      <c r="EL30" s="209">
        <f>'[1]December - 2022'!EQ30</f>
        <v>1800</v>
      </c>
      <c r="EM30" s="86">
        <f>'[1]December - 2022'!ER30</f>
        <v>2502100</v>
      </c>
      <c r="EN30" s="209">
        <f>'[1]December - 2022'!ES30</f>
        <v>100</v>
      </c>
      <c r="EO30" s="86">
        <f>'[1]December - 2022'!ET30</f>
        <v>1286090</v>
      </c>
      <c r="EP30" s="209">
        <f>'[1]December - 2022'!EU30</f>
        <v>700</v>
      </c>
      <c r="EQ30" s="86">
        <f>'[1]December - 2022'!EV30</f>
        <v>16660700</v>
      </c>
      <c r="ER30" s="209">
        <f>'[1]December - 2022'!EW30</f>
        <v>2200</v>
      </c>
      <c r="ES30" s="395"/>
      <c r="ET30" s="256">
        <f>'[1]December - 2022'!EY30</f>
        <v>42308</v>
      </c>
      <c r="EU30" s="253">
        <f>'[1]December - 2022'!EZ30</f>
        <v>15</v>
      </c>
      <c r="EV30" s="257">
        <f>'[1]December - 2022'!FA30</f>
        <v>36934</v>
      </c>
      <c r="EW30" s="253">
        <f>'[1]December - 2022'!FB30</f>
        <v>12</v>
      </c>
      <c r="EX30" s="257">
        <f>'[1]December - 2022'!FC30</f>
        <v>7639</v>
      </c>
      <c r="EY30" s="253">
        <f>'[1]December - 2022'!FD30</f>
        <v>8</v>
      </c>
      <c r="EZ30" s="257">
        <f>'[1]December - 2022'!FE30</f>
        <v>59441</v>
      </c>
      <c r="FA30" s="253">
        <f>'[1]December - 2022'!FF30</f>
        <v>16</v>
      </c>
      <c r="FB30" s="257">
        <f>'[1]December - 2022'!FG30</f>
        <v>49937</v>
      </c>
      <c r="FC30" s="254">
        <f>'[1]December - 2022'!FH30</f>
        <v>33</v>
      </c>
    </row>
    <row r="31" spans="1:159" ht="30" customHeight="1" x14ac:dyDescent="0.25">
      <c r="A31" s="187">
        <v>43852</v>
      </c>
      <c r="B31" s="189">
        <f>'[1]December - 2022'!B31</f>
        <v>0.79</v>
      </c>
      <c r="C31" s="229">
        <f>'[1]December - 2022'!E31</f>
        <v>219235</v>
      </c>
      <c r="D31" s="152">
        <f>'[1]December - 2022'!F31</f>
        <v>858</v>
      </c>
      <c r="E31" s="150">
        <f>'[1]December - 2022'!G31</f>
        <v>753</v>
      </c>
      <c r="F31" s="150">
        <f>'[1]December - 2022'!H31</f>
        <v>247175</v>
      </c>
      <c r="G31" s="152">
        <f>'[1]December - 2022'!I31</f>
        <v>485</v>
      </c>
      <c r="H31" s="150">
        <f>'[1]December - 2022'!J31</f>
        <v>474</v>
      </c>
      <c r="I31" s="150">
        <f>'[1]December - 2022'!K31</f>
        <v>9102</v>
      </c>
      <c r="J31" s="152">
        <f>'[1]December - 2022'!L31</f>
        <v>163</v>
      </c>
      <c r="K31" s="150">
        <f>'[1]December - 2022'!N31</f>
        <v>923688</v>
      </c>
      <c r="L31" s="152">
        <f>'[1]December - 2022'!O31</f>
        <v>355</v>
      </c>
      <c r="M31" s="150">
        <f>'[1]December - 2022'!Q31</f>
        <v>245115</v>
      </c>
      <c r="N31" s="152">
        <f>'[1]December - 2022'!R31</f>
        <v>245</v>
      </c>
      <c r="O31" s="150">
        <f>'[1]December - 2022'!U31</f>
        <v>117460</v>
      </c>
      <c r="P31" s="152">
        <f>'[1]December - 2022'!V31</f>
        <v>80</v>
      </c>
      <c r="Q31" s="150">
        <f>'[1]December - 2022'!W31</f>
        <v>95.55000000000291</v>
      </c>
      <c r="R31" s="150">
        <f>'[1]December - 2022'!X31</f>
        <v>6448</v>
      </c>
      <c r="S31" s="188">
        <f>'[1]December - 2022'!Y31</f>
        <v>2</v>
      </c>
      <c r="T31" s="490"/>
      <c r="U31" s="151">
        <f>'[1]December - 2022'!AE31</f>
        <v>8184570.2400000002</v>
      </c>
      <c r="V31" s="218">
        <f>'[1]December - 2022'!AF31</f>
        <v>3556.5599999995902</v>
      </c>
      <c r="W31" s="88">
        <f>'[1]December - 2022'!AF31</f>
        <v>3556.5599999995902</v>
      </c>
      <c r="X31" s="233">
        <f>'[1]December - 2022'!AH31</f>
        <v>15538026</v>
      </c>
      <c r="Y31" s="218">
        <f>'[1]December - 2022'!AI31</f>
        <v>4287.359999999404</v>
      </c>
      <c r="Z31" s="88">
        <f>'[1]December - 2022'!AI31</f>
        <v>4287.359999999404</v>
      </c>
      <c r="AA31" s="233">
        <f>'[1]December - 2022'!AK31</f>
        <v>15827422.799999999</v>
      </c>
      <c r="AB31" s="218">
        <f>'[1]December - 2022'!AL31</f>
        <v>535.91999999806285</v>
      </c>
      <c r="AC31" s="88">
        <f>'[1]December - 2022'!AL31</f>
        <v>535.91999999806285</v>
      </c>
      <c r="AD31" s="233">
        <f>'[1]December - 2022'!AN31</f>
        <v>18903749.760000002</v>
      </c>
      <c r="AE31" s="218">
        <f>'[1]December - 2022'!AO31</f>
        <v>48.720000002533197</v>
      </c>
      <c r="AF31" s="88">
        <f>'[1]December - 2022'!AO31</f>
        <v>48.720000002533197</v>
      </c>
      <c r="AG31" s="233">
        <f>'[1]December - 2022'!AQ31</f>
        <v>19217019.359999999</v>
      </c>
      <c r="AH31" s="218">
        <f>'[1]December - 2022'!AR31</f>
        <v>7161.839999999851</v>
      </c>
      <c r="AI31" s="88">
        <f>'[1]December - 2022'!AR31</f>
        <v>7161.839999999851</v>
      </c>
      <c r="AJ31" s="233">
        <f>'[1]December - 2022'!AT31</f>
        <v>17644922.399999999</v>
      </c>
      <c r="AK31" s="218">
        <f>'[1]December - 2022'!AU31</f>
        <v>5164.3199999965727</v>
      </c>
      <c r="AL31" s="88">
        <f>'[1]December - 2022'!AU31</f>
        <v>5164.3199999965727</v>
      </c>
      <c r="AM31" s="233">
        <f>'[1]December - 2022'!AW31</f>
        <v>14847078.959999999</v>
      </c>
      <c r="AN31" s="218">
        <f>'[1]December - 2022'!AX31</f>
        <v>4092.4799999985844</v>
      </c>
      <c r="AO31" s="88">
        <f>'[1]December - 2022'!AX31</f>
        <v>4092.4799999985844</v>
      </c>
      <c r="AP31" s="233">
        <f>'[1]December - 2022'!AZ31</f>
        <v>14372887.199999999</v>
      </c>
      <c r="AQ31" s="218">
        <f>'[1]December - 2022'!BA31</f>
        <v>4482.2400000002235</v>
      </c>
      <c r="AR31" s="88">
        <f>'[1]December - 2022'!BA31</f>
        <v>4482.2400000002235</v>
      </c>
      <c r="AS31" s="233">
        <f>'[1]December - 2022'!BC31</f>
        <v>11223626.4</v>
      </c>
      <c r="AT31" s="218">
        <f>'[1]December - 2022'!BD31</f>
        <v>2825.7599999997765</v>
      </c>
      <c r="AU31" s="88">
        <f>'[1]December - 2022'!BD31</f>
        <v>2825.7599999997765</v>
      </c>
      <c r="AV31" s="233">
        <f>'[1]December - 2022'!BF31</f>
        <v>17781338.399999999</v>
      </c>
      <c r="AW31" s="230">
        <f>'[1]December - 2022'!BG31</f>
        <v>5456.6399999968708</v>
      </c>
      <c r="AX31" s="231">
        <f>'[1]December - 2022'!BG31</f>
        <v>5456.6399999968708</v>
      </c>
      <c r="AY31" s="456"/>
      <c r="AZ31" s="250">
        <f>'[1]December - 2022'!BM31</f>
        <v>78188000</v>
      </c>
      <c r="BA31" s="161">
        <f>'[1]December - 2022'!BN31</f>
        <v>0</v>
      </c>
      <c r="BB31" s="89">
        <f>'[1]December - 2022'!BN31</f>
        <v>0</v>
      </c>
      <c r="BC31" s="250">
        <f>'[1]December - 2022'!BP31</f>
        <v>80883300</v>
      </c>
      <c r="BD31" s="224">
        <f>'[1]December - 2022'!BQ31</f>
        <v>0</v>
      </c>
      <c r="BE31" s="89">
        <f>'[1]December - 2022'!BQ31</f>
        <v>0</v>
      </c>
      <c r="BF31" s="250">
        <f>'[1]December - 2022'!BS31</f>
        <v>75044200</v>
      </c>
      <c r="BG31" s="224">
        <f>'[1]December - 2022'!BT31</f>
        <v>44100</v>
      </c>
      <c r="BH31" s="89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'[1]December - 2022'!BV31</f>
        <v>10321260</v>
      </c>
      <c r="BT31" s="166">
        <f>'[1]December - 2022'!BW31</f>
        <v>6990</v>
      </c>
      <c r="BU31" s="363"/>
      <c r="BV31" s="84">
        <f>'[1]December - 2022'!BY31</f>
        <v>0.57999999999999996</v>
      </c>
      <c r="BW31" s="220">
        <f>'[1]December - 2022'!BZ31</f>
        <v>7.0000000000000062E-2</v>
      </c>
      <c r="BX31" s="84">
        <f>'[1]December - 2022'!BZ31</f>
        <v>7.0000000000000062E-2</v>
      </c>
      <c r="BY31" s="85">
        <f>'[1]December - 2022'!CB31</f>
        <v>64597</v>
      </c>
      <c r="BZ31" s="172">
        <f>'[1]December - 2022'!CC31</f>
        <v>20</v>
      </c>
      <c r="CA31" s="85">
        <f>'[1]December - 2022'!CD31</f>
        <v>55682</v>
      </c>
      <c r="CB31" s="172">
        <f>'[1]December - 2022'!CE31</f>
        <v>19</v>
      </c>
      <c r="CC31" s="85">
        <f>'[1]December - 2022'!CF31</f>
        <v>18834</v>
      </c>
      <c r="CD31" s="172">
        <f>'[1]December - 2022'!CG31</f>
        <v>5</v>
      </c>
      <c r="CE31" s="85">
        <f>'[1]December - 2022'!CH31</f>
        <v>25739</v>
      </c>
      <c r="CF31" s="172">
        <f>'[1]December - 2022'!CI31</f>
        <v>12</v>
      </c>
      <c r="CG31" s="85">
        <f>'[1]December - 2022'!CJ31</f>
        <v>28684</v>
      </c>
      <c r="CH31" s="172">
        <f>'[1]December - 2022'!CK31</f>
        <v>14</v>
      </c>
      <c r="CI31" s="85">
        <f>'[1]December - 2022'!CL31</f>
        <v>62933</v>
      </c>
      <c r="CJ31" s="172">
        <f>'[1]December - 2022'!CM31</f>
        <v>33</v>
      </c>
      <c r="CK31" s="85">
        <f>'[1]December - 2022'!CN31</f>
        <v>269039</v>
      </c>
      <c r="CL31" s="225">
        <f>'[1]December - 2022'!CO31</f>
        <v>70</v>
      </c>
      <c r="CM31" s="85">
        <f>'[1]December - 2022'!CO31</f>
        <v>70</v>
      </c>
      <c r="CN31" s="85">
        <f>'[1]December - 2022'!CQ31</f>
        <v>216492</v>
      </c>
      <c r="CO31" s="225">
        <f>'[1]December - 2022'!CR31</f>
        <v>111</v>
      </c>
      <c r="CP31" s="85">
        <f>'[1]December - 2022'!CR31</f>
        <v>111</v>
      </c>
      <c r="CQ31" s="85">
        <f>'[1]December - 2022'!CT31</f>
        <v>358600</v>
      </c>
      <c r="CR31" s="225">
        <f>'[1]December - 2022'!CU31</f>
        <v>242</v>
      </c>
      <c r="CS31" s="85">
        <f>'[1]December - 2022'!CU31</f>
        <v>242</v>
      </c>
      <c r="CT31" s="85">
        <f>'[1]December - 2022'!CW31</f>
        <v>697113</v>
      </c>
      <c r="CU31" s="172">
        <f>'[1]December - 2022'!CX31</f>
        <v>166</v>
      </c>
      <c r="CV31" s="423"/>
      <c r="CW31" s="234">
        <f>'[1]December - 2022'!CZ31</f>
        <v>8964</v>
      </c>
      <c r="CX31" s="179">
        <f>'[1]December - 2022'!DA31</f>
        <v>9</v>
      </c>
      <c r="CY31" s="235">
        <f>'[1]December - 2022'!DB31</f>
        <v>6086</v>
      </c>
      <c r="CZ31" s="179">
        <f>'[1]December - 2022'!DC31</f>
        <v>8</v>
      </c>
      <c r="DA31" s="235">
        <f>'[1]December - 2022'!DD31</f>
        <v>32340</v>
      </c>
      <c r="DB31" s="179">
        <f>'[1]December - 2022'!DE31</f>
        <v>15</v>
      </c>
      <c r="DC31" s="235">
        <f>'[1]December - 2022'!DF31</f>
        <v>32554</v>
      </c>
      <c r="DD31" s="179">
        <f>'[1]December - 2022'!DG31</f>
        <v>11</v>
      </c>
      <c r="DE31" s="235">
        <f>'[1]December - 2022'!DH31</f>
        <v>21980</v>
      </c>
      <c r="DF31" s="179">
        <f>'[1]December - 2022'!DI31</f>
        <v>10</v>
      </c>
      <c r="DG31" s="235">
        <f>'[1]December - 2022'!DJ31</f>
        <v>24121</v>
      </c>
      <c r="DH31" s="179">
        <f>'[1]December - 2022'!DK31</f>
        <v>6</v>
      </c>
      <c r="DI31" s="235">
        <f>'[1]December - 2022'!DL31</f>
        <v>7226</v>
      </c>
      <c r="DJ31" s="179">
        <f>'[1]December - 2022'!DM31</f>
        <v>9</v>
      </c>
      <c r="DK31" s="235">
        <f>'[1]December - 2022'!DN31</f>
        <v>9876</v>
      </c>
      <c r="DL31" s="179">
        <f>'[1]December - 2022'!DO31</f>
        <v>9</v>
      </c>
      <c r="DM31" s="235">
        <f>'[1]December - 2022'!DP31</f>
        <v>3314</v>
      </c>
      <c r="DN31" s="179">
        <f>'[1]December - 2022'!DQ31</f>
        <v>4</v>
      </c>
      <c r="DO31" s="235">
        <f>'[1]December - 2022'!DR31</f>
        <v>6544</v>
      </c>
      <c r="DP31" s="179">
        <f>'[1]December - 2022'!DS31</f>
        <v>7</v>
      </c>
      <c r="DQ31" s="235">
        <f>'[1]December - 2022'!DT31</f>
        <v>30362</v>
      </c>
      <c r="DR31" s="186">
        <f>'[1]December - 2022'!DU31</f>
        <v>6</v>
      </c>
      <c r="DS31" s="408"/>
      <c r="DT31" s="190">
        <f>'[1]December - 2022'!DW31</f>
        <v>6480.4</v>
      </c>
      <c r="DU31" s="201">
        <f>'[1]December - 2022'!DX31</f>
        <v>11.299999999999272</v>
      </c>
      <c r="DV31" s="87">
        <f>'[1]December - 2022'!DY31</f>
        <v>11395.3</v>
      </c>
      <c r="DW31" s="195">
        <f>'[1]December - 2022'!DZ31</f>
        <v>7.5999999999985448</v>
      </c>
      <c r="DX31" s="87">
        <f>'[1]December - 2022'!EA31</f>
        <v>4888.3999999999996</v>
      </c>
      <c r="DY31" s="195">
        <f>'[1]December - 2022'!EB31</f>
        <v>6.1999999999998181</v>
      </c>
      <c r="DZ31" s="87">
        <f>'[1]December - 2022'!EC31</f>
        <v>5467.7</v>
      </c>
      <c r="EA31" s="195">
        <f>'[1]December - 2022'!ED31</f>
        <v>6</v>
      </c>
      <c r="EB31" s="87">
        <f>'[1]December - 2022'!EE31</f>
        <v>1134528</v>
      </c>
      <c r="EC31" s="195">
        <f>'[1]December - 2022'!EF31</f>
        <v>561</v>
      </c>
      <c r="ED31" s="87">
        <f>'[1]December - 2022'!EI31</f>
        <v>233598.4</v>
      </c>
      <c r="EE31" s="208">
        <f>'[1]December - 2022'!EJ31</f>
        <v>125</v>
      </c>
      <c r="EF31" s="347"/>
      <c r="EG31" s="214">
        <f>'[1]December - 2022'!EL31</f>
        <v>12187700</v>
      </c>
      <c r="EH31" s="209">
        <f>'[1]December - 2022'!EM31</f>
        <v>2400</v>
      </c>
      <c r="EI31" s="86">
        <f>'[1]December - 2022'!EN31</f>
        <v>937090</v>
      </c>
      <c r="EJ31" s="209">
        <f>'[1]December - 2022'!EO31</f>
        <v>200</v>
      </c>
      <c r="EK31" s="86">
        <f>'[1]December - 2022'!EP31</f>
        <v>7246700</v>
      </c>
      <c r="EL31" s="209">
        <f>'[1]December - 2022'!EQ31</f>
        <v>1300</v>
      </c>
      <c r="EM31" s="86">
        <f>'[1]December - 2022'!ER31</f>
        <v>2502200</v>
      </c>
      <c r="EN31" s="209">
        <f>'[1]December - 2022'!ES31</f>
        <v>100</v>
      </c>
      <c r="EO31" s="86">
        <f>'[1]December - 2022'!ET31</f>
        <v>1286610</v>
      </c>
      <c r="EP31" s="209">
        <f>'[1]December - 2022'!EU31</f>
        <v>520</v>
      </c>
      <c r="EQ31" s="86">
        <f>'[1]December - 2022'!EV31</f>
        <v>16662400</v>
      </c>
      <c r="ER31" s="209">
        <f>'[1]December - 2022'!EW31</f>
        <v>1700</v>
      </c>
      <c r="ES31" s="395"/>
      <c r="ET31" s="256">
        <f>'[1]December - 2022'!EY31</f>
        <v>42325</v>
      </c>
      <c r="EU31" s="253">
        <f>'[1]December - 2022'!EZ31</f>
        <v>17</v>
      </c>
      <c r="EV31" s="257">
        <f>'[1]December - 2022'!FA31</f>
        <v>36947</v>
      </c>
      <c r="EW31" s="253">
        <f>'[1]December - 2022'!FB31</f>
        <v>13</v>
      </c>
      <c r="EX31" s="257">
        <f>'[1]December - 2022'!FC31</f>
        <v>7649</v>
      </c>
      <c r="EY31" s="253">
        <f>'[1]December - 2022'!FD31</f>
        <v>10</v>
      </c>
      <c r="EZ31" s="257">
        <f>'[1]December - 2022'!FE31</f>
        <v>59456</v>
      </c>
      <c r="FA31" s="253">
        <f>'[1]December - 2022'!FF31</f>
        <v>15</v>
      </c>
      <c r="FB31" s="257">
        <f>'[1]December - 2022'!FG31</f>
        <v>49967</v>
      </c>
      <c r="FC31" s="254">
        <f>'[1]December - 2022'!FH31</f>
        <v>30</v>
      </c>
    </row>
    <row r="32" spans="1:159" ht="30" customHeight="1" x14ac:dyDescent="0.25">
      <c r="A32" s="187">
        <v>43853</v>
      </c>
      <c r="B32" s="189">
        <f>'[1]December - 2022'!B32</f>
        <v>0.73</v>
      </c>
      <c r="C32" s="229">
        <f>'[1]December - 2022'!E32</f>
        <v>219996</v>
      </c>
      <c r="D32" s="152">
        <f>'[1]December - 2022'!F32</f>
        <v>761</v>
      </c>
      <c r="E32" s="150">
        <f>'[1]December - 2022'!G32</f>
        <v>793</v>
      </c>
      <c r="F32" s="150">
        <f>'[1]December - 2022'!H32</f>
        <v>247676</v>
      </c>
      <c r="G32" s="152">
        <f>'[1]December - 2022'!I32</f>
        <v>501</v>
      </c>
      <c r="H32" s="150">
        <f>'[1]December - 2022'!J32</f>
        <v>493</v>
      </c>
      <c r="I32" s="150">
        <f>'[1]December - 2022'!K32</f>
        <v>9274</v>
      </c>
      <c r="J32" s="152">
        <f>'[1]December - 2022'!L32</f>
        <v>172</v>
      </c>
      <c r="K32" s="150">
        <f>'[1]December - 2022'!N32</f>
        <v>923947</v>
      </c>
      <c r="L32" s="152">
        <f>'[1]December - 2022'!O32</f>
        <v>259</v>
      </c>
      <c r="M32" s="150">
        <f>'[1]December - 2022'!Q32</f>
        <v>245240</v>
      </c>
      <c r="N32" s="152">
        <f>'[1]December - 2022'!R32</f>
        <v>125</v>
      </c>
      <c r="O32" s="150">
        <f>'[1]December - 2022'!U32</f>
        <v>117552</v>
      </c>
      <c r="P32" s="152">
        <f>'[1]December - 2022'!V32</f>
        <v>92</v>
      </c>
      <c r="Q32" s="150">
        <f>'[1]December - 2022'!W32</f>
        <v>91.709999999999127</v>
      </c>
      <c r="R32" s="150">
        <f>'[1]December - 2022'!X32</f>
        <v>6456</v>
      </c>
      <c r="S32" s="188">
        <f>'[1]December - 2022'!Y32</f>
        <v>8</v>
      </c>
      <c r="T32" s="490"/>
      <c r="U32" s="151">
        <f>'[1]December - 2022'!AE32</f>
        <v>8188419.1199999992</v>
      </c>
      <c r="V32" s="218">
        <f>'[1]December - 2022'!AF32</f>
        <v>3848.8799999989569</v>
      </c>
      <c r="W32" s="88">
        <f>'[1]December - 2022'!AF32</f>
        <v>3848.8799999989569</v>
      </c>
      <c r="X32" s="233">
        <f>'[1]December - 2022'!AH32</f>
        <v>15542556.959999999</v>
      </c>
      <c r="Y32" s="218">
        <f>'[1]December - 2022'!AI32</f>
        <v>4530.9599999990314</v>
      </c>
      <c r="Z32" s="88">
        <f>'[1]December - 2022'!AI32</f>
        <v>4530.9599999990314</v>
      </c>
      <c r="AA32" s="233">
        <f>'[1]December - 2022'!AK32</f>
        <v>15828007.439999999</v>
      </c>
      <c r="AB32" s="218">
        <f>'[1]December - 2022'!AL32</f>
        <v>584.64000000059605</v>
      </c>
      <c r="AC32" s="88">
        <f>'[1]December - 2022'!AL32</f>
        <v>584.64000000059605</v>
      </c>
      <c r="AD32" s="233">
        <f>'[1]December - 2022'!AN32</f>
        <v>18903847.199999999</v>
      </c>
      <c r="AE32" s="218">
        <f>'[1]December - 2022'!AO32</f>
        <v>97.439999997615814</v>
      </c>
      <c r="AF32" s="88">
        <f>'[1]December - 2022'!AO32</f>
        <v>97.439999997615814</v>
      </c>
      <c r="AG32" s="233">
        <f>'[1]December - 2022'!AQ32</f>
        <v>19224814.560000002</v>
      </c>
      <c r="AH32" s="218">
        <f>'[1]December - 2022'!AR32</f>
        <v>7795.2000000029802</v>
      </c>
      <c r="AI32" s="88">
        <f>'[1]December - 2022'!AR32</f>
        <v>7795.2000000029802</v>
      </c>
      <c r="AJ32" s="233">
        <f>'[1]December - 2022'!AT32</f>
        <v>17650379.039999999</v>
      </c>
      <c r="AK32" s="218">
        <f>'[1]December - 2022'!AU32</f>
        <v>5456.640000000596</v>
      </c>
      <c r="AL32" s="88">
        <f>'[1]December - 2022'!AU32</f>
        <v>5456.640000000596</v>
      </c>
      <c r="AM32" s="233">
        <f>'[1]December - 2022'!AW32</f>
        <v>14851415.039999999</v>
      </c>
      <c r="AN32" s="218">
        <f>'[1]December - 2022'!AX32</f>
        <v>4336.0800000000745</v>
      </c>
      <c r="AO32" s="88">
        <f>'[1]December - 2022'!AX32</f>
        <v>4336.0800000000745</v>
      </c>
      <c r="AP32" s="233">
        <f>'[1]December - 2022'!AZ32</f>
        <v>14377613.039999999</v>
      </c>
      <c r="AQ32" s="218">
        <f>'[1]December - 2022'!BA32</f>
        <v>4725.839999999851</v>
      </c>
      <c r="AR32" s="88">
        <f>'[1]December - 2022'!BA32</f>
        <v>4725.839999999851</v>
      </c>
      <c r="AS32" s="233">
        <f>'[1]December - 2022'!BC32</f>
        <v>11226647.040000001</v>
      </c>
      <c r="AT32" s="218">
        <f>'[1]December - 2022'!BD32</f>
        <v>3020.640000000596</v>
      </c>
      <c r="AU32" s="88">
        <f>'[1]December - 2022'!BD32</f>
        <v>3020.640000000596</v>
      </c>
      <c r="AV32" s="233">
        <f>'[1]December - 2022'!BF32</f>
        <v>17787136.080000002</v>
      </c>
      <c r="AW32" s="230">
        <f>'[1]December - 2022'!BG32</f>
        <v>5797.6800000034273</v>
      </c>
      <c r="AX32" s="231">
        <f>'[1]December - 2022'!BG32</f>
        <v>5797.6800000034273</v>
      </c>
      <c r="AY32" s="456"/>
      <c r="AZ32" s="250">
        <f>'[1]December - 2022'!BM32</f>
        <v>78188000</v>
      </c>
      <c r="BA32" s="161">
        <f>'[1]December - 2022'!BN32</f>
        <v>0</v>
      </c>
      <c r="BB32" s="89">
        <f>'[1]December - 2022'!BN32</f>
        <v>0</v>
      </c>
      <c r="BC32" s="250">
        <f>'[1]December - 2022'!BP32</f>
        <v>80883300</v>
      </c>
      <c r="BD32" s="224">
        <f>'[1]December - 2022'!BQ32</f>
        <v>0</v>
      </c>
      <c r="BE32" s="89">
        <f>'[1]December - 2022'!BQ32</f>
        <v>0</v>
      </c>
      <c r="BF32" s="250">
        <f>'[1]December - 2022'!BS32</f>
        <v>75090700</v>
      </c>
      <c r="BG32" s="224">
        <f>'[1]December - 2022'!BT32</f>
        <v>46500</v>
      </c>
      <c r="BH32" s="89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'[1]December - 2022'!BV32</f>
        <v>10328660</v>
      </c>
      <c r="BT32" s="166">
        <f>'[1]December - 2022'!BW32</f>
        <v>7400</v>
      </c>
      <c r="BU32" s="363"/>
      <c r="BV32" s="84">
        <f>'[1]December - 2022'!BY32</f>
        <v>0.71</v>
      </c>
      <c r="BW32" s="220">
        <f>'[1]December - 2022'!BZ32</f>
        <v>-0.13</v>
      </c>
      <c r="BX32" s="84">
        <f>'[1]December - 2022'!BZ32</f>
        <v>-0.13</v>
      </c>
      <c r="BY32" s="85">
        <f>'[1]December - 2022'!CB32</f>
        <v>64615</v>
      </c>
      <c r="BZ32" s="172">
        <f>'[1]December - 2022'!CC32</f>
        <v>18</v>
      </c>
      <c r="CA32" s="85">
        <f>'[1]December - 2022'!CD32</f>
        <v>55702</v>
      </c>
      <c r="CB32" s="172">
        <f>'[1]December - 2022'!CE32</f>
        <v>20</v>
      </c>
      <c r="CC32" s="85">
        <f>'[1]December - 2022'!CF32</f>
        <v>18842</v>
      </c>
      <c r="CD32" s="172">
        <f>'[1]December - 2022'!CG32</f>
        <v>8</v>
      </c>
      <c r="CE32" s="85">
        <f>'[1]December - 2022'!CH32</f>
        <v>25752</v>
      </c>
      <c r="CF32" s="172">
        <f>'[1]December - 2022'!CI32</f>
        <v>13</v>
      </c>
      <c r="CG32" s="85">
        <f>'[1]December - 2022'!CJ32</f>
        <v>28701</v>
      </c>
      <c r="CH32" s="172">
        <f>'[1]December - 2022'!CK32</f>
        <v>17</v>
      </c>
      <c r="CI32" s="85">
        <f>'[1]December - 2022'!CL32</f>
        <v>62967</v>
      </c>
      <c r="CJ32" s="172">
        <f>'[1]December - 2022'!CM32</f>
        <v>34</v>
      </c>
      <c r="CK32" s="85">
        <f>'[1]December - 2022'!CN32</f>
        <v>269112</v>
      </c>
      <c r="CL32" s="225">
        <f>'[1]December - 2022'!CO32</f>
        <v>73</v>
      </c>
      <c r="CM32" s="85">
        <f>'[1]December - 2022'!CO32</f>
        <v>73</v>
      </c>
      <c r="CN32" s="85">
        <f>'[1]December - 2022'!CQ32</f>
        <v>216604</v>
      </c>
      <c r="CO32" s="225">
        <f>'[1]December - 2022'!CR32</f>
        <v>112</v>
      </c>
      <c r="CP32" s="85">
        <f>'[1]December - 2022'!CR32</f>
        <v>112</v>
      </c>
      <c r="CQ32" s="85">
        <f>'[1]December - 2022'!CT32</f>
        <v>358832</v>
      </c>
      <c r="CR32" s="225">
        <f>'[1]December - 2022'!CU32</f>
        <v>232</v>
      </c>
      <c r="CS32" s="85">
        <f>'[1]December - 2022'!CU32</f>
        <v>232</v>
      </c>
      <c r="CT32" s="85">
        <f>'[1]December - 2022'!CW32</f>
        <v>697285</v>
      </c>
      <c r="CU32" s="172">
        <f>'[1]December - 2022'!CX32</f>
        <v>172</v>
      </c>
      <c r="CV32" s="423"/>
      <c r="CW32" s="234">
        <f>'[1]December - 2022'!CZ32</f>
        <v>8975</v>
      </c>
      <c r="CX32" s="179">
        <f>'[1]December - 2022'!DA32</f>
        <v>11</v>
      </c>
      <c r="CY32" s="235">
        <f>'[1]December - 2022'!DB32</f>
        <v>6093</v>
      </c>
      <c r="CZ32" s="179">
        <f>'[1]December - 2022'!DC32</f>
        <v>7</v>
      </c>
      <c r="DA32" s="235">
        <f>'[1]December - 2022'!DD32</f>
        <v>32357</v>
      </c>
      <c r="DB32" s="179">
        <f>'[1]December - 2022'!DE32</f>
        <v>17</v>
      </c>
      <c r="DC32" s="235">
        <f>'[1]December - 2022'!DF32</f>
        <v>32564</v>
      </c>
      <c r="DD32" s="179">
        <f>'[1]December - 2022'!DG32</f>
        <v>10</v>
      </c>
      <c r="DE32" s="235">
        <f>'[1]December - 2022'!DH32</f>
        <v>21992</v>
      </c>
      <c r="DF32" s="179">
        <f>'[1]December - 2022'!DI32</f>
        <v>12</v>
      </c>
      <c r="DG32" s="235">
        <f>'[1]December - 2022'!DJ32</f>
        <v>24129</v>
      </c>
      <c r="DH32" s="179">
        <f>'[1]December - 2022'!DK32</f>
        <v>8</v>
      </c>
      <c r="DI32" s="235">
        <f>'[1]December - 2022'!DL32</f>
        <v>7236</v>
      </c>
      <c r="DJ32" s="179">
        <f>'[1]December - 2022'!DM32</f>
        <v>10</v>
      </c>
      <c r="DK32" s="235">
        <f>'[1]December - 2022'!DN32</f>
        <v>9884</v>
      </c>
      <c r="DL32" s="179">
        <f>'[1]December - 2022'!DO32</f>
        <v>8</v>
      </c>
      <c r="DM32" s="235">
        <f>'[1]December - 2022'!DP32</f>
        <v>3319</v>
      </c>
      <c r="DN32" s="179">
        <f>'[1]December - 2022'!DQ32</f>
        <v>5</v>
      </c>
      <c r="DO32" s="235">
        <f>'[1]December - 2022'!DR32</f>
        <v>6553</v>
      </c>
      <c r="DP32" s="179">
        <f>'[1]December - 2022'!DS32</f>
        <v>9</v>
      </c>
      <c r="DQ32" s="235">
        <f>'[1]December - 2022'!DT32</f>
        <v>30371</v>
      </c>
      <c r="DR32" s="186">
        <f>'[1]December - 2022'!DU32</f>
        <v>9</v>
      </c>
      <c r="DS32" s="408"/>
      <c r="DT32" s="190">
        <f>'[1]December - 2022'!DW32</f>
        <v>6492</v>
      </c>
      <c r="DU32" s="201">
        <f>'[1]December - 2022'!DX32</f>
        <v>11.600000000000364</v>
      </c>
      <c r="DV32" s="87">
        <f>'[1]December - 2022'!DY32</f>
        <v>11403</v>
      </c>
      <c r="DW32" s="195">
        <f>'[1]December - 2022'!DZ32</f>
        <v>7.7000000000007276</v>
      </c>
      <c r="DX32" s="87">
        <f>'[1]December - 2022'!EA32</f>
        <v>4895</v>
      </c>
      <c r="DY32" s="195">
        <f>'[1]December - 2022'!EB32</f>
        <v>6.6000000000003638</v>
      </c>
      <c r="DZ32" s="87">
        <f>'[1]December - 2022'!EC32</f>
        <v>5474</v>
      </c>
      <c r="EA32" s="195">
        <f>'[1]December - 2022'!ED32</f>
        <v>6.3000000000001819</v>
      </c>
      <c r="EB32" s="87">
        <f>'[1]December - 2022'!EE32</f>
        <v>1135110</v>
      </c>
      <c r="EC32" s="195">
        <f>'[1]December - 2022'!EF32</f>
        <v>582</v>
      </c>
      <c r="ED32" s="87">
        <f>'[1]December - 2022'!EI32</f>
        <v>233730.9</v>
      </c>
      <c r="EE32" s="208">
        <f>'[1]December - 2022'!EJ32</f>
        <v>132.5</v>
      </c>
      <c r="EF32" s="347"/>
      <c r="EG32" s="214">
        <f>'[1]December - 2022'!EL32</f>
        <v>12190900</v>
      </c>
      <c r="EH32" s="209">
        <f>'[1]December - 2022'!EM32</f>
        <v>3200</v>
      </c>
      <c r="EI32" s="86">
        <f>'[1]December - 2022'!EN32</f>
        <v>937310</v>
      </c>
      <c r="EJ32" s="209">
        <f>'[1]December - 2022'!EO32</f>
        <v>220</v>
      </c>
      <c r="EK32" s="86">
        <f>'[1]December - 2022'!EP32</f>
        <v>7248400</v>
      </c>
      <c r="EL32" s="209">
        <f>'[1]December - 2022'!EQ32</f>
        <v>1700</v>
      </c>
      <c r="EM32" s="86">
        <f>'[1]December - 2022'!ER32</f>
        <v>2502400</v>
      </c>
      <c r="EN32" s="209">
        <f>'[1]December - 2022'!ES32</f>
        <v>200</v>
      </c>
      <c r="EO32" s="86">
        <f>'[1]December - 2022'!ET32</f>
        <v>1287230</v>
      </c>
      <c r="EP32" s="209">
        <f>'[1]December - 2022'!EU32</f>
        <v>620</v>
      </c>
      <c r="EQ32" s="86">
        <f>'[1]December - 2022'!EV32</f>
        <v>16664900</v>
      </c>
      <c r="ER32" s="209">
        <f>'[1]December - 2022'!EW32</f>
        <v>2500</v>
      </c>
      <c r="ES32" s="395"/>
      <c r="ET32" s="256">
        <f>'[1]December - 2022'!EY32</f>
        <v>42341</v>
      </c>
      <c r="EU32" s="253">
        <f>'[1]December - 2022'!EZ32</f>
        <v>16</v>
      </c>
      <c r="EV32" s="257">
        <f>'[1]December - 2022'!FA32</f>
        <v>36960</v>
      </c>
      <c r="EW32" s="253">
        <f>'[1]December - 2022'!FB32</f>
        <v>13</v>
      </c>
      <c r="EX32" s="257">
        <f>'[1]December - 2022'!FC32</f>
        <v>7661</v>
      </c>
      <c r="EY32" s="253">
        <f>'[1]December - 2022'!FD32</f>
        <v>12</v>
      </c>
      <c r="EZ32" s="257">
        <f>'[1]December - 2022'!FE32</f>
        <v>59470</v>
      </c>
      <c r="FA32" s="253">
        <f>'[1]December - 2022'!FF32</f>
        <v>14</v>
      </c>
      <c r="FB32" s="257">
        <f>'[1]December - 2022'!FG32</f>
        <v>50002</v>
      </c>
      <c r="FC32" s="254">
        <f>'[1]December - 2022'!FH32</f>
        <v>35</v>
      </c>
    </row>
    <row r="33" spans="1:160" ht="30" customHeight="1" x14ac:dyDescent="0.25">
      <c r="A33" s="187">
        <v>43854</v>
      </c>
      <c r="B33" s="189">
        <f>'[1]December - 2022'!B33</f>
        <v>0.74</v>
      </c>
      <c r="C33" s="229">
        <f>'[1]December - 2022'!E33</f>
        <v>220713</v>
      </c>
      <c r="D33" s="152">
        <f>'[1]December - 2022'!F33</f>
        <v>717</v>
      </c>
      <c r="E33" s="150">
        <f>'[1]December - 2022'!G33</f>
        <v>795</v>
      </c>
      <c r="F33" s="150">
        <f>'[1]December - 2022'!H33</f>
        <v>248178</v>
      </c>
      <c r="G33" s="152">
        <f>'[1]December - 2022'!I33</f>
        <v>502</v>
      </c>
      <c r="H33" s="150">
        <f>'[1]December - 2022'!J33</f>
        <v>522</v>
      </c>
      <c r="I33" s="150">
        <f>'[1]December - 2022'!K33</f>
        <v>9452</v>
      </c>
      <c r="J33" s="152">
        <f>'[1]December - 2022'!L33</f>
        <v>178</v>
      </c>
      <c r="K33" s="150">
        <f>'[1]December - 2022'!N33</f>
        <v>924213</v>
      </c>
      <c r="L33" s="152">
        <f>'[1]December - 2022'!O33</f>
        <v>266</v>
      </c>
      <c r="M33" s="150">
        <f>'[1]December - 2022'!Q33</f>
        <v>245289</v>
      </c>
      <c r="N33" s="152">
        <f>'[1]December - 2022'!R33</f>
        <v>49</v>
      </c>
      <c r="O33" s="150">
        <f>'[1]December - 2022'!U33</f>
        <v>117650</v>
      </c>
      <c r="P33" s="152">
        <f>'[1]December - 2022'!V33</f>
        <v>98</v>
      </c>
      <c r="Q33" s="150">
        <f>'[1]December - 2022'!W33</f>
        <v>94.129999999997381</v>
      </c>
      <c r="R33" s="150">
        <f>'[1]December - 2022'!X33</f>
        <v>6466</v>
      </c>
      <c r="S33" s="188">
        <f>'[1]December - 2022'!Y33</f>
        <v>10</v>
      </c>
      <c r="T33" s="490"/>
      <c r="U33" s="151">
        <f>'[1]December - 2022'!AE33</f>
        <v>8190416.6400000006</v>
      </c>
      <c r="V33" s="218">
        <f>'[1]December - 2022'!AF33</f>
        <v>1997.5200000014156</v>
      </c>
      <c r="W33" s="88">
        <f>'[1]December - 2022'!AF33</f>
        <v>1997.5200000014156</v>
      </c>
      <c r="X33" s="233">
        <f>'[1]December - 2022'!AH33</f>
        <v>15547087.919999998</v>
      </c>
      <c r="Y33" s="218">
        <f>'[1]December - 2022'!AI33</f>
        <v>4530.9599999990314</v>
      </c>
      <c r="Z33" s="88">
        <f>'[1]December - 2022'!AI33</f>
        <v>4530.9599999990314</v>
      </c>
      <c r="AA33" s="233">
        <f>'[1]December - 2022'!AK33</f>
        <v>15828202.319999998</v>
      </c>
      <c r="AB33" s="218">
        <f>'[1]December - 2022'!AL33</f>
        <v>194.87999999895692</v>
      </c>
      <c r="AC33" s="88">
        <f>'[1]December - 2022'!AL33</f>
        <v>194.87999999895692</v>
      </c>
      <c r="AD33" s="233">
        <f>'[1]December - 2022'!AN33</f>
        <v>18913688.639999997</v>
      </c>
      <c r="AE33" s="218">
        <f>'[1]December - 2022'!AO33</f>
        <v>9841.4399999976158</v>
      </c>
      <c r="AF33" s="88">
        <f>'[1]December - 2022'!AO33</f>
        <v>9841.4399999976158</v>
      </c>
      <c r="AG33" s="233">
        <f>'[1]December - 2022'!AQ33</f>
        <v>19225594.080000002</v>
      </c>
      <c r="AH33" s="218">
        <f>'[1]December - 2022'!AR33</f>
        <v>779.51999999955297</v>
      </c>
      <c r="AI33" s="88">
        <f>'[1]December - 2022'!AR33</f>
        <v>779.51999999955297</v>
      </c>
      <c r="AJ33" s="233">
        <f>'[1]December - 2022'!AT33</f>
        <v>17655689.52</v>
      </c>
      <c r="AK33" s="218">
        <f>'[1]December - 2022'!AU33</f>
        <v>5310.480000000447</v>
      </c>
      <c r="AL33" s="88">
        <f>'[1]December - 2022'!AU33</f>
        <v>5310.480000000447</v>
      </c>
      <c r="AM33" s="233">
        <f>'[1]December - 2022'!AW33</f>
        <v>14855458.799999999</v>
      </c>
      <c r="AN33" s="218">
        <f>'[1]December - 2022'!AX33</f>
        <v>4043.7599999997765</v>
      </c>
      <c r="AO33" s="88">
        <f>'[1]December - 2022'!AX33</f>
        <v>4043.7599999997765</v>
      </c>
      <c r="AP33" s="233">
        <f>'[1]December - 2022'!AZ33</f>
        <v>14382192.719999999</v>
      </c>
      <c r="AQ33" s="218">
        <f>'[1]December - 2022'!BA33</f>
        <v>4579.679999999702</v>
      </c>
      <c r="AR33" s="88">
        <f>'[1]December - 2022'!BA33</f>
        <v>4579.679999999702</v>
      </c>
      <c r="AS33" s="233">
        <f>'[1]December - 2022'!BC33</f>
        <v>11229472.799999999</v>
      </c>
      <c r="AT33" s="218">
        <f>'[1]December - 2022'!BD33</f>
        <v>2825.7599999979138</v>
      </c>
      <c r="AU33" s="88">
        <f>'[1]December - 2022'!BD33</f>
        <v>2825.7599999979138</v>
      </c>
      <c r="AV33" s="233">
        <f>'[1]December - 2022'!BF33</f>
        <v>17792787.599999998</v>
      </c>
      <c r="AW33" s="230">
        <f>'[1]December - 2022'!BG33</f>
        <v>5651.5199999958277</v>
      </c>
      <c r="AX33" s="231">
        <f>'[1]December - 2022'!BG33</f>
        <v>5651.5199999958277</v>
      </c>
      <c r="AY33" s="456"/>
      <c r="AZ33" s="250">
        <f>'[1]December - 2022'!BM33</f>
        <v>78188000</v>
      </c>
      <c r="BA33" s="161">
        <f>'[1]December - 2022'!BN33</f>
        <v>0</v>
      </c>
      <c r="BB33" s="89">
        <f>'[1]December - 2022'!BN33</f>
        <v>0</v>
      </c>
      <c r="BC33" s="250">
        <f>'[1]December - 2022'!BP33</f>
        <v>80932000</v>
      </c>
      <c r="BD33" s="224">
        <f>'[1]December - 2022'!BQ33</f>
        <v>48700</v>
      </c>
      <c r="BE33" s="89">
        <f>'[1]December - 2022'!BQ33</f>
        <v>48700</v>
      </c>
      <c r="BF33" s="250">
        <f>'[1]December - 2022'!BS33</f>
        <v>75092800</v>
      </c>
      <c r="BG33" s="224">
        <f>'[1]December - 2022'!BT33</f>
        <v>2100</v>
      </c>
      <c r="BH33" s="89">
        <f>'[1]December - 2022'!BT33</f>
        <v>2100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'[1]December - 2022'!BV33</f>
        <v>10335730</v>
      </c>
      <c r="BT33" s="166">
        <f>'[1]December - 2022'!BW33</f>
        <v>168</v>
      </c>
      <c r="BU33" s="363"/>
      <c r="BV33" s="84">
        <f>'[1]December - 2022'!BY33</f>
        <v>0.62</v>
      </c>
      <c r="BW33" s="220">
        <f>'[1]December - 2022'!BZ33</f>
        <v>8.9999999999999969E-2</v>
      </c>
      <c r="BX33" s="84">
        <f>'[1]December - 2022'!BZ33</f>
        <v>8.9999999999999969E-2</v>
      </c>
      <c r="BY33" s="85">
        <f>'[1]December - 2022'!CB33</f>
        <v>64635</v>
      </c>
      <c r="BZ33" s="172">
        <f>'[1]December - 2022'!CC33</f>
        <v>20</v>
      </c>
      <c r="CA33" s="85">
        <f>'[1]December - 2022'!CD33</f>
        <v>55721</v>
      </c>
      <c r="CB33" s="172">
        <f>'[1]December - 2022'!CE33</f>
        <v>19</v>
      </c>
      <c r="CC33" s="85">
        <f>'[1]December - 2022'!CF33</f>
        <v>18849</v>
      </c>
      <c r="CD33" s="172">
        <f>'[1]December - 2022'!CG33</f>
        <v>7</v>
      </c>
      <c r="CE33" s="85">
        <f>'[1]December - 2022'!CH33</f>
        <v>25762</v>
      </c>
      <c r="CF33" s="172">
        <f>'[1]December - 2022'!CI33</f>
        <v>10</v>
      </c>
      <c r="CG33" s="85">
        <f>'[1]December - 2022'!CJ33</f>
        <v>28718</v>
      </c>
      <c r="CH33" s="172">
        <f>'[1]December - 2022'!CK33</f>
        <v>17</v>
      </c>
      <c r="CI33" s="85">
        <f>'[1]December - 2022'!CL33</f>
        <v>63005</v>
      </c>
      <c r="CJ33" s="172">
        <f>'[1]December - 2022'!CM33</f>
        <v>38</v>
      </c>
      <c r="CK33" s="85">
        <f>'[1]December - 2022'!CN33</f>
        <v>269184</v>
      </c>
      <c r="CL33" s="225">
        <f>'[1]December - 2022'!CO33</f>
        <v>72</v>
      </c>
      <c r="CM33" s="85">
        <f>'[1]December - 2022'!CO33</f>
        <v>72</v>
      </c>
      <c r="CN33" s="85">
        <f>'[1]December - 2022'!CQ33</f>
        <v>216722</v>
      </c>
      <c r="CO33" s="225">
        <f>'[1]December - 2022'!CR33</f>
        <v>118</v>
      </c>
      <c r="CP33" s="85">
        <f>'[1]December - 2022'!CR33</f>
        <v>118</v>
      </c>
      <c r="CQ33" s="85">
        <f>'[1]December - 2022'!CT33</f>
        <v>359052</v>
      </c>
      <c r="CR33" s="225">
        <f>'[1]December - 2022'!CU33</f>
        <v>220</v>
      </c>
      <c r="CS33" s="85">
        <f>'[1]December - 2022'!CU33</f>
        <v>220</v>
      </c>
      <c r="CT33" s="85">
        <f>'[1]December - 2022'!CW33</f>
        <v>697453</v>
      </c>
      <c r="CU33" s="172">
        <f>'[1]December - 2022'!CX33</f>
        <v>168</v>
      </c>
      <c r="CV33" s="423"/>
      <c r="CW33" s="234">
        <f>'[1]December - 2022'!CZ33</f>
        <v>8985</v>
      </c>
      <c r="CX33" s="179">
        <f>'[1]December - 2022'!DA33</f>
        <v>10</v>
      </c>
      <c r="CY33" s="235">
        <f>'[1]December - 2022'!DB33</f>
        <v>6099</v>
      </c>
      <c r="CZ33" s="179">
        <f>'[1]December - 2022'!DC33</f>
        <v>6</v>
      </c>
      <c r="DA33" s="235">
        <f>'[1]December - 2022'!DD33</f>
        <v>32371</v>
      </c>
      <c r="DB33" s="179">
        <f>'[1]December - 2022'!DE33</f>
        <v>14</v>
      </c>
      <c r="DC33" s="235">
        <f>'[1]December - 2022'!DF33</f>
        <v>32573</v>
      </c>
      <c r="DD33" s="179">
        <f>'[1]December - 2022'!DG33</f>
        <v>9</v>
      </c>
      <c r="DE33" s="235">
        <f>'[1]December - 2022'!DH33</f>
        <v>22003</v>
      </c>
      <c r="DF33" s="179">
        <f>'[1]December - 2022'!DI33</f>
        <v>11</v>
      </c>
      <c r="DG33" s="235">
        <f>'[1]December - 2022'!DJ33</f>
        <v>24137</v>
      </c>
      <c r="DH33" s="179">
        <f>'[1]December - 2022'!DK33</f>
        <v>8</v>
      </c>
      <c r="DI33" s="235">
        <f>'[1]December - 2022'!DL33</f>
        <v>7246</v>
      </c>
      <c r="DJ33" s="179">
        <f>'[1]December - 2022'!DM33</f>
        <v>10</v>
      </c>
      <c r="DK33" s="235">
        <f>'[1]December - 2022'!DN33</f>
        <v>9892</v>
      </c>
      <c r="DL33" s="179">
        <f>'[1]December - 2022'!DO33</f>
        <v>8</v>
      </c>
      <c r="DM33" s="235">
        <f>'[1]December - 2022'!DP33</f>
        <v>3324</v>
      </c>
      <c r="DN33" s="179">
        <f>'[1]December - 2022'!DQ33</f>
        <v>5</v>
      </c>
      <c r="DO33" s="235">
        <f>'[1]December - 2022'!DR33</f>
        <v>6562</v>
      </c>
      <c r="DP33" s="179">
        <f>'[1]December - 2022'!DS33</f>
        <v>9</v>
      </c>
      <c r="DQ33" s="235">
        <f>'[1]December - 2022'!DT33</f>
        <v>30371</v>
      </c>
      <c r="DR33" s="186">
        <f>'[1]December - 2022'!DU33</f>
        <v>0</v>
      </c>
      <c r="DS33" s="408"/>
      <c r="DT33" s="190">
        <f>'[1]December - 2022'!DW33</f>
        <v>6503.6</v>
      </c>
      <c r="DU33" s="201">
        <f>'[1]December - 2022'!DX33</f>
        <v>11.600000000000364</v>
      </c>
      <c r="DV33" s="87">
        <f>'[1]December - 2022'!DY33</f>
        <v>11410.8</v>
      </c>
      <c r="DW33" s="195">
        <f>'[1]December - 2022'!DZ33</f>
        <v>7.7999999999992724</v>
      </c>
      <c r="DX33" s="87">
        <f>'[1]December - 2022'!EA33</f>
        <v>4901.8999999999996</v>
      </c>
      <c r="DY33" s="195">
        <f>'[1]December - 2022'!EB33</f>
        <v>6.8999999999996362</v>
      </c>
      <c r="DZ33" s="87">
        <f>'[1]December - 2022'!EC33</f>
        <v>5481.5</v>
      </c>
      <c r="EA33" s="195">
        <f>'[1]December - 2022'!ED33</f>
        <v>7.5</v>
      </c>
      <c r="EB33" s="87">
        <f>'[1]December - 2022'!EE33</f>
        <v>1135747</v>
      </c>
      <c r="EC33" s="195">
        <f>'[1]December - 2022'!EF33</f>
        <v>637</v>
      </c>
      <c r="ED33" s="87">
        <f>'[1]December - 2022'!EI33</f>
        <v>233863.5</v>
      </c>
      <c r="EE33" s="208">
        <f>'[1]December - 2022'!EJ33</f>
        <v>132.60000000000582</v>
      </c>
      <c r="EF33" s="347"/>
      <c r="EG33" s="214">
        <f>'[1]December - 2022'!EL33</f>
        <v>12195100</v>
      </c>
      <c r="EH33" s="209">
        <f>'[1]December - 2022'!EM33</f>
        <v>4200</v>
      </c>
      <c r="EI33" s="86">
        <f>'[1]December - 2022'!EN33</f>
        <v>937570</v>
      </c>
      <c r="EJ33" s="209">
        <f>'[1]December - 2022'!EO33</f>
        <v>260</v>
      </c>
      <c r="EK33" s="86">
        <f>'[1]December - 2022'!EP33</f>
        <v>7250200</v>
      </c>
      <c r="EL33" s="209">
        <f>'[1]December - 2022'!EQ33</f>
        <v>1800</v>
      </c>
      <c r="EM33" s="86">
        <f>'[1]December - 2022'!ER33</f>
        <v>2502700</v>
      </c>
      <c r="EN33" s="209">
        <f>'[1]December - 2022'!ES33</f>
        <v>300</v>
      </c>
      <c r="EO33" s="86">
        <f>'[1]December - 2022'!ET33</f>
        <v>1287880</v>
      </c>
      <c r="EP33" s="209">
        <f>'[1]December - 2022'!EU33</f>
        <v>650</v>
      </c>
      <c r="EQ33" s="86">
        <f>'[1]December - 2022'!EV33</f>
        <v>16667800</v>
      </c>
      <c r="ER33" s="209">
        <f>'[1]December - 2022'!EW33</f>
        <v>2900</v>
      </c>
      <c r="ES33" s="395"/>
      <c r="ET33" s="256">
        <f>'[1]December - 2022'!EY33</f>
        <v>42358</v>
      </c>
      <c r="EU33" s="253">
        <f>'[1]December - 2022'!EZ33</f>
        <v>17</v>
      </c>
      <c r="EV33" s="257">
        <f>'[1]December - 2022'!FA33</f>
        <v>36975</v>
      </c>
      <c r="EW33" s="253">
        <f>'[1]December - 2022'!FB33</f>
        <v>15</v>
      </c>
      <c r="EX33" s="257">
        <f>'[1]December - 2022'!FC33</f>
        <v>7672</v>
      </c>
      <c r="EY33" s="253">
        <f>'[1]December - 2022'!FD33</f>
        <v>11</v>
      </c>
      <c r="EZ33" s="257">
        <f>'[1]December - 2022'!FE33</f>
        <v>59484</v>
      </c>
      <c r="FA33" s="253">
        <f>'[1]December - 2022'!FF33</f>
        <v>14</v>
      </c>
      <c r="FB33" s="257">
        <f>'[1]December - 2022'!FG33</f>
        <v>50043</v>
      </c>
      <c r="FC33" s="254">
        <f>'[1]December - 2022'!FH33</f>
        <v>41</v>
      </c>
    </row>
    <row r="34" spans="1:160" ht="30" customHeight="1" x14ac:dyDescent="0.25">
      <c r="A34" s="187">
        <v>43855</v>
      </c>
      <c r="B34" s="189">
        <f>'[1]December - 2022'!B34</f>
        <v>0.8</v>
      </c>
      <c r="C34" s="229">
        <f>'[1]December - 2022'!E34</f>
        <v>221438</v>
      </c>
      <c r="D34" s="152">
        <f>'[1]December - 2022'!F34</f>
        <v>725</v>
      </c>
      <c r="E34" s="150">
        <f>'[1]December - 2022'!G34</f>
        <v>910</v>
      </c>
      <c r="F34" s="150">
        <f>'[1]December - 2022'!H34</f>
        <v>248667</v>
      </c>
      <c r="G34" s="152">
        <f>'[1]December - 2022'!I34</f>
        <v>489</v>
      </c>
      <c r="H34" s="150">
        <f>'[1]December - 2022'!J34</f>
        <v>620</v>
      </c>
      <c r="I34" s="150">
        <f>'[1]December - 2022'!K34</f>
        <v>9642</v>
      </c>
      <c r="J34" s="152">
        <f>'[1]December - 2022'!L34</f>
        <v>190</v>
      </c>
      <c r="K34" s="150">
        <f>'[1]December - 2022'!N34</f>
        <v>924290</v>
      </c>
      <c r="L34" s="152">
        <f>'[1]December - 2022'!O34</f>
        <v>77</v>
      </c>
      <c r="M34" s="150">
        <f>'[1]December - 2022'!Q34</f>
        <v>245382</v>
      </c>
      <c r="N34" s="152">
        <f>'[1]December - 2022'!R34</f>
        <v>93</v>
      </c>
      <c r="O34" s="150">
        <f>'[1]December - 2022'!U34</f>
        <v>117740</v>
      </c>
      <c r="P34" s="152">
        <f>'[1]December - 2022'!V34</f>
        <v>90</v>
      </c>
      <c r="Q34" s="150">
        <f>'[1]December - 2022'!W34</f>
        <v>102.55000000000291</v>
      </c>
      <c r="R34" s="150">
        <f>'[1]December - 2022'!X34</f>
        <v>6476</v>
      </c>
      <c r="S34" s="188">
        <f>'[1]December - 2022'!Y34</f>
        <v>10</v>
      </c>
      <c r="T34" s="490"/>
      <c r="U34" s="151">
        <f>'[1]December - 2022'!AE34</f>
        <v>8192414.1599999992</v>
      </c>
      <c r="V34" s="218">
        <f>'[1]December - 2022'!AF34</f>
        <v>1997.5199999986216</v>
      </c>
      <c r="W34" s="88">
        <f>'[1]December - 2022'!AF34</f>
        <v>1997.5199999986216</v>
      </c>
      <c r="X34" s="233">
        <f>'[1]December - 2022'!AH34</f>
        <v>15551570.16</v>
      </c>
      <c r="Y34" s="218">
        <f>'[1]December - 2022'!AI34</f>
        <v>4482.2400000020862</v>
      </c>
      <c r="Z34" s="88">
        <f>'[1]December - 2022'!AI34</f>
        <v>4482.2400000020862</v>
      </c>
      <c r="AA34" s="233">
        <f>'[1]December - 2022'!AK34</f>
        <v>15828397.199999999</v>
      </c>
      <c r="AB34" s="218">
        <f>'[1]December - 2022'!AL34</f>
        <v>194.88000000081956</v>
      </c>
      <c r="AC34" s="88">
        <f>'[1]December - 2022'!AL34</f>
        <v>194.88000000081956</v>
      </c>
      <c r="AD34" s="233">
        <f>'[1]December - 2022'!AN34</f>
        <v>18923286.48</v>
      </c>
      <c r="AE34" s="218">
        <f>'[1]December - 2022'!AO34</f>
        <v>9597.8400000035763</v>
      </c>
      <c r="AF34" s="88">
        <f>'[1]December - 2022'!AO34</f>
        <v>9597.8400000035763</v>
      </c>
      <c r="AG34" s="233">
        <f>'[1]December - 2022'!AQ34</f>
        <v>19226227.439999998</v>
      </c>
      <c r="AH34" s="218">
        <f>'[1]December - 2022'!AR34</f>
        <v>633.35999999567866</v>
      </c>
      <c r="AI34" s="88">
        <f>'[1]December - 2022'!AR34</f>
        <v>633.35999999567866</v>
      </c>
      <c r="AJ34" s="233">
        <f>'[1]December - 2022'!AT34</f>
        <v>17661097.439999998</v>
      </c>
      <c r="AK34" s="218">
        <f>'[1]December - 2022'!AU34</f>
        <v>5407.9199999980628</v>
      </c>
      <c r="AL34" s="88">
        <f>'[1]December - 2022'!AU34</f>
        <v>5407.9199999980628</v>
      </c>
      <c r="AM34" s="233">
        <f>'[1]December - 2022'!AW34</f>
        <v>14859551.280000001</v>
      </c>
      <c r="AN34" s="218">
        <f>'[1]December - 2022'!AX34</f>
        <v>4092.4800000023097</v>
      </c>
      <c r="AO34" s="88">
        <f>'[1]December - 2022'!AX34</f>
        <v>4092.4800000023097</v>
      </c>
      <c r="AP34" s="233">
        <f>'[1]December - 2022'!AZ34</f>
        <v>14386674.959999999</v>
      </c>
      <c r="AQ34" s="218">
        <f>'[1]December - 2022'!BA34</f>
        <v>4482.2400000002235</v>
      </c>
      <c r="AR34" s="88">
        <f>'[1]December - 2022'!BA34</f>
        <v>4482.2400000002235</v>
      </c>
      <c r="AS34" s="233">
        <f>'[1]December - 2022'!BC34</f>
        <v>11232054.959999999</v>
      </c>
      <c r="AT34" s="218">
        <f>'[1]December - 2022'!BD34</f>
        <v>2582.160000000149</v>
      </c>
      <c r="AU34" s="88">
        <f>'[1]December - 2022'!BD34</f>
        <v>2582.160000000149</v>
      </c>
      <c r="AV34" s="233">
        <f>'[1]December - 2022'!BF34</f>
        <v>17798487.84</v>
      </c>
      <c r="AW34" s="230">
        <f>'[1]December - 2022'!BG34</f>
        <v>5700.2400000020862</v>
      </c>
      <c r="AX34" s="231">
        <f>'[1]December - 2022'!BG34</f>
        <v>5700.2400000020862</v>
      </c>
      <c r="AY34" s="456"/>
      <c r="AZ34" s="250">
        <f>'[1]December - 2022'!BM34</f>
        <v>78188000</v>
      </c>
      <c r="BA34" s="161">
        <f>'[1]December - 2022'!BN34</f>
        <v>0</v>
      </c>
      <c r="BB34" s="89">
        <f>'[1]December - 2022'!BN34</f>
        <v>0</v>
      </c>
      <c r="BC34" s="250">
        <f>'[1]December - 2022'!BP34</f>
        <v>80981200</v>
      </c>
      <c r="BD34" s="224">
        <f>'[1]December - 2022'!BQ34</f>
        <v>49200</v>
      </c>
      <c r="BE34" s="89">
        <f>'[1]December - 2022'!BQ34</f>
        <v>49200</v>
      </c>
      <c r="BF34" s="250">
        <f>'[1]December - 2022'!BS34</f>
        <v>75092800</v>
      </c>
      <c r="BG34" s="224">
        <f>'[1]December - 2022'!BT34</f>
        <v>0</v>
      </c>
      <c r="BH34" s="89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'[1]December - 2022'!BV34</f>
        <v>10342720</v>
      </c>
      <c r="BT34" s="166">
        <f>'[1]December - 2022'!BW34</f>
        <v>6990</v>
      </c>
      <c r="BU34" s="363"/>
      <c r="BV34" s="84">
        <f>'[1]December - 2022'!BY34</f>
        <v>0.77</v>
      </c>
      <c r="BW34" s="220">
        <f>'[1]December - 2022'!BZ34</f>
        <v>-0.15000000000000002</v>
      </c>
      <c r="BX34" s="84">
        <f>'[1]December - 2022'!BZ34</f>
        <v>-0.15000000000000002</v>
      </c>
      <c r="BY34" s="85">
        <f>'[1]December - 2022'!CB34</f>
        <v>64655</v>
      </c>
      <c r="BZ34" s="172">
        <f>'[1]December - 2022'!CC34</f>
        <v>20</v>
      </c>
      <c r="CA34" s="85">
        <f>'[1]December - 2022'!CD34</f>
        <v>55740</v>
      </c>
      <c r="CB34" s="172">
        <f>'[1]December - 2022'!CE34</f>
        <v>19</v>
      </c>
      <c r="CC34" s="85">
        <f>'[1]December - 2022'!CF34</f>
        <v>18856</v>
      </c>
      <c r="CD34" s="172">
        <f>'[1]December - 2022'!CG34</f>
        <v>7</v>
      </c>
      <c r="CE34" s="85">
        <f>'[1]December - 2022'!CH34</f>
        <v>25771</v>
      </c>
      <c r="CF34" s="172">
        <f>'[1]December - 2022'!CI34</f>
        <v>9</v>
      </c>
      <c r="CG34" s="85">
        <f>'[1]December - 2022'!CJ34</f>
        <v>28731</v>
      </c>
      <c r="CH34" s="172">
        <f>'[1]December - 2022'!CK34</f>
        <v>13</v>
      </c>
      <c r="CI34" s="85">
        <f>'[1]December - 2022'!CL34</f>
        <v>63043</v>
      </c>
      <c r="CJ34" s="172">
        <f>'[1]December - 2022'!CM34</f>
        <v>38</v>
      </c>
      <c r="CK34" s="85">
        <f>'[1]December - 2022'!CN34</f>
        <v>269260</v>
      </c>
      <c r="CL34" s="225">
        <f>'[1]December - 2022'!CO34</f>
        <v>76</v>
      </c>
      <c r="CM34" s="85">
        <f>'[1]December - 2022'!CO34</f>
        <v>76</v>
      </c>
      <c r="CN34" s="85">
        <f>'[1]December - 2022'!CQ34</f>
        <v>216843</v>
      </c>
      <c r="CO34" s="225">
        <f>'[1]December - 2022'!CR34</f>
        <v>121</v>
      </c>
      <c r="CP34" s="85">
        <f>'[1]December - 2022'!CR34</f>
        <v>121</v>
      </c>
      <c r="CQ34" s="85">
        <f>'[1]December - 2022'!CT34</f>
        <v>359301</v>
      </c>
      <c r="CR34" s="225">
        <f>'[1]December - 2022'!CU34</f>
        <v>249</v>
      </c>
      <c r="CS34" s="85">
        <f>'[1]December - 2022'!CU34</f>
        <v>249</v>
      </c>
      <c r="CT34" s="85">
        <f>'[1]December - 2022'!CW34</f>
        <v>697631</v>
      </c>
      <c r="CU34" s="172">
        <f>'[1]December - 2022'!CX34</f>
        <v>178</v>
      </c>
      <c r="CV34" s="423"/>
      <c r="CW34" s="234">
        <f>'[1]December - 2022'!CZ34</f>
        <v>8991</v>
      </c>
      <c r="CX34" s="179">
        <f>'[1]December - 2022'!DA34</f>
        <v>6</v>
      </c>
      <c r="CY34" s="235">
        <f>'[1]December - 2022'!DB34</f>
        <v>6102</v>
      </c>
      <c r="CZ34" s="179">
        <f>'[1]December - 2022'!DC34</f>
        <v>3</v>
      </c>
      <c r="DA34" s="235">
        <f>'[1]December - 2022'!DD34</f>
        <v>32393</v>
      </c>
      <c r="DB34" s="179">
        <f>'[1]December - 2022'!DE34</f>
        <v>22</v>
      </c>
      <c r="DC34" s="235">
        <f>'[1]December - 2022'!DF34</f>
        <v>32593</v>
      </c>
      <c r="DD34" s="179">
        <f>'[1]December - 2022'!DG34</f>
        <v>20</v>
      </c>
      <c r="DE34" s="235">
        <f>'[1]December - 2022'!DH34</f>
        <v>22015</v>
      </c>
      <c r="DF34" s="179">
        <f>'[1]December - 2022'!DI34</f>
        <v>12</v>
      </c>
      <c r="DG34" s="235">
        <f>'[1]December - 2022'!DJ34</f>
        <v>24141</v>
      </c>
      <c r="DH34" s="179">
        <f>'[1]December - 2022'!DK34</f>
        <v>4</v>
      </c>
      <c r="DI34" s="235">
        <f>'[1]December - 2022'!DL34</f>
        <v>7263</v>
      </c>
      <c r="DJ34" s="179">
        <f>'[1]December - 2022'!DM34</f>
        <v>17</v>
      </c>
      <c r="DK34" s="235">
        <f>'[1]December - 2022'!DN34</f>
        <v>9904</v>
      </c>
      <c r="DL34" s="179">
        <f>'[1]December - 2022'!DO34</f>
        <v>12</v>
      </c>
      <c r="DM34" s="235">
        <f>'[1]December - 2022'!DP34</f>
        <v>3331</v>
      </c>
      <c r="DN34" s="179">
        <f>'[1]December - 2022'!DQ34</f>
        <v>7</v>
      </c>
      <c r="DO34" s="235">
        <f>'[1]December - 2022'!DR34</f>
        <v>6577</v>
      </c>
      <c r="DP34" s="179">
        <f>'[1]December - 2022'!DS34</f>
        <v>15</v>
      </c>
      <c r="DQ34" s="235">
        <f>'[1]December - 2022'!DT34</f>
        <v>30379</v>
      </c>
      <c r="DR34" s="186">
        <f>'[1]December - 2022'!DU34</f>
        <v>8</v>
      </c>
      <c r="DS34" s="408"/>
      <c r="DT34" s="190">
        <f>'[1]December - 2022'!DW34</f>
        <v>6514.6</v>
      </c>
      <c r="DU34" s="201">
        <f>'[1]December - 2022'!DX34</f>
        <v>11</v>
      </c>
      <c r="DV34" s="87">
        <f>'[1]December - 2022'!DY34</f>
        <v>11418.6</v>
      </c>
      <c r="DW34" s="195">
        <f>'[1]December - 2022'!DZ34</f>
        <v>7.8000000000010914</v>
      </c>
      <c r="DX34" s="87">
        <f>'[1]December - 2022'!EA34</f>
        <v>4908.7</v>
      </c>
      <c r="DY34" s="195">
        <f>'[1]December - 2022'!EB34</f>
        <v>6.8000000000001819</v>
      </c>
      <c r="DZ34" s="87">
        <f>'[1]December - 2022'!EC34</f>
        <v>5488.2</v>
      </c>
      <c r="EA34" s="195">
        <f>'[1]December - 2022'!ED34</f>
        <v>6.6999999999998181</v>
      </c>
      <c r="EB34" s="87">
        <f>'[1]December - 2022'!EE34</f>
        <v>1136374</v>
      </c>
      <c r="EC34" s="195">
        <f>'[1]December - 2022'!EF34</f>
        <v>627</v>
      </c>
      <c r="ED34" s="87">
        <f>'[1]December - 2022'!EI34</f>
        <v>233991.5</v>
      </c>
      <c r="EE34" s="208">
        <f>'[1]December - 2022'!EJ34</f>
        <v>128</v>
      </c>
      <c r="EF34" s="347"/>
      <c r="EG34" s="214">
        <f>'[1]December - 2022'!EL34</f>
        <v>12198600</v>
      </c>
      <c r="EH34" s="209">
        <f>'[1]December - 2022'!EM34</f>
        <v>3500</v>
      </c>
      <c r="EI34" s="86">
        <f>'[1]December - 2022'!EN34</f>
        <v>937820</v>
      </c>
      <c r="EJ34" s="209">
        <f>'[1]December - 2022'!EO34</f>
        <v>250</v>
      </c>
      <c r="EK34" s="86">
        <f>'[1]December - 2022'!EP34</f>
        <v>7251900</v>
      </c>
      <c r="EL34" s="209">
        <f>'[1]December - 2022'!EQ34</f>
        <v>1700</v>
      </c>
      <c r="EM34" s="86">
        <f>'[1]December - 2022'!ER34</f>
        <v>2503200</v>
      </c>
      <c r="EN34" s="209">
        <f>'[1]December - 2022'!ES34</f>
        <v>500</v>
      </c>
      <c r="EO34" s="86">
        <f>'[1]December - 2022'!ET34</f>
        <v>1288490</v>
      </c>
      <c r="EP34" s="209">
        <f>'[1]December - 2022'!EU34</f>
        <v>610</v>
      </c>
      <c r="EQ34" s="86">
        <f>'[1]December - 2022'!EV34</f>
        <v>16670100</v>
      </c>
      <c r="ER34" s="209">
        <f>'[1]December - 2022'!EW34</f>
        <v>2300</v>
      </c>
      <c r="ES34" s="395"/>
      <c r="ET34" s="256">
        <f>'[1]December - 2022'!EY34</f>
        <v>42375</v>
      </c>
      <c r="EU34" s="253">
        <f>'[1]December - 2022'!EZ34</f>
        <v>17</v>
      </c>
      <c r="EV34" s="257">
        <f>'[1]December - 2022'!FA34</f>
        <v>36989</v>
      </c>
      <c r="EW34" s="253">
        <f>'[1]December - 2022'!FB34</f>
        <v>14</v>
      </c>
      <c r="EX34" s="257">
        <f>'[1]December - 2022'!FC34</f>
        <v>7685</v>
      </c>
      <c r="EY34" s="253">
        <f>'[1]December - 2022'!FD34</f>
        <v>13</v>
      </c>
      <c r="EZ34" s="257">
        <f>'[1]December - 2022'!FE34</f>
        <v>59498</v>
      </c>
      <c r="FA34" s="253">
        <f>'[1]December - 2022'!FF34</f>
        <v>14</v>
      </c>
      <c r="FB34" s="257">
        <f>'[1]December - 2022'!FG34</f>
        <v>50078</v>
      </c>
      <c r="FC34" s="254">
        <f>'[1]December - 2022'!FH34</f>
        <v>35</v>
      </c>
    </row>
    <row r="35" spans="1:160" ht="30" customHeight="1" x14ac:dyDescent="0.25">
      <c r="A35" s="187">
        <v>43856</v>
      </c>
      <c r="B35" s="189">
        <f>'[1]December - 2022'!B35</f>
        <v>0.73</v>
      </c>
      <c r="C35" s="229">
        <f>'[1]December - 2022'!E35</f>
        <v>221992</v>
      </c>
      <c r="D35" s="152">
        <f>'[1]December - 2022'!F35</f>
        <v>554</v>
      </c>
      <c r="E35" s="150">
        <f>'[1]December - 2022'!G35</f>
        <v>498</v>
      </c>
      <c r="F35" s="150">
        <f>'[1]December - 2022'!H35</f>
        <v>249095</v>
      </c>
      <c r="G35" s="152">
        <f>'[1]December - 2022'!I35</f>
        <v>428</v>
      </c>
      <c r="H35" s="150">
        <f>'[1]December - 2022'!J35</f>
        <v>509</v>
      </c>
      <c r="I35" s="150">
        <f>'[1]December - 2022'!K35</f>
        <v>9858</v>
      </c>
      <c r="J35" s="152">
        <f>'[1]December - 2022'!L35</f>
        <v>216</v>
      </c>
      <c r="K35" s="150">
        <f>'[1]December - 2022'!N35</f>
        <v>924308</v>
      </c>
      <c r="L35" s="152">
        <f>'[1]December - 2022'!O35</f>
        <v>18</v>
      </c>
      <c r="M35" s="150">
        <f>'[1]December - 2022'!Q35</f>
        <v>245382</v>
      </c>
      <c r="N35" s="152">
        <f>'[1]December - 2022'!R35</f>
        <v>0</v>
      </c>
      <c r="O35" s="150">
        <f>'[1]December - 2022'!U35</f>
        <v>117811</v>
      </c>
      <c r="P35" s="152">
        <f>'[1]December - 2022'!V35</f>
        <v>71</v>
      </c>
      <c r="Q35" s="150">
        <f>'[1]December - 2022'!W35</f>
        <v>103.05000000000291</v>
      </c>
      <c r="R35" s="150">
        <f>'[1]December - 2022'!X35</f>
        <v>6481</v>
      </c>
      <c r="S35" s="188">
        <f>'[1]December - 2022'!Y35</f>
        <v>5</v>
      </c>
      <c r="T35" s="490"/>
      <c r="U35" s="151">
        <f>'[1]December - 2022'!AE35</f>
        <v>8194216.7999999998</v>
      </c>
      <c r="V35" s="218">
        <f>'[1]December - 2022'!AF35</f>
        <v>1802.640000000596</v>
      </c>
      <c r="W35" s="88">
        <f>'[1]December - 2022'!AF35</f>
        <v>1802.640000000596</v>
      </c>
      <c r="X35" s="233">
        <f>'[1]December - 2022'!AH35</f>
        <v>15556003.68</v>
      </c>
      <c r="Y35" s="218">
        <f>'[1]December - 2022'!AI35</f>
        <v>4433.519999999553</v>
      </c>
      <c r="Z35" s="88">
        <f>'[1]December - 2022'!AI35</f>
        <v>4433.519999999553</v>
      </c>
      <c r="AA35" s="233">
        <f>'[1]December - 2022'!AK35</f>
        <v>15828494.640000001</v>
      </c>
      <c r="AB35" s="218">
        <f>'[1]December - 2022'!AL35</f>
        <v>97.440000001341105</v>
      </c>
      <c r="AC35" s="88">
        <f>'[1]December - 2022'!AL35</f>
        <v>97.440000001341105</v>
      </c>
      <c r="AD35" s="233">
        <f>'[1]December - 2022'!AN35</f>
        <v>18931520.16</v>
      </c>
      <c r="AE35" s="218">
        <f>'[1]December - 2022'!AO35</f>
        <v>8233.679999999702</v>
      </c>
      <c r="AF35" s="88">
        <f>'[1]December - 2022'!AO35</f>
        <v>8233.679999999702</v>
      </c>
      <c r="AG35" s="233">
        <f>'[1]December - 2022'!AQ35</f>
        <v>19226714.639999997</v>
      </c>
      <c r="AH35" s="218">
        <f>'[1]December - 2022'!AR35</f>
        <v>487.19999999925494</v>
      </c>
      <c r="AI35" s="88">
        <f>'[1]December - 2022'!AR35</f>
        <v>487.19999999925494</v>
      </c>
      <c r="AJ35" s="233">
        <f>'[1]December - 2022'!AT35</f>
        <v>17666554.080000002</v>
      </c>
      <c r="AK35" s="218">
        <f>'[1]December - 2022'!AU35</f>
        <v>5456.6400000043213</v>
      </c>
      <c r="AL35" s="88">
        <f>'[1]December - 2022'!AU35</f>
        <v>5456.6400000043213</v>
      </c>
      <c r="AM35" s="233">
        <f>'[1]December - 2022'!AW35</f>
        <v>14863400.16</v>
      </c>
      <c r="AN35" s="218">
        <f>'[1]December - 2022'!AX35</f>
        <v>3848.8799999989569</v>
      </c>
      <c r="AO35" s="88">
        <f>'[1]December - 2022'!AX35</f>
        <v>3848.8799999989569</v>
      </c>
      <c r="AP35" s="233">
        <f>'[1]December - 2022'!AZ35</f>
        <v>14391059.76</v>
      </c>
      <c r="AQ35" s="218">
        <f>'[1]December - 2022'!BA35</f>
        <v>4384.8000000007451</v>
      </c>
      <c r="AR35" s="88">
        <f>'[1]December - 2022'!BA35</f>
        <v>4384.8000000007451</v>
      </c>
      <c r="AS35" s="233">
        <f>'[1]December - 2022'!BC35</f>
        <v>11234734.559999999</v>
      </c>
      <c r="AT35" s="218">
        <f>'[1]December - 2022'!BD35</f>
        <v>2679.5999999996275</v>
      </c>
      <c r="AU35" s="88">
        <f>'[1]December - 2022'!BD35</f>
        <v>2679.5999999996275</v>
      </c>
      <c r="AV35" s="233">
        <f>'[1]December - 2022'!BF35</f>
        <v>17803847.039999999</v>
      </c>
      <c r="AW35" s="230">
        <f>'[1]December - 2022'!BG35</f>
        <v>5359.1999999992549</v>
      </c>
      <c r="AX35" s="231">
        <f>'[1]December - 2022'!BG35</f>
        <v>5359.1999999992549</v>
      </c>
      <c r="AY35" s="456"/>
      <c r="AZ35" s="250">
        <f>'[1]December - 2022'!BM35</f>
        <v>78188000</v>
      </c>
      <c r="BA35" s="161">
        <f>'[1]December - 2022'!BN35</f>
        <v>0</v>
      </c>
      <c r="BB35" s="89">
        <f>'[1]December - 2022'!BN35</f>
        <v>0</v>
      </c>
      <c r="BC35" s="250">
        <f>'[1]December - 2022'!BP35</f>
        <v>81021700</v>
      </c>
      <c r="BD35" s="224">
        <f>'[1]December - 2022'!BQ35</f>
        <v>40500</v>
      </c>
      <c r="BE35" s="89">
        <f>'[1]December - 2022'!BQ35</f>
        <v>40500</v>
      </c>
      <c r="BF35" s="250">
        <f>'[1]December - 2022'!BS35</f>
        <v>75092800</v>
      </c>
      <c r="BG35" s="224">
        <f>'[1]December - 2022'!BT35</f>
        <v>0</v>
      </c>
      <c r="BH35" s="89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'[1]December - 2022'!BV35</f>
        <v>10348880</v>
      </c>
      <c r="BT35" s="166">
        <f>'[1]December - 2022'!BW35</f>
        <v>6160</v>
      </c>
      <c r="BU35" s="363"/>
      <c r="BV35" s="84">
        <f>'[1]December - 2022'!BY35</f>
        <v>0.65</v>
      </c>
      <c r="BW35" s="220">
        <f>'[1]December - 2022'!BZ35</f>
        <v>0.12</v>
      </c>
      <c r="BX35" s="84">
        <f>'[1]December - 2022'!BZ35</f>
        <v>0.12</v>
      </c>
      <c r="BY35" s="85">
        <f>'[1]December - 2022'!CB35</f>
        <v>64675</v>
      </c>
      <c r="BZ35" s="172">
        <f>'[1]December - 2022'!CC35</f>
        <v>20</v>
      </c>
      <c r="CA35" s="85">
        <f>'[1]December - 2022'!CD35</f>
        <v>55758</v>
      </c>
      <c r="CB35" s="172">
        <f>'[1]December - 2022'!CE35</f>
        <v>18</v>
      </c>
      <c r="CC35" s="85">
        <f>'[1]December - 2022'!CF35</f>
        <v>18861</v>
      </c>
      <c r="CD35" s="172">
        <f>'[1]December - 2022'!CG35</f>
        <v>5</v>
      </c>
      <c r="CE35" s="85">
        <f>'[1]December - 2022'!CH35</f>
        <v>25782</v>
      </c>
      <c r="CF35" s="172">
        <f>'[1]December - 2022'!CI35</f>
        <v>11</v>
      </c>
      <c r="CG35" s="85">
        <f>'[1]December - 2022'!CJ35</f>
        <v>28744</v>
      </c>
      <c r="CH35" s="172">
        <f>'[1]December - 2022'!CK35</f>
        <v>13</v>
      </c>
      <c r="CI35" s="85">
        <f>'[1]December - 2022'!CL35</f>
        <v>63079</v>
      </c>
      <c r="CJ35" s="172">
        <f>'[1]December - 2022'!CM35</f>
        <v>36</v>
      </c>
      <c r="CK35" s="85">
        <f>'[1]December - 2022'!CN35</f>
        <v>269332</v>
      </c>
      <c r="CL35" s="225">
        <f>'[1]December - 2022'!CO35</f>
        <v>72</v>
      </c>
      <c r="CM35" s="85">
        <f>'[1]December - 2022'!CO35</f>
        <v>72</v>
      </c>
      <c r="CN35" s="85">
        <f>'[1]December - 2022'!CQ35</f>
        <v>216957</v>
      </c>
      <c r="CO35" s="225">
        <f>'[1]December - 2022'!CR35</f>
        <v>114</v>
      </c>
      <c r="CP35" s="85">
        <f>'[1]December - 2022'!CR35</f>
        <v>114</v>
      </c>
      <c r="CQ35" s="85">
        <f>'[1]December - 2022'!CT35</f>
        <v>359572</v>
      </c>
      <c r="CR35" s="225">
        <f>'[1]December - 2022'!CU35</f>
        <v>271</v>
      </c>
      <c r="CS35" s="85">
        <f>'[1]December - 2022'!CU35</f>
        <v>271</v>
      </c>
      <c r="CT35" s="85">
        <f>'[1]December - 2022'!CW35</f>
        <v>697801</v>
      </c>
      <c r="CU35" s="172">
        <f>'[1]December - 2022'!CX35</f>
        <v>170</v>
      </c>
      <c r="CV35" s="423"/>
      <c r="CW35" s="234">
        <f>'[1]December - 2022'!CZ35</f>
        <v>9000</v>
      </c>
      <c r="CX35" s="179">
        <f>'[1]December - 2022'!DA35</f>
        <v>9</v>
      </c>
      <c r="CY35" s="235">
        <f>'[1]December - 2022'!DB35</f>
        <v>6108</v>
      </c>
      <c r="CZ35" s="179">
        <f>'[1]December - 2022'!DC35</f>
        <v>6</v>
      </c>
      <c r="DA35" s="235">
        <f>'[1]December - 2022'!DD35</f>
        <v>32409</v>
      </c>
      <c r="DB35" s="179">
        <f>'[1]December - 2022'!DE35</f>
        <v>16</v>
      </c>
      <c r="DC35" s="235">
        <f>'[1]December - 2022'!DF35</f>
        <v>32605</v>
      </c>
      <c r="DD35" s="179">
        <f>'[1]December - 2022'!DG35</f>
        <v>12</v>
      </c>
      <c r="DE35" s="235">
        <f>'[1]December - 2022'!DH35</f>
        <v>22027</v>
      </c>
      <c r="DF35" s="179">
        <f>'[1]December - 2022'!DI35</f>
        <v>12</v>
      </c>
      <c r="DG35" s="235">
        <f>'[1]December - 2022'!DJ35</f>
        <v>24148</v>
      </c>
      <c r="DH35" s="179">
        <f>'[1]December - 2022'!DK35</f>
        <v>7</v>
      </c>
      <c r="DI35" s="235">
        <f>'[1]December - 2022'!DL35</f>
        <v>7274</v>
      </c>
      <c r="DJ35" s="179">
        <f>'[1]December - 2022'!DM35</f>
        <v>11</v>
      </c>
      <c r="DK35" s="235">
        <f>'[1]December - 2022'!DN35</f>
        <v>9911</v>
      </c>
      <c r="DL35" s="179">
        <f>'[1]December - 2022'!DO35</f>
        <v>7</v>
      </c>
      <c r="DM35" s="235">
        <f>'[1]December - 2022'!DP35</f>
        <v>3335</v>
      </c>
      <c r="DN35" s="179">
        <f>'[1]December - 2022'!DQ35</f>
        <v>4</v>
      </c>
      <c r="DO35" s="235">
        <f>'[1]December - 2022'!DR35</f>
        <v>6589</v>
      </c>
      <c r="DP35" s="179">
        <f>'[1]December - 2022'!DS35</f>
        <v>12</v>
      </c>
      <c r="DQ35" s="235">
        <f>'[1]December - 2022'!DT35</f>
        <v>30380</v>
      </c>
      <c r="DR35" s="186">
        <f>'[1]December - 2022'!DU35</f>
        <v>1</v>
      </c>
      <c r="DS35" s="408"/>
      <c r="DT35" s="190">
        <f>'[1]December - 2022'!DW35</f>
        <v>6524.3</v>
      </c>
      <c r="DU35" s="201">
        <f>'[1]December - 2022'!DX35</f>
        <v>9.6999999999998181</v>
      </c>
      <c r="DV35" s="87">
        <f>'[1]December - 2022'!DY35</f>
        <v>11426</v>
      </c>
      <c r="DW35" s="195">
        <f>'[1]December - 2022'!DZ35</f>
        <v>7.3999999999996362</v>
      </c>
      <c r="DX35" s="87">
        <f>'[1]December - 2022'!EA35</f>
        <v>4915.5</v>
      </c>
      <c r="DY35" s="195">
        <f>'[1]December - 2022'!EB35</f>
        <v>6.8000000000001819</v>
      </c>
      <c r="DZ35" s="87">
        <f>'[1]December - 2022'!EC35</f>
        <v>5494.2</v>
      </c>
      <c r="EA35" s="195">
        <f>'[1]December - 2022'!ED35</f>
        <v>6</v>
      </c>
      <c r="EB35" s="87">
        <f>'[1]December - 2022'!EE35</f>
        <v>1136923</v>
      </c>
      <c r="EC35" s="195">
        <f>'[1]December - 2022'!EF35</f>
        <v>549</v>
      </c>
      <c r="ED35" s="87">
        <f>'[1]December - 2022'!EI35</f>
        <v>234118.6</v>
      </c>
      <c r="EE35" s="208">
        <f>'[1]December - 2022'!EJ35</f>
        <v>127.10000000000582</v>
      </c>
      <c r="EF35" s="347"/>
      <c r="EG35" s="214">
        <f>'[1]December - 2022'!EL35</f>
        <v>12201700</v>
      </c>
      <c r="EH35" s="209">
        <f>'[1]December - 2022'!EM35</f>
        <v>3100</v>
      </c>
      <c r="EI35" s="86">
        <f>'[1]December - 2022'!EN35</f>
        <v>938040</v>
      </c>
      <c r="EJ35" s="209">
        <f>'[1]December - 2022'!EO35</f>
        <v>220</v>
      </c>
      <c r="EK35" s="86">
        <f>'[1]December - 2022'!EP35</f>
        <v>7253500</v>
      </c>
      <c r="EL35" s="209">
        <f>'[1]December - 2022'!EQ35</f>
        <v>1600</v>
      </c>
      <c r="EM35" s="86">
        <f>'[1]December - 2022'!ER35</f>
        <v>2503300</v>
      </c>
      <c r="EN35" s="209">
        <f>'[1]December - 2022'!ES35</f>
        <v>100</v>
      </c>
      <c r="EO35" s="86">
        <f>'[1]December - 2022'!ET35</f>
        <v>1289100</v>
      </c>
      <c r="EP35" s="209">
        <f>'[1]December - 2022'!EU35</f>
        <v>610</v>
      </c>
      <c r="EQ35" s="86">
        <f>'[1]December - 2022'!EV35</f>
        <v>16671700</v>
      </c>
      <c r="ER35" s="209">
        <f>'[1]December - 2022'!EW35</f>
        <v>1600</v>
      </c>
      <c r="ES35" s="395"/>
      <c r="ET35" s="256">
        <f>'[1]December - 2022'!EY35</f>
        <v>42393</v>
      </c>
      <c r="EU35" s="253">
        <f>'[1]December - 2022'!EZ35</f>
        <v>18</v>
      </c>
      <c r="EV35" s="257">
        <f>'[1]December - 2022'!FA35</f>
        <v>37004</v>
      </c>
      <c r="EW35" s="253">
        <f>'[1]December - 2022'!FB35</f>
        <v>15</v>
      </c>
      <c r="EX35" s="257">
        <f>'[1]December - 2022'!FC35</f>
        <v>7695</v>
      </c>
      <c r="EY35" s="253">
        <f>'[1]December - 2022'!FD35</f>
        <v>10</v>
      </c>
      <c r="EZ35" s="257">
        <f>'[1]December - 2022'!FE35</f>
        <v>59514</v>
      </c>
      <c r="FA35" s="253">
        <f>'[1]December - 2022'!FF35</f>
        <v>16</v>
      </c>
      <c r="FB35" s="257">
        <f>'[1]December - 2022'!FG35</f>
        <v>50113</v>
      </c>
      <c r="FC35" s="254">
        <f>'[1]December - 2022'!FH35</f>
        <v>35</v>
      </c>
    </row>
    <row r="36" spans="1:160" ht="30" customHeight="1" x14ac:dyDescent="0.25">
      <c r="A36" s="187">
        <v>43857</v>
      </c>
      <c r="B36" s="189">
        <f>'[1]December - 2022'!B36</f>
        <v>0.7</v>
      </c>
      <c r="C36" s="229">
        <f>'[1]December - 2022'!E36</f>
        <v>222546</v>
      </c>
      <c r="D36" s="152">
        <f>'[1]December - 2022'!F36</f>
        <v>554</v>
      </c>
      <c r="E36" s="150">
        <f>'[1]December - 2022'!G36</f>
        <v>751</v>
      </c>
      <c r="F36" s="150">
        <f>'[1]December - 2022'!H36</f>
        <v>249535</v>
      </c>
      <c r="G36" s="152">
        <f>'[1]December - 2022'!I36</f>
        <v>440</v>
      </c>
      <c r="H36" s="150">
        <f>'[1]December - 2022'!J36</f>
        <v>349</v>
      </c>
      <c r="I36" s="150">
        <f>'[1]December - 2022'!K36</f>
        <v>10037</v>
      </c>
      <c r="J36" s="152">
        <f>'[1]December - 2022'!L36</f>
        <v>179</v>
      </c>
      <c r="K36" s="150">
        <f>'[1]December - 2022'!N36</f>
        <v>924308</v>
      </c>
      <c r="L36" s="152">
        <f>'[1]December - 2022'!O36</f>
        <v>0</v>
      </c>
      <c r="M36" s="150">
        <f>'[1]December - 2022'!Q36</f>
        <v>245382</v>
      </c>
      <c r="N36" s="152">
        <f>'[1]December - 2022'!R36</f>
        <v>0</v>
      </c>
      <c r="O36" s="150">
        <f>'[1]December - 2022'!U36</f>
        <v>117882</v>
      </c>
      <c r="P36" s="152">
        <f>'[1]December - 2022'!V36</f>
        <v>71</v>
      </c>
      <c r="Q36" s="150">
        <f>'[1]December - 2022'!W36</f>
        <v>90.969999999993888</v>
      </c>
      <c r="R36" s="150">
        <f>'[1]December - 2022'!X36</f>
        <v>6490</v>
      </c>
      <c r="S36" s="188">
        <f>'[1]December - 2022'!Y36</f>
        <v>9</v>
      </c>
      <c r="T36" s="490"/>
      <c r="U36" s="151">
        <f>'[1]December - 2022'!AE36</f>
        <v>8195922</v>
      </c>
      <c r="V36" s="218">
        <f>'[1]December - 2022'!AF36</f>
        <v>1705.2000000001863</v>
      </c>
      <c r="W36" s="88">
        <f>'[1]December - 2022'!AF36</f>
        <v>1705.2000000001863</v>
      </c>
      <c r="X36" s="233">
        <f>'[1]December - 2022'!AH36</f>
        <v>15560485.919999998</v>
      </c>
      <c r="Y36" s="218">
        <f>'[1]December - 2022'!AI36</f>
        <v>4482.2399999983609</v>
      </c>
      <c r="Z36" s="88">
        <f>'[1]December - 2022'!AI36</f>
        <v>4482.2399999983609</v>
      </c>
      <c r="AA36" s="233">
        <f>'[1]December - 2022'!AK36</f>
        <v>15828592.08</v>
      </c>
      <c r="AB36" s="218">
        <f>'[1]December - 2022'!AL36</f>
        <v>97.439999999478459</v>
      </c>
      <c r="AC36" s="88">
        <f>'[1]December - 2022'!AL36</f>
        <v>97.439999999478459</v>
      </c>
      <c r="AD36" s="233">
        <f>'[1]December - 2022'!AN36</f>
        <v>18939851.280000001</v>
      </c>
      <c r="AE36" s="218">
        <f>'[1]December - 2022'!AO36</f>
        <v>8331.1200000010431</v>
      </c>
      <c r="AF36" s="88">
        <f>'[1]December - 2022'!AO36</f>
        <v>8331.1200000010431</v>
      </c>
      <c r="AG36" s="233">
        <f>'[1]December - 2022'!AQ36</f>
        <v>19227153.119999997</v>
      </c>
      <c r="AH36" s="218">
        <f>'[1]December - 2022'!AR36</f>
        <v>438.48000000044703</v>
      </c>
      <c r="AI36" s="88">
        <f>'[1]December - 2022'!AR36</f>
        <v>438.48000000044703</v>
      </c>
      <c r="AJ36" s="233">
        <f>'[1]December - 2022'!AT36</f>
        <v>17671815.84</v>
      </c>
      <c r="AK36" s="218">
        <f>'[1]December - 2022'!AU36</f>
        <v>5261.7599999979138</v>
      </c>
      <c r="AL36" s="88">
        <f>'[1]December - 2022'!AU36</f>
        <v>5261.7599999979138</v>
      </c>
      <c r="AM36" s="233">
        <f>'[1]December - 2022'!AW36</f>
        <v>14867346.48</v>
      </c>
      <c r="AN36" s="218">
        <f>'[1]December - 2022'!AX36</f>
        <v>3946.320000000298</v>
      </c>
      <c r="AO36" s="88">
        <f>'[1]December - 2022'!AX36</f>
        <v>3946.320000000298</v>
      </c>
      <c r="AP36" s="233">
        <f>'[1]December - 2022'!AZ36</f>
        <v>14395639.439999999</v>
      </c>
      <c r="AQ36" s="218">
        <f>'[1]December - 2022'!BA36</f>
        <v>4579.679999999702</v>
      </c>
      <c r="AR36" s="88">
        <f>'[1]December - 2022'!BA36</f>
        <v>4579.679999999702</v>
      </c>
      <c r="AS36" s="233">
        <f>'[1]December - 2022'!BC36</f>
        <v>11237462.880000001</v>
      </c>
      <c r="AT36" s="218">
        <f>'[1]December - 2022'!BD36</f>
        <v>2728.3200000021607</v>
      </c>
      <c r="AU36" s="88">
        <f>'[1]December - 2022'!BD36</f>
        <v>2728.3200000021607</v>
      </c>
      <c r="AV36" s="233">
        <f>'[1]December - 2022'!BF36</f>
        <v>17809352.399999999</v>
      </c>
      <c r="AW36" s="230">
        <f>'[1]December - 2022'!BG36</f>
        <v>5505.359999999404</v>
      </c>
      <c r="AX36" s="231">
        <f>'[1]December - 2022'!BG36</f>
        <v>5505.359999999404</v>
      </c>
      <c r="AY36" s="456"/>
      <c r="AZ36" s="250">
        <f>'[1]December - 2022'!BM36</f>
        <v>78188000</v>
      </c>
      <c r="BA36" s="161">
        <f>'[1]December - 2022'!BN36</f>
        <v>0</v>
      </c>
      <c r="BB36" s="89">
        <f>'[1]December - 2022'!BN36</f>
        <v>0</v>
      </c>
      <c r="BC36" s="250">
        <f>'[1]December - 2022'!BP36</f>
        <v>81062100</v>
      </c>
      <c r="BD36" s="224">
        <f>'[1]December - 2022'!BQ36</f>
        <v>40400</v>
      </c>
      <c r="BE36" s="89">
        <f>'[1]December - 2022'!BQ36</f>
        <v>40400</v>
      </c>
      <c r="BF36" s="250">
        <f>'[1]December - 2022'!BS36</f>
        <v>75092800</v>
      </c>
      <c r="BG36" s="224">
        <f>'[1]December - 2022'!BT36</f>
        <v>0</v>
      </c>
      <c r="BH36" s="89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'[1]December - 2022'!BV36</f>
        <v>10355310</v>
      </c>
      <c r="BT36" s="166">
        <f>'[1]December - 2022'!BW36</f>
        <v>6430</v>
      </c>
      <c r="BU36" s="363"/>
      <c r="BV36" s="84">
        <f>'[1]December - 2022'!BY36</f>
        <v>0.6</v>
      </c>
      <c r="BW36" s="220">
        <f>'[1]December - 2022'!BZ36</f>
        <v>5.0000000000000044E-2</v>
      </c>
      <c r="BX36" s="84">
        <f>'[1]December - 2022'!BZ36</f>
        <v>5.0000000000000044E-2</v>
      </c>
      <c r="BY36" s="85">
        <f>'[1]December - 2022'!CB36</f>
        <v>64695</v>
      </c>
      <c r="BZ36" s="172">
        <f>'[1]December - 2022'!CC36</f>
        <v>20</v>
      </c>
      <c r="CA36" s="85">
        <f>'[1]December - 2022'!CD36</f>
        <v>55777</v>
      </c>
      <c r="CB36" s="172">
        <f>'[1]December - 2022'!CE36</f>
        <v>19</v>
      </c>
      <c r="CC36" s="85">
        <f>'[1]December - 2022'!CF36</f>
        <v>18869</v>
      </c>
      <c r="CD36" s="172">
        <f>'[1]December - 2022'!CG36</f>
        <v>8</v>
      </c>
      <c r="CE36" s="85">
        <f>'[1]December - 2022'!CH36</f>
        <v>25792</v>
      </c>
      <c r="CF36" s="172">
        <f>'[1]December - 2022'!CI36</f>
        <v>10</v>
      </c>
      <c r="CG36" s="85">
        <f>'[1]December - 2022'!CJ36</f>
        <v>28758</v>
      </c>
      <c r="CH36" s="172">
        <f>'[1]December - 2022'!CK36</f>
        <v>14</v>
      </c>
      <c r="CI36" s="85">
        <f>'[1]December - 2022'!CL36</f>
        <v>63114</v>
      </c>
      <c r="CJ36" s="172">
        <f>'[1]December - 2022'!CM36</f>
        <v>35</v>
      </c>
      <c r="CK36" s="85">
        <f>'[1]December - 2022'!CN36</f>
        <v>269405</v>
      </c>
      <c r="CL36" s="225">
        <f>'[1]December - 2022'!CO36</f>
        <v>73</v>
      </c>
      <c r="CM36" s="85">
        <f>'[1]December - 2022'!CO36</f>
        <v>73</v>
      </c>
      <c r="CN36" s="85">
        <f>'[1]December - 2022'!CQ36</f>
        <v>217077</v>
      </c>
      <c r="CO36" s="225">
        <f>'[1]December - 2022'!CR36</f>
        <v>120</v>
      </c>
      <c r="CP36" s="85">
        <f>'[1]December - 2022'!CR36</f>
        <v>120</v>
      </c>
      <c r="CQ36" s="85">
        <f>'[1]December - 2022'!CT36</f>
        <v>359784</v>
      </c>
      <c r="CR36" s="225">
        <f>'[1]December - 2022'!CU36</f>
        <v>212</v>
      </c>
      <c r="CS36" s="85">
        <f>'[1]December - 2022'!CU36</f>
        <v>212</v>
      </c>
      <c r="CT36" s="85">
        <f>'[1]December - 2022'!CW36</f>
        <v>697973</v>
      </c>
      <c r="CU36" s="172">
        <f>'[1]December - 2022'!CX36</f>
        <v>172</v>
      </c>
      <c r="CV36" s="423"/>
      <c r="CW36" s="234">
        <f>'[1]December - 2022'!CZ36</f>
        <v>9009</v>
      </c>
      <c r="CX36" s="179">
        <f>'[1]December - 2022'!DA36</f>
        <v>9</v>
      </c>
      <c r="CY36" s="235">
        <f>'[1]December - 2022'!DB36</f>
        <v>6114</v>
      </c>
      <c r="CZ36" s="179">
        <f>'[1]December - 2022'!DC36</f>
        <v>6</v>
      </c>
      <c r="DA36" s="235">
        <f>'[1]December - 2022'!DD36</f>
        <v>32426</v>
      </c>
      <c r="DB36" s="179">
        <f>'[1]December - 2022'!DE36</f>
        <v>17</v>
      </c>
      <c r="DC36" s="235">
        <f>'[1]December - 2022'!DF36</f>
        <v>32620</v>
      </c>
      <c r="DD36" s="179">
        <f>'[1]December - 2022'!DG36</f>
        <v>15</v>
      </c>
      <c r="DE36" s="235">
        <f>'[1]December - 2022'!DH36</f>
        <v>22039</v>
      </c>
      <c r="DF36" s="179">
        <f>'[1]December - 2022'!DI36</f>
        <v>12</v>
      </c>
      <c r="DG36" s="235">
        <f>'[1]December - 2022'!DJ36</f>
        <v>24155</v>
      </c>
      <c r="DH36" s="179">
        <f>'[1]December - 2022'!DK36</f>
        <v>7</v>
      </c>
      <c r="DI36" s="235">
        <f>'[1]December - 2022'!DL36</f>
        <v>7288</v>
      </c>
      <c r="DJ36" s="179">
        <f>'[1]December - 2022'!DM36</f>
        <v>14</v>
      </c>
      <c r="DK36" s="235">
        <f>'[1]December - 2022'!DN36</f>
        <v>9917</v>
      </c>
      <c r="DL36" s="179">
        <f>'[1]December - 2022'!DO36</f>
        <v>6</v>
      </c>
      <c r="DM36" s="235">
        <f>'[1]December - 2022'!DP36</f>
        <v>3339</v>
      </c>
      <c r="DN36" s="179">
        <f>'[1]December - 2022'!DQ36</f>
        <v>4</v>
      </c>
      <c r="DO36" s="235">
        <f>'[1]December - 2022'!DR36</f>
        <v>6598</v>
      </c>
      <c r="DP36" s="179">
        <f>'[1]December - 2022'!DS36</f>
        <v>9</v>
      </c>
      <c r="DQ36" s="235">
        <f>'[1]December - 2022'!DT36</f>
        <v>30380</v>
      </c>
      <c r="DR36" s="186">
        <f>'[1]December - 2022'!DU36</f>
        <v>0</v>
      </c>
      <c r="DS36" s="408"/>
      <c r="DT36" s="190">
        <f>'[1]December - 2022'!DW36</f>
        <v>6534.8</v>
      </c>
      <c r="DU36" s="201">
        <f>'[1]December - 2022'!DX36</f>
        <v>10.5</v>
      </c>
      <c r="DV36" s="87">
        <f>'[1]December - 2022'!DY36</f>
        <v>11433.5</v>
      </c>
      <c r="DW36" s="195">
        <f>'[1]December - 2022'!DZ36</f>
        <v>7.5</v>
      </c>
      <c r="DX36" s="87">
        <f>'[1]December - 2022'!EA36</f>
        <v>4922.6000000000004</v>
      </c>
      <c r="DY36" s="195">
        <f>'[1]December - 2022'!EB36</f>
        <v>7.1000000000003638</v>
      </c>
      <c r="DZ36" s="87">
        <f>'[1]December - 2022'!EC36</f>
        <v>5501</v>
      </c>
      <c r="EA36" s="195">
        <f>'[1]December - 2022'!ED36</f>
        <v>6.8000000000001819</v>
      </c>
      <c r="EB36" s="87">
        <f>'[1]December - 2022'!EE36</f>
        <v>1137492</v>
      </c>
      <c r="EC36" s="195">
        <f>'[1]December - 2022'!EF36</f>
        <v>569</v>
      </c>
      <c r="ED36" s="87">
        <f>'[1]December - 2022'!EI36</f>
        <v>234251.4</v>
      </c>
      <c r="EE36" s="208">
        <f>'[1]December - 2022'!EJ36</f>
        <v>132.79999999998836</v>
      </c>
      <c r="EF36" s="347"/>
      <c r="EG36" s="214">
        <f>'[1]December - 2022'!EL36</f>
        <v>12204900</v>
      </c>
      <c r="EH36" s="209">
        <f>'[1]December - 2022'!EM36</f>
        <v>3200</v>
      </c>
      <c r="EI36" s="86">
        <f>'[1]December - 2022'!EN36</f>
        <v>938260</v>
      </c>
      <c r="EJ36" s="209">
        <f>'[1]December - 2022'!EO36</f>
        <v>220</v>
      </c>
      <c r="EK36" s="86">
        <f>'[1]December - 2022'!EP36</f>
        <v>7255200</v>
      </c>
      <c r="EL36" s="209">
        <f>'[1]December - 2022'!EQ36</f>
        <v>1700</v>
      </c>
      <c r="EM36" s="86">
        <f>'[1]December - 2022'!ER36</f>
        <v>2503500</v>
      </c>
      <c r="EN36" s="209">
        <f>'[1]December - 2022'!ES36</f>
        <v>200</v>
      </c>
      <c r="EO36" s="86">
        <f>'[1]December - 2022'!ET36</f>
        <v>1289700</v>
      </c>
      <c r="EP36" s="209">
        <f>'[1]December - 2022'!EU36</f>
        <v>600</v>
      </c>
      <c r="EQ36" s="86">
        <f>'[1]December - 2022'!EV36</f>
        <v>16673200</v>
      </c>
      <c r="ER36" s="209">
        <f>'[1]December - 2022'!EW36</f>
        <v>1500</v>
      </c>
      <c r="ES36" s="395"/>
      <c r="ET36" s="256">
        <f>'[1]December - 2022'!EY36</f>
        <v>42410</v>
      </c>
      <c r="EU36" s="253">
        <f>'[1]December - 2022'!EZ36</f>
        <v>17</v>
      </c>
      <c r="EV36" s="257">
        <f>'[1]December - 2022'!FA36</f>
        <v>37004</v>
      </c>
      <c r="EW36" s="253">
        <f>'[1]December - 2022'!FB36</f>
        <v>0</v>
      </c>
      <c r="EX36" s="257">
        <f>'[1]December - 2022'!FC36</f>
        <v>7705</v>
      </c>
      <c r="EY36" s="253">
        <f>'[1]December - 2022'!FD36</f>
        <v>10</v>
      </c>
      <c r="EZ36" s="257">
        <f>'[1]December - 2022'!FE36</f>
        <v>59528</v>
      </c>
      <c r="FA36" s="253">
        <f>'[1]December - 2022'!FF36</f>
        <v>14</v>
      </c>
      <c r="FB36" s="257">
        <f>'[1]December - 2022'!FG36</f>
        <v>50148</v>
      </c>
      <c r="FC36" s="254">
        <f>'[1]December - 2022'!FH36</f>
        <v>35</v>
      </c>
    </row>
    <row r="37" spans="1:160" ht="30" customHeight="1" x14ac:dyDescent="0.25">
      <c r="A37" s="187">
        <v>43858</v>
      </c>
      <c r="B37" s="189">
        <f>'[1]December - 2022'!B37</f>
        <v>0.83</v>
      </c>
      <c r="C37" s="229">
        <f>'[1]December - 2022'!E37</f>
        <v>223205</v>
      </c>
      <c r="D37" s="152">
        <f>'[1]December - 2022'!F37</f>
        <v>659</v>
      </c>
      <c r="E37" s="150">
        <f>'[1]December - 2022'!G37</f>
        <v>989</v>
      </c>
      <c r="F37" s="150">
        <f>'[1]December - 2022'!H37</f>
        <v>250061</v>
      </c>
      <c r="G37" s="152">
        <f>'[1]December - 2022'!I37</f>
        <v>526</v>
      </c>
      <c r="H37" s="150">
        <f>'[1]December - 2022'!J37</f>
        <v>557.00999999999476</v>
      </c>
      <c r="I37" s="150">
        <f>'[1]December - 2022'!K37</f>
        <v>10038</v>
      </c>
      <c r="J37" s="152">
        <f>'[1]December - 2022'!L37</f>
        <v>1</v>
      </c>
      <c r="K37" s="150">
        <f>'[1]December - 2022'!N37</f>
        <v>924308</v>
      </c>
      <c r="L37" s="152">
        <f>'[1]December - 2022'!O37</f>
        <v>0</v>
      </c>
      <c r="M37" s="150">
        <f>'[1]December - 2022'!Q37</f>
        <v>245382</v>
      </c>
      <c r="N37" s="152">
        <f>'[1]December - 2022'!R37</f>
        <v>0</v>
      </c>
      <c r="O37" s="150">
        <f>'[1]December - 2022'!U37</f>
        <v>117956</v>
      </c>
      <c r="P37" s="152">
        <f>'[1]December - 2022'!V37</f>
        <v>74</v>
      </c>
      <c r="Q37" s="150">
        <f>'[1]December - 2022'!W37</f>
        <v>84.620000000002619</v>
      </c>
      <c r="R37" s="150">
        <f>'[1]December - 2022'!X37</f>
        <v>6496</v>
      </c>
      <c r="S37" s="188">
        <f>'[1]December - 2022'!Y37</f>
        <v>6</v>
      </c>
      <c r="T37" s="490"/>
      <c r="U37" s="151">
        <f>'[1]December - 2022'!AE37</f>
        <v>8197773.3599999994</v>
      </c>
      <c r="V37" s="218">
        <f>'[1]December - 2022'!AF37</f>
        <v>1851.359999999404</v>
      </c>
      <c r="W37" s="88">
        <f>'[1]December - 2022'!AF37</f>
        <v>1851.359999999404</v>
      </c>
      <c r="X37" s="233">
        <f>'[1]December - 2022'!AH37</f>
        <v>15565016.880000001</v>
      </c>
      <c r="Y37" s="218">
        <f>'[1]December - 2022'!AI37</f>
        <v>4530.9600000027567</v>
      </c>
      <c r="Z37" s="88">
        <f>'[1]December - 2022'!AI37</f>
        <v>4530.9600000027567</v>
      </c>
      <c r="AA37" s="233">
        <f>'[1]December - 2022'!AK37</f>
        <v>15828689.52</v>
      </c>
      <c r="AB37" s="218">
        <f>'[1]December - 2022'!AL37</f>
        <v>97.439999999478459</v>
      </c>
      <c r="AC37" s="88">
        <f>'[1]December - 2022'!AL37</f>
        <v>97.439999999478459</v>
      </c>
      <c r="AD37" s="233">
        <f>'[1]December - 2022'!AN37</f>
        <v>18949010.639999997</v>
      </c>
      <c r="AE37" s="218">
        <f>'[1]December - 2022'!AO37</f>
        <v>9159.3599999956787</v>
      </c>
      <c r="AF37" s="88">
        <f>'[1]December - 2022'!AO37</f>
        <v>9159.3599999956787</v>
      </c>
      <c r="AG37" s="233">
        <f>'[1]December - 2022'!AQ37</f>
        <v>19227153.119999997</v>
      </c>
      <c r="AH37" s="218">
        <f>'[1]December - 2022'!AR37</f>
        <v>0</v>
      </c>
      <c r="AI37" s="88">
        <f>'[1]December - 2022'!AR37</f>
        <v>0</v>
      </c>
      <c r="AJ37" s="233">
        <f>'[1]December - 2022'!AT37</f>
        <v>17677175.039999999</v>
      </c>
      <c r="AK37" s="218">
        <f>'[1]December - 2022'!AU37</f>
        <v>5359.1999999992549</v>
      </c>
      <c r="AL37" s="88">
        <f>'[1]December - 2022'!AU37</f>
        <v>5359.1999999992549</v>
      </c>
      <c r="AM37" s="233">
        <f>'[1]December - 2022'!AW37</f>
        <v>14871536.4</v>
      </c>
      <c r="AN37" s="218">
        <f>'[1]December - 2022'!AX37</f>
        <v>4189.9199999999255</v>
      </c>
      <c r="AO37" s="88">
        <f>'[1]December - 2022'!AX37</f>
        <v>4189.9199999999255</v>
      </c>
      <c r="AP37" s="233">
        <f>'[1]December - 2022'!AZ37</f>
        <v>14400267.84</v>
      </c>
      <c r="AQ37" s="218">
        <f>'[1]December - 2022'!BA37</f>
        <v>4628.4000000003725</v>
      </c>
      <c r="AR37" s="88">
        <f>'[1]December - 2022'!BA37</f>
        <v>4628.4000000003725</v>
      </c>
      <c r="AS37" s="233">
        <f>'[1]December - 2022'!BC37</f>
        <v>11240483.52</v>
      </c>
      <c r="AT37" s="218">
        <f>'[1]December - 2022'!BD37</f>
        <v>3020.6399999987334</v>
      </c>
      <c r="AU37" s="88">
        <f>'[1]December - 2022'!BD37</f>
        <v>3020.6399999987334</v>
      </c>
      <c r="AV37" s="233">
        <f>'[1]December - 2022'!BF37</f>
        <v>17814955.199999999</v>
      </c>
      <c r="AW37" s="230">
        <f>'[1]December - 2022'!BG37</f>
        <v>5602.8000000007451</v>
      </c>
      <c r="AX37" s="231">
        <f>'[1]December - 2022'!BG37</f>
        <v>5602.8000000007451</v>
      </c>
      <c r="AY37" s="456"/>
      <c r="AZ37" s="250">
        <f>'[1]December - 2022'!BM37</f>
        <v>78188000</v>
      </c>
      <c r="BA37" s="161">
        <f>'[1]December - 2022'!BN37</f>
        <v>0</v>
      </c>
      <c r="BB37" s="89">
        <f>'[1]December - 2022'!BN37</f>
        <v>0</v>
      </c>
      <c r="BC37" s="250">
        <f>'[1]December - 2022'!BP37</f>
        <v>81103400</v>
      </c>
      <c r="BD37" s="224">
        <f>'[1]December - 2022'!BQ37</f>
        <v>41300</v>
      </c>
      <c r="BE37" s="89">
        <f>'[1]December - 2022'!BQ37</f>
        <v>41300</v>
      </c>
      <c r="BF37" s="250">
        <f>'[1]December - 2022'!BS37</f>
        <v>75092800</v>
      </c>
      <c r="BG37" s="224">
        <f>'[1]December - 2022'!BT37</f>
        <v>0</v>
      </c>
      <c r="BH37" s="89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'[1]December - 2022'!BV37</f>
        <v>10362870</v>
      </c>
      <c r="BT37" s="166">
        <f>'[1]December - 2022'!BW37</f>
        <v>7560</v>
      </c>
      <c r="BU37" s="363"/>
      <c r="BV37" s="84">
        <f>'[1]December - 2022'!BY37</f>
        <v>0.68</v>
      </c>
      <c r="BW37" s="220">
        <f>'[1]December - 2022'!BZ37</f>
        <v>-8.0000000000000071E-2</v>
      </c>
      <c r="BX37" s="84">
        <f>'[1]December - 2022'!BZ37</f>
        <v>-8.0000000000000071E-2</v>
      </c>
      <c r="BY37" s="85">
        <f>'[1]December - 2022'!CB37</f>
        <v>64716</v>
      </c>
      <c r="BZ37" s="172">
        <f>'[1]December - 2022'!CC37</f>
        <v>21</v>
      </c>
      <c r="CA37" s="85">
        <f>'[1]December - 2022'!CD37</f>
        <v>55796</v>
      </c>
      <c r="CB37" s="172">
        <f>'[1]December - 2022'!CE37</f>
        <v>19</v>
      </c>
      <c r="CC37" s="85">
        <f>'[1]December - 2022'!CF37</f>
        <v>18876</v>
      </c>
      <c r="CD37" s="172">
        <f>'[1]December - 2022'!CG37</f>
        <v>7</v>
      </c>
      <c r="CE37" s="85">
        <f>'[1]December - 2022'!CH37</f>
        <v>25803</v>
      </c>
      <c r="CF37" s="172">
        <f>'[1]December - 2022'!CI37</f>
        <v>11</v>
      </c>
      <c r="CG37" s="85">
        <f>'[1]December - 2022'!CJ37</f>
        <v>28772</v>
      </c>
      <c r="CH37" s="172">
        <f>'[1]December - 2022'!CK37</f>
        <v>14</v>
      </c>
      <c r="CI37" s="85">
        <f>'[1]December - 2022'!CL37</f>
        <v>63148</v>
      </c>
      <c r="CJ37" s="172">
        <f>'[1]December - 2022'!CM37</f>
        <v>34</v>
      </c>
      <c r="CK37" s="85">
        <f>'[1]December - 2022'!CN37</f>
        <v>269479</v>
      </c>
      <c r="CL37" s="225">
        <f>'[1]December - 2022'!CO37</f>
        <v>74</v>
      </c>
      <c r="CM37" s="85">
        <f>'[1]December - 2022'!CO37</f>
        <v>74</v>
      </c>
      <c r="CN37" s="85">
        <f>'[1]December - 2022'!CQ37</f>
        <v>217197</v>
      </c>
      <c r="CO37" s="225">
        <f>'[1]December - 2022'!CR37</f>
        <v>120</v>
      </c>
      <c r="CP37" s="85">
        <f>'[1]December - 2022'!CR37</f>
        <v>120</v>
      </c>
      <c r="CQ37" s="85">
        <f>'[1]December - 2022'!CT37</f>
        <v>360081</v>
      </c>
      <c r="CR37" s="225">
        <f>'[1]December - 2022'!CU37</f>
        <v>297</v>
      </c>
      <c r="CS37" s="85">
        <f>'[1]December - 2022'!CU37</f>
        <v>297</v>
      </c>
      <c r="CT37" s="85">
        <f>'[1]December - 2022'!CW37</f>
        <v>698145</v>
      </c>
      <c r="CU37" s="172">
        <f>'[1]December - 2022'!CX37</f>
        <v>172</v>
      </c>
      <c r="CV37" s="423"/>
      <c r="CW37" s="234">
        <f>'[1]December - 2022'!CZ37</f>
        <v>9023</v>
      </c>
      <c r="CX37" s="179">
        <f>'[1]December - 2022'!DA37</f>
        <v>14</v>
      </c>
      <c r="CY37" s="235">
        <f>'[1]December - 2022'!DB37</f>
        <v>6124</v>
      </c>
      <c r="CZ37" s="179">
        <f>'[1]December - 2022'!DC37</f>
        <v>10</v>
      </c>
      <c r="DA37" s="235">
        <f>'[1]December - 2022'!DD37</f>
        <v>32445</v>
      </c>
      <c r="DB37" s="179">
        <f>'[1]December - 2022'!DE37</f>
        <v>19</v>
      </c>
      <c r="DC37" s="235">
        <f>'[1]December - 2022'!DF37</f>
        <v>32634</v>
      </c>
      <c r="DD37" s="179">
        <f>'[1]December - 2022'!DG37</f>
        <v>14</v>
      </c>
      <c r="DE37" s="235">
        <f>'[1]December - 2022'!DH37</f>
        <v>22052</v>
      </c>
      <c r="DF37" s="179">
        <f>'[1]December - 2022'!DI37</f>
        <v>13</v>
      </c>
      <c r="DG37" s="235">
        <f>'[1]December - 2022'!DJ37</f>
        <v>24162</v>
      </c>
      <c r="DH37" s="179">
        <f>'[1]December - 2022'!DK37</f>
        <v>7</v>
      </c>
      <c r="DI37" s="235">
        <f>'[1]December - 2022'!DL37</f>
        <v>7301</v>
      </c>
      <c r="DJ37" s="179">
        <f>'[1]December - 2022'!DM37</f>
        <v>13</v>
      </c>
      <c r="DK37" s="235">
        <f>'[1]December - 2022'!DN37</f>
        <v>9923</v>
      </c>
      <c r="DL37" s="179">
        <f>'[1]December - 2022'!DO37</f>
        <v>6</v>
      </c>
      <c r="DM37" s="235">
        <f>'[1]December - 2022'!DP37</f>
        <v>3344</v>
      </c>
      <c r="DN37" s="179">
        <f>'[1]December - 2022'!DQ37</f>
        <v>5</v>
      </c>
      <c r="DO37" s="235">
        <f>'[1]December - 2022'!DR37</f>
        <v>6608</v>
      </c>
      <c r="DP37" s="179">
        <f>'[1]December - 2022'!DS37</f>
        <v>10</v>
      </c>
      <c r="DQ37" s="235">
        <f>'[1]December - 2022'!DT37</f>
        <v>30380</v>
      </c>
      <c r="DR37" s="186">
        <f>'[1]December - 2022'!DU37</f>
        <v>0</v>
      </c>
      <c r="DS37" s="408"/>
      <c r="DT37" s="190">
        <f>'[1]December - 2022'!DW37</f>
        <v>6545.9</v>
      </c>
      <c r="DU37" s="201">
        <f>'[1]December - 2022'!DX37</f>
        <v>11.099999999999454</v>
      </c>
      <c r="DV37" s="87">
        <f>'[1]December - 2022'!DY37</f>
        <v>11441.6</v>
      </c>
      <c r="DW37" s="195">
        <f>'[1]December - 2022'!DZ37</f>
        <v>8.1000000000003638</v>
      </c>
      <c r="DX37" s="87">
        <f>'[1]December - 2022'!EA37</f>
        <v>4929.8999999999996</v>
      </c>
      <c r="DY37" s="195">
        <f>'[1]December - 2022'!EB37</f>
        <v>7.2999999999992724</v>
      </c>
      <c r="DZ37" s="87">
        <f>'[1]December - 2022'!EC37</f>
        <v>5508.1</v>
      </c>
      <c r="EA37" s="195">
        <f>'[1]December - 2022'!ED37</f>
        <v>7.1000000000003638</v>
      </c>
      <c r="EB37" s="87">
        <f>'[1]December - 2022'!EE37</f>
        <v>1138062</v>
      </c>
      <c r="EC37" s="195">
        <f>'[1]December - 2022'!EF37</f>
        <v>570</v>
      </c>
      <c r="ED37" s="87">
        <f>'[1]December - 2022'!EI37</f>
        <v>234381.2</v>
      </c>
      <c r="EE37" s="208">
        <f>'[1]December - 2022'!EJ37</f>
        <v>129.80000000001746</v>
      </c>
      <c r="EF37" s="347"/>
      <c r="EG37" s="214">
        <f>'[1]December - 2022'!EL37</f>
        <v>12208000</v>
      </c>
      <c r="EH37" s="209">
        <f>'[1]December - 2022'!EM37</f>
        <v>3100</v>
      </c>
      <c r="EI37" s="86">
        <f>'[1]December - 2022'!EN37</f>
        <v>938500</v>
      </c>
      <c r="EJ37" s="209">
        <f>'[1]December - 2022'!EO37</f>
        <v>240</v>
      </c>
      <c r="EK37" s="86">
        <f>'[1]December - 2022'!EP37</f>
        <v>7256800</v>
      </c>
      <c r="EL37" s="209">
        <f>'[1]December - 2022'!EQ37</f>
        <v>1600</v>
      </c>
      <c r="EM37" s="86">
        <f>'[1]December - 2022'!ER37</f>
        <v>2503800</v>
      </c>
      <c r="EN37" s="209">
        <f>'[1]December - 2022'!ES37</f>
        <v>300</v>
      </c>
      <c r="EO37" s="86">
        <f>'[1]December - 2022'!ET37</f>
        <v>1290250</v>
      </c>
      <c r="EP37" s="209">
        <f>'[1]December - 2022'!EU37</f>
        <v>550</v>
      </c>
      <c r="EQ37" s="86">
        <f>'[1]December - 2022'!EV37</f>
        <v>16675100</v>
      </c>
      <c r="ER37" s="209">
        <f>'[1]December - 2022'!EW37</f>
        <v>1900</v>
      </c>
      <c r="ES37" s="395"/>
      <c r="ET37" s="256">
        <f>'[1]December - 2022'!EY37</f>
        <v>42427</v>
      </c>
      <c r="EU37" s="253">
        <f>'[1]December - 2022'!EZ37</f>
        <v>17</v>
      </c>
      <c r="EV37" s="257">
        <f>'[1]December - 2022'!FA37</f>
        <v>37037</v>
      </c>
      <c r="EW37" s="253">
        <f>'[1]December - 2022'!FB37</f>
        <v>33</v>
      </c>
      <c r="EX37" s="257">
        <f>'[1]December - 2022'!FC37</f>
        <v>7714</v>
      </c>
      <c r="EY37" s="253">
        <f>'[1]December - 2022'!FD37</f>
        <v>9</v>
      </c>
      <c r="EZ37" s="257">
        <f>'[1]December - 2022'!FE37</f>
        <v>59547</v>
      </c>
      <c r="FA37" s="253">
        <f>'[1]December - 2022'!FF37</f>
        <v>19</v>
      </c>
      <c r="FB37" s="257">
        <f>'[1]December - 2022'!FG37</f>
        <v>50184</v>
      </c>
      <c r="FC37" s="254">
        <f>'[1]December - 2022'!FH37</f>
        <v>36</v>
      </c>
    </row>
    <row r="38" spans="1:160" ht="30" customHeight="1" x14ac:dyDescent="0.25">
      <c r="A38" s="187">
        <v>43859</v>
      </c>
      <c r="B38" s="189">
        <f>'[1]December - 2022'!B38</f>
        <v>0.84</v>
      </c>
      <c r="C38" s="229">
        <f>'[1]December - 2022'!E38</f>
        <v>223865</v>
      </c>
      <c r="D38" s="152">
        <f>'[1]December - 2022'!F38</f>
        <v>660</v>
      </c>
      <c r="E38" s="150">
        <f>'[1]December - 2022'!G38</f>
        <v>769</v>
      </c>
      <c r="F38" s="150">
        <f>'[1]December - 2022'!H38</f>
        <v>250609</v>
      </c>
      <c r="G38" s="152">
        <f>'[1]December - 2022'!I38</f>
        <v>548</v>
      </c>
      <c r="H38" s="150">
        <f>'[1]December - 2022'!J38</f>
        <v>484.49000000000524</v>
      </c>
      <c r="I38" s="150">
        <f>'[1]December - 2022'!K38</f>
        <v>10038</v>
      </c>
      <c r="J38" s="152">
        <f>'[1]December - 2022'!L38</f>
        <v>0</v>
      </c>
      <c r="K38" s="150">
        <f>'[1]December - 2022'!N38</f>
        <v>924389</v>
      </c>
      <c r="L38" s="152">
        <f>'[1]December - 2022'!O38</f>
        <v>81</v>
      </c>
      <c r="M38" s="150">
        <f>'[1]December - 2022'!Q38</f>
        <v>245382</v>
      </c>
      <c r="N38" s="152">
        <f>'[1]December - 2022'!R38</f>
        <v>0</v>
      </c>
      <c r="O38" s="150">
        <f>'[1]December - 2022'!U38</f>
        <v>118029</v>
      </c>
      <c r="P38" s="152">
        <f>'[1]December - 2022'!V38</f>
        <v>73</v>
      </c>
      <c r="Q38" s="150">
        <f>'[1]December - 2022'!W38</f>
        <v>83.770000000004075</v>
      </c>
      <c r="R38" s="150">
        <f>'[1]December - 2022'!X38</f>
        <v>6505</v>
      </c>
      <c r="S38" s="188">
        <f>'[1]December - 2022'!Y38</f>
        <v>9</v>
      </c>
      <c r="T38" s="490"/>
      <c r="U38" s="151">
        <f>'[1]December - 2022'!AE38</f>
        <v>8199527.2800000003</v>
      </c>
      <c r="V38" s="218">
        <f>'[1]December - 2022'!AF38</f>
        <v>1753.9200000008568</v>
      </c>
      <c r="W38" s="88">
        <f>'[1]December - 2022'!AF38</f>
        <v>1753.9200000008568</v>
      </c>
      <c r="X38" s="233">
        <f>'[1]December - 2022'!AH38</f>
        <v>15569547.84</v>
      </c>
      <c r="Y38" s="218">
        <f>'[1]December - 2022'!AI38</f>
        <v>4530.9599999990314</v>
      </c>
      <c r="Z38" s="88">
        <f>'[1]December - 2022'!AI38</f>
        <v>4530.9599999990314</v>
      </c>
      <c r="AA38" s="233">
        <f>'[1]December - 2022'!AK38</f>
        <v>15828786.959999999</v>
      </c>
      <c r="AB38" s="218">
        <f>'[1]December - 2022'!AL38</f>
        <v>97.439999999478459</v>
      </c>
      <c r="AC38" s="88">
        <f>'[1]December - 2022'!AL38</f>
        <v>97.439999999478459</v>
      </c>
      <c r="AD38" s="233">
        <f>'[1]December - 2022'!AN38</f>
        <v>18958072.560000002</v>
      </c>
      <c r="AE38" s="218">
        <f>'[1]December - 2022'!AO38</f>
        <v>9061.9200000055134</v>
      </c>
      <c r="AF38" s="88">
        <f>'[1]December - 2022'!AO38</f>
        <v>9061.9200000055134</v>
      </c>
      <c r="AG38" s="233">
        <f>'[1]December - 2022'!AQ38</f>
        <v>19227153.119999997</v>
      </c>
      <c r="AH38" s="218">
        <f>'[1]December - 2022'!AR38</f>
        <v>0</v>
      </c>
      <c r="AI38" s="88">
        <f>'[1]December - 2022'!AR38</f>
        <v>0</v>
      </c>
      <c r="AJ38" s="233">
        <f>'[1]December - 2022'!AT38</f>
        <v>17682534.239999998</v>
      </c>
      <c r="AK38" s="218">
        <f>'[1]December - 2022'!AU38</f>
        <v>5359.1999999992549</v>
      </c>
      <c r="AL38" s="88">
        <f>'[1]December - 2022'!AU38</f>
        <v>5359.1999999992549</v>
      </c>
      <c r="AM38" s="233">
        <f>'[1]December - 2022'!AW38</f>
        <v>14875872.48</v>
      </c>
      <c r="AN38" s="218">
        <f>'[1]December - 2022'!AX38</f>
        <v>4336.0800000000745</v>
      </c>
      <c r="AO38" s="88">
        <f>'[1]December - 2022'!AX38</f>
        <v>4336.0800000000745</v>
      </c>
      <c r="AP38" s="233">
        <f>'[1]December - 2022'!AZ38</f>
        <v>14405042.4</v>
      </c>
      <c r="AQ38" s="218">
        <f>'[1]December - 2022'!BA38</f>
        <v>4774.5600000005215</v>
      </c>
      <c r="AR38" s="88">
        <f>'[1]December - 2022'!BA38</f>
        <v>4774.5600000005215</v>
      </c>
      <c r="AS38" s="233">
        <f>'[1]December - 2022'!BC38</f>
        <v>11244186.24</v>
      </c>
      <c r="AT38" s="218">
        <f>'[1]December - 2022'!BD38</f>
        <v>3702.7200000006706</v>
      </c>
      <c r="AU38" s="88">
        <f>'[1]December - 2022'!BD38</f>
        <v>3702.7200000006706</v>
      </c>
      <c r="AV38" s="233">
        <f>'[1]December - 2022'!BF38</f>
        <v>17820558</v>
      </c>
      <c r="AW38" s="230">
        <f>'[1]December - 2022'!BG38</f>
        <v>5602.8000000007451</v>
      </c>
      <c r="AX38" s="231">
        <f>'[1]December - 2022'!BG38</f>
        <v>5602.8000000007451</v>
      </c>
      <c r="AY38" s="456"/>
      <c r="AZ38" s="250">
        <f>'[1]December - 2022'!BM38</f>
        <v>78188000</v>
      </c>
      <c r="BA38" s="161">
        <f>'[1]December - 2022'!BN38</f>
        <v>0</v>
      </c>
      <c r="BB38" s="89">
        <f>'[1]December - 2022'!BN38</f>
        <v>0</v>
      </c>
      <c r="BC38" s="250">
        <f>'[1]December - 2022'!BP38</f>
        <v>81144000</v>
      </c>
      <c r="BD38" s="224">
        <f>'[1]December - 2022'!BQ38</f>
        <v>40600</v>
      </c>
      <c r="BE38" s="89">
        <f>'[1]December - 2022'!BQ38</f>
        <v>40600</v>
      </c>
      <c r="BF38" s="250">
        <f>'[1]December - 2022'!BS38</f>
        <v>75092800</v>
      </c>
      <c r="BG38" s="224">
        <f>'[1]December - 2022'!BT38</f>
        <v>0</v>
      </c>
      <c r="BH38" s="89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'[1]December - 2022'!BV38</f>
        <v>10370030</v>
      </c>
      <c r="BT38" s="166">
        <f>'[1]December - 2022'!BW38</f>
        <v>7160</v>
      </c>
      <c r="BU38" s="363"/>
      <c r="BV38" s="84">
        <f>'[1]December - 2022'!BY38</f>
        <v>0.59</v>
      </c>
      <c r="BW38" s="220">
        <f>'[1]December - 2022'!BZ38</f>
        <v>9.000000000000008E-2</v>
      </c>
      <c r="BX38" s="84">
        <f>'[1]December - 2022'!BZ38</f>
        <v>9.000000000000008E-2</v>
      </c>
      <c r="BY38" s="85">
        <f>'[1]December - 2022'!CB38</f>
        <v>64736</v>
      </c>
      <c r="BZ38" s="172">
        <f>'[1]December - 2022'!CC38</f>
        <v>20</v>
      </c>
      <c r="CA38" s="85">
        <f>'[1]December - 2022'!CD38</f>
        <v>55815</v>
      </c>
      <c r="CB38" s="172">
        <f>'[1]December - 2022'!CE38</f>
        <v>19</v>
      </c>
      <c r="CC38" s="85">
        <f>'[1]December - 2022'!CF38</f>
        <v>18883</v>
      </c>
      <c r="CD38" s="172">
        <f>'[1]December - 2022'!CG38</f>
        <v>7</v>
      </c>
      <c r="CE38" s="85">
        <f>'[1]December - 2022'!CH38</f>
        <v>25814</v>
      </c>
      <c r="CF38" s="172">
        <f>'[1]December - 2022'!CI38</f>
        <v>11</v>
      </c>
      <c r="CG38" s="85">
        <f>'[1]December - 2022'!CJ38</f>
        <v>28786</v>
      </c>
      <c r="CH38" s="172">
        <f>'[1]December - 2022'!CK38</f>
        <v>14</v>
      </c>
      <c r="CI38" s="85">
        <f>'[1]December - 2022'!CL38</f>
        <v>63186</v>
      </c>
      <c r="CJ38" s="172">
        <f>'[1]December - 2022'!CM38</f>
        <v>38</v>
      </c>
      <c r="CK38" s="85">
        <f>'[1]December - 2022'!CN38</f>
        <v>269551</v>
      </c>
      <c r="CL38" s="225">
        <f>'[1]December - 2022'!CO38</f>
        <v>72</v>
      </c>
      <c r="CM38" s="85">
        <f>'[1]December - 2022'!CO38</f>
        <v>72</v>
      </c>
      <c r="CN38" s="85">
        <f>'[1]December - 2022'!CQ38</f>
        <v>217306</v>
      </c>
      <c r="CO38" s="225">
        <f>'[1]December - 2022'!CR38</f>
        <v>109</v>
      </c>
      <c r="CP38" s="85">
        <f>'[1]December - 2022'!CR38</f>
        <v>109</v>
      </c>
      <c r="CQ38" s="85">
        <f>'[1]December - 2022'!CT38</f>
        <v>360353</v>
      </c>
      <c r="CR38" s="225">
        <f>'[1]December - 2022'!CU38</f>
        <v>272</v>
      </c>
      <c r="CS38" s="85">
        <f>'[1]December - 2022'!CU38</f>
        <v>272</v>
      </c>
      <c r="CT38" s="85">
        <f>'[1]December - 2022'!CW38</f>
        <v>698316</v>
      </c>
      <c r="CU38" s="172">
        <f>'[1]December - 2022'!CX38</f>
        <v>171</v>
      </c>
      <c r="CV38" s="423"/>
      <c r="CW38" s="234">
        <f>'[1]December - 2022'!CZ38</f>
        <v>9036</v>
      </c>
      <c r="CX38" s="179">
        <f>'[1]December - 2022'!DA38</f>
        <v>13</v>
      </c>
      <c r="CY38" s="235">
        <f>'[1]December - 2022'!DB38</f>
        <v>6132</v>
      </c>
      <c r="CZ38" s="179">
        <f>'[1]December - 2022'!DC38</f>
        <v>8</v>
      </c>
      <c r="DA38" s="235">
        <f>'[1]December - 2022'!DD38</f>
        <v>32464</v>
      </c>
      <c r="DB38" s="179">
        <f>'[1]December - 2022'!DE38</f>
        <v>19</v>
      </c>
      <c r="DC38" s="235">
        <f>'[1]December - 2022'!DF38</f>
        <v>32650</v>
      </c>
      <c r="DD38" s="179">
        <f>'[1]December - 2022'!DG38</f>
        <v>16</v>
      </c>
      <c r="DE38" s="235">
        <f>'[1]December - 2022'!DH38</f>
        <v>22066</v>
      </c>
      <c r="DF38" s="179">
        <f>'[1]December - 2022'!DI38</f>
        <v>14</v>
      </c>
      <c r="DG38" s="235">
        <f>'[1]December - 2022'!DJ38</f>
        <v>24170</v>
      </c>
      <c r="DH38" s="179">
        <f>'[1]December - 2022'!DK38</f>
        <v>8</v>
      </c>
      <c r="DI38" s="235">
        <f>'[1]December - 2022'!DL38</f>
        <v>7313</v>
      </c>
      <c r="DJ38" s="179">
        <f>'[1]December - 2022'!DM38</f>
        <v>12</v>
      </c>
      <c r="DK38" s="235">
        <f>'[1]December - 2022'!DN38</f>
        <v>9929</v>
      </c>
      <c r="DL38" s="179">
        <f>'[1]December - 2022'!DO38</f>
        <v>6</v>
      </c>
      <c r="DM38" s="235">
        <f>'[1]December - 2022'!DP38</f>
        <v>3348</v>
      </c>
      <c r="DN38" s="179">
        <f>'[1]December - 2022'!DQ38</f>
        <v>4</v>
      </c>
      <c r="DO38" s="235">
        <f>'[1]December - 2022'!DR38</f>
        <v>6618</v>
      </c>
      <c r="DP38" s="179">
        <f>'[1]December - 2022'!DS38</f>
        <v>10</v>
      </c>
      <c r="DQ38" s="235">
        <f>'[1]December - 2022'!DT38</f>
        <v>30380</v>
      </c>
      <c r="DR38" s="186">
        <f>'[1]December - 2022'!DU38</f>
        <v>0</v>
      </c>
      <c r="DS38" s="408"/>
      <c r="DT38" s="190">
        <f>'[1]December - 2022'!DW38</f>
        <v>6557.1</v>
      </c>
      <c r="DU38" s="201">
        <f>'[1]December - 2022'!DX38</f>
        <v>11.200000000000728</v>
      </c>
      <c r="DV38" s="87">
        <f>'[1]December - 2022'!DY38</f>
        <v>11449.8</v>
      </c>
      <c r="DW38" s="195">
        <f>'[1]December - 2022'!DZ38</f>
        <v>8.1999999999989086</v>
      </c>
      <c r="DX38" s="87">
        <f>'[1]December - 2022'!EA38</f>
        <v>4936.8999999999996</v>
      </c>
      <c r="DY38" s="195">
        <f>'[1]December - 2022'!EB38</f>
        <v>7</v>
      </c>
      <c r="DZ38" s="87">
        <f>'[1]December - 2022'!EC38</f>
        <v>5514.2</v>
      </c>
      <c r="EA38" s="195">
        <f>'[1]December - 2022'!ED38</f>
        <v>6.0999999999994543</v>
      </c>
      <c r="EB38" s="87">
        <f>'[1]December - 2022'!EE38</f>
        <v>1138614</v>
      </c>
      <c r="EC38" s="195">
        <f>'[1]December - 2022'!EF38</f>
        <v>552</v>
      </c>
      <c r="ED38" s="87">
        <f>'[1]December - 2022'!EI38</f>
        <v>234511.8</v>
      </c>
      <c r="EE38" s="208">
        <f>'[1]December - 2022'!EJ38</f>
        <v>130.59999999997672</v>
      </c>
      <c r="EF38" s="347"/>
      <c r="EG38" s="214">
        <f>'[1]December - 2022'!EL38</f>
        <v>12211500</v>
      </c>
      <c r="EH38" s="209">
        <f>'[1]December - 2022'!EM38</f>
        <v>3500</v>
      </c>
      <c r="EI38" s="86">
        <f>'[1]December - 2022'!EN38</f>
        <v>938760</v>
      </c>
      <c r="EJ38" s="209">
        <f>'[1]December - 2022'!EO38</f>
        <v>260</v>
      </c>
      <c r="EK38" s="86">
        <f>'[1]December - 2022'!EP38</f>
        <v>7258600</v>
      </c>
      <c r="EL38" s="209">
        <f>'[1]December - 2022'!EQ38</f>
        <v>1800</v>
      </c>
      <c r="EM38" s="86">
        <f>'[1]December - 2022'!ER38</f>
        <v>2504000</v>
      </c>
      <c r="EN38" s="209">
        <f>'[1]December - 2022'!ES38</f>
        <v>200</v>
      </c>
      <c r="EO38" s="86">
        <f>'[1]December - 2022'!ET38</f>
        <v>1290890</v>
      </c>
      <c r="EP38" s="209">
        <f>'[1]December - 2022'!EU38</f>
        <v>640</v>
      </c>
      <c r="EQ38" s="86">
        <f>'[1]December - 2022'!EV38</f>
        <v>16677300</v>
      </c>
      <c r="ER38" s="209">
        <f>'[1]December - 2022'!EW38</f>
        <v>2200</v>
      </c>
      <c r="ES38" s="395"/>
      <c r="ET38" s="256">
        <f>'[1]December - 2022'!EY38</f>
        <v>42443</v>
      </c>
      <c r="EU38" s="253">
        <f>'[1]December - 2022'!EZ38</f>
        <v>16</v>
      </c>
      <c r="EV38" s="257">
        <f>'[1]December - 2022'!FA38</f>
        <v>37053</v>
      </c>
      <c r="EW38" s="253">
        <f>'[1]December - 2022'!FB38</f>
        <v>16</v>
      </c>
      <c r="EX38" s="257">
        <f>'[1]December - 2022'!FC38</f>
        <v>7723</v>
      </c>
      <c r="EY38" s="253">
        <f>'[1]December - 2022'!FD38</f>
        <v>9</v>
      </c>
      <c r="EZ38" s="257">
        <f>'[1]December - 2022'!FE38</f>
        <v>59566</v>
      </c>
      <c r="FA38" s="253">
        <f>'[1]December - 2022'!FF38</f>
        <v>19</v>
      </c>
      <c r="FB38" s="257">
        <f>'[1]December - 2022'!FG38</f>
        <v>50222</v>
      </c>
      <c r="FC38" s="254">
        <f>'[1]December - 2022'!FH38</f>
        <v>38</v>
      </c>
    </row>
    <row r="39" spans="1:160" ht="30" customHeight="1" x14ac:dyDescent="0.25">
      <c r="A39" s="187">
        <v>43860</v>
      </c>
      <c r="B39" s="189">
        <f>'[1]December - 2022'!B39</f>
        <v>0.88</v>
      </c>
      <c r="C39" s="229">
        <f>'[1]December - 2022'!E39</f>
        <v>224550</v>
      </c>
      <c r="D39" s="152">
        <f>'[1]December - 2022'!F39</f>
        <v>685</v>
      </c>
      <c r="E39" s="150">
        <f>'[1]December - 2022'!G39</f>
        <v>828</v>
      </c>
      <c r="F39" s="150">
        <f>'[1]December - 2022'!H39</f>
        <v>251142</v>
      </c>
      <c r="G39" s="152">
        <f>'[1]December - 2022'!I39</f>
        <v>533</v>
      </c>
      <c r="H39" s="150">
        <f>'[1]December - 2022'!J39</f>
        <v>537.5</v>
      </c>
      <c r="I39" s="150">
        <f>'[1]December - 2022'!K39</f>
        <v>10164</v>
      </c>
      <c r="J39" s="152">
        <f>'[1]December - 2022'!L39</f>
        <v>126</v>
      </c>
      <c r="K39" s="150">
        <f>'[1]December - 2022'!N39</f>
        <v>924463</v>
      </c>
      <c r="L39" s="152">
        <f>'[1]December - 2022'!O39</f>
        <v>74</v>
      </c>
      <c r="M39" s="150">
        <f>'[1]December - 2022'!Q39</f>
        <v>245382</v>
      </c>
      <c r="N39" s="152">
        <f>'[1]December - 2022'!R39</f>
        <v>0</v>
      </c>
      <c r="O39" s="150">
        <f>'[1]December - 2022'!U39</f>
        <v>118107</v>
      </c>
      <c r="P39" s="152">
        <f>'[1]December - 2022'!V39</f>
        <v>78</v>
      </c>
      <c r="Q39" s="150">
        <f>'[1]December - 2022'!W39</f>
        <v>90.009999999994761</v>
      </c>
      <c r="R39" s="150">
        <f>'[1]December - 2022'!X39</f>
        <v>6511</v>
      </c>
      <c r="S39" s="188">
        <f>'[1]December - 2022'!Y39</f>
        <v>6</v>
      </c>
      <c r="T39" s="490"/>
      <c r="U39" s="151">
        <f>'[1]December - 2022'!AE39</f>
        <v>8201524.7999999998</v>
      </c>
      <c r="V39" s="218">
        <f>'[1]December - 2022'!AF39</f>
        <v>1997.519999999553</v>
      </c>
      <c r="W39" s="88">
        <f>'[1]December - 2022'!AF39</f>
        <v>1997.519999999553</v>
      </c>
      <c r="X39" s="233">
        <f>'[1]December - 2022'!AH39</f>
        <v>15574078.799999999</v>
      </c>
      <c r="Y39" s="218">
        <f>'[1]December - 2022'!AI39</f>
        <v>4530.9599999990314</v>
      </c>
      <c r="Z39" s="88">
        <f>'[1]December - 2022'!AI39</f>
        <v>4530.9599999990314</v>
      </c>
      <c r="AA39" s="233">
        <f>'[1]December - 2022'!AK39</f>
        <v>15828884.4</v>
      </c>
      <c r="AB39" s="218">
        <f>'[1]December - 2022'!AL39</f>
        <v>97.440000001341105</v>
      </c>
      <c r="AC39" s="88">
        <f>'[1]December - 2022'!AL39</f>
        <v>97.440000001341105</v>
      </c>
      <c r="AD39" s="233">
        <f>'[1]December - 2022'!AN39</f>
        <v>18966696</v>
      </c>
      <c r="AE39" s="218">
        <f>'[1]December - 2022'!AO39</f>
        <v>8623.4399999976158</v>
      </c>
      <c r="AF39" s="88">
        <f>'[1]December - 2022'!AO39</f>
        <v>8623.4399999976158</v>
      </c>
      <c r="AG39" s="233">
        <f>'[1]December - 2022'!AQ39</f>
        <v>19227591.599999998</v>
      </c>
      <c r="AH39" s="218">
        <f>'[1]December - 2022'!AR39</f>
        <v>438.48000000044703</v>
      </c>
      <c r="AI39" s="88">
        <f>'[1]December - 2022'!AR39</f>
        <v>438.48000000044703</v>
      </c>
      <c r="AJ39" s="233">
        <f>'[1]December - 2022'!AT39</f>
        <v>17687796</v>
      </c>
      <c r="AK39" s="218">
        <f>'[1]December - 2022'!AU39</f>
        <v>5261.7600000016391</v>
      </c>
      <c r="AL39" s="88">
        <f>'[1]December - 2022'!AU39</f>
        <v>5261.7600000016391</v>
      </c>
      <c r="AM39" s="233">
        <f>'[1]December - 2022'!AW39</f>
        <v>14879818.799999999</v>
      </c>
      <c r="AN39" s="218">
        <f>'[1]December - 2022'!AX39</f>
        <v>3946.3199999984354</v>
      </c>
      <c r="AO39" s="88">
        <f>'[1]December - 2022'!AX39</f>
        <v>3946.3199999984354</v>
      </c>
      <c r="AP39" s="233">
        <f>'[1]December - 2022'!AZ39</f>
        <v>14409719.52</v>
      </c>
      <c r="AQ39" s="218">
        <f>'[1]December - 2022'!BA39</f>
        <v>4677.1199999991804</v>
      </c>
      <c r="AR39" s="88">
        <f>'[1]December - 2022'!BA39</f>
        <v>4677.1199999991804</v>
      </c>
      <c r="AS39" s="233">
        <f>'[1]December - 2022'!BC39</f>
        <v>11247060.719999999</v>
      </c>
      <c r="AT39" s="218">
        <f>'[1]December - 2022'!BD39</f>
        <v>2874.4799999985844</v>
      </c>
      <c r="AU39" s="88">
        <f>'[1]December - 2022'!BD39</f>
        <v>2874.4799999985844</v>
      </c>
      <c r="AV39" s="233">
        <f>'[1]December - 2022'!BF39</f>
        <v>17826550.560000002</v>
      </c>
      <c r="AW39" s="230">
        <f>'[1]December - 2022'!BG39</f>
        <v>5992.5600000023842</v>
      </c>
      <c r="AX39" s="231">
        <f>'[1]December - 2022'!BG39</f>
        <v>5992.5600000023842</v>
      </c>
      <c r="AY39" s="456"/>
      <c r="AZ39" s="250">
        <f>'[1]December - 2022'!BM39</f>
        <v>78188000</v>
      </c>
      <c r="BA39" s="161">
        <f>'[1]December - 2022'!BN39</f>
        <v>0</v>
      </c>
      <c r="BB39" s="89">
        <f>'[1]December - 2022'!BN39</f>
        <v>0</v>
      </c>
      <c r="BC39" s="250">
        <f>'[1]December - 2022'!BP39</f>
        <v>81185500</v>
      </c>
      <c r="BD39" s="224">
        <f>'[1]December - 2022'!BQ39</f>
        <v>41500</v>
      </c>
      <c r="BE39" s="89">
        <f>'[1]December - 2022'!BQ39</f>
        <v>41500</v>
      </c>
      <c r="BF39" s="250">
        <f>'[1]December - 2022'!BS39</f>
        <v>75092800</v>
      </c>
      <c r="BG39" s="224">
        <f>'[1]December - 2022'!BT39</f>
        <v>0</v>
      </c>
      <c r="BH39" s="89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'[1]December - 2022'!BV39</f>
        <v>10377260</v>
      </c>
      <c r="BT39" s="166">
        <f>'[1]December - 2022'!BW39</f>
        <v>7230</v>
      </c>
      <c r="BU39" s="364"/>
      <c r="BV39" s="84">
        <f>'[1]December - 2022'!BY39</f>
        <v>0.69</v>
      </c>
      <c r="BW39" s="220">
        <f>'[1]December - 2022'!BZ39</f>
        <v>-9.9999999999999978E-2</v>
      </c>
      <c r="BX39" s="84">
        <f>'[1]December - 2022'!BZ39</f>
        <v>-9.9999999999999978E-2</v>
      </c>
      <c r="BY39" s="85">
        <f>'[1]December - 2022'!CB39</f>
        <v>64757</v>
      </c>
      <c r="BZ39" s="172">
        <f>'[1]December - 2022'!CC39</f>
        <v>21</v>
      </c>
      <c r="CA39" s="85">
        <f>'[1]December - 2022'!CD39</f>
        <v>55832</v>
      </c>
      <c r="CB39" s="172">
        <f>'[1]December - 2022'!CE39</f>
        <v>17</v>
      </c>
      <c r="CC39" s="85">
        <f>'[1]December - 2022'!CF39</f>
        <v>18888</v>
      </c>
      <c r="CD39" s="172">
        <f>'[1]December - 2022'!CG39</f>
        <v>5</v>
      </c>
      <c r="CE39" s="85">
        <f>'[1]December - 2022'!CH39</f>
        <v>25824</v>
      </c>
      <c r="CF39" s="172">
        <f>'[1]December - 2022'!CI39</f>
        <v>10</v>
      </c>
      <c r="CG39" s="85">
        <f>'[1]December - 2022'!CJ39</f>
        <v>28793</v>
      </c>
      <c r="CH39" s="172">
        <f>'[1]December - 2022'!CK39</f>
        <v>7</v>
      </c>
      <c r="CI39" s="85">
        <f>'[1]December - 2022'!CL39</f>
        <v>63227</v>
      </c>
      <c r="CJ39" s="172">
        <f>'[1]December - 2022'!CM39</f>
        <v>41</v>
      </c>
      <c r="CK39" s="85">
        <f>'[1]December - 2022'!CN39</f>
        <v>269622</v>
      </c>
      <c r="CL39" s="225">
        <f>'[1]December - 2022'!CO39</f>
        <v>71</v>
      </c>
      <c r="CM39" s="85">
        <f>'[1]December - 2022'!CO39</f>
        <v>71</v>
      </c>
      <c r="CN39" s="85">
        <f>'[1]December - 2022'!CQ39</f>
        <v>217423</v>
      </c>
      <c r="CO39" s="225">
        <f>'[1]December - 2022'!CR39</f>
        <v>117</v>
      </c>
      <c r="CP39" s="85">
        <f>'[1]December - 2022'!CR39</f>
        <v>117</v>
      </c>
      <c r="CQ39" s="85">
        <f>'[1]December - 2022'!CT39</f>
        <v>360613</v>
      </c>
      <c r="CR39" s="225">
        <f>'[1]December - 2022'!CU39</f>
        <v>260</v>
      </c>
      <c r="CS39" s="85">
        <f>'[1]December - 2022'!CU39</f>
        <v>260</v>
      </c>
      <c r="CT39" s="85">
        <f>'[1]December - 2022'!CW39</f>
        <v>698487</v>
      </c>
      <c r="CU39" s="172">
        <f>'[1]December - 2022'!CX39</f>
        <v>171</v>
      </c>
      <c r="CV39" s="423"/>
      <c r="CW39" s="234">
        <f>'[1]December - 2022'!CZ39</f>
        <v>9050</v>
      </c>
      <c r="CX39" s="179">
        <f>'[1]December - 2022'!DA39</f>
        <v>14</v>
      </c>
      <c r="CY39" s="235">
        <f>'[1]December - 2022'!DB39</f>
        <v>6141</v>
      </c>
      <c r="CZ39" s="179">
        <f>'[1]December - 2022'!DC39</f>
        <v>9</v>
      </c>
      <c r="DA39" s="235">
        <f>'[1]December - 2022'!DD39</f>
        <v>32482</v>
      </c>
      <c r="DB39" s="179">
        <f>'[1]December - 2022'!DE39</f>
        <v>18</v>
      </c>
      <c r="DC39" s="235">
        <f>'[1]December - 2022'!DF39</f>
        <v>32666</v>
      </c>
      <c r="DD39" s="179">
        <f>'[1]December - 2022'!DG39</f>
        <v>16</v>
      </c>
      <c r="DE39" s="235">
        <f>'[1]December - 2022'!DH39</f>
        <v>22080</v>
      </c>
      <c r="DF39" s="179">
        <f>'[1]December - 2022'!DI39</f>
        <v>14</v>
      </c>
      <c r="DG39" s="235">
        <f>'[1]December - 2022'!DJ39</f>
        <v>24179</v>
      </c>
      <c r="DH39" s="179">
        <f>'[1]December - 2022'!DK39</f>
        <v>9</v>
      </c>
      <c r="DI39" s="235">
        <f>'[1]December - 2022'!DL39</f>
        <v>7327</v>
      </c>
      <c r="DJ39" s="179">
        <f>'[1]December - 2022'!DM39</f>
        <v>14</v>
      </c>
      <c r="DK39" s="235">
        <f>'[1]December - 2022'!DN39</f>
        <v>9940</v>
      </c>
      <c r="DL39" s="179">
        <f>'[1]December - 2022'!DO39</f>
        <v>11</v>
      </c>
      <c r="DM39" s="235">
        <f>'[1]December - 2022'!DP39</f>
        <v>3354</v>
      </c>
      <c r="DN39" s="179">
        <f>'[1]December - 2022'!DQ39</f>
        <v>6</v>
      </c>
      <c r="DO39" s="235">
        <f>'[1]December - 2022'!DR39</f>
        <v>6628</v>
      </c>
      <c r="DP39" s="179">
        <f>'[1]December - 2022'!DS39</f>
        <v>10</v>
      </c>
      <c r="DQ39" s="235">
        <f>'[1]December - 2022'!DT39</f>
        <v>30380</v>
      </c>
      <c r="DR39" s="186">
        <f>'[1]December - 2022'!DU39</f>
        <v>0</v>
      </c>
      <c r="DS39" s="408"/>
      <c r="DT39" s="190">
        <f>'[1]December - 2022'!DW39</f>
        <v>6568.3</v>
      </c>
      <c r="DU39" s="201">
        <f>'[1]December - 2022'!DX39</f>
        <v>11.199999999999818</v>
      </c>
      <c r="DV39" s="87">
        <f>'[1]December - 2022'!DY39</f>
        <v>11458.1</v>
      </c>
      <c r="DW39" s="195">
        <f>'[1]December - 2022'!DZ39</f>
        <v>8.3000000000010914</v>
      </c>
      <c r="DX39" s="87">
        <f>'[1]December - 2022'!EA39</f>
        <v>4944</v>
      </c>
      <c r="DY39" s="195">
        <f>'[1]December - 2022'!EB39</f>
        <v>7.1000000000003638</v>
      </c>
      <c r="DZ39" s="87">
        <f>'[1]December - 2022'!EC39</f>
        <v>5522.2</v>
      </c>
      <c r="EA39" s="195">
        <f>'[1]December - 2022'!ED39</f>
        <v>8</v>
      </c>
      <c r="EB39" s="87">
        <f>'[1]December - 2022'!EE39</f>
        <v>1139204</v>
      </c>
      <c r="EC39" s="195">
        <f>'[1]December - 2022'!EF39</f>
        <v>590</v>
      </c>
      <c r="ED39" s="87">
        <f>'[1]December - 2022'!EI39</f>
        <v>234645</v>
      </c>
      <c r="EE39" s="208">
        <f>'[1]December - 2022'!EJ39</f>
        <v>133.20000000001164</v>
      </c>
      <c r="EF39" s="347"/>
      <c r="EG39" s="214">
        <f>'[1]December - 2022'!EL39</f>
        <v>12214000</v>
      </c>
      <c r="EH39" s="209">
        <f>'[1]December - 2022'!EM39</f>
        <v>2500</v>
      </c>
      <c r="EI39" s="86">
        <f>'[1]December - 2022'!EN39</f>
        <v>938940</v>
      </c>
      <c r="EJ39" s="209">
        <f>'[1]December - 2022'!EO39</f>
        <v>180</v>
      </c>
      <c r="EK39" s="86">
        <f>'[1]December - 2022'!EP39</f>
        <v>7259800</v>
      </c>
      <c r="EL39" s="209">
        <f>'[1]December - 2022'!EQ39</f>
        <v>1200</v>
      </c>
      <c r="EM39" s="86">
        <f>'[1]December - 2022'!ER39</f>
        <v>2504200</v>
      </c>
      <c r="EN39" s="209">
        <f>'[1]December - 2022'!ES39</f>
        <v>200</v>
      </c>
      <c r="EO39" s="86">
        <f>'[1]December - 2022'!ET39</f>
        <v>1291330</v>
      </c>
      <c r="EP39" s="209">
        <f>'[1]December - 2022'!EU39</f>
        <v>440</v>
      </c>
      <c r="EQ39" s="86">
        <f>'[1]December - 2022'!EV39</f>
        <v>16678700</v>
      </c>
      <c r="ER39" s="209">
        <f>'[1]December - 2022'!EW39</f>
        <v>1400</v>
      </c>
      <c r="ES39" s="395"/>
      <c r="ET39" s="256">
        <f>'[1]December - 2022'!EY39</f>
        <v>42462</v>
      </c>
      <c r="EU39" s="253">
        <f>'[1]December - 2022'!EZ39</f>
        <v>19</v>
      </c>
      <c r="EV39" s="257">
        <f>'[1]December - 2022'!FA39</f>
        <v>37070</v>
      </c>
      <c r="EW39" s="253">
        <f>'[1]December - 2022'!FB39</f>
        <v>17</v>
      </c>
      <c r="EX39" s="257">
        <f>'[1]December - 2022'!FC39</f>
        <v>7737</v>
      </c>
      <c r="EY39" s="253">
        <f>'[1]December - 2022'!FD39</f>
        <v>14</v>
      </c>
      <c r="EZ39" s="257">
        <f>'[1]December - 2022'!FE39</f>
        <v>59584</v>
      </c>
      <c r="FA39" s="253">
        <f>'[1]December - 2022'!FF39</f>
        <v>18</v>
      </c>
      <c r="FB39" s="257">
        <f>'[1]December - 2022'!FG39</f>
        <v>50259</v>
      </c>
      <c r="FC39" s="254">
        <f>'[1]December - 2022'!FH39</f>
        <v>37</v>
      </c>
    </row>
    <row r="40" spans="1:160" ht="30" customHeight="1" thickBot="1" x14ac:dyDescent="0.45">
      <c r="A40" s="187">
        <v>43861</v>
      </c>
      <c r="B40" s="266">
        <f>'[1]December - 2022'!B40</f>
        <v>0.92</v>
      </c>
      <c r="C40" s="229">
        <f>'[1]December - 2022'!E40</f>
        <v>225226</v>
      </c>
      <c r="D40" s="152">
        <f>'[1]December - 2022'!F40</f>
        <v>676</v>
      </c>
      <c r="E40" s="150">
        <f>'[1]December - 2022'!G40</f>
        <v>761</v>
      </c>
      <c r="F40" s="150">
        <f>'[1]December - 2022'!H40</f>
        <v>251689</v>
      </c>
      <c r="G40" s="152">
        <f>'[1]December - 2022'!I40</f>
        <v>547</v>
      </c>
      <c r="H40" s="150">
        <f>'[1]December - 2022'!J40</f>
        <v>476.47000000000116</v>
      </c>
      <c r="I40" s="150">
        <f>'[1]December - 2022'!K40</f>
        <v>10233</v>
      </c>
      <c r="J40" s="152">
        <f>'[1]December - 2022'!L40</f>
        <v>69</v>
      </c>
      <c r="K40" s="150">
        <f>'[1]December - 2022'!N40</f>
        <v>924513</v>
      </c>
      <c r="L40" s="152">
        <f>'[1]December - 2022'!O40</f>
        <v>50</v>
      </c>
      <c r="M40" s="150">
        <f>'[1]December - 2022'!Q40</f>
        <v>245382</v>
      </c>
      <c r="N40" s="152">
        <f>'[1]December - 2022'!R40</f>
        <v>0</v>
      </c>
      <c r="O40" s="150">
        <f>'[1]December - 2022'!U40</f>
        <v>118193</v>
      </c>
      <c r="P40" s="152">
        <f>'[1]December - 2022'!V40</f>
        <v>86</v>
      </c>
      <c r="Q40" s="150">
        <f>'[1]December - 2022'!W40</f>
        <v>85.430000000000291</v>
      </c>
      <c r="R40" s="150">
        <f>'[1]December - 2022'!X40</f>
        <v>6524</v>
      </c>
      <c r="S40" s="188">
        <f>'[1]December - 2022'!Y40</f>
        <v>13</v>
      </c>
      <c r="T40" s="259"/>
      <c r="U40" s="262">
        <f>'[1]December - 2022'!AE40</f>
        <v>8204545.4400000004</v>
      </c>
      <c r="V40" s="263">
        <f>'[1]December - 2022'!AF40</f>
        <v>3020.640000000596</v>
      </c>
      <c r="W40" s="264">
        <f>'[1]December - 2022'!AF40</f>
        <v>3020.640000000596</v>
      </c>
      <c r="X40" s="265">
        <f>'[1]December - 2022'!AH40</f>
        <v>15578561.039999999</v>
      </c>
      <c r="Y40" s="263">
        <f>'[1]December - 2022'!AI40</f>
        <v>4482.2400000002235</v>
      </c>
      <c r="Z40" s="264">
        <f>'[1]December - 2022'!AI40</f>
        <v>4482.2400000002235</v>
      </c>
      <c r="AA40" s="265">
        <f>'[1]December - 2022'!AK40</f>
        <v>15837020.640000001</v>
      </c>
      <c r="AB40" s="263">
        <f>'[1]December - 2022'!AL40</f>
        <v>8136.2400000002235</v>
      </c>
      <c r="AC40" s="264">
        <f>'[1]December - 2022'!AL40</f>
        <v>8136.2400000002235</v>
      </c>
      <c r="AD40" s="265">
        <f>'[1]December - 2022'!AN40</f>
        <v>18967085.760000002</v>
      </c>
      <c r="AE40" s="263">
        <f>'[1]December - 2022'!AO40</f>
        <v>389.76000000163913</v>
      </c>
      <c r="AF40" s="264">
        <f>'[1]December - 2022'!AO40</f>
        <v>389.76000000163913</v>
      </c>
      <c r="AG40" s="265">
        <f>'[1]December - 2022'!AQ40</f>
        <v>19227689.039999999</v>
      </c>
      <c r="AH40" s="263">
        <f>'[1]December - 2022'!AR40</f>
        <v>97.440000001341105</v>
      </c>
      <c r="AI40" s="264">
        <f>'[1]December - 2022'!AR40</f>
        <v>97.440000001341105</v>
      </c>
      <c r="AJ40" s="265">
        <f>'[1]December - 2022'!AT40</f>
        <v>17693496.239999998</v>
      </c>
      <c r="AK40" s="263">
        <f>'[1]December - 2022'!AU40</f>
        <v>5700.2399999983609</v>
      </c>
      <c r="AL40" s="264">
        <f>'[1]December - 2022'!AU40</f>
        <v>5700.2399999983609</v>
      </c>
      <c r="AM40" s="265">
        <f>'[1]December - 2022'!AW40</f>
        <v>14884008.719999999</v>
      </c>
      <c r="AN40" s="263">
        <f>'[1]December - 2022'!AX40</f>
        <v>4189.9199999999255</v>
      </c>
      <c r="AO40" s="264">
        <f>'[1]December - 2022'!AX40</f>
        <v>4189.9199999999255</v>
      </c>
      <c r="AP40" s="265">
        <f>'[1]December - 2022'!AZ40</f>
        <v>14414542.799999999</v>
      </c>
      <c r="AQ40" s="263">
        <f>'[1]December - 2022'!BA40</f>
        <v>4823.2799999993294</v>
      </c>
      <c r="AR40" s="264">
        <f>'[1]December - 2022'!BA40</f>
        <v>4823.2799999993294</v>
      </c>
      <c r="AS40" s="265">
        <f>'[1]December - 2022'!BC40</f>
        <v>11250130.08</v>
      </c>
      <c r="AT40" s="263">
        <f>'[1]December - 2022'!BD40</f>
        <v>3069.3600000012666</v>
      </c>
      <c r="AU40" s="264">
        <f>'[1]December - 2022'!BD40</f>
        <v>3069.3600000012666</v>
      </c>
      <c r="AV40" s="265">
        <f>'[1]December - 2022'!BF40</f>
        <v>17832591.84</v>
      </c>
      <c r="AW40" s="230">
        <f>'[1]December - 2022'!BG40</f>
        <v>6041.2799999974668</v>
      </c>
      <c r="AX40" s="231">
        <f>'[1]December - 2022'!BG40</f>
        <v>6041.2799999974668</v>
      </c>
      <c r="AY40" s="260"/>
      <c r="AZ40" s="250">
        <f>'[1]December - 2022'!BM40</f>
        <v>78229800</v>
      </c>
      <c r="BA40" s="161">
        <f>'[1]December - 2022'!BN40</f>
        <v>41800</v>
      </c>
      <c r="BB40" s="89">
        <f>'[1]December - 2022'!BN40</f>
        <v>41800</v>
      </c>
      <c r="BC40" s="250">
        <f>'[1]December - 2022'!BP40</f>
        <v>81187800</v>
      </c>
      <c r="BD40" s="224">
        <f>'[1]December - 2022'!BQ40</f>
        <v>2300</v>
      </c>
      <c r="BE40" s="89">
        <f>'[1]December - 2022'!BQ40</f>
        <v>2300</v>
      </c>
      <c r="BF40" s="250">
        <f>'[1]December - 2022'!BS40</f>
        <v>75092800</v>
      </c>
      <c r="BG40" s="224">
        <f>'[1]December - 2022'!BT40</f>
        <v>0</v>
      </c>
      <c r="BH40" s="89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'[1]December - 2022'!BV40</f>
        <v>10384850</v>
      </c>
      <c r="BT40" s="166">
        <f>'[1]December - 2022'!BW40</f>
        <v>7590</v>
      </c>
      <c r="BU40" s="261"/>
      <c r="BV40" s="84">
        <f>'[1]December - 2022'!BY40</f>
        <v>0.6</v>
      </c>
      <c r="BW40" s="220">
        <f>'[1]December - 2022'!BZ40</f>
        <v>8.9999999999999969E-2</v>
      </c>
      <c r="BX40" s="84">
        <f>'[1]December - 2022'!BZ40</f>
        <v>8.9999999999999969E-2</v>
      </c>
      <c r="BY40" s="85">
        <f>'[1]December - 2022'!CB40</f>
        <v>64774</v>
      </c>
      <c r="BZ40" s="172">
        <f>'[1]December - 2022'!CC40</f>
        <v>17</v>
      </c>
      <c r="CA40" s="85">
        <f>'[1]December - 2022'!CD40</f>
        <v>55850</v>
      </c>
      <c r="CB40" s="172">
        <f>'[1]December - 2022'!CE40</f>
        <v>18</v>
      </c>
      <c r="CC40" s="85">
        <f>'[1]December - 2022'!CF40</f>
        <v>18895</v>
      </c>
      <c r="CD40" s="172">
        <f>'[1]December - 2022'!CG40</f>
        <v>7</v>
      </c>
      <c r="CE40" s="85">
        <f>'[1]December - 2022'!CH40</f>
        <v>25836</v>
      </c>
      <c r="CF40" s="172">
        <f>'[1]December - 2022'!CI40</f>
        <v>12</v>
      </c>
      <c r="CG40" s="85">
        <f>'[1]December - 2022'!CJ40</f>
        <v>28807</v>
      </c>
      <c r="CH40" s="172">
        <f>'[1]December - 2022'!CK40</f>
        <v>14</v>
      </c>
      <c r="CI40" s="85">
        <f>'[1]December - 2022'!CL40</f>
        <v>63265</v>
      </c>
      <c r="CJ40" s="172">
        <f>'[1]December - 2022'!CM40</f>
        <v>38</v>
      </c>
      <c r="CK40" s="85">
        <f>'[1]December - 2022'!CN40</f>
        <v>269697</v>
      </c>
      <c r="CL40" s="225">
        <f>'[1]December - 2022'!CO40</f>
        <v>75</v>
      </c>
      <c r="CM40" s="85">
        <f>'[1]December - 2022'!CO40</f>
        <v>75</v>
      </c>
      <c r="CN40" s="85">
        <f>'[1]December - 2022'!CQ40</f>
        <v>217553</v>
      </c>
      <c r="CO40" s="225">
        <f>'[1]December - 2022'!CR40</f>
        <v>130</v>
      </c>
      <c r="CP40" s="85">
        <f>'[1]December - 2022'!CR40</f>
        <v>130</v>
      </c>
      <c r="CQ40" s="85">
        <f>'[1]December - 2022'!CT40</f>
        <v>360873</v>
      </c>
      <c r="CR40" s="225">
        <f>'[1]December - 2022'!CU40</f>
        <v>260</v>
      </c>
      <c r="CS40" s="85">
        <f>'[1]December - 2022'!CU40</f>
        <v>260</v>
      </c>
      <c r="CT40" s="85">
        <f>'[1]December - 2022'!CW40</f>
        <v>698665</v>
      </c>
      <c r="CU40" s="172">
        <f>'[1]December - 2022'!CX40</f>
        <v>178</v>
      </c>
      <c r="CV40" s="423"/>
      <c r="CW40" s="234">
        <f>'[1]December - 2022'!CZ40</f>
        <v>9063</v>
      </c>
      <c r="CX40" s="179">
        <f>'[1]December - 2022'!DA40</f>
        <v>13</v>
      </c>
      <c r="CY40" s="235">
        <f>'[1]December - 2022'!DB40</f>
        <v>6152</v>
      </c>
      <c r="CZ40" s="179">
        <f>'[1]December - 2022'!DC40</f>
        <v>11</v>
      </c>
      <c r="DA40" s="235">
        <f>'[1]December - 2022'!DD40</f>
        <v>32506</v>
      </c>
      <c r="DB40" s="179">
        <f>'[1]December - 2022'!DE40</f>
        <v>24</v>
      </c>
      <c r="DC40" s="235">
        <f>'[1]December - 2022'!DF40</f>
        <v>32683</v>
      </c>
      <c r="DD40" s="179">
        <f>'[1]December - 2022'!DG40</f>
        <v>17</v>
      </c>
      <c r="DE40" s="235">
        <f>'[1]December - 2022'!DH40</f>
        <v>22093</v>
      </c>
      <c r="DF40" s="179">
        <f>'[1]December - 2022'!DI40</f>
        <v>13</v>
      </c>
      <c r="DG40" s="235">
        <f>'[1]December - 2022'!DJ40</f>
        <v>24185</v>
      </c>
      <c r="DH40" s="179">
        <f>'[1]December - 2022'!DK40</f>
        <v>6</v>
      </c>
      <c r="DI40" s="235">
        <f>'[1]December - 2022'!DL40</f>
        <v>7343</v>
      </c>
      <c r="DJ40" s="179">
        <f>'[1]December - 2022'!DM40</f>
        <v>16</v>
      </c>
      <c r="DK40" s="235">
        <f>'[1]December - 2022'!DN40</f>
        <v>9948</v>
      </c>
      <c r="DL40" s="179">
        <f>'[1]December - 2022'!DO40</f>
        <v>8</v>
      </c>
      <c r="DM40" s="235">
        <f>'[1]December - 2022'!DP40</f>
        <v>3360</v>
      </c>
      <c r="DN40" s="179">
        <f>'[1]December - 2022'!DQ40</f>
        <v>6</v>
      </c>
      <c r="DO40" s="235">
        <f>'[1]December - 2022'!DR40</f>
        <v>6638</v>
      </c>
      <c r="DP40" s="179">
        <f>'[1]December - 2022'!DS40</f>
        <v>10</v>
      </c>
      <c r="DQ40" s="235">
        <f>'[1]December - 2022'!DT40</f>
        <v>30380</v>
      </c>
      <c r="DR40" s="186">
        <f>'[1]December - 2022'!DU40</f>
        <v>0</v>
      </c>
      <c r="DS40" s="408"/>
      <c r="DT40" s="190">
        <f>'[1]December - 2022'!DW40</f>
        <v>6580.2</v>
      </c>
      <c r="DU40" s="201">
        <f>'[1]December - 2022'!DX40</f>
        <v>11.899999999999636</v>
      </c>
      <c r="DV40" s="87">
        <f>'[1]December - 2022'!DY40</f>
        <v>11466.6</v>
      </c>
      <c r="DW40" s="195">
        <f>'[1]December - 2022'!DZ40</f>
        <v>8.5</v>
      </c>
      <c r="DX40" s="87">
        <f>'[1]December - 2022'!EA40</f>
        <v>4951.1000000000004</v>
      </c>
      <c r="DY40" s="195">
        <f>'[1]December - 2022'!EB40</f>
        <v>7.1000000000003638</v>
      </c>
      <c r="DZ40" s="87">
        <f>'[1]December - 2022'!EC40</f>
        <v>5530.6</v>
      </c>
      <c r="EA40" s="195">
        <f>'[1]December - 2022'!ED40</f>
        <v>8.4000000000005457</v>
      </c>
      <c r="EB40" s="87">
        <f>'[1]December - 2022'!EE40</f>
        <v>1139808</v>
      </c>
      <c r="EC40" s="195">
        <f>'[1]December - 2022'!EF40</f>
        <v>604</v>
      </c>
      <c r="ED40" s="87">
        <f>'[1]December - 2022'!EI40</f>
        <v>234781.9</v>
      </c>
      <c r="EE40" s="208">
        <f>'[1]December - 2022'!EJ40</f>
        <v>136.89999999999418</v>
      </c>
      <c r="EF40" s="347"/>
      <c r="EG40" s="214">
        <f>'[1]December - 2022'!EL40</f>
        <v>12217800</v>
      </c>
      <c r="EH40" s="209">
        <f>'[1]December - 2022'!EM40</f>
        <v>3800</v>
      </c>
      <c r="EI40" s="86">
        <f>'[1]December - 2022'!EN40</f>
        <v>939210</v>
      </c>
      <c r="EJ40" s="209">
        <f>'[1]December - 2022'!EO40</f>
        <v>270</v>
      </c>
      <c r="EK40" s="86">
        <f>'[1]December - 2022'!EP40</f>
        <v>7261800</v>
      </c>
      <c r="EL40" s="209">
        <f>'[1]December - 2022'!EQ40</f>
        <v>2000</v>
      </c>
      <c r="EM40" s="86">
        <f>'[1]December - 2022'!ER40</f>
        <v>2504400</v>
      </c>
      <c r="EN40" s="209">
        <f>'[1]December - 2022'!ES40</f>
        <v>200</v>
      </c>
      <c r="EO40" s="86">
        <f>'[1]December - 2022'!ET40</f>
        <v>1291970</v>
      </c>
      <c r="EP40" s="209">
        <f>'[1]December - 2022'!EU40</f>
        <v>640</v>
      </c>
      <c r="EQ40" s="86">
        <f>'[1]December - 2022'!EV40</f>
        <v>16681600</v>
      </c>
      <c r="ER40" s="209">
        <f>'[1]December - 2022'!EW40</f>
        <v>2900</v>
      </c>
      <c r="ES40" s="397"/>
      <c r="ET40" s="256">
        <f>'[1]December - 2022'!EY40</f>
        <v>42480</v>
      </c>
      <c r="EU40" s="253">
        <f>'[1]December - 2022'!EZ40</f>
        <v>18</v>
      </c>
      <c r="EV40" s="257">
        <f>'[1]December - 2022'!FA40</f>
        <v>37086</v>
      </c>
      <c r="EW40" s="253">
        <f>'[1]December - 2022'!FB40</f>
        <v>16</v>
      </c>
      <c r="EX40" s="257">
        <f>'[1]December - 2022'!FC40</f>
        <v>7748</v>
      </c>
      <c r="EY40" s="253">
        <f>'[1]December - 2022'!FD40</f>
        <v>11</v>
      </c>
      <c r="EZ40" s="257">
        <f>'[1]December - 2022'!FE40</f>
        <v>59602</v>
      </c>
      <c r="FA40" s="253">
        <f>'[1]December - 2022'!FF40</f>
        <v>18</v>
      </c>
      <c r="FB40" s="257">
        <f>'[1]December - 2022'!FG40</f>
        <v>50302</v>
      </c>
      <c r="FC40" s="254">
        <f>'[1]December - 2022'!FH40</f>
        <v>43</v>
      </c>
    </row>
    <row r="41" spans="1:160" s="29" customFormat="1" ht="14.25" customHeight="1" thickBot="1" x14ac:dyDescent="0.35">
      <c r="A41" s="511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3"/>
      <c r="U41" s="512"/>
      <c r="V41" s="512"/>
      <c r="W41" s="512"/>
      <c r="X41" s="512"/>
      <c r="Y41" s="512"/>
      <c r="Z41" s="512"/>
      <c r="AA41" s="512"/>
      <c r="AB41" s="512"/>
      <c r="AC41" s="512"/>
      <c r="AD41" s="512"/>
      <c r="AE41" s="512"/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4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5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423"/>
      <c r="CW41" s="425"/>
      <c r="CX41" s="425"/>
      <c r="CY41" s="425"/>
      <c r="CZ41" s="425"/>
      <c r="DA41" s="425"/>
      <c r="DB41" s="425"/>
      <c r="DC41" s="425"/>
      <c r="DD41" s="425"/>
      <c r="DE41" s="425"/>
      <c r="DF41" s="425"/>
      <c r="DG41" s="425"/>
      <c r="DH41" s="425"/>
      <c r="DI41" s="425"/>
      <c r="DJ41" s="425"/>
      <c r="DK41" s="425"/>
      <c r="DL41" s="425"/>
      <c r="DM41" s="425"/>
      <c r="DN41" s="425"/>
      <c r="DO41" s="425"/>
      <c r="DP41" s="425"/>
      <c r="DQ41" s="425"/>
      <c r="DR41" s="426"/>
      <c r="DS41" s="409"/>
      <c r="DT41" s="410"/>
      <c r="DU41" s="411"/>
      <c r="DV41" s="411"/>
      <c r="DW41" s="411"/>
      <c r="DX41" s="411"/>
      <c r="DY41" s="411"/>
      <c r="DZ41" s="411"/>
      <c r="EA41" s="411"/>
      <c r="EB41" s="411"/>
      <c r="EC41" s="411"/>
      <c r="ED41" s="411"/>
      <c r="EE41" s="412"/>
      <c r="EF41" s="348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397"/>
      <c r="ET41" s="402"/>
      <c r="EU41" s="402"/>
      <c r="EV41" s="402"/>
      <c r="EW41" s="402"/>
      <c r="EX41" s="402"/>
      <c r="EY41" s="402"/>
      <c r="EZ41" s="402"/>
      <c r="FA41" s="402"/>
      <c r="FB41" s="402"/>
      <c r="FC41" s="402"/>
      <c r="FD41" s="28"/>
    </row>
    <row r="42" spans="1:160" ht="28.5" customHeight="1" thickBot="1" x14ac:dyDescent="0.35">
      <c r="A42" s="491" t="s">
        <v>164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  <c r="T42" s="494"/>
      <c r="U42" s="497" t="s">
        <v>165</v>
      </c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8"/>
      <c r="AZ42" s="499" t="s">
        <v>166</v>
      </c>
      <c r="BA42" s="500"/>
      <c r="BB42" s="500"/>
      <c r="BC42" s="500"/>
      <c r="BD42" s="500"/>
      <c r="BE42" s="500"/>
      <c r="BF42" s="500"/>
      <c r="BG42" s="500"/>
      <c r="BH42" s="501"/>
      <c r="BI42" s="502"/>
      <c r="BJ42" s="503"/>
      <c r="BK42" s="503"/>
      <c r="BL42" s="503"/>
      <c r="BM42" s="503"/>
      <c r="BN42" s="503"/>
      <c r="BO42" s="503"/>
      <c r="BP42" s="503"/>
      <c r="BQ42" s="503"/>
      <c r="BR42" s="504"/>
      <c r="BS42" s="505" t="s">
        <v>167</v>
      </c>
      <c r="BT42" s="506"/>
      <c r="BU42" s="30"/>
      <c r="BV42" s="341" t="s">
        <v>168</v>
      </c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3"/>
      <c r="CV42" s="423"/>
      <c r="CW42" s="507"/>
      <c r="CX42" s="508"/>
      <c r="CY42" s="508"/>
      <c r="CZ42" s="508"/>
      <c r="DA42" s="508"/>
      <c r="DB42" s="508"/>
      <c r="DC42" s="508"/>
      <c r="DD42" s="508"/>
      <c r="DE42" s="508"/>
      <c r="DF42" s="508"/>
      <c r="DG42" s="508"/>
      <c r="DH42" s="508"/>
      <c r="DI42" s="508"/>
      <c r="DJ42" s="508"/>
      <c r="DK42" s="508"/>
      <c r="DL42" s="508"/>
      <c r="DM42" s="508"/>
      <c r="DN42" s="508"/>
      <c r="DO42" s="508"/>
      <c r="DP42" s="508"/>
      <c r="DQ42" s="508"/>
      <c r="DR42" s="509"/>
      <c r="DS42" s="409"/>
      <c r="DT42" s="9"/>
      <c r="DU42" s="161" t="s">
        <v>169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48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397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510" t="s">
        <v>170</v>
      </c>
      <c r="B43" s="510"/>
      <c r="C43" s="529" t="s">
        <v>171</v>
      </c>
      <c r="D43" s="529"/>
      <c r="E43" s="530"/>
      <c r="F43" s="528" t="s">
        <v>172</v>
      </c>
      <c r="G43" s="529"/>
      <c r="H43" s="530"/>
      <c r="I43" s="531" t="s">
        <v>173</v>
      </c>
      <c r="J43" s="531"/>
      <c r="K43" s="531" t="s">
        <v>174</v>
      </c>
      <c r="L43" s="531"/>
      <c r="M43" s="531"/>
      <c r="N43" s="531"/>
      <c r="O43" s="528" t="s">
        <v>175</v>
      </c>
      <c r="P43" s="529"/>
      <c r="Q43" s="529"/>
      <c r="R43" s="529"/>
      <c r="S43" s="529"/>
      <c r="T43" s="495"/>
      <c r="U43" s="528" t="s">
        <v>176</v>
      </c>
      <c r="V43" s="529"/>
      <c r="W43" s="530"/>
      <c r="X43" s="528" t="s">
        <v>177</v>
      </c>
      <c r="Y43" s="529"/>
      <c r="Z43" s="530"/>
      <c r="AA43" s="528" t="s">
        <v>178</v>
      </c>
      <c r="AB43" s="529"/>
      <c r="AC43" s="530"/>
      <c r="AD43" s="528" t="s">
        <v>179</v>
      </c>
      <c r="AE43" s="529"/>
      <c r="AF43" s="530"/>
      <c r="AG43" s="528" t="s">
        <v>180</v>
      </c>
      <c r="AH43" s="529"/>
      <c r="AI43" s="530"/>
      <c r="AJ43" s="528" t="s">
        <v>181</v>
      </c>
      <c r="AK43" s="529"/>
      <c r="AL43" s="530"/>
      <c r="AM43" s="528" t="s">
        <v>182</v>
      </c>
      <c r="AN43" s="529"/>
      <c r="AO43" s="530"/>
      <c r="AP43" s="528" t="s">
        <v>183</v>
      </c>
      <c r="AQ43" s="529"/>
      <c r="AR43" s="530"/>
      <c r="AS43" s="528" t="s">
        <v>184</v>
      </c>
      <c r="AT43" s="529"/>
      <c r="AU43" s="530"/>
      <c r="AV43" s="528" t="s">
        <v>185</v>
      </c>
      <c r="AW43" s="529"/>
      <c r="AX43" s="529"/>
      <c r="AY43" s="554"/>
      <c r="AZ43" s="344" t="s">
        <v>186</v>
      </c>
      <c r="BA43" s="345"/>
      <c r="BB43" s="345"/>
      <c r="BC43" s="345" t="s">
        <v>187</v>
      </c>
      <c r="BD43" s="345"/>
      <c r="BE43" s="345"/>
      <c r="BF43" s="345" t="s">
        <v>188</v>
      </c>
      <c r="BG43" s="345"/>
      <c r="BH43" s="345"/>
      <c r="BI43" s="533"/>
      <c r="BJ43" s="534"/>
      <c r="BK43" s="533"/>
      <c r="BL43" s="534"/>
      <c r="BM43" s="533"/>
      <c r="BN43" s="534"/>
      <c r="BO43" s="533"/>
      <c r="BP43" s="534"/>
      <c r="BQ43" s="533"/>
      <c r="BR43" s="534"/>
      <c r="BS43" s="533" t="s">
        <v>189</v>
      </c>
      <c r="BT43" s="534"/>
      <c r="BU43" s="535"/>
      <c r="BV43" s="536" t="s">
        <v>110</v>
      </c>
      <c r="BW43" s="537"/>
      <c r="BX43" s="91"/>
      <c r="BY43" s="538" t="s">
        <v>111</v>
      </c>
      <c r="BZ43" s="538"/>
      <c r="CA43" s="427" t="s">
        <v>112</v>
      </c>
      <c r="CB43" s="428"/>
      <c r="CC43" s="427" t="s">
        <v>113</v>
      </c>
      <c r="CD43" s="428"/>
      <c r="CE43" s="427" t="s">
        <v>114</v>
      </c>
      <c r="CF43" s="428"/>
      <c r="CG43" s="427" t="s">
        <v>115</v>
      </c>
      <c r="CH43" s="428"/>
      <c r="CI43" s="427" t="s">
        <v>116</v>
      </c>
      <c r="CJ43" s="428"/>
      <c r="CK43" s="429" t="s">
        <v>117</v>
      </c>
      <c r="CL43" s="430"/>
      <c r="CM43" s="431"/>
      <c r="CN43" s="541" t="s">
        <v>118</v>
      </c>
      <c r="CO43" s="542"/>
      <c r="CP43" s="543"/>
      <c r="CQ43" s="429" t="s">
        <v>190</v>
      </c>
      <c r="CR43" s="430"/>
      <c r="CS43" s="431"/>
      <c r="CT43" s="549" t="s">
        <v>191</v>
      </c>
      <c r="CU43" s="550"/>
      <c r="CV43" s="423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09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48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397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516" t="s">
        <v>192</v>
      </c>
      <c r="B44" s="516"/>
      <c r="C44" s="517">
        <f>SUM(E9:E24)</f>
        <v>10438</v>
      </c>
      <c r="D44" s="518"/>
      <c r="E44" s="519"/>
      <c r="F44" s="520">
        <f>SUM(H9:H24)</f>
        <v>6583</v>
      </c>
      <c r="G44" s="521"/>
      <c r="H44" s="522"/>
      <c r="I44" s="520"/>
      <c r="J44" s="522"/>
      <c r="K44" s="523"/>
      <c r="L44" s="524"/>
      <c r="M44" s="525"/>
      <c r="N44" s="525"/>
      <c r="O44" s="520">
        <f>SUM(Q9:Q24)</f>
        <v>1333.0399999999936</v>
      </c>
      <c r="P44" s="521"/>
      <c r="Q44" s="522"/>
      <c r="R44" s="526"/>
      <c r="S44" s="527"/>
      <c r="T44" s="495"/>
      <c r="U44" s="332">
        <f>SUM(W9:W24)</f>
        <v>35078.399999999441</v>
      </c>
      <c r="V44" s="333"/>
      <c r="W44" s="334"/>
      <c r="X44" s="332">
        <f>SUM(Z9:Z24)</f>
        <v>67818.240000000224</v>
      </c>
      <c r="Y44" s="333"/>
      <c r="Z44" s="334"/>
      <c r="AA44" s="332">
        <f>SUM(AC9:AC24)</f>
        <v>61143.599999999627</v>
      </c>
      <c r="AB44" s="333"/>
      <c r="AC44" s="334"/>
      <c r="AD44" s="332">
        <f>SUM(AF9:AF24)</f>
        <v>82044.480000000447</v>
      </c>
      <c r="AE44" s="333"/>
      <c r="AF44" s="334"/>
      <c r="AG44" s="332">
        <f>SUM(AI9:AI24)</f>
        <v>29426.879999998957</v>
      </c>
      <c r="AH44" s="333"/>
      <c r="AI44" s="334"/>
      <c r="AJ44" s="332">
        <f>SUM(AL9:AL24)</f>
        <v>85308.719999998808</v>
      </c>
      <c r="AK44" s="333"/>
      <c r="AL44" s="334"/>
      <c r="AM44" s="332">
        <f>SUM(AO9:AO24)</f>
        <v>64115.519999999553</v>
      </c>
      <c r="AN44" s="333"/>
      <c r="AO44" s="334"/>
      <c r="AP44" s="332">
        <f>SUM(AR9:AR24)</f>
        <v>67915.680000001565</v>
      </c>
      <c r="AQ44" s="333"/>
      <c r="AR44" s="334"/>
      <c r="AS44" s="332">
        <f>SUM(AU9:AU24)</f>
        <v>47063.519999999553</v>
      </c>
      <c r="AT44" s="333"/>
      <c r="AU44" s="334"/>
      <c r="AV44" s="332">
        <f>SUM(AX9:AX24)</f>
        <v>86088.239999998361</v>
      </c>
      <c r="AW44" s="333"/>
      <c r="AX44" s="333"/>
      <c r="AY44" s="554"/>
      <c r="AZ44" s="333">
        <f>SUM(BB9:BB24)</f>
        <v>292100</v>
      </c>
      <c r="BA44" s="333"/>
      <c r="BB44" s="333"/>
      <c r="BC44" s="332">
        <f>SUM(BE9:BE24)</f>
        <v>430900</v>
      </c>
      <c r="BD44" s="333"/>
      <c r="BE44" s="333"/>
      <c r="BF44" s="327">
        <f>SUM(BH9:BH24)</f>
        <v>133400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35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1071</v>
      </c>
      <c r="CL44" s="327"/>
      <c r="CM44" s="327"/>
      <c r="CN44" s="327">
        <f>SUM(CP9:CP24)</f>
        <v>1550</v>
      </c>
      <c r="CO44" s="327"/>
      <c r="CP44" s="327"/>
      <c r="CQ44" s="327">
        <f>SUM(CS9:CS24)</f>
        <v>3066</v>
      </c>
      <c r="CR44" s="327"/>
      <c r="CS44" s="327"/>
      <c r="CT44" s="96"/>
      <c r="CU44" s="177"/>
      <c r="CV44" s="423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09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48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397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328" t="s">
        <v>193</v>
      </c>
      <c r="B45" s="328"/>
      <c r="C45" s="329">
        <f>SUM(D9:D24)</f>
        <v>10259</v>
      </c>
      <c r="D45" s="329"/>
      <c r="E45" s="330"/>
      <c r="F45" s="329">
        <f>SUM(G9:G24)</f>
        <v>6238</v>
      </c>
      <c r="G45" s="329"/>
      <c r="H45" s="330"/>
      <c r="I45" s="331"/>
      <c r="J45" s="331"/>
      <c r="K45" s="331"/>
      <c r="L45" s="331"/>
      <c r="M45" s="331"/>
      <c r="N45" s="331"/>
      <c r="O45" s="329">
        <f>SUM(P9:P24)</f>
        <v>1617</v>
      </c>
      <c r="P45" s="329"/>
      <c r="Q45" s="330"/>
      <c r="R45" s="335"/>
      <c r="S45" s="336"/>
      <c r="T45" s="496"/>
      <c r="U45" s="320">
        <f>SUM(V9:V24)</f>
        <v>35078.399999999441</v>
      </c>
      <c r="V45" s="320"/>
      <c r="W45" s="321"/>
      <c r="X45" s="320">
        <f>SUM(Y9:Y24)</f>
        <v>67818.240000000224</v>
      </c>
      <c r="Y45" s="320"/>
      <c r="Z45" s="321"/>
      <c r="AA45" s="320">
        <f>SUM(AB9:AB24)</f>
        <v>61143.599999999627</v>
      </c>
      <c r="AB45" s="320"/>
      <c r="AC45" s="321"/>
      <c r="AD45" s="320">
        <f>SUM(AE9:AE24)</f>
        <v>82044.480000000447</v>
      </c>
      <c r="AE45" s="320"/>
      <c r="AF45" s="321"/>
      <c r="AG45" s="320">
        <f>SUM(AH9:AH24)</f>
        <v>29426.879999998957</v>
      </c>
      <c r="AH45" s="320"/>
      <c r="AI45" s="321"/>
      <c r="AJ45" s="320">
        <f>SUM(AK9:AK24)</f>
        <v>85308.719999998808</v>
      </c>
      <c r="AK45" s="320"/>
      <c r="AL45" s="321"/>
      <c r="AM45" s="320">
        <f>SUM(AN9:AN24)</f>
        <v>64115.519999999553</v>
      </c>
      <c r="AN45" s="320"/>
      <c r="AO45" s="321"/>
      <c r="AP45" s="320">
        <f>SUM(AQ9:AQ24)</f>
        <v>67915.680000001565</v>
      </c>
      <c r="AQ45" s="320"/>
      <c r="AR45" s="321"/>
      <c r="AS45" s="320">
        <f>SUM(AT9:AT24)</f>
        <v>47063.519999999553</v>
      </c>
      <c r="AT45" s="320"/>
      <c r="AU45" s="321"/>
      <c r="AV45" s="320">
        <f>SUM(AW9:AW24)</f>
        <v>86088.239999998361</v>
      </c>
      <c r="AW45" s="320"/>
      <c r="AX45" s="320"/>
      <c r="AY45" s="554"/>
      <c r="AZ45" s="321">
        <f>SUM(BA9:BA24)</f>
        <v>292100</v>
      </c>
      <c r="BA45" s="327"/>
      <c r="BB45" s="327"/>
      <c r="BC45" s="327">
        <f>SUM(BD9:BD24)</f>
        <v>430900</v>
      </c>
      <c r="BD45" s="327"/>
      <c r="BE45" s="327"/>
      <c r="BF45" s="327">
        <f>SUM(BG9:BG24)</f>
        <v>133400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35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1071</v>
      </c>
      <c r="CL45" s="327"/>
      <c r="CM45" s="327"/>
      <c r="CN45" s="327">
        <f>SUM(CO9:CO24)</f>
        <v>1550</v>
      </c>
      <c r="CO45" s="327"/>
      <c r="CP45" s="327"/>
      <c r="CQ45" s="327">
        <f>SUM(CR9:CR24)</f>
        <v>3066</v>
      </c>
      <c r="CR45" s="327"/>
      <c r="CS45" s="327"/>
      <c r="CT45" s="101"/>
      <c r="CU45" s="178"/>
      <c r="CV45" s="423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09"/>
      <c r="DT45" s="551" t="s">
        <v>194</v>
      </c>
      <c r="DU45" s="552"/>
      <c r="DV45" s="552"/>
      <c r="DW45" s="552"/>
      <c r="DX45" s="552"/>
      <c r="DY45" s="552"/>
      <c r="DZ45" s="552"/>
      <c r="EA45" s="552"/>
      <c r="EB45" s="552"/>
      <c r="EC45" s="552"/>
      <c r="ED45" s="552"/>
      <c r="EE45" s="552"/>
      <c r="EF45" s="552"/>
      <c r="EG45" s="552"/>
      <c r="EH45" s="552"/>
      <c r="EI45" s="552"/>
      <c r="EJ45" s="553"/>
      <c r="EK45" s="532"/>
      <c r="EL45" s="532"/>
      <c r="EM45" s="532"/>
      <c r="EN45" s="532"/>
      <c r="EO45" s="532"/>
      <c r="EP45" s="532"/>
      <c r="EQ45" s="532"/>
      <c r="ER45" s="532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195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4"/>
      <c r="AZ46" s="325">
        <f>AZ44-AZ45</f>
        <v>0</v>
      </c>
      <c r="BA46" s="326"/>
      <c r="BB46" s="326"/>
      <c r="BC46" s="325">
        <f>BC45-BC44</f>
        <v>0</v>
      </c>
      <c r="BD46" s="326"/>
      <c r="BE46" s="326"/>
      <c r="BF46" s="325">
        <f>BF45-BF44</f>
        <v>0</v>
      </c>
      <c r="BG46" s="326"/>
      <c r="BH46" s="32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35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40"/>
      <c r="CV46" s="423"/>
    </row>
    <row r="47" spans="1:160" ht="33.75" customHeight="1" x14ac:dyDescent="0.25">
      <c r="A47" s="544" t="s">
        <v>196</v>
      </c>
      <c r="B47" s="544"/>
      <c r="C47" s="545">
        <f>SUM(E9:E39)</f>
        <v>21843</v>
      </c>
      <c r="D47" s="546"/>
      <c r="E47" s="547"/>
      <c r="F47" s="545">
        <f>SUM(H9:H39)</f>
        <v>13803</v>
      </c>
      <c r="G47" s="546"/>
      <c r="H47" s="547"/>
      <c r="I47" s="548">
        <v>7048.9</v>
      </c>
      <c r="J47" s="548"/>
      <c r="K47" s="548">
        <v>7702.2000000000116</v>
      </c>
      <c r="L47" s="548"/>
      <c r="M47" s="548"/>
      <c r="N47" s="548"/>
      <c r="O47" s="548">
        <f>SUM(Q9:Q39)</f>
        <v>2668.2599999999948</v>
      </c>
      <c r="P47" s="548"/>
      <c r="Q47" s="548"/>
      <c r="R47" s="545">
        <v>476</v>
      </c>
      <c r="S47" s="546"/>
      <c r="T47" s="555"/>
      <c r="U47" s="319">
        <f>SUM(W9:W39)</f>
        <v>76051.919999998994</v>
      </c>
      <c r="V47" s="320"/>
      <c r="W47" s="321"/>
      <c r="X47" s="319">
        <f>SUM(Z9:Z39)</f>
        <v>135198</v>
      </c>
      <c r="Y47" s="320"/>
      <c r="Z47" s="321"/>
      <c r="AA47" s="319">
        <f>SUM(AC9:AC39)</f>
        <v>75710.88000000082</v>
      </c>
      <c r="AB47" s="320"/>
      <c r="AC47" s="321"/>
      <c r="AD47" s="319">
        <f>SUM(AF9:AF39)</f>
        <v>145965.12000000104</v>
      </c>
      <c r="AE47" s="320"/>
      <c r="AF47" s="321"/>
      <c r="AG47" s="319">
        <f>SUM(AI9:AI39)</f>
        <v>86721.599999997765</v>
      </c>
      <c r="AH47" s="320"/>
      <c r="AI47" s="321"/>
      <c r="AJ47" s="319">
        <f>SUM(AL9:AL39)</f>
        <v>167401.91999999806</v>
      </c>
      <c r="AK47" s="320"/>
      <c r="AL47" s="321"/>
      <c r="AM47" s="319">
        <f>SUM(AO9:AO39)</f>
        <v>127305.3599999994</v>
      </c>
      <c r="AN47" s="320"/>
      <c r="AO47" s="321"/>
      <c r="AP47" s="319">
        <f>SUM(AR9:AR39)</f>
        <v>137292.96000000089</v>
      </c>
      <c r="AQ47" s="320"/>
      <c r="AR47" s="321"/>
      <c r="AS47" s="319">
        <f>SUM(AU9:AU39)</f>
        <v>92373.11999999918</v>
      </c>
      <c r="AT47" s="320"/>
      <c r="AU47" s="321"/>
      <c r="AV47" s="319">
        <f>SUM(AX9:AX39)</f>
        <v>171007.20000000298</v>
      </c>
      <c r="AW47" s="320"/>
      <c r="AX47" s="320"/>
      <c r="AY47" s="554"/>
      <c r="AZ47" s="305">
        <v>347300</v>
      </c>
      <c r="BA47" s="305"/>
      <c r="BB47" s="306"/>
      <c r="BC47" s="313">
        <v>361100</v>
      </c>
      <c r="BD47" s="305"/>
      <c r="BE47" s="306"/>
      <c r="BF47" s="313">
        <v>558842</v>
      </c>
      <c r="BG47" s="305"/>
      <c r="BH47" s="306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4">
        <v>131110</v>
      </c>
      <c r="BT47" s="315"/>
      <c r="BU47" s="535"/>
      <c r="BV47" s="316"/>
      <c r="BW47" s="316"/>
      <c r="BX47" s="108"/>
      <c r="BY47" s="317">
        <v>718</v>
      </c>
      <c r="BZ47" s="318"/>
      <c r="CA47" s="317">
        <v>719</v>
      </c>
      <c r="CB47" s="318"/>
      <c r="CC47" s="317">
        <v>234</v>
      </c>
      <c r="CD47" s="318"/>
      <c r="CE47" s="317">
        <v>265</v>
      </c>
      <c r="CF47" s="318"/>
      <c r="CG47" s="317">
        <v>368</v>
      </c>
      <c r="CH47" s="318"/>
      <c r="CI47" s="317">
        <v>820</v>
      </c>
      <c r="CJ47" s="318"/>
      <c r="CK47" s="319">
        <f>SUM(CM9:CM39)</f>
        <v>2164</v>
      </c>
      <c r="CL47" s="320"/>
      <c r="CM47" s="321"/>
      <c r="CN47" s="319">
        <f>SUM(CP9:CP39)</f>
        <v>3241</v>
      </c>
      <c r="CO47" s="320"/>
      <c r="CP47" s="321"/>
      <c r="CQ47" s="319">
        <f>SUM(CS9:CS39)</f>
        <v>6778</v>
      </c>
      <c r="CR47" s="320"/>
      <c r="CS47" s="321"/>
      <c r="CT47" s="307">
        <v>3894</v>
      </c>
      <c r="CU47" s="308"/>
      <c r="CV47" s="423"/>
      <c r="DJ47" s="4">
        <v>487.2</v>
      </c>
    </row>
    <row r="48" spans="1:160" ht="30" customHeight="1" x14ac:dyDescent="0.25">
      <c r="A48" s="560" t="s">
        <v>197</v>
      </c>
      <c r="B48" s="560"/>
      <c r="C48" s="545">
        <f>SUM(D10:D39)</f>
        <v>19276</v>
      </c>
      <c r="D48" s="546"/>
      <c r="E48" s="547"/>
      <c r="F48" s="545">
        <f>SUM(G9:G39)</f>
        <v>13422</v>
      </c>
      <c r="G48" s="546"/>
      <c r="H48" s="547"/>
      <c r="I48" s="545">
        <f>SUM(J10:J39)</f>
        <v>4156</v>
      </c>
      <c r="J48" s="547"/>
      <c r="K48" s="545">
        <f>SUM(L9:L39)</f>
        <v>5519</v>
      </c>
      <c r="L48" s="547"/>
      <c r="M48" s="545"/>
      <c r="N48" s="547"/>
      <c r="O48" s="545">
        <f>SUM(P9:P39)</f>
        <v>2902</v>
      </c>
      <c r="P48" s="546"/>
      <c r="Q48" s="547"/>
      <c r="R48" s="545">
        <f>SUM(S9:S39)</f>
        <v>274</v>
      </c>
      <c r="S48" s="546"/>
      <c r="T48" s="555"/>
      <c r="U48" s="556">
        <f>SUM(V9:V39)</f>
        <v>76051.919999998994</v>
      </c>
      <c r="V48" s="557"/>
      <c r="W48" s="558"/>
      <c r="X48" s="556">
        <f>SUM(Y9:Y39)</f>
        <v>135198</v>
      </c>
      <c r="Y48" s="557"/>
      <c r="Z48" s="558"/>
      <c r="AA48" s="309">
        <f>SUM(AB9:AB39)</f>
        <v>75710.88000000082</v>
      </c>
      <c r="AB48" s="310"/>
      <c r="AC48" s="311"/>
      <c r="AD48" s="309">
        <f>SUM(AE9:AE39)</f>
        <v>145965.12000000104</v>
      </c>
      <c r="AE48" s="310"/>
      <c r="AF48" s="311"/>
      <c r="AG48" s="309">
        <f>SUM(AH9:AH39)</f>
        <v>86721.599999997765</v>
      </c>
      <c r="AH48" s="310"/>
      <c r="AI48" s="311"/>
      <c r="AJ48" s="309">
        <f>SUM(AK9:AK39)</f>
        <v>167401.91999999806</v>
      </c>
      <c r="AK48" s="310"/>
      <c r="AL48" s="311"/>
      <c r="AM48" s="309">
        <f>SUM(AN9:AN39)</f>
        <v>127305.3599999994</v>
      </c>
      <c r="AN48" s="310"/>
      <c r="AO48" s="311"/>
      <c r="AP48" s="309">
        <f>SUM(AQ9:AQ39)</f>
        <v>137292.96000000089</v>
      </c>
      <c r="AQ48" s="310"/>
      <c r="AR48" s="311"/>
      <c r="AS48" s="309">
        <f>SUM(AT9:AT39)</f>
        <v>92373.11999999918</v>
      </c>
      <c r="AT48" s="310"/>
      <c r="AU48" s="311"/>
      <c r="AV48" s="309">
        <f>SUM(AW9:AW39)</f>
        <v>171007.20000000298</v>
      </c>
      <c r="AW48" s="310"/>
      <c r="AX48" s="310"/>
      <c r="AY48" s="554"/>
      <c r="AZ48" s="305">
        <f>SUM(BA9:BA40)</f>
        <v>389800</v>
      </c>
      <c r="BA48" s="305"/>
      <c r="BB48" s="306"/>
      <c r="BC48" s="305">
        <f t="shared" ref="BC48" si="0">SUM(BD9:BD40)</f>
        <v>735400</v>
      </c>
      <c r="BD48" s="305"/>
      <c r="BE48" s="306"/>
      <c r="BF48" s="305">
        <f t="shared" ref="BF48" si="1">SUM(BG9:BG40)</f>
        <v>455300</v>
      </c>
      <c r="BG48" s="305"/>
      <c r="BH48" s="306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2">
        <f>SUM(BT9:BT39)</f>
        <v>198748</v>
      </c>
      <c r="BT48" s="312"/>
      <c r="BU48" s="535"/>
      <c r="BV48" s="322"/>
      <c r="BW48" s="323"/>
      <c r="BX48" s="111"/>
      <c r="BY48" s="317">
        <f>SUM(BZ9:BZ39)</f>
        <v>588</v>
      </c>
      <c r="BZ48" s="318"/>
      <c r="CA48" s="317">
        <f>SUM(CB9:CB39)</f>
        <v>568</v>
      </c>
      <c r="CB48" s="318"/>
      <c r="CC48" s="317">
        <f>SUM(CD9:CD39)</f>
        <v>193</v>
      </c>
      <c r="CD48" s="318"/>
      <c r="CE48" s="317">
        <f>SUM(CF9:CF39)</f>
        <v>316</v>
      </c>
      <c r="CF48" s="318"/>
      <c r="CG48" s="317">
        <f>SUM(CH9:CH39)</f>
        <v>429</v>
      </c>
      <c r="CH48" s="318"/>
      <c r="CI48" s="317">
        <f>SUM(CJ9:CJ39)</f>
        <v>999</v>
      </c>
      <c r="CJ48" s="318"/>
      <c r="CK48" s="317">
        <f>SUM(CL9:CL39)</f>
        <v>2164</v>
      </c>
      <c r="CL48" s="324"/>
      <c r="CM48" s="318"/>
      <c r="CN48" s="317">
        <f>SUM(CO9:CO39)</f>
        <v>3241</v>
      </c>
      <c r="CO48" s="324"/>
      <c r="CP48" s="318"/>
      <c r="CQ48" s="317">
        <f>SUM(CR9:CR39)</f>
        <v>6778</v>
      </c>
      <c r="CR48" s="324"/>
      <c r="CS48" s="318"/>
      <c r="CT48" s="317">
        <f>SUM(CU9:CU39)</f>
        <v>5050</v>
      </c>
      <c r="CU48" s="324"/>
      <c r="CV48" s="423"/>
    </row>
    <row r="49" spans="1:159" ht="30" customHeight="1" x14ac:dyDescent="0.25">
      <c r="A49" s="271" t="s">
        <v>195</v>
      </c>
      <c r="B49" s="271"/>
      <c r="C49" s="272">
        <f>C47-C48</f>
        <v>2567</v>
      </c>
      <c r="D49" s="273"/>
      <c r="E49" s="274"/>
      <c r="F49" s="272">
        <f>F47-F48</f>
        <v>381</v>
      </c>
      <c r="G49" s="273"/>
      <c r="H49" s="274"/>
      <c r="I49" s="272">
        <f>I47-I48</f>
        <v>2892.8999999999996</v>
      </c>
      <c r="J49" s="274"/>
      <c r="K49" s="272">
        <f>K47-K48</f>
        <v>2183.2000000000116</v>
      </c>
      <c r="L49" s="274"/>
      <c r="M49" s="272"/>
      <c r="N49" s="274"/>
      <c r="O49" s="559">
        <f>O47-O48</f>
        <v>-233.74000000000524</v>
      </c>
      <c r="P49" s="559"/>
      <c r="Q49" s="559"/>
      <c r="R49" s="272">
        <f>R47-R48</f>
        <v>202</v>
      </c>
      <c r="S49" s="273"/>
      <c r="T49" s="555"/>
      <c r="U49" s="269">
        <f>U48-U47</f>
        <v>0</v>
      </c>
      <c r="V49" s="270"/>
      <c r="W49" s="561"/>
      <c r="X49" s="269">
        <f>X47-X48</f>
        <v>0</v>
      </c>
      <c r="Y49" s="270"/>
      <c r="Z49" s="561"/>
      <c r="AA49" s="269">
        <f>AA47-AA48</f>
        <v>0</v>
      </c>
      <c r="AB49" s="270"/>
      <c r="AC49" s="561"/>
      <c r="AD49" s="269">
        <f>AD47-AD48</f>
        <v>0</v>
      </c>
      <c r="AE49" s="270"/>
      <c r="AF49" s="561"/>
      <c r="AG49" s="269">
        <f>AG47-AG48</f>
        <v>0</v>
      </c>
      <c r="AH49" s="270"/>
      <c r="AI49" s="561"/>
      <c r="AJ49" s="269">
        <f>AJ47-AJ48</f>
        <v>0</v>
      </c>
      <c r="AK49" s="270"/>
      <c r="AL49" s="561"/>
      <c r="AM49" s="269">
        <f>AM47-AM48</f>
        <v>0</v>
      </c>
      <c r="AN49" s="270"/>
      <c r="AO49" s="561"/>
      <c r="AP49" s="269">
        <f>AP47-AP48</f>
        <v>0</v>
      </c>
      <c r="AQ49" s="270"/>
      <c r="AR49" s="561"/>
      <c r="AS49" s="269">
        <f>AS47-AS48</f>
        <v>0</v>
      </c>
      <c r="AT49" s="270"/>
      <c r="AU49" s="561"/>
      <c r="AV49" s="269">
        <f>AV47-AV48</f>
        <v>0</v>
      </c>
      <c r="AW49" s="270"/>
      <c r="AX49" s="270"/>
      <c r="AY49" s="554"/>
      <c r="AZ49" s="305">
        <f>AZ48-AZ47</f>
        <v>42500</v>
      </c>
      <c r="BA49" s="305"/>
      <c r="BB49" s="306"/>
      <c r="BC49" s="305">
        <f t="shared" ref="BC49" si="2">BC48-BC47</f>
        <v>374300</v>
      </c>
      <c r="BD49" s="305"/>
      <c r="BE49" s="306"/>
      <c r="BF49" s="305">
        <f t="shared" ref="BF49" si="3">BF48-BF47</f>
        <v>-103542</v>
      </c>
      <c r="BG49" s="305"/>
      <c r="BH49" s="306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3"/>
      <c r="BT49" s="306"/>
      <c r="BU49" s="535"/>
      <c r="BV49" s="297"/>
      <c r="BW49" s="30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76">
        <f>CK47-CK48</f>
        <v>0</v>
      </c>
      <c r="CL49" s="562"/>
      <c r="CM49" s="563"/>
      <c r="CN49" s="276">
        <f>CN47-CN48</f>
        <v>0</v>
      </c>
      <c r="CO49" s="562"/>
      <c r="CP49" s="563"/>
      <c r="CQ49" s="276">
        <f>CQ47-CQ48</f>
        <v>0</v>
      </c>
      <c r="CR49" s="562"/>
      <c r="CS49" s="563"/>
      <c r="CT49" s="275">
        <f>CT47-CT48</f>
        <v>-1156</v>
      </c>
      <c r="CU49" s="276"/>
      <c r="CV49" s="423"/>
    </row>
    <row r="50" spans="1:159" ht="31.5" customHeight="1" thickBot="1" x14ac:dyDescent="0.3">
      <c r="A50" s="277" t="s">
        <v>198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8" t="s">
        <v>199</v>
      </c>
      <c r="V50" s="279"/>
      <c r="W50" s="279"/>
      <c r="X50" s="279"/>
      <c r="Y50" s="279"/>
      <c r="Z50" s="280"/>
      <c r="AA50" s="281">
        <f>SUM(U47,X47,AA47,AD47,AG47,AJ47,AM47,AP47,AS47,AV47)</f>
        <v>1215028.0799999991</v>
      </c>
      <c r="AB50" s="282"/>
      <c r="AC50" s="282"/>
      <c r="AD50" s="282"/>
      <c r="AE50" s="282"/>
      <c r="AF50" s="283"/>
      <c r="AG50" s="284" t="s">
        <v>200</v>
      </c>
      <c r="AH50" s="285"/>
      <c r="AI50" s="285"/>
      <c r="AJ50" s="285"/>
      <c r="AK50" s="285"/>
      <c r="AL50" s="286"/>
      <c r="AM50" s="287">
        <f>SUM(U48,X48,AA48,AD48,AG48,AJ48,AM48,AP48,AS48,AV48)</f>
        <v>1215028.0799999991</v>
      </c>
      <c r="AN50" s="288"/>
      <c r="AO50" s="288"/>
      <c r="AP50" s="288"/>
      <c r="AQ50" s="288"/>
      <c r="AR50" s="289"/>
      <c r="AS50" s="290" t="s">
        <v>201</v>
      </c>
      <c r="AT50" s="291"/>
      <c r="AU50" s="292"/>
      <c r="AV50" s="290">
        <f>AA50-AM50</f>
        <v>0</v>
      </c>
      <c r="AW50" s="291"/>
      <c r="AX50" s="291"/>
      <c r="AY50" s="554"/>
      <c r="AZ50" s="293">
        <v>42751</v>
      </c>
      <c r="BA50" s="294"/>
      <c r="BB50" s="295"/>
      <c r="BC50" s="293">
        <v>43116</v>
      </c>
      <c r="BD50" s="294"/>
      <c r="BE50" s="295"/>
      <c r="BF50" s="298" t="s">
        <v>195</v>
      </c>
      <c r="BG50" s="299"/>
      <c r="BH50" s="30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1"/>
      <c r="BT50" s="302"/>
      <c r="BU50" s="535"/>
      <c r="BV50" s="297"/>
      <c r="BW50" s="30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297"/>
      <c r="CL50" s="304"/>
      <c r="CM50" s="303"/>
      <c r="CN50" s="297"/>
      <c r="CO50" s="304"/>
      <c r="CP50" s="303"/>
      <c r="CQ50" s="297"/>
      <c r="CR50" s="304"/>
      <c r="CS50" s="303"/>
      <c r="CT50" s="296"/>
      <c r="CU50" s="297"/>
      <c r="CV50" s="424"/>
    </row>
    <row r="51" spans="1:159" ht="27.75" customHeight="1" x14ac:dyDescent="0.3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34"/>
      <c r="U51" s="565" t="s">
        <v>202</v>
      </c>
      <c r="V51" s="566"/>
      <c r="W51" s="566"/>
      <c r="X51" s="566"/>
      <c r="Y51" s="566"/>
      <c r="Z51" s="567"/>
      <c r="AA51" s="281">
        <f>SUM(U44:AX44)</f>
        <v>626003.27999999654</v>
      </c>
      <c r="AB51" s="282"/>
      <c r="AC51" s="282"/>
      <c r="AD51" s="282"/>
      <c r="AE51" s="282"/>
      <c r="AF51" s="283"/>
      <c r="AG51" s="568" t="s">
        <v>203</v>
      </c>
      <c r="AH51" s="569"/>
      <c r="AI51" s="569"/>
      <c r="AJ51" s="569"/>
      <c r="AK51" s="569"/>
      <c r="AL51" s="570"/>
      <c r="AM51" s="571">
        <f>SUM(U45:AX45)</f>
        <v>626003.27999999654</v>
      </c>
      <c r="AN51" s="571"/>
      <c r="AO51" s="571"/>
      <c r="AP51" s="571"/>
      <c r="AQ51" s="571"/>
      <c r="AR51" s="571"/>
      <c r="AS51" s="290" t="s">
        <v>201</v>
      </c>
      <c r="AT51" s="291"/>
      <c r="AU51" s="292"/>
      <c r="AV51" s="290">
        <f>AA51-AM51</f>
        <v>0</v>
      </c>
      <c r="AW51" s="291"/>
      <c r="AX51" s="292"/>
      <c r="AY51" s="554"/>
      <c r="AZ51" s="298">
        <f>SUM(AZ47,BC47,BF47)</f>
        <v>1267242</v>
      </c>
      <c r="BA51" s="299"/>
      <c r="BB51" s="300"/>
      <c r="BC51" s="298">
        <f>SUM(AZ48:BG48)</f>
        <v>1580500</v>
      </c>
      <c r="BD51" s="299"/>
      <c r="BE51" s="300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1"/>
      <c r="BT51" s="302"/>
      <c r="BU51" s="535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574"/>
      <c r="B52" s="574"/>
      <c r="C52" s="574"/>
      <c r="D52" s="575"/>
      <c r="E52" s="575"/>
      <c r="F52" s="575"/>
      <c r="G52" s="576"/>
      <c r="H52" s="576"/>
      <c r="I52" s="576"/>
      <c r="J52" s="576"/>
      <c r="K52" s="117"/>
      <c r="L52" s="575"/>
      <c r="M52" s="575"/>
      <c r="N52" s="575"/>
      <c r="O52" s="575"/>
      <c r="P52" s="36"/>
      <c r="Q52" s="36"/>
      <c r="R52" s="118"/>
      <c r="S52" s="37"/>
      <c r="T52" s="38"/>
      <c r="U52" s="577"/>
      <c r="V52" s="577"/>
      <c r="W52" s="39"/>
      <c r="X52" s="578"/>
      <c r="Y52" s="578"/>
      <c r="Z52" s="7"/>
      <c r="AA52" s="119"/>
      <c r="AY52" s="554"/>
    </row>
    <row r="53" spans="1:159" ht="25.5" customHeight="1" x14ac:dyDescent="0.25">
      <c r="A53" s="579">
        <v>487.2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79"/>
      <c r="AL53" s="579"/>
      <c r="AM53" s="579"/>
      <c r="AN53" s="579"/>
      <c r="AO53" s="579"/>
      <c r="AP53" s="579"/>
      <c r="AQ53" s="579"/>
      <c r="AR53" s="579"/>
      <c r="AS53" s="579"/>
      <c r="AT53" s="579"/>
      <c r="AU53" s="579"/>
      <c r="AV53" s="579"/>
      <c r="AW53" s="579"/>
      <c r="AX53" s="579"/>
      <c r="AY53" s="579"/>
      <c r="AZ53" s="579"/>
      <c r="BA53" s="579"/>
      <c r="BB53" s="579"/>
      <c r="BC53" s="579"/>
      <c r="BD53" s="579"/>
      <c r="BE53" s="579"/>
      <c r="BF53" s="579"/>
      <c r="BG53" s="579"/>
      <c r="BH53" s="579"/>
      <c r="BI53" s="579"/>
      <c r="BJ53" s="579"/>
      <c r="BK53" s="579"/>
      <c r="BL53" s="579"/>
      <c r="BM53" s="579"/>
      <c r="BN53" s="579"/>
      <c r="BO53" s="579"/>
      <c r="BP53" s="579"/>
      <c r="BQ53" s="579"/>
      <c r="BR53" s="579"/>
      <c r="BS53" s="579"/>
      <c r="BT53" s="579"/>
      <c r="BU53" s="579"/>
      <c r="BV53" s="579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  <c r="CQ53" s="579"/>
      <c r="CR53" s="579"/>
      <c r="CS53" s="579"/>
      <c r="CT53" s="579"/>
      <c r="CU53" s="579"/>
    </row>
    <row r="54" spans="1:159" s="1" customFormat="1" ht="12.75" customHeight="1" x14ac:dyDescent="0.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40"/>
      <c r="R54" s="40"/>
      <c r="S54" s="149"/>
      <c r="T54" s="38"/>
      <c r="U54" s="585"/>
      <c r="V54" s="585"/>
      <c r="W54" s="585"/>
      <c r="X54" s="585"/>
      <c r="Y54" s="585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583"/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6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4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4"/>
      <c r="AZ55" s="584"/>
      <c r="BA55" s="584"/>
      <c r="BB55" s="584"/>
      <c r="BC55" s="584"/>
      <c r="BD55" s="584"/>
      <c r="BE55" s="584"/>
      <c r="BF55" s="584"/>
      <c r="BG55" s="584"/>
      <c r="BH55" s="584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580"/>
      <c r="B56" s="580"/>
      <c r="C56" s="580"/>
      <c r="D56" s="580"/>
      <c r="E56" s="580"/>
      <c r="F56" s="580"/>
      <c r="G56" s="580"/>
      <c r="H56" s="580"/>
      <c r="I56" s="580"/>
      <c r="J56" s="593"/>
      <c r="K56" s="593"/>
      <c r="L56" s="593"/>
      <c r="M56" s="593"/>
      <c r="N56" s="580"/>
      <c r="O56" s="580"/>
      <c r="P56" s="580"/>
      <c r="Q56" s="580"/>
      <c r="R56" s="580"/>
      <c r="S56" s="580"/>
      <c r="T56" s="580"/>
      <c r="U56" s="580"/>
      <c r="V56" s="581">
        <v>487.2</v>
      </c>
      <c r="W56" s="581"/>
      <c r="X56" s="586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4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3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6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4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3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590"/>
      <c r="D58" s="143"/>
      <c r="E58" s="587"/>
      <c r="F58" s="45"/>
      <c r="G58" s="587"/>
      <c r="H58" s="46"/>
      <c r="I58" s="590"/>
      <c r="J58" s="146"/>
      <c r="K58" s="590"/>
      <c r="L58" s="48"/>
      <c r="M58" s="590"/>
      <c r="N58" s="146"/>
      <c r="O58" s="590"/>
      <c r="P58" s="146"/>
      <c r="Q58" s="587"/>
      <c r="R58" s="54"/>
      <c r="S58" s="47"/>
      <c r="T58" s="47"/>
      <c r="U58" s="54"/>
      <c r="V58" s="48"/>
      <c r="W58" s="587"/>
      <c r="X58" s="586"/>
      <c r="Y58" s="2"/>
      <c r="Z58" s="587"/>
      <c r="AB58" s="589"/>
      <c r="AC58" s="45"/>
      <c r="AD58" s="590"/>
      <c r="AE58" s="47"/>
      <c r="AF58" s="587"/>
      <c r="AG58" s="45"/>
      <c r="AH58" s="587"/>
      <c r="AI58" s="45"/>
      <c r="AJ58" s="590"/>
      <c r="AK58" s="584"/>
      <c r="AL58" s="49"/>
      <c r="AM58" s="590"/>
      <c r="AN58" s="153"/>
      <c r="AO58" s="587"/>
      <c r="AP58" s="50"/>
      <c r="AQ58" s="587"/>
      <c r="AS58" s="590"/>
      <c r="AT58" s="2"/>
      <c r="AU58" s="587"/>
      <c r="AV58" s="51"/>
      <c r="AW58" s="588"/>
      <c r="AX58" s="583"/>
      <c r="AY58" s="52"/>
      <c r="AZ58" s="590"/>
      <c r="BA58" s="160"/>
      <c r="BB58" s="587"/>
      <c r="BC58" s="53"/>
      <c r="BD58" s="592"/>
      <c r="BE58" s="53"/>
      <c r="BF58" s="590"/>
      <c r="BG58" s="160"/>
      <c r="BH58" s="58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590"/>
      <c r="D59" s="144"/>
      <c r="E59" s="587"/>
      <c r="F59" s="55"/>
      <c r="G59" s="587"/>
      <c r="H59" s="121"/>
      <c r="I59" s="590"/>
      <c r="J59" s="131"/>
      <c r="K59" s="590"/>
      <c r="L59" s="131"/>
      <c r="M59" s="590"/>
      <c r="N59" s="130"/>
      <c r="O59" s="590"/>
      <c r="P59" s="146"/>
      <c r="Q59" s="587"/>
      <c r="R59" s="54"/>
      <c r="S59" s="47"/>
      <c r="T59" s="47"/>
      <c r="U59" s="54"/>
      <c r="V59" s="48"/>
      <c r="W59" s="587"/>
      <c r="X59" s="586"/>
      <c r="Y59" s="131"/>
      <c r="Z59" s="587"/>
      <c r="AB59" s="589"/>
      <c r="AC59" s="55"/>
      <c r="AD59" s="590"/>
      <c r="AE59" s="47"/>
      <c r="AF59" s="587"/>
      <c r="AG59" s="55"/>
      <c r="AH59" s="587"/>
      <c r="AI59" s="55"/>
      <c r="AJ59" s="590"/>
      <c r="AK59" s="584"/>
      <c r="AL59" s="49"/>
      <c r="AM59" s="590"/>
      <c r="AN59" s="154"/>
      <c r="AO59" s="587"/>
      <c r="AP59" s="50"/>
      <c r="AQ59" s="587"/>
      <c r="AR59" s="56"/>
      <c r="AS59" s="590"/>
      <c r="AT59" s="154"/>
      <c r="AU59" s="587"/>
      <c r="AV59" s="57"/>
      <c r="AW59" s="589"/>
      <c r="AX59" s="583"/>
      <c r="AY59" s="58"/>
      <c r="AZ59" s="590"/>
      <c r="BA59" s="160"/>
      <c r="BB59" s="587"/>
      <c r="BC59" s="53"/>
      <c r="BD59" s="592"/>
      <c r="BE59" s="53"/>
      <c r="BF59" s="590"/>
      <c r="BG59" s="160"/>
      <c r="BH59" s="58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6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4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83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6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4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83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6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4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83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6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4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83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6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4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83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6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4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83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6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4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83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6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4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83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6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4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83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6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4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83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6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4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83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6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4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83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6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4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83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6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4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83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6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4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83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6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4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83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6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4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83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6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4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83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6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4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83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6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4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83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6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4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83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6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4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83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6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4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83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6"/>
      <c r="Y83" s="2"/>
      <c r="Z83" s="48"/>
      <c r="AB83" s="48"/>
      <c r="AD83" s="123"/>
      <c r="AE83" s="60"/>
      <c r="AF83" s="60"/>
      <c r="AH83" s="60"/>
      <c r="AJ83" s="123"/>
      <c r="AK83" s="584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83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6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4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83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6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4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83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6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4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83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6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4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83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6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4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83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6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4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83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6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4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3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6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4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3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6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4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3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6"/>
      <c r="AA93" s="1"/>
      <c r="AD93" s="1"/>
      <c r="AG93" s="1"/>
      <c r="AJ93" s="1"/>
      <c r="AK93" s="584"/>
      <c r="AL93" s="1"/>
      <c r="AM93" s="1"/>
      <c r="AO93" s="61"/>
      <c r="AP93" s="49"/>
      <c r="AR93" s="1"/>
      <c r="AS93" s="1"/>
      <c r="AU93" s="1"/>
      <c r="AV93" s="49"/>
      <c r="AX93" s="583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6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573"/>
      <c r="AQ94" s="573"/>
      <c r="AR94" s="573"/>
      <c r="AS94" s="573"/>
      <c r="AT94" s="573"/>
      <c r="AU94" s="573"/>
      <c r="AV94" s="573"/>
      <c r="AW94" s="573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10" ma:contentTypeDescription="Create a new document." ma:contentTypeScope="" ma:versionID="324c78bed0eadc0d7eecaedf81e0f9c5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6c8e7f48bc2d2f1a7bb3fcb6126a3417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F02FC8-1BDC-4794-BF08-B6BC134DAA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DBA7F8-788E-49D4-873B-22355F2F7B93}">
  <ds:schemaRefs>
    <ds:schemaRef ds:uri="http://schemas.microsoft.com/office/2006/metadata/properties"/>
    <ds:schemaRef ds:uri="http://schemas.microsoft.com/office/infopath/2007/PartnerControls"/>
    <ds:schemaRef ds:uri="1885d109-012e-42b6-a9dd-364c8f09ca7f"/>
  </ds:schemaRefs>
</ds:datastoreItem>
</file>

<file path=customXml/itemProps3.xml><?xml version="1.0" encoding="utf-8"?>
<ds:datastoreItem xmlns:ds="http://schemas.openxmlformats.org/officeDocument/2006/customXml" ds:itemID="{C0C8BE55-A711-4E3F-93EB-08E679180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2023-03-02T08:03:23Z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654200</vt:r8>
  </property>
</Properties>
</file>