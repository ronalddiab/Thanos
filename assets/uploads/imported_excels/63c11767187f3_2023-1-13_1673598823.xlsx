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601447F8-8AF0-446A-A18D-D1BC4EBCAE7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 s="1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N17" i="8"/>
  <c r="V11" i="8"/>
  <c r="D18" i="8"/>
  <c r="E14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I6" i="3"/>
  <c r="K22" i="3"/>
  <c r="E32" i="3"/>
  <c r="J29" i="4"/>
  <c r="M25" i="3"/>
  <c r="M22" i="3"/>
  <c r="H16" i="4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M8" i="3"/>
  <c r="D18" i="4"/>
  <c r="F19" i="3"/>
  <c r="F31" i="3"/>
  <c r="G6" i="4"/>
  <c r="G20" i="4"/>
  <c r="H29" i="4"/>
  <c r="L19" i="3"/>
  <c r="M31" i="3"/>
  <c r="F25" i="3"/>
  <c r="E22" i="3"/>
  <c r="H6" i="3"/>
  <c r="D13" i="3"/>
  <c r="J17" i="4"/>
  <c r="J23" i="3"/>
  <c r="M32" i="3"/>
  <c r="E17" i="3"/>
  <c r="F32" i="4"/>
  <c r="F15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C33" i="3"/>
  <c r="K17" i="3"/>
  <c r="M11" i="3"/>
  <c r="M7" i="3"/>
  <c r="M24" i="3"/>
  <c r="L12" i="3"/>
  <c r="I16" i="4"/>
  <c r="F30" i="3"/>
  <c r="L16" i="8" l="1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I17" i="4"/>
  <c r="L17" i="4" s="1"/>
  <c r="Q33" i="2"/>
  <c r="G21" i="3"/>
  <c r="E23" i="4"/>
  <c r="G28" i="3"/>
  <c r="E5" i="3"/>
  <c r="K23" i="4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4" i="4" l="1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<sst xmlns="http://schemas.openxmlformats.org/spreadsheetml/2006/main" count="236" uniqueCount="130">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</sst>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-686220.00000000012</c:v>
                </c:pt>
                <c:pt idx="1">
                  <c:v>-3812500</c:v>
                </c:pt>
                <c:pt idx="2">
                  <c:v>-368230.00000000006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I13" sqref="I13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250810.00000000087</v>
      </c>
      <c r="F33" s="113">
        <v>0</v>
      </c>
      <c r="G33" s="80">
        <f>SUM(G2:G32)</f>
        <v>70138</v>
      </c>
      <c r="H33" s="113">
        <v>0</v>
      </c>
      <c r="I33" s="80">
        <f>SUM(I2:I32)</f>
        <v>5527</v>
      </c>
      <c r="J33" s="113">
        <v>0</v>
      </c>
      <c r="K33" s="79">
        <f>SUM(K2:K31)</f>
        <v>0</v>
      </c>
      <c r="L33" s="120">
        <v>0</v>
      </c>
      <c r="M33" s="80">
        <f>SUM(M2:M32)</f>
        <v>960.5</v>
      </c>
      <c r="N33" s="80">
        <f>SUM(N2:N32)</f>
        <v>2426</v>
      </c>
      <c r="O33" s="80">
        <f>SUM(O2:O32)</f>
        <v>6635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-692790</v>
      </c>
      <c r="F14" s="2">
        <f>('Kwh Reading'!F17-'Kwh Reading'!F16)*1000000</f>
        <v>-3841000</v>
      </c>
      <c r="G14" s="2">
        <f>('Kwh Reading'!C17-'Kwh Reading'!C16)*1000</f>
        <v>-371330</v>
      </c>
      <c r="H14" s="2">
        <f t="shared" si="0"/>
        <v>-1481670</v>
      </c>
      <c r="I14" s="2">
        <f>('Kwh Reading'!J17-'Kwh Reading'!J16)*1000</f>
        <v>-580070</v>
      </c>
      <c r="J14" s="2">
        <f>('Kwh Reading'!K17-'Kwh Reading'!K16)*1000</f>
        <v>-531620</v>
      </c>
      <c r="K14" s="2">
        <f>('Kwh Reading'!L17-'Kwh Reading'!L16)*1000</f>
        <v>-369980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-403830</v>
      </c>
      <c r="O14" s="2">
        <f>('Kwh Reading'!B17-'Kwh Reading'!B16)*1000000</f>
        <v>-1615000</v>
      </c>
      <c r="P14" s="2">
        <f>('Kwh Reading'!M17-'Kwh Reading'!M16)*1000</f>
        <v>-893600</v>
      </c>
      <c r="Q14" s="2">
        <f>('Kwh Reading'!H17-'Kwh Reading'!H16)*1000000</f>
        <v>-1117300</v>
      </c>
      <c r="R14" s="2">
        <f>('Kwh Reading'!P17-'Kwh Reading'!P16)*1000000</f>
        <v>-1082800</v>
      </c>
      <c r="S14" s="2">
        <f>('Kwh Reading'!G17-'Kwh Reading'!G16)*1000000</f>
        <v>-1187500</v>
      </c>
      <c r="T14" s="2">
        <f>('Kwh Reading'!Q17-'Kwh Reading'!Q16)*1000</f>
        <v>-784380</v>
      </c>
      <c r="U14" s="2">
        <f>('Kwh Reading'!N17-'Kwh Reading'!N16)*1000</f>
        <v>-807060</v>
      </c>
      <c r="V14" s="26">
        <f>'Kwh Reading'!E17-'Kwh Reading'!E16</f>
        <v>-9674675.9800000004</v>
      </c>
      <c r="W14" s="26">
        <f>'Kwh Reading'!D17-'Kwh Reading'!D16</f>
        <v>-153774.26999999999</v>
      </c>
      <c r="X14" s="21">
        <f>('Kwh Reading'!O17-'Kwh Reading'!O16)*1000</f>
        <v>-272110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-686220.00000000012</v>
      </c>
      <c r="F33" s="60">
        <f>SUM(F2:F31)</f>
        <v>-3812500</v>
      </c>
      <c r="G33" s="60">
        <f>SUM(G2:G31)</f>
        <v>-368230.00000000006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-887789.99999999988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16" sqref="S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-692790</v>
      </c>
      <c r="D15" s="1">
        <f>Submeters!F14</f>
        <v>-3841000</v>
      </c>
      <c r="E15" s="1">
        <f>Submeters!G14</f>
        <v>-371330</v>
      </c>
      <c r="F15" s="1">
        <f>(Submeters!I14+Submeters!J14+Submeters!K14)</f>
        <v>-1481670</v>
      </c>
      <c r="G15" s="1">
        <f>(Submeters!L14+Submeters!M14)</f>
        <v>0</v>
      </c>
      <c r="H15" s="1">
        <f>(Submeters!N14+Submeters!O14)</f>
        <v>-2018830</v>
      </c>
      <c r="I15" s="1">
        <f>(Submeters!P14+Submeters!Q14+Submeters!R14+Submeters!S14+Submeters!T14+Submeters!U14)</f>
        <v>-5872640</v>
      </c>
      <c r="J15" s="1">
        <f>(Submeters!V14+Submeters!W14)</f>
        <v>-9828450.25</v>
      </c>
      <c r="K15" s="1">
        <f>Submeters!X14</f>
        <v>-272110</v>
      </c>
      <c r="L15" s="24">
        <f t="shared" si="0"/>
        <v>24378820.25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250810.00000000087</v>
      </c>
      <c r="C33" s="60">
        <f>SUM(C3:C32)</f>
        <v>-686220.00000000012</v>
      </c>
      <c r="D33" s="60">
        <f t="shared" ref="D33:L33" si="1">SUM(D3:D32)</f>
        <v>-3812500</v>
      </c>
      <c r="E33" s="60">
        <f t="shared" si="1"/>
        <v>-368230.00000000006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24460134.390000001</v>
      </c>
      <c r="M33" s="66">
        <f>C33+D33+E33+F33+G33+H33+I33+J33+K33+L33</f>
        <v>250810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F15" sqref="F15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281634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9157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Y15" sqref="Y15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253928</v>
      </c>
      <c r="D12" s="54">
        <f t="shared" si="2"/>
        <v>563.0332594235033</v>
      </c>
      <c r="E12" s="68">
        <f>'Water Reading'!H12-'Water Reading'!H11</f>
        <v>35</v>
      </c>
      <c r="F12" s="69">
        <f t="shared" si="3"/>
        <v>1.3783434674395891E-4</v>
      </c>
      <c r="G12" s="73">
        <f>('Water Reading'!D12-'Water Reading'!D11)-('Water Reading'!R12-'Water Reading'!R11)-('Water Reading'!Q12-'Water Reading'!Q11)</f>
        <v>211</v>
      </c>
      <c r="H12" s="69">
        <f t="shared" si="4"/>
        <v>8.3094420465643808E-4</v>
      </c>
      <c r="I12" s="70">
        <f>'Water Reading'!P12-'Water Reading'!P11</f>
        <v>25</v>
      </c>
      <c r="J12" s="55">
        <f t="shared" si="5"/>
        <v>9.8453104817113513E-5</v>
      </c>
      <c r="K12" s="71">
        <f>('Water Reading'!I12-'Water Reading'!I11)-('Water Reading'!P12-'Water Reading'!P11)</f>
        <v>6</v>
      </c>
      <c r="L12" s="55">
        <f t="shared" si="6"/>
        <v>2.3628745156107243E-5</v>
      </c>
      <c r="M12" s="70">
        <f>'Water Reading'!R12-'Water Reading'!R11</f>
        <v>6</v>
      </c>
      <c r="N12" s="72">
        <f t="shared" si="7"/>
        <v>2.3628745156107243E-5</v>
      </c>
      <c r="O12" s="70">
        <f>'Water Reading'!Q12-'Water Reading'!Q11</f>
        <v>7</v>
      </c>
      <c r="P12" s="77">
        <f t="shared" si="8"/>
        <v>2.7566869348791783E-5</v>
      </c>
      <c r="Q12" s="71">
        <f>'Water Reading'!F12-'Water Reading'!F11</f>
        <v>34</v>
      </c>
      <c r="R12" s="78">
        <f t="shared" si="9"/>
        <v>1.3389622255127439E-4</v>
      </c>
      <c r="S12" s="70">
        <f>'Water Reading'!E12-'Water Reading'!E11</f>
        <v>81</v>
      </c>
      <c r="T12" s="78">
        <f t="shared" si="10"/>
        <v>3.1898805960744781E-4</v>
      </c>
      <c r="U12" s="70">
        <f>'Water Reading'!G12-'Water Reading'!G11</f>
        <v>39</v>
      </c>
      <c r="V12" s="78">
        <f t="shared" si="11"/>
        <v>1.5358684351469707E-4</v>
      </c>
      <c r="W12" s="71">
        <f>'Water Reading'!J12-'Water Reading'!J11</f>
        <v>7</v>
      </c>
      <c r="X12" s="78">
        <f t="shared" si="12"/>
        <v>2.7566869348791783E-5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-253029</v>
      </c>
      <c r="D13" s="54">
        <f t="shared" si="2"/>
        <v>-566.06040268456377</v>
      </c>
      <c r="E13" s="68">
        <f>'Water Reading'!H13-'Water Reading'!H12</f>
        <v>43</v>
      </c>
      <c r="F13" s="69">
        <f t="shared" si="3"/>
        <v>-1.6994099490572228E-4</v>
      </c>
      <c r="G13" s="73">
        <f>('Water Reading'!D13-'Water Reading'!D12)-('Water Reading'!R13-'Water Reading'!R12)-('Water Reading'!Q13-'Water Reading'!Q12)</f>
        <v>202</v>
      </c>
      <c r="H13" s="69">
        <f t="shared" si="4"/>
        <v>-7.9832746444083479E-4</v>
      </c>
      <c r="I13" s="70">
        <f>'Water Reading'!P13-'Water Reading'!P12</f>
        <v>16</v>
      </c>
      <c r="J13" s="55">
        <f t="shared" si="5"/>
        <v>-6.3233858569571079E-5</v>
      </c>
      <c r="K13" s="71">
        <f>('Water Reading'!I13-'Water Reading'!I12)-('Water Reading'!P13-'Water Reading'!P12)</f>
        <v>4</v>
      </c>
      <c r="L13" s="55">
        <f t="shared" si="6"/>
        <v>-1.580846464239277E-5</v>
      </c>
      <c r="M13" s="70">
        <f>'Water Reading'!R13-'Water Reading'!R12</f>
        <v>5</v>
      </c>
      <c r="N13" s="72">
        <f t="shared" si="7"/>
        <v>-1.9760580802990961E-5</v>
      </c>
      <c r="O13" s="70">
        <f>'Water Reading'!Q13-'Water Reading'!Q12</f>
        <v>12</v>
      </c>
      <c r="P13" s="77">
        <f t="shared" si="8"/>
        <v>-4.7425393927178306E-5</v>
      </c>
      <c r="Q13" s="71">
        <f>'Water Reading'!F13-'Water Reading'!F12</f>
        <v>36</v>
      </c>
      <c r="R13" s="78">
        <f t="shared" si="9"/>
        <v>-1.4227618178153491E-4</v>
      </c>
      <c r="S13" s="70">
        <f>'Water Reading'!E13-'Water Reading'!E12</f>
        <v>80</v>
      </c>
      <c r="T13" s="78">
        <f t="shared" si="10"/>
        <v>-3.1616929284785538E-4</v>
      </c>
      <c r="U13" s="70">
        <f>'Water Reading'!G13-'Water Reading'!G12</f>
        <v>42</v>
      </c>
      <c r="V13" s="78">
        <f t="shared" si="11"/>
        <v>-1.6598887874512408E-4</v>
      </c>
      <c r="W13" s="71">
        <f>'Water Reading'!J13-'Water Reading'!J12</f>
        <v>7</v>
      </c>
      <c r="X13" s="78">
        <f t="shared" si="12"/>
        <v>-2.7664813124187345E-5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-73220</v>
      </c>
      <c r="D16" s="54" t="e">
        <f t="shared" si="2"/>
        <v>#DIV/0!</v>
      </c>
      <c r="E16" s="68">
        <f>'Water Reading'!H16-'Water Reading'!H15</f>
        <v>-1209</v>
      </c>
      <c r="F16" s="69">
        <f t="shared" si="3"/>
        <v>1.6511881999453699E-2</v>
      </c>
      <c r="G16" s="73">
        <f>('Water Reading'!D16-'Water Reading'!D15)-('Water Reading'!R16-'Water Reading'!R15)-('Water Reading'!Q16-'Water Reading'!Q15)</f>
        <v>-300361</v>
      </c>
      <c r="H16" s="69">
        <f t="shared" si="4"/>
        <v>4.102171537831194</v>
      </c>
      <c r="I16" s="70">
        <f>'Water Reading'!P16-'Water Reading'!P15</f>
        <v>-33192</v>
      </c>
      <c r="J16" s="55">
        <f t="shared" si="5"/>
        <v>0.45331876536465449</v>
      </c>
      <c r="K16" s="71">
        <f>('Water Reading'!I16-'Water Reading'!I15)-('Water Reading'!P16-'Water Reading'!P15)</f>
        <v>-47385</v>
      </c>
      <c r="L16" s="55">
        <f t="shared" si="6"/>
        <v>0.64715924610762088</v>
      </c>
      <c r="M16" s="70">
        <f>'Water Reading'!R16-'Water Reading'!R15</f>
        <v>-1081</v>
      </c>
      <c r="N16" s="72">
        <f t="shared" si="7"/>
        <v>1.4763725757989621E-2</v>
      </c>
      <c r="O16" s="70">
        <f>'Water Reading'!Q16-'Water Reading'!Q15</f>
        <v>-2429</v>
      </c>
      <c r="P16" s="77">
        <f t="shared" si="8"/>
        <v>3.3173996175908223E-2</v>
      </c>
      <c r="Q16" s="71">
        <f>'Water Reading'!F16-'Water Reading'!F15</f>
        <v>-26639</v>
      </c>
      <c r="R16" s="78">
        <f t="shared" si="9"/>
        <v>0.36382136028407541</v>
      </c>
      <c r="S16" s="70">
        <f>'Water Reading'!E16-'Water Reading'!E15</f>
        <v>-287486</v>
      </c>
      <c r="T16" s="78">
        <f t="shared" si="10"/>
        <v>3.9263316033870526</v>
      </c>
      <c r="U16" s="70">
        <f>'Water Reading'!G16-'Water Reading'!G15</f>
        <v>-125165</v>
      </c>
      <c r="V16" s="78">
        <f t="shared" si="11"/>
        <v>1.7094373122097788</v>
      </c>
      <c r="W16" s="71">
        <f>'Water Reading'!J16-'Water Reading'!J15</f>
        <v>-24156</v>
      </c>
      <c r="X16" s="78">
        <f t="shared" si="12"/>
        <v>0.32990986069379952</v>
      </c>
      <c r="Y16" s="53">
        <f t="shared" si="0"/>
        <v>-849103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2023-01-13T08:32:59Z</dcterms:modified>
  <cp:category/>
  <cp:contentStatus/>
</cp:coreProperties>
</file>