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A5BDE37E-FBBD-4185-8605-26451A5C5459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2" l="1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J19" i="21" s="1"/>
  <c r="G20" i="21"/>
  <c r="G21" i="21"/>
  <c r="G22" i="21"/>
  <c r="G23" i="21"/>
  <c r="G24" i="21"/>
  <c r="G25" i="21"/>
  <c r="G26" i="21"/>
  <c r="G27" i="21"/>
  <c r="G28" i="21"/>
  <c r="G29" i="21"/>
  <c r="G30" i="21"/>
  <c r="G31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F11" i="2"/>
  <c r="F12" i="2"/>
  <c r="H12" i="2" s="1"/>
  <c r="F13" i="2"/>
  <c r="F14" i="2"/>
  <c r="F15" i="2"/>
  <c r="F16" i="2"/>
  <c r="H16" i="2" s="1"/>
  <c r="F17" i="2"/>
  <c r="F18" i="2"/>
  <c r="H18" i="2" s="1"/>
  <c r="F19" i="2"/>
  <c r="F20" i="2"/>
  <c r="H20" i="2" s="1"/>
  <c r="F21" i="2"/>
  <c r="F22" i="2"/>
  <c r="F23" i="2"/>
  <c r="F24" i="2"/>
  <c r="H24" i="2" s="1"/>
  <c r="F25" i="2"/>
  <c r="F26" i="2"/>
  <c r="F27" i="2"/>
  <c r="F28" i="2"/>
  <c r="H28" i="2" s="1"/>
  <c r="F29" i="2"/>
  <c r="F30" i="2"/>
  <c r="F31" i="2"/>
  <c r="F32" i="2"/>
  <c r="H32" i="2" s="1"/>
  <c r="F33" i="2"/>
  <c r="F34" i="2"/>
  <c r="H34" i="2" s="1"/>
  <c r="F35" i="2"/>
  <c r="F36" i="2"/>
  <c r="H36" i="2" s="1"/>
  <c r="F37" i="2"/>
  <c r="F38" i="2"/>
  <c r="F39" i="2"/>
  <c r="H11" i="2"/>
  <c r="H13" i="2"/>
  <c r="H14" i="2"/>
  <c r="H15" i="2"/>
  <c r="H17" i="2"/>
  <c r="H19" i="2"/>
  <c r="H21" i="2"/>
  <c r="H22" i="2"/>
  <c r="H23" i="2"/>
  <c r="H25" i="2"/>
  <c r="H27" i="2"/>
  <c r="H29" i="2"/>
  <c r="H30" i="2"/>
  <c r="H31" i="2"/>
  <c r="H33" i="2"/>
  <c r="H35" i="2"/>
  <c r="H37" i="2"/>
  <c r="H38" i="2"/>
  <c r="H39" i="2"/>
  <c r="H10" i="2"/>
  <c r="J13" i="21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N11" i="2"/>
  <c r="N12" i="2"/>
  <c r="N13" i="2"/>
  <c r="N14" i="2"/>
  <c r="N15" i="2"/>
  <c r="N16" i="2"/>
  <c r="N17" i="2"/>
  <c r="O17" i="2" s="1"/>
  <c r="N18" i="2"/>
  <c r="N19" i="2"/>
  <c r="N20" i="2"/>
  <c r="N21" i="2"/>
  <c r="N22" i="2"/>
  <c r="N23" i="2"/>
  <c r="N24" i="2"/>
  <c r="N25" i="2"/>
  <c r="Q25" i="2" s="1"/>
  <c r="N26" i="2"/>
  <c r="N27" i="2"/>
  <c r="N28" i="2"/>
  <c r="N29" i="2"/>
  <c r="N30" i="2"/>
  <c r="N31" i="2"/>
  <c r="N32" i="2"/>
  <c r="N33" i="2"/>
  <c r="Q33" i="2" s="1"/>
  <c r="N34" i="2"/>
  <c r="N35" i="2"/>
  <c r="N36" i="2"/>
  <c r="N37" i="2"/>
  <c r="N38" i="2"/>
  <c r="N39" i="2"/>
  <c r="O33" i="4"/>
  <c r="P33" i="4" s="1"/>
  <c r="O5" i="4"/>
  <c r="O6" i="4"/>
  <c r="O7" i="4"/>
  <c r="O8" i="4"/>
  <c r="O9" i="4"/>
  <c r="O10" i="4"/>
  <c r="O11" i="4"/>
  <c r="P11" i="4" s="1"/>
  <c r="O12" i="4"/>
  <c r="P12" i="4" s="1"/>
  <c r="O13" i="4"/>
  <c r="O14" i="4"/>
  <c r="O15" i="4"/>
  <c r="O16" i="4"/>
  <c r="O17" i="4"/>
  <c r="O18" i="4"/>
  <c r="O19" i="4"/>
  <c r="O20" i="4"/>
  <c r="P20" i="4" s="1"/>
  <c r="O21" i="4"/>
  <c r="O22" i="4"/>
  <c r="O23" i="4"/>
  <c r="O24" i="4"/>
  <c r="O25" i="4"/>
  <c r="O26" i="4"/>
  <c r="O27" i="4"/>
  <c r="P27" i="4" s="1"/>
  <c r="O28" i="4"/>
  <c r="P28" i="4" s="1"/>
  <c r="O29" i="4"/>
  <c r="O30" i="4"/>
  <c r="O31" i="4"/>
  <c r="O32" i="4"/>
  <c r="P5" i="4"/>
  <c r="P6" i="4"/>
  <c r="P7" i="4"/>
  <c r="P8" i="4"/>
  <c r="P9" i="4"/>
  <c r="P10" i="4"/>
  <c r="P13" i="4"/>
  <c r="P14" i="4"/>
  <c r="P15" i="4"/>
  <c r="P16" i="4"/>
  <c r="P17" i="4"/>
  <c r="P18" i="4"/>
  <c r="P19" i="4"/>
  <c r="P21" i="4"/>
  <c r="P22" i="4"/>
  <c r="P23" i="4"/>
  <c r="P24" i="4"/>
  <c r="P25" i="4"/>
  <c r="P26" i="4"/>
  <c r="P29" i="4"/>
  <c r="P30" i="4"/>
  <c r="P31" i="4"/>
  <c r="P32" i="4"/>
  <c r="N5" i="4"/>
  <c r="N6" i="4"/>
  <c r="N7" i="4"/>
  <c r="N8" i="4"/>
  <c r="N9" i="4"/>
  <c r="N10" i="4"/>
  <c r="N11" i="4"/>
  <c r="N12" i="4"/>
  <c r="N13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4" i="4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M48" i="4"/>
  <c r="P34" i="4"/>
  <c r="P35" i="4"/>
  <c r="P36" i="4"/>
  <c r="P37" i="4"/>
  <c r="P38" i="4"/>
  <c r="P39" i="4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21" i="6"/>
  <c r="I21" i="6"/>
  <c r="G21" i="6"/>
  <c r="E21" i="6"/>
  <c r="C21" i="6"/>
  <c r="K20" i="6"/>
  <c r="I20" i="6"/>
  <c r="G20" i="6"/>
  <c r="E20" i="6"/>
  <c r="C20" i="6"/>
  <c r="P40" i="4"/>
  <c r="K11" i="6"/>
  <c r="I11" i="6"/>
  <c r="G11" i="6"/>
  <c r="E11" i="6"/>
  <c r="C11" i="6"/>
  <c r="C10" i="6"/>
  <c r="K10" i="6"/>
  <c r="I10" i="6"/>
  <c r="G10" i="6"/>
  <c r="E10" i="6"/>
  <c r="G4" i="4"/>
  <c r="E4" i="4"/>
  <c r="C4" i="4"/>
  <c r="C35" i="4"/>
  <c r="K34" i="6"/>
  <c r="I34" i="6"/>
  <c r="G34" i="6"/>
  <c r="E34" i="6"/>
  <c r="C34" i="6"/>
  <c r="K28" i="6"/>
  <c r="I28" i="6"/>
  <c r="G28" i="6"/>
  <c r="E28" i="6"/>
  <c r="C28" i="6"/>
  <c r="K27" i="6"/>
  <c r="I27" i="6"/>
  <c r="G27" i="6"/>
  <c r="E27" i="6"/>
  <c r="C27" i="6"/>
  <c r="P41" i="4"/>
  <c r="P42" i="4"/>
  <c r="N10" i="2"/>
  <c r="M10" i="2"/>
  <c r="L10" i="2"/>
  <c r="F10" i="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O11" i="2"/>
  <c r="O38" i="2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O37" i="2"/>
  <c r="Q37" i="2"/>
  <c r="Q38" i="2"/>
  <c r="O23" i="2"/>
  <c r="G2" i="21"/>
  <c r="O10" i="2"/>
  <c r="I2" i="22"/>
  <c r="O25" i="2"/>
  <c r="J22" i="21"/>
  <c r="Q31" i="2"/>
  <c r="O35" i="2"/>
  <c r="O31" i="2"/>
  <c r="O28" i="2"/>
  <c r="Q28" i="2"/>
  <c r="Q22" i="2"/>
  <c r="Q23" i="2"/>
  <c r="Q20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J17" i="21"/>
  <c r="I19" i="10"/>
  <c r="E20" i="10"/>
  <c r="D25" i="10"/>
  <c r="F25" i="10"/>
  <c r="F32" i="10"/>
  <c r="H25" i="10"/>
  <c r="I25" i="10"/>
  <c r="I32" i="10"/>
  <c r="F18" i="10"/>
  <c r="Q36" i="2"/>
  <c r="O36" i="2"/>
  <c r="J21" i="21"/>
  <c r="O20" i="2"/>
  <c r="Q19" i="2"/>
  <c r="O21" i="2"/>
  <c r="O22" i="2"/>
  <c r="O30" i="2"/>
  <c r="Q35" i="2"/>
  <c r="Q30" i="2"/>
  <c r="O29" i="2"/>
  <c r="O19" i="2"/>
  <c r="O24" i="2"/>
  <c r="Q29" i="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L10" i="4"/>
  <c r="L31" i="4"/>
  <c r="N31" i="4"/>
  <c r="L28" i="4"/>
  <c r="N28" i="4"/>
  <c r="L16" i="4"/>
  <c r="N16" i="4"/>
  <c r="L14" i="4"/>
  <c r="N14" i="4"/>
  <c r="L27" i="4"/>
  <c r="N27" i="4"/>
  <c r="L34" i="4"/>
  <c r="N34" i="4"/>
  <c r="O34" i="4"/>
  <c r="L30" i="4"/>
  <c r="N30" i="4"/>
  <c r="L18" i="4"/>
  <c r="N18" i="4"/>
  <c r="L21" i="4"/>
  <c r="N21" i="4"/>
  <c r="L29" i="4"/>
  <c r="N29" i="4"/>
  <c r="L24" i="4"/>
  <c r="N24" i="4"/>
  <c r="L12" i="4"/>
  <c r="L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Q21" i="2"/>
  <c r="J23" i="21"/>
  <c r="Q27" i="2"/>
  <c r="O27" i="2"/>
  <c r="Q10" i="2"/>
  <c r="E2" i="21"/>
  <c r="J2" i="21" s="1"/>
  <c r="Q11" i="2"/>
  <c r="J3" i="21"/>
  <c r="J20" i="21"/>
  <c r="E2" i="22"/>
  <c r="Q44" i="4"/>
  <c r="AC44" i="4"/>
  <c r="K48" i="4"/>
  <c r="L48" i="4"/>
  <c r="L9" i="4"/>
  <c r="AC43" i="4"/>
  <c r="I9" i="4"/>
  <c r="H26" i="2" l="1"/>
  <c r="F40" i="2"/>
  <c r="J12" i="21"/>
  <c r="J15" i="21"/>
  <c r="O26" i="2"/>
  <c r="Q26" i="2"/>
  <c r="M40" i="2"/>
  <c r="I44" i="2" s="1"/>
  <c r="L44" i="2" s="1"/>
  <c r="Q34" i="2"/>
  <c r="J18" i="21"/>
  <c r="O18" i="2"/>
  <c r="O34" i="2"/>
  <c r="J30" i="21"/>
  <c r="O32" i="2"/>
  <c r="Q24" i="2"/>
  <c r="J8" i="21"/>
  <c r="J10" i="21"/>
  <c r="J26" i="21"/>
  <c r="O33" i="2"/>
  <c r="J9" i="21"/>
  <c r="J25" i="21"/>
  <c r="O16" i="2"/>
  <c r="Q32" i="2"/>
  <c r="Q18" i="2"/>
  <c r="J24" i="21"/>
  <c r="Q17" i="2"/>
  <c r="Q16" i="2"/>
  <c r="J16" i="21"/>
  <c r="N40" i="2"/>
  <c r="I45" i="2" s="1"/>
  <c r="L45" i="2" s="1"/>
  <c r="J11" i="21"/>
  <c r="G25" i="4"/>
  <c r="E25" i="4"/>
  <c r="C25" i="4"/>
  <c r="G7" i="4"/>
  <c r="E7" i="4"/>
  <c r="C7" i="4"/>
  <c r="V15" i="2"/>
  <c r="V13" i="2"/>
  <c r="V21" i="2"/>
  <c r="V39" i="2"/>
  <c r="V26" i="2"/>
  <c r="V25" i="2"/>
  <c r="V31" i="2"/>
  <c r="V32" i="2"/>
  <c r="V38" i="2"/>
  <c r="V17" i="2"/>
  <c r="V18" i="2"/>
  <c r="V30" i="2"/>
  <c r="V35" i="2"/>
  <c r="V27" i="2"/>
  <c r="V24" i="2"/>
  <c r="V36" i="2"/>
  <c r="V33" i="2"/>
  <c r="V20" i="2"/>
  <c r="V22" i="2"/>
  <c r="V34" i="2"/>
  <c r="V37" i="2"/>
  <c r="V16" i="2"/>
  <c r="V19" i="2"/>
  <c r="V23" i="2"/>
  <c r="V29" i="2"/>
  <c r="V28" i="2"/>
  <c r="V11" i="2"/>
  <c r="Q39" i="2"/>
  <c r="O39" i="2"/>
  <c r="L40" i="2"/>
  <c r="G21" i="4"/>
  <c r="E21" i="4"/>
  <c r="C21" i="4"/>
  <c r="G10" i="4"/>
  <c r="E10" i="4"/>
  <c r="C10" i="4"/>
  <c r="G32" i="4"/>
  <c r="E32" i="4"/>
  <c r="C32" i="4"/>
  <c r="G19" i="4"/>
  <c r="E19" i="4"/>
  <c r="C19" i="4"/>
  <c r="L6" i="4"/>
  <c r="G6" i="4"/>
  <c r="E6" i="4"/>
  <c r="C6" i="4"/>
  <c r="G23" i="4"/>
  <c r="E23" i="4"/>
  <c r="C23" i="4"/>
  <c r="G9" i="4"/>
  <c r="E9" i="4"/>
  <c r="C9" i="4"/>
  <c r="Q14" i="2"/>
  <c r="O14" i="2"/>
  <c r="L8" i="4"/>
  <c r="J14" i="21"/>
  <c r="I4" i="4"/>
  <c r="L4" i="4"/>
  <c r="N4" i="4" s="1"/>
  <c r="M25" i="22" l="1"/>
  <c r="X39" i="2"/>
  <c r="X28" i="2"/>
  <c r="X33" i="2"/>
  <c r="X36" i="2"/>
  <c r="X32" i="2"/>
  <c r="X38" i="2"/>
  <c r="X24" i="2"/>
  <c r="X25" i="2"/>
  <c r="X37" i="2"/>
  <c r="X35" i="2"/>
  <c r="X26" i="2"/>
  <c r="X29" i="2"/>
  <c r="X31" i="2"/>
  <c r="X27" i="2"/>
  <c r="X34" i="2"/>
  <c r="X30" i="2"/>
  <c r="X15" i="2"/>
  <c r="X18" i="2"/>
  <c r="X21" i="2"/>
  <c r="M15" i="22"/>
  <c r="X23" i="2"/>
  <c r="X19" i="2"/>
  <c r="M11" i="22"/>
  <c r="X16" i="2"/>
  <c r="X11" i="2"/>
  <c r="X22" i="2"/>
  <c r="M14" i="22"/>
  <c r="X20" i="2"/>
  <c r="M12" i="22"/>
  <c r="X17" i="2"/>
  <c r="X13" i="2"/>
  <c r="V14" i="2"/>
  <c r="V12" i="2"/>
  <c r="M19" i="22"/>
  <c r="M20" i="22"/>
  <c r="M13" i="22"/>
  <c r="M24" i="22"/>
  <c r="M18" i="22"/>
  <c r="M26" i="22"/>
  <c r="M21" i="22"/>
  <c r="M23" i="22"/>
  <c r="M22" i="22"/>
  <c r="M16" i="22"/>
  <c r="M17" i="22"/>
  <c r="O15" i="2"/>
  <c r="Q15" i="2"/>
  <c r="O13" i="2"/>
  <c r="Q13" i="2"/>
  <c r="Q12" i="2"/>
  <c r="O12" i="2"/>
  <c r="M8" i="22"/>
  <c r="O4" i="4"/>
  <c r="P4" i="4" s="1"/>
  <c r="N43" i="4"/>
  <c r="M3" i="22"/>
  <c r="M9" i="22" l="1"/>
  <c r="M10" i="22"/>
  <c r="O40" i="2"/>
  <c r="H40" i="2"/>
  <c r="Q40" i="2"/>
  <c r="X12" i="2"/>
  <c r="M4" i="22"/>
  <c r="X14" i="2"/>
  <c r="M6" i="22"/>
  <c r="V10" i="2"/>
  <c r="X10" i="2" s="1"/>
  <c r="I47" i="2"/>
  <c r="L47" i="2" s="1"/>
  <c r="N47" i="2" s="1"/>
  <c r="I43" i="2"/>
  <c r="L43" i="2" s="1"/>
  <c r="N43" i="2" s="1"/>
  <c r="N46" i="2" s="1"/>
  <c r="J4" i="21"/>
  <c r="J5" i="21"/>
  <c r="M5" i="22"/>
  <c r="J6" i="21"/>
  <c r="M7" i="22"/>
  <c r="J7" i="21"/>
  <c r="O43" i="4"/>
  <c r="P43" i="4" s="1"/>
  <c r="K47" i="4"/>
  <c r="X40" i="2" l="1"/>
  <c r="G2" i="22"/>
  <c r="M2" i="22" s="1"/>
  <c r="V40" i="2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<sst xmlns="http://schemas.openxmlformats.org/spreadsheetml/2006/main" count="476" uniqueCount="185">
  <si>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</si>
  <si>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</si>
  <si>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</si>
  <si>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</si>
  <si>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</si>
  <si>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</si>
  <si>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</si>
  <si>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</si>
  <si>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</si>
  <si>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</si>
  <si>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</si>
  <si>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</si>
  <si>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</si>
  <si>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</si>
  <si>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</si>
  <si>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</si>
  <si>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</si>
  <si>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</si>
  <si>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</si>
  <si>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</si>
  <si>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</si>
  <si>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</si>
  <si>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</si>
  <si>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</si>
  <si>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</si>
  <si>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</si>
  <si>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</si>
  <si>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</si>
  <si>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</si>
  <si>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</si>
  <si>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</si>
  <si>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</si>
  <si>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</si>
  <si>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</si>
  <si>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</si>
  <si>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</si>
  <si>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</si>
  <si>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</si>
  <si>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</si>
  <si>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</si>
  <si>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</si>
  <si>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</si>
  <si>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</si>
  <si>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</si>
  <si>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</si>
  <si>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</si>
  <si>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</si>
  <si>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</si>
  <si>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</si>
  <si>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</si>
  <si>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</si>
  <si>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</si>
  <si>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</si>
  <si>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</si>
  <si>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</si>
  <si>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</si>
  <si>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</si>
  <si>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</si>
  <si>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</si>
  <si>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</si>
  <si>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</si>
  <si>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</si>
  <si>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</si>
  <si>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</si>
  <si>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</si>
  <si>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</si>
  <si>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</si>
  <si>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</si>
  <si>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</si>
  <si>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</si>
  <si>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</si>
  <si>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</si>
  <si>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</si>
  <si>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</si>
  <si>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</si>
  <si>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</si>
  <si>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</si>
  <si>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</si>
  <si>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</si>
  <si>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</si>
  <si>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</si>
  <si>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</si>
  <si>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</si>
  <si>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</si>
  <si>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</si>
  <si>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</si>
  <si>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</si>
  <si>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</si>
  <si>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</si>
  <si>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</si>
  <si>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</si>
  <si>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</si>
  <si>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</si>
  <si>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</si>
  <si>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</si>
  <si>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</si>
  <si>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</si>
  <si>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</si>
  <si>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</si>
  <si>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</si>
  <si>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</si>
  <si>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</si>
  <si>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</si>
  <si>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</si>
  <si>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</si>
  <si>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</si>
  <si>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</si>
  <si>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</si>
  <si>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</si>
  <si>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</si>
  <si>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</si>
  <si>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</si>
  <si>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</si>
  <si>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</si>
  <si>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</si>
  <si>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</si>
  <si>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</si>
  <si>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</si>
  <si>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</si>
  <si>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</si>
  <si>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</si>
  <si>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</si>
  <si>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</si>
  <si>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</si>
  <si>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</si>
  <si>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</si>
  <si>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</si>
  <si>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</si>
  <si>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</si>
  <si>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</si>
  <si>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</si>
  <si>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</si>
  <si>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Sept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</si>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</sst>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111.60000000000582</c:v>
                </c:pt>
                <c:pt idx="1">
                  <c:v>81.399999999994179</c:v>
                </c:pt>
                <c:pt idx="2">
                  <c:v>76.600000000005821</c:v>
                </c:pt>
                <c:pt idx="3">
                  <c:v>107</c:v>
                </c:pt>
                <c:pt idx="4">
                  <c:v>93</c:v>
                </c:pt>
                <c:pt idx="5">
                  <c:v>90</c:v>
                </c:pt>
                <c:pt idx="6">
                  <c:v>120.60000000000582</c:v>
                </c:pt>
                <c:pt idx="7">
                  <c:v>122.39999999999418</c:v>
                </c:pt>
                <c:pt idx="8">
                  <c:v>87</c:v>
                </c:pt>
                <c:pt idx="9">
                  <c:v>109.89999999999418</c:v>
                </c:pt>
                <c:pt idx="10">
                  <c:v>149.30000000000291</c:v>
                </c:pt>
                <c:pt idx="11">
                  <c:v>122.40000000000873</c:v>
                </c:pt>
                <c:pt idx="12">
                  <c:v>85.799999999988358</c:v>
                </c:pt>
                <c:pt idx="13">
                  <c:v>156.20000000001164</c:v>
                </c:pt>
                <c:pt idx="14">
                  <c:v>119.29999999998836</c:v>
                </c:pt>
                <c:pt idx="15">
                  <c:v>86.30000000000291</c:v>
                </c:pt>
                <c:pt idx="16">
                  <c:v>85.100000000005821</c:v>
                </c:pt>
                <c:pt idx="17">
                  <c:v>110.89999999999418</c:v>
                </c:pt>
                <c:pt idx="18">
                  <c:v>90.80000000000291</c:v>
                </c:pt>
                <c:pt idx="19">
                  <c:v>77</c:v>
                </c:pt>
                <c:pt idx="20">
                  <c:v>118.89999999999418</c:v>
                </c:pt>
                <c:pt idx="21">
                  <c:v>112.20000000001164</c:v>
                </c:pt>
                <c:pt idx="22">
                  <c:v>104.5</c:v>
                </c:pt>
                <c:pt idx="23">
                  <c:v>120</c:v>
                </c:pt>
                <c:pt idx="24">
                  <c:v>86</c:v>
                </c:pt>
                <c:pt idx="25">
                  <c:v>105.39999999999418</c:v>
                </c:pt>
                <c:pt idx="26">
                  <c:v>84</c:v>
                </c:pt>
                <c:pt idx="27">
                  <c:v>88.899999999994179</c:v>
                </c:pt>
                <c:pt idx="28">
                  <c:v>94.900000000008731</c:v>
                </c:pt>
                <c:pt idx="29">
                  <c:v>89.399999999994179</c:v>
                </c:pt>
                <c:pt idx="30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3585</c:v>
                </c:pt>
                <c:pt idx="1">
                  <c:v>3698</c:v>
                </c:pt>
                <c:pt idx="2">
                  <c:v>3907</c:v>
                </c:pt>
                <c:pt idx="3">
                  <c:v>3704</c:v>
                </c:pt>
                <c:pt idx="4">
                  <c:v>4107</c:v>
                </c:pt>
                <c:pt idx="5">
                  <c:v>3524</c:v>
                </c:pt>
                <c:pt idx="6">
                  <c:v>3490</c:v>
                </c:pt>
                <c:pt idx="7">
                  <c:v>3942</c:v>
                </c:pt>
                <c:pt idx="8">
                  <c:v>3943</c:v>
                </c:pt>
                <c:pt idx="9">
                  <c:v>4100</c:v>
                </c:pt>
                <c:pt idx="10">
                  <c:v>4062</c:v>
                </c:pt>
                <c:pt idx="11">
                  <c:v>4129</c:v>
                </c:pt>
                <c:pt idx="12">
                  <c:v>4080</c:v>
                </c:pt>
                <c:pt idx="13">
                  <c:v>3972</c:v>
                </c:pt>
                <c:pt idx="14">
                  <c:v>4049</c:v>
                </c:pt>
                <c:pt idx="15">
                  <c:v>3781</c:v>
                </c:pt>
                <c:pt idx="16">
                  <c:v>3568</c:v>
                </c:pt>
                <c:pt idx="17">
                  <c:v>4077</c:v>
                </c:pt>
                <c:pt idx="18">
                  <c:v>4107</c:v>
                </c:pt>
                <c:pt idx="19">
                  <c:v>3561</c:v>
                </c:pt>
                <c:pt idx="20">
                  <c:v>3613</c:v>
                </c:pt>
                <c:pt idx="21">
                  <c:v>3813</c:v>
                </c:pt>
                <c:pt idx="22">
                  <c:v>3702</c:v>
                </c:pt>
                <c:pt idx="23">
                  <c:v>3775</c:v>
                </c:pt>
                <c:pt idx="24">
                  <c:v>3812</c:v>
                </c:pt>
                <c:pt idx="25">
                  <c:v>3931</c:v>
                </c:pt>
                <c:pt idx="26">
                  <c:v>3608</c:v>
                </c:pt>
                <c:pt idx="27">
                  <c:v>3018</c:v>
                </c:pt>
                <c:pt idx="28">
                  <c:v>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7212</c:v>
                </c:pt>
                <c:pt idx="1">
                  <c:v>7889</c:v>
                </c:pt>
                <c:pt idx="2">
                  <c:v>7302</c:v>
                </c:pt>
                <c:pt idx="3">
                  <c:v>7562</c:v>
                </c:pt>
                <c:pt idx="4">
                  <c:v>7515</c:v>
                </c:pt>
                <c:pt idx="5">
                  <c:v>7709</c:v>
                </c:pt>
                <c:pt idx="6">
                  <c:v>9492</c:v>
                </c:pt>
                <c:pt idx="7">
                  <c:v>8618</c:v>
                </c:pt>
                <c:pt idx="8">
                  <c:v>9334</c:v>
                </c:pt>
                <c:pt idx="9">
                  <c:v>9636</c:v>
                </c:pt>
                <c:pt idx="10">
                  <c:v>8534</c:v>
                </c:pt>
                <c:pt idx="11">
                  <c:v>8909</c:v>
                </c:pt>
                <c:pt idx="12">
                  <c:v>8633</c:v>
                </c:pt>
                <c:pt idx="13">
                  <c:v>8403</c:v>
                </c:pt>
                <c:pt idx="14">
                  <c:v>8177</c:v>
                </c:pt>
                <c:pt idx="15">
                  <c:v>8039</c:v>
                </c:pt>
                <c:pt idx="16">
                  <c:v>8335</c:v>
                </c:pt>
                <c:pt idx="17">
                  <c:v>8098</c:v>
                </c:pt>
                <c:pt idx="18">
                  <c:v>7943</c:v>
                </c:pt>
                <c:pt idx="19">
                  <c:v>7426</c:v>
                </c:pt>
                <c:pt idx="20">
                  <c:v>7663</c:v>
                </c:pt>
                <c:pt idx="21">
                  <c:v>8094</c:v>
                </c:pt>
                <c:pt idx="22">
                  <c:v>8382</c:v>
                </c:pt>
                <c:pt idx="23">
                  <c:v>8803</c:v>
                </c:pt>
                <c:pt idx="24">
                  <c:v>8074</c:v>
                </c:pt>
                <c:pt idx="25">
                  <c:v>8315</c:v>
                </c:pt>
                <c:pt idx="26">
                  <c:v>7629</c:v>
                </c:pt>
                <c:pt idx="27">
                  <c:v>7624</c:v>
                </c:pt>
                <c:pt idx="28">
                  <c:v>8207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2556</c:v>
                </c:pt>
                <c:pt idx="1">
                  <c:v>2746</c:v>
                </c:pt>
                <c:pt idx="2">
                  <c:v>2819</c:v>
                </c:pt>
                <c:pt idx="3">
                  <c:v>2849</c:v>
                </c:pt>
                <c:pt idx="4">
                  <c:v>2893</c:v>
                </c:pt>
                <c:pt idx="5">
                  <c:v>2824</c:v>
                </c:pt>
                <c:pt idx="6">
                  <c:v>3250</c:v>
                </c:pt>
                <c:pt idx="7">
                  <c:v>2850</c:v>
                </c:pt>
                <c:pt idx="8">
                  <c:v>2762</c:v>
                </c:pt>
                <c:pt idx="9">
                  <c:v>3258</c:v>
                </c:pt>
                <c:pt idx="10">
                  <c:v>3241</c:v>
                </c:pt>
                <c:pt idx="11">
                  <c:v>2959</c:v>
                </c:pt>
                <c:pt idx="12">
                  <c:v>3051</c:v>
                </c:pt>
                <c:pt idx="13">
                  <c:v>2880</c:v>
                </c:pt>
                <c:pt idx="14">
                  <c:v>3260</c:v>
                </c:pt>
                <c:pt idx="15">
                  <c:v>3114</c:v>
                </c:pt>
                <c:pt idx="16">
                  <c:v>2965</c:v>
                </c:pt>
                <c:pt idx="17">
                  <c:v>3203</c:v>
                </c:pt>
                <c:pt idx="18">
                  <c:v>2655</c:v>
                </c:pt>
                <c:pt idx="19">
                  <c:v>2470</c:v>
                </c:pt>
                <c:pt idx="20">
                  <c:v>2885</c:v>
                </c:pt>
                <c:pt idx="21">
                  <c:v>3090</c:v>
                </c:pt>
                <c:pt idx="22">
                  <c:v>3049</c:v>
                </c:pt>
                <c:pt idx="23">
                  <c:v>2932</c:v>
                </c:pt>
                <c:pt idx="24">
                  <c:v>2884</c:v>
                </c:pt>
                <c:pt idx="25">
                  <c:v>2701</c:v>
                </c:pt>
                <c:pt idx="26">
                  <c:v>2875</c:v>
                </c:pt>
                <c:pt idx="27">
                  <c:v>2730</c:v>
                </c:pt>
                <c:pt idx="28">
                  <c:v>2933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127.99684000000001</c:v>
                </c:pt>
                <c:pt idx="2">
                  <c:v>223.99447000000001</c:v>
                </c:pt>
                <c:pt idx="3">
                  <c:v>543.98657000000003</c:v>
                </c:pt>
                <c:pt idx="4">
                  <c:v>0</c:v>
                </c:pt>
                <c:pt idx="5">
                  <c:v>0</c:v>
                </c:pt>
                <c:pt idx="6">
                  <c:v>31.999210000000001</c:v>
                </c:pt>
                <c:pt idx="7">
                  <c:v>127.99684000000001</c:v>
                </c:pt>
                <c:pt idx="8">
                  <c:v>287.99288999999999</c:v>
                </c:pt>
                <c:pt idx="9">
                  <c:v>223.99447000000001</c:v>
                </c:pt>
                <c:pt idx="10">
                  <c:v>159.99605</c:v>
                </c:pt>
                <c:pt idx="11">
                  <c:v>383.99052</c:v>
                </c:pt>
                <c:pt idx="12">
                  <c:v>223.99447000000001</c:v>
                </c:pt>
                <c:pt idx="13">
                  <c:v>255.99368000000001</c:v>
                </c:pt>
                <c:pt idx="14">
                  <c:v>191.99526</c:v>
                </c:pt>
                <c:pt idx="15">
                  <c:v>287.99288999999999</c:v>
                </c:pt>
                <c:pt idx="16">
                  <c:v>319.99209999999999</c:v>
                </c:pt>
                <c:pt idx="17">
                  <c:v>351.99131</c:v>
                </c:pt>
                <c:pt idx="18">
                  <c:v>223.99447000000001</c:v>
                </c:pt>
                <c:pt idx="19">
                  <c:v>287.99288999999999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383.99052</c:v>
                </c:pt>
                <c:pt idx="23">
                  <c:v>223.99447000000001</c:v>
                </c:pt>
                <c:pt idx="24">
                  <c:v>63.998420000000003</c:v>
                </c:pt>
                <c:pt idx="25">
                  <c:v>415.98973000000001</c:v>
                </c:pt>
                <c:pt idx="26">
                  <c:v>223.99447000000001</c:v>
                </c:pt>
                <c:pt idx="27">
                  <c:v>319.99209999999999</c:v>
                </c:pt>
                <c:pt idx="28">
                  <c:v>223.99447000000001</c:v>
                </c:pt>
                <c:pt idx="29">
                  <c:v>127.99684000000001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K2" sqref="K2:K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9</v>
      </c>
      <c r="D2" s="141">
        <v>2021</v>
      </c>
      <c r="E2" s="137">
        <f>submetering!E2+submetering!F2+submetering!G2</f>
        <v>13353</v>
      </c>
      <c r="F2" s="134">
        <v>1.05</v>
      </c>
      <c r="G2" s="134">
        <f>'Consommation mensuel énergie'!V10</f>
        <v>159.99605</v>
      </c>
      <c r="H2" s="134">
        <v>9.9649999999999999</v>
      </c>
      <c r="I2" s="134">
        <f>'Consommation mensuel énergie'!F10</f>
        <v>111.60000000000582</v>
      </c>
      <c r="J2" s="134">
        <v>11.4</v>
      </c>
      <c r="K2" s="137">
        <f>'Consommation mensuel énergie'!D10</f>
        <v>67</v>
      </c>
      <c r="L2" s="137">
        <f>'Consommation mensuel énergie'!E10</f>
        <v>102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submetering!E3+submetering!F3+submetering!G3</f>
        <v>14333</v>
      </c>
      <c r="F3" s="134">
        <v>1.05</v>
      </c>
      <c r="G3" s="134">
        <f>'Consommation mensuel énergie'!V11</f>
        <v>127.99684000000001</v>
      </c>
      <c r="H3" s="134">
        <v>9.9649999999999999</v>
      </c>
      <c r="I3" s="134">
        <f>'Consommation mensuel énergie'!F11</f>
        <v>81.399999999994179</v>
      </c>
      <c r="J3" s="134">
        <v>11.4</v>
      </c>
      <c r="K3" s="137">
        <f>'Consommation mensuel énergie'!D11</f>
        <v>67</v>
      </c>
      <c r="L3" s="137">
        <f>'Consommation mensuel énergie'!E11</f>
        <v>114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submetering!E4+submetering!F4+submetering!G4</f>
        <v>14028</v>
      </c>
      <c r="F4" s="134">
        <v>1.05</v>
      </c>
      <c r="G4" s="134">
        <f>'Consommation mensuel énergie'!V12</f>
        <v>223.99447000000001</v>
      </c>
      <c r="H4" s="134">
        <v>9.9649999999999999</v>
      </c>
      <c r="I4" s="134">
        <f>'Consommation mensuel énergie'!F12</f>
        <v>76.600000000005821</v>
      </c>
      <c r="J4" s="134">
        <v>11.4</v>
      </c>
      <c r="K4" s="137">
        <f>'Consommation mensuel énergie'!D12</f>
        <v>64</v>
      </c>
      <c r="L4" s="137">
        <f>'Consommation mensuel énergie'!E12</f>
        <v>108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submetering!E5+submetering!F5+submetering!G5</f>
        <v>14115</v>
      </c>
      <c r="F5" s="134">
        <v>1.05</v>
      </c>
      <c r="G5" s="134">
        <f>'Consommation mensuel énergie'!V13</f>
        <v>543.98657000000003</v>
      </c>
      <c r="H5" s="134">
        <v>9.9649999999999999</v>
      </c>
      <c r="I5" s="134">
        <f>'Consommation mensuel énergie'!F13</f>
        <v>107</v>
      </c>
      <c r="J5" s="134">
        <v>11.4</v>
      </c>
      <c r="K5" s="137">
        <f>'Consommation mensuel énergie'!D13</f>
        <v>68</v>
      </c>
      <c r="L5" s="137">
        <f>'Consommation mensuel énergie'!E13</f>
        <v>113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submetering!E6+submetering!F6+submetering!G6</f>
        <v>14515</v>
      </c>
      <c r="F6" s="134">
        <v>1.05</v>
      </c>
      <c r="G6" s="134">
        <f>'Consommation mensuel énergie'!V14</f>
        <v>0</v>
      </c>
      <c r="H6" s="134">
        <v>9.9649999999999999</v>
      </c>
      <c r="I6" s="134">
        <f>'Consommation mensuel énergie'!F14</f>
        <v>93</v>
      </c>
      <c r="J6" s="134">
        <v>11.4</v>
      </c>
      <c r="K6" s="137">
        <f>'Consommation mensuel énergie'!D14</f>
        <v>69</v>
      </c>
      <c r="L6" s="137">
        <f>'Consommation mensuel énergie'!E14</f>
        <v>125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submetering!E7+submetering!F7+submetering!G7</f>
        <v>14057</v>
      </c>
      <c r="F7" s="134">
        <v>1.05</v>
      </c>
      <c r="G7" s="134">
        <f>'Consommation mensuel énergie'!V15</f>
        <v>0</v>
      </c>
      <c r="H7" s="134">
        <v>9.9649999999999999</v>
      </c>
      <c r="I7" s="134">
        <f>'Consommation mensuel énergie'!F15</f>
        <v>90</v>
      </c>
      <c r="J7" s="134">
        <v>11.4</v>
      </c>
      <c r="K7" s="137">
        <f>'Consommation mensuel énergie'!D15</f>
        <v>66</v>
      </c>
      <c r="L7" s="137">
        <f>'Consommation mensuel énergie'!E15</f>
        <v>103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submetering!E8+submetering!F8+submetering!G8</f>
        <v>16232</v>
      </c>
      <c r="F8" s="134">
        <v>1.05</v>
      </c>
      <c r="G8" s="134">
        <f>'Consommation mensuel énergie'!V16</f>
        <v>31.999210000000001</v>
      </c>
      <c r="H8" s="134">
        <v>9.9649999999999999</v>
      </c>
      <c r="I8" s="134">
        <f>'Consommation mensuel énergie'!F16</f>
        <v>120.60000000000582</v>
      </c>
      <c r="J8" s="134">
        <v>11.4</v>
      </c>
      <c r="K8" s="137">
        <f>'Consommation mensuel énergie'!D16</f>
        <v>94</v>
      </c>
      <c r="L8" s="137">
        <f>'Consommation mensuel énergie'!E16</f>
        <v>135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submetering!E9+submetering!F9+submetering!G9</f>
        <v>15410</v>
      </c>
      <c r="F9" s="134">
        <v>1.05</v>
      </c>
      <c r="G9" s="134">
        <f>'Consommation mensuel énergie'!V17</f>
        <v>127.99684000000001</v>
      </c>
      <c r="H9" s="134">
        <v>9.9649999999999999</v>
      </c>
      <c r="I9" s="134">
        <f>'Consommation mensuel énergie'!F17</f>
        <v>122.39999999999418</v>
      </c>
      <c r="J9" s="134">
        <v>11.4</v>
      </c>
      <c r="K9" s="137">
        <f>'Consommation mensuel énergie'!D17</f>
        <v>88</v>
      </c>
      <c r="L9" s="137">
        <f>'Consommation mensuel énergie'!E17</f>
        <v>124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submetering!E10+submetering!F10+submetering!G10</f>
        <v>16039</v>
      </c>
      <c r="F10" s="134">
        <v>1.05</v>
      </c>
      <c r="G10" s="134">
        <f>'Consommation mensuel énergie'!V18</f>
        <v>287.99288999999999</v>
      </c>
      <c r="H10" s="134">
        <v>9.9649999999999999</v>
      </c>
      <c r="I10" s="134">
        <f>'Consommation mensuel énergie'!F18</f>
        <v>87</v>
      </c>
      <c r="J10" s="134">
        <v>11.4</v>
      </c>
      <c r="K10" s="137">
        <f>'Consommation mensuel énergie'!D18</f>
        <v>90</v>
      </c>
      <c r="L10" s="137">
        <f>'Consommation mensuel énergie'!E18</f>
        <v>130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submetering!E11+submetering!F11+submetering!G11</f>
        <v>16994</v>
      </c>
      <c r="F11" s="134">
        <v>1.05</v>
      </c>
      <c r="G11" s="134">
        <f>'Consommation mensuel énergie'!V19</f>
        <v>223.99447000000001</v>
      </c>
      <c r="H11" s="134">
        <v>9.9649999999999999</v>
      </c>
      <c r="I11" s="134">
        <f>'Consommation mensuel énergie'!F19</f>
        <v>109.89999999999418</v>
      </c>
      <c r="J11" s="134">
        <v>11.4</v>
      </c>
      <c r="K11" s="137">
        <f>'Consommation mensuel énergie'!D19</f>
        <v>100</v>
      </c>
      <c r="L11" s="137">
        <f>'Consommation mensuel énergie'!E19</f>
        <v>152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submetering!E12+submetering!F12+submetering!G12</f>
        <v>15837</v>
      </c>
      <c r="F12" s="134">
        <v>1.05</v>
      </c>
      <c r="G12" s="134">
        <f>'Consommation mensuel énergie'!V20</f>
        <v>159.99605</v>
      </c>
      <c r="H12" s="134">
        <v>9.9649999999999999</v>
      </c>
      <c r="I12" s="134">
        <f>'Consommation mensuel énergie'!F20</f>
        <v>149.30000000000291</v>
      </c>
      <c r="J12" s="134">
        <v>11.4</v>
      </c>
      <c r="K12" s="137">
        <f>'Consommation mensuel énergie'!D20</f>
        <v>81</v>
      </c>
      <c r="L12" s="137">
        <f>'Consommation mensuel énergie'!E20</f>
        <v>129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submetering!E13+submetering!F13+submetering!G13</f>
        <v>15997</v>
      </c>
      <c r="F13" s="134">
        <v>1.05</v>
      </c>
      <c r="G13" s="134">
        <f>'Consommation mensuel énergie'!V21</f>
        <v>383.99052</v>
      </c>
      <c r="H13" s="134">
        <v>9.9649999999999999</v>
      </c>
      <c r="I13" s="134">
        <f>'Consommation mensuel énergie'!F21</f>
        <v>122.40000000000873</v>
      </c>
      <c r="J13" s="134">
        <v>11.4</v>
      </c>
      <c r="K13" s="137">
        <f>'Consommation mensuel énergie'!D21</f>
        <v>80</v>
      </c>
      <c r="L13" s="137">
        <f>'Consommation mensuel énergie'!E21</f>
        <v>127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submetering!E14+submetering!F14+submetering!G14</f>
        <v>15764</v>
      </c>
      <c r="F14" s="134">
        <v>1.05</v>
      </c>
      <c r="G14" s="134">
        <f>'Consommation mensuel énergie'!V22</f>
        <v>223.99447000000001</v>
      </c>
      <c r="H14" s="134">
        <v>9.9649999999999999</v>
      </c>
      <c r="I14" s="134">
        <f>'Consommation mensuel énergie'!F22</f>
        <v>85.799999999988358</v>
      </c>
      <c r="J14" s="134">
        <v>11.4</v>
      </c>
      <c r="K14" s="137">
        <f>'Consommation mensuel énergie'!D22</f>
        <v>72</v>
      </c>
      <c r="L14" s="137">
        <f>'Consommation mensuel énergie'!E22</f>
        <v>112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submetering!E15+submetering!F15+submetering!G15</f>
        <v>15255</v>
      </c>
      <c r="F15" s="134">
        <v>1.05</v>
      </c>
      <c r="G15" s="134">
        <f>'Consommation mensuel énergie'!V23</f>
        <v>255.99368000000001</v>
      </c>
      <c r="H15" s="134">
        <v>9.9649999999999999</v>
      </c>
      <c r="I15" s="134">
        <f>'Consommation mensuel énergie'!F23</f>
        <v>156.20000000001164</v>
      </c>
      <c r="J15" s="134">
        <v>11.4</v>
      </c>
      <c r="K15" s="137">
        <f>'Consommation mensuel énergie'!D23</f>
        <v>81</v>
      </c>
      <c r="L15" s="137">
        <f>'Consommation mensuel énergie'!E23</f>
        <v>124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submetering!E16+submetering!F16+submetering!G16</f>
        <v>15486</v>
      </c>
      <c r="F16" s="134">
        <v>1.05</v>
      </c>
      <c r="G16" s="134">
        <f>'Consommation mensuel énergie'!V24</f>
        <v>191.99526</v>
      </c>
      <c r="H16" s="134">
        <v>9.9649999999999999</v>
      </c>
      <c r="I16" s="134">
        <f>'Consommation mensuel énergie'!F24</f>
        <v>119.29999999998836</v>
      </c>
      <c r="J16" s="134">
        <v>11.4</v>
      </c>
      <c r="K16" s="137">
        <f>'Consommation mensuel énergie'!D24</f>
        <v>67</v>
      </c>
      <c r="L16" s="137">
        <f>'Consommation mensuel énergie'!E24</f>
        <v>106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submetering!E17+submetering!F17+submetering!G17</f>
        <v>14934</v>
      </c>
      <c r="F17" s="134">
        <v>1.05</v>
      </c>
      <c r="G17" s="134">
        <f>'Consommation mensuel énergie'!V25</f>
        <v>287.99288999999999</v>
      </c>
      <c r="H17" s="134">
        <v>9.9649999999999999</v>
      </c>
      <c r="I17" s="134">
        <f>'Consommation mensuel énergie'!F25</f>
        <v>86.30000000000291</v>
      </c>
      <c r="J17" s="134">
        <v>11.4</v>
      </c>
      <c r="K17" s="137">
        <f>'Consommation mensuel énergie'!D25</f>
        <v>60</v>
      </c>
      <c r="L17" s="137">
        <f>'Consommation mensuel énergie'!E25</f>
        <v>114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submetering!E18+submetering!F18+submetering!G18</f>
        <v>14868</v>
      </c>
      <c r="F18" s="134">
        <v>1.05</v>
      </c>
      <c r="G18" s="134">
        <f>'Consommation mensuel énergie'!V26</f>
        <v>319.99209999999999</v>
      </c>
      <c r="H18" s="134">
        <v>9.9649999999999999</v>
      </c>
      <c r="I18" s="134">
        <f>'Consommation mensuel énergie'!F26</f>
        <v>85.100000000005821</v>
      </c>
      <c r="J18" s="134">
        <v>11.4</v>
      </c>
      <c r="K18" s="137">
        <f>'Consommation mensuel énergie'!D26</f>
        <v>70</v>
      </c>
      <c r="L18" s="137">
        <f>'Consommation mensuel énergie'!E26</f>
        <v>115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submetering!E19+submetering!F19+submetering!G19</f>
        <v>15378</v>
      </c>
      <c r="F19" s="134">
        <v>1.05</v>
      </c>
      <c r="G19" s="134">
        <f>'Consommation mensuel énergie'!V27</f>
        <v>351.99131</v>
      </c>
      <c r="H19" s="134">
        <v>9.9649999999999999</v>
      </c>
      <c r="I19" s="134">
        <f>'Consommation mensuel énergie'!F27</f>
        <v>110.89999999999418</v>
      </c>
      <c r="J19" s="134">
        <v>11.4</v>
      </c>
      <c r="K19" s="137">
        <f>'Consommation mensuel énergie'!D27</f>
        <v>73</v>
      </c>
      <c r="L19" s="137">
        <f>'Consommation mensuel énergie'!E27</f>
        <v>122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submetering!E20+submetering!F20+submetering!G20</f>
        <v>14705</v>
      </c>
      <c r="F20" s="134">
        <v>1.05</v>
      </c>
      <c r="G20" s="134">
        <f>'Consommation mensuel énergie'!V28</f>
        <v>223.99447000000001</v>
      </c>
      <c r="H20" s="134">
        <v>9.9649999999999999</v>
      </c>
      <c r="I20" s="134">
        <f>'Consommation mensuel énergie'!F28</f>
        <v>90.80000000000291</v>
      </c>
      <c r="J20" s="134">
        <v>11.4</v>
      </c>
      <c r="K20" s="137">
        <f>'Consommation mensuel énergie'!D28</f>
        <v>52</v>
      </c>
      <c r="L20" s="137">
        <f>'Consommation mensuel énergie'!E28</f>
        <v>82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submetering!E21+submetering!F21+submetering!G21</f>
        <v>13457</v>
      </c>
      <c r="F21" s="134">
        <v>1.05</v>
      </c>
      <c r="G21" s="134">
        <f>'Consommation mensuel énergie'!V29</f>
        <v>287.99288999999999</v>
      </c>
      <c r="H21" s="134">
        <v>9.9649999999999999</v>
      </c>
      <c r="I21" s="134">
        <f>'Consommation mensuel énergie'!F29</f>
        <v>77</v>
      </c>
      <c r="J21" s="134">
        <v>11.4</v>
      </c>
      <c r="K21" s="137">
        <f>'Consommation mensuel énergie'!D29</f>
        <v>61</v>
      </c>
      <c r="L21" s="137">
        <f>'Consommation mensuel énergie'!E29</f>
        <v>90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submetering!E22+submetering!F22+submetering!G22</f>
        <v>14161</v>
      </c>
      <c r="F22" s="134">
        <v>1.05</v>
      </c>
      <c r="G22" s="134">
        <f>'Consommation mensuel énergie'!V30</f>
        <v>287.99288999999999</v>
      </c>
      <c r="H22" s="134">
        <v>9.9649999999999999</v>
      </c>
      <c r="I22" s="134">
        <f>'Consommation mensuel énergie'!F30</f>
        <v>118.89999999999418</v>
      </c>
      <c r="J22" s="134">
        <v>11.4</v>
      </c>
      <c r="K22" s="137">
        <f>'Consommation mensuel énergie'!D30</f>
        <v>84</v>
      </c>
      <c r="L22" s="137">
        <f>'Consommation mensuel énergie'!E30</f>
        <v>124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submetering!E23+submetering!F23+submetering!G23</f>
        <v>14997</v>
      </c>
      <c r="F23" s="134">
        <v>1.05</v>
      </c>
      <c r="G23" s="134">
        <f>'Consommation mensuel énergie'!V31</f>
        <v>351.99131</v>
      </c>
      <c r="H23" s="134">
        <v>9.9649999999999999</v>
      </c>
      <c r="I23" s="134">
        <f>'Consommation mensuel énergie'!F31</f>
        <v>112.20000000001164</v>
      </c>
      <c r="J23" s="134">
        <v>11.4</v>
      </c>
      <c r="K23" s="137">
        <f>'Consommation mensuel énergie'!D31</f>
        <v>70</v>
      </c>
      <c r="L23" s="137">
        <f>'Consommation mensuel énergie'!E31</f>
        <v>108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submetering!E24+submetering!F24+submetering!G24</f>
        <v>15133</v>
      </c>
      <c r="F24" s="134">
        <v>1.05</v>
      </c>
      <c r="G24" s="134">
        <f>'Consommation mensuel énergie'!V32</f>
        <v>383.99052</v>
      </c>
      <c r="H24" s="134">
        <v>9.9649999999999999</v>
      </c>
      <c r="I24" s="134">
        <f>'Consommation mensuel énergie'!F32</f>
        <v>104.5</v>
      </c>
      <c r="J24" s="134">
        <v>11.4</v>
      </c>
      <c r="K24" s="137">
        <f>'Consommation mensuel énergie'!D32</f>
        <v>59</v>
      </c>
      <c r="L24" s="137">
        <f>'Consommation mensuel énergie'!E32</f>
        <v>93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submetering!E25+submetering!F25+submetering!G25</f>
        <v>15510</v>
      </c>
      <c r="F25" s="134">
        <v>1.05</v>
      </c>
      <c r="G25" s="134">
        <f>'Consommation mensuel énergie'!V33</f>
        <v>223.99447000000001</v>
      </c>
      <c r="H25" s="134">
        <v>9.9649999999999999</v>
      </c>
      <c r="I25" s="134">
        <f>'Consommation mensuel énergie'!F33</f>
        <v>120</v>
      </c>
      <c r="J25" s="134">
        <v>11.4</v>
      </c>
      <c r="K25" s="137">
        <f>'Consommation mensuel énergie'!D33</f>
        <v>68</v>
      </c>
      <c r="L25" s="137">
        <f>'Consommation mensuel énergie'!E33</f>
        <v>115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submetering!E26+submetering!F26+submetering!G26</f>
        <v>14770</v>
      </c>
      <c r="F26" s="134">
        <v>1.05</v>
      </c>
      <c r="G26" s="134">
        <f>'Consommation mensuel énergie'!V34</f>
        <v>63.998420000000003</v>
      </c>
      <c r="H26" s="134">
        <v>9.9649999999999999</v>
      </c>
      <c r="I26" s="134">
        <f>'Consommation mensuel énergie'!F34</f>
        <v>86</v>
      </c>
      <c r="J26" s="134">
        <v>11.4</v>
      </c>
      <c r="K26" s="137">
        <f>'Consommation mensuel énergie'!D34</f>
        <v>73</v>
      </c>
      <c r="L26" s="137">
        <f>'Consommation mensuel énergie'!E34</f>
        <v>136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submetering!E27+submetering!F27+submetering!G27</f>
        <v>14947</v>
      </c>
      <c r="F27" s="134">
        <v>1.05</v>
      </c>
      <c r="G27" s="134">
        <f>'Consommation mensuel énergie'!V35</f>
        <v>415.98973000000001</v>
      </c>
      <c r="H27" s="134">
        <v>9.9649999999999999</v>
      </c>
      <c r="I27" s="134">
        <f>'Consommation mensuel énergie'!F35</f>
        <v>105.39999999999418</v>
      </c>
      <c r="J27" s="134">
        <v>11.4</v>
      </c>
      <c r="K27" s="137">
        <f>'Consommation mensuel énergie'!D35</f>
        <v>81</v>
      </c>
      <c r="L27" s="137">
        <f>'Consommation mensuel énergie'!E35</f>
        <v>134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submetering!E28+submetering!F28+submetering!G28</f>
        <v>14112</v>
      </c>
      <c r="F28" s="134">
        <v>1.05</v>
      </c>
      <c r="G28" s="134">
        <f>'Consommation mensuel énergie'!V36</f>
        <v>223.99447000000001</v>
      </c>
      <c r="H28" s="134">
        <v>9.9649999999999999</v>
      </c>
      <c r="I28" s="134">
        <f>'Consommation mensuel énergie'!F36</f>
        <v>84</v>
      </c>
      <c r="J28" s="134">
        <v>11.4</v>
      </c>
      <c r="K28" s="137">
        <f>'Consommation mensuel énergie'!D36</f>
        <v>72</v>
      </c>
      <c r="L28" s="137">
        <f>'Consommation mensuel énergie'!E36</f>
        <v>102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submetering!E29+submetering!F29+submetering!G29</f>
        <v>13372</v>
      </c>
      <c r="F29" s="134">
        <v>1.05</v>
      </c>
      <c r="G29" s="134">
        <f>'Consommation mensuel énergie'!V37</f>
        <v>319.99209999999999</v>
      </c>
      <c r="H29" s="134">
        <v>9.9649999999999999</v>
      </c>
      <c r="I29" s="134">
        <f>'Consommation mensuel énergie'!F37</f>
        <v>88.899999999994179</v>
      </c>
      <c r="J29" s="134">
        <v>11.4</v>
      </c>
      <c r="K29" s="137">
        <f>'Consommation mensuel énergie'!D37</f>
        <v>71</v>
      </c>
      <c r="L29" s="137">
        <f>'Consommation mensuel énergie'!E37</f>
        <v>101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submetering!E30+submetering!F30+submetering!G30</f>
        <v>15139</v>
      </c>
      <c r="F30" s="134">
        <v>1.05</v>
      </c>
      <c r="G30" s="134">
        <f>'Consommation mensuel énergie'!V38</f>
        <v>223.99447000000001</v>
      </c>
      <c r="H30" s="134">
        <v>9.9649999999999999</v>
      </c>
      <c r="I30" s="134">
        <f>'Consommation mensuel énergie'!F38</f>
        <v>94.900000000008731</v>
      </c>
      <c r="J30" s="134">
        <v>11.4</v>
      </c>
      <c r="K30" s="137">
        <f>'Consommation mensuel énergie'!D38</f>
        <v>68</v>
      </c>
      <c r="L30" s="137">
        <f>'Consommation mensuel énergie'!E38</f>
        <v>95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submetering!E31+submetering!F31+submetering!G31</f>
        <v>14418</v>
      </c>
      <c r="F31" s="134">
        <v>1.05</v>
      </c>
      <c r="G31" s="134">
        <f>'Consommation mensuel énergie'!V39</f>
        <v>127.99684000000001</v>
      </c>
      <c r="H31" s="134">
        <v>9.9649999999999999</v>
      </c>
      <c r="I31" s="134">
        <f>'Consommation mensuel énergie'!F39</f>
        <v>89.399999999994179</v>
      </c>
      <c r="J31" s="134">
        <v>11.4</v>
      </c>
      <c r="K31" s="137">
        <f>'Consommation mensuel énergie'!D39</f>
        <v>76</v>
      </c>
      <c r="L31" s="137">
        <f>'Consommation mensuel énergie'!E39</f>
        <v>106</v>
      </c>
      <c r="M31" s="133"/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64"/>
      <c r="F34" s="134"/>
      <c r="G34" s="134"/>
      <c r="H34" s="134"/>
      <c r="I34" s="134"/>
      <c r="J34" s="134"/>
    </row>
    <row r="35" spans="1:13" x14ac:dyDescent="0.2">
      <c r="A35" s="164"/>
      <c r="F35" s="134"/>
      <c r="G35" s="134"/>
      <c r="H35" s="134"/>
      <c r="I35" s="134"/>
      <c r="J35" s="134"/>
    </row>
    <row r="36" spans="1:13" x14ac:dyDescent="0.2">
      <c r="A36" s="164"/>
      <c r="F36" s="134"/>
      <c r="G36" s="134"/>
      <c r="H36" s="134"/>
      <c r="I36" s="134"/>
      <c r="J36" s="134"/>
    </row>
    <row r="37" spans="1:13" x14ac:dyDescent="0.2">
      <c r="A37" s="164"/>
      <c r="F37" s="134"/>
      <c r="G37" s="134"/>
      <c r="H37" s="134"/>
      <c r="I37" s="134"/>
      <c r="J37" s="134"/>
    </row>
    <row r="38" spans="1:13" x14ac:dyDescent="0.2">
      <c r="A38" s="164"/>
      <c r="F38" s="134"/>
      <c r="G38" s="134"/>
      <c r="H38" s="134"/>
      <c r="I38" s="134"/>
      <c r="J38" s="134"/>
    </row>
    <row r="39" spans="1:13" x14ac:dyDescent="0.2">
      <c r="A39" s="164"/>
      <c r="F39" s="134"/>
      <c r="G39" s="134"/>
      <c r="H39" s="134"/>
      <c r="I39" s="134"/>
      <c r="J39" s="134"/>
    </row>
    <row r="40" spans="1:13" x14ac:dyDescent="0.2">
      <c r="A40" s="164"/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N29" sqref="N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9</v>
      </c>
      <c r="D2" s="141">
        <v>2021</v>
      </c>
      <c r="E2" s="137">
        <f>'Consommation mensuel énergie'!L10</f>
        <v>3585</v>
      </c>
      <c r="F2" s="137">
        <f>'Consommation mensuel énergie'!M10</f>
        <v>7212</v>
      </c>
      <c r="G2" s="137">
        <f>'Consommation mensuel énergie'!N10</f>
        <v>2556</v>
      </c>
      <c r="H2" s="137">
        <f>'Consommation mensuel énergie'!D10</f>
        <v>67</v>
      </c>
      <c r="I2" s="137">
        <f>'Consommation mensuel énergie'!E10</f>
        <v>102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'Consommation mensuel énergie'!L11</f>
        <v>3698</v>
      </c>
      <c r="F3" s="137">
        <f>'Consommation mensuel énergie'!M11</f>
        <v>7889</v>
      </c>
      <c r="G3" s="137">
        <f>'Consommation mensuel énergie'!N11</f>
        <v>2746</v>
      </c>
      <c r="H3" s="137">
        <f>'Consommation mensuel énergie'!D11</f>
        <v>67</v>
      </c>
      <c r="I3" s="137">
        <f>'Consommation mensuel énergie'!E11</f>
        <v>114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'Consommation mensuel énergie'!L12</f>
        <v>3907</v>
      </c>
      <c r="F4" s="137">
        <f>'Consommation mensuel énergie'!M12</f>
        <v>7302</v>
      </c>
      <c r="G4" s="137">
        <f>'Consommation mensuel énergie'!N12</f>
        <v>2819</v>
      </c>
      <c r="H4" s="137">
        <f>'Consommation mensuel énergie'!D12</f>
        <v>64</v>
      </c>
      <c r="I4" s="137">
        <f>'Consommation mensuel énergie'!E12</f>
        <v>108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'Consommation mensuel énergie'!L13</f>
        <v>3704</v>
      </c>
      <c r="F5" s="137">
        <f>'Consommation mensuel énergie'!M13</f>
        <v>7562</v>
      </c>
      <c r="G5" s="137">
        <f>'Consommation mensuel énergie'!N13</f>
        <v>2849</v>
      </c>
      <c r="H5" s="137">
        <f>'Consommation mensuel énergie'!D13</f>
        <v>68</v>
      </c>
      <c r="I5" s="137">
        <f>'Consommation mensuel énergie'!E13</f>
        <v>113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'Consommation mensuel énergie'!L14</f>
        <v>4107</v>
      </c>
      <c r="F6" s="137">
        <f>'Consommation mensuel énergie'!M14</f>
        <v>7515</v>
      </c>
      <c r="G6" s="137">
        <f>'Consommation mensuel énergie'!N14</f>
        <v>2893</v>
      </c>
      <c r="H6" s="137">
        <f>'Consommation mensuel énergie'!D14</f>
        <v>69</v>
      </c>
      <c r="I6" s="137">
        <f>'Consommation mensuel énergie'!E14</f>
        <v>125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'Consommation mensuel énergie'!L15</f>
        <v>3524</v>
      </c>
      <c r="F7" s="137">
        <f>'Consommation mensuel énergie'!M15</f>
        <v>7709</v>
      </c>
      <c r="G7" s="137">
        <f>'Consommation mensuel énergie'!N15</f>
        <v>2824</v>
      </c>
      <c r="H7" s="137">
        <f>'Consommation mensuel énergie'!D15</f>
        <v>66</v>
      </c>
      <c r="I7" s="137">
        <f>'Consommation mensuel énergie'!E15</f>
        <v>103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'Consommation mensuel énergie'!L16</f>
        <v>3490</v>
      </c>
      <c r="F8" s="137">
        <f>'Consommation mensuel énergie'!M16</f>
        <v>9492</v>
      </c>
      <c r="G8" s="137">
        <f>'Consommation mensuel énergie'!N16</f>
        <v>3250</v>
      </c>
      <c r="H8" s="137">
        <f>'Consommation mensuel énergie'!D16</f>
        <v>94</v>
      </c>
      <c r="I8" s="137">
        <f>'Consommation mensuel énergie'!E16</f>
        <v>135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'Consommation mensuel énergie'!L17</f>
        <v>3942</v>
      </c>
      <c r="F9" s="137">
        <f>'Consommation mensuel énergie'!M17</f>
        <v>8618</v>
      </c>
      <c r="G9" s="137">
        <f>'Consommation mensuel énergie'!N17</f>
        <v>2850</v>
      </c>
      <c r="H9" s="137">
        <f>'Consommation mensuel énergie'!D17</f>
        <v>88</v>
      </c>
      <c r="I9" s="137">
        <f>'Consommation mensuel énergie'!E17</f>
        <v>124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'Consommation mensuel énergie'!L18</f>
        <v>3943</v>
      </c>
      <c r="F10" s="137">
        <f>'Consommation mensuel énergie'!M18</f>
        <v>9334</v>
      </c>
      <c r="G10" s="137">
        <f>'Consommation mensuel énergie'!N18</f>
        <v>2762</v>
      </c>
      <c r="H10" s="137">
        <f>'Consommation mensuel énergie'!D18</f>
        <v>90</v>
      </c>
      <c r="I10" s="137">
        <f>'Consommation mensuel énergie'!E18</f>
        <v>130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'Consommation mensuel énergie'!L19</f>
        <v>4100</v>
      </c>
      <c r="F11" s="137">
        <f>'Consommation mensuel énergie'!M19</f>
        <v>9636</v>
      </c>
      <c r="G11" s="137">
        <f>'Consommation mensuel énergie'!N19</f>
        <v>3258</v>
      </c>
      <c r="H11" s="137">
        <f>'Consommation mensuel énergie'!D19</f>
        <v>100</v>
      </c>
      <c r="I11" s="137">
        <f>'Consommation mensuel énergie'!E19</f>
        <v>152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'Consommation mensuel énergie'!L20</f>
        <v>4062</v>
      </c>
      <c r="F12" s="137">
        <f>'Consommation mensuel énergie'!M20</f>
        <v>8534</v>
      </c>
      <c r="G12" s="137">
        <f>'Consommation mensuel énergie'!N20</f>
        <v>3241</v>
      </c>
      <c r="H12" s="137">
        <f>'Consommation mensuel énergie'!D20</f>
        <v>81</v>
      </c>
      <c r="I12" s="137">
        <f>'Consommation mensuel énergie'!E20</f>
        <v>129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'Consommation mensuel énergie'!L21</f>
        <v>4129</v>
      </c>
      <c r="F13" s="137">
        <f>'Consommation mensuel énergie'!M21</f>
        <v>8909</v>
      </c>
      <c r="G13" s="137">
        <f>'Consommation mensuel énergie'!N21</f>
        <v>2959</v>
      </c>
      <c r="H13" s="137">
        <f>'Consommation mensuel énergie'!D21</f>
        <v>80</v>
      </c>
      <c r="I13" s="137">
        <f>'Consommation mensuel énergie'!E21</f>
        <v>127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'Consommation mensuel énergie'!L22</f>
        <v>4080</v>
      </c>
      <c r="F14" s="137">
        <f>'Consommation mensuel énergie'!M22</f>
        <v>8633</v>
      </c>
      <c r="G14" s="137">
        <f>'Consommation mensuel énergie'!N22</f>
        <v>3051</v>
      </c>
      <c r="H14" s="137">
        <f>'Consommation mensuel énergie'!D22</f>
        <v>72</v>
      </c>
      <c r="I14" s="137">
        <f>'Consommation mensuel énergie'!E22</f>
        <v>112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'Consommation mensuel énergie'!L23</f>
        <v>3972</v>
      </c>
      <c r="F15" s="137">
        <f>'Consommation mensuel énergie'!M23</f>
        <v>8403</v>
      </c>
      <c r="G15" s="137">
        <f>'Consommation mensuel énergie'!N23</f>
        <v>2880</v>
      </c>
      <c r="H15" s="137">
        <f>'Consommation mensuel énergie'!D23</f>
        <v>81</v>
      </c>
      <c r="I15" s="137">
        <f>'Consommation mensuel énergie'!E23</f>
        <v>124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'Consommation mensuel énergie'!L24</f>
        <v>4049</v>
      </c>
      <c r="F16" s="137">
        <f>'Consommation mensuel énergie'!M24</f>
        <v>8177</v>
      </c>
      <c r="G16" s="137">
        <f>'Consommation mensuel énergie'!N24</f>
        <v>3260</v>
      </c>
      <c r="H16" s="137">
        <f>'Consommation mensuel énergie'!D24</f>
        <v>67</v>
      </c>
      <c r="I16" s="137">
        <f>'Consommation mensuel énergie'!E24</f>
        <v>106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'Consommation mensuel énergie'!L25</f>
        <v>3781</v>
      </c>
      <c r="F17" s="137">
        <f>'Consommation mensuel énergie'!M25</f>
        <v>8039</v>
      </c>
      <c r="G17" s="137">
        <f>'Consommation mensuel énergie'!N25</f>
        <v>3114</v>
      </c>
      <c r="H17" s="137">
        <f>'Consommation mensuel énergie'!D25</f>
        <v>60</v>
      </c>
      <c r="I17" s="137">
        <f>'Consommation mensuel énergie'!E25</f>
        <v>114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'Consommation mensuel énergie'!L26</f>
        <v>3568</v>
      </c>
      <c r="F18" s="137">
        <f>'Consommation mensuel énergie'!M26</f>
        <v>8335</v>
      </c>
      <c r="G18" s="137">
        <f>'Consommation mensuel énergie'!N26</f>
        <v>2965</v>
      </c>
      <c r="H18" s="137">
        <f>'Consommation mensuel énergie'!D26</f>
        <v>70</v>
      </c>
      <c r="I18" s="137">
        <f>'Consommation mensuel énergie'!E26</f>
        <v>115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'Consommation mensuel énergie'!L27</f>
        <v>4077</v>
      </c>
      <c r="F19" s="137">
        <f>'Consommation mensuel énergie'!M27</f>
        <v>8098</v>
      </c>
      <c r="G19" s="137">
        <f>'Consommation mensuel énergie'!N27</f>
        <v>3203</v>
      </c>
      <c r="H19" s="137">
        <f>'Consommation mensuel énergie'!D27</f>
        <v>73</v>
      </c>
      <c r="I19" s="137">
        <f>'Consommation mensuel énergie'!E27</f>
        <v>122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'Consommation mensuel énergie'!L28</f>
        <v>4107</v>
      </c>
      <c r="F20" s="137">
        <f>'Consommation mensuel énergie'!M28</f>
        <v>7943</v>
      </c>
      <c r="G20" s="137">
        <f>'Consommation mensuel énergie'!N28</f>
        <v>2655</v>
      </c>
      <c r="H20" s="137">
        <f>'Consommation mensuel énergie'!D28</f>
        <v>52</v>
      </c>
      <c r="I20" s="137">
        <f>'Consommation mensuel énergie'!E28</f>
        <v>82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'Consommation mensuel énergie'!L29</f>
        <v>3561</v>
      </c>
      <c r="F21" s="137">
        <f>'Consommation mensuel énergie'!M29</f>
        <v>7426</v>
      </c>
      <c r="G21" s="137">
        <f>'Consommation mensuel énergie'!N29</f>
        <v>2470</v>
      </c>
      <c r="H21" s="137">
        <f>'Consommation mensuel énergie'!D29</f>
        <v>61</v>
      </c>
      <c r="I21" s="137">
        <f>'Consommation mensuel énergie'!E29</f>
        <v>90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'Consommation mensuel énergie'!L30</f>
        <v>3613</v>
      </c>
      <c r="F22" s="137">
        <f>'Consommation mensuel énergie'!M30</f>
        <v>7663</v>
      </c>
      <c r="G22" s="137">
        <f>'Consommation mensuel énergie'!N30</f>
        <v>2885</v>
      </c>
      <c r="H22" s="137">
        <f>'Consommation mensuel énergie'!D30</f>
        <v>84</v>
      </c>
      <c r="I22" s="137">
        <f>'Consommation mensuel énergie'!E30</f>
        <v>124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'Consommation mensuel énergie'!L31</f>
        <v>3813</v>
      </c>
      <c r="F23" s="137">
        <f>'Consommation mensuel énergie'!M31</f>
        <v>8094</v>
      </c>
      <c r="G23" s="137">
        <f>'Consommation mensuel énergie'!N31</f>
        <v>3090</v>
      </c>
      <c r="H23" s="137">
        <f>'Consommation mensuel énergie'!D31</f>
        <v>70</v>
      </c>
      <c r="I23" s="137">
        <f>'Consommation mensuel énergie'!E31</f>
        <v>108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'Consommation mensuel énergie'!L32</f>
        <v>3702</v>
      </c>
      <c r="F24" s="137">
        <f>'Consommation mensuel énergie'!M32</f>
        <v>8382</v>
      </c>
      <c r="G24" s="137">
        <f>'Consommation mensuel énergie'!N32</f>
        <v>3049</v>
      </c>
      <c r="H24" s="137">
        <f>'Consommation mensuel énergie'!D32</f>
        <v>59</v>
      </c>
      <c r="I24" s="137">
        <f>'Consommation mensuel énergie'!E32</f>
        <v>93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'Consommation mensuel énergie'!L33</f>
        <v>3775</v>
      </c>
      <c r="F25" s="137">
        <f>'Consommation mensuel énergie'!M33</f>
        <v>8803</v>
      </c>
      <c r="G25" s="137">
        <f>'Consommation mensuel énergie'!N33</f>
        <v>2932</v>
      </c>
      <c r="H25" s="137">
        <f>'Consommation mensuel énergie'!D33</f>
        <v>68</v>
      </c>
      <c r="I25" s="137">
        <f>'Consommation mensuel énergie'!E33</f>
        <v>115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'Consommation mensuel énergie'!L34</f>
        <v>3812</v>
      </c>
      <c r="F26" s="137">
        <f>'Consommation mensuel énergie'!M34</f>
        <v>8074</v>
      </c>
      <c r="G26" s="137">
        <f>'Consommation mensuel énergie'!N34</f>
        <v>2884</v>
      </c>
      <c r="H26" s="137">
        <f>'Consommation mensuel énergie'!D34</f>
        <v>73</v>
      </c>
      <c r="I26" s="137">
        <f>'Consommation mensuel énergie'!E34</f>
        <v>136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'Consommation mensuel énergie'!L35</f>
        <v>3931</v>
      </c>
      <c r="F27" s="137">
        <f>'Consommation mensuel énergie'!M35</f>
        <v>8315</v>
      </c>
      <c r="G27" s="137">
        <f>'Consommation mensuel énergie'!N35</f>
        <v>2701</v>
      </c>
      <c r="H27" s="137">
        <f>'Consommation mensuel énergie'!D35</f>
        <v>81</v>
      </c>
      <c r="I27" s="137">
        <f>'Consommation mensuel énergie'!E35</f>
        <v>134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'Consommation mensuel énergie'!L36</f>
        <v>3608</v>
      </c>
      <c r="F28" s="137">
        <f>'Consommation mensuel énergie'!M36</f>
        <v>7629</v>
      </c>
      <c r="G28" s="137">
        <f>'Consommation mensuel énergie'!N36</f>
        <v>2875</v>
      </c>
      <c r="H28" s="137">
        <f>'Consommation mensuel énergie'!D36</f>
        <v>72</v>
      </c>
      <c r="I28" s="137">
        <f>'Consommation mensuel énergie'!E36</f>
        <v>102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'Consommation mensuel énergie'!L37</f>
        <v>3018</v>
      </c>
      <c r="F29" s="137">
        <f>'Consommation mensuel énergie'!M37</f>
        <v>7624</v>
      </c>
      <c r="G29" s="137">
        <f>'Consommation mensuel énergie'!N37</f>
        <v>2730</v>
      </c>
      <c r="H29" s="137">
        <f>'Consommation mensuel énergie'!D37</f>
        <v>71</v>
      </c>
      <c r="I29" s="137">
        <f>'Consommation mensuel énergie'!E37</f>
        <v>101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'Consommation mensuel énergie'!L38</f>
        <v>3999</v>
      </c>
      <c r="F30" s="137">
        <f>'Consommation mensuel énergie'!M38</f>
        <v>8207</v>
      </c>
      <c r="G30" s="137">
        <f>'Consommation mensuel énergie'!N38</f>
        <v>2933</v>
      </c>
      <c r="H30" s="137">
        <f>'Consommation mensuel énergie'!D38</f>
        <v>68</v>
      </c>
      <c r="I30" s="137">
        <f>'Consommation mensuel énergie'!E38</f>
        <v>95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'Consommation mensuel énergie'!L39</f>
        <v>3272</v>
      </c>
      <c r="F31" s="137">
        <f>'Consommation mensuel énergie'!M39</f>
        <v>8269</v>
      </c>
      <c r="G31" s="137">
        <f>'Consommation mensuel énergie'!N39</f>
        <v>2877</v>
      </c>
      <c r="H31" s="137">
        <f>'Consommation mensuel énergie'!D39</f>
        <v>76</v>
      </c>
      <c r="I31" s="137">
        <f>'Consommation mensuel énergie'!E39</f>
        <v>106</v>
      </c>
      <c r="J31" s="133"/>
    </row>
    <row r="32" spans="1:10" x14ac:dyDescent="0.2">
      <c r="A32" s="164"/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D22" activePane="bottomRight" state="frozen"/>
      <selection pane="topRight" activeCell="B21" sqref="A21:IV21"/>
      <selection pane="bottomLeft" activeCell="B21" sqref="A21:IV21"/>
      <selection pane="bottomRight" activeCell="L40" sqref="L40:N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</row>
    <row r="2" spans="1:24" ht="100.5" customHeight="1" thickBot="1" x14ac:dyDescent="0.25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 x14ac:dyDescent="0.25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</row>
    <row r="4" spans="1:24" ht="39" hidden="1" customHeight="1" thickBot="1" x14ac:dyDescent="0.25">
      <c r="A4" s="182"/>
      <c r="B4" s="182"/>
      <c r="C4" s="182"/>
      <c r="D4" s="155"/>
      <c r="E4" s="155"/>
      <c r="F4" s="155"/>
      <c r="G4" s="155"/>
      <c r="H4" s="155"/>
      <c r="I4" s="155"/>
      <c r="J4" s="155"/>
      <c r="K4" s="155"/>
      <c r="L4" s="15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2"/>
      <c r="B5" s="182"/>
      <c r="C5" s="182"/>
      <c r="D5" s="155"/>
      <c r="E5" s="155"/>
      <c r="F5" s="155"/>
      <c r="G5" s="155"/>
      <c r="H5" s="155"/>
      <c r="I5" s="155"/>
      <c r="J5" s="155"/>
      <c r="K5" s="155"/>
      <c r="L5" s="15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 x14ac:dyDescent="0.25">
      <c r="A6" s="3"/>
      <c r="B6" s="3"/>
      <c r="C6" s="3"/>
      <c r="D6" s="155"/>
      <c r="E6" s="155"/>
      <c r="F6" s="155"/>
      <c r="G6" s="155"/>
      <c r="H6" s="155"/>
      <c r="I6" s="155"/>
      <c r="J6" s="155"/>
      <c r="K6" s="155"/>
      <c r="L6" s="155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 x14ac:dyDescent="0.25">
      <c r="A7" s="155"/>
      <c r="B7" s="155"/>
      <c r="C7" s="155"/>
      <c r="D7" s="155"/>
      <c r="E7" s="155"/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 x14ac:dyDescent="0.25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 x14ac:dyDescent="0.25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4" t="s">
        <v>30</v>
      </c>
      <c r="M9" s="154" t="s">
        <v>31</v>
      </c>
      <c r="N9" s="154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 thickBot="1" x14ac:dyDescent="0.25">
      <c r="A10" s="2"/>
      <c r="B10" s="6">
        <v>44440</v>
      </c>
      <c r="C10" s="7"/>
      <c r="D10" s="143">
        <v>67</v>
      </c>
      <c r="E10" s="143">
        <v>102</v>
      </c>
      <c r="F10" s="13">
        <f>'Suivi EAU-ELEC'!E9</f>
        <v>111.60000000000582</v>
      </c>
      <c r="G10" s="11"/>
      <c r="H10" s="168">
        <f>F10*11.4</f>
        <v>1272.2400000000664</v>
      </c>
      <c r="I10" s="169"/>
      <c r="J10" s="169"/>
      <c r="K10" s="60">
        <v>42278</v>
      </c>
      <c r="L10" s="90">
        <f>'Suivi EAU-ELEC'!G9</f>
        <v>3585</v>
      </c>
      <c r="M10" s="91">
        <f>'Suivi EAU-ELEC'!I9</f>
        <v>7212</v>
      </c>
      <c r="N10" s="91">
        <f>'Suivi EAU-ELEC'!K9</f>
        <v>2556</v>
      </c>
      <c r="O10" s="91">
        <f>L10+M10+N10</f>
        <v>13353</v>
      </c>
      <c r="P10" s="11"/>
      <c r="Q10" s="34">
        <f>L10*0.6985+M10*0.9514+N10*1.3304</f>
        <v>12766.1217</v>
      </c>
      <c r="R10" s="11"/>
      <c r="S10" s="28"/>
      <c r="T10" s="11"/>
      <c r="U10" s="28"/>
      <c r="V10" s="146">
        <f>'Suvi Gaz'!O4</f>
        <v>159.99605</v>
      </c>
      <c r="W10" s="11"/>
      <c r="X10" s="34">
        <f>V10*9.965</f>
        <v>1594.36063825</v>
      </c>
    </row>
    <row r="11" spans="1:24" ht="32.25" customHeight="1" thickBot="1" x14ac:dyDescent="0.25">
      <c r="A11" s="2"/>
      <c r="B11" s="6">
        <v>44441</v>
      </c>
      <c r="C11" s="7"/>
      <c r="D11" s="143">
        <v>67</v>
      </c>
      <c r="E11" s="143">
        <v>114</v>
      </c>
      <c r="F11" s="13">
        <f>'Suivi EAU-ELEC'!E10</f>
        <v>81.399999999994179</v>
      </c>
      <c r="G11" s="11"/>
      <c r="H11" s="168">
        <f t="shared" ref="H11:H39" si="0">F11*11.4</f>
        <v>927.95999999993364</v>
      </c>
      <c r="I11" s="169"/>
      <c r="J11" s="169"/>
      <c r="K11" s="60">
        <v>42279</v>
      </c>
      <c r="L11" s="90">
        <f>'Suivi EAU-ELEC'!G10</f>
        <v>3698</v>
      </c>
      <c r="M11" s="91">
        <f>'Suivi EAU-ELEC'!I10</f>
        <v>7889</v>
      </c>
      <c r="N11" s="91">
        <f>'Suivi EAU-ELEC'!K10</f>
        <v>2746</v>
      </c>
      <c r="O11" s="91">
        <f>L11+M11+N11</f>
        <v>14333</v>
      </c>
      <c r="P11" s="11"/>
      <c r="Q11" s="34">
        <f>L11*0.6985+M11*0.9514+N14*1.3304</f>
        <v>13937.4948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39" si="1">V11*9.965</f>
        <v>1275.4885106000002</v>
      </c>
    </row>
    <row r="12" spans="1:24" ht="32.25" customHeight="1" thickBot="1" x14ac:dyDescent="0.25">
      <c r="A12" s="2"/>
      <c r="B12" s="6">
        <v>44442</v>
      </c>
      <c r="C12" s="7"/>
      <c r="D12" s="143">
        <v>64</v>
      </c>
      <c r="E12" s="143">
        <v>108</v>
      </c>
      <c r="F12" s="13">
        <f>'Suivi EAU-ELEC'!E11</f>
        <v>76.600000000005821</v>
      </c>
      <c r="G12" s="11"/>
      <c r="H12" s="168">
        <f t="shared" si="0"/>
        <v>873.2400000000664</v>
      </c>
      <c r="I12" s="169"/>
      <c r="J12" s="169"/>
      <c r="K12" s="60">
        <v>42280</v>
      </c>
      <c r="L12" s="90">
        <f>'Suivi EAU-ELEC'!G11</f>
        <v>3907</v>
      </c>
      <c r="M12" s="91">
        <f>'Suivi EAU-ELEC'!I11</f>
        <v>7302</v>
      </c>
      <c r="N12" s="91">
        <f>'Suivi EAU-ELEC'!K11</f>
        <v>2819</v>
      </c>
      <c r="O12" s="91">
        <f>L12+M12+N12</f>
        <v>14028</v>
      </c>
      <c r="P12" s="11"/>
      <c r="Q12" s="34">
        <f>L12*0.6985+M12*0.9514+N12*1.3304</f>
        <v>13426.5599</v>
      </c>
      <c r="R12" s="11"/>
      <c r="S12" s="28"/>
      <c r="T12" s="11"/>
      <c r="U12" s="28"/>
      <c r="V12" s="146">
        <f>'Suvi Gaz'!O6</f>
        <v>223.99447000000001</v>
      </c>
      <c r="W12" s="11"/>
      <c r="X12" s="34">
        <f t="shared" si="1"/>
        <v>2232.1048935499998</v>
      </c>
    </row>
    <row r="13" spans="1:24" ht="32.25" customHeight="1" thickBot="1" x14ac:dyDescent="0.25">
      <c r="A13" s="2"/>
      <c r="B13" s="6">
        <v>44443</v>
      </c>
      <c r="C13" s="7"/>
      <c r="D13" s="143">
        <v>68</v>
      </c>
      <c r="E13" s="143">
        <v>113</v>
      </c>
      <c r="F13" s="13">
        <f>'Suivi EAU-ELEC'!E12</f>
        <v>107</v>
      </c>
      <c r="G13" s="11"/>
      <c r="H13" s="168">
        <f t="shared" si="0"/>
        <v>1219.8</v>
      </c>
      <c r="I13" s="169"/>
      <c r="J13" s="169"/>
      <c r="K13" s="60">
        <v>42281</v>
      </c>
      <c r="L13" s="90">
        <f>'Suivi EAU-ELEC'!G12</f>
        <v>3704</v>
      </c>
      <c r="M13" s="91">
        <f>'Suivi EAU-ELEC'!I12</f>
        <v>7562</v>
      </c>
      <c r="N13" s="91">
        <f>'Suivi EAU-ELEC'!K12</f>
        <v>2849</v>
      </c>
      <c r="O13" s="91">
        <f t="shared" ref="O13:O39" si="2">L13+M13+N13</f>
        <v>14115</v>
      </c>
      <c r="P13" s="11"/>
      <c r="Q13" s="34">
        <f t="shared" ref="Q13:Q39" si="3">L13*0.6985+M13*0.9514+N13*1.3304</f>
        <v>13572.040400000002</v>
      </c>
      <c r="R13" s="11"/>
      <c r="S13" s="28"/>
      <c r="T13" s="11"/>
      <c r="U13" s="28"/>
      <c r="V13" s="146">
        <f>'Suvi Gaz'!O7</f>
        <v>543.98657000000003</v>
      </c>
      <c r="W13" s="11"/>
      <c r="X13" s="34">
        <f t="shared" si="1"/>
        <v>5420.8261700500007</v>
      </c>
    </row>
    <row r="14" spans="1:24" ht="32.25" customHeight="1" thickBot="1" x14ac:dyDescent="0.25">
      <c r="A14" s="2"/>
      <c r="B14" s="6">
        <v>44444</v>
      </c>
      <c r="C14" s="7"/>
      <c r="D14" s="143">
        <v>69</v>
      </c>
      <c r="E14" s="143">
        <v>125</v>
      </c>
      <c r="F14" s="13">
        <f>'Suivi EAU-ELEC'!E13</f>
        <v>93</v>
      </c>
      <c r="G14" s="12"/>
      <c r="H14" s="168">
        <f t="shared" si="0"/>
        <v>1060.2</v>
      </c>
      <c r="I14" s="169"/>
      <c r="J14" s="169"/>
      <c r="K14" s="60">
        <v>42282</v>
      </c>
      <c r="L14" s="90">
        <f>'Suivi EAU-ELEC'!G13</f>
        <v>4107</v>
      </c>
      <c r="M14" s="91">
        <f>'Suivi EAU-ELEC'!I13</f>
        <v>7515</v>
      </c>
      <c r="N14" s="91">
        <f>'Suivi EAU-ELEC'!K13</f>
        <v>2893</v>
      </c>
      <c r="O14" s="91">
        <f t="shared" si="2"/>
        <v>14515</v>
      </c>
      <c r="P14" s="12"/>
      <c r="Q14" s="34">
        <f t="shared" si="3"/>
        <v>13867.3577</v>
      </c>
      <c r="R14" s="12"/>
      <c r="S14" s="28"/>
      <c r="T14" s="12"/>
      <c r="U14" s="28"/>
      <c r="V14" s="146">
        <f>'Suvi Gaz'!O8</f>
        <v>0</v>
      </c>
      <c r="W14" s="11"/>
      <c r="X14" s="34">
        <f t="shared" si="1"/>
        <v>0</v>
      </c>
    </row>
    <row r="15" spans="1:24" ht="32.25" customHeight="1" thickBot="1" x14ac:dyDescent="0.25">
      <c r="A15" s="155"/>
      <c r="B15" s="6">
        <v>44445</v>
      </c>
      <c r="C15" s="7"/>
      <c r="D15" s="143">
        <v>66</v>
      </c>
      <c r="E15" s="143">
        <v>103</v>
      </c>
      <c r="F15" s="13">
        <f>'Suivi EAU-ELEC'!E14</f>
        <v>90</v>
      </c>
      <c r="G15" s="11"/>
      <c r="H15" s="168">
        <f t="shared" si="0"/>
        <v>1026</v>
      </c>
      <c r="I15" s="169"/>
      <c r="J15" s="169"/>
      <c r="K15" s="60">
        <v>42283</v>
      </c>
      <c r="L15" s="90">
        <f>'Suivi EAU-ELEC'!G14</f>
        <v>3524</v>
      </c>
      <c r="M15" s="91">
        <f>'Suivi EAU-ELEC'!I14</f>
        <v>7709</v>
      </c>
      <c r="N15" s="91">
        <f>'Suivi EAU-ELEC'!K14</f>
        <v>2824</v>
      </c>
      <c r="O15" s="91">
        <f t="shared" si="2"/>
        <v>14057</v>
      </c>
      <c r="P15" s="12"/>
      <c r="Q15" s="34">
        <f>L15*0.6985+M15*0.9514+N15*1.3304</f>
        <v>13552.906199999999</v>
      </c>
      <c r="R15" s="12"/>
      <c r="S15" s="28"/>
      <c r="T15" s="12"/>
      <c r="U15" s="28"/>
      <c r="V15" s="146">
        <f>'Suvi Gaz'!O9</f>
        <v>0</v>
      </c>
      <c r="W15" s="11"/>
      <c r="X15" s="34">
        <f t="shared" si="1"/>
        <v>0</v>
      </c>
    </row>
    <row r="16" spans="1:24" ht="32.25" customHeight="1" thickBot="1" x14ac:dyDescent="0.25">
      <c r="A16" s="155"/>
      <c r="B16" s="6">
        <v>44446</v>
      </c>
      <c r="C16" s="7"/>
      <c r="D16" s="143">
        <v>94</v>
      </c>
      <c r="E16" s="143">
        <v>135</v>
      </c>
      <c r="F16" s="13">
        <f>'Suivi EAU-ELEC'!E15</f>
        <v>120.60000000000582</v>
      </c>
      <c r="G16" s="11"/>
      <c r="H16" s="168">
        <f t="shared" si="0"/>
        <v>1374.8400000000663</v>
      </c>
      <c r="I16" s="169"/>
      <c r="J16" s="169"/>
      <c r="K16" s="60">
        <v>42284</v>
      </c>
      <c r="L16" s="90">
        <f>'Suivi EAU-ELEC'!G15</f>
        <v>3490</v>
      </c>
      <c r="M16" s="91">
        <f>'Suivi EAU-ELEC'!I15</f>
        <v>9492</v>
      </c>
      <c r="N16" s="91">
        <f>'Suivi EAU-ELEC'!K15</f>
        <v>3250</v>
      </c>
      <c r="O16" s="91">
        <f t="shared" si="2"/>
        <v>16232</v>
      </c>
      <c r="P16" s="11"/>
      <c r="Q16" s="34">
        <f t="shared" si="3"/>
        <v>15792.253799999999</v>
      </c>
      <c r="R16" s="11"/>
      <c r="S16" s="28"/>
      <c r="T16" s="11"/>
      <c r="U16" s="28"/>
      <c r="V16" s="146">
        <f>'Suvi Gaz'!O10</f>
        <v>31.999210000000001</v>
      </c>
      <c r="W16" s="11"/>
      <c r="X16" s="34">
        <f t="shared" si="1"/>
        <v>318.87212765000004</v>
      </c>
    </row>
    <row r="17" spans="1:24" s="5" customFormat="1" ht="32.25" customHeight="1" thickBot="1" x14ac:dyDescent="0.25">
      <c r="A17" s="2"/>
      <c r="B17" s="6">
        <v>44447</v>
      </c>
      <c r="C17" s="7"/>
      <c r="D17" s="143">
        <v>88</v>
      </c>
      <c r="E17" s="143">
        <v>124</v>
      </c>
      <c r="F17" s="13">
        <f>'Suivi EAU-ELEC'!E16</f>
        <v>122.39999999999418</v>
      </c>
      <c r="G17" s="11"/>
      <c r="H17" s="168">
        <f t="shared" si="0"/>
        <v>1395.3599999999337</v>
      </c>
      <c r="I17" s="169"/>
      <c r="J17" s="169"/>
      <c r="K17" s="60">
        <v>42285</v>
      </c>
      <c r="L17" s="90">
        <f>'Suivi EAU-ELEC'!G16</f>
        <v>3942</v>
      </c>
      <c r="M17" s="91">
        <f>'Suivi EAU-ELEC'!I16</f>
        <v>8618</v>
      </c>
      <c r="N17" s="91">
        <f>'Suivi EAU-ELEC'!K16</f>
        <v>2850</v>
      </c>
      <c r="O17" s="91">
        <f t="shared" si="2"/>
        <v>15410</v>
      </c>
      <c r="P17" s="12"/>
      <c r="Q17" s="34">
        <f t="shared" si="3"/>
        <v>14744.2922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1275.4885106000002</v>
      </c>
    </row>
    <row r="18" spans="1:24" ht="32.25" customHeight="1" thickBot="1" x14ac:dyDescent="0.25">
      <c r="A18" s="2"/>
      <c r="B18" s="6">
        <v>44448</v>
      </c>
      <c r="C18" s="7"/>
      <c r="D18" s="143">
        <v>90</v>
      </c>
      <c r="E18" s="143">
        <v>130</v>
      </c>
      <c r="F18" s="13">
        <f>'Suivi EAU-ELEC'!E17</f>
        <v>87</v>
      </c>
      <c r="G18" s="11"/>
      <c r="H18" s="168">
        <f t="shared" si="0"/>
        <v>991.80000000000007</v>
      </c>
      <c r="I18" s="169"/>
      <c r="J18" s="169"/>
      <c r="K18" s="60">
        <v>42286</v>
      </c>
      <c r="L18" s="90">
        <f>'Suivi EAU-ELEC'!G17</f>
        <v>3943</v>
      </c>
      <c r="M18" s="91">
        <f>'Suivi EAU-ELEC'!I17</f>
        <v>9334</v>
      </c>
      <c r="N18" s="91">
        <f>'Suivi EAU-ELEC'!K17</f>
        <v>2762</v>
      </c>
      <c r="O18" s="91">
        <f t="shared" si="2"/>
        <v>16039</v>
      </c>
      <c r="P18" s="12"/>
      <c r="Q18" s="34">
        <f t="shared" si="3"/>
        <v>15309.117899999999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2869.8491488499999</v>
      </c>
    </row>
    <row r="19" spans="1:24" ht="32.25" customHeight="1" thickBot="1" x14ac:dyDescent="0.25">
      <c r="A19" s="2"/>
      <c r="B19" s="6">
        <v>44449</v>
      </c>
      <c r="C19" s="7"/>
      <c r="D19" s="143">
        <v>100</v>
      </c>
      <c r="E19" s="143">
        <v>152</v>
      </c>
      <c r="F19" s="13">
        <f>'Suivi EAU-ELEC'!E18</f>
        <v>109.89999999999418</v>
      </c>
      <c r="G19" s="12"/>
      <c r="H19" s="168">
        <f t="shared" si="0"/>
        <v>1252.8599999999337</v>
      </c>
      <c r="I19" s="169"/>
      <c r="J19" s="169"/>
      <c r="K19" s="60">
        <v>42287</v>
      </c>
      <c r="L19" s="90">
        <f>'Suivi EAU-ELEC'!G18</f>
        <v>4100</v>
      </c>
      <c r="M19" s="91">
        <f>'Suivi EAU-ELEC'!I18</f>
        <v>9636</v>
      </c>
      <c r="N19" s="91">
        <f>'Suivi EAU-ELEC'!K18</f>
        <v>3258</v>
      </c>
      <c r="O19" s="91">
        <f t="shared" si="2"/>
        <v>16994</v>
      </c>
      <c r="P19" s="12"/>
      <c r="Q19" s="34">
        <f t="shared" si="3"/>
        <v>16365.9836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2232.1048935499998</v>
      </c>
    </row>
    <row r="20" spans="1:24" ht="32.25" customHeight="1" thickBot="1" x14ac:dyDescent="0.25">
      <c r="A20" s="2"/>
      <c r="B20" s="6">
        <v>44450</v>
      </c>
      <c r="C20" s="7"/>
      <c r="D20" s="143">
        <v>81</v>
      </c>
      <c r="E20" s="143">
        <v>129</v>
      </c>
      <c r="F20" s="13">
        <f>'Suivi EAU-ELEC'!E19</f>
        <v>149.30000000000291</v>
      </c>
      <c r="G20" s="12"/>
      <c r="H20" s="168">
        <f t="shared" si="0"/>
        <v>1702.0200000000332</v>
      </c>
      <c r="I20" s="169"/>
      <c r="J20" s="169"/>
      <c r="K20" s="60">
        <v>42288</v>
      </c>
      <c r="L20" s="90">
        <f>'Suivi EAU-ELEC'!G19</f>
        <v>4062</v>
      </c>
      <c r="M20" s="91">
        <f>'Suivi EAU-ELEC'!I19</f>
        <v>8534</v>
      </c>
      <c r="N20" s="91">
        <f>'Suivi EAU-ELEC'!K19</f>
        <v>3241</v>
      </c>
      <c r="O20" s="91">
        <f t="shared" si="2"/>
        <v>15837</v>
      </c>
      <c r="P20" s="12"/>
      <c r="Q20" s="34">
        <f t="shared" si="3"/>
        <v>15268.381000000001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1594.36063825</v>
      </c>
    </row>
    <row r="21" spans="1:24" ht="32.25" customHeight="1" thickBot="1" x14ac:dyDescent="0.25">
      <c r="A21" s="2"/>
      <c r="B21" s="6">
        <v>44451</v>
      </c>
      <c r="C21" s="7"/>
      <c r="D21" s="143">
        <v>80</v>
      </c>
      <c r="E21" s="143">
        <v>127</v>
      </c>
      <c r="F21" s="13">
        <f>'Suivi EAU-ELEC'!E20</f>
        <v>122.40000000000873</v>
      </c>
      <c r="G21" s="12"/>
      <c r="H21" s="168">
        <f t="shared" si="0"/>
        <v>1395.3600000000995</v>
      </c>
      <c r="I21" s="169"/>
      <c r="J21" s="169"/>
      <c r="K21" s="60">
        <v>42289</v>
      </c>
      <c r="L21" s="90">
        <f>'Suivi EAU-ELEC'!G20</f>
        <v>4129</v>
      </c>
      <c r="M21" s="91">
        <f>'Suivi EAU-ELEC'!I20</f>
        <v>8909</v>
      </c>
      <c r="N21" s="91">
        <f>'Suivi EAU-ELEC'!K20</f>
        <v>2959</v>
      </c>
      <c r="O21" s="91">
        <f>L21+M21+N21</f>
        <v>15997</v>
      </c>
      <c r="P21" s="12"/>
      <c r="Q21" s="34">
        <f t="shared" si="3"/>
        <v>15296.7827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3826.4655318</v>
      </c>
    </row>
    <row r="22" spans="1:24" ht="32.25" customHeight="1" thickBot="1" x14ac:dyDescent="0.25">
      <c r="A22" s="2"/>
      <c r="B22" s="6">
        <v>44452</v>
      </c>
      <c r="C22" s="7"/>
      <c r="D22" s="143">
        <v>72</v>
      </c>
      <c r="E22" s="143">
        <v>112</v>
      </c>
      <c r="F22" s="13">
        <f>'Suivi EAU-ELEC'!E21</f>
        <v>85.799999999988358</v>
      </c>
      <c r="G22" s="12"/>
      <c r="H22" s="168">
        <f t="shared" si="0"/>
        <v>978.11999999986733</v>
      </c>
      <c r="I22" s="169"/>
      <c r="J22" s="169"/>
      <c r="K22" s="60">
        <v>42290</v>
      </c>
      <c r="L22" s="90">
        <f>'Suivi EAU-ELEC'!G21</f>
        <v>4080</v>
      </c>
      <c r="M22" s="91">
        <f>'Suivi EAU-ELEC'!I21</f>
        <v>8633</v>
      </c>
      <c r="N22" s="91">
        <f>'Suivi EAU-ELEC'!K21</f>
        <v>3051</v>
      </c>
      <c r="O22" s="91">
        <f t="shared" si="2"/>
        <v>15764</v>
      </c>
      <c r="P22" s="12"/>
      <c r="Q22" s="34">
        <f t="shared" si="3"/>
        <v>15122.366600000001</v>
      </c>
      <c r="R22" s="12"/>
      <c r="S22" s="28"/>
      <c r="T22" s="12"/>
      <c r="U22" s="28"/>
      <c r="V22" s="146">
        <f>'Suvi Gaz'!O16</f>
        <v>223.99447000000001</v>
      </c>
      <c r="W22" s="11"/>
      <c r="X22" s="34">
        <f t="shared" si="1"/>
        <v>2232.1048935499998</v>
      </c>
    </row>
    <row r="23" spans="1:24" ht="32.25" customHeight="1" thickBot="1" x14ac:dyDescent="0.25">
      <c r="A23" s="2"/>
      <c r="B23" s="6">
        <v>44453</v>
      </c>
      <c r="C23" s="7"/>
      <c r="D23" s="143">
        <v>81</v>
      </c>
      <c r="E23" s="143">
        <v>124</v>
      </c>
      <c r="F23" s="13">
        <f>'Suivi EAU-ELEC'!E22</f>
        <v>156.20000000001164</v>
      </c>
      <c r="G23" s="14"/>
      <c r="H23" s="168">
        <f t="shared" si="0"/>
        <v>1780.6800000001328</v>
      </c>
      <c r="I23" s="169"/>
      <c r="J23" s="169"/>
      <c r="K23" s="60">
        <v>42291</v>
      </c>
      <c r="L23" s="90">
        <f>'Suivi EAU-ELEC'!G22</f>
        <v>3972</v>
      </c>
      <c r="M23" s="91">
        <f>'Suivi EAU-ELEC'!I22</f>
        <v>8403</v>
      </c>
      <c r="N23" s="91">
        <f>'Suivi EAU-ELEC'!K22</f>
        <v>2880</v>
      </c>
      <c r="O23" s="91">
        <f t="shared" si="2"/>
        <v>15255</v>
      </c>
      <c r="P23" s="12"/>
      <c r="Q23" s="34">
        <f t="shared" si="3"/>
        <v>14600.608199999999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2550.9770212000003</v>
      </c>
    </row>
    <row r="24" spans="1:24" ht="32.25" customHeight="1" thickBot="1" x14ac:dyDescent="0.25">
      <c r="A24" s="2"/>
      <c r="B24" s="6">
        <v>44454</v>
      </c>
      <c r="C24" s="7"/>
      <c r="D24" s="143">
        <v>67</v>
      </c>
      <c r="E24" s="143">
        <v>106</v>
      </c>
      <c r="F24" s="13">
        <f>'Suivi EAU-ELEC'!E23</f>
        <v>119.29999999998836</v>
      </c>
      <c r="G24" s="14"/>
      <c r="H24" s="168">
        <f t="shared" si="0"/>
        <v>1360.0199999998674</v>
      </c>
      <c r="I24" s="169"/>
      <c r="J24" s="169"/>
      <c r="K24" s="60">
        <v>42292</v>
      </c>
      <c r="L24" s="90">
        <f>'Suivi EAU-ELEC'!G23</f>
        <v>4049</v>
      </c>
      <c r="M24" s="91">
        <f>'Suivi EAU-ELEC'!I23</f>
        <v>8177</v>
      </c>
      <c r="N24" s="91">
        <f>'Suivi EAU-ELEC'!K23</f>
        <v>3260</v>
      </c>
      <c r="O24" s="91">
        <f t="shared" si="2"/>
        <v>15486</v>
      </c>
      <c r="P24" s="12"/>
      <c r="Q24" s="34">
        <f t="shared" si="3"/>
        <v>14944.9283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1"/>
        <v>1913.2327659</v>
      </c>
    </row>
    <row r="25" spans="1:24" ht="32.25" customHeight="1" thickBot="1" x14ac:dyDescent="0.25">
      <c r="A25" s="2"/>
      <c r="B25" s="6">
        <v>44455</v>
      </c>
      <c r="C25" s="7"/>
      <c r="D25" s="143">
        <v>60</v>
      </c>
      <c r="E25" s="143">
        <v>114</v>
      </c>
      <c r="F25" s="13">
        <f>'Suivi EAU-ELEC'!E24</f>
        <v>86.30000000000291</v>
      </c>
      <c r="G25" s="14"/>
      <c r="H25" s="168">
        <f t="shared" si="0"/>
        <v>983.82000000003325</v>
      </c>
      <c r="I25" s="169"/>
      <c r="J25" s="169"/>
      <c r="K25" s="60">
        <v>42293</v>
      </c>
      <c r="L25" s="90">
        <f>'Suivi EAU-ELEC'!G24</f>
        <v>3781</v>
      </c>
      <c r="M25" s="91">
        <f>'Suivi EAU-ELEC'!I24</f>
        <v>8039</v>
      </c>
      <c r="N25" s="91">
        <f>'Suivi EAU-ELEC'!K24</f>
        <v>3114</v>
      </c>
      <c r="O25" s="91">
        <f t="shared" si="2"/>
        <v>14934</v>
      </c>
      <c r="P25" s="12"/>
      <c r="Q25" s="34">
        <f t="shared" si="3"/>
        <v>14432.198700000001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2869.8491488499999</v>
      </c>
    </row>
    <row r="26" spans="1:24" ht="32.25" customHeight="1" thickBot="1" x14ac:dyDescent="0.25">
      <c r="A26" s="2"/>
      <c r="B26" s="6">
        <v>44456</v>
      </c>
      <c r="C26" s="7"/>
      <c r="D26" s="143">
        <v>70</v>
      </c>
      <c r="E26" s="143">
        <v>115</v>
      </c>
      <c r="F26" s="13">
        <f>'Suivi EAU-ELEC'!E25</f>
        <v>85.100000000005821</v>
      </c>
      <c r="G26" s="14"/>
      <c r="H26" s="168">
        <f t="shared" si="0"/>
        <v>970.14000000006638</v>
      </c>
      <c r="I26" s="169"/>
      <c r="J26" s="169"/>
      <c r="K26" s="60">
        <v>42294</v>
      </c>
      <c r="L26" s="90">
        <f>'Suivi EAU-ELEC'!G25</f>
        <v>3568</v>
      </c>
      <c r="M26" s="91">
        <f>'Suivi EAU-ELEC'!I25</f>
        <v>8335</v>
      </c>
      <c r="N26" s="91">
        <f>'Suivi EAU-ELEC'!K25</f>
        <v>2965</v>
      </c>
      <c r="O26" s="91">
        <f t="shared" si="2"/>
        <v>14868</v>
      </c>
      <c r="P26" s="14"/>
      <c r="Q26" s="34">
        <f t="shared" si="3"/>
        <v>14366.803</v>
      </c>
      <c r="R26" s="14"/>
      <c r="S26" s="28"/>
      <c r="T26" s="14"/>
      <c r="U26" s="28"/>
      <c r="V26" s="146">
        <f>'Suvi Gaz'!O20</f>
        <v>319.99209999999999</v>
      </c>
      <c r="W26" s="11"/>
      <c r="X26" s="34">
        <f t="shared" si="1"/>
        <v>3188.7212764999999</v>
      </c>
    </row>
    <row r="27" spans="1:24" ht="32.25" customHeight="1" thickBot="1" x14ac:dyDescent="0.25">
      <c r="A27" s="2"/>
      <c r="B27" s="6">
        <v>44457</v>
      </c>
      <c r="C27" s="7"/>
      <c r="D27" s="143">
        <v>73</v>
      </c>
      <c r="E27" s="143">
        <v>122</v>
      </c>
      <c r="F27" s="13">
        <f>'Suivi EAU-ELEC'!E26</f>
        <v>110.89999999999418</v>
      </c>
      <c r="G27" s="14"/>
      <c r="H27" s="168">
        <f t="shared" si="0"/>
        <v>1264.2599999999336</v>
      </c>
      <c r="I27" s="169"/>
      <c r="J27" s="169"/>
      <c r="K27" s="60">
        <v>42295</v>
      </c>
      <c r="L27" s="90">
        <f>'Suivi EAU-ELEC'!G26</f>
        <v>4077</v>
      </c>
      <c r="M27" s="91">
        <f>'Suivi EAU-ELEC'!I26</f>
        <v>8098</v>
      </c>
      <c r="N27" s="91">
        <f>'Suivi EAU-ELEC'!K26</f>
        <v>3203</v>
      </c>
      <c r="O27" s="91">
        <f t="shared" si="2"/>
        <v>15378</v>
      </c>
      <c r="P27" s="14"/>
      <c r="Q27" s="34">
        <f t="shared" si="3"/>
        <v>14813.492900000001</v>
      </c>
      <c r="R27" s="14"/>
      <c r="S27" s="28"/>
      <c r="T27" s="14"/>
      <c r="U27" s="28"/>
      <c r="V27" s="146">
        <f>'Suvi Gaz'!O21</f>
        <v>351.99131</v>
      </c>
      <c r="W27" s="11"/>
      <c r="X27" s="34">
        <f t="shared" si="1"/>
        <v>3507.59340415</v>
      </c>
    </row>
    <row r="28" spans="1:24" ht="32.25" customHeight="1" thickBot="1" x14ac:dyDescent="0.25">
      <c r="A28" s="2"/>
      <c r="B28" s="6">
        <v>44458</v>
      </c>
      <c r="C28" s="7"/>
      <c r="D28" s="143">
        <v>52</v>
      </c>
      <c r="E28" s="143">
        <v>82</v>
      </c>
      <c r="F28" s="13">
        <f>'Suivi EAU-ELEC'!E27</f>
        <v>90.80000000000291</v>
      </c>
      <c r="G28" s="11"/>
      <c r="H28" s="168">
        <f t="shared" si="0"/>
        <v>1035.1200000000333</v>
      </c>
      <c r="I28" s="169"/>
      <c r="J28" s="169"/>
      <c r="K28" s="60">
        <v>42296</v>
      </c>
      <c r="L28" s="90">
        <f>'Suivi EAU-ELEC'!G27</f>
        <v>4107</v>
      </c>
      <c r="M28" s="91">
        <f>'Suivi EAU-ELEC'!I27</f>
        <v>7943</v>
      </c>
      <c r="N28" s="91">
        <f>'Suivi EAU-ELEC'!K27</f>
        <v>2655</v>
      </c>
      <c r="O28" s="91">
        <f t="shared" si="2"/>
        <v>14705</v>
      </c>
      <c r="P28" s="11"/>
      <c r="Q28" s="34">
        <f>L28*0.6985+M28*0.9514+N28*1.3304</f>
        <v>13957.921699999999</v>
      </c>
      <c r="R28" s="11"/>
      <c r="S28" s="28"/>
      <c r="T28" s="11"/>
      <c r="U28" s="28"/>
      <c r="V28" s="146">
        <f>'Suvi Gaz'!O22</f>
        <v>223.99447000000001</v>
      </c>
      <c r="W28" s="11"/>
      <c r="X28" s="34">
        <f t="shared" si="1"/>
        <v>2232.1048935499998</v>
      </c>
    </row>
    <row r="29" spans="1:24" ht="32.25" customHeight="1" thickBot="1" x14ac:dyDescent="0.25">
      <c r="A29" s="2"/>
      <c r="B29" s="6">
        <v>44459</v>
      </c>
      <c r="C29" s="7"/>
      <c r="D29" s="143">
        <v>61</v>
      </c>
      <c r="E29" s="143">
        <v>90</v>
      </c>
      <c r="F29" s="13">
        <f>'Suivi EAU-ELEC'!E28</f>
        <v>77</v>
      </c>
      <c r="G29" s="11"/>
      <c r="H29" s="168">
        <f t="shared" si="0"/>
        <v>877.80000000000007</v>
      </c>
      <c r="I29" s="169"/>
      <c r="J29" s="169"/>
      <c r="K29" s="60">
        <v>42297</v>
      </c>
      <c r="L29" s="90">
        <f>'Suivi EAU-ELEC'!G28</f>
        <v>3561</v>
      </c>
      <c r="M29" s="91">
        <f>'Suivi EAU-ELEC'!I28</f>
        <v>7426</v>
      </c>
      <c r="N29" s="91">
        <f>'Suivi EAU-ELEC'!K28</f>
        <v>2470</v>
      </c>
      <c r="O29" s="91">
        <f>L29+M29+N29</f>
        <v>13457</v>
      </c>
      <c r="P29" s="11"/>
      <c r="Q29" s="34">
        <f t="shared" si="3"/>
        <v>12838.5429</v>
      </c>
      <c r="R29" s="11"/>
      <c r="S29" s="28"/>
      <c r="T29" s="11"/>
      <c r="U29" s="28"/>
      <c r="V29" s="146">
        <f>'Suvi Gaz'!O23</f>
        <v>287.99288999999999</v>
      </c>
      <c r="W29" s="11"/>
      <c r="X29" s="34">
        <f t="shared" si="1"/>
        <v>2869.8491488499999</v>
      </c>
    </row>
    <row r="30" spans="1:24" ht="32.25" customHeight="1" thickBot="1" x14ac:dyDescent="0.25">
      <c r="A30" s="2"/>
      <c r="B30" s="6">
        <v>44460</v>
      </c>
      <c r="C30" s="7"/>
      <c r="D30" s="143">
        <v>84</v>
      </c>
      <c r="E30" s="143">
        <v>124</v>
      </c>
      <c r="F30" s="13">
        <f>'Suivi EAU-ELEC'!E29</f>
        <v>118.89999999999418</v>
      </c>
      <c r="G30" s="11"/>
      <c r="H30" s="168">
        <f t="shared" si="0"/>
        <v>1355.4599999999336</v>
      </c>
      <c r="I30" s="169"/>
      <c r="J30" s="169"/>
      <c r="K30" s="60">
        <v>42298</v>
      </c>
      <c r="L30" s="90">
        <f>'Suivi EAU-ELEC'!G29</f>
        <v>3613</v>
      </c>
      <c r="M30" s="91">
        <f>'Suivi EAU-ELEC'!I29</f>
        <v>7663</v>
      </c>
      <c r="N30" s="91">
        <f>'Suivi EAU-ELEC'!K29</f>
        <v>2885</v>
      </c>
      <c r="O30" s="91">
        <f>L30+M30+N30</f>
        <v>14161</v>
      </c>
      <c r="P30" s="11"/>
      <c r="Q30" s="34">
        <f>L30*0.6985+M30*0.9514+N30*1.3304</f>
        <v>13652.4627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2869.8491488499999</v>
      </c>
    </row>
    <row r="31" spans="1:24" ht="27.75" customHeight="1" thickBot="1" x14ac:dyDescent="0.25">
      <c r="A31" s="2"/>
      <c r="B31" s="6">
        <v>44461</v>
      </c>
      <c r="C31" s="7"/>
      <c r="D31" s="143">
        <v>70</v>
      </c>
      <c r="E31" s="143">
        <v>108</v>
      </c>
      <c r="F31" s="13">
        <f>'Suivi EAU-ELEC'!E30</f>
        <v>112.20000000001164</v>
      </c>
      <c r="G31" s="11"/>
      <c r="H31" s="168">
        <f t="shared" si="0"/>
        <v>1279.0800000001327</v>
      </c>
      <c r="I31" s="169"/>
      <c r="J31" s="169"/>
      <c r="K31" s="60">
        <v>42299</v>
      </c>
      <c r="L31" s="90">
        <f>'Suivi EAU-ELEC'!G30</f>
        <v>3813</v>
      </c>
      <c r="M31" s="91">
        <f>'Suivi EAU-ELEC'!I30</f>
        <v>8094</v>
      </c>
      <c r="N31" s="91">
        <f>'Suivi EAU-ELEC'!K30</f>
        <v>3090</v>
      </c>
      <c r="O31" s="91">
        <f>L31+M31+N31</f>
        <v>14997</v>
      </c>
      <c r="P31" s="11"/>
      <c r="Q31" s="34">
        <f>L31*0.6985+M31*0.9514+N31*1.3304</f>
        <v>14474.9481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1"/>
        <v>3507.59340415</v>
      </c>
    </row>
    <row r="32" spans="1:24" ht="37.5" customHeight="1" thickBot="1" x14ac:dyDescent="0.25">
      <c r="A32" s="2"/>
      <c r="B32" s="6">
        <v>44462</v>
      </c>
      <c r="C32" s="7"/>
      <c r="D32" s="143">
        <v>59</v>
      </c>
      <c r="E32" s="143">
        <v>93</v>
      </c>
      <c r="F32" s="13">
        <f>'Suivi EAU-ELEC'!E31</f>
        <v>104.5</v>
      </c>
      <c r="G32" s="11"/>
      <c r="H32" s="168">
        <f t="shared" si="0"/>
        <v>1191.3</v>
      </c>
      <c r="I32" s="169"/>
      <c r="J32" s="169"/>
      <c r="K32" s="60">
        <v>42300</v>
      </c>
      <c r="L32" s="90">
        <f>'Suivi EAU-ELEC'!G31</f>
        <v>3702</v>
      </c>
      <c r="M32" s="91">
        <f>'Suivi EAU-ELEC'!I31</f>
        <v>8382</v>
      </c>
      <c r="N32" s="91">
        <f>'Suivi EAU-ELEC'!K31</f>
        <v>3049</v>
      </c>
      <c r="O32" s="91">
        <f t="shared" si="2"/>
        <v>15133</v>
      </c>
      <c r="P32" s="11"/>
      <c r="Q32" s="34">
        <f t="shared" si="3"/>
        <v>14616.8714</v>
      </c>
      <c r="R32" s="11"/>
      <c r="S32" s="28"/>
      <c r="T32" s="11"/>
      <c r="U32" s="28"/>
      <c r="V32" s="146">
        <f>'Suvi Gaz'!O26</f>
        <v>383.99052</v>
      </c>
      <c r="W32" s="11"/>
      <c r="X32" s="34">
        <f t="shared" si="1"/>
        <v>3826.4655318</v>
      </c>
    </row>
    <row r="33" spans="1:24" ht="37.5" customHeight="1" thickBot="1" x14ac:dyDescent="0.25">
      <c r="A33" s="2"/>
      <c r="B33" s="6">
        <v>44463</v>
      </c>
      <c r="C33" s="7"/>
      <c r="D33" s="143">
        <v>68</v>
      </c>
      <c r="E33" s="143">
        <v>115</v>
      </c>
      <c r="F33" s="13">
        <f>'Suivi EAU-ELEC'!E32</f>
        <v>120</v>
      </c>
      <c r="G33" s="11"/>
      <c r="H33" s="168">
        <f t="shared" si="0"/>
        <v>1368</v>
      </c>
      <c r="I33" s="169"/>
      <c r="J33" s="169"/>
      <c r="K33" s="60">
        <v>42301</v>
      </c>
      <c r="L33" s="90">
        <f>'Suivi EAU-ELEC'!G32</f>
        <v>3775</v>
      </c>
      <c r="M33" s="91">
        <f>'Suivi EAU-ELEC'!I32</f>
        <v>8803</v>
      </c>
      <c r="N33" s="91">
        <f>'Suivi EAU-ELEC'!K32</f>
        <v>2932</v>
      </c>
      <c r="O33" s="91">
        <f t="shared" si="2"/>
        <v>15510</v>
      </c>
      <c r="P33" s="11"/>
      <c r="Q33" s="34">
        <f t="shared" si="3"/>
        <v>14912.744499999999</v>
      </c>
      <c r="R33" s="11"/>
      <c r="S33" s="28"/>
      <c r="T33" s="11"/>
      <c r="U33" s="28"/>
      <c r="V33" s="146">
        <f>'Suvi Gaz'!O27</f>
        <v>223.99447000000001</v>
      </c>
      <c r="W33" s="11"/>
      <c r="X33" s="34">
        <f t="shared" si="1"/>
        <v>2232.1048935499998</v>
      </c>
    </row>
    <row r="34" spans="1:24" ht="37.5" customHeight="1" thickBot="1" x14ac:dyDescent="0.25">
      <c r="A34" s="2"/>
      <c r="B34" s="6">
        <v>44464</v>
      </c>
      <c r="C34" s="7"/>
      <c r="D34" s="143">
        <v>73</v>
      </c>
      <c r="E34" s="143">
        <v>136</v>
      </c>
      <c r="F34" s="13">
        <f>'Suivi EAU-ELEC'!E33</f>
        <v>86</v>
      </c>
      <c r="G34" s="11"/>
      <c r="H34" s="168">
        <f t="shared" si="0"/>
        <v>980.4</v>
      </c>
      <c r="I34" s="169"/>
      <c r="J34" s="169"/>
      <c r="K34" s="60">
        <v>42302</v>
      </c>
      <c r="L34" s="90">
        <f>'Suivi EAU-ELEC'!G33</f>
        <v>3812</v>
      </c>
      <c r="M34" s="91">
        <f>'Suivi EAU-ELEC'!I33</f>
        <v>8074</v>
      </c>
      <c r="N34" s="91">
        <f>'Suivi EAU-ELEC'!K33</f>
        <v>2884</v>
      </c>
      <c r="O34" s="91">
        <f t="shared" si="2"/>
        <v>14770</v>
      </c>
      <c r="P34" s="11"/>
      <c r="Q34" s="34">
        <f t="shared" si="3"/>
        <v>14181.159200000002</v>
      </c>
      <c r="R34" s="11"/>
      <c r="S34" s="28"/>
      <c r="T34" s="11"/>
      <c r="U34" s="28"/>
      <c r="V34" s="146">
        <f>'Suvi Gaz'!O28</f>
        <v>63.998420000000003</v>
      </c>
      <c r="W34" s="11"/>
      <c r="X34" s="34">
        <f t="shared" si="1"/>
        <v>637.74425530000008</v>
      </c>
    </row>
    <row r="35" spans="1:24" ht="33.75" customHeight="1" thickBot="1" x14ac:dyDescent="0.25">
      <c r="A35" s="2"/>
      <c r="B35" s="6">
        <v>44465</v>
      </c>
      <c r="C35" s="7"/>
      <c r="D35" s="143">
        <v>81</v>
      </c>
      <c r="E35" s="143">
        <v>134</v>
      </c>
      <c r="F35" s="13">
        <f>'Suivi EAU-ELEC'!E34</f>
        <v>105.39999999999418</v>
      </c>
      <c r="G35" s="11"/>
      <c r="H35" s="168">
        <f t="shared" si="0"/>
        <v>1201.5599999999338</v>
      </c>
      <c r="I35" s="169"/>
      <c r="J35" s="169"/>
      <c r="K35" s="60">
        <v>42303</v>
      </c>
      <c r="L35" s="90">
        <f>'Suivi EAU-ELEC'!G34</f>
        <v>3931</v>
      </c>
      <c r="M35" s="91">
        <f>'Suivi EAU-ELEC'!I34</f>
        <v>8315</v>
      </c>
      <c r="N35" s="91">
        <f>'Suivi EAU-ELEC'!K34</f>
        <v>2701</v>
      </c>
      <c r="O35" s="91">
        <f t="shared" si="2"/>
        <v>14947</v>
      </c>
      <c r="P35" s="11"/>
      <c r="Q35" s="34">
        <f t="shared" si="3"/>
        <v>14250.104900000002</v>
      </c>
      <c r="R35" s="11"/>
      <c r="S35" s="28"/>
      <c r="T35" s="11"/>
      <c r="U35" s="28"/>
      <c r="V35" s="146">
        <f>'Suvi Gaz'!O29</f>
        <v>415.98973000000001</v>
      </c>
      <c r="W35" s="11"/>
      <c r="X35" s="34">
        <f t="shared" si="1"/>
        <v>4145.3376594499996</v>
      </c>
    </row>
    <row r="36" spans="1:24" ht="33.75" customHeight="1" thickBot="1" x14ac:dyDescent="0.25">
      <c r="A36" s="2"/>
      <c r="B36" s="6">
        <v>44466</v>
      </c>
      <c r="C36" s="7"/>
      <c r="D36" s="143">
        <v>72</v>
      </c>
      <c r="E36" s="143">
        <v>102</v>
      </c>
      <c r="F36" s="13">
        <f>'Suivi EAU-ELEC'!E35</f>
        <v>84</v>
      </c>
      <c r="G36" s="11"/>
      <c r="H36" s="168">
        <f t="shared" si="0"/>
        <v>957.6</v>
      </c>
      <c r="I36" s="169"/>
      <c r="J36" s="169"/>
      <c r="K36" s="60">
        <v>42304</v>
      </c>
      <c r="L36" s="90">
        <f>'Suivi EAU-ELEC'!G35</f>
        <v>3608</v>
      </c>
      <c r="M36" s="91">
        <f>'Suivi EAU-ELEC'!I35</f>
        <v>7629</v>
      </c>
      <c r="N36" s="91">
        <f>'Suivi EAU-ELEC'!K35</f>
        <v>2875</v>
      </c>
      <c r="O36" s="91">
        <f t="shared" si="2"/>
        <v>14112</v>
      </c>
      <c r="P36" s="11"/>
      <c r="Q36" s="34">
        <f t="shared" si="3"/>
        <v>13603.318600000001</v>
      </c>
      <c r="R36" s="11"/>
      <c r="S36" s="28"/>
      <c r="T36" s="11"/>
      <c r="U36" s="28"/>
      <c r="V36" s="146">
        <f>'Suvi Gaz'!O30</f>
        <v>223.99447000000001</v>
      </c>
      <c r="W36" s="11"/>
      <c r="X36" s="34">
        <f t="shared" si="1"/>
        <v>2232.1048935499998</v>
      </c>
    </row>
    <row r="37" spans="1:24" ht="33.75" customHeight="1" thickBot="1" x14ac:dyDescent="0.25">
      <c r="A37" s="2"/>
      <c r="B37" s="6">
        <v>44467</v>
      </c>
      <c r="C37" s="7"/>
      <c r="D37" s="143">
        <v>71</v>
      </c>
      <c r="E37" s="143">
        <v>101</v>
      </c>
      <c r="F37" s="13">
        <f>'Suivi EAU-ELEC'!E36</f>
        <v>88.899999999994179</v>
      </c>
      <c r="G37" s="11"/>
      <c r="H37" s="168">
        <f t="shared" si="0"/>
        <v>1013.4599999999336</v>
      </c>
      <c r="I37" s="169"/>
      <c r="J37" s="169"/>
      <c r="K37" s="60"/>
      <c r="L37" s="90">
        <f>'Suivi EAU-ELEC'!G36</f>
        <v>3018</v>
      </c>
      <c r="M37" s="91">
        <f>'Suivi EAU-ELEC'!I36</f>
        <v>7624</v>
      </c>
      <c r="N37" s="91">
        <f>'Suivi EAU-ELEC'!K36</f>
        <v>2730</v>
      </c>
      <c r="O37" s="91">
        <f t="shared" si="2"/>
        <v>13372</v>
      </c>
      <c r="P37" s="11"/>
      <c r="Q37" s="34">
        <f t="shared" si="3"/>
        <v>12993.5386</v>
      </c>
      <c r="R37" s="11"/>
      <c r="S37" s="28"/>
      <c r="T37" s="11"/>
      <c r="U37" s="28"/>
      <c r="V37" s="146">
        <f>'Suvi Gaz'!O31</f>
        <v>319.99209999999999</v>
      </c>
      <c r="W37" s="11"/>
      <c r="X37" s="34">
        <f t="shared" si="1"/>
        <v>3188.7212764999999</v>
      </c>
    </row>
    <row r="38" spans="1:24" ht="33.75" customHeight="1" thickBot="1" x14ac:dyDescent="0.25">
      <c r="A38" s="2"/>
      <c r="B38" s="6">
        <v>44468</v>
      </c>
      <c r="C38" s="7"/>
      <c r="D38" s="143">
        <v>68</v>
      </c>
      <c r="E38" s="143">
        <v>95</v>
      </c>
      <c r="F38" s="13">
        <f>'Suivi EAU-ELEC'!E37</f>
        <v>94.900000000008731</v>
      </c>
      <c r="G38" s="11"/>
      <c r="H38" s="168">
        <f t="shared" si="0"/>
        <v>1081.8600000000995</v>
      </c>
      <c r="I38" s="169"/>
      <c r="J38" s="169"/>
      <c r="K38" s="60"/>
      <c r="L38" s="90">
        <f>'Suivi EAU-ELEC'!G37</f>
        <v>3999</v>
      </c>
      <c r="M38" s="91">
        <f>'Suivi EAU-ELEC'!I37</f>
        <v>8207</v>
      </c>
      <c r="N38" s="91">
        <f>'Suivi EAU-ELEC'!K37</f>
        <v>2933</v>
      </c>
      <c r="O38" s="91">
        <f t="shared" si="2"/>
        <v>15139</v>
      </c>
      <c r="P38" s="11"/>
      <c r="Q38" s="34">
        <f t="shared" si="3"/>
        <v>14503.504500000001</v>
      </c>
      <c r="R38" s="11"/>
      <c r="S38" s="28"/>
      <c r="T38" s="11"/>
      <c r="U38" s="28"/>
      <c r="V38" s="146">
        <f>'Suvi Gaz'!O32</f>
        <v>223.99447000000001</v>
      </c>
      <c r="W38" s="11"/>
      <c r="X38" s="34">
        <f t="shared" si="1"/>
        <v>2232.1048935499998</v>
      </c>
    </row>
    <row r="39" spans="1:24" ht="33.75" customHeight="1" thickBot="1" x14ac:dyDescent="0.25">
      <c r="A39" s="2"/>
      <c r="B39" s="6">
        <v>44469</v>
      </c>
      <c r="C39" s="7"/>
      <c r="D39" s="143">
        <v>76</v>
      </c>
      <c r="E39" s="143">
        <v>106</v>
      </c>
      <c r="F39" s="13">
        <f>'Suivi EAU-ELEC'!E38</f>
        <v>89.399999999994179</v>
      </c>
      <c r="G39" s="11"/>
      <c r="H39" s="168">
        <f t="shared" si="0"/>
        <v>1019.1599999999337</v>
      </c>
      <c r="I39" s="169"/>
      <c r="J39" s="169"/>
      <c r="K39" s="60"/>
      <c r="L39" s="90">
        <f>'Suivi EAU-ELEC'!G38</f>
        <v>3272</v>
      </c>
      <c r="M39" s="91">
        <f>'Suivi EAU-ELEC'!I38</f>
        <v>8269</v>
      </c>
      <c r="N39" s="91">
        <f>'Suivi EAU-ELEC'!K38</f>
        <v>2877</v>
      </c>
      <c r="O39" s="91">
        <f t="shared" si="2"/>
        <v>14418</v>
      </c>
      <c r="P39" s="11"/>
      <c r="Q39" s="34">
        <f t="shared" si="3"/>
        <v>13980.179400000001</v>
      </c>
      <c r="R39" s="11"/>
      <c r="S39" s="28"/>
      <c r="T39" s="11"/>
      <c r="U39" s="28"/>
      <c r="V39" s="146">
        <f>'Suvi Gaz'!O33</f>
        <v>127.99684000000001</v>
      </c>
      <c r="W39" s="11"/>
      <c r="X39" s="34">
        <f t="shared" si="1"/>
        <v>1275.4885106000002</v>
      </c>
    </row>
    <row r="40" spans="1:24" ht="42.75" customHeight="1" thickBot="1" x14ac:dyDescent="0.25">
      <c r="A40" s="2"/>
      <c r="B40" s="10"/>
      <c r="C40" s="10"/>
      <c r="D40" s="8">
        <f>SUM(D10:D39)</f>
        <v>2192</v>
      </c>
      <c r="E40" s="8">
        <f>SUM(E10:E39)</f>
        <v>3441</v>
      </c>
      <c r="F40" s="151">
        <f>SUM(F10:F39)</f>
        <v>3086.8000000000029</v>
      </c>
      <c r="G40" s="1"/>
      <c r="H40" s="249">
        <f>SUM(H10:H39)</f>
        <v>35189.520000000019</v>
      </c>
      <c r="I40" s="250"/>
      <c r="J40" s="251"/>
      <c r="K40" s="1"/>
      <c r="L40" s="53">
        <f>SUM(L10:L39)</f>
        <v>113929</v>
      </c>
      <c r="M40" s="53">
        <f>SUM(M10:M39)</f>
        <v>245826</v>
      </c>
      <c r="N40" s="54">
        <f>SUM(N10:N39)</f>
        <v>87561</v>
      </c>
      <c r="O40" s="55">
        <f>SUM(O10:O39)</f>
        <v>447316</v>
      </c>
      <c r="P40" s="31"/>
      <c r="Q40" s="32">
        <f>SUM(Q10:Q39)</f>
        <v>430144.98609999992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7039.8261999999995</v>
      </c>
      <c r="W40" s="31"/>
      <c r="X40" s="32">
        <f>SUM(X10:X39)</f>
        <v>70151.868083000008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5"/>
      <c r="M41" s="155"/>
      <c r="N41" s="155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 x14ac:dyDescent="0.25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113929</v>
      </c>
      <c r="J43" s="210"/>
      <c r="K43" s="211"/>
      <c r="L43" s="170">
        <f>I43*H43</f>
        <v>79579.406499999997</v>
      </c>
      <c r="M43" s="171"/>
      <c r="N43" s="227">
        <f>L43+L44+L45</f>
        <v>429949.41730000003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 x14ac:dyDescent="0.25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245826</v>
      </c>
      <c r="J44" s="210"/>
      <c r="K44" s="211"/>
      <c r="L44" s="170">
        <f>I44*H44</f>
        <v>233878.85640000002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 x14ac:dyDescent="0.25">
      <c r="A45" s="215"/>
      <c r="B45" s="216"/>
      <c r="C45" s="217"/>
      <c r="D45" s="163" t="s">
        <v>32</v>
      </c>
      <c r="E45" s="163" t="s">
        <v>32</v>
      </c>
      <c r="F45" s="163" t="s">
        <v>32</v>
      </c>
      <c r="G45" s="20"/>
      <c r="H45" s="20">
        <v>1.3304</v>
      </c>
      <c r="I45" s="240">
        <f>N40</f>
        <v>87561</v>
      </c>
      <c r="J45" s="241"/>
      <c r="K45" s="242"/>
      <c r="L45" s="170">
        <f>I45*H45</f>
        <v>116491.1544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 x14ac:dyDescent="0.25">
      <c r="A46" s="158"/>
      <c r="B46" s="159"/>
      <c r="C46" s="159"/>
      <c r="D46" s="163"/>
      <c r="E46" s="163"/>
      <c r="F46" s="163"/>
      <c r="G46" s="16"/>
      <c r="H46" s="16"/>
      <c r="I46" s="161"/>
      <c r="J46" s="162"/>
      <c r="K46" s="163"/>
      <c r="L46" s="152"/>
      <c r="M46" s="153"/>
      <c r="N46" s="246">
        <f>N43*1.3</f>
        <v>558934.24249000009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 x14ac:dyDescent="0.25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3086.8000000000029</v>
      </c>
      <c r="J47" s="202"/>
      <c r="K47" s="203"/>
      <c r="L47" s="207">
        <f>I47*H47</f>
        <v>27132.972000000023</v>
      </c>
      <c r="M47" s="208"/>
      <c r="N47" s="224">
        <f>L47</f>
        <v>27132.972000000023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 x14ac:dyDescent="0.2">
      <c r="A48" s="236" t="s">
        <v>40</v>
      </c>
      <c r="B48" s="237"/>
      <c r="C48" s="237"/>
      <c r="D48" s="237"/>
      <c r="E48" s="237"/>
      <c r="F48" s="238"/>
      <c r="G48" s="24"/>
      <c r="H48" s="25">
        <v>9.9649999999999999</v>
      </c>
      <c r="I48" s="199">
        <f>V40</f>
        <v>7039.8261999999995</v>
      </c>
      <c r="J48" s="239"/>
      <c r="K48" s="200"/>
      <c r="L48" s="199">
        <f>I48*H48</f>
        <v>70151.868082999994</v>
      </c>
      <c r="M48" s="200"/>
      <c r="N48" s="221">
        <f>L48</f>
        <v>70151.868082999994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 x14ac:dyDescent="0.2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 x14ac:dyDescent="0.2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</row>
    <row r="54" spans="1:24" ht="39" customHeight="1" x14ac:dyDescent="0.2">
      <c r="A54" s="16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>
      <c r="A6" s="164"/>
      <c r="B6" s="164"/>
      <c r="C6" s="164"/>
    </row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44440</v>
      </c>
      <c r="B9" s="116">
        <v>2560</v>
      </c>
      <c r="C9" s="115">
        <v>0</v>
      </c>
      <c r="D9" s="57">
        <v>121259</v>
      </c>
      <c r="E9" s="50">
        <v>111.60000000000582</v>
      </c>
      <c r="F9" s="51">
        <v>10926148</v>
      </c>
      <c r="G9" s="50">
        <v>3585</v>
      </c>
      <c r="H9" s="51">
        <v>18565342</v>
      </c>
      <c r="I9" s="50">
        <v>7212</v>
      </c>
      <c r="J9" s="51">
        <v>8164784</v>
      </c>
      <c r="K9" s="50">
        <v>2556</v>
      </c>
    </row>
    <row r="10" spans="1:12" ht="19.5" x14ac:dyDescent="0.3">
      <c r="A10" s="59">
        <v>44441</v>
      </c>
      <c r="B10" s="116">
        <v>2560</v>
      </c>
      <c r="C10" s="115">
        <f t="shared" ref="C10:C26" si="0">B10-B9</f>
        <v>0</v>
      </c>
      <c r="D10" s="57">
        <v>121340.4</v>
      </c>
      <c r="E10" s="50">
        <f t="shared" ref="E10:E26" si="1">D10-D9</f>
        <v>81.399999999994179</v>
      </c>
      <c r="F10" s="51">
        <v>10929846</v>
      </c>
      <c r="G10" s="50">
        <f t="shared" ref="G10:G26" si="2">F10-F9</f>
        <v>3698</v>
      </c>
      <c r="H10" s="51">
        <v>18573231</v>
      </c>
      <c r="I10" s="50">
        <f t="shared" ref="I10:I26" si="3">H10-H9</f>
        <v>7889</v>
      </c>
      <c r="J10" s="51">
        <v>8167530</v>
      </c>
      <c r="K10" s="50">
        <f t="shared" ref="K10:K26" si="4">J10-J9</f>
        <v>2746</v>
      </c>
    </row>
    <row r="11" spans="1:12" ht="19.5" x14ac:dyDescent="0.3">
      <c r="A11" s="59">
        <v>44442</v>
      </c>
      <c r="B11" s="116">
        <v>2560</v>
      </c>
      <c r="C11" s="115">
        <f t="shared" si="0"/>
        <v>0</v>
      </c>
      <c r="D11" s="57">
        <v>121417</v>
      </c>
      <c r="E11" s="50">
        <f t="shared" si="1"/>
        <v>76.600000000005821</v>
      </c>
      <c r="F11" s="51">
        <v>10933753</v>
      </c>
      <c r="G11" s="50">
        <f t="shared" si="2"/>
        <v>3907</v>
      </c>
      <c r="H11" s="51">
        <v>18580533</v>
      </c>
      <c r="I11" s="50">
        <f t="shared" si="3"/>
        <v>7302</v>
      </c>
      <c r="J11" s="51">
        <v>8170349</v>
      </c>
      <c r="K11" s="50">
        <f t="shared" si="4"/>
        <v>2819</v>
      </c>
    </row>
    <row r="12" spans="1:12" ht="19.5" x14ac:dyDescent="0.3">
      <c r="A12" s="59">
        <v>44443</v>
      </c>
      <c r="B12" s="116">
        <v>2560</v>
      </c>
      <c r="C12" s="115">
        <f t="shared" si="0"/>
        <v>0</v>
      </c>
      <c r="D12" s="57">
        <v>121524</v>
      </c>
      <c r="E12" s="50">
        <f t="shared" si="1"/>
        <v>107</v>
      </c>
      <c r="F12" s="51">
        <v>10937457</v>
      </c>
      <c r="G12" s="50">
        <f t="shared" si="2"/>
        <v>3704</v>
      </c>
      <c r="H12" s="51">
        <v>18588095</v>
      </c>
      <c r="I12" s="50">
        <f t="shared" si="3"/>
        <v>7562</v>
      </c>
      <c r="J12" s="51">
        <v>8173198</v>
      </c>
      <c r="K12" s="50">
        <f t="shared" si="4"/>
        <v>2849</v>
      </c>
    </row>
    <row r="13" spans="1:12" ht="19.5" x14ac:dyDescent="0.3">
      <c r="A13" s="59">
        <v>44444</v>
      </c>
      <c r="B13" s="116">
        <v>2560</v>
      </c>
      <c r="C13" s="115">
        <f t="shared" si="0"/>
        <v>0</v>
      </c>
      <c r="D13" s="57">
        <v>121617</v>
      </c>
      <c r="E13" s="50">
        <f t="shared" si="1"/>
        <v>93</v>
      </c>
      <c r="F13" s="51">
        <v>10941564</v>
      </c>
      <c r="G13" s="50">
        <f t="shared" si="2"/>
        <v>4107</v>
      </c>
      <c r="H13" s="51">
        <v>18595610</v>
      </c>
      <c r="I13" s="50">
        <f t="shared" si="3"/>
        <v>7515</v>
      </c>
      <c r="J13" s="51">
        <v>8176091</v>
      </c>
      <c r="K13" s="50">
        <f t="shared" si="4"/>
        <v>2893</v>
      </c>
    </row>
    <row r="14" spans="1:12" ht="19.5" x14ac:dyDescent="0.3">
      <c r="A14" s="59">
        <v>44445</v>
      </c>
      <c r="B14" s="116">
        <v>2560</v>
      </c>
      <c r="C14" s="115">
        <f t="shared" si="0"/>
        <v>0</v>
      </c>
      <c r="D14" s="57">
        <v>121707</v>
      </c>
      <c r="E14" s="50">
        <f t="shared" si="1"/>
        <v>90</v>
      </c>
      <c r="F14" s="51">
        <v>10945088</v>
      </c>
      <c r="G14" s="50">
        <f t="shared" si="2"/>
        <v>3524</v>
      </c>
      <c r="H14" s="51">
        <v>18603319</v>
      </c>
      <c r="I14" s="50">
        <f t="shared" si="3"/>
        <v>7709</v>
      </c>
      <c r="J14" s="51">
        <v>8178915</v>
      </c>
      <c r="K14" s="50">
        <f t="shared" si="4"/>
        <v>2824</v>
      </c>
    </row>
    <row r="15" spans="1:12" ht="19.5" x14ac:dyDescent="0.3">
      <c r="A15" s="59">
        <v>44446</v>
      </c>
      <c r="B15" s="116">
        <v>2560</v>
      </c>
      <c r="C15" s="115">
        <f t="shared" si="0"/>
        <v>0</v>
      </c>
      <c r="D15" s="57">
        <v>121827.6</v>
      </c>
      <c r="E15" s="50">
        <f t="shared" si="1"/>
        <v>120.60000000000582</v>
      </c>
      <c r="F15" s="51">
        <v>10948578</v>
      </c>
      <c r="G15" s="50">
        <f t="shared" si="2"/>
        <v>3490</v>
      </c>
      <c r="H15" s="51">
        <v>18612811</v>
      </c>
      <c r="I15" s="50">
        <f t="shared" si="3"/>
        <v>9492</v>
      </c>
      <c r="J15" s="51">
        <v>8182165</v>
      </c>
      <c r="K15" s="50">
        <f t="shared" si="4"/>
        <v>3250</v>
      </c>
    </row>
    <row r="16" spans="1:12" ht="19.5" x14ac:dyDescent="0.3">
      <c r="A16" s="59">
        <v>44447</v>
      </c>
      <c r="B16" s="116">
        <v>2560</v>
      </c>
      <c r="C16" s="115">
        <f t="shared" si="0"/>
        <v>0</v>
      </c>
      <c r="D16" s="57">
        <v>121950</v>
      </c>
      <c r="E16" s="50">
        <f t="shared" si="1"/>
        <v>122.39999999999418</v>
      </c>
      <c r="F16" s="51">
        <v>10952520</v>
      </c>
      <c r="G16" s="50">
        <f t="shared" si="2"/>
        <v>3942</v>
      </c>
      <c r="H16" s="51">
        <v>18621429</v>
      </c>
      <c r="I16" s="50">
        <f t="shared" si="3"/>
        <v>8618</v>
      </c>
      <c r="J16" s="51">
        <v>8185015</v>
      </c>
      <c r="K16" s="50">
        <f t="shared" si="4"/>
        <v>2850</v>
      </c>
    </row>
    <row r="17" spans="1:29" ht="19.5" x14ac:dyDescent="0.3">
      <c r="A17" s="59">
        <v>44448</v>
      </c>
      <c r="B17" s="116">
        <v>2560</v>
      </c>
      <c r="C17" s="115">
        <f t="shared" si="0"/>
        <v>0</v>
      </c>
      <c r="D17" s="57">
        <v>122037</v>
      </c>
      <c r="E17" s="50">
        <f t="shared" si="1"/>
        <v>87</v>
      </c>
      <c r="F17" s="51">
        <v>10956463</v>
      </c>
      <c r="G17" s="50">
        <f t="shared" si="2"/>
        <v>3943</v>
      </c>
      <c r="H17" s="51">
        <v>18630763</v>
      </c>
      <c r="I17" s="50">
        <f t="shared" si="3"/>
        <v>9334</v>
      </c>
      <c r="J17" s="51">
        <v>8187777</v>
      </c>
      <c r="K17" s="50">
        <f t="shared" si="4"/>
        <v>2762</v>
      </c>
    </row>
    <row r="18" spans="1:29" ht="19.5" x14ac:dyDescent="0.3">
      <c r="A18" s="59">
        <v>44449</v>
      </c>
      <c r="B18" s="116">
        <v>2560</v>
      </c>
      <c r="C18" s="115">
        <f t="shared" si="0"/>
        <v>0</v>
      </c>
      <c r="D18" s="57">
        <v>122146.9</v>
      </c>
      <c r="E18" s="50">
        <f t="shared" si="1"/>
        <v>109.89999999999418</v>
      </c>
      <c r="F18" s="51">
        <v>10960563</v>
      </c>
      <c r="G18" s="50">
        <f t="shared" si="2"/>
        <v>4100</v>
      </c>
      <c r="H18" s="51">
        <v>18640399</v>
      </c>
      <c r="I18" s="50">
        <f t="shared" si="3"/>
        <v>9636</v>
      </c>
      <c r="J18" s="51">
        <v>8191035</v>
      </c>
      <c r="K18" s="50">
        <f t="shared" si="4"/>
        <v>3258</v>
      </c>
    </row>
    <row r="19" spans="1:29" ht="19.5" x14ac:dyDescent="0.3">
      <c r="A19" s="59">
        <v>44450</v>
      </c>
      <c r="B19" s="116">
        <v>2560</v>
      </c>
      <c r="C19" s="115">
        <f t="shared" si="0"/>
        <v>0</v>
      </c>
      <c r="D19" s="57">
        <v>122296.2</v>
      </c>
      <c r="E19" s="50">
        <f t="shared" si="1"/>
        <v>149.30000000000291</v>
      </c>
      <c r="F19" s="51">
        <v>10964625</v>
      </c>
      <c r="G19" s="50">
        <f t="shared" si="2"/>
        <v>4062</v>
      </c>
      <c r="H19" s="51">
        <v>18648933</v>
      </c>
      <c r="I19" s="50">
        <f t="shared" si="3"/>
        <v>8534</v>
      </c>
      <c r="J19" s="51">
        <v>8194276</v>
      </c>
      <c r="K19" s="50">
        <f t="shared" si="4"/>
        <v>3241</v>
      </c>
    </row>
    <row r="20" spans="1:29" ht="18.75" customHeight="1" x14ac:dyDescent="0.35">
      <c r="A20" s="59">
        <v>44451</v>
      </c>
      <c r="B20" s="116">
        <v>2560</v>
      </c>
      <c r="C20" s="115">
        <f t="shared" si="0"/>
        <v>0</v>
      </c>
      <c r="D20" s="57">
        <v>122418.6</v>
      </c>
      <c r="E20" s="50">
        <f t="shared" si="1"/>
        <v>122.40000000000873</v>
      </c>
      <c r="F20" s="51">
        <v>10968754</v>
      </c>
      <c r="G20" s="50">
        <f t="shared" si="2"/>
        <v>4129</v>
      </c>
      <c r="H20" s="51">
        <v>18657842</v>
      </c>
      <c r="I20" s="50">
        <f t="shared" si="3"/>
        <v>8909</v>
      </c>
      <c r="J20" s="51">
        <v>8197235</v>
      </c>
      <c r="K20" s="50">
        <f t="shared" si="4"/>
        <v>2959</v>
      </c>
      <c r="L20" s="117" t="s">
        <v>18</v>
      </c>
      <c r="AC20" t="s">
        <v>56</v>
      </c>
    </row>
    <row r="21" spans="1:29" ht="19.5" x14ac:dyDescent="0.3">
      <c r="A21" s="59">
        <v>44452</v>
      </c>
      <c r="B21" s="116">
        <v>2560</v>
      </c>
      <c r="C21" s="115">
        <f t="shared" si="0"/>
        <v>0</v>
      </c>
      <c r="D21" s="57">
        <v>122504.4</v>
      </c>
      <c r="E21" s="50">
        <f t="shared" si="1"/>
        <v>85.799999999988358</v>
      </c>
      <c r="F21" s="51">
        <v>10972834</v>
      </c>
      <c r="G21" s="50">
        <f t="shared" si="2"/>
        <v>4080</v>
      </c>
      <c r="H21" s="51">
        <v>18666475</v>
      </c>
      <c r="I21" s="50">
        <f t="shared" si="3"/>
        <v>8633</v>
      </c>
      <c r="J21" s="51">
        <v>8200286</v>
      </c>
      <c r="K21" s="50">
        <f t="shared" si="4"/>
        <v>3051</v>
      </c>
    </row>
    <row r="22" spans="1:29" ht="19.5" x14ac:dyDescent="0.3">
      <c r="A22" s="59">
        <v>44453</v>
      </c>
      <c r="B22" s="116">
        <v>2560</v>
      </c>
      <c r="C22" s="115">
        <f t="shared" si="0"/>
        <v>0</v>
      </c>
      <c r="D22" s="57">
        <v>122660.6</v>
      </c>
      <c r="E22" s="50">
        <f t="shared" si="1"/>
        <v>156.20000000001164</v>
      </c>
      <c r="F22" s="51">
        <v>10976806</v>
      </c>
      <c r="G22" s="50">
        <f t="shared" si="2"/>
        <v>3972</v>
      </c>
      <c r="H22" s="51">
        <v>18674878</v>
      </c>
      <c r="I22" s="50">
        <f t="shared" si="3"/>
        <v>8403</v>
      </c>
      <c r="J22" s="51">
        <v>8203166</v>
      </c>
      <c r="K22" s="50">
        <f t="shared" si="4"/>
        <v>2880</v>
      </c>
    </row>
    <row r="23" spans="1:29" ht="19.5" x14ac:dyDescent="0.3">
      <c r="A23" s="59">
        <v>44454</v>
      </c>
      <c r="B23" s="116">
        <v>2560</v>
      </c>
      <c r="C23" s="115">
        <f t="shared" si="0"/>
        <v>0</v>
      </c>
      <c r="D23" s="57">
        <v>122779.9</v>
      </c>
      <c r="E23" s="50">
        <f t="shared" si="1"/>
        <v>119.29999999998836</v>
      </c>
      <c r="F23" s="51">
        <v>10980855</v>
      </c>
      <c r="G23" s="50">
        <f t="shared" si="2"/>
        <v>4049</v>
      </c>
      <c r="H23" s="51">
        <v>18683055</v>
      </c>
      <c r="I23" s="50">
        <f t="shared" si="3"/>
        <v>8177</v>
      </c>
      <c r="J23" s="51">
        <v>8206426</v>
      </c>
      <c r="K23" s="50">
        <f t="shared" si="4"/>
        <v>3260</v>
      </c>
    </row>
    <row r="24" spans="1:29" ht="19.5" x14ac:dyDescent="0.3">
      <c r="A24" s="59">
        <v>44455</v>
      </c>
      <c r="B24" s="116">
        <v>2560</v>
      </c>
      <c r="C24" s="115">
        <f t="shared" si="0"/>
        <v>0</v>
      </c>
      <c r="D24" s="57">
        <v>122866.2</v>
      </c>
      <c r="E24" s="50">
        <f t="shared" si="1"/>
        <v>86.30000000000291</v>
      </c>
      <c r="F24" s="51">
        <v>10984636</v>
      </c>
      <c r="G24" s="50">
        <f t="shared" si="2"/>
        <v>3781</v>
      </c>
      <c r="H24" s="51">
        <v>18691094</v>
      </c>
      <c r="I24" s="50">
        <f t="shared" si="3"/>
        <v>8039</v>
      </c>
      <c r="J24" s="51">
        <v>8209540</v>
      </c>
      <c r="K24" s="50">
        <f t="shared" si="4"/>
        <v>3114</v>
      </c>
    </row>
    <row r="25" spans="1:29" ht="19.5" x14ac:dyDescent="0.3">
      <c r="A25" s="59">
        <v>44456</v>
      </c>
      <c r="B25" s="116">
        <v>2560</v>
      </c>
      <c r="C25" s="115">
        <f t="shared" si="0"/>
        <v>0</v>
      </c>
      <c r="D25" s="57">
        <v>122951.3</v>
      </c>
      <c r="E25" s="50">
        <f t="shared" si="1"/>
        <v>85.100000000005821</v>
      </c>
      <c r="F25" s="51">
        <v>10988204</v>
      </c>
      <c r="G25" s="50">
        <f t="shared" si="2"/>
        <v>3568</v>
      </c>
      <c r="H25" s="51">
        <v>18699429</v>
      </c>
      <c r="I25" s="50">
        <f t="shared" si="3"/>
        <v>8335</v>
      </c>
      <c r="J25" s="51">
        <v>8212505</v>
      </c>
      <c r="K25" s="50">
        <f t="shared" si="4"/>
        <v>2965</v>
      </c>
    </row>
    <row r="26" spans="1:29" ht="19.5" x14ac:dyDescent="0.3">
      <c r="A26" s="59">
        <v>44457</v>
      </c>
      <c r="B26" s="116">
        <v>2560</v>
      </c>
      <c r="C26" s="115">
        <f t="shared" si="0"/>
        <v>0</v>
      </c>
      <c r="D26" s="57">
        <v>123062.2</v>
      </c>
      <c r="E26" s="50">
        <f t="shared" si="1"/>
        <v>110.89999999999418</v>
      </c>
      <c r="F26" s="51">
        <v>10992281</v>
      </c>
      <c r="G26" s="50">
        <f t="shared" si="2"/>
        <v>4077</v>
      </c>
      <c r="H26" s="51">
        <v>18707527</v>
      </c>
      <c r="I26" s="50">
        <f t="shared" si="3"/>
        <v>8098</v>
      </c>
      <c r="J26" s="51">
        <v>8215708</v>
      </c>
      <c r="K26" s="50">
        <f t="shared" si="4"/>
        <v>3203</v>
      </c>
    </row>
    <row r="27" spans="1:29" ht="19.5" x14ac:dyDescent="0.3">
      <c r="A27" s="59">
        <v>44458</v>
      </c>
      <c r="B27" s="116">
        <v>2560</v>
      </c>
      <c r="C27" s="115">
        <f t="shared" ref="C27:C39" si="5">B27-B26</f>
        <v>0</v>
      </c>
      <c r="D27" s="57">
        <v>123153</v>
      </c>
      <c r="E27" s="50">
        <f t="shared" ref="E27:E39" si="6">D27-D26</f>
        <v>90.80000000000291</v>
      </c>
      <c r="F27" s="51">
        <v>10996388</v>
      </c>
      <c r="G27" s="50">
        <f t="shared" ref="G27:G39" si="7">F27-F26</f>
        <v>4107</v>
      </c>
      <c r="H27" s="51">
        <v>18715470</v>
      </c>
      <c r="I27" s="50">
        <f t="shared" ref="I27:I39" si="8">H27-H26</f>
        <v>7943</v>
      </c>
      <c r="J27" s="51">
        <v>8218363</v>
      </c>
      <c r="K27" s="50">
        <f t="shared" ref="K27:K39" si="9">J27-J26</f>
        <v>2655</v>
      </c>
    </row>
    <row r="28" spans="1:29" ht="19.5" x14ac:dyDescent="0.3">
      <c r="A28" s="59">
        <v>44459</v>
      </c>
      <c r="B28" s="116">
        <v>2560</v>
      </c>
      <c r="C28" s="115">
        <f t="shared" si="5"/>
        <v>0</v>
      </c>
      <c r="D28" s="57">
        <v>123230</v>
      </c>
      <c r="E28" s="50">
        <f t="shared" si="6"/>
        <v>77</v>
      </c>
      <c r="F28" s="51">
        <v>10999949</v>
      </c>
      <c r="G28" s="50">
        <f t="shared" si="7"/>
        <v>3561</v>
      </c>
      <c r="H28" s="51">
        <v>18722896</v>
      </c>
      <c r="I28" s="50">
        <f t="shared" si="8"/>
        <v>7426</v>
      </c>
      <c r="J28" s="51">
        <v>8220833</v>
      </c>
      <c r="K28" s="50">
        <f t="shared" si="9"/>
        <v>2470</v>
      </c>
    </row>
    <row r="29" spans="1:29" ht="19.5" x14ac:dyDescent="0.3">
      <c r="A29" s="59">
        <v>44460</v>
      </c>
      <c r="B29" s="116">
        <v>2560</v>
      </c>
      <c r="C29" s="115">
        <f t="shared" si="5"/>
        <v>0</v>
      </c>
      <c r="D29" s="57">
        <v>123348.9</v>
      </c>
      <c r="E29" s="50">
        <f t="shared" si="6"/>
        <v>118.89999999999418</v>
      </c>
      <c r="F29" s="51">
        <v>11003562</v>
      </c>
      <c r="G29" s="50">
        <f t="shared" si="7"/>
        <v>3613</v>
      </c>
      <c r="H29" s="51">
        <v>18730559</v>
      </c>
      <c r="I29" s="50">
        <f t="shared" si="8"/>
        <v>7663</v>
      </c>
      <c r="J29" s="51">
        <v>8223718</v>
      </c>
      <c r="K29" s="50">
        <f t="shared" si="9"/>
        <v>2885</v>
      </c>
    </row>
    <row r="30" spans="1:29" ht="19.5" x14ac:dyDescent="0.3">
      <c r="A30" s="59">
        <v>44461</v>
      </c>
      <c r="B30" s="116">
        <v>2560</v>
      </c>
      <c r="C30" s="115">
        <f t="shared" si="5"/>
        <v>0</v>
      </c>
      <c r="D30" s="57">
        <v>123461.1</v>
      </c>
      <c r="E30" s="50">
        <f t="shared" si="6"/>
        <v>112.20000000001164</v>
      </c>
      <c r="F30" s="51">
        <v>11007375</v>
      </c>
      <c r="G30" s="50">
        <f t="shared" si="7"/>
        <v>3813</v>
      </c>
      <c r="H30" s="51">
        <v>18738653</v>
      </c>
      <c r="I30" s="50">
        <f t="shared" si="8"/>
        <v>8094</v>
      </c>
      <c r="J30" s="51">
        <v>8226808</v>
      </c>
      <c r="K30" s="50">
        <f t="shared" si="9"/>
        <v>3090</v>
      </c>
    </row>
    <row r="31" spans="1:29" ht="19.5" x14ac:dyDescent="0.3">
      <c r="A31" s="59">
        <v>44462</v>
      </c>
      <c r="B31" s="116">
        <v>2560</v>
      </c>
      <c r="C31" s="115">
        <f t="shared" si="5"/>
        <v>0</v>
      </c>
      <c r="D31" s="57">
        <v>123565.6</v>
      </c>
      <c r="E31" s="50">
        <f t="shared" si="6"/>
        <v>104.5</v>
      </c>
      <c r="F31" s="51">
        <v>11011077</v>
      </c>
      <c r="G31" s="50">
        <f t="shared" si="7"/>
        <v>3702</v>
      </c>
      <c r="H31" s="51">
        <v>18747035</v>
      </c>
      <c r="I31" s="50">
        <f t="shared" si="8"/>
        <v>8382</v>
      </c>
      <c r="J31" s="51">
        <v>8229857</v>
      </c>
      <c r="K31" s="50">
        <f t="shared" si="9"/>
        <v>3049</v>
      </c>
    </row>
    <row r="32" spans="1:29" ht="19.5" x14ac:dyDescent="0.3">
      <c r="A32" s="59">
        <v>44463</v>
      </c>
      <c r="B32" s="116">
        <v>2560</v>
      </c>
      <c r="C32" s="115">
        <f t="shared" si="5"/>
        <v>0</v>
      </c>
      <c r="D32" s="57">
        <v>123685.6</v>
      </c>
      <c r="E32" s="50">
        <f t="shared" si="6"/>
        <v>120</v>
      </c>
      <c r="F32" s="51">
        <v>11014852</v>
      </c>
      <c r="G32" s="50">
        <f t="shared" si="7"/>
        <v>3775</v>
      </c>
      <c r="H32" s="51">
        <v>18755838</v>
      </c>
      <c r="I32" s="50">
        <f t="shared" si="8"/>
        <v>8803</v>
      </c>
      <c r="J32" s="51">
        <v>8232789</v>
      </c>
      <c r="K32" s="50">
        <f t="shared" si="9"/>
        <v>2932</v>
      </c>
    </row>
    <row r="33" spans="1:11" ht="19.5" x14ac:dyDescent="0.3">
      <c r="A33" s="59">
        <v>44464</v>
      </c>
      <c r="B33" s="116">
        <v>2560</v>
      </c>
      <c r="C33" s="115">
        <f t="shared" si="5"/>
        <v>0</v>
      </c>
      <c r="D33" s="57">
        <v>123771.6</v>
      </c>
      <c r="E33" s="50">
        <f t="shared" si="6"/>
        <v>86</v>
      </c>
      <c r="F33" s="51">
        <v>11018664</v>
      </c>
      <c r="G33" s="50">
        <f t="shared" si="7"/>
        <v>3812</v>
      </c>
      <c r="H33" s="51">
        <v>18763912</v>
      </c>
      <c r="I33" s="50">
        <f t="shared" si="8"/>
        <v>8074</v>
      </c>
      <c r="J33" s="51">
        <v>8235673</v>
      </c>
      <c r="K33" s="50">
        <f t="shared" si="9"/>
        <v>2884</v>
      </c>
    </row>
    <row r="34" spans="1:11" ht="19.5" x14ac:dyDescent="0.3">
      <c r="A34" s="59">
        <v>44465</v>
      </c>
      <c r="B34" s="116">
        <v>2560</v>
      </c>
      <c r="C34" s="115">
        <f t="shared" si="5"/>
        <v>0</v>
      </c>
      <c r="D34" s="57">
        <v>123877</v>
      </c>
      <c r="E34" s="50">
        <f t="shared" si="6"/>
        <v>105.39999999999418</v>
      </c>
      <c r="F34" s="51">
        <v>11022595</v>
      </c>
      <c r="G34" s="50">
        <f t="shared" si="7"/>
        <v>3931</v>
      </c>
      <c r="H34" s="51">
        <v>18772227</v>
      </c>
      <c r="I34" s="50">
        <f t="shared" si="8"/>
        <v>8315</v>
      </c>
      <c r="J34" s="51">
        <v>8238374</v>
      </c>
      <c r="K34" s="50">
        <f t="shared" si="9"/>
        <v>2701</v>
      </c>
    </row>
    <row r="35" spans="1:11" ht="19.5" x14ac:dyDescent="0.3">
      <c r="A35" s="59">
        <v>44466</v>
      </c>
      <c r="B35" s="116">
        <v>2560</v>
      </c>
      <c r="C35" s="115">
        <f t="shared" si="5"/>
        <v>0</v>
      </c>
      <c r="D35" s="57">
        <v>123961</v>
      </c>
      <c r="E35" s="50">
        <f t="shared" si="6"/>
        <v>84</v>
      </c>
      <c r="F35" s="51">
        <v>11026203</v>
      </c>
      <c r="G35" s="50">
        <f t="shared" si="7"/>
        <v>3608</v>
      </c>
      <c r="H35" s="51">
        <v>18779856</v>
      </c>
      <c r="I35" s="50">
        <f t="shared" si="8"/>
        <v>7629</v>
      </c>
      <c r="J35" s="51">
        <v>8241249</v>
      </c>
      <c r="K35" s="50">
        <f t="shared" si="9"/>
        <v>2875</v>
      </c>
    </row>
    <row r="36" spans="1:11" ht="19.5" x14ac:dyDescent="0.3">
      <c r="A36" s="59">
        <v>44467</v>
      </c>
      <c r="B36" s="116">
        <v>2560</v>
      </c>
      <c r="C36" s="115">
        <f t="shared" si="5"/>
        <v>0</v>
      </c>
      <c r="D36" s="57">
        <v>124049.9</v>
      </c>
      <c r="E36" s="50">
        <f t="shared" si="6"/>
        <v>88.899999999994179</v>
      </c>
      <c r="F36" s="51">
        <v>11029221</v>
      </c>
      <c r="G36" s="50">
        <f t="shared" si="7"/>
        <v>3018</v>
      </c>
      <c r="H36" s="51">
        <v>18787480</v>
      </c>
      <c r="I36" s="50">
        <f t="shared" si="8"/>
        <v>7624</v>
      </c>
      <c r="J36" s="51">
        <v>8243979</v>
      </c>
      <c r="K36" s="50">
        <f t="shared" si="9"/>
        <v>2730</v>
      </c>
    </row>
    <row r="37" spans="1:11" ht="19.5" x14ac:dyDescent="0.3">
      <c r="A37" s="59">
        <v>44468</v>
      </c>
      <c r="B37" s="116">
        <v>2560</v>
      </c>
      <c r="C37" s="115">
        <f t="shared" si="5"/>
        <v>0</v>
      </c>
      <c r="D37" s="57">
        <v>124144.8</v>
      </c>
      <c r="E37" s="50">
        <f t="shared" si="6"/>
        <v>94.900000000008731</v>
      </c>
      <c r="F37" s="51">
        <v>11033220</v>
      </c>
      <c r="G37" s="50">
        <f t="shared" si="7"/>
        <v>3999</v>
      </c>
      <c r="H37" s="51">
        <v>18795687</v>
      </c>
      <c r="I37" s="50">
        <f t="shared" si="8"/>
        <v>8207</v>
      </c>
      <c r="J37" s="51">
        <v>8246912</v>
      </c>
      <c r="K37" s="50">
        <f t="shared" si="9"/>
        <v>2933</v>
      </c>
    </row>
    <row r="38" spans="1:11" ht="19.5" x14ac:dyDescent="0.3">
      <c r="A38" s="59">
        <v>44469</v>
      </c>
      <c r="B38" s="116">
        <v>2560</v>
      </c>
      <c r="C38" s="115">
        <f t="shared" si="5"/>
        <v>0</v>
      </c>
      <c r="D38" s="57">
        <v>124234.2</v>
      </c>
      <c r="E38" s="50">
        <f t="shared" si="6"/>
        <v>89.399999999994179</v>
      </c>
      <c r="F38" s="51">
        <v>11036492</v>
      </c>
      <c r="G38" s="50">
        <f t="shared" si="7"/>
        <v>3272</v>
      </c>
      <c r="H38" s="51">
        <v>18803956</v>
      </c>
      <c r="I38" s="50">
        <f t="shared" si="8"/>
        <v>8269</v>
      </c>
      <c r="J38" s="51">
        <v>8249789</v>
      </c>
      <c r="K38" s="50">
        <f t="shared" si="9"/>
        <v>2877</v>
      </c>
    </row>
    <row r="39" spans="1:11" ht="21" thickTop="1" thickBot="1" x14ac:dyDescent="0.35">
      <c r="A39" s="59">
        <v>44470</v>
      </c>
      <c r="B39" s="116">
        <v>2560</v>
      </c>
      <c r="C39" s="115">
        <f t="shared" si="5"/>
        <v>0</v>
      </c>
      <c r="D39" s="57">
        <v>124345.2</v>
      </c>
      <c r="E39" s="50">
        <f t="shared" si="6"/>
        <v>111</v>
      </c>
      <c r="F39" s="51">
        <v>11040400</v>
      </c>
      <c r="G39" s="50">
        <f t="shared" si="7"/>
        <v>3908</v>
      </c>
      <c r="H39" s="51">
        <v>18812100</v>
      </c>
      <c r="I39" s="50">
        <f t="shared" si="8"/>
        <v>8144</v>
      </c>
      <c r="J39" s="51">
        <v>8253129</v>
      </c>
      <c r="K39" s="50">
        <f t="shared" si="9"/>
        <v>3340</v>
      </c>
    </row>
    <row r="40" spans="1:11" ht="24" customHeight="1" thickTop="1" x14ac:dyDescent="0.3">
      <c r="A40" s="52"/>
      <c r="B40" s="52"/>
      <c r="C40" s="52"/>
    </row>
    <row r="41" spans="1:11" x14ac:dyDescent="0.25">
      <c r="A41" s="48"/>
      <c r="B41" s="48"/>
      <c r="C41" s="48"/>
    </row>
    <row r="42" spans="1:11" x14ac:dyDescent="0.25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55" stopIfTrue="1" operator="lessThanOrEqual">
      <formula>0</formula>
    </cfRule>
  </conditionalFormatting>
  <conditionalFormatting sqref="E9:E39">
    <cfRule type="cellIs" dxfId="1" priority="2" stopIfTrue="1" operator="lessThanOrEqual">
      <formula>0</formula>
    </cfRule>
  </conditionalFormatting>
  <conditionalFormatting sqref="E9:E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0" activePane="bottomRight" state="frozen"/>
      <selection pane="topRight" activeCell="B1" sqref="B1"/>
      <selection pane="bottomLeft" activeCell="A4" sqref="A4"/>
      <selection pane="bottomRight" activeCell="P43" sqref="P43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44440</v>
      </c>
      <c r="B4" s="41">
        <v>59</v>
      </c>
      <c r="C4" s="39">
        <f t="shared" ref="C4" si="0">IF(AC4&gt;0,((B4-R4)+(S4-B5)),IF(B5=0, ,(B4-B5)))</f>
        <v>0</v>
      </c>
      <c r="D4" s="41">
        <v>60</v>
      </c>
      <c r="E4" s="39">
        <f t="shared" ref="E4" si="1">IF(AC4&gt;0,((D4-U4)+(V4-D5)),IF(D5=0, ,(D4-D5)))</f>
        <v>1</v>
      </c>
      <c r="F4" s="41">
        <v>62</v>
      </c>
      <c r="G4" s="39">
        <f t="shared" ref="G4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243</v>
      </c>
      <c r="K4" s="39">
        <f>J4/4</f>
        <v>60.75</v>
      </c>
      <c r="L4" s="39">
        <f>IF(AC4&gt;0,((K4-AD4)+(AE4-K5)),IF(K5=0, ,(K4-K5)))</f>
        <v>1.25</v>
      </c>
      <c r="M4" s="148">
        <f>6049*4</f>
        <v>24196</v>
      </c>
      <c r="N4" s="39">
        <f>L4*M4/100</f>
        <v>302.45</v>
      </c>
      <c r="O4" s="39">
        <f>N4*0.529</f>
        <v>159.99605</v>
      </c>
      <c r="P4" s="42">
        <f>O4*9.965</f>
        <v>1594.36063825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44441</v>
      </c>
      <c r="B5" s="41">
        <v>59</v>
      </c>
      <c r="C5" s="39">
        <f t="shared" ref="C5:C35" si="6">IF(AC5&gt;0,((B5-R5)+(S5-B6)),IF(B6=0, ,(B5-B6)))</f>
        <v>4</v>
      </c>
      <c r="D5" s="41">
        <v>59</v>
      </c>
      <c r="E5" s="39">
        <f t="shared" ref="E5:E35" si="7">IF(AC5&gt;0,((D5-U5)+(V5-D6)),IF(D6=0, ,(D5-D6)))</f>
        <v>0</v>
      </c>
      <c r="F5" s="41">
        <v>60</v>
      </c>
      <c r="G5" s="39">
        <f t="shared" ref="G5:G35" si="8">IF(AC5&gt;0,((F5-X5)+(Y5-F6)),IF(F6=0, ,(F5-F6)))</f>
        <v>0</v>
      </c>
      <c r="H5" s="41">
        <v>60</v>
      </c>
      <c r="I5" s="39">
        <f>IF(AC5&gt;0,((H5-AA5)+(AB5-H6)),IF(H6=0, ,(H5-H6)))</f>
        <v>0</v>
      </c>
      <c r="J5" s="39">
        <f>B5+D5+F5+H5</f>
        <v>238</v>
      </c>
      <c r="K5" s="39">
        <f>J5/4</f>
        <v>59.5</v>
      </c>
      <c r="L5" s="39">
        <f>IF(AC5&gt;0,((K5-AD5)+(AE5-K6)),IF(K6=0, ,(K5-K6)))</f>
        <v>1</v>
      </c>
      <c r="M5" s="148">
        <f t="shared" ref="M5:M17" si="9">6049*4</f>
        <v>24196</v>
      </c>
      <c r="N5" s="39">
        <f t="shared" ref="N5:N13" si="10">L5*M5/100</f>
        <v>241.96</v>
      </c>
      <c r="O5" s="39">
        <f t="shared" ref="O5:O33" si="11">N5*0.529</f>
        <v>127.99684000000001</v>
      </c>
      <c r="P5" s="42">
        <f t="shared" ref="P5:P33" si="12">O5*9.965</f>
        <v>1275.4885106000002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44442</v>
      </c>
      <c r="B6" s="41">
        <v>55</v>
      </c>
      <c r="C6" s="39">
        <f t="shared" si="6"/>
        <v>0</v>
      </c>
      <c r="D6" s="41">
        <v>59</v>
      </c>
      <c r="E6" s="39">
        <f t="shared" si="7"/>
        <v>4</v>
      </c>
      <c r="F6" s="41">
        <v>60</v>
      </c>
      <c r="G6" s="39">
        <f t="shared" si="8"/>
        <v>1</v>
      </c>
      <c r="H6" s="41">
        <v>60</v>
      </c>
      <c r="I6" s="39">
        <f t="shared" ref="I6:I36" si="13">IF(AC6&gt;0,((H6-AA6)+(AB6-H7)),IF(H7=0, ,(H6-H7)))</f>
        <v>2</v>
      </c>
      <c r="J6" s="39">
        <f t="shared" ref="J6:J42" si="14">B6+D6+F6+H6</f>
        <v>234</v>
      </c>
      <c r="K6" s="39">
        <f t="shared" ref="K6:K42" si="15">J6/4</f>
        <v>58.5</v>
      </c>
      <c r="L6" s="39">
        <f t="shared" ref="L6:L19" si="16">IF(AC6&gt;0,((K6-AD6)+(AE6-K7)),IF(K7=0, ,(K6-K7)))</f>
        <v>1.75</v>
      </c>
      <c r="M6" s="148">
        <f t="shared" si="9"/>
        <v>24196</v>
      </c>
      <c r="N6" s="39">
        <f t="shared" si="10"/>
        <v>423.43</v>
      </c>
      <c r="O6" s="39">
        <f t="shared" si="11"/>
        <v>223.99447000000001</v>
      </c>
      <c r="P6" s="42">
        <f t="shared" si="12"/>
        <v>2232.1048935499998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44443</v>
      </c>
      <c r="B7" s="41">
        <v>55</v>
      </c>
      <c r="C7" s="39">
        <f t="shared" si="6"/>
        <v>5</v>
      </c>
      <c r="D7" s="41">
        <v>55</v>
      </c>
      <c r="E7" s="39">
        <f t="shared" si="7"/>
        <v>5</v>
      </c>
      <c r="F7" s="41">
        <v>59</v>
      </c>
      <c r="G7" s="39">
        <f t="shared" si="8"/>
        <v>4</v>
      </c>
      <c r="H7" s="41">
        <v>58</v>
      </c>
      <c r="I7" s="39">
        <f t="shared" si="13"/>
        <v>3</v>
      </c>
      <c r="J7" s="39">
        <f t="shared" si="14"/>
        <v>227</v>
      </c>
      <c r="K7" s="39">
        <f t="shared" si="15"/>
        <v>56.75</v>
      </c>
      <c r="L7" s="39">
        <f t="shared" si="16"/>
        <v>4.25</v>
      </c>
      <c r="M7" s="148">
        <f t="shared" si="9"/>
        <v>24196</v>
      </c>
      <c r="N7" s="39">
        <f t="shared" si="10"/>
        <v>1028.33</v>
      </c>
      <c r="O7" s="39">
        <f t="shared" si="11"/>
        <v>543.98657000000003</v>
      </c>
      <c r="P7" s="42">
        <f t="shared" si="12"/>
        <v>5420.8261700500007</v>
      </c>
      <c r="Q7" s="39">
        <v>2869</v>
      </c>
      <c r="R7" s="39">
        <v>50</v>
      </c>
      <c r="S7" s="39">
        <v>85</v>
      </c>
      <c r="T7" s="39">
        <v>2820</v>
      </c>
      <c r="U7" s="39">
        <v>50</v>
      </c>
      <c r="V7" s="39">
        <v>85</v>
      </c>
      <c r="W7" s="39">
        <v>2540</v>
      </c>
      <c r="X7" s="39">
        <v>55</v>
      </c>
      <c r="Y7" s="39">
        <v>85</v>
      </c>
      <c r="Z7" s="39">
        <v>2708</v>
      </c>
      <c r="AA7" s="39">
        <v>55</v>
      </c>
      <c r="AB7" s="39">
        <v>85</v>
      </c>
      <c r="AC7" s="39">
        <f t="shared" si="3"/>
        <v>10937</v>
      </c>
      <c r="AD7" s="38">
        <f t="shared" si="4"/>
        <v>52.5</v>
      </c>
      <c r="AE7" s="38">
        <f t="shared" si="5"/>
        <v>85</v>
      </c>
    </row>
    <row r="8" spans="1:31" ht="32.25" customHeight="1" x14ac:dyDescent="0.3">
      <c r="A8" s="40">
        <v>44444</v>
      </c>
      <c r="B8" s="41">
        <v>85</v>
      </c>
      <c r="C8" s="39">
        <f t="shared" si="6"/>
        <v>0</v>
      </c>
      <c r="D8" s="41">
        <v>85</v>
      </c>
      <c r="E8" s="39">
        <f t="shared" si="7"/>
        <v>0</v>
      </c>
      <c r="F8" s="41">
        <v>85</v>
      </c>
      <c r="G8" s="39">
        <f t="shared" si="8"/>
        <v>0</v>
      </c>
      <c r="H8" s="41">
        <v>85</v>
      </c>
      <c r="I8" s="39">
        <f t="shared" si="13"/>
        <v>0</v>
      </c>
      <c r="J8" s="39">
        <f t="shared" si="14"/>
        <v>340</v>
      </c>
      <c r="K8" s="39">
        <f t="shared" si="15"/>
        <v>85</v>
      </c>
      <c r="L8" s="39">
        <f t="shared" si="16"/>
        <v>0</v>
      </c>
      <c r="M8" s="148">
        <f t="shared" si="9"/>
        <v>24196</v>
      </c>
      <c r="N8" s="39">
        <f t="shared" si="10"/>
        <v>0</v>
      </c>
      <c r="O8" s="39">
        <f t="shared" si="11"/>
        <v>0</v>
      </c>
      <c r="P8" s="42">
        <f t="shared" si="12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44445</v>
      </c>
      <c r="B9" s="41">
        <v>85</v>
      </c>
      <c r="C9" s="39">
        <f t="shared" si="6"/>
        <v>0</v>
      </c>
      <c r="D9" s="41">
        <v>85</v>
      </c>
      <c r="E9" s="39">
        <f t="shared" si="7"/>
        <v>0</v>
      </c>
      <c r="F9" s="41">
        <v>85</v>
      </c>
      <c r="G9" s="39">
        <f t="shared" si="8"/>
        <v>0</v>
      </c>
      <c r="H9" s="41">
        <v>85</v>
      </c>
      <c r="I9" s="39">
        <f t="shared" si="13"/>
        <v>0</v>
      </c>
      <c r="J9" s="39">
        <f t="shared" si="14"/>
        <v>340</v>
      </c>
      <c r="K9" s="39">
        <f t="shared" si="15"/>
        <v>85</v>
      </c>
      <c r="L9" s="39">
        <f t="shared" si="16"/>
        <v>0</v>
      </c>
      <c r="M9" s="148">
        <f t="shared" si="9"/>
        <v>24196</v>
      </c>
      <c r="N9" s="39">
        <f t="shared" si="10"/>
        <v>0</v>
      </c>
      <c r="O9" s="39">
        <f t="shared" si="11"/>
        <v>0</v>
      </c>
      <c r="P9" s="42">
        <f t="shared" si="12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44446</v>
      </c>
      <c r="B10" s="41">
        <v>85</v>
      </c>
      <c r="C10" s="39">
        <f t="shared" si="6"/>
        <v>0</v>
      </c>
      <c r="D10" s="41">
        <v>85</v>
      </c>
      <c r="E10" s="39">
        <f t="shared" si="7"/>
        <v>1</v>
      </c>
      <c r="F10" s="41">
        <v>85</v>
      </c>
      <c r="G10" s="39">
        <f t="shared" si="8"/>
        <v>0</v>
      </c>
      <c r="H10" s="41">
        <v>85</v>
      </c>
      <c r="I10" s="39">
        <f t="shared" si="13"/>
        <v>0</v>
      </c>
      <c r="J10" s="39">
        <f t="shared" si="14"/>
        <v>340</v>
      </c>
      <c r="K10" s="39">
        <f t="shared" si="15"/>
        <v>85</v>
      </c>
      <c r="L10" s="39">
        <f t="shared" si="16"/>
        <v>0.25</v>
      </c>
      <c r="M10" s="148">
        <f t="shared" si="9"/>
        <v>24196</v>
      </c>
      <c r="N10" s="39">
        <f t="shared" si="10"/>
        <v>60.49</v>
      </c>
      <c r="O10" s="39">
        <f t="shared" si="11"/>
        <v>31.999210000000001</v>
      </c>
      <c r="P10" s="42">
        <f t="shared" si="12"/>
        <v>318.87212765000004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44447</v>
      </c>
      <c r="B11" s="41">
        <v>85</v>
      </c>
      <c r="C11" s="39">
        <f t="shared" si="6"/>
        <v>1</v>
      </c>
      <c r="D11" s="41">
        <v>84</v>
      </c>
      <c r="E11" s="39">
        <f t="shared" si="7"/>
        <v>1</v>
      </c>
      <c r="F11" s="41">
        <v>85</v>
      </c>
      <c r="G11" s="39">
        <f t="shared" si="8"/>
        <v>2</v>
      </c>
      <c r="H11" s="41">
        <v>85</v>
      </c>
      <c r="I11" s="39">
        <f t="shared" si="13"/>
        <v>0</v>
      </c>
      <c r="J11" s="39">
        <f t="shared" si="14"/>
        <v>339</v>
      </c>
      <c r="K11" s="39">
        <f t="shared" si="15"/>
        <v>84.75</v>
      </c>
      <c r="L11" s="39">
        <f t="shared" si="16"/>
        <v>1</v>
      </c>
      <c r="M11" s="148">
        <f t="shared" si="9"/>
        <v>24196</v>
      </c>
      <c r="N11" s="39">
        <f t="shared" si="10"/>
        <v>241.96</v>
      </c>
      <c r="O11" s="39">
        <f t="shared" si="11"/>
        <v>127.99684000000001</v>
      </c>
      <c r="P11" s="42">
        <f t="shared" si="12"/>
        <v>1275.4885106000002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44448</v>
      </c>
      <c r="B12" s="41">
        <v>84</v>
      </c>
      <c r="C12" s="39">
        <f t="shared" si="6"/>
        <v>3</v>
      </c>
      <c r="D12" s="41">
        <v>83</v>
      </c>
      <c r="E12" s="39">
        <f t="shared" si="7"/>
        <v>2</v>
      </c>
      <c r="F12" s="41">
        <v>83</v>
      </c>
      <c r="G12" s="39">
        <f t="shared" si="8"/>
        <v>2</v>
      </c>
      <c r="H12" s="41">
        <v>85</v>
      </c>
      <c r="I12" s="39">
        <f t="shared" si="13"/>
        <v>2</v>
      </c>
      <c r="J12" s="39">
        <f t="shared" si="14"/>
        <v>335</v>
      </c>
      <c r="K12" s="39">
        <f t="shared" si="15"/>
        <v>83.75</v>
      </c>
      <c r="L12" s="39">
        <f t="shared" si="16"/>
        <v>2.25</v>
      </c>
      <c r="M12" s="148">
        <f t="shared" si="9"/>
        <v>24196</v>
      </c>
      <c r="N12" s="39">
        <f t="shared" si="10"/>
        <v>544.41</v>
      </c>
      <c r="O12" s="39">
        <f t="shared" si="11"/>
        <v>287.99288999999999</v>
      </c>
      <c r="P12" s="42">
        <f t="shared" si="12"/>
        <v>2869.8491488499999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44449</v>
      </c>
      <c r="B13" s="41">
        <v>81</v>
      </c>
      <c r="C13" s="39">
        <f t="shared" si="6"/>
        <v>1</v>
      </c>
      <c r="D13" s="41">
        <v>81</v>
      </c>
      <c r="E13" s="39">
        <f t="shared" si="7"/>
        <v>1</v>
      </c>
      <c r="F13" s="41">
        <v>81</v>
      </c>
      <c r="G13" s="39">
        <f t="shared" si="8"/>
        <v>2</v>
      </c>
      <c r="H13" s="41">
        <v>83</v>
      </c>
      <c r="I13" s="39">
        <f t="shared" si="13"/>
        <v>3</v>
      </c>
      <c r="J13" s="39">
        <f t="shared" si="14"/>
        <v>326</v>
      </c>
      <c r="K13" s="39">
        <f t="shared" si="15"/>
        <v>81.5</v>
      </c>
      <c r="L13" s="39">
        <f t="shared" si="16"/>
        <v>1.75</v>
      </c>
      <c r="M13" s="148">
        <f t="shared" si="9"/>
        <v>24196</v>
      </c>
      <c r="N13" s="39">
        <f t="shared" si="10"/>
        <v>423.43</v>
      </c>
      <c r="O13" s="39">
        <f t="shared" si="11"/>
        <v>223.99447000000001</v>
      </c>
      <c r="P13" s="42">
        <f t="shared" si="12"/>
        <v>2232.1048935499998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44450</v>
      </c>
      <c r="B14" s="41">
        <v>80</v>
      </c>
      <c r="C14" s="39">
        <f t="shared" si="6"/>
        <v>2</v>
      </c>
      <c r="D14" s="41">
        <v>80</v>
      </c>
      <c r="E14" s="39">
        <f t="shared" si="7"/>
        <v>2</v>
      </c>
      <c r="F14" s="41">
        <v>79</v>
      </c>
      <c r="G14" s="39">
        <f t="shared" si="8"/>
        <v>0</v>
      </c>
      <c r="H14" s="41">
        <v>80</v>
      </c>
      <c r="I14" s="39">
        <f>IF(AC14&gt;0,((H14-AA14)+(AB14-H15)),IF(H15=0, ,(H14-H15)))</f>
        <v>1</v>
      </c>
      <c r="J14" s="39">
        <f t="shared" si="14"/>
        <v>319</v>
      </c>
      <c r="K14" s="39">
        <f t="shared" si="15"/>
        <v>79.75</v>
      </c>
      <c r="L14" s="39">
        <f t="shared" si="16"/>
        <v>1.25</v>
      </c>
      <c r="M14" s="148">
        <f t="shared" si="9"/>
        <v>24196</v>
      </c>
      <c r="N14" s="39">
        <f t="shared" ref="N14:N42" si="17">L14*M14/100</f>
        <v>302.45</v>
      </c>
      <c r="O14" s="39">
        <f t="shared" si="11"/>
        <v>159.99605</v>
      </c>
      <c r="P14" s="42">
        <f t="shared" si="12"/>
        <v>1594.36063825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44451</v>
      </c>
      <c r="B15" s="41">
        <v>78</v>
      </c>
      <c r="C15" s="39">
        <f t="shared" si="6"/>
        <v>2</v>
      </c>
      <c r="D15" s="41">
        <v>78</v>
      </c>
      <c r="E15" s="39">
        <f t="shared" si="7"/>
        <v>3</v>
      </c>
      <c r="F15" s="41">
        <v>79</v>
      </c>
      <c r="G15" s="39">
        <f t="shared" si="8"/>
        <v>3</v>
      </c>
      <c r="H15" s="41">
        <v>79</v>
      </c>
      <c r="I15" s="39">
        <f>IF(AC15&gt;0,((H15-AA15)+(AB15-H16)),IF(H16=0, ,(H15-H16)))</f>
        <v>4</v>
      </c>
      <c r="J15" s="39">
        <f t="shared" si="14"/>
        <v>314</v>
      </c>
      <c r="K15" s="39">
        <f t="shared" si="15"/>
        <v>78.5</v>
      </c>
      <c r="L15" s="39">
        <f t="shared" si="16"/>
        <v>3</v>
      </c>
      <c r="M15" s="148">
        <f t="shared" si="9"/>
        <v>24196</v>
      </c>
      <c r="N15" s="39">
        <f t="shared" si="17"/>
        <v>725.88</v>
      </c>
      <c r="O15" s="39">
        <f t="shared" si="11"/>
        <v>383.99052</v>
      </c>
      <c r="P15" s="42">
        <f t="shared" si="12"/>
        <v>3826.4655318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44452</v>
      </c>
      <c r="B16" s="41">
        <v>76</v>
      </c>
      <c r="C16" s="39">
        <f t="shared" si="6"/>
        <v>3</v>
      </c>
      <c r="D16" s="41">
        <v>75</v>
      </c>
      <c r="E16" s="39">
        <f t="shared" si="7"/>
        <v>1</v>
      </c>
      <c r="F16" s="41">
        <v>76</v>
      </c>
      <c r="G16" s="39">
        <f t="shared" si="8"/>
        <v>2</v>
      </c>
      <c r="H16" s="41">
        <v>75</v>
      </c>
      <c r="I16" s="39">
        <f t="shared" si="13"/>
        <v>1</v>
      </c>
      <c r="J16" s="39">
        <f t="shared" si="14"/>
        <v>302</v>
      </c>
      <c r="K16" s="39">
        <f t="shared" si="15"/>
        <v>75.5</v>
      </c>
      <c r="L16" s="39">
        <f t="shared" si="16"/>
        <v>1.75</v>
      </c>
      <c r="M16" s="148">
        <f t="shared" si="9"/>
        <v>24196</v>
      </c>
      <c r="N16" s="39">
        <f t="shared" si="17"/>
        <v>423.43</v>
      </c>
      <c r="O16" s="39">
        <f t="shared" si="11"/>
        <v>223.99447000000001</v>
      </c>
      <c r="P16" s="42">
        <f t="shared" si="12"/>
        <v>2232.1048935499998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44453</v>
      </c>
      <c r="B17" s="41">
        <v>73</v>
      </c>
      <c r="C17" s="39">
        <f t="shared" si="6"/>
        <v>3</v>
      </c>
      <c r="D17" s="41">
        <v>74</v>
      </c>
      <c r="E17" s="39">
        <f t="shared" si="7"/>
        <v>4</v>
      </c>
      <c r="F17" s="41">
        <v>74</v>
      </c>
      <c r="G17" s="39">
        <f t="shared" si="8"/>
        <v>0</v>
      </c>
      <c r="H17" s="41">
        <v>74</v>
      </c>
      <c r="I17" s="39">
        <f t="shared" si="13"/>
        <v>1</v>
      </c>
      <c r="J17" s="39">
        <f t="shared" si="14"/>
        <v>295</v>
      </c>
      <c r="K17" s="39">
        <f t="shared" si="15"/>
        <v>73.75</v>
      </c>
      <c r="L17" s="39">
        <f t="shared" si="16"/>
        <v>2</v>
      </c>
      <c r="M17" s="148">
        <f t="shared" si="9"/>
        <v>24196</v>
      </c>
      <c r="N17" s="39">
        <f t="shared" si="17"/>
        <v>483.92</v>
      </c>
      <c r="O17" s="39">
        <f t="shared" si="11"/>
        <v>255.99368000000001</v>
      </c>
      <c r="P17" s="42">
        <f t="shared" si="12"/>
        <v>2550.9770212000003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44454</v>
      </c>
      <c r="B18" s="41">
        <v>70</v>
      </c>
      <c r="C18" s="39">
        <f t="shared" si="6"/>
        <v>1</v>
      </c>
      <c r="D18" s="41">
        <v>70</v>
      </c>
      <c r="E18" s="39">
        <f t="shared" si="7"/>
        <v>1</v>
      </c>
      <c r="F18" s="41">
        <v>74</v>
      </c>
      <c r="G18" s="39">
        <f t="shared" si="8"/>
        <v>2</v>
      </c>
      <c r="H18" s="41">
        <v>73</v>
      </c>
      <c r="I18" s="39">
        <f t="shared" si="13"/>
        <v>2</v>
      </c>
      <c r="J18" s="39">
        <f t="shared" si="14"/>
        <v>287</v>
      </c>
      <c r="K18" s="39">
        <f t="shared" si="15"/>
        <v>71.75</v>
      </c>
      <c r="L18" s="39">
        <f t="shared" si="16"/>
        <v>1.5</v>
      </c>
      <c r="M18" s="148">
        <f t="shared" ref="M18:M42" si="18">6049*4</f>
        <v>24196</v>
      </c>
      <c r="N18" s="39">
        <f t="shared" si="17"/>
        <v>362.94</v>
      </c>
      <c r="O18" s="39">
        <f t="shared" si="11"/>
        <v>191.99526</v>
      </c>
      <c r="P18" s="42">
        <f t="shared" si="12"/>
        <v>1913.2327659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44455</v>
      </c>
      <c r="B19" s="41">
        <v>69</v>
      </c>
      <c r="C19" s="39">
        <f t="shared" si="6"/>
        <v>2</v>
      </c>
      <c r="D19" s="41">
        <v>69</v>
      </c>
      <c r="E19" s="39">
        <f t="shared" si="7"/>
        <v>3</v>
      </c>
      <c r="F19" s="41">
        <v>72</v>
      </c>
      <c r="G19" s="39">
        <f t="shared" si="8"/>
        <v>2</v>
      </c>
      <c r="H19" s="41">
        <v>71</v>
      </c>
      <c r="I19" s="39">
        <f t="shared" si="13"/>
        <v>2</v>
      </c>
      <c r="J19" s="39">
        <f t="shared" si="14"/>
        <v>281</v>
      </c>
      <c r="K19" s="39">
        <f t="shared" si="15"/>
        <v>70.25</v>
      </c>
      <c r="L19" s="39">
        <f t="shared" si="16"/>
        <v>2.25</v>
      </c>
      <c r="M19" s="148">
        <f t="shared" si="18"/>
        <v>24196</v>
      </c>
      <c r="N19" s="39">
        <f t="shared" si="17"/>
        <v>544.41</v>
      </c>
      <c r="O19" s="39">
        <f t="shared" si="11"/>
        <v>287.99288999999999</v>
      </c>
      <c r="P19" s="42">
        <f t="shared" si="12"/>
        <v>2869.8491488499999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44456</v>
      </c>
      <c r="B20" s="41">
        <v>67</v>
      </c>
      <c r="C20" s="39">
        <f t="shared" si="6"/>
        <v>2</v>
      </c>
      <c r="D20" s="41">
        <v>66</v>
      </c>
      <c r="E20" s="39">
        <f t="shared" si="7"/>
        <v>1</v>
      </c>
      <c r="F20" s="41">
        <v>70</v>
      </c>
      <c r="G20" s="39">
        <f t="shared" si="8"/>
        <v>4</v>
      </c>
      <c r="H20" s="41">
        <v>69</v>
      </c>
      <c r="I20" s="39">
        <f t="shared" si="13"/>
        <v>3</v>
      </c>
      <c r="J20" s="39">
        <f t="shared" si="14"/>
        <v>272</v>
      </c>
      <c r="K20" s="39">
        <f t="shared" si="15"/>
        <v>68</v>
      </c>
      <c r="L20" s="39">
        <f t="shared" ref="L20:L42" si="19">IF(AC20&gt;0,((K20-AD20)+(AE20-K21)),IF(K21=0, ,(K20-K21)))</f>
        <v>2.5</v>
      </c>
      <c r="M20" s="148">
        <f t="shared" si="18"/>
        <v>24196</v>
      </c>
      <c r="N20" s="39">
        <f t="shared" si="17"/>
        <v>604.9</v>
      </c>
      <c r="O20" s="39">
        <f t="shared" si="11"/>
        <v>319.99209999999999</v>
      </c>
      <c r="P20" s="42">
        <f t="shared" si="12"/>
        <v>3188.7212764999999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44457</v>
      </c>
      <c r="B21" s="41">
        <v>65</v>
      </c>
      <c r="C21" s="39">
        <f t="shared" si="6"/>
        <v>4</v>
      </c>
      <c r="D21" s="41">
        <v>65</v>
      </c>
      <c r="E21" s="39">
        <f t="shared" si="7"/>
        <v>4</v>
      </c>
      <c r="F21" s="41">
        <v>66</v>
      </c>
      <c r="G21" s="39">
        <f t="shared" si="8"/>
        <v>1</v>
      </c>
      <c r="H21" s="41">
        <v>66</v>
      </c>
      <c r="I21" s="39">
        <f t="shared" si="13"/>
        <v>2</v>
      </c>
      <c r="J21" s="39">
        <f t="shared" si="14"/>
        <v>262</v>
      </c>
      <c r="K21" s="39">
        <f t="shared" si="15"/>
        <v>65.5</v>
      </c>
      <c r="L21" s="39">
        <f>IF(AC21&gt;0,((K21-AD21)+(AE21-K22)),IF(K22=0, ,(K21-K22)))</f>
        <v>2.75</v>
      </c>
      <c r="M21" s="148">
        <f t="shared" si="18"/>
        <v>24196</v>
      </c>
      <c r="N21" s="39">
        <f t="shared" si="17"/>
        <v>665.39</v>
      </c>
      <c r="O21" s="39">
        <f t="shared" si="11"/>
        <v>351.99131</v>
      </c>
      <c r="P21" s="42">
        <f t="shared" si="12"/>
        <v>3507.59340415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44458</v>
      </c>
      <c r="B22" s="41">
        <v>61</v>
      </c>
      <c r="C22" s="39">
        <f t="shared" si="6"/>
        <v>1</v>
      </c>
      <c r="D22" s="41">
        <v>61</v>
      </c>
      <c r="E22" s="39">
        <f t="shared" si="7"/>
        <v>1</v>
      </c>
      <c r="F22" s="41">
        <v>65</v>
      </c>
      <c r="G22" s="39">
        <f t="shared" si="8"/>
        <v>1</v>
      </c>
      <c r="H22" s="41">
        <v>64</v>
      </c>
      <c r="I22" s="39">
        <f t="shared" si="13"/>
        <v>4</v>
      </c>
      <c r="J22" s="39">
        <f t="shared" si="14"/>
        <v>251</v>
      </c>
      <c r="K22" s="39">
        <f t="shared" si="15"/>
        <v>62.75</v>
      </c>
      <c r="L22" s="39">
        <f>IF(AC22&gt;0,((K22-AD22)+(AE22-K23)),IF(K23=0, ,(K22-K23)))</f>
        <v>1.75</v>
      </c>
      <c r="M22" s="148">
        <f t="shared" si="18"/>
        <v>24196</v>
      </c>
      <c r="N22" s="39">
        <f t="shared" si="17"/>
        <v>423.43</v>
      </c>
      <c r="O22" s="39">
        <f t="shared" si="11"/>
        <v>223.99447000000001</v>
      </c>
      <c r="P22" s="42">
        <f t="shared" si="12"/>
        <v>2232.1048935499998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44459</v>
      </c>
      <c r="B23" s="41">
        <v>60</v>
      </c>
      <c r="C23" s="39">
        <f t="shared" si="6"/>
        <v>2</v>
      </c>
      <c r="D23" s="41">
        <v>60</v>
      </c>
      <c r="E23" s="39">
        <f t="shared" si="7"/>
        <v>3</v>
      </c>
      <c r="F23" s="41">
        <v>64</v>
      </c>
      <c r="G23" s="39">
        <f t="shared" si="8"/>
        <v>4</v>
      </c>
      <c r="H23" s="41">
        <v>60</v>
      </c>
      <c r="I23" s="39">
        <f t="shared" si="13"/>
        <v>0</v>
      </c>
      <c r="J23" s="39">
        <f t="shared" si="14"/>
        <v>244</v>
      </c>
      <c r="K23" s="39">
        <f t="shared" si="15"/>
        <v>61</v>
      </c>
      <c r="L23" s="39">
        <f t="shared" si="19"/>
        <v>2.25</v>
      </c>
      <c r="M23" s="148">
        <f t="shared" si="18"/>
        <v>24196</v>
      </c>
      <c r="N23" s="39">
        <f t="shared" si="17"/>
        <v>544.41</v>
      </c>
      <c r="O23" s="39">
        <f t="shared" si="11"/>
        <v>287.99288999999999</v>
      </c>
      <c r="P23" s="42">
        <f t="shared" si="12"/>
        <v>2869.8491488499999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44460</v>
      </c>
      <c r="B24" s="41">
        <v>58</v>
      </c>
      <c r="C24" s="39">
        <f t="shared" si="6"/>
        <v>3</v>
      </c>
      <c r="D24" s="41">
        <v>57</v>
      </c>
      <c r="E24" s="39">
        <f t="shared" si="7"/>
        <v>2</v>
      </c>
      <c r="F24" s="41">
        <v>60</v>
      </c>
      <c r="G24" s="39">
        <f t="shared" si="8"/>
        <v>2</v>
      </c>
      <c r="H24" s="41">
        <v>60</v>
      </c>
      <c r="I24" s="39">
        <f t="shared" si="13"/>
        <v>2</v>
      </c>
      <c r="J24" s="39">
        <f t="shared" si="14"/>
        <v>235</v>
      </c>
      <c r="K24" s="39">
        <f t="shared" si="15"/>
        <v>58.75</v>
      </c>
      <c r="L24" s="39">
        <f t="shared" si="19"/>
        <v>2.25</v>
      </c>
      <c r="M24" s="148">
        <f t="shared" si="18"/>
        <v>24196</v>
      </c>
      <c r="N24" s="39">
        <f t="shared" si="17"/>
        <v>544.41</v>
      </c>
      <c r="O24" s="39">
        <f t="shared" si="11"/>
        <v>287.99288999999999</v>
      </c>
      <c r="P24" s="42">
        <f t="shared" si="12"/>
        <v>2869.8491488499999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44461</v>
      </c>
      <c r="B25" s="41">
        <v>55</v>
      </c>
      <c r="C25" s="39">
        <f t="shared" si="6"/>
        <v>5</v>
      </c>
      <c r="D25" s="41">
        <v>55</v>
      </c>
      <c r="E25" s="39">
        <f t="shared" si="7"/>
        <v>3</v>
      </c>
      <c r="F25" s="41">
        <v>58</v>
      </c>
      <c r="G25" s="39">
        <f t="shared" si="8"/>
        <v>3</v>
      </c>
      <c r="H25" s="41">
        <v>58</v>
      </c>
      <c r="I25" s="39">
        <f t="shared" si="13"/>
        <v>0</v>
      </c>
      <c r="J25" s="39">
        <f t="shared" si="14"/>
        <v>226</v>
      </c>
      <c r="K25" s="39">
        <f t="shared" si="15"/>
        <v>56.5</v>
      </c>
      <c r="L25" s="39">
        <f t="shared" si="19"/>
        <v>2.75</v>
      </c>
      <c r="M25" s="148">
        <f t="shared" si="18"/>
        <v>24196</v>
      </c>
      <c r="N25" s="39">
        <f t="shared" si="17"/>
        <v>665.39</v>
      </c>
      <c r="O25" s="39">
        <f t="shared" si="11"/>
        <v>351.99131</v>
      </c>
      <c r="P25" s="42">
        <f t="shared" si="12"/>
        <v>3507.59340415</v>
      </c>
      <c r="Q25" s="39">
        <v>2876</v>
      </c>
      <c r="R25" s="39">
        <v>50</v>
      </c>
      <c r="S25" s="39">
        <v>85</v>
      </c>
      <c r="T25" s="39">
        <v>2740</v>
      </c>
      <c r="U25" s="39">
        <v>52</v>
      </c>
      <c r="V25" s="39">
        <v>85</v>
      </c>
      <c r="W25" s="39">
        <v>2655</v>
      </c>
      <c r="X25" s="39">
        <v>55</v>
      </c>
      <c r="Y25" s="39">
        <v>85</v>
      </c>
      <c r="Z25" s="39">
        <v>2528</v>
      </c>
      <c r="AA25" s="39">
        <v>58</v>
      </c>
      <c r="AB25" s="39">
        <v>85</v>
      </c>
      <c r="AC25" s="39">
        <f t="shared" si="3"/>
        <v>10799</v>
      </c>
      <c r="AD25" s="38">
        <f t="shared" ref="AD25:AD42" si="20">(R25+U25+X25+AA25)/4</f>
        <v>53.75</v>
      </c>
      <c r="AE25" s="38">
        <f>(S25+V25+Y25+AB25)/4</f>
        <v>85</v>
      </c>
    </row>
    <row r="26" spans="1:31" ht="32.25" customHeight="1" x14ac:dyDescent="0.3">
      <c r="A26" s="40">
        <v>44462</v>
      </c>
      <c r="B26" s="41">
        <v>85</v>
      </c>
      <c r="C26" s="39">
        <f t="shared" si="6"/>
        <v>3</v>
      </c>
      <c r="D26" s="41">
        <v>85</v>
      </c>
      <c r="E26" s="39">
        <f t="shared" si="7"/>
        <v>2</v>
      </c>
      <c r="F26" s="41">
        <v>85</v>
      </c>
      <c r="G26" s="39">
        <f t="shared" si="8"/>
        <v>4</v>
      </c>
      <c r="H26" s="41">
        <v>85</v>
      </c>
      <c r="I26" s="39">
        <f t="shared" si="13"/>
        <v>3</v>
      </c>
      <c r="J26" s="39">
        <f t="shared" si="14"/>
        <v>340</v>
      </c>
      <c r="K26" s="39">
        <f t="shared" si="15"/>
        <v>85</v>
      </c>
      <c r="L26" s="39">
        <f t="shared" si="19"/>
        <v>3</v>
      </c>
      <c r="M26" s="148">
        <f t="shared" si="18"/>
        <v>24196</v>
      </c>
      <c r="N26" s="39">
        <f t="shared" si="17"/>
        <v>725.88</v>
      </c>
      <c r="O26" s="39">
        <f t="shared" si="11"/>
        <v>383.99052</v>
      </c>
      <c r="P26" s="42">
        <f t="shared" si="12"/>
        <v>3826.4655318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 x14ac:dyDescent="0.3">
      <c r="A27" s="40">
        <v>44463</v>
      </c>
      <c r="B27" s="41">
        <v>82</v>
      </c>
      <c r="C27" s="39">
        <f t="shared" si="6"/>
        <v>2</v>
      </c>
      <c r="D27" s="41">
        <v>83</v>
      </c>
      <c r="E27" s="39">
        <f t="shared" si="7"/>
        <v>3</v>
      </c>
      <c r="F27" s="41">
        <v>81</v>
      </c>
      <c r="G27" s="39">
        <f t="shared" si="8"/>
        <v>1</v>
      </c>
      <c r="H27" s="41">
        <v>82</v>
      </c>
      <c r="I27" s="39">
        <f t="shared" si="13"/>
        <v>1</v>
      </c>
      <c r="J27" s="39">
        <f t="shared" si="14"/>
        <v>328</v>
      </c>
      <c r="K27" s="39">
        <f t="shared" si="15"/>
        <v>82</v>
      </c>
      <c r="L27" s="39">
        <f t="shared" si="19"/>
        <v>1.75</v>
      </c>
      <c r="M27" s="148">
        <f t="shared" si="18"/>
        <v>24196</v>
      </c>
      <c r="N27" s="39">
        <f t="shared" si="17"/>
        <v>423.43</v>
      </c>
      <c r="O27" s="39">
        <f t="shared" si="11"/>
        <v>223.99447000000001</v>
      </c>
      <c r="P27" s="42">
        <f t="shared" si="12"/>
        <v>2232.1048935499998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 x14ac:dyDescent="0.3">
      <c r="A28" s="40">
        <v>44464</v>
      </c>
      <c r="B28" s="41">
        <v>80</v>
      </c>
      <c r="C28" s="39">
        <f t="shared" si="6"/>
        <v>1</v>
      </c>
      <c r="D28" s="41">
        <v>80</v>
      </c>
      <c r="E28" s="39">
        <f t="shared" si="7"/>
        <v>0</v>
      </c>
      <c r="F28" s="41">
        <v>80</v>
      </c>
      <c r="G28" s="39">
        <f t="shared" si="8"/>
        <v>0</v>
      </c>
      <c r="H28" s="41">
        <v>81</v>
      </c>
      <c r="I28" s="39">
        <f>IF(AC28&gt;0,((H28-AA28)+(AB28-H29)),IF(H29=0, ,(H28-H29)))</f>
        <v>1</v>
      </c>
      <c r="J28" s="39">
        <f t="shared" si="14"/>
        <v>321</v>
      </c>
      <c r="K28" s="39">
        <f t="shared" si="15"/>
        <v>80.25</v>
      </c>
      <c r="L28" s="39">
        <f t="shared" si="19"/>
        <v>0.5</v>
      </c>
      <c r="M28" s="148">
        <f t="shared" si="18"/>
        <v>24196</v>
      </c>
      <c r="N28" s="39">
        <f t="shared" si="17"/>
        <v>120.98</v>
      </c>
      <c r="O28" s="39">
        <f t="shared" si="11"/>
        <v>63.998420000000003</v>
      </c>
      <c r="P28" s="42">
        <f t="shared" si="12"/>
        <v>637.74425530000008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 x14ac:dyDescent="0.3">
      <c r="A29" s="40">
        <v>44465</v>
      </c>
      <c r="B29" s="41">
        <v>79</v>
      </c>
      <c r="C29" s="39">
        <f t="shared" si="6"/>
        <v>4</v>
      </c>
      <c r="D29" s="41">
        <v>80</v>
      </c>
      <c r="E29" s="39">
        <f t="shared" si="7"/>
        <v>3</v>
      </c>
      <c r="F29" s="41">
        <v>80</v>
      </c>
      <c r="G29" s="39">
        <f t="shared" si="8"/>
        <v>2</v>
      </c>
      <c r="H29" s="41">
        <v>80</v>
      </c>
      <c r="I29" s="39">
        <f t="shared" si="13"/>
        <v>4</v>
      </c>
      <c r="J29" s="39">
        <f t="shared" si="14"/>
        <v>319</v>
      </c>
      <c r="K29" s="39">
        <f t="shared" si="15"/>
        <v>79.75</v>
      </c>
      <c r="L29" s="39">
        <f t="shared" si="19"/>
        <v>3.25</v>
      </c>
      <c r="M29" s="148">
        <f t="shared" si="18"/>
        <v>24196</v>
      </c>
      <c r="N29" s="39">
        <f t="shared" si="17"/>
        <v>786.37</v>
      </c>
      <c r="O29" s="39">
        <f t="shared" si="11"/>
        <v>415.98973000000001</v>
      </c>
      <c r="P29" s="42">
        <f t="shared" si="12"/>
        <v>4145.3376594499996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 x14ac:dyDescent="0.3">
      <c r="A30" s="40">
        <v>44466</v>
      </c>
      <c r="B30" s="41">
        <v>75</v>
      </c>
      <c r="C30" s="39">
        <f t="shared" si="6"/>
        <v>1</v>
      </c>
      <c r="D30" s="41">
        <v>77</v>
      </c>
      <c r="E30" s="39">
        <f t="shared" si="7"/>
        <v>2</v>
      </c>
      <c r="F30" s="41">
        <v>78</v>
      </c>
      <c r="G30" s="39">
        <f t="shared" si="8"/>
        <v>3</v>
      </c>
      <c r="H30" s="41">
        <v>76</v>
      </c>
      <c r="I30" s="39">
        <f t="shared" si="13"/>
        <v>1</v>
      </c>
      <c r="J30" s="39">
        <f t="shared" si="14"/>
        <v>306</v>
      </c>
      <c r="K30" s="39">
        <f t="shared" si="15"/>
        <v>76.5</v>
      </c>
      <c r="L30" s="39">
        <f t="shared" si="19"/>
        <v>1.75</v>
      </c>
      <c r="M30" s="148">
        <f t="shared" si="18"/>
        <v>24196</v>
      </c>
      <c r="N30" s="39">
        <f t="shared" si="17"/>
        <v>423.43</v>
      </c>
      <c r="O30" s="39">
        <f t="shared" si="11"/>
        <v>223.99447000000001</v>
      </c>
      <c r="P30" s="42">
        <f t="shared" si="12"/>
        <v>2232.1048935499998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2">(S30+V30+Y30+AB30)/4</f>
        <v>0</v>
      </c>
    </row>
    <row r="31" spans="1:31" ht="32.25" customHeight="1" x14ac:dyDescent="0.3">
      <c r="A31" s="40">
        <v>44467</v>
      </c>
      <c r="B31" s="41">
        <v>74</v>
      </c>
      <c r="C31" s="39">
        <f t="shared" si="6"/>
        <v>3</v>
      </c>
      <c r="D31" s="41">
        <v>75</v>
      </c>
      <c r="E31" s="39">
        <f t="shared" si="7"/>
        <v>3</v>
      </c>
      <c r="F31" s="41">
        <v>75</v>
      </c>
      <c r="G31" s="39">
        <f t="shared" si="8"/>
        <v>2</v>
      </c>
      <c r="H31" s="41">
        <v>75</v>
      </c>
      <c r="I31" s="39">
        <f t="shared" si="13"/>
        <v>2</v>
      </c>
      <c r="J31" s="39">
        <f t="shared" si="14"/>
        <v>299</v>
      </c>
      <c r="K31" s="39">
        <f t="shared" si="15"/>
        <v>74.75</v>
      </c>
      <c r="L31" s="39">
        <f t="shared" si="19"/>
        <v>2.5</v>
      </c>
      <c r="M31" s="148">
        <f t="shared" si="18"/>
        <v>24196</v>
      </c>
      <c r="N31" s="39">
        <f t="shared" si="17"/>
        <v>604.9</v>
      </c>
      <c r="O31" s="39">
        <f t="shared" si="11"/>
        <v>319.99209999999999</v>
      </c>
      <c r="P31" s="42">
        <f t="shared" si="12"/>
        <v>3188.7212764999999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 x14ac:dyDescent="0.3">
      <c r="A32" s="40">
        <v>44468</v>
      </c>
      <c r="B32" s="41">
        <v>71</v>
      </c>
      <c r="C32" s="39">
        <f t="shared" si="6"/>
        <v>1</v>
      </c>
      <c r="D32" s="41">
        <v>72</v>
      </c>
      <c r="E32" s="39">
        <f t="shared" si="7"/>
        <v>2</v>
      </c>
      <c r="F32" s="41">
        <v>73</v>
      </c>
      <c r="G32" s="39">
        <f t="shared" si="8"/>
        <v>2</v>
      </c>
      <c r="H32" s="41">
        <v>73</v>
      </c>
      <c r="I32" s="39">
        <f t="shared" si="13"/>
        <v>2</v>
      </c>
      <c r="J32" s="39">
        <f t="shared" si="14"/>
        <v>289</v>
      </c>
      <c r="K32" s="39">
        <f t="shared" si="15"/>
        <v>72.25</v>
      </c>
      <c r="L32" s="39">
        <f t="shared" si="19"/>
        <v>1.75</v>
      </c>
      <c r="M32" s="148">
        <f t="shared" si="18"/>
        <v>24196</v>
      </c>
      <c r="N32" s="39">
        <f t="shared" si="17"/>
        <v>423.43</v>
      </c>
      <c r="O32" s="39">
        <f t="shared" si="11"/>
        <v>223.99447000000001</v>
      </c>
      <c r="P32" s="42">
        <f t="shared" si="12"/>
        <v>2232.1048935499998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 x14ac:dyDescent="0.3">
      <c r="A33" s="40">
        <v>44469</v>
      </c>
      <c r="B33" s="41">
        <v>70</v>
      </c>
      <c r="C33" s="39">
        <f t="shared" si="6"/>
        <v>2</v>
      </c>
      <c r="D33" s="41">
        <v>70</v>
      </c>
      <c r="E33" s="39">
        <f t="shared" si="7"/>
        <v>0</v>
      </c>
      <c r="F33" s="41">
        <v>71</v>
      </c>
      <c r="G33" s="39">
        <f t="shared" si="8"/>
        <v>1</v>
      </c>
      <c r="H33" s="41">
        <v>71</v>
      </c>
      <c r="I33" s="39">
        <f t="shared" si="13"/>
        <v>1</v>
      </c>
      <c r="J33" s="39">
        <f t="shared" si="14"/>
        <v>282</v>
      </c>
      <c r="K33" s="39">
        <f t="shared" si="15"/>
        <v>70.5</v>
      </c>
      <c r="L33" s="39">
        <f t="shared" si="19"/>
        <v>1</v>
      </c>
      <c r="M33" s="148">
        <f t="shared" si="18"/>
        <v>24196</v>
      </c>
      <c r="N33" s="39">
        <f t="shared" si="17"/>
        <v>241.96</v>
      </c>
      <c r="O33" s="39">
        <f t="shared" si="11"/>
        <v>127.99684000000001</v>
      </c>
      <c r="P33" s="42">
        <f t="shared" si="12"/>
        <v>1275.4885106000002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 x14ac:dyDescent="0.3">
      <c r="A34" s="40">
        <v>44470</v>
      </c>
      <c r="B34" s="41">
        <v>68</v>
      </c>
      <c r="C34" s="39">
        <f t="shared" si="6"/>
        <v>0</v>
      </c>
      <c r="D34" s="41">
        <v>70</v>
      </c>
      <c r="E34" s="39">
        <f t="shared" si="7"/>
        <v>0</v>
      </c>
      <c r="F34" s="41">
        <v>70</v>
      </c>
      <c r="G34" s="39">
        <f t="shared" si="8"/>
        <v>0</v>
      </c>
      <c r="H34" s="41">
        <v>70</v>
      </c>
      <c r="I34" s="39">
        <f t="shared" si="13"/>
        <v>0</v>
      </c>
      <c r="J34" s="39">
        <f>B34+D34+F34+H34</f>
        <v>278</v>
      </c>
      <c r="K34" s="39">
        <f>J34/4</f>
        <v>69.5</v>
      </c>
      <c r="L34" s="39">
        <f>IF(AC34&gt;0,((K34-AD34)+(AE34-K35)),IF(K35=0, ,(K34-K35)))</f>
        <v>0</v>
      </c>
      <c r="M34" s="148">
        <f t="shared" si="18"/>
        <v>24196</v>
      </c>
      <c r="N34" s="39">
        <f>L34*M34/100</f>
        <v>0</v>
      </c>
      <c r="O34" s="39">
        <f>N34*0.529</f>
        <v>0</v>
      </c>
      <c r="P34" s="42">
        <f t="shared" ref="P34:P39" si="23">O34*9.965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 x14ac:dyDescent="0.3">
      <c r="A35" s="40">
        <v>44471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3"/>
        <v>0</v>
      </c>
      <c r="J35" s="39">
        <f>B35+D35+F35+H35</f>
        <v>0</v>
      </c>
      <c r="K35" s="39">
        <f>J35/4</f>
        <v>0</v>
      </c>
      <c r="L35" s="39">
        <f t="shared" si="19"/>
        <v>0</v>
      </c>
      <c r="M35" s="148">
        <f t="shared" si="18"/>
        <v>24196</v>
      </c>
      <c r="N35" s="39">
        <f t="shared" si="17"/>
        <v>0</v>
      </c>
      <c r="O35" s="39">
        <f t="shared" ref="O35:O37" si="24">N35*0.529</f>
        <v>0</v>
      </c>
      <c r="P35" s="42">
        <f t="shared" si="23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3"/>
        <v>0</v>
      </c>
      <c r="J36" s="39">
        <f t="shared" si="14"/>
        <v>0</v>
      </c>
      <c r="K36" s="39">
        <f t="shared" si="15"/>
        <v>0</v>
      </c>
      <c r="L36" s="39">
        <f t="shared" si="19"/>
        <v>0</v>
      </c>
      <c r="M36" s="148">
        <f t="shared" si="18"/>
        <v>24196</v>
      </c>
      <c r="N36" s="39">
        <f t="shared" si="17"/>
        <v>0</v>
      </c>
      <c r="O36" s="39">
        <f t="shared" si="24"/>
        <v>0</v>
      </c>
      <c r="P36" s="42">
        <f t="shared" si="2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4"/>
        <v>0</v>
      </c>
      <c r="K37" s="39">
        <f t="shared" si="15"/>
        <v>0</v>
      </c>
      <c r="L37" s="39">
        <f t="shared" si="19"/>
        <v>0</v>
      </c>
      <c r="M37" s="148">
        <f t="shared" si="18"/>
        <v>24196</v>
      </c>
      <c r="N37" s="39">
        <f t="shared" si="17"/>
        <v>0</v>
      </c>
      <c r="O37" s="39">
        <f t="shared" si="24"/>
        <v>0</v>
      </c>
      <c r="P37" s="42">
        <f t="shared" si="2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4"/>
        <v>0</v>
      </c>
      <c r="K38" s="39">
        <f t="shared" si="15"/>
        <v>0</v>
      </c>
      <c r="L38" s="39">
        <f t="shared" si="19"/>
        <v>0</v>
      </c>
      <c r="M38" s="148">
        <f t="shared" si="18"/>
        <v>24196</v>
      </c>
      <c r="N38" s="39">
        <f t="shared" si="17"/>
        <v>0</v>
      </c>
      <c r="O38" s="39">
        <f>N38*0.53</f>
        <v>0</v>
      </c>
      <c r="P38" s="42">
        <f t="shared" si="23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4"/>
        <v>0</v>
      </c>
      <c r="K39" s="39">
        <f t="shared" si="15"/>
        <v>0</v>
      </c>
      <c r="L39" s="39">
        <f t="shared" si="19"/>
        <v>0</v>
      </c>
      <c r="M39" s="148">
        <f t="shared" si="18"/>
        <v>24196</v>
      </c>
      <c r="N39" s="39">
        <f t="shared" si="17"/>
        <v>0</v>
      </c>
      <c r="O39" s="39">
        <f>N39*0.53</f>
        <v>0</v>
      </c>
      <c r="P39" s="42">
        <f t="shared" si="23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4"/>
        <v>0</v>
      </c>
      <c r="K40" s="39">
        <f t="shared" si="15"/>
        <v>0</v>
      </c>
      <c r="L40" s="39">
        <f t="shared" si="19"/>
        <v>0</v>
      </c>
      <c r="M40" s="148">
        <f t="shared" si="18"/>
        <v>24196</v>
      </c>
      <c r="N40" s="39">
        <f t="shared" si="17"/>
        <v>0</v>
      </c>
      <c r="O40" s="39">
        <f>N40*0.53</f>
        <v>0</v>
      </c>
      <c r="P40" s="42">
        <f t="shared" ref="P40" si="30">O40*9.01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4"/>
        <v>0</v>
      </c>
      <c r="K41" s="39">
        <f t="shared" si="15"/>
        <v>0</v>
      </c>
      <c r="L41" s="39">
        <f t="shared" si="19"/>
        <v>0</v>
      </c>
      <c r="M41" s="148">
        <f t="shared" si="18"/>
        <v>24196</v>
      </c>
      <c r="N41" s="39">
        <f t="shared" si="17"/>
        <v>0</v>
      </c>
      <c r="O41" s="39">
        <f>N41*0.53</f>
        <v>0</v>
      </c>
      <c r="P41" s="42">
        <f t="shared" ref="P41:P42" si="31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4"/>
        <v>0</v>
      </c>
      <c r="K42" s="39">
        <f t="shared" si="15"/>
        <v>0</v>
      </c>
      <c r="L42" s="39">
        <f t="shared" si="19"/>
        <v>0</v>
      </c>
      <c r="M42" s="148">
        <f t="shared" si="18"/>
        <v>24196</v>
      </c>
      <c r="N42" s="39">
        <f t="shared" si="17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13307.799999999997</v>
      </c>
      <c r="O43" s="39">
        <f>N43*0.529</f>
        <v>7039.8261999999986</v>
      </c>
      <c r="P43" s="42">
        <f>O43*9.965</f>
        <v>70151.868082999979</v>
      </c>
      <c r="Q43" s="286">
        <f>SUM(Q4:Q42)</f>
        <v>5745</v>
      </c>
      <c r="R43" s="287"/>
      <c r="S43" s="288"/>
      <c r="T43" s="289">
        <f>SUM(T4:T42)</f>
        <v>5560</v>
      </c>
      <c r="U43" s="287"/>
      <c r="V43" s="288"/>
      <c r="W43" s="289">
        <f>SUM(W4:W42)</f>
        <v>5195</v>
      </c>
      <c r="X43" s="287"/>
      <c r="Y43" s="288"/>
      <c r="Z43" s="289">
        <f>SUM(Z4:Z42)</f>
        <v>5236</v>
      </c>
      <c r="AA43" s="287"/>
      <c r="AB43" s="288"/>
      <c r="AC43" s="39">
        <f t="shared" si="21"/>
        <v>21736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21736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21736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13307.799999999997</v>
      </c>
      <c r="L47" s="46">
        <f>O43</f>
        <v>7039.8261999999986</v>
      </c>
      <c r="M47" s="46">
        <f>P43</f>
        <v>70151.868082999979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21736</v>
      </c>
      <c r="L48" s="44">
        <f>K48*0.529</f>
        <v>11498.344000000001</v>
      </c>
      <c r="M48" s="44">
        <f>L48*9.965</f>
        <v>114580.99796000001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4">
        <v>95670781</v>
      </c>
      <c r="B8" s="324"/>
      <c r="C8" s="325">
        <v>44436</v>
      </c>
      <c r="D8" s="326"/>
      <c r="E8" s="113">
        <v>44467</v>
      </c>
      <c r="F8" s="165" t="s">
        <v>97</v>
      </c>
      <c r="G8" s="62"/>
      <c r="H8" s="62"/>
      <c r="I8" s="327"/>
      <c r="J8" s="328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 x14ac:dyDescent="0.2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974</v>
      </c>
      <c r="H12" s="336"/>
      <c r="I12" s="337"/>
      <c r="J12" s="337"/>
    </row>
    <row r="13" spans="1:10" x14ac:dyDescent="0.2">
      <c r="A13" s="338"/>
      <c r="B13" s="339"/>
      <c r="C13" s="339"/>
      <c r="D13" s="339"/>
      <c r="E13" s="339"/>
      <c r="F13" s="339"/>
      <c r="G13" s="339"/>
      <c r="H13" s="339"/>
      <c r="I13" s="339"/>
      <c r="J13" s="339"/>
    </row>
    <row r="15" spans="1:10" ht="13.5" thickBot="1" x14ac:dyDescent="0.25"/>
    <row r="16" spans="1:10" ht="26.25" thickTop="1" x14ac:dyDescent="0.2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 x14ac:dyDescent="0.2">
      <c r="A17" s="340" t="s">
        <v>110</v>
      </c>
      <c r="B17" s="341"/>
      <c r="C17" s="66">
        <v>18787480</v>
      </c>
      <c r="D17" s="66">
        <v>18536102</v>
      </c>
      <c r="E17" s="67">
        <f>MIN(C17-D17)</f>
        <v>251378</v>
      </c>
      <c r="F17" s="67">
        <f>+E17</f>
        <v>251378</v>
      </c>
      <c r="G17" s="342"/>
      <c r="H17" s="343"/>
      <c r="I17" s="342">
        <f>+E17</f>
        <v>251378</v>
      </c>
      <c r="J17" s="343"/>
    </row>
    <row r="18" spans="1:10" x14ac:dyDescent="0.2">
      <c r="A18" s="340" t="s">
        <v>111</v>
      </c>
      <c r="B18" s="341"/>
      <c r="C18" s="66">
        <v>11027578</v>
      </c>
      <c r="D18" s="66">
        <v>10909764</v>
      </c>
      <c r="E18" s="67">
        <f>MIN(C18-D18)</f>
        <v>117814</v>
      </c>
      <c r="F18" s="67">
        <f>+E18</f>
        <v>117814</v>
      </c>
      <c r="G18" s="342"/>
      <c r="H18" s="343"/>
      <c r="I18" s="342">
        <f>+E18</f>
        <v>117814</v>
      </c>
      <c r="J18" s="343"/>
    </row>
    <row r="19" spans="1:10" x14ac:dyDescent="0.2">
      <c r="A19" s="340" t="s">
        <v>112</v>
      </c>
      <c r="B19" s="341"/>
      <c r="C19" s="66">
        <v>8243979</v>
      </c>
      <c r="D19" s="66">
        <v>8154716</v>
      </c>
      <c r="E19" s="67">
        <f>AVERAGE(C19-D19)</f>
        <v>89263</v>
      </c>
      <c r="F19" s="67">
        <f>+E19</f>
        <v>89263</v>
      </c>
      <c r="G19" s="342"/>
      <c r="H19" s="343"/>
      <c r="I19" s="342">
        <f>+E19</f>
        <v>89263</v>
      </c>
      <c r="J19" s="343"/>
    </row>
    <row r="20" spans="1:10" ht="15" x14ac:dyDescent="0.25">
      <c r="A20" s="344" t="s">
        <v>113</v>
      </c>
      <c r="B20" s="345"/>
      <c r="C20" s="68"/>
      <c r="D20" s="69"/>
      <c r="E20" s="68">
        <f>SUM(E17:E19)</f>
        <v>458455</v>
      </c>
      <c r="F20" s="70"/>
      <c r="G20" s="346"/>
      <c r="H20" s="347"/>
      <c r="I20" s="346"/>
      <c r="J20" s="347"/>
    </row>
    <row r="21" spans="1:10" x14ac:dyDescent="0.2">
      <c r="C21" s="110" t="s">
        <v>18</v>
      </c>
      <c r="D21" t="s">
        <v>114</v>
      </c>
      <c r="G21" s="348"/>
      <c r="H21" s="348"/>
    </row>
    <row r="22" spans="1:10" ht="13.5" thickBot="1" x14ac:dyDescent="0.25">
      <c r="G22" s="349"/>
      <c r="H22" s="349"/>
    </row>
    <row r="23" spans="1:10" ht="13.5" thickTop="1" x14ac:dyDescent="0.2">
      <c r="A23" s="350" t="s">
        <v>115</v>
      </c>
      <c r="B23" s="351"/>
      <c r="C23" s="352"/>
      <c r="D23" s="329" t="s">
        <v>116</v>
      </c>
      <c r="E23" s="329" t="s">
        <v>117</v>
      </c>
      <c r="F23" s="357" t="s">
        <v>118</v>
      </c>
      <c r="G23" s="359" t="s">
        <v>119</v>
      </c>
      <c r="H23" s="359"/>
      <c r="I23" s="360" t="s">
        <v>120</v>
      </c>
      <c r="J23" s="360"/>
    </row>
    <row r="24" spans="1:10" x14ac:dyDescent="0.2">
      <c r="A24" s="353"/>
      <c r="B24" s="354"/>
      <c r="C24" s="355"/>
      <c r="D24" s="356"/>
      <c r="E24" s="356"/>
      <c r="F24" s="358"/>
      <c r="G24" s="166" t="s">
        <v>121</v>
      </c>
      <c r="H24" s="71" t="s">
        <v>122</v>
      </c>
      <c r="I24" s="360"/>
      <c r="J24" s="360"/>
    </row>
    <row r="25" spans="1:10" ht="15" x14ac:dyDescent="0.25">
      <c r="A25" s="361" t="s">
        <v>123</v>
      </c>
      <c r="B25" s="362"/>
      <c r="C25" s="363"/>
      <c r="D25" s="67">
        <f>+E17</f>
        <v>251378</v>
      </c>
      <c r="E25" s="72">
        <v>0.95140000000000002</v>
      </c>
      <c r="F25" s="73">
        <f>PRODUCT(D25*E25)</f>
        <v>239161.02920000002</v>
      </c>
      <c r="G25" s="150">
        <v>14</v>
      </c>
      <c r="H25" s="65">
        <f>PRODUCT(0.14,F25)</f>
        <v>33482.544088000002</v>
      </c>
      <c r="I25" s="364">
        <f>SUM(H25,F25)</f>
        <v>272643.57328800001</v>
      </c>
      <c r="J25" s="365"/>
    </row>
    <row r="26" spans="1:10" ht="15" x14ac:dyDescent="0.25">
      <c r="A26" s="366" t="s">
        <v>124</v>
      </c>
      <c r="B26" s="367"/>
      <c r="C26" s="368"/>
      <c r="D26" s="67">
        <f>+E18</f>
        <v>117814</v>
      </c>
      <c r="E26" s="74">
        <v>0.69850000000000001</v>
      </c>
      <c r="F26" s="73">
        <f>PRODUCT(D26*E26)</f>
        <v>82293.078999999998</v>
      </c>
      <c r="G26">
        <v>14</v>
      </c>
      <c r="H26" s="67">
        <f>PRODUCT(0.14,F26)</f>
        <v>11521.031060000001</v>
      </c>
      <c r="I26" s="364">
        <f t="shared" ref="I26:I31" si="0">SUM(H26,F26)</f>
        <v>93814.110060000006</v>
      </c>
      <c r="J26" s="365"/>
    </row>
    <row r="27" spans="1:10" ht="15" x14ac:dyDescent="0.25">
      <c r="A27" s="366" t="s">
        <v>125</v>
      </c>
      <c r="B27" s="367"/>
      <c r="C27" s="368"/>
      <c r="D27" s="67">
        <f>+E19</f>
        <v>89263</v>
      </c>
      <c r="E27" s="74">
        <v>1.3304</v>
      </c>
      <c r="F27" s="73">
        <f>PRODUCT(D27*E27)</f>
        <v>118755.4952</v>
      </c>
      <c r="G27">
        <v>14</v>
      </c>
      <c r="H27" s="67">
        <f>PRODUCT(0.14,F27)</f>
        <v>16625.769328000002</v>
      </c>
      <c r="I27" s="364">
        <f>SUM(H27,F27)</f>
        <v>135381.264528</v>
      </c>
      <c r="J27" s="365"/>
    </row>
    <row r="28" spans="1:10" ht="15" x14ac:dyDescent="0.25">
      <c r="A28" s="366" t="s">
        <v>126</v>
      </c>
      <c r="B28" s="367"/>
      <c r="C28" s="368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4">
        <f t="shared" si="0"/>
        <v>50025.103799999997</v>
      </c>
      <c r="J28" s="365"/>
    </row>
    <row r="29" spans="1:10" ht="15" x14ac:dyDescent="0.25">
      <c r="A29" s="377" t="s">
        <v>127</v>
      </c>
      <c r="B29" s="378"/>
      <c r="C29" s="379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0">
        <f t="shared" si="0"/>
        <v>0</v>
      </c>
      <c r="J29" s="381"/>
    </row>
    <row r="30" spans="1:10" ht="15" x14ac:dyDescent="0.25">
      <c r="A30" s="366" t="s">
        <v>128</v>
      </c>
      <c r="B30" s="367"/>
      <c r="C30" s="368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4">
        <f>SUM(H30,F30)</f>
        <v>1009.2</v>
      </c>
      <c r="J30" s="365"/>
    </row>
    <row r="31" spans="1:10" ht="15.75" thickBot="1" x14ac:dyDescent="0.3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4">
        <f t="shared" si="0"/>
        <v>1596.44</v>
      </c>
      <c r="J31" s="365"/>
    </row>
    <row r="32" spans="1:10" ht="21" x14ac:dyDescent="0.2">
      <c r="A32" s="372" t="s">
        <v>130</v>
      </c>
      <c r="B32" s="373"/>
      <c r="C32" s="373"/>
      <c r="D32" s="373"/>
      <c r="E32" s="373"/>
      <c r="F32" s="84">
        <f>SUM(F25:F31)</f>
        <v>486424.27340000001</v>
      </c>
      <c r="G32" s="85"/>
      <c r="H32" s="86"/>
      <c r="I32" s="376">
        <f>SUM(I25:J31)</f>
        <v>554469.69167600002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G11" sqref="G11:H11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4">
        <v>95670781</v>
      </c>
      <c r="B8" s="324"/>
      <c r="C8" s="325">
        <v>44293</v>
      </c>
      <c r="D8" s="326"/>
      <c r="E8" s="113">
        <v>44323</v>
      </c>
      <c r="F8" s="165" t="s">
        <v>131</v>
      </c>
      <c r="G8" s="62"/>
      <c r="H8" s="62"/>
      <c r="I8" s="327"/>
      <c r="J8" s="328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 x14ac:dyDescent="0.2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712</v>
      </c>
      <c r="H12" s="336"/>
      <c r="I12" s="337"/>
      <c r="J12" s="337"/>
    </row>
    <row r="13" spans="1:10" x14ac:dyDescent="0.2">
      <c r="A13" s="338"/>
      <c r="B13" s="339"/>
      <c r="C13" s="339"/>
      <c r="D13" s="339"/>
      <c r="E13" s="339"/>
      <c r="F13" s="339"/>
      <c r="G13" s="339"/>
      <c r="H13" s="339"/>
      <c r="I13" s="339"/>
      <c r="J13" s="339"/>
    </row>
    <row r="15" spans="1:10" ht="13.5" thickBot="1" x14ac:dyDescent="0.25"/>
    <row r="16" spans="1:10" ht="26.25" thickTop="1" x14ac:dyDescent="0.2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 x14ac:dyDescent="0.2">
      <c r="A17" s="340" t="s">
        <v>110</v>
      </c>
      <c r="B17" s="341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2"/>
      <c r="H17" s="343"/>
      <c r="I17" s="342">
        <f>+E17</f>
        <v>7632</v>
      </c>
      <c r="J17" s="343"/>
    </row>
    <row r="18" spans="1:10" x14ac:dyDescent="0.2">
      <c r="A18" s="340" t="s">
        <v>111</v>
      </c>
      <c r="B18" s="341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2"/>
      <c r="H18" s="343"/>
      <c r="I18" s="342">
        <f>+E18</f>
        <v>3388</v>
      </c>
      <c r="J18" s="343"/>
    </row>
    <row r="19" spans="1:10" x14ac:dyDescent="0.2">
      <c r="A19" s="340" t="s">
        <v>112</v>
      </c>
      <c r="B19" s="341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2"/>
      <c r="H19" s="343"/>
      <c r="I19" s="342">
        <f>+E19</f>
        <v>2677</v>
      </c>
      <c r="J19" s="343"/>
    </row>
    <row r="20" spans="1:10" ht="15" x14ac:dyDescent="0.25">
      <c r="A20" s="344" t="s">
        <v>113</v>
      </c>
      <c r="B20" s="345"/>
      <c r="C20" s="68"/>
      <c r="D20" s="69"/>
      <c r="E20" s="68">
        <f>SUM(E17:E19)</f>
        <v>13697</v>
      </c>
      <c r="F20" s="70"/>
      <c r="G20" s="346"/>
      <c r="H20" s="347"/>
      <c r="I20" s="346"/>
      <c r="J20" s="347"/>
    </row>
    <row r="21" spans="1:10" x14ac:dyDescent="0.2">
      <c r="C21" s="110" t="s">
        <v>18</v>
      </c>
      <c r="D21" t="s">
        <v>114</v>
      </c>
      <c r="G21" s="348"/>
      <c r="H21" s="348"/>
    </row>
    <row r="22" spans="1:10" ht="13.5" thickBot="1" x14ac:dyDescent="0.25">
      <c r="G22" s="349"/>
      <c r="H22" s="349"/>
    </row>
    <row r="23" spans="1:10" ht="13.5" thickTop="1" x14ac:dyDescent="0.2">
      <c r="A23" s="350" t="s">
        <v>115</v>
      </c>
      <c r="B23" s="351"/>
      <c r="C23" s="352"/>
      <c r="D23" s="329" t="s">
        <v>116</v>
      </c>
      <c r="E23" s="329" t="s">
        <v>117</v>
      </c>
      <c r="F23" s="357" t="s">
        <v>118</v>
      </c>
      <c r="G23" s="359" t="s">
        <v>119</v>
      </c>
      <c r="H23" s="359"/>
      <c r="I23" s="360" t="s">
        <v>120</v>
      </c>
      <c r="J23" s="360"/>
    </row>
    <row r="24" spans="1:10" x14ac:dyDescent="0.2">
      <c r="A24" s="353"/>
      <c r="B24" s="354"/>
      <c r="C24" s="355"/>
      <c r="D24" s="356"/>
      <c r="E24" s="356"/>
      <c r="F24" s="358"/>
      <c r="G24" s="166" t="s">
        <v>121</v>
      </c>
      <c r="H24" s="71" t="s">
        <v>122</v>
      </c>
      <c r="I24" s="360"/>
      <c r="J24" s="360"/>
    </row>
    <row r="25" spans="1:10" ht="15" x14ac:dyDescent="0.25">
      <c r="A25" s="361" t="s">
        <v>123</v>
      </c>
      <c r="B25" s="362"/>
      <c r="C25" s="363"/>
      <c r="D25" s="67">
        <f>+E17</f>
        <v>7632</v>
      </c>
      <c r="E25" s="72">
        <v>0.95140000000000002</v>
      </c>
      <c r="F25" s="73">
        <f>PRODUCT(D25*E25)</f>
        <v>7261.0848000000005</v>
      </c>
      <c r="G25" s="150">
        <v>14</v>
      </c>
      <c r="H25" s="65">
        <f>PRODUCT(0.14,F25)</f>
        <v>1016.5518720000001</v>
      </c>
      <c r="I25" s="364">
        <f>SUM(H25,F25)</f>
        <v>8277.6366720000005</v>
      </c>
      <c r="J25" s="365"/>
    </row>
    <row r="26" spans="1:10" ht="15" x14ac:dyDescent="0.25">
      <c r="A26" s="366" t="s">
        <v>124</v>
      </c>
      <c r="B26" s="367"/>
      <c r="C26" s="368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64">
        <f t="shared" ref="I26:I31" si="0">SUM(H26,F26)</f>
        <v>2697.83052</v>
      </c>
      <c r="J26" s="365"/>
    </row>
    <row r="27" spans="1:10" ht="15" x14ac:dyDescent="0.25">
      <c r="A27" s="366" t="s">
        <v>125</v>
      </c>
      <c r="B27" s="367"/>
      <c r="C27" s="368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64">
        <f>SUM(H27,F27)</f>
        <v>4060.0881120000004</v>
      </c>
      <c r="J27" s="365"/>
    </row>
    <row r="28" spans="1:10" ht="15" x14ac:dyDescent="0.25">
      <c r="A28" s="366" t="s">
        <v>126</v>
      </c>
      <c r="B28" s="367"/>
      <c r="C28" s="368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4">
        <f t="shared" si="0"/>
        <v>50025.103799999997</v>
      </c>
      <c r="J28" s="365"/>
    </row>
    <row r="29" spans="1:10" ht="15" x14ac:dyDescent="0.25">
      <c r="A29" s="377" t="s">
        <v>127</v>
      </c>
      <c r="B29" s="378"/>
      <c r="C29" s="379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0">
        <f t="shared" si="0"/>
        <v>0</v>
      </c>
      <c r="J29" s="381"/>
    </row>
    <row r="30" spans="1:10" ht="15" x14ac:dyDescent="0.25">
      <c r="A30" s="366" t="s">
        <v>128</v>
      </c>
      <c r="B30" s="367"/>
      <c r="C30" s="368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4">
        <f>SUM(H30,F30)</f>
        <v>1009.2</v>
      </c>
      <c r="J30" s="365"/>
    </row>
    <row r="31" spans="1:10" ht="15.75" thickBot="1" x14ac:dyDescent="0.3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4">
        <f t="shared" si="0"/>
        <v>1596.44</v>
      </c>
      <c r="J31" s="365"/>
    </row>
    <row r="32" spans="1:10" ht="21" x14ac:dyDescent="0.2">
      <c r="A32" s="372" t="s">
        <v>130</v>
      </c>
      <c r="B32" s="373"/>
      <c r="C32" s="373"/>
      <c r="D32" s="373"/>
      <c r="E32" s="373"/>
      <c r="F32" s="84">
        <f>SUM(F25:F31)</f>
        <v>59403.753599999996</v>
      </c>
      <c r="G32" s="85"/>
      <c r="H32" s="86"/>
      <c r="I32" s="376">
        <f>SUM(I25:J31)</f>
        <v>67666.299104000005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6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01" t="s">
        <v>132</v>
      </c>
      <c r="C1" s="302"/>
      <c r="D1" s="302"/>
      <c r="E1" s="302"/>
      <c r="F1" s="385" t="s">
        <v>88</v>
      </c>
      <c r="G1" s="386"/>
      <c r="H1" s="387"/>
    </row>
    <row r="2" spans="1:8" ht="15.75" customHeight="1" thickBot="1" x14ac:dyDescent="0.25">
      <c r="A2" s="383"/>
      <c r="B2" s="303"/>
      <c r="C2" s="304"/>
      <c r="D2" s="304"/>
      <c r="E2" s="304"/>
      <c r="F2" s="388"/>
      <c r="G2" s="389"/>
      <c r="H2" s="390"/>
    </row>
    <row r="3" spans="1:8" ht="15" customHeight="1" x14ac:dyDescent="0.2">
      <c r="A3" s="383"/>
      <c r="B3" s="303"/>
      <c r="C3" s="304"/>
      <c r="D3" s="304"/>
      <c r="E3" s="304"/>
      <c r="F3" s="385" t="s">
        <v>89</v>
      </c>
      <c r="G3" s="386"/>
      <c r="H3" s="387"/>
    </row>
    <row r="4" spans="1:8" ht="15.75" customHeight="1" thickBot="1" x14ac:dyDescent="0.25">
      <c r="A4" s="384"/>
      <c r="B4" s="305"/>
      <c r="C4" s="306"/>
      <c r="D4" s="306"/>
      <c r="E4" s="306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7"/>
      <c r="B8" s="95" t="s">
        <v>137</v>
      </c>
      <c r="C8" s="96">
        <v>121259</v>
      </c>
      <c r="D8" s="97">
        <v>44075</v>
      </c>
      <c r="E8" s="96">
        <v>124345.2</v>
      </c>
      <c r="F8" s="97">
        <v>44470</v>
      </c>
      <c r="G8" s="98">
        <f>E8-C8</f>
        <v>3086.1999999999971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142</v>
      </c>
      <c r="B13" s="398">
        <f>G8</f>
        <v>3086.1999999999971</v>
      </c>
      <c r="C13" s="398"/>
      <c r="D13" s="398">
        <v>8.7899999999999991</v>
      </c>
      <c r="E13" s="398"/>
      <c r="F13" s="400">
        <f>PRODUCT(D13,B13)</f>
        <v>27127.697999999971</v>
      </c>
      <c r="G13" s="400"/>
      <c r="H13" s="400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147</v>
      </c>
      <c r="B19" s="398">
        <f>G8</f>
        <v>3086.1999999999971</v>
      </c>
      <c r="C19" s="398"/>
      <c r="D19" s="398">
        <v>2.61</v>
      </c>
      <c r="E19" s="398"/>
      <c r="F19" s="398">
        <f>PRODUCT(D19,B19)</f>
        <v>8054.9819999999918</v>
      </c>
      <c r="G19" s="398"/>
      <c r="H19" s="398"/>
    </row>
    <row r="20" spans="1:8" ht="18.75" x14ac:dyDescent="0.3">
      <c r="A20" s="414" t="s">
        <v>148</v>
      </c>
      <c r="B20" s="415"/>
      <c r="C20" s="415"/>
      <c r="D20" s="415"/>
      <c r="E20" s="416"/>
      <c r="F20" s="417">
        <f>SUM(F11+F13+F16+F17+F18+F19)</f>
        <v>35205.679999999964</v>
      </c>
      <c r="G20" s="417"/>
      <c r="H20" s="417"/>
    </row>
    <row r="21" spans="1:8" ht="15" x14ac:dyDescent="0.25">
      <c r="A21" s="403" t="s">
        <v>149</v>
      </c>
      <c r="B21" s="404"/>
      <c r="C21" s="404"/>
      <c r="D21" s="404"/>
      <c r="E21" s="405"/>
      <c r="F21" s="398">
        <f>PRODUCT(F20,0.07)</f>
        <v>2464.3975999999975</v>
      </c>
      <c r="G21" s="398"/>
      <c r="H21" s="398"/>
    </row>
    <row r="22" spans="1:8" ht="15" x14ac:dyDescent="0.25">
      <c r="A22" s="418" t="s">
        <v>150</v>
      </c>
      <c r="B22" s="419"/>
      <c r="C22" s="419"/>
      <c r="D22" s="419"/>
      <c r="E22" s="420"/>
      <c r="F22" s="398">
        <v>208.26</v>
      </c>
      <c r="G22" s="398"/>
      <c r="H22" s="398"/>
    </row>
    <row r="23" spans="1:8" ht="15.75" x14ac:dyDescent="0.25">
      <c r="A23" s="403" t="s">
        <v>151</v>
      </c>
      <c r="B23" s="404"/>
      <c r="C23" s="404"/>
      <c r="D23" s="404"/>
      <c r="E23" s="405"/>
      <c r="F23" s="406">
        <f>SUM(F21:H22)</f>
        <v>2672.6575999999977</v>
      </c>
      <c r="G23" s="406"/>
      <c r="H23" s="406"/>
    </row>
    <row r="24" spans="1:8" x14ac:dyDescent="0.2">
      <c r="A24" s="407" t="s">
        <v>152</v>
      </c>
      <c r="B24" s="408"/>
      <c r="C24" s="408"/>
      <c r="D24" s="408"/>
      <c r="E24" s="409"/>
      <c r="F24" s="413">
        <f>SUM(F20,F23)</f>
        <v>37878.337599999963</v>
      </c>
      <c r="G24" s="413"/>
      <c r="H24" s="413"/>
    </row>
    <row r="25" spans="1:8" x14ac:dyDescent="0.2">
      <c r="A25" s="410"/>
      <c r="B25" s="411"/>
      <c r="C25" s="411"/>
      <c r="D25" s="411"/>
      <c r="E25" s="412"/>
      <c r="F25" s="413"/>
      <c r="G25" s="413"/>
      <c r="H25" s="413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01" t="s">
        <v>132</v>
      </c>
      <c r="C1" s="302"/>
      <c r="D1" s="302"/>
      <c r="E1" s="302"/>
      <c r="F1" s="385" t="s">
        <v>88</v>
      </c>
      <c r="G1" s="386"/>
      <c r="H1" s="387"/>
    </row>
    <row r="2" spans="1:8" ht="15.75" customHeight="1" thickBot="1" x14ac:dyDescent="0.25">
      <c r="A2" s="383"/>
      <c r="B2" s="303"/>
      <c r="C2" s="304"/>
      <c r="D2" s="304"/>
      <c r="E2" s="304"/>
      <c r="F2" s="388"/>
      <c r="G2" s="389"/>
      <c r="H2" s="390"/>
    </row>
    <row r="3" spans="1:8" ht="15" customHeight="1" x14ac:dyDescent="0.2">
      <c r="A3" s="383"/>
      <c r="B3" s="303"/>
      <c r="C3" s="304"/>
      <c r="D3" s="304"/>
      <c r="E3" s="304"/>
      <c r="F3" s="385" t="s">
        <v>89</v>
      </c>
      <c r="G3" s="386"/>
      <c r="H3" s="387"/>
    </row>
    <row r="4" spans="1:8" ht="15.75" customHeight="1" thickBot="1" x14ac:dyDescent="0.25">
      <c r="A4" s="384"/>
      <c r="B4" s="305"/>
      <c r="C4" s="306"/>
      <c r="D4" s="306"/>
      <c r="E4" s="306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7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142</v>
      </c>
      <c r="B13" s="398">
        <f>G8</f>
        <v>98</v>
      </c>
      <c r="C13" s="398"/>
      <c r="D13" s="398">
        <v>8.5</v>
      </c>
      <c r="E13" s="398"/>
      <c r="F13" s="400">
        <f>PRODUCT(D13,B13)</f>
        <v>833</v>
      </c>
      <c r="G13" s="400"/>
      <c r="H13" s="400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147</v>
      </c>
      <c r="B19" s="398">
        <v>0</v>
      </c>
      <c r="C19" s="398"/>
      <c r="D19" s="421">
        <v>0</v>
      </c>
      <c r="E19" s="422"/>
      <c r="F19" s="421">
        <v>0</v>
      </c>
      <c r="G19" s="422"/>
      <c r="H19" s="167"/>
    </row>
    <row r="20" spans="1:8" ht="15" x14ac:dyDescent="0.25">
      <c r="A20" s="103" t="s">
        <v>153</v>
      </c>
      <c r="B20" s="398">
        <f>G8</f>
        <v>98</v>
      </c>
      <c r="C20" s="398"/>
      <c r="D20" s="398">
        <v>2.54</v>
      </c>
      <c r="E20" s="398"/>
      <c r="F20" s="398">
        <f>PRODUCT(D20,B20)</f>
        <v>248.92000000000002</v>
      </c>
      <c r="G20" s="398"/>
      <c r="H20" s="398"/>
    </row>
    <row r="21" spans="1:8" ht="18.75" x14ac:dyDescent="0.3">
      <c r="A21" s="414" t="s">
        <v>148</v>
      </c>
      <c r="B21" s="415"/>
      <c r="C21" s="415"/>
      <c r="D21" s="415"/>
      <c r="E21" s="416"/>
      <c r="F21" s="417">
        <f>SUM(F11+F13+F16+F17+F18+F20)</f>
        <v>1104.92</v>
      </c>
      <c r="G21" s="417"/>
      <c r="H21" s="417"/>
    </row>
    <row r="22" spans="1:8" ht="15" x14ac:dyDescent="0.25">
      <c r="A22" s="403" t="s">
        <v>149</v>
      </c>
      <c r="B22" s="404"/>
      <c r="C22" s="404"/>
      <c r="D22" s="404"/>
      <c r="E22" s="405"/>
      <c r="F22" s="398">
        <f>PRODUCT(F21,0.07)</f>
        <v>77.344400000000007</v>
      </c>
      <c r="G22" s="398"/>
      <c r="H22" s="398"/>
    </row>
    <row r="23" spans="1:8" ht="15" x14ac:dyDescent="0.25">
      <c r="A23" s="418" t="s">
        <v>150</v>
      </c>
      <c r="B23" s="419"/>
      <c r="C23" s="419"/>
      <c r="D23" s="419"/>
      <c r="E23" s="420"/>
      <c r="F23" s="398">
        <v>208.26</v>
      </c>
      <c r="G23" s="398"/>
      <c r="H23" s="398"/>
    </row>
    <row r="24" spans="1:8" ht="15.75" x14ac:dyDescent="0.25">
      <c r="A24" s="403" t="s">
        <v>151</v>
      </c>
      <c r="B24" s="404"/>
      <c r="C24" s="404"/>
      <c r="D24" s="404"/>
      <c r="E24" s="405"/>
      <c r="F24" s="406">
        <f>SUM(F22:H23)</f>
        <v>285.6044</v>
      </c>
      <c r="G24" s="406"/>
      <c r="H24" s="406"/>
    </row>
    <row r="25" spans="1:8" x14ac:dyDescent="0.2">
      <c r="A25" s="407" t="s">
        <v>152</v>
      </c>
      <c r="B25" s="408"/>
      <c r="C25" s="408"/>
      <c r="D25" s="408"/>
      <c r="E25" s="409"/>
      <c r="F25" s="413">
        <f>SUM(F21,F24)</f>
        <v>1390.5244</v>
      </c>
      <c r="G25" s="413"/>
      <c r="H25" s="413"/>
    </row>
    <row r="26" spans="1:8" x14ac:dyDescent="0.2">
      <c r="A26" s="410"/>
      <c r="B26" s="411"/>
      <c r="C26" s="411"/>
      <c r="D26" s="411"/>
      <c r="E26" s="412"/>
      <c r="F26" s="413"/>
      <c r="G26" s="413"/>
      <c r="H26" s="413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01" t="s">
        <v>154</v>
      </c>
      <c r="C1" s="302"/>
      <c r="D1" s="302"/>
      <c r="E1" s="302"/>
      <c r="F1" s="385" t="s">
        <v>88</v>
      </c>
      <c r="G1" s="386"/>
      <c r="H1" s="387"/>
    </row>
    <row r="2" spans="1:8" ht="15.75" customHeight="1" thickBot="1" x14ac:dyDescent="0.25">
      <c r="A2" s="383"/>
      <c r="B2" s="303"/>
      <c r="C2" s="304"/>
      <c r="D2" s="304"/>
      <c r="E2" s="304"/>
      <c r="F2" s="388"/>
      <c r="G2" s="389"/>
      <c r="H2" s="390"/>
    </row>
    <row r="3" spans="1:8" ht="15" customHeight="1" x14ac:dyDescent="0.2">
      <c r="A3" s="383"/>
      <c r="B3" s="303"/>
      <c r="C3" s="304"/>
      <c r="D3" s="304"/>
      <c r="E3" s="304"/>
      <c r="F3" s="385" t="s">
        <v>89</v>
      </c>
      <c r="G3" s="386"/>
      <c r="H3" s="387"/>
    </row>
    <row r="4" spans="1:8" ht="15.75" customHeight="1" thickBot="1" x14ac:dyDescent="0.25">
      <c r="A4" s="384"/>
      <c r="B4" s="305"/>
      <c r="C4" s="306"/>
      <c r="D4" s="306"/>
      <c r="E4" s="306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7"/>
      <c r="B8" s="95" t="s">
        <v>137</v>
      </c>
      <c r="C8" s="96">
        <v>2559</v>
      </c>
      <c r="D8" s="97">
        <v>44440</v>
      </c>
      <c r="E8" s="96">
        <v>2560</v>
      </c>
      <c r="F8" s="97">
        <v>44470</v>
      </c>
      <c r="G8" s="98">
        <f>E8-C8</f>
        <v>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15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155</v>
      </c>
      <c r="B13" s="398">
        <f>G8</f>
        <v>1</v>
      </c>
      <c r="C13" s="398"/>
      <c r="D13" s="398">
        <v>16.48</v>
      </c>
      <c r="E13" s="398"/>
      <c r="F13" s="400">
        <f>PRODUCT(D13,B13)</f>
        <v>16.48</v>
      </c>
      <c r="G13" s="400"/>
      <c r="H13" s="400"/>
    </row>
    <row r="14" spans="1:8" ht="15" x14ac:dyDescent="0.25">
      <c r="A14" s="102" t="s">
        <v>156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157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158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159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143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144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 x14ac:dyDescent="0.25">
      <c r="A21" s="103" t="s">
        <v>145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 x14ac:dyDescent="0.25">
      <c r="A22" s="103" t="s">
        <v>146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 x14ac:dyDescent="0.25">
      <c r="A23" s="103" t="s">
        <v>147</v>
      </c>
      <c r="B23" s="398">
        <f>G8</f>
        <v>1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 x14ac:dyDescent="0.25">
      <c r="A24" s="103" t="s">
        <v>153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7"/>
    </row>
    <row r="25" spans="1:8" ht="18.75" x14ac:dyDescent="0.3">
      <c r="A25" s="414" t="s">
        <v>148</v>
      </c>
      <c r="B25" s="415"/>
      <c r="C25" s="415"/>
      <c r="D25" s="415"/>
      <c r="E25" s="416"/>
      <c r="F25" s="423">
        <f>SUM(F11+F13+F20+F21+F22+F23)</f>
        <v>31.48</v>
      </c>
      <c r="G25" s="417"/>
      <c r="H25" s="417"/>
    </row>
    <row r="26" spans="1:8" ht="15" x14ac:dyDescent="0.25">
      <c r="A26" s="403" t="s">
        <v>149</v>
      </c>
      <c r="B26" s="404"/>
      <c r="C26" s="404"/>
      <c r="D26" s="404"/>
      <c r="E26" s="405"/>
      <c r="F26" s="398">
        <v>63.63</v>
      </c>
      <c r="G26" s="398"/>
      <c r="H26" s="398"/>
    </row>
    <row r="27" spans="1:8" ht="15" x14ac:dyDescent="0.25">
      <c r="A27" s="418" t="s">
        <v>150</v>
      </c>
      <c r="B27" s="419"/>
      <c r="C27" s="419"/>
      <c r="D27" s="419"/>
      <c r="E27" s="420"/>
      <c r="F27" s="398">
        <v>2.4300000000000002</v>
      </c>
      <c r="G27" s="398"/>
      <c r="H27" s="398"/>
    </row>
    <row r="28" spans="1:8" ht="15.75" x14ac:dyDescent="0.25">
      <c r="A28" s="403" t="s">
        <v>151</v>
      </c>
      <c r="B28" s="404"/>
      <c r="C28" s="404"/>
      <c r="D28" s="404"/>
      <c r="E28" s="405"/>
      <c r="F28" s="406">
        <f>SUM(F26:H27)</f>
        <v>66.06</v>
      </c>
      <c r="G28" s="406"/>
      <c r="H28" s="406"/>
    </row>
    <row r="29" spans="1:8" x14ac:dyDescent="0.2">
      <c r="A29" s="407" t="s">
        <v>152</v>
      </c>
      <c r="B29" s="408"/>
      <c r="C29" s="408"/>
      <c r="D29" s="408"/>
      <c r="E29" s="409"/>
      <c r="F29" s="413">
        <f>SUM(F25,F28)</f>
        <v>97.54</v>
      </c>
      <c r="G29" s="413"/>
      <c r="H29" s="413"/>
    </row>
    <row r="30" spans="1:8" x14ac:dyDescent="0.2">
      <c r="A30" s="410"/>
      <c r="B30" s="411"/>
      <c r="C30" s="411"/>
      <c r="D30" s="411"/>
      <c r="E30" s="412"/>
      <c r="F30" s="413"/>
      <c r="G30" s="413"/>
      <c r="H30" s="413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K24" sqref="K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160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/>
      <c r="M14" s="104"/>
      <c r="N14" s="104"/>
    </row>
    <row r="15" spans="2:14" ht="21" thickBot="1" x14ac:dyDescent="0.35">
      <c r="C15" s="427" t="s">
        <v>180</v>
      </c>
      <c r="D15" s="428"/>
      <c r="E15" s="428"/>
      <c r="F15" s="428"/>
      <c r="G15" s="428"/>
      <c r="H15" s="428"/>
      <c r="I15" s="428"/>
      <c r="J15" s="428"/>
      <c r="K15" s="428"/>
      <c r="L15" s="428"/>
      <c r="M15" s="428"/>
      <c r="N15" s="429"/>
    </row>
    <row r="17" spans="2:14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 x14ac:dyDescent="0.2">
      <c r="B18" s="106" t="s">
        <v>173</v>
      </c>
      <c r="C18" s="430"/>
      <c r="D18" s="431"/>
      <c r="E18" s="431"/>
      <c r="F18" s="431"/>
      <c r="G18" s="431"/>
      <c r="H18" s="431"/>
      <c r="I18" s="431"/>
      <c r="J18" s="431"/>
      <c r="K18" s="432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3" zoomScaleNormal="100" workbookViewId="0">
      <selection activeCell="K24" sqref="K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181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/>
      <c r="M14" s="104"/>
      <c r="N14" s="104"/>
    </row>
    <row r="15" spans="2:14" ht="21" thickBot="1" x14ac:dyDescent="0.35">
      <c r="C15" s="427" t="s">
        <v>182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5" ht="18" customHeight="1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 x14ac:dyDescent="0.2">
      <c r="B18" s="106" t="s">
        <v>173</v>
      </c>
      <c r="C18" s="430"/>
      <c r="D18" s="431"/>
      <c r="E18" s="431"/>
      <c r="F18" s="431"/>
      <c r="G18" s="431"/>
      <c r="H18" s="431"/>
      <c r="I18" s="431"/>
      <c r="J18" s="431"/>
      <c r="K18" s="432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9" zoomScaleNormal="100" workbookViewId="0">
      <selection activeCell="K24" sqref="K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183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/>
      <c r="M14" s="104"/>
      <c r="N14" s="104"/>
    </row>
    <row r="15" spans="2:14" ht="21" thickBot="1" x14ac:dyDescent="0.35">
      <c r="C15" s="427" t="s">
        <v>184</v>
      </c>
      <c r="D15" s="428"/>
      <c r="E15" s="428"/>
      <c r="F15" s="428"/>
      <c r="G15" s="428"/>
      <c r="H15" s="428"/>
      <c r="I15" s="428"/>
      <c r="J15" s="428"/>
      <c r="K15" s="428"/>
      <c r="L15" s="428"/>
      <c r="M15" s="428"/>
      <c r="N15" s="429"/>
    </row>
    <row r="17" spans="2:14" ht="17.25" customHeight="1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 x14ac:dyDescent="0.2">
      <c r="B18" s="106" t="s">
        <v>173</v>
      </c>
      <c r="C18" s="430"/>
      <c r="D18" s="431"/>
      <c r="E18" s="431"/>
      <c r="F18" s="431"/>
      <c r="G18" s="431"/>
      <c r="H18" s="431"/>
      <c r="I18" s="431"/>
      <c r="J18" s="431"/>
      <c r="K18" s="432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2023-02-21T14:51:44Z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