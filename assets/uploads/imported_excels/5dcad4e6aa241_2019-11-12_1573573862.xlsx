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-120" yWindow="-120" windowWidth="19440" windowHeight="11760" activeTab="3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2"/>
  <c r="G29"/>
  <c r="G30"/>
  <c r="G31"/>
  <c r="G32"/>
  <c r="G33"/>
  <c r="G34"/>
  <c r="G35"/>
  <c r="G36"/>
  <c r="G37"/>
  <c r="E28"/>
  <c r="E29"/>
  <c r="E30"/>
  <c r="E31"/>
  <c r="E32"/>
  <c r="E33"/>
  <c r="E34"/>
  <c r="E35"/>
  <c r="E36"/>
  <c r="E37"/>
  <c r="C29"/>
  <c r="C30"/>
  <c r="C31"/>
  <c r="C32"/>
  <c r="C33"/>
  <c r="C34"/>
  <c r="C35"/>
  <c r="C36"/>
  <c r="C37"/>
  <c r="AK3" i="12" l="1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2"/>
  <c r="S5" i="1" l="1"/>
  <c r="T8" i="2" l="1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7"/>
  <c r="A1" i="6"/>
  <c r="S6" i="1"/>
  <c r="K8" i="13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BG16" i="1"/>
  <c r="BG17"/>
  <c r="Z13" i="12" s="1"/>
  <c r="BE14" i="1"/>
  <c r="BE15"/>
  <c r="Y11" i="12" s="1"/>
  <c r="BE16" i="1"/>
  <c r="Y12" i="12" s="1"/>
  <c r="E53" i="11"/>
  <c r="D53"/>
  <c r="E52"/>
  <c r="D52"/>
  <c r="Y6" i="1"/>
  <c r="J2" i="12" s="1"/>
  <c r="Y7" i="1"/>
  <c r="W6"/>
  <c r="I2" i="12" s="1"/>
  <c r="W7" i="1"/>
  <c r="I3" i="12" s="1"/>
  <c r="U6" i="1"/>
  <c r="U7"/>
  <c r="S7"/>
  <c r="A1" i="2"/>
  <c r="BM37" i="1"/>
  <c r="BM38" s="1"/>
  <c r="E7" i="6"/>
  <c r="H7" s="1"/>
  <c r="E8"/>
  <c r="E9"/>
  <c r="E10"/>
  <c r="AI5" i="12" s="1"/>
  <c r="E11" i="6"/>
  <c r="AI6" i="12" s="1"/>
  <c r="E12" i="6"/>
  <c r="AI7" i="12" s="1"/>
  <c r="E13" i="6"/>
  <c r="AI8" i="12" s="1"/>
  <c r="E14" i="6"/>
  <c r="AI9" i="12" s="1"/>
  <c r="E15" i="6"/>
  <c r="E16"/>
  <c r="AI11" i="12" s="1"/>
  <c r="E17" i="6"/>
  <c r="AI12" i="12" s="1"/>
  <c r="E18" i="6"/>
  <c r="E19"/>
  <c r="E20"/>
  <c r="AI15" i="12" s="1"/>
  <c r="E21" i="6"/>
  <c r="AI16" i="12" s="1"/>
  <c r="E22" i="6"/>
  <c r="E23"/>
  <c r="H23" s="1"/>
  <c r="E24"/>
  <c r="AI19" i="12" s="1"/>
  <c r="E25" i="6"/>
  <c r="AI20" i="12" s="1"/>
  <c r="E26" i="6"/>
  <c r="E27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s="1"/>
  <c r="E35"/>
  <c r="AI30" i="12" s="1"/>
  <c r="E36" i="6"/>
  <c r="AI31" i="12" s="1"/>
  <c r="E37" i="6"/>
  <c r="H37" s="1"/>
  <c r="E6"/>
  <c r="K3" i="13"/>
  <c r="K4"/>
  <c r="K5"/>
  <c r="K6"/>
  <c r="K7"/>
  <c r="K2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1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17" i="6"/>
  <c r="G18"/>
  <c r="AJ13" i="12" s="1"/>
  <c r="C18" i="6"/>
  <c r="I18" s="1"/>
  <c r="C17"/>
  <c r="AH15" i="9" s="1"/>
  <c r="S17" i="1"/>
  <c r="S31"/>
  <c r="AG25"/>
  <c r="N21" i="12" s="1"/>
  <c r="AX8" i="1"/>
  <c r="V4" i="12" s="1"/>
  <c r="AX9" i="1"/>
  <c r="V5" i="12" s="1"/>
  <c r="AX10" i="1"/>
  <c r="V6" i="12" s="1"/>
  <c r="K38" i="2"/>
  <c r="I38"/>
  <c r="J36" i="1"/>
  <c r="F32" i="12" s="1"/>
  <c r="AE5" i="1"/>
  <c r="M33"/>
  <c r="E32" i="9" s="1"/>
  <c r="AD29" i="12"/>
  <c r="AD27"/>
  <c r="AZ27" i="1"/>
  <c r="W23" i="12" s="1"/>
  <c r="AN30" i="1"/>
  <c r="W30"/>
  <c r="I26" i="12" s="1"/>
  <c r="BE22" i="1"/>
  <c r="Y18" i="12" s="1"/>
  <c r="G22" i="6"/>
  <c r="AJ17" i="12" s="1"/>
  <c r="C22" i="2"/>
  <c r="C23"/>
  <c r="C24"/>
  <c r="AD19" i="12" s="1"/>
  <c r="C25" i="2"/>
  <c r="C26"/>
  <c r="AD21" i="12" s="1"/>
  <c r="C27" i="2"/>
  <c r="AD22" i="12" s="1"/>
  <c r="C28" i="2"/>
  <c r="AD23" i="12" s="1"/>
  <c r="AD24"/>
  <c r="AD25"/>
  <c r="AD28"/>
  <c r="AD30"/>
  <c r="AD31"/>
  <c r="C21" i="2"/>
  <c r="AD16" i="12" s="1"/>
  <c r="C10" i="2"/>
  <c r="AD5" i="12" s="1"/>
  <c r="C11" i="2"/>
  <c r="AD6" i="12" s="1"/>
  <c r="C12" i="2"/>
  <c r="AD7" i="12" s="1"/>
  <c r="C13" i="2"/>
  <c r="C14"/>
  <c r="AD9" i="12" s="1"/>
  <c r="C15" i="2"/>
  <c r="AD10" i="12" s="1"/>
  <c r="C16" i="2"/>
  <c r="C17"/>
  <c r="AD12" i="12" s="1"/>
  <c r="C18" i="2"/>
  <c r="AD13" i="12" s="1"/>
  <c r="C19" i="2"/>
  <c r="AD14" i="12" s="1"/>
  <c r="C20" i="2"/>
  <c r="AD15" i="12" s="1"/>
  <c r="J16" i="1"/>
  <c r="F12" i="12" s="1"/>
  <c r="E13" i="2"/>
  <c r="V37"/>
  <c r="S37"/>
  <c r="O37"/>
  <c r="AF32" i="12"/>
  <c r="AE3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/>
  <c r="M32" i="12" s="1"/>
  <c r="AC36" i="1"/>
  <c r="L32" i="12" s="1"/>
  <c r="AA36" i="1"/>
  <c r="K32" i="12" s="1"/>
  <c r="Y36" i="1"/>
  <c r="J32" i="12" s="1"/>
  <c r="W36" i="1"/>
  <c r="I32" i="12" s="1"/>
  <c r="U36" i="1"/>
  <c r="S36"/>
  <c r="Q36"/>
  <c r="H32" i="12" s="1"/>
  <c r="O36" i="1"/>
  <c r="M36"/>
  <c r="E42" i="11"/>
  <c r="E41"/>
  <c r="E34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/>
  <c r="C30" i="6"/>
  <c r="I30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/>
  <c r="I36" s="1"/>
  <c r="G8"/>
  <c r="G9"/>
  <c r="AJ4" i="12" s="1"/>
  <c r="G10" i="6"/>
  <c r="G11"/>
  <c r="AJ6" i="12" s="1"/>
  <c r="G12" i="6"/>
  <c r="AJ7" i="12" s="1"/>
  <c r="G13" i="6"/>
  <c r="G14"/>
  <c r="AJ9" i="12" s="1"/>
  <c r="G15" i="6"/>
  <c r="AJ10" i="12" s="1"/>
  <c r="G16" i="6"/>
  <c r="AJ11" i="12" s="1"/>
  <c r="G19" i="6"/>
  <c r="G20"/>
  <c r="AJ15" i="12" s="1"/>
  <c r="G21" i="6"/>
  <c r="G23"/>
  <c r="G24"/>
  <c r="G25"/>
  <c r="AJ20" i="12" s="1"/>
  <c r="G26" i="6"/>
  <c r="AJ21" i="12" s="1"/>
  <c r="G27" i="6"/>
  <c r="AJ22" i="12" s="1"/>
  <c r="G28" i="6"/>
  <c r="G29"/>
  <c r="AJ24" i="12" s="1"/>
  <c r="G30" i="6"/>
  <c r="AJ25" i="12" s="1"/>
  <c r="G31" i="6"/>
  <c r="AJ26" i="12" s="1"/>
  <c r="G32" i="6"/>
  <c r="G33"/>
  <c r="AJ28" i="12" s="1"/>
  <c r="G34" i="6"/>
  <c r="G35"/>
  <c r="AJ30" i="12" s="1"/>
  <c r="C8" i="6"/>
  <c r="C9"/>
  <c r="AH4" i="12" s="1"/>
  <c r="C10" i="6"/>
  <c r="AH5" i="12" s="1"/>
  <c r="C11" i="6"/>
  <c r="AH6" i="12" s="1"/>
  <c r="C12" i="6"/>
  <c r="C13"/>
  <c r="C14"/>
  <c r="AH9" i="12" s="1"/>
  <c r="C15" i="6"/>
  <c r="C16"/>
  <c r="C19"/>
  <c r="AH14" i="12" s="1"/>
  <c r="C20" i="6"/>
  <c r="C21"/>
  <c r="C22"/>
  <c r="C23"/>
  <c r="I23" s="1"/>
  <c r="C24"/>
  <c r="C25"/>
  <c r="I25" s="1"/>
  <c r="C26"/>
  <c r="C27"/>
  <c r="I27" s="1"/>
  <c r="C28"/>
  <c r="C29"/>
  <c r="C31"/>
  <c r="C32"/>
  <c r="AH27" i="12" s="1"/>
  <c r="C33" i="6"/>
  <c r="C34"/>
  <c r="AH32" i="9" s="1"/>
  <c r="Q7" i="1"/>
  <c r="H3" i="12" s="1"/>
  <c r="Q8" i="1"/>
  <c r="Q9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/>
  <c r="AA11"/>
  <c r="K7" i="12" s="1"/>
  <c r="AA12" i="1"/>
  <c r="K8" i="12" s="1"/>
  <c r="AA13" i="1"/>
  <c r="AA14"/>
  <c r="K10" i="12" s="1"/>
  <c r="AA15" i="1"/>
  <c r="AA16"/>
  <c r="K12" i="12" s="1"/>
  <c r="AA17" i="1"/>
  <c r="K13" i="12" s="1"/>
  <c r="AA18" i="1"/>
  <c r="K14" i="12" s="1"/>
  <c r="AA19" i="1"/>
  <c r="K15" i="12" s="1"/>
  <c r="AA20" i="1"/>
  <c r="AA21"/>
  <c r="K17" i="12" s="1"/>
  <c r="AA22" i="1"/>
  <c r="K18" i="12" s="1"/>
  <c r="AA23" i="1"/>
  <c r="AA24"/>
  <c r="K20" i="12" s="1"/>
  <c r="AA25" i="1"/>
  <c r="K21" i="12" s="1"/>
  <c r="AA26" i="1"/>
  <c r="K22" i="12" s="1"/>
  <c r="AA27" i="1"/>
  <c r="K23" i="12" s="1"/>
  <c r="AA28" i="1"/>
  <c r="AA29"/>
  <c r="K25" i="12" s="1"/>
  <c r="AA30" i="1"/>
  <c r="AA3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/>
  <c r="Z17" i="12" s="1"/>
  <c r="BG22" i="1"/>
  <c r="Z18" i="12" s="1"/>
  <c r="BG23" i="1"/>
  <c r="Z19" i="12" s="1"/>
  <c r="BG24" i="1"/>
  <c r="Z20" i="12" s="1"/>
  <c r="BG25" i="1"/>
  <c r="Z21" i="12" s="1"/>
  <c r="BG26" i="1"/>
  <c r="BG27"/>
  <c r="Z23" i="12" s="1"/>
  <c r="BG28" i="1"/>
  <c r="Z24" i="12" s="1"/>
  <c r="BG29" i="1"/>
  <c r="Z25" i="12" s="1"/>
  <c r="BG30" i="1"/>
  <c r="BG31"/>
  <c r="BG32"/>
  <c r="BG33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/>
  <c r="BK10"/>
  <c r="BK11"/>
  <c r="BK12"/>
  <c r="AB8" i="12" s="1"/>
  <c r="BK13" i="1"/>
  <c r="BK14"/>
  <c r="BK15"/>
  <c r="AB11" i="12" s="1"/>
  <c r="BK16" i="1"/>
  <c r="AB12" i="12" s="1"/>
  <c r="BK17" i="1"/>
  <c r="BK18"/>
  <c r="AB14" i="12" s="1"/>
  <c r="BK19" i="1"/>
  <c r="BK20"/>
  <c r="BK21"/>
  <c r="AB17" i="12" s="1"/>
  <c r="BK22" i="1"/>
  <c r="AB18" i="12" s="1"/>
  <c r="BK23" i="1"/>
  <c r="BK24"/>
  <c r="AB20" i="12" s="1"/>
  <c r="BK25" i="1"/>
  <c r="AB21" i="12" s="1"/>
  <c r="BK26" i="1"/>
  <c r="BK27"/>
  <c r="AB23" i="12" s="1"/>
  <c r="BK28" i="1"/>
  <c r="BK29"/>
  <c r="AB25" i="12" s="1"/>
  <c r="BK30" i="1"/>
  <c r="AB26" i="12" s="1"/>
  <c r="BK31" i="1"/>
  <c r="BK32"/>
  <c r="AB28" i="12" s="1"/>
  <c r="BK33" i="1"/>
  <c r="BK34"/>
  <c r="AB30" i="12" s="1"/>
  <c r="BK35" i="1"/>
  <c r="AB31" i="12" s="1"/>
  <c r="BI7" i="1"/>
  <c r="AA3" i="12" s="1"/>
  <c r="BI8" i="1"/>
  <c r="AA4" i="12" s="1"/>
  <c r="BI9" i="1"/>
  <c r="AA5" i="12" s="1"/>
  <c r="BI10" i="1"/>
  <c r="BI11"/>
  <c r="AA7" i="12" s="1"/>
  <c r="BI12" i="1"/>
  <c r="AU11" i="9" s="1"/>
  <c r="BI13" i="1"/>
  <c r="AA9" i="12" s="1"/>
  <c r="BI14" i="1"/>
  <c r="BI15"/>
  <c r="AA11" i="12" s="1"/>
  <c r="BI16" i="1"/>
  <c r="AA12" i="12" s="1"/>
  <c r="BI17" i="1"/>
  <c r="AA13" i="12" s="1"/>
  <c r="BI18" i="1"/>
  <c r="BI19"/>
  <c r="AA15" i="12" s="1"/>
  <c r="BI20" i="1"/>
  <c r="BI21"/>
  <c r="AA17" i="12" s="1"/>
  <c r="BI22" i="1"/>
  <c r="AA18" i="12" s="1"/>
  <c r="BI23" i="1"/>
  <c r="BI24"/>
  <c r="AU23" i="9" s="1"/>
  <c r="BI25" i="1"/>
  <c r="BI26"/>
  <c r="AA22" i="12" s="1"/>
  <c r="BI27" i="1"/>
  <c r="BI28"/>
  <c r="BI29"/>
  <c r="BI30"/>
  <c r="AA26" i="12" s="1"/>
  <c r="BI31" i="1"/>
  <c r="AA27" i="12" s="1"/>
  <c r="BI32" i="1"/>
  <c r="AA28" i="12" s="1"/>
  <c r="BI33" i="1"/>
  <c r="AA29" i="12" s="1"/>
  <c r="BI34" i="1"/>
  <c r="AU33" i="9" s="1"/>
  <c r="BI35" i="1"/>
  <c r="AZ7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/>
  <c r="S11" i="12" s="1"/>
  <c r="AR16" i="1"/>
  <c r="S12" i="12" s="1"/>
  <c r="AR17" i="1"/>
  <c r="S13" i="12" s="1"/>
  <c r="AR18" i="1"/>
  <c r="S14" i="12" s="1"/>
  <c r="AR19" i="1"/>
  <c r="AR20"/>
  <c r="S16" i="12" s="1"/>
  <c r="AR21" i="1"/>
  <c r="S17" i="12" s="1"/>
  <c r="AR22" i="1"/>
  <c r="AR23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/>
  <c r="Q4" i="12" s="1"/>
  <c r="AN9" i="1"/>
  <c r="Q5" i="12" s="1"/>
  <c r="AN10" i="1"/>
  <c r="Q6" i="12" s="1"/>
  <c r="AN11" i="1"/>
  <c r="AN12"/>
  <c r="Q8" i="12" s="1"/>
  <c r="AN13" i="1"/>
  <c r="Q9" i="12" s="1"/>
  <c r="AN14" i="1"/>
  <c r="Q10" i="12" s="1"/>
  <c r="AN15" i="1"/>
  <c r="Q11" i="12" s="1"/>
  <c r="AN16" i="1"/>
  <c r="Q12" i="12" s="1"/>
  <c r="AN17" i="1"/>
  <c r="AN18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/>
  <c r="O15" i="12" s="1"/>
  <c r="AI20" i="1"/>
  <c r="O16" i="12" s="1"/>
  <c r="AI21" i="1"/>
  <c r="O17" i="12" s="1"/>
  <c r="AI22" i="1"/>
  <c r="O18" i="12" s="1"/>
  <c r="AI23" i="1"/>
  <c r="O19" i="12" s="1"/>
  <c r="AI24" i="1"/>
  <c r="AI25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/>
  <c r="O29" i="12" s="1"/>
  <c r="AI34" i="1"/>
  <c r="AI35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/>
  <c r="AE9"/>
  <c r="M5" i="12" s="1"/>
  <c r="AE10" i="1"/>
  <c r="M6" i="12" s="1"/>
  <c r="AE11" i="1"/>
  <c r="M7" i="12" s="1"/>
  <c r="AE12" i="1"/>
  <c r="M8" i="12" s="1"/>
  <c r="AE13" i="1"/>
  <c r="M9" i="12" s="1"/>
  <c r="AE14" i="1"/>
  <c r="AE15"/>
  <c r="M11" i="12" s="1"/>
  <c r="AE16" i="1"/>
  <c r="M12" i="12" s="1"/>
  <c r="AE17" i="1"/>
  <c r="AE18"/>
  <c r="M14" i="12" s="1"/>
  <c r="AE19" i="1"/>
  <c r="M15" i="12" s="1"/>
  <c r="AE20" i="1"/>
  <c r="M16" i="12" s="1"/>
  <c r="AE21" i="1"/>
  <c r="M17" i="12" s="1"/>
  <c r="AE22" i="1"/>
  <c r="AE24"/>
  <c r="M20" i="12" s="1"/>
  <c r="AE25" i="1"/>
  <c r="AE26"/>
  <c r="M22" i="12" s="1"/>
  <c r="AE27" i="1"/>
  <c r="M23" i="12" s="1"/>
  <c r="AE28" i="1"/>
  <c r="M24" i="12" s="1"/>
  <c r="AE29" i="1"/>
  <c r="M25" i="12" s="1"/>
  <c r="AE30" i="1"/>
  <c r="M26" i="12" s="1"/>
  <c r="AE31" i="1"/>
  <c r="AE32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O7"/>
  <c r="O8"/>
  <c r="G7" i="9" s="1"/>
  <c r="O9" i="1"/>
  <c r="G8" i="9" s="1"/>
  <c r="O10" i="1"/>
  <c r="O11"/>
  <c r="O12"/>
  <c r="G11" i="9" s="1"/>
  <c r="O13" i="1"/>
  <c r="G12" i="9" s="1"/>
  <c r="O14" i="1"/>
  <c r="O15"/>
  <c r="G14" i="9" s="1"/>
  <c r="O16" i="1"/>
  <c r="O17"/>
  <c r="G16" i="9" s="1"/>
  <c r="O18" i="1"/>
  <c r="G17" i="9" s="1"/>
  <c r="O19" i="1"/>
  <c r="G18" i="9" s="1"/>
  <c r="O20" i="1"/>
  <c r="O21"/>
  <c r="G20" i="9" s="1"/>
  <c r="O22" i="1"/>
  <c r="G21" i="9" s="1"/>
  <c r="O23" i="1"/>
  <c r="O24"/>
  <c r="O25"/>
  <c r="G24" i="9" s="1"/>
  <c r="O26" i="1"/>
  <c r="G25" i="9" s="1"/>
  <c r="O27" i="1"/>
  <c r="G26" i="9" s="1"/>
  <c r="O28" i="1"/>
  <c r="O29"/>
  <c r="G28" i="9" s="1"/>
  <c r="O30" i="1"/>
  <c r="G29" i="9" s="1"/>
  <c r="O31" i="1"/>
  <c r="G30" i="9" s="1"/>
  <c r="O32" i="1"/>
  <c r="G31" i="9" s="1"/>
  <c r="O33" i="1"/>
  <c r="O34"/>
  <c r="G33" i="9" s="1"/>
  <c r="O35" i="1"/>
  <c r="G34" i="9" s="1"/>
  <c r="M6" i="1"/>
  <c r="M7"/>
  <c r="M8"/>
  <c r="M9"/>
  <c r="M10"/>
  <c r="M11"/>
  <c r="M12"/>
  <c r="M13"/>
  <c r="M14"/>
  <c r="M15"/>
  <c r="M16"/>
  <c r="E15" i="9" s="1"/>
  <c r="M17" i="1"/>
  <c r="M18"/>
  <c r="M19"/>
  <c r="M20"/>
  <c r="E19" i="9" s="1"/>
  <c r="M21" i="1"/>
  <c r="M22"/>
  <c r="M23"/>
  <c r="M24"/>
  <c r="E23" i="9" s="1"/>
  <c r="M25" i="1"/>
  <c r="M26"/>
  <c r="M27"/>
  <c r="M28"/>
  <c r="E27" i="9" s="1"/>
  <c r="M29" i="1"/>
  <c r="E28" i="9" s="1"/>
  <c r="M30" i="1"/>
  <c r="M31"/>
  <c r="M32"/>
  <c r="M34"/>
  <c r="E33" i="9" s="1"/>
  <c r="M35" i="1"/>
  <c r="J6"/>
  <c r="F2" i="12" s="1"/>
  <c r="J7" i="1"/>
  <c r="J8"/>
  <c r="J9"/>
  <c r="J10"/>
  <c r="F6" i="12" s="1"/>
  <c r="J11" i="1"/>
  <c r="F7" i="12" s="1"/>
  <c r="J12" i="1"/>
  <c r="F8" i="12" s="1"/>
  <c r="J13" i="1"/>
  <c r="F9" i="12" s="1"/>
  <c r="J14" i="1"/>
  <c r="J15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/>
  <c r="J28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/>
  <c r="C7" i="6"/>
  <c r="AH2" i="12" s="1"/>
  <c r="U18" i="1"/>
  <c r="S18"/>
  <c r="U17"/>
  <c r="U16"/>
  <c r="S16"/>
  <c r="U15"/>
  <c r="S15"/>
  <c r="U14"/>
  <c r="S14"/>
  <c r="U13"/>
  <c r="S13"/>
  <c r="U12"/>
  <c r="S12"/>
  <c r="U11"/>
  <c r="S11"/>
  <c r="U10"/>
  <c r="S10"/>
  <c r="U9"/>
  <c r="S9"/>
  <c r="U8"/>
  <c r="S8"/>
  <c r="BK6"/>
  <c r="AT5" i="9" s="1"/>
  <c r="BI6" i="1"/>
  <c r="BG6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/>
  <c r="AZ5"/>
  <c r="AV5"/>
  <c r="AT5"/>
  <c r="AR5"/>
  <c r="AP5"/>
  <c r="AN5"/>
  <c r="AK5"/>
  <c r="AI5"/>
  <c r="AG5"/>
  <c r="AC5"/>
  <c r="AA5"/>
  <c r="U5"/>
  <c r="Q5"/>
  <c r="O5"/>
  <c r="M5"/>
  <c r="E35" i="9" s="1"/>
  <c r="J5" i="1"/>
  <c r="K11" i="6"/>
  <c r="G6" i="13" s="1"/>
  <c r="K36" i="6"/>
  <c r="G31" i="13" s="1"/>
  <c r="AH31" i="12"/>
  <c r="G6" i="6"/>
  <c r="C6"/>
  <c r="G6" i="2"/>
  <c r="E6"/>
  <c r="C6"/>
  <c r="H6" i="11"/>
  <c r="D34"/>
  <c r="J46" i="1"/>
  <c r="A51" i="6" s="1"/>
  <c r="J42" s="1"/>
  <c r="AJ37" i="9" s="1"/>
  <c r="J16" i="6"/>
  <c r="AJ14" i="9" s="1"/>
  <c r="J18" i="6"/>
  <c r="AJ16" i="9" s="1"/>
  <c r="J22" i="6"/>
  <c r="AJ20" i="9" s="1"/>
  <c r="J30" i="6"/>
  <c r="AJ28" i="9" s="1"/>
  <c r="H11" i="6"/>
  <c r="H20"/>
  <c r="H21"/>
  <c r="H24"/>
  <c r="H27"/>
  <c r="H29"/>
  <c r="H30"/>
  <c r="H31"/>
  <c r="H36"/>
  <c r="AE30" i="12"/>
  <c r="K29" i="9"/>
  <c r="G7" i="6"/>
  <c r="J7" s="1"/>
  <c r="AJ5" i="9" s="1"/>
  <c r="C6"/>
  <c r="I56" i="1"/>
  <c r="I11" i="6"/>
  <c r="I15"/>
  <c r="S28" i="2"/>
  <c r="S29"/>
  <c r="S30"/>
  <c r="S31"/>
  <c r="S32"/>
  <c r="S33"/>
  <c r="S34"/>
  <c r="S35"/>
  <c r="S36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O8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/>
  <c r="G8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/>
  <c r="AF24"/>
  <c r="AF25"/>
  <c r="AF26"/>
  <c r="AF27"/>
  <c r="AF28"/>
  <c r="AF29"/>
  <c r="AF30"/>
  <c r="E8" i="2"/>
  <c r="K6" i="9" s="1"/>
  <c r="E9" i="2"/>
  <c r="E10"/>
  <c r="K8" i="9" s="1"/>
  <c r="E11" i="2"/>
  <c r="E12"/>
  <c r="K10" i="9" s="1"/>
  <c r="E14" i="2"/>
  <c r="AE9" i="12" s="1"/>
  <c r="E15" i="2"/>
  <c r="E16"/>
  <c r="AE11" i="12" s="1"/>
  <c r="E17" i="2"/>
  <c r="E18"/>
  <c r="K16" i="9" s="1"/>
  <c r="E19" i="2"/>
  <c r="K17" i="9" s="1"/>
  <c r="E20" i="2"/>
  <c r="E21"/>
  <c r="K19" i="9" s="1"/>
  <c r="E22" i="2"/>
  <c r="K20" i="9" s="1"/>
  <c r="E23" i="2"/>
  <c r="E24"/>
  <c r="E25"/>
  <c r="AE20" i="12" s="1"/>
  <c r="AE24"/>
  <c r="K28" i="9"/>
  <c r="K30"/>
  <c r="AE31" i="12"/>
  <c r="C8" i="2"/>
  <c r="I6" i="9" s="1"/>
  <c r="C9" i="2"/>
  <c r="I7" i="9" s="1"/>
  <c r="I8"/>
  <c r="I15"/>
  <c r="I17"/>
  <c r="I22"/>
  <c r="I24"/>
  <c r="I26"/>
  <c r="I27"/>
  <c r="I30"/>
  <c r="I31"/>
  <c r="AT10"/>
  <c r="AT11"/>
  <c r="AT26"/>
  <c r="AT34"/>
  <c r="AU6"/>
  <c r="AU14"/>
  <c r="AU21"/>
  <c r="AU25"/>
  <c r="AU29"/>
  <c r="U19" i="1"/>
  <c r="U20"/>
  <c r="U21"/>
  <c r="U22"/>
  <c r="U23"/>
  <c r="U24"/>
  <c r="U25"/>
  <c r="U26"/>
  <c r="U27"/>
  <c r="U28"/>
  <c r="U29"/>
  <c r="U30"/>
  <c r="U31"/>
  <c r="U32"/>
  <c r="U33"/>
  <c r="U34"/>
  <c r="U35"/>
  <c r="S19"/>
  <c r="S20"/>
  <c r="S21"/>
  <c r="S22"/>
  <c r="S23"/>
  <c r="S24"/>
  <c r="S25"/>
  <c r="S26"/>
  <c r="S27"/>
  <c r="S28"/>
  <c r="S29"/>
  <c r="S30"/>
  <c r="S32"/>
  <c r="S33"/>
  <c r="S34"/>
  <c r="S35"/>
  <c r="G9" i="9"/>
  <c r="G13"/>
  <c r="G22"/>
  <c r="C10"/>
  <c r="C14"/>
  <c r="C18"/>
  <c r="C19"/>
  <c r="C22"/>
  <c r="C30"/>
  <c r="V8" i="2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7"/>
  <c r="G5" i="9"/>
  <c r="G7" i="2"/>
  <c r="AF2" i="12" s="1"/>
  <c r="E7" i="2"/>
  <c r="C7"/>
  <c r="AD2" i="12" s="1"/>
  <c r="BO37" i="1"/>
  <c r="BO38" s="1"/>
  <c r="BS46"/>
  <c r="BR46"/>
  <c r="BQ46"/>
  <c r="BP46"/>
  <c r="BN46"/>
  <c r="BL46"/>
  <c r="BS45"/>
  <c r="BR45"/>
  <c r="BQ45"/>
  <c r="BP45"/>
  <c r="BN45"/>
  <c r="BL45"/>
  <c r="BQ42"/>
  <c r="BL42" s="1"/>
  <c r="BP42" s="1"/>
  <c r="BO42"/>
  <c r="BO43" s="1"/>
  <c r="BM42"/>
  <c r="BQ39"/>
  <c r="BS39" s="1"/>
  <c r="BO39"/>
  <c r="BO41" s="1"/>
  <c r="BO40" s="1"/>
  <c r="BM39"/>
  <c r="BM41" s="1"/>
  <c r="BM40" s="1"/>
  <c r="AH7" i="9"/>
  <c r="S7" i="2"/>
  <c r="F48"/>
  <c r="J47" i="1"/>
  <c r="F37"/>
  <c r="F38" s="1"/>
  <c r="BE34" i="9"/>
  <c r="G35" i="1"/>
  <c r="E35"/>
  <c r="C35"/>
  <c r="G34"/>
  <c r="E34"/>
  <c r="C34"/>
  <c r="D65" i="10"/>
  <c r="C65"/>
  <c r="D19"/>
  <c r="C19"/>
  <c r="C6"/>
  <c r="BM37" i="9"/>
  <c r="BN37"/>
  <c r="BO37"/>
  <c r="BP37"/>
  <c r="BQ37"/>
  <c r="BM38"/>
  <c r="BN38"/>
  <c r="BM39"/>
  <c r="BN39"/>
  <c r="BM40"/>
  <c r="BN40"/>
  <c r="BP40"/>
  <c r="BQ40"/>
  <c r="BC37"/>
  <c r="BD37"/>
  <c r="BF37"/>
  <c r="BG37"/>
  <c r="BC40"/>
  <c r="BD40"/>
  <c r="BF40"/>
  <c r="BG40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5"/>
  <c r="AR36"/>
  <c r="AR37"/>
  <c r="AR38"/>
  <c r="AR39"/>
  <c r="AR40"/>
  <c r="AR5"/>
  <c r="AP35"/>
  <c r="AP36"/>
  <c r="AP37"/>
  <c r="AP38"/>
  <c r="AP39"/>
  <c r="AP40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5"/>
  <c r="AO36"/>
  <c r="AO37"/>
  <c r="AO38"/>
  <c r="AO39"/>
  <c r="AO40"/>
  <c r="AO5"/>
  <c r="AN37"/>
  <c r="AN38"/>
  <c r="AN39"/>
  <c r="AN40"/>
  <c r="AJ35"/>
  <c r="AJ36"/>
  <c r="AJ38"/>
  <c r="AJ39"/>
  <c r="AJ40"/>
  <c r="AI31"/>
  <c r="AI38"/>
  <c r="AI39"/>
  <c r="AI40"/>
  <c r="AH35"/>
  <c r="AH36"/>
  <c r="AH37"/>
  <c r="AH38"/>
  <c r="AH39"/>
  <c r="AH40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5"/>
  <c r="X35"/>
  <c r="X36"/>
  <c r="X37"/>
  <c r="X38"/>
  <c r="X39"/>
  <c r="X40"/>
  <c r="T35"/>
  <c r="T36"/>
  <c r="T37"/>
  <c r="T38"/>
  <c r="T39"/>
  <c r="T40"/>
  <c r="R35"/>
  <c r="R36"/>
  <c r="R37"/>
  <c r="R38"/>
  <c r="R39"/>
  <c r="R40"/>
  <c r="P35"/>
  <c r="P36"/>
  <c r="P37"/>
  <c r="P38"/>
  <c r="P39"/>
  <c r="P40"/>
  <c r="N35"/>
  <c r="N36"/>
  <c r="N37"/>
  <c r="N38"/>
  <c r="N39"/>
  <c r="N40"/>
  <c r="I35"/>
  <c r="I36"/>
  <c r="I37"/>
  <c r="I38"/>
  <c r="I39"/>
  <c r="I40"/>
  <c r="G36"/>
  <c r="G37"/>
  <c r="G38"/>
  <c r="G39"/>
  <c r="G40"/>
  <c r="E36"/>
  <c r="E37"/>
  <c r="E38"/>
  <c r="E39"/>
  <c r="E40"/>
  <c r="C36"/>
  <c r="C37"/>
  <c r="C38"/>
  <c r="C39"/>
  <c r="C40"/>
  <c r="AO33"/>
  <c r="AR33"/>
  <c r="D48" i="2"/>
  <c r="B48"/>
  <c r="I45" i="1"/>
  <c r="N18" i="9"/>
  <c r="N19"/>
  <c r="N20"/>
  <c r="N21"/>
  <c r="N22"/>
  <c r="T22"/>
  <c r="N23"/>
  <c r="T23"/>
  <c r="N24"/>
  <c r="T24"/>
  <c r="N25"/>
  <c r="N26"/>
  <c r="N27"/>
  <c r="A1" i="10"/>
  <c r="Q696" s="1"/>
  <c r="D2368"/>
  <c r="D2369" s="1"/>
  <c r="N9" i="9"/>
  <c r="N10"/>
  <c r="N11"/>
  <c r="N12"/>
  <c r="N13"/>
  <c r="N14"/>
  <c r="N15"/>
  <c r="N16"/>
  <c r="N17"/>
  <c r="O7" i="2"/>
  <c r="R5" i="9" s="1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5"/>
  <c r="B32"/>
  <c r="D32"/>
  <c r="F32"/>
  <c r="H32"/>
  <c r="J32"/>
  <c r="M32"/>
  <c r="N32"/>
  <c r="T32"/>
  <c r="Z32"/>
  <c r="AC32"/>
  <c r="AD32"/>
  <c r="AE32"/>
  <c r="AK32"/>
  <c r="AL32"/>
  <c r="AM32"/>
  <c r="AN32"/>
  <c r="AQ32"/>
  <c r="AX32"/>
  <c r="AY32"/>
  <c r="AZ32"/>
  <c r="BA32"/>
  <c r="BB32"/>
  <c r="C33" i="1"/>
  <c r="BC32" i="9"/>
  <c r="BH32"/>
  <c r="BI32"/>
  <c r="BJ32"/>
  <c r="BK32"/>
  <c r="BL32"/>
  <c r="B33"/>
  <c r="D33"/>
  <c r="F33"/>
  <c r="H33"/>
  <c r="M33"/>
  <c r="J33"/>
  <c r="N6"/>
  <c r="N7"/>
  <c r="N8"/>
  <c r="N28"/>
  <c r="N29"/>
  <c r="N30"/>
  <c r="N31"/>
  <c r="T6"/>
  <c r="T8"/>
  <c r="V13"/>
  <c r="V14"/>
  <c r="V15"/>
  <c r="V16"/>
  <c r="V17"/>
  <c r="AC33"/>
  <c r="AD7"/>
  <c r="AD8"/>
  <c r="AD9"/>
  <c r="AD11"/>
  <c r="AD12"/>
  <c r="AD13"/>
  <c r="AD15"/>
  <c r="AD16"/>
  <c r="AD17"/>
  <c r="AD19"/>
  <c r="AD20"/>
  <c r="AD21"/>
  <c r="AD23"/>
  <c r="AD24"/>
  <c r="AD25"/>
  <c r="AD27"/>
  <c r="AD28"/>
  <c r="AD29"/>
  <c r="AD31"/>
  <c r="AE33"/>
  <c r="AK33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P7"/>
  <c r="AP9"/>
  <c r="AP11"/>
  <c r="AP13"/>
  <c r="AP15"/>
  <c r="AP17"/>
  <c r="AP19"/>
  <c r="AP21"/>
  <c r="AP23"/>
  <c r="AP25"/>
  <c r="AP27"/>
  <c r="AP31"/>
  <c r="AQ33"/>
  <c r="AX33"/>
  <c r="AY33"/>
  <c r="AZ33"/>
  <c r="BA33"/>
  <c r="BB33"/>
  <c r="C6" i="1"/>
  <c r="C8"/>
  <c r="C9"/>
  <c r="C10"/>
  <c r="C11"/>
  <c r="C12"/>
  <c r="C13"/>
  <c r="C14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/>
  <c r="F34"/>
  <c r="H34"/>
  <c r="J34"/>
  <c r="K34"/>
  <c r="M34"/>
  <c r="V34"/>
  <c r="Z34"/>
  <c r="AC34"/>
  <c r="AD34"/>
  <c r="AE34"/>
  <c r="AK34"/>
  <c r="AL34"/>
  <c r="AM34"/>
  <c r="AQ34"/>
  <c r="AX34"/>
  <c r="AY34"/>
  <c r="AZ34"/>
  <c r="BA34"/>
  <c r="BB34"/>
  <c r="BH34"/>
  <c r="U47" i="2" s="1"/>
  <c r="BI34" i="9"/>
  <c r="W47" i="2" s="1"/>
  <c r="BJ34" i="9"/>
  <c r="X47" i="2" s="1"/>
  <c r="BK34" i="9"/>
  <c r="Y47" i="2" s="1"/>
  <c r="BL34" i="9"/>
  <c r="Z47" i="2" s="1"/>
  <c r="B35" i="9"/>
  <c r="D35"/>
  <c r="F35"/>
  <c r="H35"/>
  <c r="J35"/>
  <c r="K35"/>
  <c r="M35"/>
  <c r="V35"/>
  <c r="Z35"/>
  <c r="AC35"/>
  <c r="AD35"/>
  <c r="AE35"/>
  <c r="AK35"/>
  <c r="AL35"/>
  <c r="AM35"/>
  <c r="AQ35"/>
  <c r="AX35"/>
  <c r="AY35"/>
  <c r="AZ35"/>
  <c r="BA35"/>
  <c r="BB35"/>
  <c r="BH35"/>
  <c r="BI35"/>
  <c r="BJ35"/>
  <c r="BK35"/>
  <c r="BL35"/>
  <c r="B36"/>
  <c r="D36"/>
  <c r="F36"/>
  <c r="H36"/>
  <c r="J36"/>
  <c r="K36"/>
  <c r="M36"/>
  <c r="V36"/>
  <c r="Z36"/>
  <c r="AC36"/>
  <c r="AD36"/>
  <c r="AE36"/>
  <c r="AK36"/>
  <c r="AL36"/>
  <c r="AM36"/>
  <c r="AQ36"/>
  <c r="AX36"/>
  <c r="AY36"/>
  <c r="AZ36"/>
  <c r="BA36"/>
  <c r="BB36"/>
  <c r="BH36"/>
  <c r="BI36"/>
  <c r="BJ36"/>
  <c r="BK36"/>
  <c r="BL36"/>
  <c r="B37"/>
  <c r="D37"/>
  <c r="F37"/>
  <c r="H37"/>
  <c r="J37"/>
  <c r="K37"/>
  <c r="M37"/>
  <c r="V37"/>
  <c r="Z37"/>
  <c r="AC37"/>
  <c r="AD37"/>
  <c r="AE37"/>
  <c r="AK37"/>
  <c r="AL37"/>
  <c r="AM37"/>
  <c r="AQ37"/>
  <c r="AX37"/>
  <c r="AY37"/>
  <c r="AZ37"/>
  <c r="BA37"/>
  <c r="BB37"/>
  <c r="BH37"/>
  <c r="BI37"/>
  <c r="BJ37"/>
  <c r="BK37"/>
  <c r="BL37"/>
  <c r="B38"/>
  <c r="D38"/>
  <c r="F38"/>
  <c r="H38"/>
  <c r="J38"/>
  <c r="K38"/>
  <c r="M38"/>
  <c r="V38"/>
  <c r="Z38"/>
  <c r="AC38"/>
  <c r="AD38"/>
  <c r="AE38"/>
  <c r="AK38"/>
  <c r="AL38"/>
  <c r="AM38"/>
  <c r="AQ38"/>
  <c r="AX38"/>
  <c r="AY38"/>
  <c r="AZ38"/>
  <c r="BA38"/>
  <c r="BB38"/>
  <c r="BH38"/>
  <c r="BI38"/>
  <c r="BJ38"/>
  <c r="BK38"/>
  <c r="BL38"/>
  <c r="B39"/>
  <c r="D39"/>
  <c r="F39"/>
  <c r="H39"/>
  <c r="J39"/>
  <c r="K39"/>
  <c r="M39"/>
  <c r="V39"/>
  <c r="Z39"/>
  <c r="AC39"/>
  <c r="AD39"/>
  <c r="AE39"/>
  <c r="AK39"/>
  <c r="AL39"/>
  <c r="AM39"/>
  <c r="AQ39"/>
  <c r="AX39"/>
  <c r="AY39"/>
  <c r="AZ39"/>
  <c r="BA39"/>
  <c r="BB39"/>
  <c r="BH39"/>
  <c r="BI39"/>
  <c r="BJ39"/>
  <c r="BK39"/>
  <c r="BL39"/>
  <c r="B40"/>
  <c r="D40"/>
  <c r="F40"/>
  <c r="H40"/>
  <c r="J40"/>
  <c r="K40"/>
  <c r="M40"/>
  <c r="V40"/>
  <c r="Z40"/>
  <c r="AC40"/>
  <c r="AD40"/>
  <c r="AE40"/>
  <c r="AK40"/>
  <c r="AL40"/>
  <c r="AM40"/>
  <c r="AQ40"/>
  <c r="AX40"/>
  <c r="AY40"/>
  <c r="AZ40"/>
  <c r="BA40"/>
  <c r="BB40"/>
  <c r="BH40"/>
  <c r="BI40"/>
  <c r="BJ40"/>
  <c r="BK40"/>
  <c r="BL40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5"/>
  <c r="BH6"/>
  <c r="BI6"/>
  <c r="BJ6"/>
  <c r="BK6"/>
  <c r="BL6"/>
  <c r="BH7"/>
  <c r="BI7"/>
  <c r="BJ7"/>
  <c r="BK7"/>
  <c r="BL7"/>
  <c r="BH8"/>
  <c r="BI8"/>
  <c r="BJ8"/>
  <c r="BK8"/>
  <c r="BL8"/>
  <c r="BH9"/>
  <c r="BI9"/>
  <c r="BJ9"/>
  <c r="BK9"/>
  <c r="BL9"/>
  <c r="BH10"/>
  <c r="BI10"/>
  <c r="BJ10"/>
  <c r="BK10"/>
  <c r="BL10"/>
  <c r="BH11"/>
  <c r="BI11"/>
  <c r="BJ11"/>
  <c r="BK11"/>
  <c r="BL11"/>
  <c r="BH12"/>
  <c r="BI12"/>
  <c r="BJ12"/>
  <c r="BK12"/>
  <c r="BL12"/>
  <c r="BH13"/>
  <c r="BI13"/>
  <c r="BJ13"/>
  <c r="BK13"/>
  <c r="BL13"/>
  <c r="BH14"/>
  <c r="BI14"/>
  <c r="BJ14"/>
  <c r="BK14"/>
  <c r="BL14"/>
  <c r="BH15"/>
  <c r="BI15"/>
  <c r="BJ15"/>
  <c r="BK15"/>
  <c r="BL15"/>
  <c r="BH16"/>
  <c r="BI16"/>
  <c r="BJ16"/>
  <c r="BK16"/>
  <c r="BL16"/>
  <c r="BH17"/>
  <c r="BI17"/>
  <c r="BJ17"/>
  <c r="BK17"/>
  <c r="BL17"/>
  <c r="BH18"/>
  <c r="BI18"/>
  <c r="BJ18"/>
  <c r="BK18"/>
  <c r="BL18"/>
  <c r="BH19"/>
  <c r="BI19"/>
  <c r="BJ19"/>
  <c r="BK19"/>
  <c r="BL19"/>
  <c r="BH20"/>
  <c r="BI20"/>
  <c r="BJ20"/>
  <c r="BK20"/>
  <c r="BL20"/>
  <c r="BH21"/>
  <c r="BI21"/>
  <c r="BJ21"/>
  <c r="BK21"/>
  <c r="BL21"/>
  <c r="BH22"/>
  <c r="BI22"/>
  <c r="BJ22"/>
  <c r="BK22"/>
  <c r="BL22"/>
  <c r="BH23"/>
  <c r="BI23"/>
  <c r="BJ23"/>
  <c r="BK23"/>
  <c r="BL23"/>
  <c r="BH24"/>
  <c r="BI24"/>
  <c r="BJ24"/>
  <c r="BK24"/>
  <c r="BL24"/>
  <c r="BH25"/>
  <c r="BI25"/>
  <c r="BJ25"/>
  <c r="BK25"/>
  <c r="BL25"/>
  <c r="BH26"/>
  <c r="BI26"/>
  <c r="BJ26"/>
  <c r="BK26"/>
  <c r="BL26"/>
  <c r="BH27"/>
  <c r="BI27"/>
  <c r="BJ27"/>
  <c r="BK27"/>
  <c r="BL27"/>
  <c r="BH28"/>
  <c r="BI28"/>
  <c r="BJ28"/>
  <c r="BK28"/>
  <c r="BL28"/>
  <c r="BH29"/>
  <c r="BI29"/>
  <c r="BJ29"/>
  <c r="BK29"/>
  <c r="BL29"/>
  <c r="BH30"/>
  <c r="BI30"/>
  <c r="BJ30"/>
  <c r="BK30"/>
  <c r="BL30"/>
  <c r="BH31"/>
  <c r="BI31"/>
  <c r="BJ31"/>
  <c r="BK31"/>
  <c r="BL31"/>
  <c r="BL5"/>
  <c r="BK5"/>
  <c r="BJ5"/>
  <c r="BI5"/>
  <c r="BH5"/>
  <c r="AX6"/>
  <c r="AY6"/>
  <c r="AZ6"/>
  <c r="BA6"/>
  <c r="BB6"/>
  <c r="AX7"/>
  <c r="AY7"/>
  <c r="AZ7"/>
  <c r="BA7"/>
  <c r="BB7"/>
  <c r="AX8"/>
  <c r="AY8"/>
  <c r="AZ8"/>
  <c r="BA8"/>
  <c r="BB8"/>
  <c r="AX9"/>
  <c r="AY9"/>
  <c r="AZ9"/>
  <c r="BA9"/>
  <c r="BB9"/>
  <c r="AX10"/>
  <c r="AY10"/>
  <c r="AZ10"/>
  <c r="BA10"/>
  <c r="BB10"/>
  <c r="AX11"/>
  <c r="AY11"/>
  <c r="AZ11"/>
  <c r="BA11"/>
  <c r="BB11"/>
  <c r="AX12"/>
  <c r="AY12"/>
  <c r="AZ12"/>
  <c r="BA12"/>
  <c r="BB12"/>
  <c r="AX13"/>
  <c r="AY13"/>
  <c r="AZ13"/>
  <c r="BA13"/>
  <c r="BB13"/>
  <c r="AX14"/>
  <c r="AY14"/>
  <c r="AZ14"/>
  <c r="BA14"/>
  <c r="BB14"/>
  <c r="AX15"/>
  <c r="AY15"/>
  <c r="AZ15"/>
  <c r="BA15"/>
  <c r="BB15"/>
  <c r="AX16"/>
  <c r="AY16"/>
  <c r="AZ16"/>
  <c r="BA16"/>
  <c r="BB16"/>
  <c r="AX17"/>
  <c r="AY17"/>
  <c r="AZ17"/>
  <c r="BA17"/>
  <c r="BB17"/>
  <c r="AX18"/>
  <c r="AY18"/>
  <c r="AZ18"/>
  <c r="BA18"/>
  <c r="BB18"/>
  <c r="AX19"/>
  <c r="AY19"/>
  <c r="AZ19"/>
  <c r="BA19"/>
  <c r="BB19"/>
  <c r="AX20"/>
  <c r="AY20"/>
  <c r="AZ20"/>
  <c r="BA20"/>
  <c r="BB20"/>
  <c r="AX21"/>
  <c r="AY21"/>
  <c r="AZ21"/>
  <c r="BA21"/>
  <c r="BB21"/>
  <c r="AX22"/>
  <c r="AY22"/>
  <c r="AZ22"/>
  <c r="BA22"/>
  <c r="BB22"/>
  <c r="AX23"/>
  <c r="AY23"/>
  <c r="AZ23"/>
  <c r="BA23"/>
  <c r="BB23"/>
  <c r="AX24"/>
  <c r="AY24"/>
  <c r="AZ24"/>
  <c r="BA24"/>
  <c r="BB24"/>
  <c r="AX25"/>
  <c r="AY25"/>
  <c r="AZ25"/>
  <c r="BA25"/>
  <c r="BB25"/>
  <c r="AX26"/>
  <c r="AY26"/>
  <c r="AZ26"/>
  <c r="BA26"/>
  <c r="BB26"/>
  <c r="AX27"/>
  <c r="AY27"/>
  <c r="AZ27"/>
  <c r="BA27"/>
  <c r="BB27"/>
  <c r="AX28"/>
  <c r="AY28"/>
  <c r="AZ28"/>
  <c r="BA28"/>
  <c r="BB28"/>
  <c r="AX29"/>
  <c r="AY29"/>
  <c r="AZ29"/>
  <c r="BA29"/>
  <c r="BB29"/>
  <c r="AX30"/>
  <c r="AY30"/>
  <c r="AZ30"/>
  <c r="BA30"/>
  <c r="BB30"/>
  <c r="AX31"/>
  <c r="AY31"/>
  <c r="AZ31"/>
  <c r="BA31"/>
  <c r="BB31"/>
  <c r="BB5"/>
  <c r="BA5"/>
  <c r="AZ5"/>
  <c r="AY5"/>
  <c r="AX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5"/>
  <c r="D6"/>
  <c r="J6"/>
  <c r="M6"/>
  <c r="Z6"/>
  <c r="D7"/>
  <c r="J7"/>
  <c r="M7"/>
  <c r="Z7"/>
  <c r="D8"/>
  <c r="J8"/>
  <c r="M8"/>
  <c r="Z8"/>
  <c r="D9"/>
  <c r="J9"/>
  <c r="M9"/>
  <c r="Z9"/>
  <c r="D10"/>
  <c r="J10"/>
  <c r="M10"/>
  <c r="Z10"/>
  <c r="D11"/>
  <c r="J11"/>
  <c r="M11"/>
  <c r="Z11"/>
  <c r="D12"/>
  <c r="J12"/>
  <c r="M12"/>
  <c r="Z12"/>
  <c r="D13"/>
  <c r="J13"/>
  <c r="M13"/>
  <c r="Z13"/>
  <c r="D14"/>
  <c r="J14"/>
  <c r="M14"/>
  <c r="Z14"/>
  <c r="D15"/>
  <c r="J15"/>
  <c r="M15"/>
  <c r="Z15"/>
  <c r="D16"/>
  <c r="J16"/>
  <c r="M16"/>
  <c r="Z16"/>
  <c r="D17"/>
  <c r="J17"/>
  <c r="M17"/>
  <c r="Z17"/>
  <c r="D18"/>
  <c r="J18"/>
  <c r="M18"/>
  <c r="Z18"/>
  <c r="D19"/>
  <c r="J19"/>
  <c r="M19"/>
  <c r="Z19"/>
  <c r="D20"/>
  <c r="J20"/>
  <c r="M20"/>
  <c r="Z20"/>
  <c r="D21"/>
  <c r="J21"/>
  <c r="M21"/>
  <c r="Z21"/>
  <c r="D22"/>
  <c r="J22"/>
  <c r="M22"/>
  <c r="Z22"/>
  <c r="D23"/>
  <c r="J23"/>
  <c r="M23"/>
  <c r="Z23"/>
  <c r="D24"/>
  <c r="J24"/>
  <c r="M24"/>
  <c r="Z24"/>
  <c r="D25"/>
  <c r="J25"/>
  <c r="M25"/>
  <c r="Z25"/>
  <c r="D26"/>
  <c r="J26"/>
  <c r="M26"/>
  <c r="Z26"/>
  <c r="D27"/>
  <c r="J27"/>
  <c r="M27"/>
  <c r="Z27"/>
  <c r="D28"/>
  <c r="J28"/>
  <c r="M28"/>
  <c r="Z28"/>
  <c r="D29"/>
  <c r="J29"/>
  <c r="M29"/>
  <c r="Z29"/>
  <c r="D30"/>
  <c r="J30"/>
  <c r="M30"/>
  <c r="Z30"/>
  <c r="D31"/>
  <c r="J31"/>
  <c r="M31"/>
  <c r="Z31"/>
  <c r="D5"/>
  <c r="H2368" i="10"/>
  <c r="H2369" s="1"/>
  <c r="E2368"/>
  <c r="E2369" s="1"/>
  <c r="F2368"/>
  <c r="F2369" s="1"/>
  <c r="G2368"/>
  <c r="G2369" s="1"/>
  <c r="C2368"/>
  <c r="C2369" s="1"/>
  <c r="C2366"/>
  <c r="C2352"/>
  <c r="C2349"/>
  <c r="E65"/>
  <c r="F65"/>
  <c r="G65"/>
  <c r="H65"/>
  <c r="I65"/>
  <c r="D2366"/>
  <c r="D2370" s="1"/>
  <c r="D2349"/>
  <c r="D2352"/>
  <c r="J5" i="9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BC12"/>
  <c r="BD12"/>
  <c r="C15" i="1"/>
  <c r="C16"/>
  <c r="C17"/>
  <c r="C18"/>
  <c r="C19"/>
  <c r="C20"/>
  <c r="C21"/>
  <c r="C22"/>
  <c r="C23"/>
  <c r="C24"/>
  <c r="C25"/>
  <c r="C26"/>
  <c r="C27"/>
  <c r="C28"/>
  <c r="C29"/>
  <c r="C30"/>
  <c r="C31"/>
  <c r="C32"/>
  <c r="AQ6" i="9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5"/>
  <c r="AD6"/>
  <c r="AD10"/>
  <c r="AD14"/>
  <c r="AD18"/>
  <c r="AD22"/>
  <c r="AD26"/>
  <c r="AD30"/>
  <c r="AD5"/>
  <c r="Z5"/>
  <c r="M5"/>
  <c r="A1"/>
  <c r="P1"/>
  <c r="O2342" i="10"/>
  <c r="O2343"/>
  <c r="O2345"/>
  <c r="O2346"/>
  <c r="O2347"/>
  <c r="O2341"/>
  <c r="H19"/>
  <c r="O2348"/>
  <c r="AL5" i="9"/>
  <c r="AM5"/>
  <c r="AL6"/>
  <c r="AM6"/>
  <c r="N2352" i="10"/>
  <c r="N2349"/>
  <c r="M2352"/>
  <c r="M2349"/>
  <c r="L2352"/>
  <c r="L2349"/>
  <c r="K2352"/>
  <c r="K2349"/>
  <c r="J2352"/>
  <c r="J2349"/>
  <c r="I2352"/>
  <c r="I2349"/>
  <c r="H2352"/>
  <c r="H2349"/>
  <c r="G2352"/>
  <c r="G2349"/>
  <c r="F2352"/>
  <c r="F2349"/>
  <c r="E2352"/>
  <c r="E2349"/>
  <c r="C42" i="7"/>
  <c r="E46" s="1"/>
  <c r="F10" i="4"/>
  <c r="G10" s="1"/>
  <c r="F11"/>
  <c r="F12"/>
  <c r="H12" s="1"/>
  <c r="F13"/>
  <c r="H13" s="1"/>
  <c r="F14"/>
  <c r="F15"/>
  <c r="F16"/>
  <c r="H16" s="1"/>
  <c r="F17"/>
  <c r="F18"/>
  <c r="F19"/>
  <c r="G19" s="1"/>
  <c r="F20"/>
  <c r="G20" s="1"/>
  <c r="F21"/>
  <c r="H21" s="1"/>
  <c r="F22"/>
  <c r="G22" s="1"/>
  <c r="F23"/>
  <c r="H23" s="1"/>
  <c r="F24"/>
  <c r="F25"/>
  <c r="F26"/>
  <c r="H26" s="1"/>
  <c r="F27"/>
  <c r="F28"/>
  <c r="H28" s="1"/>
  <c r="F29"/>
  <c r="F30"/>
  <c r="H30" s="1"/>
  <c r="F31"/>
  <c r="H31" s="1"/>
  <c r="F32"/>
  <c r="H32" s="1"/>
  <c r="F33"/>
  <c r="F34"/>
  <c r="F35"/>
  <c r="F36"/>
  <c r="H36" s="1"/>
  <c r="F37"/>
  <c r="H37" s="1"/>
  <c r="F38"/>
  <c r="H38" s="1"/>
  <c r="F39"/>
  <c r="F40"/>
  <c r="H40" s="1"/>
  <c r="C28" i="7"/>
  <c r="E31" s="1"/>
  <c r="C50"/>
  <c r="B3"/>
  <c r="D7"/>
  <c r="D8"/>
  <c r="D9"/>
  <c r="D12"/>
  <c r="D23"/>
  <c r="D25"/>
  <c r="D26"/>
  <c r="D28"/>
  <c r="D29"/>
  <c r="E29"/>
  <c r="D30"/>
  <c r="D31"/>
  <c r="D32"/>
  <c r="D33"/>
  <c r="D36"/>
  <c r="E36"/>
  <c r="D37"/>
  <c r="D38"/>
  <c r="D39"/>
  <c r="D40"/>
  <c r="E40"/>
  <c r="D41"/>
  <c r="E41"/>
  <c r="D42"/>
  <c r="D43"/>
  <c r="D45"/>
  <c r="D46"/>
  <c r="D47"/>
  <c r="D48"/>
  <c r="D50"/>
  <c r="D53"/>
  <c r="E53"/>
  <c r="D54"/>
  <c r="D55"/>
  <c r="D56"/>
  <c r="E56"/>
  <c r="D37" i="4"/>
  <c r="E37"/>
  <c r="D38"/>
  <c r="E38"/>
  <c r="D39"/>
  <c r="E39"/>
  <c r="D40"/>
  <c r="E40"/>
  <c r="O2360" i="10"/>
  <c r="O2359"/>
  <c r="O2358"/>
  <c r="F2366"/>
  <c r="E2366"/>
  <c r="O2363"/>
  <c r="O2364"/>
  <c r="O2365"/>
  <c r="O2362"/>
  <c r="I2366"/>
  <c r="I2369"/>
  <c r="G2366"/>
  <c r="H2366"/>
  <c r="J2369"/>
  <c r="K2369"/>
  <c r="L2369"/>
  <c r="M2369"/>
  <c r="N2369"/>
  <c r="N2366"/>
  <c r="M2366"/>
  <c r="L2366"/>
  <c r="K2366"/>
  <c r="J2366"/>
  <c r="O63"/>
  <c r="O14"/>
  <c r="O64"/>
  <c r="M19"/>
  <c r="M65"/>
  <c r="N19"/>
  <c r="N65"/>
  <c r="O15"/>
  <c r="O16"/>
  <c r="O17"/>
  <c r="O18"/>
  <c r="O4"/>
  <c r="O7"/>
  <c r="O8"/>
  <c r="O9"/>
  <c r="O10"/>
  <c r="O11"/>
  <c r="O12"/>
  <c r="O13"/>
  <c r="O2351"/>
  <c r="J65"/>
  <c r="K65"/>
  <c r="L65"/>
  <c r="E19"/>
  <c r="F19"/>
  <c r="G19"/>
  <c r="G66" s="1"/>
  <c r="I19"/>
  <c r="J19"/>
  <c r="K19"/>
  <c r="L19"/>
  <c r="L66" s="1"/>
  <c r="G4" i="4"/>
  <c r="AK28" i="9"/>
  <c r="AL28"/>
  <c r="AM28"/>
  <c r="AK29"/>
  <c r="AL29"/>
  <c r="AM29"/>
  <c r="AK30"/>
  <c r="AL30"/>
  <c r="AM30"/>
  <c r="AK31"/>
  <c r="AL31"/>
  <c r="AM31"/>
  <c r="D34" i="4"/>
  <c r="E34"/>
  <c r="D35"/>
  <c r="E35"/>
  <c r="D36"/>
  <c r="E36"/>
  <c r="E33" i="1"/>
  <c r="G33"/>
  <c r="E32"/>
  <c r="G32"/>
  <c r="E30"/>
  <c r="G30"/>
  <c r="E31"/>
  <c r="G31"/>
  <c r="G6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E6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AM27" i="9"/>
  <c r="AL27"/>
  <c r="AK27"/>
  <c r="AM26"/>
  <c r="AL26"/>
  <c r="AK26"/>
  <c r="AM25"/>
  <c r="AL25"/>
  <c r="AK25"/>
  <c r="AM24"/>
  <c r="AL24"/>
  <c r="AK24"/>
  <c r="AM23"/>
  <c r="AL23"/>
  <c r="AK23"/>
  <c r="AM22"/>
  <c r="AL22"/>
  <c r="AK22"/>
  <c r="AM21"/>
  <c r="AL21"/>
  <c r="AK21"/>
  <c r="AM20"/>
  <c r="AL20"/>
  <c r="AK20"/>
  <c r="AM19"/>
  <c r="AL19"/>
  <c r="AK19"/>
  <c r="AM18"/>
  <c r="AL18"/>
  <c r="AK18"/>
  <c r="AM17"/>
  <c r="AL17"/>
  <c r="AK17"/>
  <c r="AM16"/>
  <c r="AL16"/>
  <c r="AK16"/>
  <c r="AM15"/>
  <c r="AL15"/>
  <c r="AK15"/>
  <c r="AM14"/>
  <c r="AL14"/>
  <c r="AK14"/>
  <c r="AM13"/>
  <c r="AL13"/>
  <c r="AK13"/>
  <c r="AM12"/>
  <c r="AL12"/>
  <c r="AK12"/>
  <c r="AM11"/>
  <c r="AL11"/>
  <c r="AK11"/>
  <c r="AM10"/>
  <c r="AL10"/>
  <c r="AK10"/>
  <c r="AM9"/>
  <c r="AL9"/>
  <c r="AK9"/>
  <c r="AM8"/>
  <c r="AL8"/>
  <c r="AK8"/>
  <c r="AM7"/>
  <c r="AL7"/>
  <c r="AK7"/>
  <c r="AK6"/>
  <c r="AK5"/>
  <c r="D32" i="4"/>
  <c r="E32"/>
  <c r="E33"/>
  <c r="D33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BE32" i="9"/>
  <c r="BF8"/>
  <c r="BD8"/>
  <c r="BC8"/>
  <c r="BD34"/>
  <c r="BG33"/>
  <c r="BE10"/>
  <c r="BC10"/>
  <c r="BD10"/>
  <c r="BD5"/>
  <c r="AV5"/>
  <c r="BC6"/>
  <c r="BD6"/>
  <c r="AT37"/>
  <c r="BC9"/>
  <c r="BD32"/>
  <c r="BE31"/>
  <c r="BC31"/>
  <c r="BD31"/>
  <c r="BF29"/>
  <c r="BC29"/>
  <c r="BD29"/>
  <c r="BF27"/>
  <c r="BC27"/>
  <c r="BD27"/>
  <c r="BE25"/>
  <c r="BC25"/>
  <c r="BD25"/>
  <c r="BE23"/>
  <c r="BC23"/>
  <c r="BD23"/>
  <c r="BE21"/>
  <c r="BC21"/>
  <c r="BD21"/>
  <c r="BF19"/>
  <c r="BC19"/>
  <c r="BD19"/>
  <c r="BF17"/>
  <c r="BC17"/>
  <c r="BD17"/>
  <c r="BE15"/>
  <c r="BC15"/>
  <c r="BD15"/>
  <c r="AU40"/>
  <c r="AU38"/>
  <c r="BE13"/>
  <c r="BC13"/>
  <c r="BD13"/>
  <c r="BE9"/>
  <c r="BD9"/>
  <c r="BE30"/>
  <c r="BD30"/>
  <c r="BC30"/>
  <c r="BE28"/>
  <c r="BD28"/>
  <c r="BC28"/>
  <c r="BG26"/>
  <c r="BD26"/>
  <c r="BC26"/>
  <c r="BG24"/>
  <c r="BD24"/>
  <c r="BC24"/>
  <c r="BE22"/>
  <c r="BD22"/>
  <c r="BC22"/>
  <c r="BE20"/>
  <c r="BD20"/>
  <c r="BC20"/>
  <c r="BD18"/>
  <c r="BC18"/>
  <c r="BE16"/>
  <c r="BD16"/>
  <c r="BC16"/>
  <c r="BE14"/>
  <c r="BD14"/>
  <c r="BC14"/>
  <c r="AT38"/>
  <c r="AT40"/>
  <c r="BE11"/>
  <c r="BC11"/>
  <c r="BD11"/>
  <c r="BE8"/>
  <c r="BC7"/>
  <c r="BD7"/>
  <c r="AI35"/>
  <c r="BC5"/>
  <c r="N5"/>
  <c r="V19"/>
  <c r="V18"/>
  <c r="AT36"/>
  <c r="BC38"/>
  <c r="BD38"/>
  <c r="AU37"/>
  <c r="AU36"/>
  <c r="BE26"/>
  <c r="BC35"/>
  <c r="BF15"/>
  <c r="BE19"/>
  <c r="BG19"/>
  <c r="BF23"/>
  <c r="BG23"/>
  <c r="BE27"/>
  <c r="BG27"/>
  <c r="BF31"/>
  <c r="AT39"/>
  <c r="AU39"/>
  <c r="BG20"/>
  <c r="BF28"/>
  <c r="BF13"/>
  <c r="BE17"/>
  <c r="BG17"/>
  <c r="BF21"/>
  <c r="BG21"/>
  <c r="BF25"/>
  <c r="BE29"/>
  <c r="BG29"/>
  <c r="BC33"/>
  <c r="BD33"/>
  <c r="BE36"/>
  <c r="BG36"/>
  <c r="BF36"/>
  <c r="BC36"/>
  <c r="BD36"/>
  <c r="BC34"/>
  <c r="BE33"/>
  <c r="C41" i="7"/>
  <c r="C47" s="1"/>
  <c r="BF33" i="9"/>
  <c r="BC39"/>
  <c r="BD39"/>
  <c r="AP14"/>
  <c r="V12"/>
  <c r="V11"/>
  <c r="V10"/>
  <c r="V9"/>
  <c r="V7"/>
  <c r="V20"/>
  <c r="V5"/>
  <c r="V23"/>
  <c r="T31"/>
  <c r="T29"/>
  <c r="T27"/>
  <c r="T25"/>
  <c r="T18"/>
  <c r="T30"/>
  <c r="T28"/>
  <c r="T26"/>
  <c r="V22"/>
  <c r="T21"/>
  <c r="V30"/>
  <c r="V28"/>
  <c r="V26"/>
  <c r="V21"/>
  <c r="V31"/>
  <c r="V29"/>
  <c r="V27"/>
  <c r="V25"/>
  <c r="V8"/>
  <c r="V6"/>
  <c r="V32"/>
  <c r="T20"/>
  <c r="T17"/>
  <c r="T15"/>
  <c r="T13"/>
  <c r="T11"/>
  <c r="T9"/>
  <c r="BF34"/>
  <c r="BG34"/>
  <c r="AF40"/>
  <c r="W40" i="2"/>
  <c r="BN35" i="9" s="1"/>
  <c r="C20" i="7"/>
  <c r="E23" s="1"/>
  <c r="T5" i="9"/>
  <c r="T7"/>
  <c r="T10"/>
  <c r="T12"/>
  <c r="T14"/>
  <c r="T16"/>
  <c r="T19"/>
  <c r="U40" i="2"/>
  <c r="BM35" i="9" s="1"/>
  <c r="AF37"/>
  <c r="AF38"/>
  <c r="AP16"/>
  <c r="AP32"/>
  <c r="AI32"/>
  <c r="AI5"/>
  <c r="AI37"/>
  <c r="AI30"/>
  <c r="AI28"/>
  <c r="AI26"/>
  <c r="AI24"/>
  <c r="AI22"/>
  <c r="AI20"/>
  <c r="AI18"/>
  <c r="AI16"/>
  <c r="AI14"/>
  <c r="AI12"/>
  <c r="AI10"/>
  <c r="AI8"/>
  <c r="AN33"/>
  <c r="AP30"/>
  <c r="AP28"/>
  <c r="AP26"/>
  <c r="AP24"/>
  <c r="AP22"/>
  <c r="AP20"/>
  <c r="AP18"/>
  <c r="AP12"/>
  <c r="AP10"/>
  <c r="AP8"/>
  <c r="AP6"/>
  <c r="AI6"/>
  <c r="BE40"/>
  <c r="BE38"/>
  <c r="BG38"/>
  <c r="BF38"/>
  <c r="BG9"/>
  <c r="BE24"/>
  <c r="BF30"/>
  <c r="BG22"/>
  <c r="BG32"/>
  <c r="BF10"/>
  <c r="AF22"/>
  <c r="AF24"/>
  <c r="AF39"/>
  <c r="Z33"/>
  <c r="AF32"/>
  <c r="AD33"/>
  <c r="C23" i="7"/>
  <c r="E26" s="1"/>
  <c r="T34" i="9"/>
  <c r="BE7"/>
  <c r="BG39"/>
  <c r="BE37"/>
  <c r="BG35"/>
  <c r="BF35"/>
  <c r="BE35"/>
  <c r="BG8"/>
  <c r="BG25"/>
  <c r="BG13"/>
  <c r="BF9"/>
  <c r="BG28"/>
  <c r="BF20"/>
  <c r="BG31"/>
  <c r="BD35"/>
  <c r="BG30"/>
  <c r="BF22"/>
  <c r="BE18"/>
  <c r="BG14"/>
  <c r="BF16"/>
  <c r="BF32"/>
  <c r="BG10"/>
  <c r="BG5"/>
  <c r="T33"/>
  <c r="AF20"/>
  <c r="AF35"/>
  <c r="V33"/>
  <c r="V24"/>
  <c r="BF24"/>
  <c r="BF26"/>
  <c r="BF18"/>
  <c r="BG11"/>
  <c r="BF11"/>
  <c r="BE39"/>
  <c r="AP5"/>
  <c r="AP33"/>
  <c r="AI9"/>
  <c r="AI13"/>
  <c r="AI17"/>
  <c r="AI21"/>
  <c r="AI25"/>
  <c r="AI29"/>
  <c r="AI7"/>
  <c r="AI11"/>
  <c r="AI15"/>
  <c r="AI19"/>
  <c r="AI23"/>
  <c r="AI27"/>
  <c r="BE12"/>
  <c r="BG12"/>
  <c r="BF12"/>
  <c r="N33"/>
  <c r="N34"/>
  <c r="AF6"/>
  <c r="AF8"/>
  <c r="AF28"/>
  <c r="AF16"/>
  <c r="AF10"/>
  <c r="AF18"/>
  <c r="AF27"/>
  <c r="AF21"/>
  <c r="AF26"/>
  <c r="AF14"/>
  <c r="AF19"/>
  <c r="BE6"/>
  <c r="BG6"/>
  <c r="BF6"/>
  <c r="BE5"/>
  <c r="BF5"/>
  <c r="X41" i="2"/>
  <c r="Z41" s="1"/>
  <c r="BQ36" i="9" s="1"/>
  <c r="W41" i="2"/>
  <c r="BN36" i="9" s="1"/>
  <c r="U41" i="2"/>
  <c r="BM36" i="9" s="1"/>
  <c r="AF36"/>
  <c r="BG7"/>
  <c r="AI34"/>
  <c r="AI33"/>
  <c r="C30" i="7"/>
  <c r="C46" s="1"/>
  <c r="E50" s="1"/>
  <c r="C11"/>
  <c r="E12" s="1"/>
  <c r="AI36" i="9"/>
  <c r="AL33"/>
  <c r="AR34"/>
  <c r="AP34"/>
  <c r="AM33"/>
  <c r="AO34"/>
  <c r="AN34"/>
  <c r="AF30"/>
  <c r="AF29"/>
  <c r="AF31"/>
  <c r="AF23"/>
  <c r="AF15"/>
  <c r="AF11"/>
  <c r="AF7"/>
  <c r="AF12"/>
  <c r="AF25"/>
  <c r="AF17"/>
  <c r="AF13"/>
  <c r="AF9"/>
  <c r="AF33"/>
  <c r="AF5"/>
  <c r="C44" i="7"/>
  <c r="E48" s="1"/>
  <c r="AF34" i="9"/>
  <c r="AS38"/>
  <c r="AS40"/>
  <c r="AS39"/>
  <c r="AS35"/>
  <c r="AN35"/>
  <c r="AS37"/>
  <c r="BG16"/>
  <c r="BG15"/>
  <c r="BF14"/>
  <c r="BF7"/>
  <c r="BG18"/>
  <c r="BF39"/>
  <c r="AS36"/>
  <c r="AN36"/>
  <c r="AP29"/>
  <c r="AS33"/>
  <c r="AS34"/>
  <c r="AH5"/>
  <c r="AH16"/>
  <c r="AT23"/>
  <c r="E16"/>
  <c r="C24"/>
  <c r="H35" i="6"/>
  <c r="G10" i="9"/>
  <c r="AH10"/>
  <c r="E11"/>
  <c r="I13" i="6"/>
  <c r="AH17" i="9"/>
  <c r="C11"/>
  <c r="C16"/>
  <c r="C15"/>
  <c r="AH21"/>
  <c r="AH25"/>
  <c r="J29" i="6"/>
  <c r="AJ27" i="9" s="1"/>
  <c r="AJ2" i="12"/>
  <c r="K27" i="9"/>
  <c r="AE25" i="12"/>
  <c r="AE26"/>
  <c r="K12" i="9"/>
  <c r="AE17" i="12"/>
  <c r="AE16"/>
  <c r="K7" i="9"/>
  <c r="AE4" i="12"/>
  <c r="AE3"/>
  <c r="AE27"/>
  <c r="Q2291" i="10"/>
  <c r="G37" i="4"/>
  <c r="Q653" i="10"/>
  <c r="Q479"/>
  <c r="Q967"/>
  <c r="Q921"/>
  <c r="Q1956"/>
  <c r="Q833"/>
  <c r="G38" i="4"/>
  <c r="Q1370" i="10"/>
  <c r="Q1276"/>
  <c r="Q1875"/>
  <c r="Q574"/>
  <c r="Q2334"/>
  <c r="Q183"/>
  <c r="Q2279"/>
  <c r="Q960"/>
  <c r="Q1635"/>
  <c r="H22" i="4"/>
  <c r="Q991" i="10"/>
  <c r="Q1930"/>
  <c r="Q1577"/>
  <c r="Q575"/>
  <c r="Q704"/>
  <c r="Q2260"/>
  <c r="P34"/>
  <c r="Q1175"/>
  <c r="Q515"/>
  <c r="Q2346"/>
  <c r="X40" i="2" s="1"/>
  <c r="Q506" i="10"/>
  <c r="Q243"/>
  <c r="Q1479"/>
  <c r="Q1604"/>
  <c r="Q1807"/>
  <c r="Q2366"/>
  <c r="Q1006"/>
  <c r="Q1905"/>
  <c r="Q2263"/>
  <c r="Q1284"/>
  <c r="Q1212"/>
  <c r="Q860"/>
  <c r="Q332"/>
  <c r="Q2172"/>
  <c r="Q1660"/>
  <c r="Q1145"/>
  <c r="Q810"/>
  <c r="Q1866"/>
  <c r="Q1391"/>
  <c r="Q2294"/>
  <c r="Q2110"/>
  <c r="Q418"/>
  <c r="Q212"/>
  <c r="Q1641"/>
  <c r="Q997"/>
  <c r="Q1838"/>
  <c r="Q50"/>
  <c r="Q1715"/>
  <c r="Q74"/>
  <c r="Q1814"/>
  <c r="Q1931"/>
  <c r="Q1630"/>
  <c r="Q736"/>
  <c r="Q474"/>
  <c r="Q543"/>
  <c r="Q1414"/>
  <c r="Q20"/>
  <c r="Q2351"/>
  <c r="Q226"/>
  <c r="Q1662"/>
  <c r="Q2332"/>
  <c r="Q2268"/>
  <c r="Q2161"/>
  <c r="Q1017"/>
  <c r="Q2299"/>
  <c r="Q2018"/>
  <c r="Q1506"/>
  <c r="Q727"/>
  <c r="Q111"/>
  <c r="Q630"/>
  <c r="Q1018"/>
  <c r="Q1831"/>
  <c r="Q1270"/>
  <c r="Q376"/>
  <c r="Q1892"/>
  <c r="Q979"/>
  <c r="Q96"/>
  <c r="Q83"/>
  <c r="Q428"/>
  <c r="Q1170"/>
  <c r="Q1042"/>
  <c r="Q706"/>
  <c r="Q642"/>
  <c r="Q514"/>
  <c r="Q286"/>
  <c r="Q30"/>
  <c r="Q443"/>
  <c r="Q251"/>
  <c r="Q187"/>
  <c r="Q123"/>
  <c r="Q1129"/>
  <c r="Q362"/>
  <c r="Q1217"/>
  <c r="Q2180"/>
  <c r="Q1668"/>
  <c r="Q1448"/>
  <c r="Q867"/>
  <c r="Q619"/>
  <c r="Q491"/>
  <c r="Q47"/>
  <c r="Q2079"/>
  <c r="Q1823"/>
  <c r="Q1443"/>
  <c r="Q6"/>
  <c r="C35" i="7" s="1"/>
  <c r="E39" s="1"/>
  <c r="Q1206" i="10"/>
  <c r="Q1014"/>
  <c r="Q950"/>
  <c r="Q886"/>
  <c r="Q596"/>
  <c r="Q729"/>
  <c r="Q856"/>
  <c r="Q402"/>
  <c r="Q1777"/>
  <c r="P24"/>
  <c r="Q2151"/>
  <c r="Q1213"/>
  <c r="Q2068"/>
  <c r="Q1484"/>
  <c r="Q1420"/>
  <c r="Q1292"/>
  <c r="Q1067"/>
  <c r="Q811"/>
  <c r="Q683"/>
  <c r="Q1148"/>
  <c r="Q1913"/>
  <c r="Q1590"/>
  <c r="Q2115"/>
  <c r="Q1515"/>
  <c r="Q896"/>
  <c r="Q149"/>
  <c r="Q1977"/>
  <c r="Q1809"/>
  <c r="P32"/>
  <c r="Q52"/>
  <c r="Q821"/>
  <c r="Q1553"/>
  <c r="Q2188"/>
  <c r="Q2183"/>
  <c r="Q1269"/>
  <c r="Q2202"/>
  <c r="Q2060"/>
  <c r="Q1804"/>
  <c r="Q1676"/>
  <c r="Q191"/>
  <c r="Q2150"/>
  <c r="Q173"/>
  <c r="Q937"/>
  <c r="Q669"/>
  <c r="Q531"/>
  <c r="Q938"/>
  <c r="Q2342"/>
  <c r="V40" i="2" s="1"/>
  <c r="V42" s="1"/>
  <c r="V41" s="1"/>
  <c r="Q1290" i="10"/>
  <c r="Q1802"/>
  <c r="Q1263"/>
  <c r="Q1989"/>
  <c r="Q2278"/>
  <c r="Q2105"/>
  <c r="Q162"/>
  <c r="Q1712"/>
  <c r="Q605"/>
  <c r="Q2224"/>
  <c r="Q1125"/>
  <c r="Q2081"/>
  <c r="Q2094"/>
  <c r="Q389"/>
  <c r="Q1611"/>
  <c r="Q848"/>
  <c r="Q202"/>
  <c r="Q1686"/>
  <c r="Q2059"/>
  <c r="Q1196"/>
  <c r="Q1374"/>
  <c r="Q768"/>
  <c r="Q512"/>
  <c r="Q249"/>
  <c r="Q344"/>
  <c r="Q1350"/>
  <c r="Q813"/>
  <c r="Q1915"/>
  <c r="Q745"/>
  <c r="Q482"/>
  <c r="Q1406"/>
  <c r="Q316"/>
  <c r="P11"/>
  <c r="Q2276"/>
  <c r="Q2177"/>
  <c r="Q1725"/>
  <c r="Q1233"/>
  <c r="Q2223"/>
  <c r="Q2050"/>
  <c r="Q1794"/>
  <c r="Q1538"/>
  <c r="Q791"/>
  <c r="Q65"/>
  <c r="C54" i="7" s="1"/>
  <c r="Q335" i="10"/>
  <c r="Q598"/>
  <c r="Q954"/>
  <c r="Q1703"/>
  <c r="Q284"/>
  <c r="Q1357"/>
  <c r="Q18"/>
  <c r="Q2020"/>
  <c r="Q1408"/>
  <c r="Q1043"/>
  <c r="Q160"/>
  <c r="Q67"/>
  <c r="Q1911"/>
  <c r="Q713"/>
  <c r="Q1186"/>
  <c r="Q1058"/>
  <c r="Q802"/>
  <c r="Q714"/>
  <c r="Q650"/>
  <c r="Q522"/>
  <c r="Q430"/>
  <c r="Q302"/>
  <c r="Q46"/>
  <c r="Q451"/>
  <c r="Q387"/>
  <c r="Q259"/>
  <c r="Q195"/>
  <c r="Q131"/>
  <c r="Q264"/>
  <c r="Q1052"/>
  <c r="Q417"/>
  <c r="Q2126"/>
  <c r="Q897"/>
  <c r="Q2244"/>
  <c r="Q1732"/>
  <c r="Q1464"/>
  <c r="Q1336"/>
  <c r="Q899"/>
  <c r="Q643"/>
  <c r="Q507"/>
  <c r="Q16"/>
  <c r="Q39"/>
  <c r="Q2095"/>
  <c r="Q1839"/>
  <c r="Q1711"/>
  <c r="Q1475"/>
  <c r="Q1161"/>
  <c r="P2370"/>
  <c r="Q1214"/>
  <c r="Q1150"/>
  <c r="Q1086"/>
  <c r="Q1022"/>
  <c r="Q958"/>
  <c r="Q894"/>
  <c r="Q830"/>
  <c r="Q766"/>
  <c r="Q194"/>
  <c r="Q2091"/>
  <c r="Q511"/>
  <c r="Q744"/>
  <c r="Q1232"/>
  <c r="Q572"/>
  <c r="Q1199"/>
  <c r="Q1607"/>
  <c r="Q2321"/>
  <c r="Q661"/>
  <c r="Q1473"/>
  <c r="Q1929"/>
  <c r="Q957"/>
  <c r="Q2100"/>
  <c r="Q1844"/>
  <c r="Q1588"/>
  <c r="Q1492"/>
  <c r="Q1428"/>
  <c r="Q1364"/>
  <c r="Q1300"/>
  <c r="Q1211"/>
  <c r="Q1083"/>
  <c r="Q955"/>
  <c r="Q827"/>
  <c r="Q699"/>
  <c r="Q1822"/>
  <c r="Q66"/>
  <c r="Q1084"/>
  <c r="Q2027"/>
  <c r="Q1718"/>
  <c r="Q37"/>
  <c r="Q170"/>
  <c r="Q840"/>
  <c r="Q1643"/>
  <c r="Q1184"/>
  <c r="Q928"/>
  <c r="Q466"/>
  <c r="Q213"/>
  <c r="Q1422"/>
  <c r="Q993"/>
  <c r="Q1745"/>
  <c r="Q2187"/>
  <c r="P16"/>
  <c r="Q28"/>
  <c r="Q757"/>
  <c r="Q1265"/>
  <c r="Q1521"/>
  <c r="Q2204"/>
  <c r="Q2119"/>
  <c r="Q929"/>
  <c r="Q1149"/>
  <c r="Q2234"/>
  <c r="Q2076"/>
  <c r="Q1948"/>
  <c r="Q1820"/>
  <c r="Q1692"/>
  <c r="Q1564"/>
  <c r="Q1767"/>
  <c r="Q351"/>
  <c r="Q1522"/>
  <c r="Q2267"/>
  <c r="Q2169"/>
  <c r="Q444"/>
  <c r="Q1307"/>
  <c r="Q1247"/>
  <c r="Q560"/>
  <c r="P5"/>
  <c r="Q394"/>
  <c r="Q872"/>
  <c r="Q76"/>
  <c r="Q292"/>
  <c r="Q601"/>
  <c r="Q2168"/>
  <c r="Q1656"/>
  <c r="Q691"/>
  <c r="Q1002"/>
  <c r="Q246"/>
  <c r="Q119"/>
  <c r="Q1255"/>
  <c r="Q1770"/>
  <c r="Q1405"/>
  <c r="Q1081"/>
  <c r="Q1957"/>
  <c r="Q2270"/>
  <c r="P2344"/>
  <c r="Q1854"/>
  <c r="Q1616"/>
  <c r="Q2128"/>
  <c r="Q1705"/>
  <c r="Q585"/>
  <c r="Q255"/>
  <c r="Q1618"/>
  <c r="Q1687"/>
  <c r="Q2217"/>
  <c r="Q100"/>
  <c r="Q1001"/>
  <c r="Q1318"/>
  <c r="Q528"/>
  <c r="Q1228"/>
  <c r="Q266"/>
  <c r="Q904"/>
  <c r="Q2175"/>
  <c r="Q116"/>
  <c r="Q2184"/>
  <c r="Q2194"/>
  <c r="Q1672"/>
  <c r="Q819"/>
  <c r="Q906"/>
  <c r="Q150"/>
  <c r="Q49"/>
  <c r="Q1306"/>
  <c r="Q1818"/>
  <c r="Q1165"/>
  <c r="Q1295"/>
  <c r="Q2005"/>
  <c r="Q447"/>
  <c r="Q609"/>
  <c r="Q849"/>
  <c r="Q1367"/>
  <c r="Q476"/>
  <c r="Q1939"/>
  <c r="Q1985"/>
  <c r="Q2319"/>
  <c r="Q947"/>
  <c r="Q1066"/>
  <c r="Q310"/>
  <c r="Q103"/>
  <c r="Q1191"/>
  <c r="Q1738"/>
  <c r="Q1533"/>
  <c r="Q825"/>
  <c r="Q1925"/>
  <c r="Q2262"/>
  <c r="P61"/>
  <c r="Q132"/>
  <c r="Q381"/>
  <c r="Q1664"/>
  <c r="Q2016"/>
  <c r="Q989"/>
  <c r="Q2176"/>
  <c r="Q1253"/>
  <c r="Q412"/>
  <c r="Q2163"/>
  <c r="Q1005"/>
  <c r="Q261"/>
  <c r="Q952"/>
  <c r="Q1483"/>
  <c r="Q2099"/>
  <c r="Q330"/>
  <c r="Q145"/>
  <c r="Q1558"/>
  <c r="Q2143"/>
  <c r="Q1260"/>
  <c r="Q628"/>
  <c r="Q975"/>
  <c r="Q800"/>
  <c r="Q544"/>
  <c r="Q90"/>
  <c r="Q281"/>
  <c r="Q88"/>
  <c r="Q1286"/>
  <c r="Q1798"/>
  <c r="Q1293"/>
  <c r="Q1979"/>
  <c r="Q1225"/>
  <c r="Q1092"/>
  <c r="Q612"/>
  <c r="Q1039"/>
  <c r="Q60"/>
  <c r="Q2344"/>
  <c r="P19"/>
  <c r="Q2284"/>
  <c r="Q2193"/>
  <c r="Q2013"/>
  <c r="Q1757"/>
  <c r="Q1311"/>
  <c r="Q2073"/>
  <c r="Q1101"/>
  <c r="Q2082"/>
  <c r="Q1826"/>
  <c r="Q1570"/>
  <c r="Q1314"/>
  <c r="Q855"/>
  <c r="P2364"/>
  <c r="Q303"/>
  <c r="Q134"/>
  <c r="Q566"/>
  <c r="Q890"/>
  <c r="Q1459"/>
  <c r="Q499"/>
  <c r="Q2212"/>
  <c r="Q1180"/>
  <c r="Q764"/>
  <c r="Q452"/>
  <c r="Q2148"/>
  <c r="Q1440"/>
  <c r="Q1107"/>
  <c r="Q611"/>
  <c r="Q224"/>
  <c r="Q51"/>
  <c r="Q1943"/>
  <c r="Q1683"/>
  <c r="Q969"/>
  <c r="Q1202"/>
  <c r="Q1074"/>
  <c r="Q946"/>
  <c r="Q818"/>
  <c r="Q722"/>
  <c r="Q658"/>
  <c r="Q594"/>
  <c r="Q530"/>
  <c r="Q446"/>
  <c r="Q318"/>
  <c r="Q190"/>
  <c r="Q62"/>
  <c r="Q459"/>
  <c r="Q395"/>
  <c r="Q331"/>
  <c r="Q267"/>
  <c r="Q203"/>
  <c r="Q139"/>
  <c r="Q57"/>
  <c r="Q200"/>
  <c r="Q724"/>
  <c r="Q161"/>
  <c r="Q1136"/>
  <c r="Q1614"/>
  <c r="P40"/>
  <c r="Q1569"/>
  <c r="Q1301"/>
  <c r="Q1796"/>
  <c r="Q1480"/>
  <c r="Q1352"/>
  <c r="Q1187"/>
  <c r="Q931"/>
  <c r="Q675"/>
  <c r="Q523"/>
  <c r="Q304"/>
  <c r="Q48"/>
  <c r="Q31"/>
  <c r="Q2111"/>
  <c r="Q1983"/>
  <c r="Q1855"/>
  <c r="Q1727"/>
  <c r="Q1507"/>
  <c r="Q1241"/>
  <c r="Q44"/>
  <c r="Q1222"/>
  <c r="Q1158"/>
  <c r="Q1094"/>
  <c r="Q1030"/>
  <c r="Q966"/>
  <c r="Q902"/>
  <c r="Q838"/>
  <c r="Q774"/>
  <c r="Q333"/>
  <c r="Q1835"/>
  <c r="Q1023"/>
  <c r="Q616"/>
  <c r="Q553"/>
  <c r="Q700"/>
  <c r="Q687"/>
  <c r="Q1351"/>
  <c r="Q2289"/>
  <c r="Q533"/>
  <c r="Q1409"/>
  <c r="Q1655"/>
  <c r="Q701"/>
  <c r="Q2132"/>
  <c r="Q1876"/>
  <c r="Q1620"/>
  <c r="Q1500"/>
  <c r="Q1436"/>
  <c r="Q1372"/>
  <c r="Q1308"/>
  <c r="Q1227"/>
  <c r="Q1099"/>
  <c r="Q971"/>
  <c r="Q843"/>
  <c r="Q715"/>
  <c r="Q2078"/>
  <c r="Q397"/>
  <c r="Q1020"/>
  <c r="Q1899"/>
  <c r="Q1846"/>
  <c r="Q280"/>
  <c r="Q42"/>
  <c r="Q776"/>
  <c r="Q1731"/>
  <c r="Q1216"/>
  <c r="Q422"/>
  <c r="Q2214"/>
  <c r="P47"/>
  <c r="Q1563"/>
  <c r="Q624"/>
  <c r="Q568"/>
  <c r="Q1249"/>
  <c r="Q1591"/>
  <c r="Q1624"/>
  <c r="Q1360"/>
  <c r="Q1194"/>
  <c r="Q438"/>
  <c r="Q167"/>
  <c r="Q1063"/>
  <c r="Q1674"/>
  <c r="Q2198"/>
  <c r="Q140"/>
  <c r="Q1861"/>
  <c r="Q2245"/>
  <c r="P45"/>
  <c r="P2359"/>
  <c r="Q189"/>
  <c r="Q1632"/>
  <c r="Q1968"/>
  <c r="Q1317"/>
  <c r="Q1463"/>
  <c r="Q1321"/>
  <c r="Q228"/>
  <c r="Q2227"/>
  <c r="Q1721"/>
  <c r="Q133"/>
  <c r="Q888"/>
  <c r="Q1355"/>
  <c r="Q2035"/>
  <c r="Q458"/>
  <c r="Q209"/>
  <c r="Q1430"/>
  <c r="Q2369"/>
  <c r="Q2370"/>
  <c r="Q756"/>
  <c r="Q440"/>
  <c r="Q832"/>
  <c r="Q576"/>
  <c r="Q154"/>
  <c r="Q313"/>
  <c r="Q21"/>
  <c r="Q1183"/>
  <c r="Q1734"/>
  <c r="Q1549"/>
  <c r="Q2043"/>
  <c r="Q1371"/>
  <c r="Q1124"/>
  <c r="Q740"/>
  <c r="Q527"/>
  <c r="Q36"/>
  <c r="Q1169"/>
  <c r="P27"/>
  <c r="Q2292"/>
  <c r="Q2209"/>
  <c r="Q2045"/>
  <c r="Q1789"/>
  <c r="Q1375"/>
  <c r="Q1817"/>
  <c r="Q845"/>
  <c r="Q2114"/>
  <c r="Q1858"/>
  <c r="Q1602"/>
  <c r="Q1346"/>
  <c r="Q919"/>
  <c r="Q168"/>
  <c r="Q271"/>
  <c r="Q70"/>
  <c r="Q534"/>
  <c r="Q826"/>
  <c r="Q1097"/>
  <c r="Q256"/>
  <c r="Q1685"/>
  <c r="Q450"/>
  <c r="Q1072"/>
  <c r="P2347"/>
  <c r="Q1429"/>
  <c r="Q1472"/>
  <c r="Q1171"/>
  <c r="Q659"/>
  <c r="Q288"/>
  <c r="Q35"/>
  <c r="Q1975"/>
  <c r="Q1719"/>
  <c r="Q1209"/>
  <c r="Q1218"/>
  <c r="Q1090"/>
  <c r="Q962"/>
  <c r="Q834"/>
  <c r="Q730"/>
  <c r="Q666"/>
  <c r="Q602"/>
  <c r="Q538"/>
  <c r="Q462"/>
  <c r="Q334"/>
  <c r="Q206"/>
  <c r="Q78"/>
  <c r="Q467"/>
  <c r="Q403"/>
  <c r="Q339"/>
  <c r="Q275"/>
  <c r="Q211"/>
  <c r="Q147"/>
  <c r="Q73"/>
  <c r="Q136"/>
  <c r="Q461"/>
  <c r="Q767"/>
  <c r="P2353"/>
  <c r="Q943"/>
  <c r="Q2305"/>
  <c r="Q1441"/>
  <c r="Q829"/>
  <c r="Q1860"/>
  <c r="Q1496"/>
  <c r="Q1368"/>
  <c r="Q1219"/>
  <c r="Q963"/>
  <c r="Q707"/>
  <c r="Q539"/>
  <c r="Q336"/>
  <c r="Q80"/>
  <c r="Q23"/>
  <c r="Q87"/>
  <c r="Q1999"/>
  <c r="Q1871"/>
  <c r="Q1743"/>
  <c r="Q1539"/>
  <c r="Q1283"/>
  <c r="Q300"/>
  <c r="Q1230"/>
  <c r="Q1166"/>
  <c r="Q1102"/>
  <c r="Q1038"/>
  <c r="Q974"/>
  <c r="Q910"/>
  <c r="Q846"/>
  <c r="Q782"/>
  <c r="Q61"/>
  <c r="Q1467"/>
  <c r="Q1398"/>
  <c r="Q488"/>
  <c r="Q1323"/>
  <c r="Q828"/>
  <c r="Q13"/>
  <c r="Q665"/>
  <c r="Q2257"/>
  <c r="Q324"/>
  <c r="Q1345"/>
  <c r="Q857"/>
  <c r="Q404"/>
  <c r="Q2164"/>
  <c r="Q1908"/>
  <c r="Q1652"/>
  <c r="Q1508"/>
  <c r="Q1444"/>
  <c r="Q1380"/>
  <c r="Q1316"/>
  <c r="Q1243"/>
  <c r="Q1115"/>
  <c r="Q987"/>
  <c r="Q859"/>
  <c r="Q731"/>
  <c r="Q877"/>
  <c r="Q269"/>
  <c r="Q956"/>
  <c r="Q1771"/>
  <c r="Q1974"/>
  <c r="Q639"/>
  <c r="Q449"/>
  <c r="Q712"/>
  <c r="Q1795"/>
  <c r="Q1248"/>
  <c r="Q992"/>
  <c r="Q604"/>
  <c r="Q341"/>
  <c r="Q1071"/>
  <c r="Q2206"/>
  <c r="Q1543"/>
  <c r="Q2123"/>
  <c r="Q2313"/>
  <c r="Q769"/>
  <c r="Q629"/>
  <c r="Q1141"/>
  <c r="Q1457"/>
  <c r="Q2236"/>
  <c r="Q1865"/>
  <c r="P46"/>
  <c r="Q893"/>
  <c r="Q1589"/>
  <c r="Q2108"/>
  <c r="Q1980"/>
  <c r="Q1852"/>
  <c r="Q1724"/>
  <c r="Q1596"/>
  <c r="Q755"/>
  <c r="Q230"/>
  <c r="Q1266"/>
  <c r="Q1373"/>
  <c r="Q1965"/>
  <c r="P2346"/>
  <c r="Q1108"/>
  <c r="Q1766"/>
  <c r="Q122"/>
  <c r="Q692"/>
  <c r="Q177"/>
  <c r="Q1128"/>
  <c r="Q1646"/>
  <c r="P44"/>
  <c r="Q1593"/>
  <c r="Q1349"/>
  <c r="Q1784"/>
  <c r="Q1488"/>
  <c r="Q1258"/>
  <c r="Q494"/>
  <c r="Q247"/>
  <c r="Q999"/>
  <c r="Q1642"/>
  <c r="Q2154"/>
  <c r="Q1303"/>
  <c r="Q1829"/>
  <c r="Q2229"/>
  <c r="P37"/>
  <c r="Q68"/>
  <c r="Q772"/>
  <c r="Q2000"/>
  <c r="Q2335"/>
  <c r="Q128"/>
  <c r="Q38"/>
  <c r="Q1362"/>
  <c r="Q717"/>
  <c r="Q2061"/>
  <c r="Q1105"/>
  <c r="Q1076"/>
  <c r="Q1830"/>
  <c r="Q58"/>
  <c r="Q564"/>
  <c r="Q113"/>
  <c r="Q1160"/>
  <c r="Q1518"/>
  <c r="P28"/>
  <c r="Q1561"/>
  <c r="Q1285"/>
  <c r="Q1800"/>
  <c r="Q1572"/>
  <c r="Q1162"/>
  <c r="Q406"/>
  <c r="Q199"/>
  <c r="Q1095"/>
  <c r="Q1690"/>
  <c r="Q710"/>
  <c r="Q1938"/>
  <c r="Q2312"/>
  <c r="Q1172"/>
  <c r="Q250"/>
  <c r="Q305"/>
  <c r="Q1902"/>
  <c r="Q1657"/>
  <c r="Q1752"/>
  <c r="Q1828"/>
  <c r="Q841"/>
  <c r="Q526"/>
  <c r="Q231"/>
  <c r="Q935"/>
  <c r="Q1610"/>
  <c r="Q2122"/>
  <c r="Q1753"/>
  <c r="Q1797"/>
  <c r="Q2213"/>
  <c r="P29"/>
  <c r="Q380"/>
  <c r="Q29"/>
  <c r="Q1584"/>
  <c r="Q1920"/>
  <c r="Q1445"/>
  <c r="Q1961"/>
  <c r="Q1385"/>
  <c r="Q484"/>
  <c r="Q2269"/>
  <c r="Q1049"/>
  <c r="Q248"/>
  <c r="Q780"/>
  <c r="Q1193"/>
  <c r="Q1971"/>
  <c r="Q536"/>
  <c r="Q273"/>
  <c r="Q1302"/>
  <c r="Q1197"/>
  <c r="Q873"/>
  <c r="Q876"/>
  <c r="Q109"/>
  <c r="P42"/>
  <c r="Q608"/>
  <c r="Q218"/>
  <c r="Q345"/>
  <c r="Q85"/>
  <c r="Q1055"/>
  <c r="Q1670"/>
  <c r="Q2190"/>
  <c r="Q2107"/>
  <c r="Q1499"/>
  <c r="Q1156"/>
  <c r="Q868"/>
  <c r="Q93"/>
  <c r="Q164"/>
  <c r="Q1041"/>
  <c r="P35"/>
  <c r="Q2300"/>
  <c r="Q2225"/>
  <c r="Q2077"/>
  <c r="Q1821"/>
  <c r="Q1439"/>
  <c r="Q1431"/>
  <c r="Q589"/>
  <c r="Q2146"/>
  <c r="Q1890"/>
  <c r="Q1634"/>
  <c r="Q1378"/>
  <c r="Q983"/>
  <c r="Q424"/>
  <c r="Q239"/>
  <c r="P2358"/>
  <c r="Q502"/>
  <c r="Q762"/>
  <c r="Q5"/>
  <c r="C34" i="7" s="1"/>
  <c r="E38" s="1"/>
  <c r="P2363" i="10"/>
  <c r="Q1700"/>
  <c r="Q1438"/>
  <c r="Q1065"/>
  <c r="Q2273"/>
  <c r="Q573"/>
  <c r="Q1504"/>
  <c r="Q1235"/>
  <c r="Q723"/>
  <c r="Q352"/>
  <c r="Q19"/>
  <c r="Q2007"/>
  <c r="Q1751"/>
  <c r="Q1299"/>
  <c r="Q1234"/>
  <c r="Q1106"/>
  <c r="Q978"/>
  <c r="Q850"/>
  <c r="Q738"/>
  <c r="Q674"/>
  <c r="Q610"/>
  <c r="Q546"/>
  <c r="Q478"/>
  <c r="Q350"/>
  <c r="Q222"/>
  <c r="Q94"/>
  <c r="Q475"/>
  <c r="Q411"/>
  <c r="Q347"/>
  <c r="Q283"/>
  <c r="Q219"/>
  <c r="Q155"/>
  <c r="Q89"/>
  <c r="Q72"/>
  <c r="Q591"/>
  <c r="Q1526"/>
  <c r="Q1451"/>
  <c r="Q117"/>
  <c r="Q2235"/>
  <c r="Q1313"/>
  <c r="Q84"/>
  <c r="Q1924"/>
  <c r="Q1512"/>
  <c r="Q1384"/>
  <c r="Q1251"/>
  <c r="Q995"/>
  <c r="Q739"/>
  <c r="Q555"/>
  <c r="Q368"/>
  <c r="Q112"/>
  <c r="Q15"/>
  <c r="Q79"/>
  <c r="Q2015"/>
  <c r="Q1887"/>
  <c r="Q1759"/>
  <c r="Q1571"/>
  <c r="Q1315"/>
  <c r="Q521"/>
  <c r="Q1238"/>
  <c r="Q1174"/>
  <c r="Q1110"/>
  <c r="Q1046"/>
  <c r="Q982"/>
  <c r="Q918"/>
  <c r="Q854"/>
  <c r="Q790"/>
  <c r="Q1103"/>
  <c r="Q1244"/>
  <c r="Q1654"/>
  <c r="Q234"/>
  <c r="Q1579"/>
  <c r="Q912"/>
  <c r="Q181"/>
  <c r="Q2275"/>
  <c r="Q2203"/>
  <c r="Q2358"/>
  <c r="T43" i="2" s="1"/>
  <c r="Q1281" i="10"/>
  <c r="Q2196"/>
  <c r="Q673"/>
  <c r="Q2218"/>
  <c r="Q1940"/>
  <c r="Q1684"/>
  <c r="Q1516"/>
  <c r="Q1452"/>
  <c r="Q1388"/>
  <c r="Q1324"/>
  <c r="Q1259"/>
  <c r="Q1131"/>
  <c r="Q1003"/>
  <c r="Q875"/>
  <c r="Q747"/>
  <c r="Q2239"/>
  <c r="Q141"/>
  <c r="Q892"/>
  <c r="Q1595"/>
  <c r="Q2102"/>
  <c r="Q895"/>
  <c r="Q385"/>
  <c r="Q648"/>
  <c r="Q1859"/>
  <c r="Q108"/>
  <c r="Q1024"/>
  <c r="Q668"/>
  <c r="Q405"/>
  <c r="Q815"/>
  <c r="Q2062"/>
  <c r="Q1415"/>
  <c r="Q2065"/>
  <c r="Q2297"/>
  <c r="Q1025"/>
  <c r="Q565"/>
  <c r="Q1077"/>
  <c r="Q1425"/>
  <c r="Q1681"/>
  <c r="Q1737"/>
  <c r="P14"/>
  <c r="Q765"/>
  <c r="Q1525"/>
  <c r="Q2124"/>
  <c r="Q1996"/>
  <c r="Q1868"/>
  <c r="Q1740"/>
  <c r="Q1612"/>
  <c r="Q1520"/>
  <c r="Q486"/>
  <c r="Q1015"/>
  <c r="Q2162"/>
  <c r="Q1837"/>
  <c r="P39"/>
  <c r="Q980"/>
  <c r="Q2022"/>
  <c r="Q425"/>
  <c r="Q429"/>
  <c r="Q703"/>
  <c r="Q1178"/>
  <c r="Q1682"/>
  <c r="Q2248"/>
  <c r="Q900"/>
  <c r="Q361"/>
  <c r="Q1215"/>
  <c r="Q495"/>
  <c r="Q1401"/>
  <c r="Q1880"/>
  <c r="Q1505"/>
  <c r="Q1651"/>
  <c r="Q590"/>
  <c r="Q295"/>
  <c r="Q807"/>
  <c r="Q1546"/>
  <c r="Q2058"/>
  <c r="Q2191"/>
  <c r="Q1733"/>
  <c r="Q2181"/>
  <c r="P13"/>
  <c r="Q561"/>
  <c r="Q911"/>
  <c r="Q916"/>
  <c r="Q1888"/>
  <c r="Q1637"/>
  <c r="Q2231"/>
  <c r="Q1449"/>
  <c r="Q613"/>
  <c r="Q2301"/>
  <c r="Q1447"/>
  <c r="Q879"/>
  <c r="Q652"/>
  <c r="P6"/>
  <c r="Q1907"/>
  <c r="Q600"/>
  <c r="Q337"/>
  <c r="Q1087"/>
  <c r="Q2222"/>
  <c r="Q1403"/>
  <c r="Q940"/>
  <c r="Q237"/>
  <c r="Q244"/>
  <c r="Q640"/>
  <c r="Q282"/>
  <c r="Q377"/>
  <c r="Q121"/>
  <c r="Q927"/>
  <c r="Q1606"/>
  <c r="Q2118"/>
  <c r="Q1785"/>
  <c r="Q1627"/>
  <c r="Q1188"/>
  <c r="Q932"/>
  <c r="Q221"/>
  <c r="Q2307"/>
  <c r="Q913"/>
  <c r="P43"/>
  <c r="Q2308"/>
  <c r="Q2241"/>
  <c r="Q2109"/>
  <c r="Q1853"/>
  <c r="Q1503"/>
  <c r="Q12"/>
  <c r="Q148"/>
  <c r="Q2182"/>
  <c r="Q1922"/>
  <c r="Q1666"/>
  <c r="Q1410"/>
  <c r="Q1047"/>
  <c r="Q535"/>
  <c r="Q207"/>
  <c r="Q463"/>
  <c r="Q454"/>
  <c r="Q726"/>
  <c r="Q1210"/>
  <c r="Q43"/>
  <c r="Q1456"/>
  <c r="Q924"/>
  <c r="Q1955"/>
  <c r="Q1969"/>
  <c r="Q2295"/>
  <c r="Q1536"/>
  <c r="Q1280"/>
  <c r="Q787"/>
  <c r="Q416"/>
  <c r="P2366"/>
  <c r="Q2039"/>
  <c r="Q1783"/>
  <c r="Q1363"/>
  <c r="Q1250"/>
  <c r="Q1122"/>
  <c r="Q994"/>
  <c r="Q866"/>
  <c r="Q746"/>
  <c r="Q682"/>
  <c r="Q618"/>
  <c r="Q554"/>
  <c r="Q490"/>
  <c r="Q366"/>
  <c r="Q238"/>
  <c r="Q110"/>
  <c r="Q483"/>
  <c r="Q419"/>
  <c r="Q355"/>
  <c r="Q291"/>
  <c r="Q227"/>
  <c r="Q163"/>
  <c r="Q99"/>
  <c r="Q8"/>
  <c r="Q1950"/>
  <c r="Q2038"/>
  <c r="Q1827"/>
  <c r="Q373"/>
  <c r="Q2097"/>
  <c r="Q1109"/>
  <c r="P30"/>
  <c r="Q1988"/>
  <c r="Q1528"/>
  <c r="Q1400"/>
  <c r="Q1272"/>
  <c r="Q1027"/>
  <c r="Q771"/>
  <c r="Q571"/>
  <c r="Q400"/>
  <c r="Q144"/>
  <c r="Q7"/>
  <c r="Q71"/>
  <c r="Q2031"/>
  <c r="Q1903"/>
  <c r="Q1775"/>
  <c r="Q1603"/>
  <c r="Q1347"/>
  <c r="Q649"/>
  <c r="Q1246"/>
  <c r="Q1182"/>
  <c r="Q1118"/>
  <c r="Q1054"/>
  <c r="Q990"/>
  <c r="Q926"/>
  <c r="Q862"/>
  <c r="Q798"/>
  <c r="Q1694"/>
  <c r="Q1116"/>
  <c r="Q1910"/>
  <c r="Q481"/>
  <c r="Q1763"/>
  <c r="Q976"/>
  <c r="Q309"/>
  <c r="Q1517"/>
  <c r="Q2139"/>
  <c r="Q641"/>
  <c r="Q1173"/>
  <c r="Q2228"/>
  <c r="P62"/>
  <c r="Q1621"/>
  <c r="Q1972"/>
  <c r="Q1716"/>
  <c r="Q1524"/>
  <c r="Q1460"/>
  <c r="Q1396"/>
  <c r="Q1332"/>
  <c r="Q1268"/>
  <c r="Q1147"/>
  <c r="Q1019"/>
  <c r="Q891"/>
  <c r="Q763"/>
  <c r="Q635"/>
  <c r="Q184"/>
  <c r="Q788"/>
  <c r="Q1339"/>
  <c r="Q1613"/>
  <c r="Q1151"/>
  <c r="Q321"/>
  <c r="Q584"/>
  <c r="Q1923"/>
  <c r="Q809"/>
  <c r="Q2127"/>
  <c r="Q448"/>
  <c r="Q751"/>
  <c r="Q2041"/>
  <c r="Q1011"/>
  <c r="Q2021"/>
  <c r="Q686"/>
  <c r="Q676"/>
  <c r="Q803"/>
  <c r="P2341"/>
  <c r="Q2282"/>
  <c r="Q1941"/>
  <c r="Q396"/>
  <c r="Q2138"/>
  <c r="Q1498"/>
  <c r="Q360"/>
  <c r="Q510"/>
  <c r="Q1863"/>
  <c r="Q1608"/>
  <c r="Q797"/>
  <c r="Q1093"/>
  <c r="Q1383"/>
  <c r="Q364"/>
  <c r="Q2134"/>
  <c r="Q656"/>
  <c r="Q2086"/>
  <c r="Q285"/>
  <c r="Q2264"/>
  <c r="Q1501"/>
  <c r="Q695"/>
  <c r="Q1050"/>
  <c r="Q545"/>
  <c r="Q1808"/>
  <c r="Q1342"/>
  <c r="P21"/>
  <c r="Q2133"/>
  <c r="Q1327"/>
  <c r="Q2090"/>
  <c r="Q1450"/>
  <c r="Q17"/>
  <c r="Q558"/>
  <c r="Q2055"/>
  <c r="Q1592"/>
  <c r="Q925"/>
  <c r="Q1157"/>
  <c r="Q1511"/>
  <c r="Q1256"/>
  <c r="Q2323"/>
  <c r="Q297"/>
  <c r="Q1755"/>
  <c r="Q2233"/>
  <c r="Q1650"/>
  <c r="Q1242"/>
  <c r="Q1836"/>
  <c r="Q2156"/>
  <c r="Q2311"/>
  <c r="Q1489"/>
  <c r="Q388"/>
  <c r="Q2001"/>
  <c r="Q1294"/>
  <c r="Q796"/>
  <c r="Q1334"/>
  <c r="Q1035"/>
  <c r="Q2004"/>
  <c r="Q437"/>
  <c r="Q870"/>
  <c r="Q1379"/>
  <c r="Q432"/>
  <c r="Q2215"/>
  <c r="Q107"/>
  <c r="Q254"/>
  <c r="Q1010"/>
  <c r="Q851"/>
  <c r="Q2087"/>
  <c r="Q1442"/>
  <c r="Q2129"/>
  <c r="Q1220"/>
  <c r="Q346"/>
  <c r="Q401"/>
  <c r="Q741"/>
  <c r="Q2326"/>
  <c r="Q654"/>
  <c r="Q485"/>
  <c r="Q75"/>
  <c r="Q2298"/>
  <c r="Q2069"/>
  <c r="Q953"/>
  <c r="Q2230"/>
  <c r="Q1562"/>
  <c r="Q583"/>
  <c r="Q278"/>
  <c r="Q1523"/>
  <c r="Q1544"/>
  <c r="Q1541"/>
  <c r="Q1305"/>
  <c r="Q1793"/>
  <c r="Q1032"/>
  <c r="Q1622"/>
  <c r="Q784"/>
  <c r="Q1574"/>
  <c r="Q548"/>
  <c r="Q2296"/>
  <c r="Q2331"/>
  <c r="Q951"/>
  <c r="Q794"/>
  <c r="Q2167"/>
  <c r="Q1872"/>
  <c r="Q312"/>
  <c r="P53"/>
  <c r="Q2165"/>
  <c r="Q1455"/>
  <c r="Q1661"/>
  <c r="Q1514"/>
  <c r="Q487"/>
  <c r="Q374"/>
  <c r="Q1799"/>
  <c r="Q205"/>
  <c r="Q1605"/>
  <c r="Q1337"/>
  <c r="Q1857"/>
  <c r="Q1000"/>
  <c r="Q2006"/>
  <c r="Q378"/>
  <c r="Q2011"/>
  <c r="Q2304"/>
  <c r="Q1906"/>
  <c r="Q742"/>
  <c r="Q1772"/>
  <c r="Q2140"/>
  <c r="Q2343"/>
  <c r="Q1617"/>
  <c r="Q501"/>
  <c r="Q2155"/>
  <c r="Q1806"/>
  <c r="Q732"/>
  <c r="Q257"/>
  <c r="Q907"/>
  <c r="Q1748"/>
  <c r="Q1998"/>
  <c r="Q806"/>
  <c r="Q777"/>
  <c r="Q176"/>
  <c r="Q2052"/>
  <c r="Q2360"/>
  <c r="Q126"/>
  <c r="Q882"/>
  <c r="Q480"/>
  <c r="Q1328"/>
  <c r="Q1111"/>
  <c r="Q1885"/>
  <c r="Q964"/>
  <c r="Q409"/>
  <c r="Q831"/>
  <c r="Q2333"/>
  <c r="Q753"/>
  <c r="Q359"/>
  <c r="Q1029"/>
  <c r="Q1426"/>
  <c r="M66"/>
  <c r="C2353"/>
  <c r="C37" i="1"/>
  <c r="C38" s="1"/>
  <c r="BR42"/>
  <c r="O2368" i="10"/>
  <c r="G32" i="4"/>
  <c r="G28"/>
  <c r="H66" i="10"/>
  <c r="E33" i="7"/>
  <c r="G40" i="4"/>
  <c r="G36"/>
  <c r="G16"/>
  <c r="G12"/>
  <c r="BQ43" i="1"/>
  <c r="D2353" i="10"/>
  <c r="O38" i="2"/>
  <c r="E45" i="7"/>
  <c r="E51" s="1"/>
  <c r="F2353" i="10"/>
  <c r="L2353"/>
  <c r="S38" i="2"/>
  <c r="C22" i="7" s="1"/>
  <c r="E25" s="1"/>
  <c r="I2370" i="10"/>
  <c r="O2349"/>
  <c r="H2353"/>
  <c r="D66"/>
  <c r="K5" i="9"/>
  <c r="BR39" i="1"/>
  <c r="BL39"/>
  <c r="BL40" s="1"/>
  <c r="BN40" s="1"/>
  <c r="D6" i="10"/>
  <c r="O6" s="1"/>
  <c r="Q1237"/>
  <c r="Q563"/>
  <c r="Q1587"/>
  <c r="Q922"/>
  <c r="Q582"/>
  <c r="Q166"/>
  <c r="Q319"/>
  <c r="Q33"/>
  <c r="Q823"/>
  <c r="Q1298"/>
  <c r="Q1554"/>
  <c r="Q1810"/>
  <c r="Q2066"/>
  <c r="Q1229"/>
  <c r="Q2159"/>
  <c r="Q1279"/>
  <c r="Q1741"/>
  <c r="Q1997"/>
  <c r="Q2185"/>
  <c r="Q2280"/>
  <c r="P15"/>
  <c r="P2352"/>
  <c r="Q188"/>
  <c r="Q1534"/>
  <c r="Q354"/>
  <c r="Q1044"/>
  <c r="Q489"/>
  <c r="Q1883"/>
  <c r="Q557"/>
  <c r="Q1894"/>
  <c r="Q1382"/>
  <c r="Q472"/>
  <c r="Q233"/>
  <c r="Q2361"/>
  <c r="Q496"/>
  <c r="Q752"/>
  <c r="Q1502"/>
  <c r="Q386"/>
  <c r="Q1164"/>
  <c r="Q1995"/>
  <c r="Q1750"/>
  <c r="P2368"/>
  <c r="Q138"/>
  <c r="Q824"/>
  <c r="Q1675"/>
  <c r="Q1192"/>
  <c r="Q936"/>
  <c r="Q492"/>
  <c r="Q229"/>
  <c r="Q1390"/>
  <c r="Q493"/>
  <c r="Q1729"/>
  <c r="Q2179"/>
  <c r="P12"/>
  <c r="Q156"/>
  <c r="Q773"/>
  <c r="Q1273"/>
  <c r="Q1529"/>
  <c r="Q2200"/>
  <c r="Q2135"/>
  <c r="Q801"/>
  <c r="Q1181"/>
  <c r="Q2226"/>
  <c r="Q2072"/>
  <c r="Q1944"/>
  <c r="Q1816"/>
  <c r="Q1688"/>
  <c r="Q1560"/>
  <c r="Q1707"/>
  <c r="Q508"/>
  <c r="Q725"/>
  <c r="Q2084"/>
  <c r="Q1424"/>
  <c r="Q1075"/>
  <c r="Q595"/>
  <c r="Q192"/>
  <c r="Q27"/>
  <c r="Q1991"/>
  <c r="Q1735"/>
  <c r="Q1267"/>
  <c r="Q1226"/>
  <c r="Q1098"/>
  <c r="Q970"/>
  <c r="Q842"/>
  <c r="Q734"/>
  <c r="Q670"/>
  <c r="Q606"/>
  <c r="Q542"/>
  <c r="Q470"/>
  <c r="Q342"/>
  <c r="Q214"/>
  <c r="Q86"/>
  <c r="Q471"/>
  <c r="Q407"/>
  <c r="Q343"/>
  <c r="Q279"/>
  <c r="Q215"/>
  <c r="Q151"/>
  <c r="Q81"/>
  <c r="Q104"/>
  <c r="Q519"/>
  <c r="Q647"/>
  <c r="Q775"/>
  <c r="Q903"/>
  <c r="Q1031"/>
  <c r="Q1159"/>
  <c r="Q1274"/>
  <c r="Q1338"/>
  <c r="Q1402"/>
  <c r="Q1466"/>
  <c r="Q1530"/>
  <c r="Q1594"/>
  <c r="Q1658"/>
  <c r="Q1722"/>
  <c r="Q1786"/>
  <c r="Q1850"/>
  <c r="Q1914"/>
  <c r="Q1978"/>
  <c r="Q2042"/>
  <c r="Q2106"/>
  <c r="Q2170"/>
  <c r="Q1597"/>
  <c r="Q1341"/>
  <c r="Q909"/>
  <c r="Q308"/>
  <c r="P50"/>
  <c r="Q2251"/>
  <c r="Q1881"/>
  <c r="Q460"/>
  <c r="Q697"/>
  <c r="Q1201"/>
  <c r="Q1359"/>
  <c r="Q1487"/>
  <c r="Q1615"/>
  <c r="Q1717"/>
  <c r="Q1781"/>
  <c r="Q1845"/>
  <c r="Q1909"/>
  <c r="Q1973"/>
  <c r="Q2037"/>
  <c r="Q2101"/>
  <c r="Q2141"/>
  <c r="Q2173"/>
  <c r="Q2205"/>
  <c r="Q2237"/>
  <c r="Q2258"/>
  <c r="Q2274"/>
  <c r="Q2290"/>
  <c r="Q2306"/>
  <c r="Q2322"/>
  <c r="P9"/>
  <c r="P25"/>
  <c r="P41"/>
  <c r="P57"/>
  <c r="P2348"/>
  <c r="Q4"/>
  <c r="C33" i="7" s="1"/>
  <c r="E37" s="1"/>
  <c r="Q1009" i="10"/>
  <c r="Q817"/>
  <c r="Q689"/>
  <c r="Q497"/>
  <c r="Q124"/>
  <c r="P2367"/>
  <c r="Q196"/>
  <c r="Q1453"/>
  <c r="Q1982"/>
  <c r="Q1598"/>
  <c r="Q1167"/>
  <c r="Q655"/>
  <c r="Q125"/>
  <c r="Q317"/>
  <c r="Q445"/>
  <c r="Q290"/>
  <c r="Q580"/>
  <c r="Q708"/>
  <c r="Q884"/>
  <c r="Q1568"/>
  <c r="Q1600"/>
  <c r="Q1648"/>
  <c r="Q1696"/>
  <c r="Q1728"/>
  <c r="Q1776"/>
  <c r="Q1824"/>
  <c r="Q1856"/>
  <c r="Q1904"/>
  <c r="Q1952"/>
  <c r="Q1984"/>
  <c r="Q2032"/>
  <c r="Q2080"/>
  <c r="Q2112"/>
  <c r="Q2160"/>
  <c r="Q2242"/>
  <c r="Q1573"/>
  <c r="Q1381"/>
  <c r="Q1117"/>
  <c r="Q861"/>
  <c r="Q468"/>
  <c r="Q1057"/>
  <c r="P38"/>
  <c r="Q2271"/>
  <c r="Q2089"/>
  <c r="Q1833"/>
  <c r="Q1113"/>
  <c r="Q2208"/>
  <c r="Q2240"/>
  <c r="Q1609"/>
  <c r="Q1545"/>
  <c r="Q1481"/>
  <c r="Q1417"/>
  <c r="Q1353"/>
  <c r="Q1289"/>
  <c r="Q1189"/>
  <c r="Q1061"/>
  <c r="Q933"/>
  <c r="Q805"/>
  <c r="Q677"/>
  <c r="Q549"/>
  <c r="Q356"/>
  <c r="Q2365"/>
  <c r="Q705"/>
  <c r="Q2353"/>
  <c r="P52"/>
  <c r="P20"/>
  <c r="Q2317"/>
  <c r="Q2285"/>
  <c r="Q2253"/>
  <c r="Q2195"/>
  <c r="Q2131"/>
  <c r="Q2017"/>
  <c r="Q1889"/>
  <c r="Q1761"/>
  <c r="Q1575"/>
  <c r="Q1319"/>
  <c r="Q537"/>
  <c r="P10"/>
  <c r="Q1645"/>
  <c r="Q1966"/>
  <c r="Q1710"/>
  <c r="Q1454"/>
  <c r="Q1135"/>
  <c r="Q623"/>
  <c r="Q45"/>
  <c r="Q197"/>
  <c r="Q325"/>
  <c r="Q453"/>
  <c r="Q178"/>
  <c r="Q434"/>
  <c r="Q588"/>
  <c r="Q716"/>
  <c r="Q844"/>
  <c r="Q920"/>
  <c r="Q984"/>
  <c r="Q1048"/>
  <c r="Q1112"/>
  <c r="Q1176"/>
  <c r="Q1240"/>
  <c r="Q681"/>
  <c r="G6" i="9"/>
  <c r="E6"/>
  <c r="C9"/>
  <c r="G32"/>
  <c r="E31"/>
  <c r="E30"/>
  <c r="E29"/>
  <c r="E26"/>
  <c r="E24"/>
  <c r="E22"/>
  <c r="E20"/>
  <c r="E18"/>
  <c r="E14"/>
  <c r="E12"/>
  <c r="E10"/>
  <c r="E7"/>
  <c r="E8"/>
  <c r="E5"/>
  <c r="BQ41" i="1"/>
  <c r="BQ40"/>
  <c r="BR40" s="1"/>
  <c r="AW5" i="9"/>
  <c r="BS42" i="1"/>
  <c r="BL43"/>
  <c r="BN43" s="1"/>
  <c r="BO44"/>
  <c r="BN42"/>
  <c r="BL44"/>
  <c r="BQ44"/>
  <c r="H28" i="2"/>
  <c r="I23" i="13" s="1"/>
  <c r="AH19" i="9"/>
  <c r="H24" i="2"/>
  <c r="I19" i="13" s="1"/>
  <c r="H14" i="2"/>
  <c r="X14" s="1"/>
  <c r="Y14" s="1"/>
  <c r="BP12" i="9" s="1"/>
  <c r="I20" i="6"/>
  <c r="AH9" i="9"/>
  <c r="AH28"/>
  <c r="H22" i="2"/>
  <c r="X22" s="1"/>
  <c r="Z22" s="1"/>
  <c r="BQ20" i="9" s="1"/>
  <c r="E17"/>
  <c r="H32" i="2"/>
  <c r="I27" i="13" s="1"/>
  <c r="H33" i="2"/>
  <c r="P31" i="9" s="1"/>
  <c r="I13"/>
  <c r="AH8"/>
  <c r="H13" i="2"/>
  <c r="U13" s="1"/>
  <c r="BM11" i="9" s="1"/>
  <c r="H25" i="2"/>
  <c r="P23" i="9" s="1"/>
  <c r="H11" i="2"/>
  <c r="W11" s="1"/>
  <c r="BN9" i="9" s="1"/>
  <c r="AH23"/>
  <c r="Q1699" i="10"/>
  <c r="Q1185"/>
  <c r="Q1264"/>
  <c r="Q384"/>
  <c r="Q2023"/>
  <c r="Q1331"/>
  <c r="Q1114"/>
  <c r="Q858"/>
  <c r="Q678"/>
  <c r="Q550"/>
  <c r="Q358"/>
  <c r="Q102"/>
  <c r="Q415"/>
  <c r="Q287"/>
  <c r="Q159"/>
  <c r="Q40"/>
  <c r="Q631"/>
  <c r="Q887"/>
  <c r="Q1143"/>
  <c r="Q1330"/>
  <c r="Q1458"/>
  <c r="Q1586"/>
  <c r="Q1714"/>
  <c r="Q1842"/>
  <c r="Q1970"/>
  <c r="Q2098"/>
  <c r="Q1629"/>
  <c r="Q973"/>
  <c r="P66"/>
  <c r="Q1945"/>
  <c r="Q633"/>
  <c r="Q1343"/>
  <c r="Q1599"/>
  <c r="Q1773"/>
  <c r="Q1901"/>
  <c r="Q2029"/>
  <c r="Q2137"/>
  <c r="Q2201"/>
  <c r="Q2256"/>
  <c r="Q2288"/>
  <c r="Q2320"/>
  <c r="P23"/>
  <c r="P55"/>
  <c r="Q2352"/>
  <c r="Q721"/>
  <c r="Q2367"/>
  <c r="Q1790"/>
  <c r="Q56"/>
  <c r="Q98"/>
  <c r="Q804"/>
  <c r="Q1012"/>
  <c r="Q1140"/>
  <c r="P2369"/>
  <c r="Q1435"/>
  <c r="Q1819"/>
  <c r="Q2075"/>
  <c r="Q737"/>
  <c r="Q1677"/>
  <c r="Q1958"/>
  <c r="Q1702"/>
  <c r="Q1446"/>
  <c r="Q1119"/>
  <c r="Q607"/>
  <c r="Q53"/>
  <c r="Q201"/>
  <c r="Q329"/>
  <c r="Q457"/>
  <c r="Q186"/>
  <c r="Q442"/>
  <c r="Q592"/>
  <c r="Q720"/>
  <c r="Q1849"/>
  <c r="Q1758"/>
  <c r="P2360"/>
  <c r="Q130"/>
  <c r="Q820"/>
  <c r="Q1100"/>
  <c r="Q236"/>
  <c r="Q1867"/>
  <c r="Q685"/>
  <c r="Q1878"/>
  <c r="Q1366"/>
  <c r="Q408"/>
  <c r="Q241"/>
  <c r="Q10"/>
  <c r="Q504"/>
  <c r="Q760"/>
  <c r="Q2003"/>
  <c r="Q1747"/>
  <c r="Q1291"/>
  <c r="Q1224"/>
  <c r="Q1096"/>
  <c r="Q968"/>
  <c r="Q812"/>
  <c r="Q556"/>
  <c r="Q114"/>
  <c r="Q293"/>
  <c r="Q2362"/>
  <c r="Q1262"/>
  <c r="Q1774"/>
  <c r="Q1389"/>
  <c r="Q793"/>
  <c r="Q1639"/>
  <c r="Q1921"/>
  <c r="Q2147"/>
  <c r="Q2261"/>
  <c r="Q2325"/>
  <c r="P60"/>
  <c r="Q577"/>
  <c r="Q420"/>
  <c r="Q709"/>
  <c r="Q965"/>
  <c r="Q1221"/>
  <c r="Q1369"/>
  <c r="Q1497"/>
  <c r="Q1625"/>
  <c r="Q2216"/>
  <c r="Q1335"/>
  <c r="Q2025"/>
  <c r="Q2287"/>
  <c r="P4"/>
  <c r="Q541"/>
  <c r="Q1053"/>
  <c r="Q1413"/>
  <c r="Q1669"/>
  <c r="Q2152"/>
  <c r="Q2088"/>
  <c r="Q2024"/>
  <c r="Q1960"/>
  <c r="Q1896"/>
  <c r="Q1832"/>
  <c r="Q1768"/>
  <c r="Q1704"/>
  <c r="Q1640"/>
  <c r="Q1576"/>
  <c r="H33" i="4"/>
  <c r="G33"/>
  <c r="H25"/>
  <c r="G25"/>
  <c r="H17"/>
  <c r="G17"/>
  <c r="C35" i="9"/>
  <c r="S39" i="2"/>
  <c r="P22" i="9"/>
  <c r="BQ5"/>
  <c r="BE35" i="1"/>
  <c r="BE34"/>
  <c r="BE33"/>
  <c r="Y29" i="12" s="1"/>
  <c r="Q1626" i="10" l="1"/>
  <c r="Q615"/>
  <c r="Q2071"/>
  <c r="Q431"/>
  <c r="Q562"/>
  <c r="Q1007"/>
  <c r="Q901"/>
  <c r="Q1723"/>
  <c r="Q945"/>
  <c r="Q1478"/>
  <c r="Q1870"/>
  <c r="Q14"/>
  <c r="Q835"/>
  <c r="Q2019"/>
  <c r="Q795"/>
  <c r="Q260"/>
  <c r="Q1064"/>
  <c r="Q2053"/>
  <c r="Q1760"/>
  <c r="Q1953"/>
  <c r="Q792"/>
  <c r="Q1132"/>
  <c r="Q217"/>
  <c r="Q1851"/>
  <c r="Q529"/>
  <c r="Q1693"/>
  <c r="Q1762"/>
  <c r="Q367"/>
  <c r="Q749"/>
  <c r="Q1376"/>
  <c r="Q1879"/>
  <c r="Q786"/>
  <c r="Q414"/>
  <c r="Q379"/>
  <c r="Q328"/>
  <c r="Q180"/>
  <c r="Q1320"/>
  <c r="Q2347"/>
  <c r="Q1695"/>
  <c r="Q1142"/>
  <c r="Q758"/>
  <c r="Q1168"/>
  <c r="Q789"/>
  <c r="Q1556"/>
  <c r="Q1195"/>
  <c r="Q1566"/>
  <c r="Q298"/>
  <c r="Q338"/>
  <c r="Q2219"/>
  <c r="Q1297"/>
  <c r="Q348"/>
  <c r="Q1932"/>
  <c r="Q268"/>
  <c r="Q2277"/>
  <c r="Q182"/>
  <c r="Q1277"/>
  <c r="P2351"/>
  <c r="Q2048"/>
  <c r="Q961"/>
  <c r="Q1016"/>
  <c r="Q69"/>
  <c r="Q500"/>
  <c r="Q26"/>
  <c r="Q1862"/>
  <c r="Q1060"/>
  <c r="P2349"/>
  <c r="Q1981"/>
  <c r="Q1309"/>
  <c r="Q1282"/>
  <c r="Q198"/>
  <c r="Q627"/>
  <c r="Q981"/>
  <c r="Q579"/>
  <c r="Q1619"/>
  <c r="Q930"/>
  <c r="Q586"/>
  <c r="Q174"/>
  <c r="Q323"/>
  <c r="Q41"/>
  <c r="Q1008"/>
  <c r="Q1557"/>
  <c r="Q1155"/>
  <c r="Q272"/>
  <c r="Q1967"/>
  <c r="D51" i="7"/>
  <c r="J9" i="6"/>
  <c r="AJ7" i="9" s="1"/>
  <c r="AD3" i="12"/>
  <c r="I9" i="9"/>
  <c r="Q1550" i="10"/>
  <c r="Q1152"/>
  <c r="Q129"/>
  <c r="Q322"/>
  <c r="Q939"/>
  <c r="Q1356"/>
  <c r="Q1812"/>
  <c r="Q1537"/>
  <c r="Q1486"/>
  <c r="Q97"/>
  <c r="Q822"/>
  <c r="Q1078"/>
  <c r="Q1033"/>
  <c r="Q1951"/>
  <c r="Q240"/>
  <c r="Q1123"/>
  <c r="Q2186"/>
  <c r="Q880"/>
  <c r="Q25"/>
  <c r="Q315"/>
  <c r="Q158"/>
  <c r="Q578"/>
  <c r="Q914"/>
  <c r="Q1555"/>
  <c r="Q547"/>
  <c r="Q1377"/>
  <c r="Q883"/>
  <c r="Q262"/>
  <c r="Q1239"/>
  <c r="Q1437"/>
  <c r="Q1949"/>
  <c r="P2342"/>
  <c r="Q1028"/>
  <c r="Q1926"/>
  <c r="Q473"/>
  <c r="Q258"/>
  <c r="Q152"/>
  <c r="Q1080"/>
  <c r="P2343"/>
  <c r="Q2096"/>
  <c r="Q1073"/>
  <c r="Q781"/>
  <c r="Q567"/>
  <c r="Q204"/>
  <c r="Q426"/>
  <c r="Q1540"/>
  <c r="Q1581"/>
  <c r="Q2359"/>
  <c r="V43" i="2" s="1"/>
  <c r="V44" s="1"/>
  <c r="V45" s="1"/>
  <c r="Q392" i="10"/>
  <c r="Q770"/>
  <c r="Q1082"/>
  <c r="Q996"/>
  <c r="Q306"/>
  <c r="Q59"/>
  <c r="Q1138"/>
  <c r="Q2093"/>
  <c r="Q2130"/>
  <c r="Q1843"/>
  <c r="Q1527"/>
  <c r="Q1928"/>
  <c r="Q245"/>
  <c r="Q2064"/>
  <c r="AE19" i="12"/>
  <c r="K22" i="9"/>
  <c r="K18"/>
  <c r="AE15" i="12"/>
  <c r="Q1532" i="10"/>
  <c r="Q948"/>
  <c r="Q456"/>
  <c r="Q2056"/>
  <c r="Q2254"/>
  <c r="Q1261"/>
  <c r="Q505"/>
  <c r="Q1769"/>
  <c r="Q1765"/>
  <c r="Q2014"/>
  <c r="Q1404"/>
  <c r="Q524"/>
  <c r="Q2199"/>
  <c r="Q2302"/>
  <c r="Q1471"/>
  <c r="Q277"/>
  <c r="Q1427"/>
  <c r="Q1036"/>
  <c r="Q1791"/>
  <c r="Q2303"/>
  <c r="Q127"/>
  <c r="Q759"/>
  <c r="Q1736"/>
  <c r="Q1895"/>
  <c r="Q2085"/>
  <c r="Q622"/>
  <c r="Q1419"/>
  <c r="Q1394"/>
  <c r="Q1393"/>
  <c r="Q1163"/>
  <c r="Q587"/>
  <c r="Q1312"/>
  <c r="Q664"/>
  <c r="Q1392"/>
  <c r="Q748"/>
  <c r="Q718"/>
  <c r="Q220"/>
  <c r="Q644"/>
  <c r="Q869"/>
  <c r="Q1144"/>
  <c r="Q1803"/>
  <c r="Q410"/>
  <c r="Q1990"/>
  <c r="Q1918"/>
  <c r="Q2145"/>
  <c r="Q1565"/>
  <c r="Q143"/>
  <c r="Q1959"/>
  <c r="Q1633"/>
  <c r="Q2103"/>
  <c r="Q1154"/>
  <c r="Q698"/>
  <c r="Q398"/>
  <c r="Q435"/>
  <c r="Q179"/>
  <c r="Q1963"/>
  <c r="Q597"/>
  <c r="Q1432"/>
  <c r="Q603"/>
  <c r="Q55"/>
  <c r="Q1667"/>
  <c r="Q1198"/>
  <c r="Q942"/>
  <c r="Q852"/>
  <c r="Q1104"/>
  <c r="P56"/>
  <c r="Q1365"/>
  <c r="Q1476"/>
  <c r="Q1179"/>
  <c r="Q667"/>
  <c r="P58"/>
  <c r="Q2051"/>
  <c r="Q210"/>
  <c r="Q1873"/>
  <c r="Q885"/>
  <c r="Q2247"/>
  <c r="Q2044"/>
  <c r="Q986"/>
  <c r="Q2272"/>
  <c r="Q1535"/>
  <c r="P2350"/>
  <c r="Q54"/>
  <c r="Q688"/>
  <c r="Q1470"/>
  <c r="Q106"/>
  <c r="Q1689"/>
  <c r="Q2243"/>
  <c r="Q82"/>
  <c r="Q836"/>
  <c r="Q1691"/>
  <c r="Q1834"/>
  <c r="Q223"/>
  <c r="Q1288"/>
  <c r="Q1840"/>
  <c r="Q972"/>
  <c r="Q375"/>
  <c r="Q503"/>
  <c r="Q660"/>
  <c r="Q365"/>
  <c r="Q1461"/>
  <c r="Q1841"/>
  <c r="Q1813"/>
  <c r="Q2009"/>
  <c r="Q1361"/>
  <c r="Q1623"/>
  <c r="Q733"/>
  <c r="Q569"/>
  <c r="Q1720"/>
  <c r="Q1739"/>
  <c r="Q11"/>
  <c r="Q1937"/>
  <c r="Q1493"/>
  <c r="Q853"/>
  <c r="Q1698"/>
  <c r="Q1513"/>
  <c r="Q1869"/>
  <c r="Q517"/>
  <c r="Q423"/>
  <c r="Q2117"/>
  <c r="Q1792"/>
  <c r="P36"/>
  <c r="Q728"/>
  <c r="Q1068"/>
  <c r="Q441"/>
  <c r="Q1787"/>
  <c r="Q657"/>
  <c r="Q1917"/>
  <c r="Q1730"/>
  <c r="Q399"/>
  <c r="Q1139"/>
  <c r="Q1344"/>
  <c r="Q1847"/>
  <c r="Q1026"/>
  <c r="Q634"/>
  <c r="Q270"/>
  <c r="Q371"/>
  <c r="Q115"/>
  <c r="Q680"/>
  <c r="Q1801"/>
  <c r="Q1304"/>
  <c r="Q464"/>
  <c r="Q2063"/>
  <c r="Q1411"/>
  <c r="Q1134"/>
  <c r="Q878"/>
  <c r="Q372"/>
  <c r="Q146"/>
  <c r="Q917"/>
  <c r="Q2036"/>
  <c r="Q1412"/>
  <c r="Q1051"/>
  <c r="Q1310"/>
  <c r="Q1462"/>
  <c r="Q1387"/>
  <c r="Q77"/>
  <c r="Q2249"/>
  <c r="Q1329"/>
  <c r="Q276"/>
  <c r="Q1916"/>
  <c r="Q95"/>
  <c r="Q783"/>
  <c r="Q1638"/>
  <c r="Q1477"/>
  <c r="Q232"/>
  <c r="Q1037"/>
  <c r="Q808"/>
  <c r="P31"/>
  <c r="Q242"/>
  <c r="Q988"/>
  <c r="Q1882"/>
  <c r="P63"/>
  <c r="Q1085"/>
  <c r="Q2329"/>
  <c r="Q363"/>
  <c r="Q2315"/>
  <c r="Q1874"/>
  <c r="Q750"/>
  <c r="Q1919"/>
  <c r="Q157"/>
  <c r="Q2348"/>
  <c r="Q1954"/>
  <c r="Q1864"/>
  <c r="Q1962"/>
  <c r="Q1559"/>
  <c r="Q2153"/>
  <c r="Q1744"/>
  <c r="Q1386"/>
  <c r="Q340"/>
  <c r="Q169"/>
  <c r="Q1653"/>
  <c r="Q559"/>
  <c r="Q1040"/>
  <c r="Q382"/>
  <c r="Q2252"/>
  <c r="Q2149"/>
  <c r="Q1495"/>
  <c r="Q2136"/>
  <c r="Q1418"/>
  <c r="Q2310"/>
  <c r="Q2144"/>
  <c r="Q1582"/>
  <c r="Q465"/>
  <c r="P2365"/>
  <c r="Q671"/>
  <c r="Q1252"/>
  <c r="P59"/>
  <c r="Q761"/>
  <c r="Q1474"/>
  <c r="Q326"/>
  <c r="Q289"/>
  <c r="Q915"/>
  <c r="Q1491"/>
  <c r="Q898"/>
  <c r="Q570"/>
  <c r="Q142"/>
  <c r="Q307"/>
  <c r="Q9"/>
  <c r="Q636"/>
  <c r="Q2116"/>
  <c r="Q1091"/>
  <c r="Q208"/>
  <c r="Q1935"/>
  <c r="Q905"/>
  <c r="Q1070"/>
  <c r="Q814"/>
  <c r="Q225"/>
  <c r="Q1742"/>
  <c r="Q1601"/>
  <c r="Q1780"/>
  <c r="Q1348"/>
  <c r="Q923"/>
  <c r="Q532"/>
  <c r="Q193"/>
  <c r="Q1120"/>
  <c r="Q1678"/>
  <c r="P48"/>
  <c r="Q1585"/>
  <c r="Q1333"/>
  <c r="Q1788"/>
  <c r="Q1778"/>
  <c r="Q1782"/>
  <c r="Q908"/>
  <c r="Q64"/>
  <c r="F54" i="7" s="1"/>
  <c r="Q1354" i="10"/>
  <c r="F2370"/>
  <c r="I16" i="9"/>
  <c r="I19" i="6"/>
  <c r="AU20" i="9"/>
  <c r="O2366" i="10"/>
  <c r="H17" i="2"/>
  <c r="P15" i="9" s="1"/>
  <c r="H8" i="2"/>
  <c r="I3" i="13" s="1"/>
  <c r="AE14" i="12"/>
  <c r="AE7"/>
  <c r="K23" i="9"/>
  <c r="AT15"/>
  <c r="BB29" i="1"/>
  <c r="X25" i="12" s="1"/>
  <c r="G31" i="4"/>
  <c r="AH18" i="12"/>
  <c r="AU7" i="9"/>
  <c r="AT33"/>
  <c r="I19"/>
  <c r="I12"/>
  <c r="I7" i="6"/>
  <c r="H33"/>
  <c r="AH22" i="12"/>
  <c r="BP39" i="1"/>
  <c r="Q11" i="2"/>
  <c r="X9" i="9" s="1"/>
  <c r="H19" i="2"/>
  <c r="BN39" i="1"/>
  <c r="BO36" i="9"/>
  <c r="AE5" i="12"/>
  <c r="I32" i="6"/>
  <c r="AT28" i="9"/>
  <c r="J36" i="6"/>
  <c r="BB35" i="1"/>
  <c r="X31" i="12" s="1"/>
  <c r="J35" i="6"/>
  <c r="H34" i="2"/>
  <c r="I29" i="13" s="1"/>
  <c r="H31" i="2"/>
  <c r="X31" s="1"/>
  <c r="Z31" s="1"/>
  <c r="BQ29" i="9" s="1"/>
  <c r="J31" i="6"/>
  <c r="AJ29" i="9" s="1"/>
  <c r="H26" i="2"/>
  <c r="W26" s="1"/>
  <c r="BN24" i="9" s="1"/>
  <c r="AE13" i="12"/>
  <c r="W32" i="2"/>
  <c r="BN30" i="9" s="1"/>
  <c r="AE12" i="12"/>
  <c r="P9" i="9"/>
  <c r="H20" i="2"/>
  <c r="X20" s="1"/>
  <c r="Z20" s="1"/>
  <c r="BQ18" i="9" s="1"/>
  <c r="I25"/>
  <c r="I18"/>
  <c r="H27" i="2"/>
  <c r="X27" s="1"/>
  <c r="BO25" i="9" s="1"/>
  <c r="H12" i="2"/>
  <c r="I10" i="9"/>
  <c r="I5"/>
  <c r="H29" i="2"/>
  <c r="U29" s="1"/>
  <c r="BM27" i="9" s="1"/>
  <c r="K25"/>
  <c r="AT31"/>
  <c r="AU30"/>
  <c r="X11" i="2"/>
  <c r="Z11" s="1"/>
  <c r="BQ9" i="9" s="1"/>
  <c r="J2370" i="10"/>
  <c r="N2370"/>
  <c r="K2370"/>
  <c r="C27" i="9"/>
  <c r="K13" i="6"/>
  <c r="G8" i="13" s="1"/>
  <c r="AH20" i="12"/>
  <c r="K30" i="1"/>
  <c r="G26" i="12" s="1"/>
  <c r="H21" i="2"/>
  <c r="P19" i="9" s="1"/>
  <c r="AU18"/>
  <c r="K15"/>
  <c r="K18" i="1"/>
  <c r="G14" i="12" s="1"/>
  <c r="F41" i="11"/>
  <c r="G41" s="1"/>
  <c r="E2353" i="10"/>
  <c r="G2353"/>
  <c r="I2353"/>
  <c r="K2353"/>
  <c r="M2353"/>
  <c r="W33" i="2"/>
  <c r="BN31" i="9" s="1"/>
  <c r="Y41" i="2"/>
  <c r="BP36" i="9" s="1"/>
  <c r="Q509" i="10"/>
  <c r="Q540"/>
  <c r="Q2192"/>
  <c r="Q2157"/>
  <c r="Q216"/>
  <c r="Q2363"/>
  <c r="X43" i="2" s="1"/>
  <c r="BO38" i="9" s="1"/>
  <c r="Q1708" i="10"/>
  <c r="Q63"/>
  <c r="Q1482"/>
  <c r="Q421"/>
  <c r="Q2210"/>
  <c r="Q1976"/>
  <c r="Q2012"/>
  <c r="Q1045"/>
  <c r="Q1121"/>
  <c r="Q1223"/>
  <c r="Q265"/>
  <c r="Q1893"/>
  <c r="Q2067"/>
  <c r="Q1397"/>
  <c r="Q1062"/>
  <c r="P51"/>
  <c r="Q320"/>
  <c r="Q617"/>
  <c r="Q1636"/>
  <c r="Q2250"/>
  <c r="Q2002"/>
  <c r="P54"/>
  <c r="Q1877"/>
  <c r="Q1547"/>
  <c r="Q296"/>
  <c r="Q621"/>
  <c r="Q2026"/>
  <c r="Q2364"/>
  <c r="Q2158"/>
  <c r="Q1236"/>
  <c r="Q1884"/>
  <c r="Q513"/>
  <c r="Q941"/>
  <c r="Q934"/>
  <c r="Q171"/>
  <c r="Q1146"/>
  <c r="Q672"/>
  <c r="Q1927"/>
  <c r="Q1079"/>
  <c r="Q1275"/>
  <c r="Q24"/>
  <c r="Q551"/>
  <c r="Q1519"/>
  <c r="Q1726"/>
  <c r="P2345"/>
  <c r="Q1825"/>
  <c r="Q1779"/>
  <c r="Q1942"/>
  <c r="Q1886"/>
  <c r="Q185"/>
  <c r="P26"/>
  <c r="Q477"/>
  <c r="Q2324"/>
  <c r="Q1631"/>
  <c r="Q1986"/>
  <c r="Q663"/>
  <c r="Q662"/>
  <c r="Q944"/>
  <c r="Q1764"/>
  <c r="Q32"/>
  <c r="AE6" i="12"/>
  <c r="K9" i="9"/>
  <c r="H34" i="4"/>
  <c r="G34"/>
  <c r="G23"/>
  <c r="AE21" i="12"/>
  <c r="J25" i="6"/>
  <c r="AJ23" i="9" s="1"/>
  <c r="I9" i="6"/>
  <c r="AU16" i="9"/>
  <c r="AT20"/>
  <c r="H25" i="6"/>
  <c r="H17"/>
  <c r="J14"/>
  <c r="AJ12" i="9" s="1"/>
  <c r="K27" i="6"/>
  <c r="G22" i="13" s="1"/>
  <c r="C28" i="9"/>
  <c r="C17"/>
  <c r="AU31"/>
  <c r="AU15"/>
  <c r="AT29"/>
  <c r="AT17"/>
  <c r="AH11"/>
  <c r="AH30"/>
  <c r="H13" i="6"/>
  <c r="J33"/>
  <c r="AJ31" i="9" s="1"/>
  <c r="J20" i="6"/>
  <c r="AJ18" i="9" s="1"/>
  <c r="K6" i="6"/>
  <c r="AH8" i="12"/>
  <c r="U37" i="1"/>
  <c r="U38" s="1"/>
  <c r="J15" i="6"/>
  <c r="AJ13" i="9" s="1"/>
  <c r="C38" i="2"/>
  <c r="I33" i="9" s="1"/>
  <c r="U17" i="2"/>
  <c r="BM15" i="9" s="1"/>
  <c r="K14"/>
  <c r="H16" i="2"/>
  <c r="W16" s="1"/>
  <c r="BN14" i="9" s="1"/>
  <c r="W14" i="2"/>
  <c r="BN12" i="9" s="1"/>
  <c r="Z14" i="2"/>
  <c r="BQ12" i="9" s="1"/>
  <c r="BO12"/>
  <c r="I9" i="13"/>
  <c r="P12" i="9"/>
  <c r="Q14" i="2"/>
  <c r="X12" i="9" s="1"/>
  <c r="AT14"/>
  <c r="AU12"/>
  <c r="J11" i="6"/>
  <c r="AJ9" i="9" s="1"/>
  <c r="H10" i="6"/>
  <c r="H10" i="2"/>
  <c r="P8" i="9" s="1"/>
  <c r="AU8"/>
  <c r="E2370" i="10"/>
  <c r="K34" i="1"/>
  <c r="G30" i="12" s="1"/>
  <c r="J2353" i="10"/>
  <c r="J37" i="6"/>
  <c r="K24" i="1"/>
  <c r="G20" i="12" s="1"/>
  <c r="K20" i="1"/>
  <c r="G16" i="12" s="1"/>
  <c r="F53" i="11"/>
  <c r="G53" s="1"/>
  <c r="I32" i="9"/>
  <c r="C25" i="7"/>
  <c r="E28" s="1"/>
  <c r="AU32" i="9"/>
  <c r="C33"/>
  <c r="G26" i="4"/>
  <c r="H20"/>
  <c r="BP43" i="1"/>
  <c r="BS40"/>
  <c r="C5" i="9"/>
  <c r="I6" i="13"/>
  <c r="F66" i="10"/>
  <c r="C2370"/>
  <c r="AL6" i="1"/>
  <c r="K31"/>
  <c r="G27" i="12" s="1"/>
  <c r="K11" i="1"/>
  <c r="G7" i="12" s="1"/>
  <c r="BB33" i="1"/>
  <c r="X29" i="12" s="1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/>
  <c r="AT25" i="9"/>
  <c r="AB19" i="12"/>
  <c r="AT22" i="9"/>
  <c r="AB4" i="12"/>
  <c r="AT7" i="9"/>
  <c r="AH31"/>
  <c r="I33" i="6"/>
  <c r="I28"/>
  <c r="AH26" i="9"/>
  <c r="I24" i="6"/>
  <c r="AH22" i="9"/>
  <c r="AH15" i="12"/>
  <c r="K20" i="6"/>
  <c r="G15" i="13" s="1"/>
  <c r="AH18" i="9"/>
  <c r="AJ29" i="12"/>
  <c r="G48" i="6"/>
  <c r="J34"/>
  <c r="AJ32" i="9" s="1"/>
  <c r="AJ3" i="12"/>
  <c r="J8" i="6"/>
  <c r="AJ6" i="9" s="1"/>
  <c r="AD20" i="12"/>
  <c r="I23" i="9"/>
  <c r="P11"/>
  <c r="Q33" i="2"/>
  <c r="X31" i="9" s="1"/>
  <c r="X33" i="2"/>
  <c r="BO31" i="9" s="1"/>
  <c r="X21" i="2"/>
  <c r="Z21" s="1"/>
  <c r="BQ19" i="9" s="1"/>
  <c r="U11" i="2"/>
  <c r="BM9" i="9" s="1"/>
  <c r="Q13" i="2"/>
  <c r="X11" i="9" s="1"/>
  <c r="P20"/>
  <c r="I8" i="13"/>
  <c r="H15" i="4"/>
  <c r="G15"/>
  <c r="Q1936" i="10"/>
  <c r="Q1325"/>
  <c r="P2362"/>
  <c r="Q1207"/>
  <c r="Q2092"/>
  <c r="Q2349"/>
  <c r="Q1548"/>
  <c r="Q2314"/>
  <c r="Q711"/>
  <c r="Q1494"/>
  <c r="Q1395"/>
  <c r="Q1465"/>
  <c r="Q1254"/>
  <c r="Q1934"/>
  <c r="Q620"/>
  <c r="Q2121"/>
  <c r="Q2125"/>
  <c r="Q1756"/>
  <c r="Q153"/>
  <c r="Q839"/>
  <c r="Q2211"/>
  <c r="Q1490"/>
  <c r="Q1701"/>
  <c r="Q1130"/>
  <c r="Q1421"/>
  <c r="Q637"/>
  <c r="Q1987"/>
  <c r="Q2259"/>
  <c r="Q2174"/>
  <c r="P17"/>
  <c r="Q2057"/>
  <c r="Q632"/>
  <c r="Q1663"/>
  <c r="Q881"/>
  <c r="Q871"/>
  <c r="Q1897"/>
  <c r="Q2046"/>
  <c r="Q1021"/>
  <c r="Q469"/>
  <c r="Q1126"/>
  <c r="Q626"/>
  <c r="Q785"/>
  <c r="Q2221"/>
  <c r="Q327"/>
  <c r="Q1089"/>
  <c r="Q593"/>
  <c r="Q1509"/>
  <c r="Q2283"/>
  <c r="Q1912"/>
  <c r="Q719"/>
  <c r="P64"/>
  <c r="Q1340"/>
  <c r="Q1059"/>
  <c r="Q390"/>
  <c r="Q1208"/>
  <c r="Q581"/>
  <c r="Q1580"/>
  <c r="Q1671"/>
  <c r="Q2327"/>
  <c r="Q498"/>
  <c r="Q2316"/>
  <c r="Q1647"/>
  <c r="Q263"/>
  <c r="Q1531"/>
  <c r="Q1245"/>
  <c r="Q311"/>
  <c r="Q1811"/>
  <c r="Q1358"/>
  <c r="Q1434"/>
  <c r="Q92"/>
  <c r="Q314"/>
  <c r="Q118"/>
  <c r="Q22"/>
  <c r="Q1567"/>
  <c r="Q779"/>
  <c r="P7"/>
  <c r="Q2328"/>
  <c r="Q693"/>
  <c r="Q455"/>
  <c r="Q1231"/>
  <c r="Q1673"/>
  <c r="Q525"/>
  <c r="Q2232"/>
  <c r="Q977"/>
  <c r="Q2220"/>
  <c r="Q1153"/>
  <c r="Q690"/>
  <c r="Q799"/>
  <c r="Q1679"/>
  <c r="Q1992"/>
  <c r="Q301"/>
  <c r="Q294"/>
  <c r="Q2286"/>
  <c r="Q439"/>
  <c r="Q357"/>
  <c r="Q985"/>
  <c r="Q1271"/>
  <c r="Q847"/>
  <c r="Q2047"/>
  <c r="Q1815"/>
  <c r="Q1004"/>
  <c r="Q1749"/>
  <c r="Q702"/>
  <c r="Q864"/>
  <c r="Q1805"/>
  <c r="Q1552"/>
  <c r="Q1127"/>
  <c r="Q2255"/>
  <c r="Q735"/>
  <c r="Q1964"/>
  <c r="Q1287"/>
  <c r="Q1665"/>
  <c r="Q299"/>
  <c r="Q2246"/>
  <c r="Q2178"/>
  <c r="Q2318"/>
  <c r="Q1900"/>
  <c r="Q120"/>
  <c r="Q998"/>
  <c r="Q2368"/>
  <c r="Q2207"/>
  <c r="P49"/>
  <c r="Q638"/>
  <c r="Q393"/>
  <c r="Q252"/>
  <c r="Q1848"/>
  <c r="Q2345"/>
  <c r="Q2266"/>
  <c r="Q135"/>
  <c r="Q837"/>
  <c r="Q1278"/>
  <c r="K26" i="9"/>
  <c r="H27" i="4"/>
  <c r="G27"/>
  <c r="C32" i="9"/>
  <c r="C21"/>
  <c r="AU10"/>
  <c r="H10" i="4"/>
  <c r="J10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/>
  <c r="H14"/>
  <c r="K32"/>
  <c r="G27" i="13" s="1"/>
  <c r="K36" i="1"/>
  <c r="G32" i="12" s="1"/>
  <c r="S37" i="1"/>
  <c r="S38" s="1"/>
  <c r="T38" i="2"/>
  <c r="T39" s="1"/>
  <c r="U22"/>
  <c r="BM20" i="9" s="1"/>
  <c r="AL14" i="1"/>
  <c r="O39" i="2"/>
  <c r="R34" i="9" s="1"/>
  <c r="R33"/>
  <c r="Q32" i="2"/>
  <c r="X30" i="9" s="1"/>
  <c r="P30"/>
  <c r="AF31" i="12"/>
  <c r="H36" i="2"/>
  <c r="X36" s="1"/>
  <c r="K31" i="6"/>
  <c r="G26" i="13" s="1"/>
  <c r="AH29" i="9"/>
  <c r="I31" i="6"/>
  <c r="AH26" i="12"/>
  <c r="K22" i="6"/>
  <c r="G17" i="13" s="1"/>
  <c r="AH17" i="12"/>
  <c r="AH20" i="9"/>
  <c r="I22" i="6"/>
  <c r="K12"/>
  <c r="G7" i="13" s="1"/>
  <c r="I12" i="6"/>
  <c r="AH7" i="12"/>
  <c r="AJ27"/>
  <c r="J32" i="6"/>
  <c r="AJ30" i="9" s="1"/>
  <c r="AJ16" i="12"/>
  <c r="J21" i="6"/>
  <c r="AJ19" i="9" s="1"/>
  <c r="G38" i="6"/>
  <c r="G39" s="1"/>
  <c r="AI17" i="12"/>
  <c r="H22" i="6"/>
  <c r="AI10" i="12"/>
  <c r="H15" i="6"/>
  <c r="Z12" i="12"/>
  <c r="BB16" i="1"/>
  <c r="Y31" i="12"/>
  <c r="I12" i="13"/>
  <c r="H35" i="2"/>
  <c r="G37" i="1"/>
  <c r="G38" s="1"/>
  <c r="G18" i="4"/>
  <c r="H18"/>
  <c r="H14"/>
  <c r="G1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Q22" i="2"/>
  <c r="X20" i="9" s="1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s="1"/>
  <c r="K28"/>
  <c r="G24" i="12" s="1"/>
  <c r="G27" i="9"/>
  <c r="G15"/>
  <c r="K16" i="1"/>
  <c r="G12" i="12" s="1"/>
  <c r="AL25" i="1"/>
  <c r="M21" i="12"/>
  <c r="M13"/>
  <c r="AL17" i="1"/>
  <c r="M3" i="12"/>
  <c r="AL7" i="1"/>
  <c r="AL18"/>
  <c r="O14" i="12"/>
  <c r="Q7"/>
  <c r="S15"/>
  <c r="T45" i="2"/>
  <c r="T44"/>
  <c r="I14" i="13"/>
  <c r="P17" i="9"/>
  <c r="Q19" i="2"/>
  <c r="X17" i="9" s="1"/>
  <c r="H30" i="2"/>
  <c r="G38"/>
  <c r="G39" s="1"/>
  <c r="H35" i="4"/>
  <c r="G35"/>
  <c r="H11"/>
  <c r="J17" s="1"/>
  <c r="G11"/>
  <c r="I11" s="1"/>
  <c r="AL30" i="1"/>
  <c r="K26" i="12"/>
  <c r="AH21"/>
  <c r="K26" i="6"/>
  <c r="G21" i="13" s="1"/>
  <c r="I26" i="6"/>
  <c r="AH24" i="9"/>
  <c r="AH11" i="12"/>
  <c r="I16" i="6"/>
  <c r="K16"/>
  <c r="G11" i="13" s="1"/>
  <c r="K8" i="6"/>
  <c r="G3" i="13" s="1"/>
  <c r="I8" i="6"/>
  <c r="AH3" i="12"/>
  <c r="AH6" i="9"/>
  <c r="C38" i="6"/>
  <c r="C39" s="1"/>
  <c r="AH34" i="9" s="1"/>
  <c r="AE8" i="12"/>
  <c r="K11" i="9"/>
  <c r="AI21" i="12"/>
  <c r="H26" i="6"/>
  <c r="AI13" i="12"/>
  <c r="H18" i="6"/>
  <c r="AI3" i="12"/>
  <c r="H8" i="6"/>
  <c r="E38"/>
  <c r="E39" s="1"/>
  <c r="Y30" i="12"/>
  <c r="BB34" i="1"/>
  <c r="X30" i="12" s="1"/>
  <c r="U32" i="2"/>
  <c r="BM30" i="9" s="1"/>
  <c r="Q29" i="2"/>
  <c r="X27" i="9" s="1"/>
  <c r="AH14"/>
  <c r="H29" i="4"/>
  <c r="G29"/>
  <c r="J26" i="6"/>
  <c r="AJ24" i="9" s="1"/>
  <c r="BM43" i="1"/>
  <c r="BM44"/>
  <c r="AE2" i="12"/>
  <c r="H7" i="2"/>
  <c r="E38"/>
  <c r="E39" s="1"/>
  <c r="K33" i="9" s="1"/>
  <c r="V38" i="2"/>
  <c r="V39" s="1"/>
  <c r="C31" i="9"/>
  <c r="G13" i="4"/>
  <c r="H39"/>
  <c r="G39"/>
  <c r="H24"/>
  <c r="G24"/>
  <c r="BC29" i="1"/>
  <c r="K29"/>
  <c r="G25" i="12" s="1"/>
  <c r="K19" i="1"/>
  <c r="G15" i="12" s="1"/>
  <c r="K7" i="1"/>
  <c r="G3" i="12" s="1"/>
  <c r="AA24"/>
  <c r="BB28" i="1"/>
  <c r="X24" i="12" s="1"/>
  <c r="AA6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/>
  <c r="O3" i="12"/>
  <c r="AI37" i="1"/>
  <c r="AI38" s="1"/>
  <c r="AA30" i="12"/>
  <c r="D5" i="10"/>
  <c r="O5" s="1"/>
  <c r="AB27" i="12"/>
  <c r="AT30" i="9"/>
  <c r="AB15" i="12"/>
  <c r="BB19" i="1"/>
  <c r="X15" i="12" s="1"/>
  <c r="AT18" i="9"/>
  <c r="BB31" i="1"/>
  <c r="X27" i="12" s="1"/>
  <c r="Z27"/>
  <c r="Z16"/>
  <c r="BB20" i="1"/>
  <c r="X16" i="12" s="1"/>
  <c r="K6"/>
  <c r="AL10" i="1"/>
  <c r="K34" i="6"/>
  <c r="G29" i="13" s="1"/>
  <c r="AH29" i="12"/>
  <c r="I34" i="6"/>
  <c r="K29"/>
  <c r="G24" i="13" s="1"/>
  <c r="I29" i="6"/>
  <c r="AH24" i="12"/>
  <c r="AH27" i="9"/>
  <c r="AH16" i="12"/>
  <c r="I21" i="6"/>
  <c r="K21"/>
  <c r="G16" i="13" s="1"/>
  <c r="AH10" i="12"/>
  <c r="K15" i="6"/>
  <c r="G10" i="13" s="1"/>
  <c r="AH13" i="9"/>
  <c r="Q25" i="2"/>
  <c r="X23" i="9" s="1"/>
  <c r="U14" i="2"/>
  <c r="BM12" i="9" s="1"/>
  <c r="W24" i="2"/>
  <c r="BN22" i="9" s="1"/>
  <c r="BL41" i="1"/>
  <c r="W12" i="2"/>
  <c r="BN10" i="9" s="1"/>
  <c r="G21" i="4"/>
  <c r="H16" i="6"/>
  <c r="C48"/>
  <c r="G30" i="4"/>
  <c r="N2353" i="10"/>
  <c r="G2370"/>
  <c r="Q1485"/>
  <c r="Q1433"/>
  <c r="Q614"/>
  <c r="Q889"/>
  <c r="Q1423"/>
  <c r="Q863"/>
  <c r="Q2049"/>
  <c r="P2361"/>
  <c r="Q1200"/>
  <c r="Q2033"/>
  <c r="Q684"/>
  <c r="Q959"/>
  <c r="Q2104"/>
  <c r="Q520"/>
  <c r="Q2008"/>
  <c r="Q1551"/>
  <c r="Q1034"/>
  <c r="Q369"/>
  <c r="Q1407"/>
  <c r="Q34"/>
  <c r="Q743"/>
  <c r="P8"/>
  <c r="Q816"/>
  <c r="Q949"/>
  <c r="Q1468"/>
  <c r="Q1416"/>
  <c r="Q552"/>
  <c r="Q1326"/>
  <c r="Q2189"/>
  <c r="Q391"/>
  <c r="Q2293"/>
  <c r="Q137"/>
  <c r="Q1746"/>
  <c r="Q516"/>
  <c r="Q2350"/>
  <c r="Q874"/>
  <c r="Q2309"/>
  <c r="Q1510"/>
  <c r="Q1644"/>
  <c r="Q1013"/>
  <c r="Q1257"/>
  <c r="Q2166"/>
  <c r="Q2083"/>
  <c r="Q1177"/>
  <c r="Q1542"/>
  <c r="Q1994"/>
  <c r="P33"/>
  <c r="Q1946"/>
  <c r="Q1296"/>
  <c r="Q165"/>
  <c r="Q1947"/>
  <c r="Q383"/>
  <c r="Q625"/>
  <c r="Q1898"/>
  <c r="Q1203"/>
  <c r="Q101"/>
  <c r="Q413"/>
  <c r="Q1628"/>
  <c r="Q1205"/>
  <c r="Q1088"/>
  <c r="Q353"/>
  <c r="Q274"/>
  <c r="Q1399"/>
  <c r="Q2054"/>
  <c r="P18"/>
  <c r="Q1933"/>
  <c r="Q2171"/>
  <c r="Q1993"/>
  <c r="Q1056"/>
  <c r="Q1891"/>
  <c r="Q235"/>
  <c r="Q694"/>
  <c r="Q2142"/>
  <c r="Q105"/>
  <c r="Q2010"/>
  <c r="P22"/>
  <c r="Q1133"/>
  <c r="Q1680"/>
  <c r="Q1322"/>
  <c r="Q645"/>
  <c r="Q1709"/>
  <c r="P65"/>
  <c r="Q2074"/>
  <c r="Q91"/>
  <c r="Q2030"/>
  <c r="Q1069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/>
  <c r="AH12"/>
  <c r="I17" i="6"/>
  <c r="K66" i="10"/>
  <c r="O19"/>
  <c r="N66"/>
  <c r="O65"/>
  <c r="L2370"/>
  <c r="M2370"/>
  <c r="H2370"/>
  <c r="O2352"/>
  <c r="O2353" s="1"/>
  <c r="F23" i="12"/>
  <c r="C26" i="9"/>
  <c r="N17" i="12"/>
  <c r="AL21" i="1"/>
  <c r="AL34"/>
  <c r="O30" i="12"/>
  <c r="AA23"/>
  <c r="AU26" i="9"/>
  <c r="Z5" i="12"/>
  <c r="BG37" i="1"/>
  <c r="BG38" s="1"/>
  <c r="K19" i="12"/>
  <c r="AL23" i="1"/>
  <c r="K9" i="12"/>
  <c r="AL13" i="1"/>
  <c r="K5" i="12"/>
  <c r="AL9" i="1"/>
  <c r="AD18" i="12"/>
  <c r="I21" i="9"/>
  <c r="K5" i="1"/>
  <c r="AC37"/>
  <c r="AX37"/>
  <c r="AX38" s="1"/>
  <c r="AL22"/>
  <c r="AL16"/>
  <c r="Z26" i="12"/>
  <c r="BB30" i="1"/>
  <c r="X26" i="12" s="1"/>
  <c r="BB27" i="1"/>
  <c r="AI2" i="12"/>
  <c r="K7" i="6"/>
  <c r="G2" i="13" s="1"/>
  <c r="K2" i="12"/>
  <c r="AA37" i="1"/>
  <c r="AA38" s="1"/>
  <c r="K27"/>
  <c r="G23" i="12" s="1"/>
  <c r="K15" i="1"/>
  <c r="G11" i="12" s="1"/>
  <c r="K33" i="1"/>
  <c r="G29" i="12" s="1"/>
  <c r="AG37" i="1"/>
  <c r="AG38" s="1"/>
  <c r="AL33"/>
  <c r="AL8"/>
  <c r="M4" i="12"/>
  <c r="AL32" i="1"/>
  <c r="BB18"/>
  <c r="BC18" s="1"/>
  <c r="Z22" i="12"/>
  <c r="BB26" i="1"/>
  <c r="X22" i="12" s="1"/>
  <c r="K24"/>
  <c r="AL28" i="1"/>
  <c r="Q37"/>
  <c r="H4" i="12"/>
  <c r="K9" i="6"/>
  <c r="G4" i="13" s="1"/>
  <c r="F42" i="11"/>
  <c r="G42" s="1"/>
  <c r="G43" s="1"/>
  <c r="BB13" i="1"/>
  <c r="BB8"/>
  <c r="BC8" s="1"/>
  <c r="K33" i="6"/>
  <c r="G28" i="13" s="1"/>
  <c r="K28" i="6"/>
  <c r="G23" i="13" s="1"/>
  <c r="K24" i="6"/>
  <c r="G19" i="13" s="1"/>
  <c r="BO19" i="9"/>
  <c r="W28" i="2"/>
  <c r="BN26" i="9" s="1"/>
  <c r="P26"/>
  <c r="X28" i="2"/>
  <c r="Q28"/>
  <c r="X26" i="9" s="1"/>
  <c r="U28" i="2"/>
  <c r="BM26" i="9" s="1"/>
  <c r="O2369" i="10"/>
  <c r="O2370" s="1"/>
  <c r="BE37" i="1"/>
  <c r="BE38" s="1"/>
  <c r="BO9" i="9"/>
  <c r="BP40" i="1"/>
  <c r="U8" i="2"/>
  <c r="BM6" i="9" s="1"/>
  <c r="U26" i="2"/>
  <c r="BM24" i="9" s="1"/>
  <c r="W17" i="2"/>
  <c r="BN15" i="9" s="1"/>
  <c r="Q17" i="2"/>
  <c r="X15" i="9" s="1"/>
  <c r="BO20"/>
  <c r="Y22" i="2"/>
  <c r="BP20" i="9" s="1"/>
  <c r="BR43" i="1"/>
  <c r="BS43"/>
  <c r="Z43" i="2"/>
  <c r="BQ38" i="9" s="1"/>
  <c r="Y43" i="2"/>
  <c r="BP38" i="9" s="1"/>
  <c r="X44" i="2"/>
  <c r="X45"/>
  <c r="BO40" i="9" s="1"/>
  <c r="I10" i="4"/>
  <c r="I12"/>
  <c r="I13"/>
  <c r="Q8" i="2"/>
  <c r="W8"/>
  <c r="BN6" i="9" s="1"/>
  <c r="Y40" i="2"/>
  <c r="BP35" i="9" s="1"/>
  <c r="Z40" i="2"/>
  <c r="BQ35" i="9" s="1"/>
  <c r="BO35"/>
  <c r="X8" i="2"/>
  <c r="P6" i="9"/>
  <c r="I28" i="13"/>
  <c r="U33" i="2"/>
  <c r="BM31" i="9" s="1"/>
  <c r="E37" i="1"/>
  <c r="E38" s="1"/>
  <c r="I20" i="13"/>
  <c r="X25" i="2"/>
  <c r="U25"/>
  <c r="BM23" i="9" s="1"/>
  <c r="W25" i="2"/>
  <c r="BN23" i="9" s="1"/>
  <c r="I21" i="13"/>
  <c r="Q26" i="2"/>
  <c r="X24" i="9" s="1"/>
  <c r="X26" i="2"/>
  <c r="P24" i="9"/>
  <c r="J38" i="4"/>
  <c r="X32" i="2"/>
  <c r="X13"/>
  <c r="W13"/>
  <c r="BN11" i="9" s="1"/>
  <c r="U20" i="2"/>
  <c r="BM18" i="9" s="1"/>
  <c r="Q21" i="2"/>
  <c r="X19" i="9" s="1"/>
  <c r="W22" i="2"/>
  <c r="BN20" i="9" s="1"/>
  <c r="X24" i="2"/>
  <c r="I17" i="13"/>
  <c r="H19" i="4"/>
  <c r="Q1697" i="10"/>
  <c r="Q2265"/>
  <c r="Q172"/>
  <c r="Q599"/>
  <c r="Q253"/>
  <c r="Q1583"/>
  <c r="Q1469"/>
  <c r="Q2113"/>
  <c r="Q754"/>
  <c r="Q2070"/>
  <c r="Q1578"/>
  <c r="Q1649"/>
  <c r="Q2341"/>
  <c r="T40" i="2" s="1"/>
  <c r="T42" s="1"/>
  <c r="T41" s="1"/>
  <c r="Q349" i="10"/>
  <c r="Q646"/>
  <c r="Q2120"/>
  <c r="Q2197"/>
  <c r="Q2034"/>
  <c r="Q2238"/>
  <c r="Q679"/>
  <c r="Q1754"/>
  <c r="Q1713"/>
  <c r="Q370"/>
  <c r="Q1204"/>
  <c r="Q518"/>
  <c r="Q1137"/>
  <c r="Q1706"/>
  <c r="Q2040"/>
  <c r="Q433"/>
  <c r="Q436"/>
  <c r="Q2028"/>
  <c r="Q2281"/>
  <c r="Q651"/>
  <c r="Q1190"/>
  <c r="Q427"/>
  <c r="Q175"/>
  <c r="Q1659"/>
  <c r="Q2330"/>
  <c r="Q865"/>
  <c r="Q778"/>
  <c r="C29" i="9"/>
  <c r="C12"/>
  <c r="G23"/>
  <c r="G19"/>
  <c r="AT24"/>
  <c r="AL11" i="1"/>
  <c r="AL19"/>
  <c r="AL27"/>
  <c r="AL35"/>
  <c r="AL26"/>
  <c r="BB5"/>
  <c r="BC5" s="1"/>
  <c r="BB15"/>
  <c r="AV37"/>
  <c r="AV38" s="1"/>
  <c r="AZ37"/>
  <c r="AZ38" s="1"/>
  <c r="AK37"/>
  <c r="AK38" s="1"/>
  <c r="AT37"/>
  <c r="AT38" s="1"/>
  <c r="AP37"/>
  <c r="AP38" s="1"/>
  <c r="AH23" i="12"/>
  <c r="N4"/>
  <c r="M27"/>
  <c r="M18"/>
  <c r="M10"/>
  <c r="O28"/>
  <c r="O20"/>
  <c r="Q13"/>
  <c r="AN37" i="1"/>
  <c r="AN38" s="1"/>
  <c r="S18" i="12"/>
  <c r="S10"/>
  <c r="W17"/>
  <c r="AA14"/>
  <c r="Y9"/>
  <c r="BK37" i="1"/>
  <c r="BK38" s="1"/>
  <c r="AB2" i="12"/>
  <c r="O37" i="1"/>
  <c r="O38" s="1"/>
  <c r="BB24"/>
  <c r="AA20" i="12"/>
  <c r="AA8"/>
  <c r="BB12" i="1"/>
  <c r="AB13" i="12"/>
  <c r="BB17" i="1"/>
  <c r="X13" i="12" s="1"/>
  <c r="AB5"/>
  <c r="BB9" i="1"/>
  <c r="BB32"/>
  <c r="X28" i="12" s="1"/>
  <c r="Z28"/>
  <c r="AU17" i="9"/>
  <c r="BB6" i="1"/>
  <c r="K8"/>
  <c r="K12"/>
  <c r="G8" i="12" s="1"/>
  <c r="AL5" i="1"/>
  <c r="AH28" i="12"/>
  <c r="AH19"/>
  <c r="J37" i="1"/>
  <c r="F3" i="12"/>
  <c r="AE37" i="1"/>
  <c r="AE38" s="1"/>
  <c r="Y17" i="12"/>
  <c r="BB21" i="1"/>
  <c r="X17" i="12" s="1"/>
  <c r="BB25" i="1"/>
  <c r="Y37"/>
  <c r="Y38" s="1"/>
  <c r="J3" i="12"/>
  <c r="F52" i="11"/>
  <c r="G52" s="1"/>
  <c r="G54" s="1"/>
  <c r="C23" i="9"/>
  <c r="G35"/>
  <c r="AT16"/>
  <c r="AT8"/>
  <c r="I14" i="6"/>
  <c r="J27"/>
  <c r="AJ25" i="9" s="1"/>
  <c r="AR37" i="1"/>
  <c r="AR38" s="1"/>
  <c r="BI37"/>
  <c r="BI38" s="1"/>
  <c r="K14" i="6"/>
  <c r="G9" i="13" s="1"/>
  <c r="K10" i="6"/>
  <c r="K32" i="1"/>
  <c r="G28" i="12" s="1"/>
  <c r="Q3"/>
  <c r="K18" i="6"/>
  <c r="G13" i="13" s="1"/>
  <c r="AH13" i="12"/>
  <c r="AI18"/>
  <c r="K23" i="6"/>
  <c r="G18" i="13" s="1"/>
  <c r="K30" i="6"/>
  <c r="G25" i="13" s="1"/>
  <c r="AH25" i="12"/>
  <c r="I37" i="6"/>
  <c r="K37"/>
  <c r="G32" i="13" s="1"/>
  <c r="AL36" i="1"/>
  <c r="I9" i="12"/>
  <c r="W37" i="1"/>
  <c r="W38" s="1"/>
  <c r="N32" i="12"/>
  <c r="AD32"/>
  <c r="H37" i="2"/>
  <c r="K17" i="6"/>
  <c r="G12" i="13" s="1"/>
  <c r="AI32" i="12"/>
  <c r="BB36" i="1"/>
  <c r="X32" i="12" s="1"/>
  <c r="X17" i="2" l="1"/>
  <c r="Z17" s="1"/>
  <c r="BQ15" i="9" s="1"/>
  <c r="I39" i="4"/>
  <c r="Y11" i="2"/>
  <c r="BP9" i="9" s="1"/>
  <c r="U27" i="2"/>
  <c r="BM25" i="9" s="1"/>
  <c r="X19" i="2"/>
  <c r="W19"/>
  <c r="BN17" i="9" s="1"/>
  <c r="U19" i="2"/>
  <c r="BM17" i="9" s="1"/>
  <c r="Z27" i="2"/>
  <c r="BQ25" i="9" s="1"/>
  <c r="I22" i="13"/>
  <c r="W27" i="2"/>
  <c r="BN25" i="9" s="1"/>
  <c r="Y27" i="2"/>
  <c r="BP25" i="9" s="1"/>
  <c r="P25"/>
  <c r="Q27" i="2"/>
  <c r="X25" i="9" s="1"/>
  <c r="X34" i="2"/>
  <c r="Y34" s="1"/>
  <c r="BP32" i="9" s="1"/>
  <c r="BC35" i="1"/>
  <c r="BL35" s="1"/>
  <c r="Q34" i="2"/>
  <c r="X32" i="9" s="1"/>
  <c r="P32"/>
  <c r="U34" i="2"/>
  <c r="BM32" i="9" s="1"/>
  <c r="W34" i="2"/>
  <c r="BN32" i="9" s="1"/>
  <c r="P29"/>
  <c r="W31" i="2"/>
  <c r="BN29" i="9" s="1"/>
  <c r="U31" i="2"/>
  <c r="BM29" i="9" s="1"/>
  <c r="Q31" i="2"/>
  <c r="X29" i="9" s="1"/>
  <c r="I26" i="13"/>
  <c r="J40" i="4"/>
  <c r="J13"/>
  <c r="BO29" i="9"/>
  <c r="Q20" i="2"/>
  <c r="X18" i="9" s="1"/>
  <c r="Y20" i="2"/>
  <c r="BP18" i="9" s="1"/>
  <c r="P18"/>
  <c r="W20" i="2"/>
  <c r="BN18" i="9" s="1"/>
  <c r="BO18"/>
  <c r="P10"/>
  <c r="Q12" i="2"/>
  <c r="X10" i="9" s="1"/>
  <c r="U12" i="2"/>
  <c r="BM10" i="9" s="1"/>
  <c r="X12" i="2"/>
  <c r="I7" i="13"/>
  <c r="Y21" i="2"/>
  <c r="BP19" i="9" s="1"/>
  <c r="I15" i="13"/>
  <c r="Y33" i="2"/>
  <c r="BP31" i="9" s="1"/>
  <c r="X29" i="2"/>
  <c r="Y29" s="1"/>
  <c r="BP27" i="9" s="1"/>
  <c r="I24" i="13"/>
  <c r="W29" i="2"/>
  <c r="BN27" i="9" s="1"/>
  <c r="P27"/>
  <c r="I19" i="4"/>
  <c r="BC28" i="1"/>
  <c r="BL28" s="1"/>
  <c r="I16" i="13"/>
  <c r="W21" i="2"/>
  <c r="BN19" i="9" s="1"/>
  <c r="U21" i="2"/>
  <c r="BM19" i="9" s="1"/>
  <c r="BL18" i="1"/>
  <c r="BN18" s="1"/>
  <c r="I14" i="4"/>
  <c r="I16"/>
  <c r="I28"/>
  <c r="Y31" i="2"/>
  <c r="BP29" i="9" s="1"/>
  <c r="C39" i="2"/>
  <c r="I34" i="9" s="1"/>
  <c r="I11" i="13"/>
  <c r="Q16" i="2"/>
  <c r="X14" i="9" s="1"/>
  <c r="BO15"/>
  <c r="X16" i="2"/>
  <c r="Z16" s="1"/>
  <c r="BQ14" i="9" s="1"/>
  <c r="U16" i="2"/>
  <c r="BM14" i="9" s="1"/>
  <c r="Y17" i="2"/>
  <c r="BP15" i="9" s="1"/>
  <c r="P14"/>
  <c r="BC20" i="1"/>
  <c r="BL20" s="1"/>
  <c r="E16" i="13" s="1"/>
  <c r="BC23" i="1"/>
  <c r="BL23" s="1"/>
  <c r="X14" i="12"/>
  <c r="X10" i="2"/>
  <c r="Z10" s="1"/>
  <c r="BQ8" i="9" s="1"/>
  <c r="Q10" i="2"/>
  <c r="X8" i="9" s="1"/>
  <c r="W10" i="2"/>
  <c r="BN8" i="9" s="1"/>
  <c r="U10" i="2"/>
  <c r="BM8" i="9" s="1"/>
  <c r="I5" i="13"/>
  <c r="X9" i="2"/>
  <c r="Y9" s="1"/>
  <c r="BP7" i="9" s="1"/>
  <c r="Q9" i="2"/>
  <c r="X7" i="9" s="1"/>
  <c r="I24" i="4"/>
  <c r="I22"/>
  <c r="BL29" i="1"/>
  <c r="BN29" s="1"/>
  <c r="I29" i="4"/>
  <c r="I18"/>
  <c r="I23"/>
  <c r="I21"/>
  <c r="J39"/>
  <c r="BL8" i="1"/>
  <c r="BQ8" s="1"/>
  <c r="F34" i="11"/>
  <c r="G34" s="1"/>
  <c r="G35" s="1"/>
  <c r="Z33" i="2"/>
  <c r="BQ31" i="9" s="1"/>
  <c r="BC33" i="1"/>
  <c r="BL33" s="1"/>
  <c r="BP33" s="1"/>
  <c r="BC34"/>
  <c r="BL34" s="1"/>
  <c r="BP34" s="1"/>
  <c r="I26" i="4"/>
  <c r="I20"/>
  <c r="I15"/>
  <c r="I30"/>
  <c r="BC10" i="1"/>
  <c r="BL10" s="1"/>
  <c r="E6" i="13" s="1"/>
  <c r="I25" i="4"/>
  <c r="O66" i="10"/>
  <c r="AH33" i="9"/>
  <c r="E27" i="11"/>
  <c r="F27" s="1"/>
  <c r="H38" i="6"/>
  <c r="BC26" i="1"/>
  <c r="BL26" s="1"/>
  <c r="J15" i="4"/>
  <c r="J12"/>
  <c r="BC30" i="1"/>
  <c r="BL30" s="1"/>
  <c r="BC22"/>
  <c r="BL22" s="1"/>
  <c r="J37" i="4"/>
  <c r="I17"/>
  <c r="J25"/>
  <c r="J14"/>
  <c r="W15" i="2"/>
  <c r="BN13" i="9" s="1"/>
  <c r="Q15" i="2"/>
  <c r="X13" i="9" s="1"/>
  <c r="I10" i="13"/>
  <c r="P13" i="9"/>
  <c r="X15" i="2"/>
  <c r="U15"/>
  <c r="BM13" i="9" s="1"/>
  <c r="X35" i="2"/>
  <c r="U35"/>
  <c r="I30" i="13"/>
  <c r="W35" i="2"/>
  <c r="Q35"/>
  <c r="J18" i="4"/>
  <c r="BC16" i="1"/>
  <c r="BL16" s="1"/>
  <c r="X12" i="12"/>
  <c r="J33" i="4"/>
  <c r="H13" i="11"/>
  <c r="I13" s="1"/>
  <c r="Q38" i="1"/>
  <c r="I33" i="4"/>
  <c r="I37"/>
  <c r="J34"/>
  <c r="BC31" i="1"/>
  <c r="BL31" s="1"/>
  <c r="E27" i="13" s="1"/>
  <c r="X4" i="12"/>
  <c r="J19" i="4"/>
  <c r="E42"/>
  <c r="C38" i="7" s="1"/>
  <c r="E42" s="1"/>
  <c r="I35" i="4"/>
  <c r="BC14" i="1"/>
  <c r="BL14" s="1"/>
  <c r="I34" i="4"/>
  <c r="I38"/>
  <c r="I32"/>
  <c r="J36"/>
  <c r="BC7" i="1"/>
  <c r="BL7" s="1"/>
  <c r="U23" i="2"/>
  <c r="BM21" i="9" s="1"/>
  <c r="I18" i="13"/>
  <c r="P21" i="9"/>
  <c r="X23" i="2"/>
  <c r="Q23"/>
  <c r="X21" i="9" s="1"/>
  <c r="W23" i="2"/>
  <c r="BN21" i="9" s="1"/>
  <c r="J11" i="4"/>
  <c r="I36"/>
  <c r="BC19" i="1"/>
  <c r="BL19" s="1"/>
  <c r="BC11"/>
  <c r="BL11" s="1"/>
  <c r="W9" i="2"/>
  <c r="BN7" i="9" s="1"/>
  <c r="U9" i="2"/>
  <c r="BM7" i="9" s="1"/>
  <c r="I4" i="13"/>
  <c r="J16" i="4"/>
  <c r="X23" i="12"/>
  <c r="BC27" i="1"/>
  <c r="BL27" s="1"/>
  <c r="J35" i="4"/>
  <c r="I40"/>
  <c r="X9" i="12"/>
  <c r="BC13" i="1"/>
  <c r="BL13" s="1"/>
  <c r="I31" i="4"/>
  <c r="Q7" i="2"/>
  <c r="X5" i="9" s="1"/>
  <c r="W7" i="2"/>
  <c r="BN5" i="9" s="1"/>
  <c r="I2" i="13"/>
  <c r="X7" i="2"/>
  <c r="U7"/>
  <c r="BM5" i="9" s="1"/>
  <c r="P5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/>
  <c r="BM16" i="9" s="1"/>
  <c r="P16"/>
  <c r="I27" i="4"/>
  <c r="W36" i="2"/>
  <c r="U36"/>
  <c r="I31" i="13"/>
  <c r="Q36" i="2"/>
  <c r="I32" i="13"/>
  <c r="Q37" i="2"/>
  <c r="U37"/>
  <c r="W37"/>
  <c r="X37"/>
  <c r="D13" i="11"/>
  <c r="E13" s="1"/>
  <c r="J38" i="1"/>
  <c r="BC21"/>
  <c r="BL21" s="1"/>
  <c r="BC24"/>
  <c r="BL24" s="1"/>
  <c r="X20" i="12"/>
  <c r="BC6" i="1"/>
  <c r="X2" i="12"/>
  <c r="BB37" i="1"/>
  <c r="BB38" s="1"/>
  <c r="BC9"/>
  <c r="BL9" s="1"/>
  <c r="X5" i="12"/>
  <c r="I38" i="6"/>
  <c r="BC25" i="1"/>
  <c r="BL25" s="1"/>
  <c r="X21" i="12"/>
  <c r="AL37" i="1"/>
  <c r="J38" i="6"/>
  <c r="Y24" i="2"/>
  <c r="BP22" i="9" s="1"/>
  <c r="Z24" i="2"/>
  <c r="BQ22" i="9" s="1"/>
  <c r="BO22"/>
  <c r="Z34" i="2"/>
  <c r="BQ32" i="9" s="1"/>
  <c r="Z32" i="2"/>
  <c r="BQ30" i="9" s="1"/>
  <c r="BO30"/>
  <c r="Y32" i="2"/>
  <c r="BP30" i="9" s="1"/>
  <c r="J28" i="4"/>
  <c r="Z8" i="2"/>
  <c r="BQ6" i="9" s="1"/>
  <c r="Y8" i="2"/>
  <c r="BP6" i="9" s="1"/>
  <c r="BO6"/>
  <c r="H38" i="2"/>
  <c r="G5" i="13"/>
  <c r="K38" i="6"/>
  <c r="BC15" i="1"/>
  <c r="BL15" s="1"/>
  <c r="X11" i="12"/>
  <c r="BC32" i="1"/>
  <c r="BL32" s="1"/>
  <c r="BC17"/>
  <c r="BL17" s="1"/>
  <c r="J23" i="4"/>
  <c r="BO11" i="9"/>
  <c r="Z13" i="2"/>
  <c r="BQ11" i="9" s="1"/>
  <c r="Y13" i="2"/>
  <c r="BP11" i="9" s="1"/>
  <c r="Z26" i="2"/>
  <c r="BQ24" i="9" s="1"/>
  <c r="Y26" i="2"/>
  <c r="BP24" i="9" s="1"/>
  <c r="BO24"/>
  <c r="X6"/>
  <c r="Y44" i="2"/>
  <c r="BP39" i="9" s="1"/>
  <c r="Z44" i="2"/>
  <c r="BQ39" i="9" s="1"/>
  <c r="BO39"/>
  <c r="G4" i="12"/>
  <c r="K37" i="1"/>
  <c r="K38" s="1"/>
  <c r="BC36"/>
  <c r="BL36" s="1"/>
  <c r="BC12"/>
  <c r="BL12" s="1"/>
  <c r="X8" i="12"/>
  <c r="J30" i="4"/>
  <c r="J20"/>
  <c r="J27"/>
  <c r="J32"/>
  <c r="J24"/>
  <c r="E44"/>
  <c r="C39" i="7" s="1"/>
  <c r="E43" s="1"/>
  <c r="J31" i="4"/>
  <c r="J29"/>
  <c r="J22"/>
  <c r="Z36" i="2"/>
  <c r="Y36"/>
  <c r="J21" i="4"/>
  <c r="J26"/>
  <c r="Y25" i="2"/>
  <c r="BP23" i="9" s="1"/>
  <c r="BO23"/>
  <c r="Z25" i="2"/>
  <c r="BQ23" i="9" s="1"/>
  <c r="Y28" i="2"/>
  <c r="BP26" i="9" s="1"/>
  <c r="Z28" i="2"/>
  <c r="BQ26" i="9" s="1"/>
  <c r="BO26"/>
  <c r="BO32" l="1"/>
  <c r="BO7"/>
  <c r="BN35" i="1"/>
  <c r="E31" i="13"/>
  <c r="Y19" i="2"/>
  <c r="BP17" i="9" s="1"/>
  <c r="Z19" i="2"/>
  <c r="BQ17" i="9" s="1"/>
  <c r="BO17"/>
  <c r="BP35" i="1"/>
  <c r="BQ35"/>
  <c r="BS35" s="1"/>
  <c r="Y10" i="2"/>
  <c r="BP8" i="9" s="1"/>
  <c r="BO10"/>
  <c r="Y12" i="2"/>
  <c r="BP10" i="9" s="1"/>
  <c r="Z12" i="2"/>
  <c r="BQ10" i="9" s="1"/>
  <c r="BO27"/>
  <c r="Z29" i="2"/>
  <c r="BQ27" i="9" s="1"/>
  <c r="E29" i="13"/>
  <c r="BN28" i="1"/>
  <c r="BP28"/>
  <c r="BN33"/>
  <c r="BN20"/>
  <c r="E14" i="13"/>
  <c r="BP18" i="1"/>
  <c r="BQ18"/>
  <c r="BS18" s="1"/>
  <c r="Z9" i="2"/>
  <c r="BQ7" i="9" s="1"/>
  <c r="BQ20" i="1"/>
  <c r="BS20" s="1"/>
  <c r="BQ28"/>
  <c r="BS28" s="1"/>
  <c r="E25" i="13"/>
  <c r="BP29" i="1"/>
  <c r="BQ29"/>
  <c r="BR29" s="1"/>
  <c r="E24" i="13"/>
  <c r="BP20" i="1"/>
  <c r="BQ23"/>
  <c r="BS23" s="1"/>
  <c r="BN23"/>
  <c r="BN10"/>
  <c r="Y16" i="2"/>
  <c r="BP14" i="9" s="1"/>
  <c r="BO14"/>
  <c r="E19" i="13"/>
  <c r="BP23" i="1"/>
  <c r="BO8" i="9"/>
  <c r="BQ10" i="1"/>
  <c r="BS10" s="1"/>
  <c r="BP10"/>
  <c r="BN8"/>
  <c r="BP8"/>
  <c r="E4" i="13"/>
  <c r="BQ33" i="1"/>
  <c r="BS33" s="1"/>
  <c r="BQ34"/>
  <c r="BS34" s="1"/>
  <c r="BN34"/>
  <c r="E30" i="13"/>
  <c r="BP31" i="1"/>
  <c r="E15" i="13"/>
  <c r="BP19" i="1"/>
  <c r="BN22"/>
  <c r="BQ22"/>
  <c r="BS22" s="1"/>
  <c r="BP22"/>
  <c r="E18" i="13"/>
  <c r="E23"/>
  <c r="BQ27" i="1"/>
  <c r="BR27" s="1"/>
  <c r="BQ7"/>
  <c r="BN7"/>
  <c r="BP7"/>
  <c r="E3" i="13"/>
  <c r="BO5" i="9"/>
  <c r="Y7" i="2"/>
  <c r="BP5" i="9" s="1"/>
  <c r="BN19" i="1"/>
  <c r="BQ31"/>
  <c r="BR31" s="1"/>
  <c r="Q38" i="2"/>
  <c r="X33" i="9" s="1"/>
  <c r="BN27" i="1"/>
  <c r="X38" i="2"/>
  <c r="C43" i="7" s="1"/>
  <c r="E47" s="1"/>
  <c r="BQ30" i="1"/>
  <c r="BN30"/>
  <c r="BP30"/>
  <c r="E26" i="13"/>
  <c r="BQ14" i="1"/>
  <c r="BP14"/>
  <c r="BN14"/>
  <c r="E10" i="13"/>
  <c r="Y18" i="2"/>
  <c r="BP16" i="9" s="1"/>
  <c r="Z18" i="2"/>
  <c r="BQ16" i="9" s="1"/>
  <c r="BO16"/>
  <c r="Z35" i="2"/>
  <c r="Y35"/>
  <c r="BQ19" i="1"/>
  <c r="BS19" s="1"/>
  <c r="BP27"/>
  <c r="BO28" i="9"/>
  <c r="Z30" i="2"/>
  <c r="BQ28" i="9" s="1"/>
  <c r="Y30" i="2"/>
  <c r="BP28" i="9" s="1"/>
  <c r="E9" i="13"/>
  <c r="BP13" i="1"/>
  <c r="BN13"/>
  <c r="BQ13"/>
  <c r="Y23" i="2"/>
  <c r="BP21" i="9" s="1"/>
  <c r="Z23" i="2"/>
  <c r="BQ21" i="9" s="1"/>
  <c r="BO21"/>
  <c r="BN31" i="1"/>
  <c r="BQ16"/>
  <c r="E12" i="13"/>
  <c r="BN16" i="1"/>
  <c r="BP16"/>
  <c r="Y15" i="2"/>
  <c r="BP13" i="9" s="1"/>
  <c r="BO13"/>
  <c r="Z15" i="2"/>
  <c r="BQ13" i="9" s="1"/>
  <c r="BQ36" i="1"/>
  <c r="BN36"/>
  <c r="BP36"/>
  <c r="E32" i="13"/>
  <c r="BS8" i="1"/>
  <c r="BR8"/>
  <c r="E11" i="13"/>
  <c r="BN15" i="1"/>
  <c r="BP15"/>
  <c r="BQ15"/>
  <c r="BN11"/>
  <c r="BQ11"/>
  <c r="BP11"/>
  <c r="E7" i="13"/>
  <c r="BP21" i="1"/>
  <c r="E17" i="13"/>
  <c r="BN21" i="1"/>
  <c r="BQ21"/>
  <c r="BQ26"/>
  <c r="BP26"/>
  <c r="BN26"/>
  <c r="E22" i="13"/>
  <c r="E8"/>
  <c r="BQ12" i="1"/>
  <c r="BN12"/>
  <c r="BP12"/>
  <c r="E28" i="13"/>
  <c r="BN32" i="1"/>
  <c r="BQ32"/>
  <c r="BP32"/>
  <c r="J39" i="6"/>
  <c r="AJ34" i="9" s="1"/>
  <c r="AJ33"/>
  <c r="BN9" i="1"/>
  <c r="BQ9"/>
  <c r="BP9"/>
  <c r="E5" i="13"/>
  <c r="BQ17" i="1"/>
  <c r="BN17"/>
  <c r="E13" i="13"/>
  <c r="BP17" i="1"/>
  <c r="BC37"/>
  <c r="F13" i="11" s="1"/>
  <c r="G13" s="1"/>
  <c r="BL6" i="1"/>
  <c r="E20" i="11"/>
  <c r="F20" s="1"/>
  <c r="W38" i="2"/>
  <c r="BN33" i="9" s="1"/>
  <c r="H39" i="2"/>
  <c r="U38"/>
  <c r="BM33" i="9" s="1"/>
  <c r="C27" i="7"/>
  <c r="E30" s="1"/>
  <c r="P33" i="9"/>
  <c r="AL38" i="1"/>
  <c r="B13" i="11"/>
  <c r="BQ25" i="1"/>
  <c r="BN25"/>
  <c r="E21" i="13"/>
  <c r="BP25" i="1"/>
  <c r="BQ24"/>
  <c r="BN24"/>
  <c r="BP24"/>
  <c r="E20" i="13"/>
  <c r="Z37" i="2"/>
  <c r="Y37"/>
  <c r="BR35" i="1" l="1"/>
  <c r="BS29"/>
  <c r="BR34"/>
  <c r="BR28"/>
  <c r="BR20"/>
  <c r="BR23"/>
  <c r="BR18"/>
  <c r="BR33"/>
  <c r="BR22"/>
  <c r="BR10"/>
  <c r="BR19"/>
  <c r="Z38" i="2"/>
  <c r="BQ33" i="9" s="1"/>
  <c r="BS27" i="1"/>
  <c r="Y38" i="2"/>
  <c r="BP33" i="9" s="1"/>
  <c r="X39" i="2"/>
  <c r="Z39" s="1"/>
  <c r="BQ34" i="9" s="1"/>
  <c r="Q39" i="2"/>
  <c r="X34" i="9" s="1"/>
  <c r="BO33"/>
  <c r="BS31" i="1"/>
  <c r="BS13"/>
  <c r="BR13"/>
  <c r="BS16"/>
  <c r="BR16"/>
  <c r="BR14"/>
  <c r="BS14"/>
  <c r="BR30"/>
  <c r="BS30"/>
  <c r="BS7"/>
  <c r="BR7"/>
  <c r="BS9"/>
  <c r="BR9"/>
  <c r="C13" i="11"/>
  <c r="M13" s="1"/>
  <c r="J13"/>
  <c r="L13"/>
  <c r="BR24" i="1"/>
  <c r="BS24"/>
  <c r="U39" i="2"/>
  <c r="BM34" i="9" s="1"/>
  <c r="P34"/>
  <c r="W39" i="2"/>
  <c r="BN34" i="9" s="1"/>
  <c r="BR17" i="1"/>
  <c r="BS17"/>
  <c r="BR21"/>
  <c r="BS21"/>
  <c r="BR11"/>
  <c r="BS11"/>
  <c r="BS25"/>
  <c r="BR25"/>
  <c r="BS12"/>
  <c r="BR12"/>
  <c r="BS15"/>
  <c r="BR15"/>
  <c r="BL37"/>
  <c r="E2" i="13"/>
  <c r="BN6" i="1"/>
  <c r="BQ6"/>
  <c r="BP6"/>
  <c r="BS32"/>
  <c r="BR32"/>
  <c r="BS26"/>
  <c r="BR26"/>
  <c r="BR36"/>
  <c r="BS36"/>
  <c r="Y39" i="2" l="1"/>
  <c r="BP34" i="9" s="1"/>
  <c r="BO34"/>
  <c r="BQ37" i="1"/>
  <c r="BS6"/>
  <c r="BR6"/>
  <c r="K13" i="11"/>
  <c r="BN37" i="1"/>
  <c r="BP37"/>
  <c r="BL38"/>
  <c r="BN38" l="1"/>
  <c r="BP38"/>
  <c r="BQ38"/>
  <c r="BR37"/>
  <c r="BS37"/>
  <c r="BR38" l="1"/>
  <c r="BS38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<sst xmlns="http://schemas.openxmlformats.org/spreadsheetml/2006/main" count="887" uniqueCount="412">
  <si>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</si>
  <si>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</si>
  <si>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</si>
  <si>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</si>
  <si>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</si>
  <si>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</si>
  <si>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</si>
  <si>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</si>
  <si>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</si>
  <si>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</si>
  <si>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</si>
  <si>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</si>
  <si>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</si>
  <si>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</si>
  <si>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</si>
  <si>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</si>
  <si>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</si>
  <si>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</si>
  <si>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</si>
  <si>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</si>
  <si>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</si>
  <si>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</si>
  <si>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</si>
  <si>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</si>
  <si>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</si>
  <si>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</si>
  <si>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</si>
  <si>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</si>
  <si>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</si>
  <si>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</si>
  <si>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</si>
  <si>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</si>
  <si>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</si>
  <si>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</si>
  <si>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</si>
  <si>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</si>
  <si>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</si>
  <si>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</si>
  <si>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</si>
  <si>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</si>
  <si>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</si>
  <si>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</si>
  <si>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</si>
  <si>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</si>
  <si>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</si>
  <si>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</si>
  <si>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</si>
  <si>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</si>
  <si>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</si>
  <si>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</si>
  <si>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</si>
  <si>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</si>
  <si>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</si>
  <si>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</si>
  <si>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</si>
  <si>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</si>
  <si>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</si>
  <si>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</si>
  <si>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</si>
  <si>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</si>
  <si>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</si>
  <si>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</si>
  <si>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</si>
  <si>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</si>
  <si>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</si>
  <si>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</si>
  <si>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</si>
  <si>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</si>
  <si>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</si>
  <si>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</si>
  <si>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</si>
  <si>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</si>
  <si>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</si>
  <si>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</si>
  <si>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</si>
  <si>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</si>
  <si>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</si>
  <si>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</si>
  <si>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</si>
  <si>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</si>
  <si>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</si>
  <si>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</si>
  <si>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</si>
  <si>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</si>
  <si>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</si>
  <si>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</si>
  <si>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</si>
  <si>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</si>
  <si>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</si>
  <si>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</si>
  <si>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</si>
  <si>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</si>
  <si>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</si>
  <si>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</si>
  <si>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</si>
  <si>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</si>
  <si>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</si>
  <si>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</si>
  <si>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</si>
  <si>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</si>
  <si>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</si>
  <si>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</si>
  <si>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</si>
  <si>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</si>
  <si>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</si>
  <si>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</si>
  <si>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</si>
  <si>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</si>
  <si>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</si>
  <si>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</si>
  <si>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</si>
  <si>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</si>
  <si>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</si>
  <si>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</si>
  <si>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</si>
  <si>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</si>
  <si>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</si>
  <si>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</si>
  <si>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</si>
  <si>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</si>
  <si>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</si>
  <si>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</si>
  <si>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</si>
  <si>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</si>
  <si>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</si>
  <si>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</si>
  <si>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</si>
  <si>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</si>
  <si>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</si>
  <si>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</si>
  <si>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</si>
  <si>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</si>
  <si>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</si>
  <si>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</si>
  <si>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</si>
  <si>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</si>
  <si>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</si>
  <si>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</si>
  <si>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</si>
  <si>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</si>
  <si>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</si>
  <si>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</si>
  <si>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</si>
  <si>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</si>
  <si>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</si>
  <si>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</si>
  <si>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</si>
  <si>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</si>
  <si>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</si>
  <si>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</si>
  <si>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</si>
  <si>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</si>
  <si>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</si>
  <si>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</si>
  <si>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</si>
  <si>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</si>
  <si>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</si>
  <si>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</si>
  <si>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</si>
  <si>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</si>
  <si>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</si>
  <si>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</si>
  <si>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</si>
  <si>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</si>
  <si>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</si>
  <si>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</si>
  <si>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</si>
  <si>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</si>
  <si>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</si>
  <si>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</si>
  <si>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</si>
  <si>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</si>
  <si>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</si>
  <si>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</si>
  <si>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</si>
  <si>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</si>
  <si>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</si>
  <si>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</si>
  <si>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</si>
  <si>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</si>
  <si>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</si>
  <si>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</si>
  <si>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</si>
  <si>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</si>
  <si>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</si>
  <si>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</si>
  <si>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</si>
  <si>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</si>
  <si>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</si>
  <si>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</si>
  <si>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</si>
  <si>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</si>
  <si>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</si>
  <si>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</si>
  <si>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</si>
  <si>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</si>
  <si>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</si>
  <si>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</si>
  <si>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</si>
  <si>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</si>
  <si>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</si>
  <si>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</si>
  <si>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</si>
  <si>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</si>
  <si>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</si>
  <si>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</si>
  <si>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</si>
  <si>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</si>
  <si>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</si>
  <si>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</si>
  <si>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</si>
  <si>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</si>
  <si>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</si>
  <si>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</si>
  <si>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</si>
  <si>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</si>
  <si>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</si>
  <si>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</si>
  <si>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</si>
  <si>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</si>
  <si>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</si>
  <si>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</si>
  <si>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</si>
  <si>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</si>
  <si>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</si>
  <si>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</si>
  <si>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</si>
  <si>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</si>
  <si>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</si>
  <si>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</si>
  <si>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</si>
  <si>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</si>
  <si>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</si>
  <si>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</si>
  <si>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</si>
  <si>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</si>
  <si>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</si>
  <si>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</si>
  <si>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</si>
  <si>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</si>
  <si>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</si>
  <si>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</si>
  <si>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</si>
  <si>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</si>
  <si>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</si>
  <si>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</si>
  <si>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</si>
  <si>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</si>
  <si>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</si>
  <si>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</si>
  <si>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</si>
  <si>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</si>
  <si>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</si>
  <si>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</si>
  <si>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</si>
  <si>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</si>
  <si>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</si>
  <si>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</si>
  <si>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</si>
  <si>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</si>
  <si>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</si>
  <si>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</si>
  <si>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</si>
  <si>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</si>
  <si>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</si>
  <si>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</si>
  <si>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</si>
  <si>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</si>
  <si>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</si>
  <si>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</si>
  <si>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</si>
  <si>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</si>
  <si>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</si>
  <si>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</si>
  <si>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</si>
  <si>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</si>
  <si>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</si>
  <si>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</si>
  <si>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</si>
  <si>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</si>
  <si>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</si>
  <si>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</si>
  <si>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</si>
  <si>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</si>
  <si>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</si>
  <si>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</si>
  <si>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</si>
  <si>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</si>
  <si>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</si>
  <si>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</si>
  <si>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</si>
  <si>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</si>
  <si>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</si>
  <si>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</si>
  <si>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</si>
  <si>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</si>
  <si>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</si>
  <si>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</si>
  <si>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</si>
  <si>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</si>
  <si>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</si>
  <si>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</si>
  <si>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</si>
  <si>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</si>
  <si>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</si>
  <si>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</si>
  <si>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</si>
  <si>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</si>
  <si>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</si>
  <si>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</si>
  <si>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</si>
  <si>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</si>
  <si>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</si>
  <si>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</si>
  <si>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</si>
  <si>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</si>
  <si>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</si>
  <si>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</si>
  <si>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</si>
  <si>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</si>
  <si>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</si>
  <si>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</si>
  <si>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</si>
  <si>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</si>
  <si>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</si>
  <si>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</si>
  <si>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</si>
  <si>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</si>
  <si>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</si>
  <si>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</si>
  <si>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</si>
  <si>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</si>
  <si>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</si>
  <si>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</si>
  <si>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</si>
  <si>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</si>
  <si>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</si>
  <si>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</si>
  <si>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</si>
  <si>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</si>
  <si>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</si>
  <si>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</si>
  <si>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</si>
  <si>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</si>
  <si>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</si>
  <si>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</si>
  <si>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</si>
  <si>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</si>
  <si>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</si>
  <si>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</si>
  <si>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</si>
  <si>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</si>
  <si>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</si>
  <si>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</si>
  <si>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</si>
  <si>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</si>
  <si>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</si>
  <si>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</si>
  <si>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</si>
  <si>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</si>
  <si>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</si>
  <si>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</si>
  <si>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</si>
  <si>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</si>
  <si>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</si>
  <si>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</si>
  <si>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</si>
  <si>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</si>
  <si>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</si>
  <si>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</si>
  <si>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</si>
  <si>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</si>
  <si>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</si>
  <si>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</si>
  <si>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</si>
  <si>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</si>
  <si>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</si>
  <si>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</si>
  <si>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</si>
  <si>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</si>
  <si>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</si>
  <si>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</si>
  <si>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</si>
  <si>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</si>
  <si>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</si>
  <si>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</si>
  <si>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</si>
  <si>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</si>
  <si>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</si>
  <si>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</si>
  <si>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</si>
  <si>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</si>
  <si>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</si>
  <si>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</si>
  <si>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</si>
  <si>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</si>
  <si>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</si>
  <si>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</si>
  <si>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</si>
  <si>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</si>
  <si>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</si>
  <si>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</si>
  <si>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</si>
  <si>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</si>
  <si>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</si>
  <si>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</si>
  <si>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</si>
  <si>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</si>
  <si>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</si>
  <si>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</si>
  <si>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</si>
  <si>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November</t>
  </si>
</sst>
</file>

<file path=xl/styles.xml><?xml version="1.0" encoding="utf-8"?>
<styleSheet xmlns="http://schemas.openxmlformats.org/spreadsheetml/2006/main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23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/>
        <c:marker val="1"/>
        <c:axId val="83868288"/>
        <c:axId val="83870080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/>
        <c:marker val="1"/>
        <c:axId val="83871616"/>
        <c:axId val="83873152"/>
      </c:lineChart>
      <c:catAx>
        <c:axId val="83868288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870080"/>
        <c:crosses val="autoZero"/>
        <c:lblAlgn val="ctr"/>
        <c:lblOffset val="100"/>
        <c:tickLblSkip val="1"/>
        <c:tickMarkSkip val="1"/>
      </c:catAx>
      <c:valAx>
        <c:axId val="838700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868288"/>
        <c:crosses val="autoZero"/>
        <c:crossBetween val="between"/>
      </c:valAx>
      <c:catAx>
        <c:axId val="83871616"/>
        <c:scaling>
          <c:orientation val="minMax"/>
        </c:scaling>
        <c:delete val="1"/>
        <c:axPos val="b"/>
        <c:tickLblPos val="none"/>
        <c:crossAx val="83873152"/>
        <c:crosses val="autoZero"/>
        <c:lblAlgn val="ctr"/>
        <c:lblOffset val="100"/>
      </c:catAx>
      <c:valAx>
        <c:axId val="83873152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8716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1535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/>
        <c:marker val="1"/>
        <c:axId val="86420096"/>
        <c:axId val="86425984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/>
        <c:marker val="1"/>
        <c:axId val="86427520"/>
        <c:axId val="86429056"/>
      </c:lineChart>
      <c:catAx>
        <c:axId val="86420096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425984"/>
        <c:crosses val="autoZero"/>
        <c:lblAlgn val="ctr"/>
        <c:lblOffset val="100"/>
        <c:tickLblSkip val="1"/>
        <c:tickMarkSkip val="1"/>
      </c:catAx>
      <c:valAx>
        <c:axId val="8642598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420096"/>
        <c:crosses val="autoZero"/>
        <c:crossBetween val="between"/>
      </c:valAx>
      <c:catAx>
        <c:axId val="86427520"/>
        <c:scaling>
          <c:orientation val="minMax"/>
        </c:scaling>
        <c:delete val="1"/>
        <c:axPos val="b"/>
        <c:tickLblPos val="none"/>
        <c:crossAx val="86429056"/>
        <c:crosses val="autoZero"/>
        <c:lblAlgn val="ctr"/>
        <c:lblOffset val="100"/>
      </c:catAx>
      <c:valAx>
        <c:axId val="86429056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42752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xmlns="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xmlns="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xmlns="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y%20job%20memo/Hilton/Store/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Energy%202005/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105ex/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6/1106ex/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005ex/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Downloads/JAN1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32"/>
  <sheetViews>
    <sheetView topLeftCell="B1" workbookViewId="0">
      <selection activeCell="B7" sqref="B7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11</v>
      </c>
      <c r="D2" s="958">
        <v>2019</v>
      </c>
      <c r="E2" s="951">
        <f>Elect!BL6</f>
        <v>27326.036062291008</v>
      </c>
      <c r="F2" s="948">
        <v>1.1499999999999999</v>
      </c>
      <c r="G2" s="949">
        <f>Gas!K7</f>
        <v>52933.9</v>
      </c>
      <c r="H2" s="948">
        <v>3.8</v>
      </c>
      <c r="I2" s="949">
        <f>Water!H7</f>
        <v>193.71999999999997</v>
      </c>
      <c r="J2" s="950">
        <v>10</v>
      </c>
      <c r="K2" s="949">
        <f>Elect!BM6</f>
        <v>244</v>
      </c>
    </row>
    <row r="3" spans="1:12">
      <c r="A3" s="959" t="s">
        <v>369</v>
      </c>
      <c r="B3" s="954">
        <f>B2+1</f>
        <v>2</v>
      </c>
      <c r="C3" s="957">
        <v>11</v>
      </c>
      <c r="D3" s="960">
        <v>2019</v>
      </c>
      <c r="E3" s="951">
        <f>Elect!BL7</f>
        <v>30676.86</v>
      </c>
      <c r="F3" s="948">
        <v>1.1499999999999999</v>
      </c>
      <c r="G3" s="949">
        <f>Gas!K8</f>
        <v>17968.7</v>
      </c>
      <c r="H3" s="948">
        <v>3.8</v>
      </c>
      <c r="I3" s="949">
        <f>Water!H8</f>
        <v>302.76</v>
      </c>
      <c r="J3" s="950">
        <v>10</v>
      </c>
      <c r="K3" s="949">
        <f>Elect!BM7</f>
        <v>230</v>
      </c>
    </row>
    <row r="4" spans="1:12">
      <c r="A4" s="959" t="s">
        <v>369</v>
      </c>
      <c r="B4" s="954">
        <f t="shared" ref="B4:B32" si="0">B3+1</f>
        <v>3</v>
      </c>
      <c r="C4" s="957">
        <v>11</v>
      </c>
      <c r="D4" s="960">
        <v>2019</v>
      </c>
      <c r="E4" s="951">
        <f>Elect!BL8</f>
        <v>33350.76</v>
      </c>
      <c r="F4" s="948">
        <v>1.1499999999999999</v>
      </c>
      <c r="G4" s="949">
        <f>Gas!K9</f>
        <v>18178.7</v>
      </c>
      <c r="H4" s="948">
        <v>3.8</v>
      </c>
      <c r="I4" s="949">
        <f>Water!H9</f>
        <v>350.9</v>
      </c>
      <c r="J4" s="950">
        <v>10</v>
      </c>
      <c r="K4" s="949">
        <f>Elect!BM8</f>
        <v>252</v>
      </c>
    </row>
    <row r="5" spans="1:12">
      <c r="A5" s="959" t="s">
        <v>369</v>
      </c>
      <c r="B5" s="954">
        <f t="shared" si="0"/>
        <v>4</v>
      </c>
      <c r="C5" s="957">
        <v>11</v>
      </c>
      <c r="D5" s="960">
        <v>2019</v>
      </c>
      <c r="E5" s="951">
        <f>Elect!BL9</f>
        <v>31544.6</v>
      </c>
      <c r="F5" s="948">
        <v>1.1499999999999999</v>
      </c>
      <c r="G5" s="949">
        <f>Gas!K10</f>
        <v>17968.7</v>
      </c>
      <c r="H5" s="948">
        <v>3.8</v>
      </c>
      <c r="I5" s="949">
        <f>Water!H10</f>
        <v>175.74</v>
      </c>
      <c r="J5" s="950">
        <v>10</v>
      </c>
      <c r="K5" s="949">
        <f>Elect!BM9</f>
        <v>243</v>
      </c>
    </row>
    <row r="6" spans="1:12">
      <c r="A6" s="959" t="s">
        <v>369</v>
      </c>
      <c r="B6" s="954">
        <f t="shared" si="0"/>
        <v>5</v>
      </c>
      <c r="C6" s="957">
        <v>11</v>
      </c>
      <c r="D6" s="960">
        <v>2019</v>
      </c>
      <c r="E6" s="951">
        <f>Elect!BL10</f>
        <v>31623.31</v>
      </c>
      <c r="F6" s="948">
        <v>1.1499999999999999</v>
      </c>
      <c r="G6" s="949">
        <f>Gas!K11</f>
        <v>17919.7</v>
      </c>
      <c r="H6" s="948">
        <v>3.8</v>
      </c>
      <c r="I6" s="949">
        <f>Water!H11</f>
        <v>188.5</v>
      </c>
      <c r="J6" s="950">
        <v>10</v>
      </c>
      <c r="K6" s="949">
        <f>Elect!BM10</f>
        <v>248</v>
      </c>
    </row>
    <row r="7" spans="1:12">
      <c r="A7" s="959" t="s">
        <v>369</v>
      </c>
      <c r="B7" s="954">
        <f t="shared" si="0"/>
        <v>6</v>
      </c>
      <c r="C7" s="957">
        <v>11</v>
      </c>
      <c r="D7" s="960">
        <v>2019</v>
      </c>
      <c r="E7" s="951">
        <f>Elect!BL11</f>
        <v>31949.800000000003</v>
      </c>
      <c r="F7" s="948">
        <v>1.1499999999999999</v>
      </c>
      <c r="G7" s="949">
        <f>Gas!K12</f>
        <v>1749.54</v>
      </c>
      <c r="H7" s="948">
        <v>3.8</v>
      </c>
      <c r="I7" s="949">
        <f>Water!H12</f>
        <v>156.6</v>
      </c>
      <c r="J7" s="950">
        <v>10</v>
      </c>
      <c r="K7" s="949">
        <f>Elect!BM11</f>
        <v>249</v>
      </c>
    </row>
    <row r="8" spans="1:12">
      <c r="A8" s="959" t="s">
        <v>369</v>
      </c>
      <c r="B8" s="954">
        <f t="shared" si="0"/>
        <v>7</v>
      </c>
      <c r="C8" s="957">
        <v>11</v>
      </c>
      <c r="D8" s="960">
        <v>2019</v>
      </c>
      <c r="E8" s="951">
        <f>Elect!BL12</f>
        <v>33054</v>
      </c>
      <c r="F8" s="948">
        <v>1.1499999999999999</v>
      </c>
      <c r="G8" s="949">
        <f>Gas!K13</f>
        <v>2040.7</v>
      </c>
      <c r="H8" s="948">
        <v>3.8</v>
      </c>
      <c r="I8" s="949">
        <f>Water!H13</f>
        <v>182.11999999999998</v>
      </c>
      <c r="J8" s="950">
        <v>10</v>
      </c>
      <c r="K8" s="949">
        <f>Elect!BM12</f>
        <v>223</v>
      </c>
    </row>
    <row r="9" spans="1:12">
      <c r="A9" s="959" t="s">
        <v>369</v>
      </c>
      <c r="B9" s="954">
        <f t="shared" si="0"/>
        <v>8</v>
      </c>
      <c r="C9" s="957">
        <v>11</v>
      </c>
      <c r="D9" s="960">
        <v>2019</v>
      </c>
      <c r="E9" s="951">
        <f>Elect!BL13</f>
        <v>33110.82</v>
      </c>
      <c r="F9" s="948">
        <v>1.1499999999999999</v>
      </c>
      <c r="G9" s="949">
        <f>Gas!K14</f>
        <v>1532.1000000000001</v>
      </c>
      <c r="H9" s="948">
        <v>3.8</v>
      </c>
      <c r="I9" s="949">
        <f>Water!H14</f>
        <v>163.55999999999997</v>
      </c>
      <c r="J9" s="950">
        <v>10</v>
      </c>
      <c r="K9" s="949">
        <f>Elect!BM13</f>
        <v>235</v>
      </c>
    </row>
    <row r="10" spans="1:12">
      <c r="A10" s="959" t="s">
        <v>369</v>
      </c>
      <c r="B10" s="954">
        <f t="shared" si="0"/>
        <v>9</v>
      </c>
      <c r="C10" s="957">
        <v>11</v>
      </c>
      <c r="D10" s="960">
        <v>2019</v>
      </c>
      <c r="E10" s="951">
        <f>Elect!BL14</f>
        <v>33250.729999999996</v>
      </c>
      <c r="F10" s="948">
        <v>1.1499999999999999</v>
      </c>
      <c r="G10" s="949">
        <f>Gas!K15</f>
        <v>1907.6000000000001</v>
      </c>
      <c r="H10" s="948">
        <v>3.8</v>
      </c>
      <c r="I10" s="949">
        <f>Water!H15</f>
        <v>198.94</v>
      </c>
      <c r="J10" s="950">
        <v>10</v>
      </c>
      <c r="K10" s="949">
        <f>Elect!BM14</f>
        <v>231</v>
      </c>
    </row>
    <row r="11" spans="1:12">
      <c r="A11" s="959" t="s">
        <v>369</v>
      </c>
      <c r="B11" s="954">
        <f t="shared" si="0"/>
        <v>10</v>
      </c>
      <c r="C11" s="957">
        <v>11</v>
      </c>
      <c r="D11" s="960">
        <v>2019</v>
      </c>
      <c r="E11" s="951">
        <f>Elect!BL15</f>
        <v>33132.51</v>
      </c>
      <c r="F11" s="948">
        <v>1.1499999999999999</v>
      </c>
      <c r="G11" s="949">
        <f>Gas!K16</f>
        <v>1554.48</v>
      </c>
      <c r="H11" s="948">
        <v>3.8</v>
      </c>
      <c r="I11" s="949">
        <f>Water!H16</f>
        <v>262.74</v>
      </c>
      <c r="J11" s="950">
        <v>10</v>
      </c>
      <c r="K11" s="949">
        <f>Elect!BM15</f>
        <v>225</v>
      </c>
    </row>
    <row r="12" spans="1:12">
      <c r="A12" s="959" t="s">
        <v>369</v>
      </c>
      <c r="B12" s="954">
        <f t="shared" si="0"/>
        <v>11</v>
      </c>
      <c r="C12" s="957">
        <v>11</v>
      </c>
      <c r="D12" s="960">
        <v>2019</v>
      </c>
      <c r="E12" s="951">
        <f>Elect!BL16</f>
        <v>31634.9</v>
      </c>
      <c r="F12" s="948">
        <v>1.1499999999999999</v>
      </c>
      <c r="G12" s="949">
        <f>Gas!K17</f>
        <v>0</v>
      </c>
      <c r="H12" s="948">
        <v>3.8</v>
      </c>
      <c r="I12" s="949">
        <f>Water!H17</f>
        <v>179.79999999999998</v>
      </c>
      <c r="J12" s="950">
        <v>10</v>
      </c>
      <c r="K12" s="949">
        <f>Elect!BM16</f>
        <v>173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11</v>
      </c>
      <c r="D13" s="960">
        <v>2019</v>
      </c>
      <c r="E13" s="951">
        <f>Elect!BL17</f>
        <v>0</v>
      </c>
      <c r="F13" s="948">
        <v>1.1499999999999999</v>
      </c>
      <c r="G13" s="949">
        <f>Gas!K18</f>
        <v>0</v>
      </c>
      <c r="H13" s="948">
        <v>3.8</v>
      </c>
      <c r="I13" s="949">
        <f>Water!H18</f>
        <v>209.95999999999998</v>
      </c>
      <c r="J13" s="950">
        <v>10</v>
      </c>
      <c r="K13" s="949">
        <f>Elect!BM17</f>
        <v>0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11</v>
      </c>
      <c r="D14" s="960">
        <v>2019</v>
      </c>
      <c r="E14" s="951">
        <f>Elect!BL18</f>
        <v>0</v>
      </c>
      <c r="F14" s="948">
        <v>1.1499999999999999</v>
      </c>
      <c r="G14" s="949">
        <f>Gas!K19</f>
        <v>0</v>
      </c>
      <c r="H14" s="948">
        <v>3.8</v>
      </c>
      <c r="I14" s="949">
        <f>Water!H19</f>
        <v>0</v>
      </c>
      <c r="J14" s="950">
        <v>10</v>
      </c>
      <c r="K14" s="949">
        <f>Elect!BM18</f>
        <v>0</v>
      </c>
    </row>
    <row r="15" spans="1:12">
      <c r="A15" s="959" t="s">
        <v>369</v>
      </c>
      <c r="B15" s="954">
        <f t="shared" si="0"/>
        <v>14</v>
      </c>
      <c r="C15" s="957">
        <v>11</v>
      </c>
      <c r="D15" s="960">
        <v>2019</v>
      </c>
      <c r="E15" s="951">
        <f>Elect!BL19</f>
        <v>0</v>
      </c>
      <c r="F15" s="948">
        <v>1.1499999999999999</v>
      </c>
      <c r="G15" s="949">
        <f>Gas!K20</f>
        <v>0</v>
      </c>
      <c r="H15" s="948">
        <v>3.8</v>
      </c>
      <c r="I15" s="949">
        <f>Water!H20</f>
        <v>0</v>
      </c>
      <c r="J15" s="950">
        <v>10</v>
      </c>
      <c r="K15" s="949">
        <f>Elect!BM19</f>
        <v>0</v>
      </c>
    </row>
    <row r="16" spans="1:12">
      <c r="A16" s="959" t="s">
        <v>369</v>
      </c>
      <c r="B16" s="954">
        <f t="shared" si="0"/>
        <v>15</v>
      </c>
      <c r="C16" s="957">
        <v>11</v>
      </c>
      <c r="D16" s="960">
        <v>2019</v>
      </c>
      <c r="E16" s="951">
        <f>Elect!BL20</f>
        <v>0</v>
      </c>
      <c r="F16" s="948">
        <v>1.1499999999999999</v>
      </c>
      <c r="G16" s="949">
        <f>Gas!K21</f>
        <v>0</v>
      </c>
      <c r="H16" s="948">
        <v>3.8</v>
      </c>
      <c r="I16" s="949">
        <f>Water!H21</f>
        <v>0</v>
      </c>
      <c r="J16" s="950">
        <v>10</v>
      </c>
      <c r="K16" s="949">
        <f>Elect!BM20</f>
        <v>0</v>
      </c>
    </row>
    <row r="17" spans="1:11">
      <c r="A17" s="959" t="s">
        <v>369</v>
      </c>
      <c r="B17" s="954">
        <f t="shared" si="0"/>
        <v>16</v>
      </c>
      <c r="C17" s="957">
        <v>11</v>
      </c>
      <c r="D17" s="960">
        <v>2019</v>
      </c>
      <c r="E17" s="951">
        <f>Elect!BL21</f>
        <v>0</v>
      </c>
      <c r="F17" s="948">
        <v>1.1499999999999999</v>
      </c>
      <c r="G17" s="949">
        <f>Gas!K22</f>
        <v>0</v>
      </c>
      <c r="H17" s="948">
        <v>3.8</v>
      </c>
      <c r="I17" s="949">
        <f>Water!H22</f>
        <v>0</v>
      </c>
      <c r="J17" s="950">
        <v>10</v>
      </c>
      <c r="K17" s="949">
        <f>Elect!BM21</f>
        <v>0</v>
      </c>
    </row>
    <row r="18" spans="1:11">
      <c r="A18" s="959" t="s">
        <v>369</v>
      </c>
      <c r="B18" s="954">
        <f t="shared" si="0"/>
        <v>17</v>
      </c>
      <c r="C18" s="957">
        <v>11</v>
      </c>
      <c r="D18" s="960">
        <v>2019</v>
      </c>
      <c r="E18" s="951">
        <f>Elect!BL22</f>
        <v>0</v>
      </c>
      <c r="F18" s="948">
        <v>1.1499999999999999</v>
      </c>
      <c r="G18" s="949">
        <f>Gas!K23</f>
        <v>0</v>
      </c>
      <c r="H18" s="948">
        <v>3.8</v>
      </c>
      <c r="I18" s="949">
        <f>Water!H23</f>
        <v>0</v>
      </c>
      <c r="J18" s="950">
        <v>10</v>
      </c>
      <c r="K18" s="949">
        <f>Elect!BM22</f>
        <v>0</v>
      </c>
    </row>
    <row r="19" spans="1:11">
      <c r="A19" s="959" t="s">
        <v>369</v>
      </c>
      <c r="B19" s="954">
        <f t="shared" si="0"/>
        <v>18</v>
      </c>
      <c r="C19" s="957">
        <v>11</v>
      </c>
      <c r="D19" s="960">
        <v>2019</v>
      </c>
      <c r="E19" s="951">
        <f>Elect!BL23</f>
        <v>0</v>
      </c>
      <c r="F19" s="948">
        <v>1.1499999999999999</v>
      </c>
      <c r="G19" s="949">
        <f>Gas!K24</f>
        <v>0</v>
      </c>
      <c r="H19" s="948">
        <v>3.8</v>
      </c>
      <c r="I19" s="949">
        <f>Water!H24</f>
        <v>0</v>
      </c>
      <c r="J19" s="950">
        <v>10</v>
      </c>
      <c r="K19" s="949">
        <f>Elect!BM23</f>
        <v>0</v>
      </c>
    </row>
    <row r="20" spans="1:11">
      <c r="A20" s="959" t="s">
        <v>369</v>
      </c>
      <c r="B20" s="954">
        <f t="shared" si="0"/>
        <v>19</v>
      </c>
      <c r="C20" s="957">
        <v>11</v>
      </c>
      <c r="D20" s="960">
        <v>2019</v>
      </c>
      <c r="E20" s="951">
        <f>Elect!BL24</f>
        <v>0</v>
      </c>
      <c r="F20" s="948">
        <v>1.1499999999999999</v>
      </c>
      <c r="G20" s="949">
        <f>Gas!K25</f>
        <v>0</v>
      </c>
      <c r="H20" s="948">
        <v>3.8</v>
      </c>
      <c r="I20" s="949">
        <f>Water!H25</f>
        <v>0</v>
      </c>
      <c r="J20" s="950">
        <v>10</v>
      </c>
      <c r="K20" s="949">
        <f>Elect!BM24</f>
        <v>0</v>
      </c>
    </row>
    <row r="21" spans="1:11">
      <c r="A21" s="959" t="s">
        <v>369</v>
      </c>
      <c r="B21" s="954">
        <f t="shared" si="0"/>
        <v>20</v>
      </c>
      <c r="C21" s="957">
        <v>11</v>
      </c>
      <c r="D21" s="960">
        <v>2019</v>
      </c>
      <c r="E21" s="951">
        <f>Elect!BL25</f>
        <v>0</v>
      </c>
      <c r="F21" s="948">
        <v>1.1499999999999999</v>
      </c>
      <c r="G21" s="949">
        <f>Gas!K26</f>
        <v>0</v>
      </c>
      <c r="H21" s="948">
        <v>3.8</v>
      </c>
      <c r="I21" s="949">
        <f>Water!H26</f>
        <v>0</v>
      </c>
      <c r="J21" s="950">
        <v>10</v>
      </c>
      <c r="K21" s="949">
        <f>Elect!BM25</f>
        <v>0</v>
      </c>
    </row>
    <row r="22" spans="1:11">
      <c r="A22" s="959" t="s">
        <v>369</v>
      </c>
      <c r="B22" s="954">
        <f t="shared" si="0"/>
        <v>21</v>
      </c>
      <c r="C22" s="957">
        <v>11</v>
      </c>
      <c r="D22" s="960">
        <v>2019</v>
      </c>
      <c r="E22" s="951">
        <f>Elect!BL26</f>
        <v>0</v>
      </c>
      <c r="F22" s="948">
        <v>1.1499999999999999</v>
      </c>
      <c r="G22" s="949">
        <f>Gas!K27</f>
        <v>0</v>
      </c>
      <c r="H22" s="948">
        <v>3.8</v>
      </c>
      <c r="I22" s="949">
        <f>Water!H27</f>
        <v>0</v>
      </c>
      <c r="J22" s="950">
        <v>10</v>
      </c>
      <c r="K22" s="949">
        <f>Elect!BM26</f>
        <v>0</v>
      </c>
    </row>
    <row r="23" spans="1:11">
      <c r="A23" s="959" t="s">
        <v>369</v>
      </c>
      <c r="B23" s="954">
        <f t="shared" si="0"/>
        <v>22</v>
      </c>
      <c r="C23" s="957">
        <v>11</v>
      </c>
      <c r="D23" s="960">
        <v>2019</v>
      </c>
      <c r="E23" s="951">
        <f>Elect!BL27</f>
        <v>0</v>
      </c>
      <c r="F23" s="948">
        <v>1.1499999999999999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0</v>
      </c>
    </row>
    <row r="24" spans="1:11">
      <c r="A24" s="959" t="s">
        <v>369</v>
      </c>
      <c r="B24" s="954">
        <f t="shared" si="0"/>
        <v>23</v>
      </c>
      <c r="C24" s="957">
        <v>11</v>
      </c>
      <c r="D24" s="960">
        <v>2019</v>
      </c>
      <c r="E24" s="951">
        <f>Elect!BL28</f>
        <v>0</v>
      </c>
      <c r="F24" s="948">
        <v>1.1499999999999999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0</v>
      </c>
    </row>
    <row r="25" spans="1:11">
      <c r="A25" s="959" t="s">
        <v>369</v>
      </c>
      <c r="B25" s="954">
        <f t="shared" si="0"/>
        <v>24</v>
      </c>
      <c r="C25" s="957">
        <v>11</v>
      </c>
      <c r="D25" s="960">
        <v>2019</v>
      </c>
      <c r="E25" s="951">
        <f>Elect!BL29</f>
        <v>0</v>
      </c>
      <c r="F25" s="948">
        <v>1.1499999999999999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11</v>
      </c>
      <c r="D26" s="960">
        <v>2019</v>
      </c>
      <c r="E26" s="951">
        <f>Elect!BL30</f>
        <v>0</v>
      </c>
      <c r="F26" s="948">
        <v>1.1499999999999999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11</v>
      </c>
      <c r="D27" s="960">
        <v>2019</v>
      </c>
      <c r="E27" s="951">
        <f>Elect!BL31</f>
        <v>0</v>
      </c>
      <c r="F27" s="948">
        <v>1.1499999999999999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11</v>
      </c>
      <c r="D28" s="960">
        <v>2019</v>
      </c>
      <c r="E28" s="951">
        <f>Elect!BL32</f>
        <v>0</v>
      </c>
      <c r="F28" s="948">
        <v>1.1499999999999999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11</v>
      </c>
      <c r="D29" s="960">
        <v>2019</v>
      </c>
      <c r="E29" s="951">
        <f>Elect!BL33</f>
        <v>0</v>
      </c>
      <c r="F29" s="948">
        <v>1.1499999999999999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11</v>
      </c>
      <c r="D30" s="960">
        <v>2019</v>
      </c>
      <c r="E30" s="951">
        <f>Elect!BL34</f>
        <v>0</v>
      </c>
      <c r="F30" s="948">
        <v>1.1499999999999999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11</v>
      </c>
      <c r="D31" s="960">
        <v>2019</v>
      </c>
      <c r="E31" s="951">
        <f>Elect!BL35</f>
        <v>0</v>
      </c>
      <c r="F31" s="948">
        <v>1.1499999999999999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1" t="s">
        <v>369</v>
      </c>
      <c r="B32" s="962">
        <f t="shared" si="0"/>
        <v>31</v>
      </c>
      <c r="C32" s="957">
        <v>11</v>
      </c>
      <c r="D32" s="963">
        <v>2019</v>
      </c>
      <c r="E32" s="951">
        <f>Elect!BL36</f>
        <v>0</v>
      </c>
      <c r="F32" s="948">
        <v>1.1499999999999999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9"/>
  <dimension ref="A1:AK33"/>
  <sheetViews>
    <sheetView workbookViewId="0">
      <selection activeCell="F7" sqref="F7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6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5" t="s">
        <v>388</v>
      </c>
      <c r="N1" s="965" t="s">
        <v>389</v>
      </c>
      <c r="O1" s="965" t="s">
        <v>390</v>
      </c>
      <c r="P1" s="965" t="s">
        <v>391</v>
      </c>
      <c r="Q1" s="965" t="s">
        <v>392</v>
      </c>
      <c r="R1" s="965" t="s">
        <v>393</v>
      </c>
      <c r="S1" s="965" t="s">
        <v>394</v>
      </c>
      <c r="T1" s="965" t="s">
        <v>395</v>
      </c>
      <c r="U1" s="965" t="s">
        <v>396</v>
      </c>
      <c r="V1" s="965" t="s">
        <v>397</v>
      </c>
      <c r="W1" s="965" t="s">
        <v>398</v>
      </c>
      <c r="X1" s="965" t="s">
        <v>399</v>
      </c>
      <c r="Y1" s="965" t="s">
        <v>400</v>
      </c>
      <c r="Z1" s="965" t="s">
        <v>401</v>
      </c>
      <c r="AA1" s="965" t="s">
        <v>402</v>
      </c>
      <c r="AB1" s="965" t="s">
        <v>403</v>
      </c>
      <c r="AC1" s="965" t="s">
        <v>410</v>
      </c>
      <c r="AD1" s="965" t="s">
        <v>404</v>
      </c>
      <c r="AE1" s="965" t="s">
        <v>405</v>
      </c>
      <c r="AF1" s="965" t="s">
        <v>406</v>
      </c>
      <c r="AG1" s="965" t="s">
        <v>56</v>
      </c>
      <c r="AH1" s="965" t="s">
        <v>407</v>
      </c>
      <c r="AI1" s="965" t="s">
        <v>408</v>
      </c>
      <c r="AJ1" s="965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11</v>
      </c>
      <c r="D2" s="958">
        <v>2019</v>
      </c>
      <c r="E2" s="967"/>
      <c r="F2" s="942">
        <f>Elect!J6</f>
        <v>5546</v>
      </c>
      <c r="G2" s="942">
        <f>Elect!K6</f>
        <v>3765</v>
      </c>
      <c r="H2" s="942">
        <f>Elect!Q6</f>
        <v>810</v>
      </c>
      <c r="I2" s="942">
        <f>Elect!W6</f>
        <v>181</v>
      </c>
      <c r="J2" s="942">
        <f>Elect!Y6</f>
        <v>200</v>
      </c>
      <c r="K2" s="942">
        <f>Elect!AA6</f>
        <v>0</v>
      </c>
      <c r="L2" s="942">
        <f>Elect!AC6</f>
        <v>518.87</v>
      </c>
      <c r="M2" s="964">
        <f>Elect!AE6</f>
        <v>3965.46</v>
      </c>
      <c r="N2" s="964">
        <f>Elect!AG6</f>
        <v>0</v>
      </c>
      <c r="O2" s="964">
        <f>Elect!AI6</f>
        <v>560.21</v>
      </c>
      <c r="P2" s="964">
        <f>Elect!AK6</f>
        <v>1168.6500000000001</v>
      </c>
      <c r="Q2" s="964">
        <f>Elect!AN6</f>
        <v>1241</v>
      </c>
      <c r="R2" s="964">
        <f>Elect!AP6</f>
        <v>360</v>
      </c>
      <c r="S2" s="964">
        <f>Elect!AR6</f>
        <v>30.69</v>
      </c>
      <c r="T2" s="964">
        <f>Elect!AT6</f>
        <v>215</v>
      </c>
      <c r="U2" s="964">
        <f>Elect!AV6</f>
        <v>646</v>
      </c>
      <c r="V2" s="964">
        <f>Elect!AX6</f>
        <v>47.256062291009584</v>
      </c>
      <c r="W2" s="964">
        <f>Elect!AZ6</f>
        <v>5588</v>
      </c>
      <c r="X2" s="964">
        <f>Elect!BB6</f>
        <v>6628.9</v>
      </c>
      <c r="Y2" s="964">
        <f>Elect!BE6</f>
        <v>0</v>
      </c>
      <c r="Z2" s="964">
        <f>Elect!BG6</f>
        <v>1556</v>
      </c>
      <c r="AA2" s="964">
        <f>Elect!BI6</f>
        <v>65</v>
      </c>
      <c r="AB2" s="964">
        <f>Elect!BK6</f>
        <v>195</v>
      </c>
      <c r="AC2" s="964"/>
      <c r="AD2" s="964">
        <f>Water!C7</f>
        <v>191.39999999999998</v>
      </c>
      <c r="AE2" s="964">
        <f>Water!E7</f>
        <v>0</v>
      </c>
      <c r="AF2" s="964">
        <f>Water!G7</f>
        <v>2.3199999999999998</v>
      </c>
      <c r="AG2" s="964"/>
      <c r="AH2" s="964">
        <f>Gas!C7</f>
        <v>52671.4</v>
      </c>
      <c r="AI2" s="964">
        <f>Gas!E7</f>
        <v>262.5</v>
      </c>
      <c r="AJ2" s="964">
        <f>Gas!G7</f>
        <v>83</v>
      </c>
      <c r="AK2" s="949">
        <f>Elect!BM6</f>
        <v>244</v>
      </c>
    </row>
    <row r="3" spans="1:37" ht="12.75" customHeight="1">
      <c r="A3" s="959" t="s">
        <v>369</v>
      </c>
      <c r="B3" s="954">
        <f>B2+1</f>
        <v>2</v>
      </c>
      <c r="C3" s="957">
        <v>11</v>
      </c>
      <c r="D3" s="960">
        <v>2019</v>
      </c>
      <c r="E3" s="967"/>
      <c r="F3" s="942">
        <f>Elect!J7</f>
        <v>6508</v>
      </c>
      <c r="G3" s="942">
        <f>Elect!K7</f>
        <v>4025</v>
      </c>
      <c r="H3" s="942">
        <f>Elect!Q7</f>
        <v>780</v>
      </c>
      <c r="I3" s="942">
        <f>Elect!W7</f>
        <v>145</v>
      </c>
      <c r="J3" s="942">
        <f>Elect!Y7</f>
        <v>232</v>
      </c>
      <c r="K3" s="942">
        <f>Elect!AA7</f>
        <v>0</v>
      </c>
      <c r="L3" s="942">
        <f>Elect!AC7</f>
        <v>1754.3000000000002</v>
      </c>
      <c r="M3" s="964">
        <f>Elect!AE7</f>
        <v>3907.1600000000003</v>
      </c>
      <c r="N3" s="964">
        <f>Elect!AG7</f>
        <v>0</v>
      </c>
      <c r="O3" s="964">
        <f>Elect!AI7</f>
        <v>497.14000000000004</v>
      </c>
      <c r="P3" s="964">
        <f>Elect!AK7</f>
        <v>2570.5</v>
      </c>
      <c r="Q3" s="964">
        <f>Elect!AN7</f>
        <v>1096</v>
      </c>
      <c r="R3" s="964">
        <f>Elect!AP7</f>
        <v>274</v>
      </c>
      <c r="S3" s="964">
        <f>Elect!AR7</f>
        <v>36.96</v>
      </c>
      <c r="T3" s="964">
        <f>Elect!AT7</f>
        <v>256</v>
      </c>
      <c r="U3" s="964">
        <f>Elect!AV7</f>
        <v>893</v>
      </c>
      <c r="V3" s="964">
        <f>Elect!AX7</f>
        <v>67</v>
      </c>
      <c r="W3" s="964">
        <f>Elect!AZ7</f>
        <v>6409</v>
      </c>
      <c r="X3" s="964">
        <f>Elect!BB7</f>
        <v>5627.8</v>
      </c>
      <c r="Y3" s="964">
        <f>Elect!BE7</f>
        <v>0</v>
      </c>
      <c r="Z3" s="964">
        <f>Elect!BG7</f>
        <v>1287</v>
      </c>
      <c r="AA3" s="964">
        <f>Elect!BI7</f>
        <v>94</v>
      </c>
      <c r="AB3" s="964">
        <f>Elect!BK7</f>
        <v>170</v>
      </c>
      <c r="AC3" s="964"/>
      <c r="AD3" s="964">
        <f>Water!C8</f>
        <v>301.59999999999997</v>
      </c>
      <c r="AE3" s="964">
        <f>Water!E8</f>
        <v>0</v>
      </c>
      <c r="AF3" s="964">
        <f>Water!G8</f>
        <v>1.1599999999999999</v>
      </c>
      <c r="AG3" s="964"/>
      <c r="AH3" s="964">
        <f>Gas!C8</f>
        <v>17776.2</v>
      </c>
      <c r="AI3" s="964">
        <f>Gas!E8</f>
        <v>192.5</v>
      </c>
      <c r="AJ3" s="964">
        <f>Gas!G8</f>
        <v>83</v>
      </c>
      <c r="AK3" s="949">
        <f>Elect!BM7</f>
        <v>230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11</v>
      </c>
      <c r="D4" s="960">
        <v>2019</v>
      </c>
      <c r="E4" s="967"/>
      <c r="F4" s="942">
        <f>Elect!J8</f>
        <v>6603</v>
      </c>
      <c r="G4" s="942">
        <f>Elect!K8</f>
        <v>4233</v>
      </c>
      <c r="H4" s="942">
        <f>Elect!Q8</f>
        <v>780</v>
      </c>
      <c r="I4" s="942">
        <f>Elect!W8</f>
        <v>147</v>
      </c>
      <c r="J4" s="942">
        <f>Elect!Y8</f>
        <v>227</v>
      </c>
      <c r="K4" s="942">
        <f>Elect!AA8</f>
        <v>0</v>
      </c>
      <c r="L4" s="942">
        <f>Elect!AC8</f>
        <v>3999.38</v>
      </c>
      <c r="M4" s="964">
        <f>Elect!AE8</f>
        <v>2526.5100000000002</v>
      </c>
      <c r="N4" s="964">
        <f>Elect!AG8</f>
        <v>0</v>
      </c>
      <c r="O4" s="964">
        <f>Elect!AI8</f>
        <v>520.46</v>
      </c>
      <c r="P4" s="964">
        <f>Elect!AK8</f>
        <v>2820.6600000000003</v>
      </c>
      <c r="Q4" s="964">
        <f>Elect!AN8</f>
        <v>1559</v>
      </c>
      <c r="R4" s="964">
        <f>Elect!AP8</f>
        <v>277</v>
      </c>
      <c r="S4" s="964">
        <f>Elect!AR8</f>
        <v>42.35</v>
      </c>
      <c r="T4" s="964">
        <f>Elect!AT8</f>
        <v>261</v>
      </c>
      <c r="U4" s="964">
        <f>Elect!AV8</f>
        <v>1016</v>
      </c>
      <c r="V4" s="964">
        <f>Elect!AX8</f>
        <v>67</v>
      </c>
      <c r="W4" s="964">
        <f>Elect!AZ8</f>
        <v>6681</v>
      </c>
      <c r="X4" s="964">
        <f>Elect!BB8</f>
        <v>6197.4</v>
      </c>
      <c r="Y4" s="964">
        <f>Elect!BE8</f>
        <v>0</v>
      </c>
      <c r="Z4" s="964">
        <f>Elect!BG8</f>
        <v>1376</v>
      </c>
      <c r="AA4" s="964">
        <f>Elect!BI8</f>
        <v>98</v>
      </c>
      <c r="AB4" s="964">
        <f>Elect!BK8</f>
        <v>184</v>
      </c>
      <c r="AC4" s="964"/>
      <c r="AD4" s="964">
        <f>Water!C9</f>
        <v>348</v>
      </c>
      <c r="AE4" s="964">
        <f>Water!E9</f>
        <v>0</v>
      </c>
      <c r="AF4" s="964">
        <f>Water!G9</f>
        <v>2.9</v>
      </c>
      <c r="AG4" s="964"/>
      <c r="AH4" s="964">
        <f>Gas!C9</f>
        <v>17776.2</v>
      </c>
      <c r="AI4" s="964">
        <f>Gas!E9</f>
        <v>402.5</v>
      </c>
      <c r="AJ4" s="964">
        <f>Gas!G9</f>
        <v>83</v>
      </c>
      <c r="AK4" s="949">
        <f>Elect!BM8</f>
        <v>252</v>
      </c>
    </row>
    <row r="5" spans="1:37" ht="12.75" customHeight="1">
      <c r="A5" s="959" t="s">
        <v>369</v>
      </c>
      <c r="B5" s="954">
        <f t="shared" si="0"/>
        <v>4</v>
      </c>
      <c r="C5" s="957">
        <v>11</v>
      </c>
      <c r="D5" s="960">
        <v>2019</v>
      </c>
      <c r="E5" s="967"/>
      <c r="F5" s="942">
        <f>Elect!J9</f>
        <v>6318</v>
      </c>
      <c r="G5" s="942">
        <f>Elect!K9</f>
        <v>3858</v>
      </c>
      <c r="H5" s="942">
        <f>Elect!Q9</f>
        <v>810</v>
      </c>
      <c r="I5" s="942">
        <f>Elect!W9</f>
        <v>142</v>
      </c>
      <c r="J5" s="942">
        <f>Elect!Y9</f>
        <v>221</v>
      </c>
      <c r="K5" s="942">
        <f>Elect!AA9</f>
        <v>0</v>
      </c>
      <c r="L5" s="942">
        <f>Elect!AC9</f>
        <v>2162.4</v>
      </c>
      <c r="M5" s="964">
        <f>Elect!AE9</f>
        <v>3657</v>
      </c>
      <c r="N5" s="964">
        <f>Elect!AG9</f>
        <v>0</v>
      </c>
      <c r="O5" s="964">
        <f>Elect!AI9</f>
        <v>516.22</v>
      </c>
      <c r="P5" s="964">
        <f>Elect!AK9</f>
        <v>2670.1400000000003</v>
      </c>
      <c r="Q5" s="964">
        <f>Elect!AN9</f>
        <v>1784</v>
      </c>
      <c r="R5" s="964">
        <f>Elect!AP9</f>
        <v>272</v>
      </c>
      <c r="S5" s="964">
        <f>Elect!AR9</f>
        <v>36.74</v>
      </c>
      <c r="T5" s="964">
        <f>Elect!AT9</f>
        <v>253</v>
      </c>
      <c r="U5" s="964">
        <f>Elect!AV9</f>
        <v>965</v>
      </c>
      <c r="V5" s="964">
        <f>Elect!AX9</f>
        <v>66</v>
      </c>
      <c r="W5" s="964">
        <f>Elect!AZ9</f>
        <v>6211</v>
      </c>
      <c r="X5" s="964">
        <f>Elect!BB9</f>
        <v>5823.1</v>
      </c>
      <c r="Y5" s="964">
        <f>Elect!BE9</f>
        <v>0</v>
      </c>
      <c r="Z5" s="964">
        <f>Elect!BG9</f>
        <v>1274</v>
      </c>
      <c r="AA5" s="964">
        <f>Elect!BI9</f>
        <v>89</v>
      </c>
      <c r="AB5" s="964">
        <f>Elect!BK9</f>
        <v>172</v>
      </c>
      <c r="AC5" s="964"/>
      <c r="AD5" s="964">
        <f>Water!C10</f>
        <v>174</v>
      </c>
      <c r="AE5" s="964">
        <f>Water!E10</f>
        <v>0</v>
      </c>
      <c r="AF5" s="964">
        <f>Water!G10</f>
        <v>1.7399999999999998</v>
      </c>
      <c r="AG5" s="964"/>
      <c r="AH5" s="964">
        <f>Gas!C10</f>
        <v>17776.2</v>
      </c>
      <c r="AI5" s="964">
        <f>Gas!E10</f>
        <v>192.5</v>
      </c>
      <c r="AJ5" s="964">
        <f>Gas!G10</f>
        <v>83</v>
      </c>
      <c r="AK5" s="949">
        <f>Elect!BM9</f>
        <v>243</v>
      </c>
    </row>
    <row r="6" spans="1:37" ht="12.75" customHeight="1">
      <c r="A6" s="959" t="s">
        <v>369</v>
      </c>
      <c r="B6" s="954">
        <f t="shared" si="0"/>
        <v>5</v>
      </c>
      <c r="C6" s="957">
        <v>11</v>
      </c>
      <c r="D6" s="960">
        <v>2019</v>
      </c>
      <c r="E6" s="967"/>
      <c r="F6" s="942">
        <f>Elect!J10</f>
        <v>6001</v>
      </c>
      <c r="G6" s="942">
        <f>Elect!K10</f>
        <v>3791</v>
      </c>
      <c r="H6" s="942">
        <f>Elect!Q10</f>
        <v>720</v>
      </c>
      <c r="I6" s="942">
        <f>Elect!W10</f>
        <v>145</v>
      </c>
      <c r="J6" s="942">
        <f>Elect!Y10</f>
        <v>227</v>
      </c>
      <c r="K6" s="942">
        <f>Elect!AA10</f>
        <v>0</v>
      </c>
      <c r="L6" s="942">
        <f>Elect!AC10</f>
        <v>3764.0600000000004</v>
      </c>
      <c r="M6" s="964">
        <f>Elect!AE10</f>
        <v>2410.9700000000003</v>
      </c>
      <c r="N6" s="964">
        <f>Elect!AG10</f>
        <v>0</v>
      </c>
      <c r="O6" s="964">
        <f>Elect!AI10</f>
        <v>548.55000000000007</v>
      </c>
      <c r="P6" s="964">
        <f>Elect!AK10</f>
        <v>2714.6600000000003</v>
      </c>
      <c r="Q6" s="964">
        <f>Elect!AN10</f>
        <v>1825</v>
      </c>
      <c r="R6" s="964">
        <f>Elect!AP10</f>
        <v>266</v>
      </c>
      <c r="S6" s="964">
        <f>Elect!AR10</f>
        <v>39.270000000000003</v>
      </c>
      <c r="T6" s="964">
        <f>Elect!AT10</f>
        <v>230</v>
      </c>
      <c r="U6" s="964">
        <f>Elect!AV10</f>
        <v>967</v>
      </c>
      <c r="V6" s="964">
        <f>Elect!AX10</f>
        <v>69</v>
      </c>
      <c r="W6" s="964">
        <f>Elect!AZ10</f>
        <v>6312</v>
      </c>
      <c r="X6" s="964">
        <f>Elect!BB10</f>
        <v>5755.8</v>
      </c>
      <c r="Y6" s="964">
        <f>Elect!BE10</f>
        <v>0</v>
      </c>
      <c r="Z6" s="964">
        <f>Elect!BG10</f>
        <v>1317</v>
      </c>
      <c r="AA6" s="964">
        <f>Elect!BI10</f>
        <v>92</v>
      </c>
      <c r="AB6" s="964">
        <f>Elect!BK10</f>
        <v>177</v>
      </c>
      <c r="AC6" s="964"/>
      <c r="AD6" s="964">
        <f>Water!C11</f>
        <v>185.6</v>
      </c>
      <c r="AE6" s="964">
        <f>Water!E11</f>
        <v>0</v>
      </c>
      <c r="AF6" s="964">
        <f>Water!G11</f>
        <v>2.9</v>
      </c>
      <c r="AG6" s="964"/>
      <c r="AH6" s="964">
        <f>Gas!C11</f>
        <v>17776.2</v>
      </c>
      <c r="AI6" s="964">
        <f>Gas!E11</f>
        <v>143.5</v>
      </c>
      <c r="AJ6" s="964">
        <f>Gas!G11</f>
        <v>123</v>
      </c>
      <c r="AK6" s="949">
        <f>Elect!BM10</f>
        <v>248</v>
      </c>
    </row>
    <row r="7" spans="1:37" ht="12.75" customHeight="1">
      <c r="A7" s="959" t="s">
        <v>369</v>
      </c>
      <c r="B7" s="954">
        <f t="shared" si="0"/>
        <v>6</v>
      </c>
      <c r="C7" s="957">
        <v>11</v>
      </c>
      <c r="D7" s="960">
        <v>2019</v>
      </c>
      <c r="E7" s="967"/>
      <c r="F7" s="942">
        <f>Elect!J11</f>
        <v>6229</v>
      </c>
      <c r="G7" s="942">
        <f>Elect!K11</f>
        <v>3847</v>
      </c>
      <c r="H7" s="942">
        <f>Elect!Q11</f>
        <v>840</v>
      </c>
      <c r="I7" s="942">
        <f>Elect!W11</f>
        <v>142</v>
      </c>
      <c r="J7" s="942">
        <f>Elect!Y11</f>
        <v>227</v>
      </c>
      <c r="K7" s="942">
        <f>Elect!AA11</f>
        <v>0</v>
      </c>
      <c r="L7" s="942">
        <f>Elect!AC11</f>
        <v>3758.76</v>
      </c>
      <c r="M7" s="964">
        <f>Elect!AE11</f>
        <v>2607.6</v>
      </c>
      <c r="N7" s="964">
        <f>Elect!AG11</f>
        <v>0</v>
      </c>
      <c r="O7" s="964">
        <f>Elect!AI11</f>
        <v>623.28000000000009</v>
      </c>
      <c r="P7" s="964">
        <f>Elect!AK11</f>
        <v>2698.76</v>
      </c>
      <c r="Q7" s="964">
        <f>Elect!AN11</f>
        <v>1733</v>
      </c>
      <c r="R7" s="964">
        <f>Elect!AP11</f>
        <v>253</v>
      </c>
      <c r="S7" s="964">
        <f>Elect!AR11</f>
        <v>39.6</v>
      </c>
      <c r="T7" s="964">
        <f>Elect!AT11</f>
        <v>251</v>
      </c>
      <c r="U7" s="964">
        <f>Elect!AV11</f>
        <v>949</v>
      </c>
      <c r="V7" s="964">
        <f>Elect!AX11</f>
        <v>69</v>
      </c>
      <c r="W7" s="964">
        <f>Elect!AZ11</f>
        <v>6355</v>
      </c>
      <c r="X7" s="964">
        <f>Elect!BB11</f>
        <v>5542.8</v>
      </c>
      <c r="Y7" s="964">
        <f>Elect!BE11</f>
        <v>0</v>
      </c>
      <c r="Z7" s="964">
        <f>Elect!BG11</f>
        <v>1222</v>
      </c>
      <c r="AA7" s="964">
        <f>Elect!BI11</f>
        <v>84</v>
      </c>
      <c r="AB7" s="964">
        <f>Elect!BK11</f>
        <v>168</v>
      </c>
      <c r="AC7" s="964"/>
      <c r="AD7" s="964">
        <f>Water!C12</f>
        <v>156.6</v>
      </c>
      <c r="AE7" s="964">
        <f>Water!E12</f>
        <v>0</v>
      </c>
      <c r="AF7" s="964">
        <f>Water!G12</f>
        <v>0</v>
      </c>
      <c r="AG7" s="964"/>
      <c r="AH7" s="964">
        <f>Gas!C12</f>
        <v>1583.64</v>
      </c>
      <c r="AI7" s="964">
        <f>Gas!E12</f>
        <v>165.89999999999998</v>
      </c>
      <c r="AJ7" s="964">
        <f>Gas!G12</f>
        <v>69</v>
      </c>
      <c r="AK7" s="949">
        <f>Elect!BM11</f>
        <v>249</v>
      </c>
    </row>
    <row r="8" spans="1:37" ht="12.75" customHeight="1">
      <c r="A8" s="959" t="s">
        <v>369</v>
      </c>
      <c r="B8" s="954">
        <f t="shared" si="0"/>
        <v>7</v>
      </c>
      <c r="C8" s="957">
        <v>11</v>
      </c>
      <c r="D8" s="960">
        <v>2019</v>
      </c>
      <c r="E8" s="967"/>
      <c r="F8" s="942">
        <f>Elect!J12</f>
        <v>6417</v>
      </c>
      <c r="G8" s="942">
        <f>Elect!K12</f>
        <v>3969</v>
      </c>
      <c r="H8" s="942">
        <f>Elect!Q12</f>
        <v>780</v>
      </c>
      <c r="I8" s="942">
        <f>Elect!W12</f>
        <v>146</v>
      </c>
      <c r="J8" s="942">
        <f>Elect!Y12</f>
        <v>219</v>
      </c>
      <c r="K8" s="942">
        <f>Elect!AA12</f>
        <v>0</v>
      </c>
      <c r="L8" s="942">
        <f>Elect!AC12</f>
        <v>2892.7400000000002</v>
      </c>
      <c r="M8" s="964">
        <f>Elect!AE12</f>
        <v>3838.7900000000004</v>
      </c>
      <c r="N8" s="964">
        <f>Elect!AG12</f>
        <v>0</v>
      </c>
      <c r="O8" s="964">
        <f>Elect!AI12</f>
        <v>828.39</v>
      </c>
      <c r="P8" s="964">
        <f>Elect!AK12</f>
        <v>3037.96</v>
      </c>
      <c r="Q8" s="964">
        <f>Elect!AN12</f>
        <v>1553</v>
      </c>
      <c r="R8" s="964">
        <f>Elect!AP12</f>
        <v>261</v>
      </c>
      <c r="S8" s="964">
        <f>Elect!AR12</f>
        <v>43.12</v>
      </c>
      <c r="T8" s="964">
        <f>Elect!AT12</f>
        <v>249</v>
      </c>
      <c r="U8" s="964">
        <f>Elect!AV12</f>
        <v>958</v>
      </c>
      <c r="V8" s="964">
        <f>Elect!AX12</f>
        <v>69</v>
      </c>
      <c r="W8" s="964">
        <f>Elect!AZ12</f>
        <v>6250</v>
      </c>
      <c r="X8" s="964">
        <f>Elect!BB12</f>
        <v>5876</v>
      </c>
      <c r="Y8" s="964">
        <f>Elect!BE12</f>
        <v>0</v>
      </c>
      <c r="Z8" s="964">
        <f>Elect!BG12</f>
        <v>1360</v>
      </c>
      <c r="AA8" s="964">
        <f>Elect!BI12</f>
        <v>86</v>
      </c>
      <c r="AB8" s="964">
        <f>Elect!BK12</f>
        <v>135</v>
      </c>
      <c r="AC8" s="964"/>
      <c r="AD8" s="964">
        <f>Water!C13</f>
        <v>179.79999999999998</v>
      </c>
      <c r="AE8" s="964">
        <f>Water!E13</f>
        <v>0</v>
      </c>
      <c r="AF8" s="964">
        <f>Water!G13</f>
        <v>2.3199999999999998</v>
      </c>
      <c r="AG8" s="964"/>
      <c r="AH8" s="964">
        <f>Gas!C13</f>
        <v>1839.1000000000001</v>
      </c>
      <c r="AI8" s="964">
        <f>Gas!E13</f>
        <v>201.6</v>
      </c>
      <c r="AJ8" s="964">
        <f>Gas!G13</f>
        <v>95</v>
      </c>
      <c r="AK8" s="949">
        <f>Elect!BM12</f>
        <v>223</v>
      </c>
    </row>
    <row r="9" spans="1:37" ht="12.75" customHeight="1">
      <c r="A9" s="959" t="s">
        <v>369</v>
      </c>
      <c r="B9" s="954">
        <f t="shared" si="0"/>
        <v>8</v>
      </c>
      <c r="C9" s="957">
        <v>11</v>
      </c>
      <c r="D9" s="960">
        <v>2019</v>
      </c>
      <c r="E9" s="967"/>
      <c r="F9" s="942">
        <f>Elect!J13</f>
        <v>6335</v>
      </c>
      <c r="G9" s="942">
        <f>Elect!K13</f>
        <v>3899</v>
      </c>
      <c r="H9" s="942">
        <f>Elect!Q13</f>
        <v>780</v>
      </c>
      <c r="I9" s="942">
        <f>Elect!W13</f>
        <v>143</v>
      </c>
      <c r="J9" s="942">
        <f>Elect!Y13</f>
        <v>234</v>
      </c>
      <c r="K9" s="942">
        <f>Elect!AA13</f>
        <v>0</v>
      </c>
      <c r="L9" s="942">
        <f>Elect!AC13</f>
        <v>3502.77</v>
      </c>
      <c r="M9" s="964">
        <f>Elect!AE13</f>
        <v>3723.78</v>
      </c>
      <c r="N9" s="964">
        <f>Elect!AG13</f>
        <v>0</v>
      </c>
      <c r="O9" s="964">
        <f>Elect!AI13</f>
        <v>668.33</v>
      </c>
      <c r="P9" s="964">
        <f>Elect!AK13</f>
        <v>3078.77</v>
      </c>
      <c r="Q9" s="964">
        <f>Elect!AN13</f>
        <v>1722</v>
      </c>
      <c r="R9" s="964">
        <f>Elect!AP13</f>
        <v>258</v>
      </c>
      <c r="S9" s="964">
        <f>Elect!AR13</f>
        <v>39.270000000000003</v>
      </c>
      <c r="T9" s="964">
        <f>Elect!AT13</f>
        <v>228</v>
      </c>
      <c r="U9" s="964">
        <f>Elect!AV13</f>
        <v>959</v>
      </c>
      <c r="V9" s="964">
        <f>Elect!AX13</f>
        <v>68</v>
      </c>
      <c r="W9" s="964">
        <f>Elect!AZ13</f>
        <v>6226</v>
      </c>
      <c r="X9" s="964">
        <f>Elect!BB13</f>
        <v>5521.9</v>
      </c>
      <c r="Y9" s="964">
        <f>Elect!BE13</f>
        <v>0</v>
      </c>
      <c r="Z9" s="964">
        <f>Elect!BG13</f>
        <v>1241</v>
      </c>
      <c r="AA9" s="964">
        <f>Elect!BI13</f>
        <v>89</v>
      </c>
      <c r="AB9" s="964">
        <f>Elect!BK13</f>
        <v>212</v>
      </c>
      <c r="AC9" s="964"/>
      <c r="AD9" s="964">
        <f>Water!C14</f>
        <v>162.39999999999998</v>
      </c>
      <c r="AE9" s="964">
        <f>Water!E14</f>
        <v>0</v>
      </c>
      <c r="AF9" s="964">
        <f>Water!G14</f>
        <v>1.1599999999999999</v>
      </c>
      <c r="AG9" s="964"/>
      <c r="AH9" s="964">
        <f>Gas!C14</f>
        <v>1203.1000000000001</v>
      </c>
      <c r="AI9" s="964">
        <f>Gas!E14</f>
        <v>329</v>
      </c>
      <c r="AJ9" s="964">
        <f>Gas!G14</f>
        <v>85</v>
      </c>
      <c r="AK9" s="949">
        <f>Elect!BM13</f>
        <v>235</v>
      </c>
    </row>
    <row r="10" spans="1:37" ht="12.75" customHeight="1">
      <c r="A10" s="959" t="s">
        <v>369</v>
      </c>
      <c r="B10" s="954">
        <f t="shared" si="0"/>
        <v>9</v>
      </c>
      <c r="C10" s="957">
        <v>11</v>
      </c>
      <c r="D10" s="960">
        <v>2019</v>
      </c>
      <c r="E10" s="967"/>
      <c r="F10" s="942">
        <f>Elect!J14</f>
        <v>6566</v>
      </c>
      <c r="G10" s="942">
        <f>Elect!K14</f>
        <v>5112</v>
      </c>
      <c r="H10" s="942">
        <f>Elect!Q14</f>
        <v>660</v>
      </c>
      <c r="I10" s="942">
        <f>Elect!W14</f>
        <v>146</v>
      </c>
      <c r="J10" s="942">
        <f>Elect!Y14</f>
        <v>236</v>
      </c>
      <c r="K10" s="942">
        <f>Elect!AA14</f>
        <v>0</v>
      </c>
      <c r="L10" s="942">
        <f>Elect!AC14</f>
        <v>3356.4900000000002</v>
      </c>
      <c r="M10" s="964">
        <f>Elect!AE14</f>
        <v>3458.78</v>
      </c>
      <c r="N10" s="964">
        <f>Elect!AG14</f>
        <v>0</v>
      </c>
      <c r="O10" s="964">
        <f>Elect!AI14</f>
        <v>660.91000000000008</v>
      </c>
      <c r="P10" s="964">
        <f>Elect!AK14</f>
        <v>3366.56</v>
      </c>
      <c r="Q10" s="964">
        <f>Elect!AN14</f>
        <v>1708</v>
      </c>
      <c r="R10" s="964">
        <f>Elect!AP14</f>
        <v>275</v>
      </c>
      <c r="S10" s="964">
        <f>Elect!AR14</f>
        <v>40.590000000000003</v>
      </c>
      <c r="T10" s="964">
        <f>Elect!AT14</f>
        <v>227</v>
      </c>
      <c r="U10" s="964">
        <f>Elect!AV14</f>
        <v>870</v>
      </c>
      <c r="V10" s="964">
        <f>Elect!AX14</f>
        <v>69</v>
      </c>
      <c r="W10" s="964">
        <f>Elect!AZ14</f>
        <v>6195</v>
      </c>
      <c r="X10" s="964">
        <f>Elect!BB14</f>
        <v>5797.4</v>
      </c>
      <c r="Y10" s="964">
        <f>Elect!BE14</f>
        <v>0</v>
      </c>
      <c r="Z10" s="964">
        <f>Elect!BG14</f>
        <v>1361</v>
      </c>
      <c r="AA10" s="964">
        <f>Elect!BI14</f>
        <v>90</v>
      </c>
      <c r="AB10" s="964">
        <f>Elect!BK14</f>
        <v>176</v>
      </c>
      <c r="AC10" s="964"/>
      <c r="AD10" s="964">
        <f>Water!C15</f>
        <v>197.2</v>
      </c>
      <c r="AE10" s="964">
        <f>Water!E15</f>
        <v>0</v>
      </c>
      <c r="AF10" s="964">
        <f>Water!G15</f>
        <v>1.7399999999999998</v>
      </c>
      <c r="AG10" s="964"/>
      <c r="AH10" s="964">
        <f>Gas!C15</f>
        <v>1791.4</v>
      </c>
      <c r="AI10" s="964">
        <f>Gas!E15</f>
        <v>116.19999999999999</v>
      </c>
      <c r="AJ10" s="964">
        <f>Gas!G15</f>
        <v>127</v>
      </c>
      <c r="AK10" s="949">
        <f>Elect!BM14</f>
        <v>231</v>
      </c>
    </row>
    <row r="11" spans="1:37" ht="12.75" customHeight="1">
      <c r="A11" s="959" t="s">
        <v>369</v>
      </c>
      <c r="B11" s="954">
        <f t="shared" si="0"/>
        <v>10</v>
      </c>
      <c r="C11" s="957">
        <v>11</v>
      </c>
      <c r="D11" s="960">
        <v>2019</v>
      </c>
      <c r="E11" s="967"/>
      <c r="F11" s="942">
        <f>Elect!J15</f>
        <v>6366</v>
      </c>
      <c r="G11" s="942">
        <f>Elect!K15</f>
        <v>3944</v>
      </c>
      <c r="H11" s="942">
        <f>Elect!Q15</f>
        <v>720</v>
      </c>
      <c r="I11" s="942">
        <f>Elect!W15</f>
        <v>146</v>
      </c>
      <c r="J11" s="942">
        <f>Elect!Y15</f>
        <v>234</v>
      </c>
      <c r="K11" s="942">
        <f>Elect!AA15</f>
        <v>0</v>
      </c>
      <c r="L11" s="942">
        <f>Elect!AC15</f>
        <v>3710.53</v>
      </c>
      <c r="M11" s="964">
        <f>Elect!AE15</f>
        <v>2958.46</v>
      </c>
      <c r="N11" s="964">
        <f>Elect!AG15</f>
        <v>0</v>
      </c>
      <c r="O11" s="964">
        <f>Elect!AI15</f>
        <v>582.47</v>
      </c>
      <c r="P11" s="964">
        <f>Elect!AK15</f>
        <v>3192.19</v>
      </c>
      <c r="Q11" s="964">
        <f>Elect!AN15</f>
        <v>1961</v>
      </c>
      <c r="R11" s="964">
        <f>Elect!AP15</f>
        <v>283</v>
      </c>
      <c r="S11" s="964">
        <f>Elect!AR15</f>
        <v>41.36</v>
      </c>
      <c r="T11" s="964">
        <f>Elect!AT15</f>
        <v>240</v>
      </c>
      <c r="U11" s="964">
        <f>Elect!AV15</f>
        <v>939</v>
      </c>
      <c r="V11" s="964">
        <f>Elect!AX15</f>
        <v>70</v>
      </c>
      <c r="W11" s="964">
        <f>Elect!AZ15</f>
        <v>6223</v>
      </c>
      <c r="X11" s="964">
        <f>Elect!BB15</f>
        <v>5845.5</v>
      </c>
      <c r="Y11" s="964">
        <f>Elect!BE15</f>
        <v>0</v>
      </c>
      <c r="Z11" s="964">
        <f>Elect!BG15</f>
        <v>1360</v>
      </c>
      <c r="AA11" s="964">
        <f>Elect!BI15</f>
        <v>93</v>
      </c>
      <c r="AB11" s="964">
        <f>Elect!BK15</f>
        <v>177</v>
      </c>
      <c r="AC11" s="964"/>
      <c r="AD11" s="964">
        <f>Water!C16</f>
        <v>261</v>
      </c>
      <c r="AE11" s="964">
        <f>Water!E16</f>
        <v>0</v>
      </c>
      <c r="AF11" s="964">
        <f>Water!G16</f>
        <v>1.7399999999999998</v>
      </c>
      <c r="AG11" s="964"/>
      <c r="AH11" s="964">
        <f>Gas!C16</f>
        <v>1275.18</v>
      </c>
      <c r="AI11" s="964">
        <f>Gas!E16</f>
        <v>279.29999999999995</v>
      </c>
      <c r="AJ11" s="964">
        <f>Gas!G16</f>
        <v>91</v>
      </c>
      <c r="AK11" s="949">
        <f>Elect!BM15</f>
        <v>225</v>
      </c>
    </row>
    <row r="12" spans="1:37" ht="12.75" customHeight="1">
      <c r="A12" s="959" t="s">
        <v>369</v>
      </c>
      <c r="B12" s="954">
        <f t="shared" si="0"/>
        <v>11</v>
      </c>
      <c r="C12" s="957">
        <v>11</v>
      </c>
      <c r="D12" s="960">
        <v>2019</v>
      </c>
      <c r="E12" s="967"/>
      <c r="F12" s="942">
        <f>Elect!J16</f>
        <v>6123</v>
      </c>
      <c r="G12" s="942">
        <f>Elect!K16</f>
        <v>3800</v>
      </c>
      <c r="H12" s="942">
        <f>Elect!Q16</f>
        <v>780</v>
      </c>
      <c r="I12" s="942">
        <f>Elect!W16</f>
        <v>142</v>
      </c>
      <c r="J12" s="942">
        <f>Elect!Y16</f>
        <v>220</v>
      </c>
      <c r="K12" s="942">
        <f>Elect!AA16</f>
        <v>0</v>
      </c>
      <c r="L12" s="942">
        <f>Elect!AC16</f>
        <v>3693.04</v>
      </c>
      <c r="M12" s="964">
        <f>Elect!AE16</f>
        <v>2557.25</v>
      </c>
      <c r="N12" s="964">
        <f>Elect!AG16</f>
        <v>0</v>
      </c>
      <c r="O12" s="964">
        <f>Elect!AI16</f>
        <v>628.58000000000004</v>
      </c>
      <c r="P12" s="964">
        <f>Elect!AK16</f>
        <v>3239.36</v>
      </c>
      <c r="Q12" s="964">
        <f>Elect!AN16</f>
        <v>1598</v>
      </c>
      <c r="R12" s="964">
        <f>Elect!AP16</f>
        <v>262</v>
      </c>
      <c r="S12" s="964">
        <f>Elect!AR16</f>
        <v>39.270000000000003</v>
      </c>
      <c r="T12" s="964">
        <f>Elect!AT16</f>
        <v>238</v>
      </c>
      <c r="U12" s="964">
        <f>Elect!AV16</f>
        <v>758</v>
      </c>
      <c r="V12" s="964">
        <f>Elect!AX16</f>
        <v>67</v>
      </c>
      <c r="W12" s="964">
        <f>Elect!AZ16</f>
        <v>6005</v>
      </c>
      <c r="X12" s="964">
        <f>Elect!BB16</f>
        <v>5646.4</v>
      </c>
      <c r="Y12" s="964">
        <f>Elect!BE16</f>
        <v>0</v>
      </c>
      <c r="Z12" s="964">
        <f>Elect!BG16</f>
        <v>1311</v>
      </c>
      <c r="AA12" s="964">
        <f>Elect!BI16</f>
        <v>78</v>
      </c>
      <c r="AB12" s="964">
        <f>Elect!BK16</f>
        <v>171</v>
      </c>
      <c r="AC12" s="964"/>
      <c r="AD12" s="964">
        <f>Water!C17</f>
        <v>179.79999999999998</v>
      </c>
      <c r="AE12" s="964">
        <f>Water!E17</f>
        <v>0</v>
      </c>
      <c r="AF12" s="964">
        <f>Water!G17</f>
        <v>0</v>
      </c>
      <c r="AG12" s="964"/>
      <c r="AH12" s="964">
        <f>Gas!C17</f>
        <v>0</v>
      </c>
      <c r="AI12" s="964">
        <f>Gas!E17</f>
        <v>0</v>
      </c>
      <c r="AJ12" s="964">
        <f>Gas!G17</f>
        <v>0</v>
      </c>
      <c r="AK12" s="949">
        <f>Elect!BM16</f>
        <v>173</v>
      </c>
    </row>
    <row r="13" spans="1:37" ht="12.75" customHeight="1">
      <c r="A13" s="959" t="s">
        <v>369</v>
      </c>
      <c r="B13" s="954">
        <f t="shared" si="0"/>
        <v>12</v>
      </c>
      <c r="C13" s="957">
        <v>11</v>
      </c>
      <c r="D13" s="960">
        <v>2019</v>
      </c>
      <c r="E13" s="967"/>
      <c r="F13" s="942">
        <f>Elect!J17</f>
        <v>0</v>
      </c>
      <c r="G13" s="942">
        <f>Elect!K17</f>
        <v>0</v>
      </c>
      <c r="H13" s="942">
        <f>Elect!Q17</f>
        <v>0</v>
      </c>
      <c r="I13" s="942">
        <f>Elect!W17</f>
        <v>0</v>
      </c>
      <c r="J13" s="942">
        <f>Elect!Y17</f>
        <v>0</v>
      </c>
      <c r="K13" s="942">
        <f>Elect!AA17</f>
        <v>0</v>
      </c>
      <c r="L13" s="942">
        <f>Elect!AC17</f>
        <v>0</v>
      </c>
      <c r="M13" s="964">
        <f>Elect!AE17</f>
        <v>0</v>
      </c>
      <c r="N13" s="964">
        <f>Elect!AG17</f>
        <v>0</v>
      </c>
      <c r="O13" s="964">
        <f>Elect!AI17</f>
        <v>0</v>
      </c>
      <c r="P13" s="964">
        <f>Elect!AK17</f>
        <v>0</v>
      </c>
      <c r="Q13" s="964">
        <f>Elect!AN17</f>
        <v>0</v>
      </c>
      <c r="R13" s="964">
        <f>Elect!AP17</f>
        <v>0</v>
      </c>
      <c r="S13" s="964">
        <f>Elect!AR17</f>
        <v>0</v>
      </c>
      <c r="T13" s="964">
        <f>Elect!AT17</f>
        <v>0</v>
      </c>
      <c r="U13" s="964">
        <f>Elect!AV17</f>
        <v>0</v>
      </c>
      <c r="V13" s="964">
        <f>Elect!AX17</f>
        <v>0</v>
      </c>
      <c r="W13" s="964">
        <f>Elect!AZ17</f>
        <v>0</v>
      </c>
      <c r="X13" s="964">
        <f>Elect!BB17</f>
        <v>0</v>
      </c>
      <c r="Y13" s="964">
        <f>Elect!BE17</f>
        <v>0</v>
      </c>
      <c r="Z13" s="964">
        <f>Elect!BG17</f>
        <v>0</v>
      </c>
      <c r="AA13" s="964">
        <f>Elect!BI17</f>
        <v>0</v>
      </c>
      <c r="AB13" s="964">
        <f>Elect!BK17</f>
        <v>0</v>
      </c>
      <c r="AC13" s="964"/>
      <c r="AD13" s="964">
        <f>Water!C18</f>
        <v>208.79999999999998</v>
      </c>
      <c r="AE13" s="964">
        <f>Water!E18</f>
        <v>0</v>
      </c>
      <c r="AF13" s="964">
        <f>Water!G18</f>
        <v>1.1599999999999999</v>
      </c>
      <c r="AG13" s="964"/>
      <c r="AH13" s="964">
        <f>Gas!C18</f>
        <v>0</v>
      </c>
      <c r="AI13" s="964">
        <f>Gas!E18</f>
        <v>0</v>
      </c>
      <c r="AJ13" s="964">
        <f>Gas!G18</f>
        <v>0</v>
      </c>
      <c r="AK13" s="949">
        <f>Elect!BM17</f>
        <v>0</v>
      </c>
    </row>
    <row r="14" spans="1:37" ht="12.75" customHeight="1">
      <c r="A14" s="959" t="s">
        <v>369</v>
      </c>
      <c r="B14" s="954">
        <f t="shared" si="0"/>
        <v>13</v>
      </c>
      <c r="C14" s="957">
        <v>11</v>
      </c>
      <c r="D14" s="960">
        <v>2019</v>
      </c>
      <c r="E14" s="967"/>
      <c r="F14" s="942">
        <f>Elect!J18</f>
        <v>0</v>
      </c>
      <c r="G14" s="942">
        <f>Elect!K18</f>
        <v>0</v>
      </c>
      <c r="H14" s="942">
        <f>Elect!Q18</f>
        <v>0</v>
      </c>
      <c r="I14" s="942">
        <f>Elect!W18</f>
        <v>0</v>
      </c>
      <c r="J14" s="942">
        <f>Elect!Y18</f>
        <v>0</v>
      </c>
      <c r="K14" s="942">
        <f>Elect!AA18</f>
        <v>0</v>
      </c>
      <c r="L14" s="942">
        <f>Elect!AC18</f>
        <v>0</v>
      </c>
      <c r="M14" s="964">
        <f>Elect!AE18</f>
        <v>0</v>
      </c>
      <c r="N14" s="964">
        <f>Elect!AG18</f>
        <v>0</v>
      </c>
      <c r="O14" s="964">
        <f>Elect!AI18</f>
        <v>0</v>
      </c>
      <c r="P14" s="964">
        <f>Elect!AK18</f>
        <v>0</v>
      </c>
      <c r="Q14" s="964">
        <f>Elect!AN18</f>
        <v>0</v>
      </c>
      <c r="R14" s="964">
        <f>Elect!AP18</f>
        <v>0</v>
      </c>
      <c r="S14" s="964">
        <f>Elect!AR18</f>
        <v>0</v>
      </c>
      <c r="T14" s="964">
        <f>Elect!AT18</f>
        <v>0</v>
      </c>
      <c r="U14" s="964">
        <f>Elect!AV18</f>
        <v>0</v>
      </c>
      <c r="V14" s="964">
        <f>Elect!AX18</f>
        <v>0</v>
      </c>
      <c r="W14" s="964">
        <f>Elect!AZ18</f>
        <v>0</v>
      </c>
      <c r="X14" s="964">
        <f>Elect!BB18</f>
        <v>0</v>
      </c>
      <c r="Y14" s="964">
        <f>Elect!BE18</f>
        <v>0</v>
      </c>
      <c r="Z14" s="964">
        <f>Elect!BG18</f>
        <v>0</v>
      </c>
      <c r="AA14" s="964">
        <f>Elect!BI18</f>
        <v>0</v>
      </c>
      <c r="AB14" s="964">
        <f>Elect!BK18</f>
        <v>0</v>
      </c>
      <c r="AC14" s="964"/>
      <c r="AD14" s="964">
        <f>Water!C19</f>
        <v>0</v>
      </c>
      <c r="AE14" s="964">
        <f>Water!E19</f>
        <v>0</v>
      </c>
      <c r="AF14" s="964">
        <f>Water!G19</f>
        <v>0</v>
      </c>
      <c r="AG14" s="964"/>
      <c r="AH14" s="964">
        <f>Gas!C19</f>
        <v>0</v>
      </c>
      <c r="AI14" s="964">
        <f>Gas!E19</f>
        <v>0</v>
      </c>
      <c r="AJ14" s="964">
        <f>Gas!G19</f>
        <v>0</v>
      </c>
      <c r="AK14" s="949">
        <f>Elect!BM18</f>
        <v>0</v>
      </c>
    </row>
    <row r="15" spans="1:37" ht="12.75" customHeight="1">
      <c r="A15" s="959" t="s">
        <v>369</v>
      </c>
      <c r="B15" s="954">
        <f t="shared" si="0"/>
        <v>14</v>
      </c>
      <c r="C15" s="957">
        <v>11</v>
      </c>
      <c r="D15" s="960">
        <v>2019</v>
      </c>
      <c r="E15" s="967"/>
      <c r="F15" s="942">
        <f>Elect!J19</f>
        <v>0</v>
      </c>
      <c r="G15" s="942">
        <f>Elect!K19</f>
        <v>0</v>
      </c>
      <c r="H15" s="942">
        <f>Elect!Q19</f>
        <v>0</v>
      </c>
      <c r="I15" s="942">
        <f>Elect!W19</f>
        <v>0</v>
      </c>
      <c r="J15" s="942">
        <f>Elect!Y19</f>
        <v>0</v>
      </c>
      <c r="K15" s="942">
        <f>Elect!AA19</f>
        <v>0</v>
      </c>
      <c r="L15" s="942">
        <f>Elect!AC19</f>
        <v>0</v>
      </c>
      <c r="M15" s="964">
        <f>Elect!AE19</f>
        <v>0</v>
      </c>
      <c r="N15" s="964">
        <f>Elect!AG19</f>
        <v>0</v>
      </c>
      <c r="O15" s="964">
        <f>Elect!AI19</f>
        <v>0</v>
      </c>
      <c r="P15" s="964">
        <f>Elect!AK19</f>
        <v>0</v>
      </c>
      <c r="Q15" s="964">
        <f>Elect!AN19</f>
        <v>0</v>
      </c>
      <c r="R15" s="964">
        <f>Elect!AP19</f>
        <v>0</v>
      </c>
      <c r="S15" s="964">
        <f>Elect!AR19</f>
        <v>0</v>
      </c>
      <c r="T15" s="964">
        <f>Elect!AT19</f>
        <v>0</v>
      </c>
      <c r="U15" s="964">
        <f>Elect!AV19</f>
        <v>0</v>
      </c>
      <c r="V15" s="964">
        <f>Elect!AX19</f>
        <v>0</v>
      </c>
      <c r="W15" s="964">
        <f>Elect!AZ19</f>
        <v>0</v>
      </c>
      <c r="X15" s="964">
        <f>Elect!BB19</f>
        <v>0</v>
      </c>
      <c r="Y15" s="964">
        <f>Elect!BE19</f>
        <v>0</v>
      </c>
      <c r="Z15" s="964">
        <f>Elect!BG19</f>
        <v>0</v>
      </c>
      <c r="AA15" s="964">
        <f>Elect!BI19</f>
        <v>0</v>
      </c>
      <c r="AB15" s="964">
        <f>Elect!BK19</f>
        <v>0</v>
      </c>
      <c r="AC15" s="964"/>
      <c r="AD15" s="964">
        <f>Water!C20</f>
        <v>0</v>
      </c>
      <c r="AE15" s="964">
        <f>Water!E20</f>
        <v>0</v>
      </c>
      <c r="AF15" s="964">
        <f>Water!G20</f>
        <v>0</v>
      </c>
      <c r="AG15" s="964"/>
      <c r="AH15" s="964">
        <f>Gas!C20</f>
        <v>0</v>
      </c>
      <c r="AI15" s="964">
        <f>Gas!E20</f>
        <v>0</v>
      </c>
      <c r="AJ15" s="964">
        <f>Gas!G20</f>
        <v>0</v>
      </c>
      <c r="AK15" s="949">
        <f>Elect!BM19</f>
        <v>0</v>
      </c>
    </row>
    <row r="16" spans="1:37" ht="12.75" customHeight="1">
      <c r="A16" s="959" t="s">
        <v>369</v>
      </c>
      <c r="B16" s="954">
        <f t="shared" si="0"/>
        <v>15</v>
      </c>
      <c r="C16" s="957">
        <v>11</v>
      </c>
      <c r="D16" s="960">
        <v>2019</v>
      </c>
      <c r="E16" s="967"/>
      <c r="F16" s="942">
        <f>Elect!J20</f>
        <v>0</v>
      </c>
      <c r="G16" s="942">
        <f>Elect!K20</f>
        <v>0</v>
      </c>
      <c r="H16" s="942">
        <f>Elect!Q20</f>
        <v>0</v>
      </c>
      <c r="I16" s="942">
        <f>Elect!W20</f>
        <v>0</v>
      </c>
      <c r="J16" s="942">
        <f>Elect!Y20</f>
        <v>0</v>
      </c>
      <c r="K16" s="942">
        <f>Elect!AA20</f>
        <v>0</v>
      </c>
      <c r="L16" s="942">
        <f>Elect!AC20</f>
        <v>0</v>
      </c>
      <c r="M16" s="964">
        <f>Elect!AE20</f>
        <v>0</v>
      </c>
      <c r="N16" s="964">
        <f>Elect!AG20</f>
        <v>0</v>
      </c>
      <c r="O16" s="964">
        <f>Elect!AI20</f>
        <v>0</v>
      </c>
      <c r="P16" s="964">
        <f>Elect!AK20</f>
        <v>0</v>
      </c>
      <c r="Q16" s="964">
        <f>Elect!AN20</f>
        <v>0</v>
      </c>
      <c r="R16" s="964">
        <f>Elect!AP20</f>
        <v>0</v>
      </c>
      <c r="S16" s="964">
        <f>Elect!AR20</f>
        <v>0</v>
      </c>
      <c r="T16" s="964">
        <f>Elect!AT20</f>
        <v>0</v>
      </c>
      <c r="U16" s="964">
        <f>Elect!AV20</f>
        <v>0</v>
      </c>
      <c r="V16" s="964">
        <f>Elect!AX20</f>
        <v>0</v>
      </c>
      <c r="W16" s="964">
        <f>Elect!AZ20</f>
        <v>0</v>
      </c>
      <c r="X16" s="964">
        <f>Elect!BB20</f>
        <v>0</v>
      </c>
      <c r="Y16" s="964">
        <f>Elect!BE20</f>
        <v>0</v>
      </c>
      <c r="Z16" s="964">
        <f>Elect!BG20</f>
        <v>0</v>
      </c>
      <c r="AA16" s="964">
        <f>Elect!BI20</f>
        <v>0</v>
      </c>
      <c r="AB16" s="964">
        <f>Elect!BK20</f>
        <v>0</v>
      </c>
      <c r="AC16" s="964"/>
      <c r="AD16" s="964">
        <f>Water!C21</f>
        <v>0</v>
      </c>
      <c r="AE16" s="964">
        <f>Water!E21</f>
        <v>0</v>
      </c>
      <c r="AF16" s="964">
        <f>Water!G21</f>
        <v>0</v>
      </c>
      <c r="AG16" s="964"/>
      <c r="AH16" s="964">
        <f>Gas!C21</f>
        <v>0</v>
      </c>
      <c r="AI16" s="964">
        <f>Gas!E21</f>
        <v>0</v>
      </c>
      <c r="AJ16" s="964">
        <f>Gas!G21</f>
        <v>0</v>
      </c>
      <c r="AK16" s="949">
        <f>Elect!BM20</f>
        <v>0</v>
      </c>
    </row>
    <row r="17" spans="1:37" ht="12.75" customHeight="1">
      <c r="A17" s="959" t="s">
        <v>369</v>
      </c>
      <c r="B17" s="954">
        <f t="shared" si="0"/>
        <v>16</v>
      </c>
      <c r="C17" s="957">
        <v>11</v>
      </c>
      <c r="D17" s="960">
        <v>2019</v>
      </c>
      <c r="E17" s="967"/>
      <c r="F17" s="942">
        <f>Elect!J21</f>
        <v>0</v>
      </c>
      <c r="G17" s="942">
        <f>Elect!K21</f>
        <v>0</v>
      </c>
      <c r="H17" s="942">
        <f>Elect!Q21</f>
        <v>0</v>
      </c>
      <c r="I17" s="942">
        <f>Elect!W21</f>
        <v>0</v>
      </c>
      <c r="J17" s="942">
        <f>Elect!Y21</f>
        <v>0</v>
      </c>
      <c r="K17" s="942">
        <f>Elect!AA21</f>
        <v>0</v>
      </c>
      <c r="L17" s="942">
        <f>Elect!AC21</f>
        <v>0</v>
      </c>
      <c r="M17" s="964">
        <f>Elect!AE21</f>
        <v>0</v>
      </c>
      <c r="N17" s="964">
        <f>Elect!AG21</f>
        <v>0</v>
      </c>
      <c r="O17" s="964">
        <f>Elect!AI21</f>
        <v>0</v>
      </c>
      <c r="P17" s="964">
        <f>Elect!AK21</f>
        <v>0</v>
      </c>
      <c r="Q17" s="964">
        <f>Elect!AN21</f>
        <v>0</v>
      </c>
      <c r="R17" s="964">
        <f>Elect!AP21</f>
        <v>0</v>
      </c>
      <c r="S17" s="964">
        <f>Elect!AR21</f>
        <v>0</v>
      </c>
      <c r="T17" s="964">
        <f>Elect!AT21</f>
        <v>0</v>
      </c>
      <c r="U17" s="964">
        <f>Elect!AV21</f>
        <v>0</v>
      </c>
      <c r="V17" s="964">
        <f>Elect!AX21</f>
        <v>0</v>
      </c>
      <c r="W17" s="964">
        <f>Elect!AZ21</f>
        <v>0</v>
      </c>
      <c r="X17" s="964">
        <f>Elect!BB21</f>
        <v>0</v>
      </c>
      <c r="Y17" s="964">
        <f>Elect!BE21</f>
        <v>0</v>
      </c>
      <c r="Z17" s="964">
        <f>Elect!BG21</f>
        <v>0</v>
      </c>
      <c r="AA17" s="964">
        <f>Elect!BI21</f>
        <v>0</v>
      </c>
      <c r="AB17" s="964">
        <f>Elect!BK21</f>
        <v>0</v>
      </c>
      <c r="AC17" s="964"/>
      <c r="AD17" s="964">
        <f>Water!C22</f>
        <v>0</v>
      </c>
      <c r="AE17" s="964">
        <f>Water!E22</f>
        <v>0</v>
      </c>
      <c r="AF17" s="964">
        <f>Water!G22</f>
        <v>0</v>
      </c>
      <c r="AG17" s="964"/>
      <c r="AH17" s="964">
        <f>Gas!C22</f>
        <v>0</v>
      </c>
      <c r="AI17" s="964">
        <f>Gas!E22</f>
        <v>0</v>
      </c>
      <c r="AJ17" s="964">
        <f>Gas!G22</f>
        <v>0</v>
      </c>
      <c r="AK17" s="949">
        <f>Elect!BM21</f>
        <v>0</v>
      </c>
    </row>
    <row r="18" spans="1:37" ht="12.75" customHeight="1">
      <c r="A18" s="959" t="s">
        <v>369</v>
      </c>
      <c r="B18" s="954">
        <f t="shared" si="0"/>
        <v>17</v>
      </c>
      <c r="C18" s="957">
        <v>11</v>
      </c>
      <c r="D18" s="960">
        <v>2019</v>
      </c>
      <c r="E18" s="967"/>
      <c r="F18" s="942">
        <f>Elect!J22</f>
        <v>0</v>
      </c>
      <c r="G18" s="942">
        <f>Elect!K22</f>
        <v>0</v>
      </c>
      <c r="H18" s="942">
        <f>Elect!Q22</f>
        <v>0</v>
      </c>
      <c r="I18" s="942">
        <f>Elect!W22</f>
        <v>0</v>
      </c>
      <c r="J18" s="942">
        <f>Elect!Y22</f>
        <v>0</v>
      </c>
      <c r="K18" s="942">
        <f>Elect!AA22</f>
        <v>0</v>
      </c>
      <c r="L18" s="942">
        <f>Elect!AC22</f>
        <v>0</v>
      </c>
      <c r="M18" s="964">
        <f>Elect!AE22</f>
        <v>0</v>
      </c>
      <c r="N18" s="964">
        <f>Elect!AG22</f>
        <v>0</v>
      </c>
      <c r="O18" s="964">
        <f>Elect!AI22</f>
        <v>0</v>
      </c>
      <c r="P18" s="964">
        <f>Elect!AK22</f>
        <v>0</v>
      </c>
      <c r="Q18" s="964">
        <f>Elect!AN22</f>
        <v>0</v>
      </c>
      <c r="R18" s="964">
        <f>Elect!AP22</f>
        <v>0</v>
      </c>
      <c r="S18" s="964">
        <f>Elect!AR22</f>
        <v>0</v>
      </c>
      <c r="T18" s="964">
        <f>Elect!AT22</f>
        <v>0</v>
      </c>
      <c r="U18" s="964">
        <f>Elect!AV22</f>
        <v>0</v>
      </c>
      <c r="V18" s="964">
        <f>Elect!AX22</f>
        <v>0</v>
      </c>
      <c r="W18" s="964">
        <f>Elect!AZ22</f>
        <v>0</v>
      </c>
      <c r="X18" s="964">
        <f>Elect!BB22</f>
        <v>0</v>
      </c>
      <c r="Y18" s="964">
        <f>Elect!BE22</f>
        <v>0</v>
      </c>
      <c r="Z18" s="964">
        <f>Elect!BG22</f>
        <v>0</v>
      </c>
      <c r="AA18" s="964">
        <f>Elect!BI22</f>
        <v>0</v>
      </c>
      <c r="AB18" s="964">
        <f>Elect!BK22</f>
        <v>0</v>
      </c>
      <c r="AC18" s="964"/>
      <c r="AD18" s="964">
        <f>Water!C23</f>
        <v>0</v>
      </c>
      <c r="AE18" s="964">
        <f>Water!E23</f>
        <v>0</v>
      </c>
      <c r="AF18" s="964">
        <f>Water!G23</f>
        <v>0</v>
      </c>
      <c r="AG18" s="964"/>
      <c r="AH18" s="964">
        <f>Gas!C23</f>
        <v>0</v>
      </c>
      <c r="AI18" s="964">
        <f>Gas!E23</f>
        <v>0</v>
      </c>
      <c r="AJ18" s="964">
        <f>Gas!G23</f>
        <v>0</v>
      </c>
      <c r="AK18" s="949">
        <f>Elect!BM22</f>
        <v>0</v>
      </c>
    </row>
    <row r="19" spans="1:37" ht="12.75" customHeight="1">
      <c r="A19" s="959" t="s">
        <v>369</v>
      </c>
      <c r="B19" s="954">
        <f t="shared" si="0"/>
        <v>18</v>
      </c>
      <c r="C19" s="957">
        <v>11</v>
      </c>
      <c r="D19" s="960">
        <v>2019</v>
      </c>
      <c r="E19" s="967"/>
      <c r="F19" s="942">
        <f>Elect!J23</f>
        <v>0</v>
      </c>
      <c r="G19" s="942">
        <f>Elect!K23</f>
        <v>0</v>
      </c>
      <c r="H19" s="942">
        <f>Elect!Q23</f>
        <v>0</v>
      </c>
      <c r="I19" s="942">
        <f>Elect!W23</f>
        <v>0</v>
      </c>
      <c r="J19" s="942">
        <f>Elect!Y23</f>
        <v>0</v>
      </c>
      <c r="K19" s="942">
        <f>Elect!AA23</f>
        <v>0</v>
      </c>
      <c r="L19" s="942">
        <f>Elect!AC23</f>
        <v>0</v>
      </c>
      <c r="M19" s="964">
        <f>Elect!AE23</f>
        <v>0</v>
      </c>
      <c r="N19" s="964">
        <f>Elect!AG23</f>
        <v>0</v>
      </c>
      <c r="O19" s="964">
        <f>Elect!AI23</f>
        <v>0</v>
      </c>
      <c r="P19" s="964">
        <f>Elect!AK23</f>
        <v>0</v>
      </c>
      <c r="Q19" s="964">
        <f>Elect!AN23</f>
        <v>0</v>
      </c>
      <c r="R19" s="964">
        <f>Elect!AP23</f>
        <v>0</v>
      </c>
      <c r="S19" s="964">
        <f>Elect!AR23</f>
        <v>0</v>
      </c>
      <c r="T19" s="964">
        <f>Elect!AT23</f>
        <v>0</v>
      </c>
      <c r="U19" s="964">
        <f>Elect!AV23</f>
        <v>0</v>
      </c>
      <c r="V19" s="964">
        <f>Elect!AX23</f>
        <v>0</v>
      </c>
      <c r="W19" s="964">
        <f>Elect!AZ23</f>
        <v>0</v>
      </c>
      <c r="X19" s="964">
        <f>Elect!BB23</f>
        <v>0</v>
      </c>
      <c r="Y19" s="964">
        <f>Elect!BE23</f>
        <v>0</v>
      </c>
      <c r="Z19" s="964">
        <f>Elect!BG23</f>
        <v>0</v>
      </c>
      <c r="AA19" s="964">
        <f>Elect!BI23</f>
        <v>0</v>
      </c>
      <c r="AB19" s="964">
        <f>Elect!BK23</f>
        <v>0</v>
      </c>
      <c r="AC19" s="964"/>
      <c r="AD19" s="964">
        <f>Water!C24</f>
        <v>0</v>
      </c>
      <c r="AE19" s="964">
        <f>Water!E24</f>
        <v>0</v>
      </c>
      <c r="AF19" s="964">
        <f>Water!G24</f>
        <v>0</v>
      </c>
      <c r="AG19" s="964"/>
      <c r="AH19" s="964">
        <f>Gas!C24</f>
        <v>0</v>
      </c>
      <c r="AI19" s="964">
        <f>Gas!E24</f>
        <v>0</v>
      </c>
      <c r="AJ19" s="964">
        <f>Gas!G24</f>
        <v>0</v>
      </c>
      <c r="AK19" s="949">
        <f>Elect!BM23</f>
        <v>0</v>
      </c>
    </row>
    <row r="20" spans="1:37" ht="12.75" customHeight="1">
      <c r="A20" s="959" t="s">
        <v>369</v>
      </c>
      <c r="B20" s="954">
        <f t="shared" si="0"/>
        <v>19</v>
      </c>
      <c r="C20" s="957">
        <v>11</v>
      </c>
      <c r="D20" s="960">
        <v>2019</v>
      </c>
      <c r="E20" s="967"/>
      <c r="F20" s="942">
        <f>Elect!J24</f>
        <v>0</v>
      </c>
      <c r="G20" s="942">
        <f>Elect!K24</f>
        <v>0</v>
      </c>
      <c r="H20" s="942">
        <f>Elect!Q24</f>
        <v>0</v>
      </c>
      <c r="I20" s="942">
        <f>Elect!W24</f>
        <v>0</v>
      </c>
      <c r="J20" s="942">
        <f>Elect!Y24</f>
        <v>0</v>
      </c>
      <c r="K20" s="942">
        <f>Elect!AA24</f>
        <v>0</v>
      </c>
      <c r="L20" s="942">
        <f>Elect!AC24</f>
        <v>0</v>
      </c>
      <c r="M20" s="964">
        <f>Elect!AE24</f>
        <v>0</v>
      </c>
      <c r="N20" s="964">
        <f>Elect!AG24</f>
        <v>0</v>
      </c>
      <c r="O20" s="964">
        <f>Elect!AI24</f>
        <v>0</v>
      </c>
      <c r="P20" s="964">
        <f>Elect!AK24</f>
        <v>0</v>
      </c>
      <c r="Q20" s="964">
        <f>Elect!AN24</f>
        <v>0</v>
      </c>
      <c r="R20" s="964">
        <f>Elect!AP24</f>
        <v>0</v>
      </c>
      <c r="S20" s="964">
        <f>Elect!AR24</f>
        <v>0</v>
      </c>
      <c r="T20" s="964">
        <f>Elect!AT24</f>
        <v>0</v>
      </c>
      <c r="U20" s="964">
        <f>Elect!AV24</f>
        <v>0</v>
      </c>
      <c r="V20" s="964">
        <f>Elect!AX24</f>
        <v>0</v>
      </c>
      <c r="W20" s="964">
        <f>Elect!AZ24</f>
        <v>0</v>
      </c>
      <c r="X20" s="964">
        <f>Elect!BB24</f>
        <v>0</v>
      </c>
      <c r="Y20" s="964">
        <f>Elect!BE24</f>
        <v>0</v>
      </c>
      <c r="Z20" s="964">
        <f>Elect!BG24</f>
        <v>0</v>
      </c>
      <c r="AA20" s="964">
        <f>Elect!BI24</f>
        <v>0</v>
      </c>
      <c r="AB20" s="964">
        <f>Elect!BK24</f>
        <v>0</v>
      </c>
      <c r="AC20" s="964"/>
      <c r="AD20" s="964">
        <f>Water!C25</f>
        <v>0</v>
      </c>
      <c r="AE20" s="964">
        <f>Water!E25</f>
        <v>0</v>
      </c>
      <c r="AF20" s="964">
        <f>Water!G25</f>
        <v>0</v>
      </c>
      <c r="AG20" s="964"/>
      <c r="AH20" s="964">
        <f>Gas!C25</f>
        <v>0</v>
      </c>
      <c r="AI20" s="964">
        <f>Gas!E25</f>
        <v>0</v>
      </c>
      <c r="AJ20" s="964">
        <f>Gas!G25</f>
        <v>0</v>
      </c>
      <c r="AK20" s="949">
        <f>Elect!BM24</f>
        <v>0</v>
      </c>
    </row>
    <row r="21" spans="1:37" ht="12.75" customHeight="1">
      <c r="A21" s="959" t="s">
        <v>369</v>
      </c>
      <c r="B21" s="954">
        <f t="shared" si="0"/>
        <v>20</v>
      </c>
      <c r="C21" s="957">
        <v>11</v>
      </c>
      <c r="D21" s="960">
        <v>2019</v>
      </c>
      <c r="E21" s="967"/>
      <c r="F21" s="942">
        <f>Elect!J25</f>
        <v>0</v>
      </c>
      <c r="G21" s="942">
        <f>Elect!K25</f>
        <v>0</v>
      </c>
      <c r="H21" s="942">
        <f>Elect!Q25</f>
        <v>0</v>
      </c>
      <c r="I21" s="942">
        <f>Elect!W25</f>
        <v>0</v>
      </c>
      <c r="J21" s="942">
        <f>Elect!Y25</f>
        <v>0</v>
      </c>
      <c r="K21" s="942">
        <f>Elect!AA25</f>
        <v>0</v>
      </c>
      <c r="L21" s="942">
        <f>Elect!AC25</f>
        <v>0</v>
      </c>
      <c r="M21" s="964">
        <f>Elect!AE25</f>
        <v>0</v>
      </c>
      <c r="N21" s="964">
        <f>Elect!AG25</f>
        <v>0</v>
      </c>
      <c r="O21" s="964">
        <f>Elect!AI25</f>
        <v>0</v>
      </c>
      <c r="P21" s="964">
        <f>Elect!AK25</f>
        <v>0</v>
      </c>
      <c r="Q21" s="964">
        <f>Elect!AN25</f>
        <v>0</v>
      </c>
      <c r="R21" s="964">
        <f>Elect!AP25</f>
        <v>0</v>
      </c>
      <c r="S21" s="964">
        <f>Elect!AR25</f>
        <v>0</v>
      </c>
      <c r="T21" s="964">
        <f>Elect!AT25</f>
        <v>0</v>
      </c>
      <c r="U21" s="964">
        <f>Elect!AV25</f>
        <v>0</v>
      </c>
      <c r="V21" s="964">
        <f>Elect!AX25</f>
        <v>0</v>
      </c>
      <c r="W21" s="964">
        <f>Elect!AZ25</f>
        <v>0</v>
      </c>
      <c r="X21" s="964">
        <f>Elect!BB25</f>
        <v>0</v>
      </c>
      <c r="Y21" s="964">
        <f>Elect!BE25</f>
        <v>0</v>
      </c>
      <c r="Z21" s="964">
        <f>Elect!BG25</f>
        <v>0</v>
      </c>
      <c r="AA21" s="964">
        <f>Elect!BI25</f>
        <v>0</v>
      </c>
      <c r="AB21" s="964">
        <f>Elect!BK25</f>
        <v>0</v>
      </c>
      <c r="AC21" s="964"/>
      <c r="AD21" s="964">
        <f>Water!C26</f>
        <v>0</v>
      </c>
      <c r="AE21" s="964">
        <f>Water!E26</f>
        <v>0</v>
      </c>
      <c r="AF21" s="964">
        <f>Water!G26</f>
        <v>0</v>
      </c>
      <c r="AG21" s="964"/>
      <c r="AH21" s="964">
        <f>Gas!C26</f>
        <v>0</v>
      </c>
      <c r="AI21" s="964">
        <f>Gas!E26</f>
        <v>0</v>
      </c>
      <c r="AJ21" s="964">
        <f>Gas!G26</f>
        <v>0</v>
      </c>
      <c r="AK21" s="949">
        <f>Elect!BM25</f>
        <v>0</v>
      </c>
    </row>
    <row r="22" spans="1:37" ht="12.75" customHeight="1">
      <c r="A22" s="959" t="s">
        <v>369</v>
      </c>
      <c r="B22" s="954">
        <f t="shared" si="0"/>
        <v>21</v>
      </c>
      <c r="C22" s="957">
        <v>11</v>
      </c>
      <c r="D22" s="960">
        <v>2019</v>
      </c>
      <c r="E22" s="967"/>
      <c r="F22" s="942">
        <f>Elect!J26</f>
        <v>0</v>
      </c>
      <c r="G22" s="942">
        <f>Elect!K26</f>
        <v>0</v>
      </c>
      <c r="H22" s="942">
        <f>Elect!Q26</f>
        <v>0</v>
      </c>
      <c r="I22" s="942">
        <f>Elect!W26</f>
        <v>0</v>
      </c>
      <c r="J22" s="942">
        <f>Elect!Y26</f>
        <v>0</v>
      </c>
      <c r="K22" s="942">
        <f>Elect!AA26</f>
        <v>0</v>
      </c>
      <c r="L22" s="942">
        <f>Elect!AC26</f>
        <v>0</v>
      </c>
      <c r="M22" s="964">
        <f>Elect!AE26</f>
        <v>0</v>
      </c>
      <c r="N22" s="964">
        <f>Elect!AG26</f>
        <v>0</v>
      </c>
      <c r="O22" s="964">
        <f>Elect!AI26</f>
        <v>0</v>
      </c>
      <c r="P22" s="964">
        <f>Elect!AK26</f>
        <v>0</v>
      </c>
      <c r="Q22" s="964">
        <f>Elect!AN26</f>
        <v>0</v>
      </c>
      <c r="R22" s="964">
        <f>Elect!AP26</f>
        <v>0</v>
      </c>
      <c r="S22" s="964">
        <f>Elect!AR26</f>
        <v>0</v>
      </c>
      <c r="T22" s="964">
        <f>Elect!AT26</f>
        <v>0</v>
      </c>
      <c r="U22" s="964">
        <f>Elect!AV26</f>
        <v>0</v>
      </c>
      <c r="V22" s="964">
        <f>Elect!AX26</f>
        <v>0</v>
      </c>
      <c r="W22" s="964">
        <f>Elect!AZ26</f>
        <v>0</v>
      </c>
      <c r="X22" s="964">
        <f>Elect!BB26</f>
        <v>0</v>
      </c>
      <c r="Y22" s="964">
        <f>Elect!BE26</f>
        <v>0</v>
      </c>
      <c r="Z22" s="964">
        <f>Elect!BG26</f>
        <v>0</v>
      </c>
      <c r="AA22" s="964">
        <f>Elect!BI26</f>
        <v>0</v>
      </c>
      <c r="AB22" s="964">
        <f>Elect!BK26</f>
        <v>0</v>
      </c>
      <c r="AC22" s="964"/>
      <c r="AD22" s="964">
        <f>Water!C27</f>
        <v>0</v>
      </c>
      <c r="AE22" s="964">
        <f>Water!E27</f>
        <v>0</v>
      </c>
      <c r="AF22" s="964">
        <f>Water!G27</f>
        <v>0</v>
      </c>
      <c r="AG22" s="964"/>
      <c r="AH22" s="964">
        <f>Gas!C27</f>
        <v>0</v>
      </c>
      <c r="AI22" s="964">
        <f>Gas!E27</f>
        <v>0</v>
      </c>
      <c r="AJ22" s="964">
        <f>Gas!G27</f>
        <v>0</v>
      </c>
      <c r="AK22" s="949">
        <f>Elect!BM26</f>
        <v>0</v>
      </c>
    </row>
    <row r="23" spans="1:37" ht="12.75" customHeight="1">
      <c r="A23" s="959" t="s">
        <v>369</v>
      </c>
      <c r="B23" s="954">
        <f t="shared" si="0"/>
        <v>22</v>
      </c>
      <c r="C23" s="957">
        <v>11</v>
      </c>
      <c r="D23" s="960">
        <v>2019</v>
      </c>
      <c r="E23" s="967"/>
      <c r="F23" s="942">
        <f>Elect!J27</f>
        <v>0</v>
      </c>
      <c r="G23" s="942">
        <f>Elect!K27</f>
        <v>0</v>
      </c>
      <c r="H23" s="942">
        <f>Elect!Q27</f>
        <v>0</v>
      </c>
      <c r="I23" s="942">
        <f>Elect!W27</f>
        <v>0</v>
      </c>
      <c r="J23" s="942">
        <f>Elect!Y27</f>
        <v>0</v>
      </c>
      <c r="K23" s="942">
        <f>Elect!AA27</f>
        <v>0</v>
      </c>
      <c r="L23" s="942">
        <f>Elect!AC27</f>
        <v>0</v>
      </c>
      <c r="M23" s="964">
        <f>Elect!AE27</f>
        <v>0</v>
      </c>
      <c r="N23" s="964">
        <f>Elect!AG27</f>
        <v>0</v>
      </c>
      <c r="O23" s="964">
        <f>Elect!AI27</f>
        <v>0</v>
      </c>
      <c r="P23" s="964">
        <f>Elect!AK27</f>
        <v>0</v>
      </c>
      <c r="Q23" s="964">
        <f>Elect!AN27</f>
        <v>0</v>
      </c>
      <c r="R23" s="964">
        <f>Elect!AP27</f>
        <v>0</v>
      </c>
      <c r="S23" s="964">
        <f>Elect!AR27</f>
        <v>0</v>
      </c>
      <c r="T23" s="964">
        <f>Elect!AT27</f>
        <v>0</v>
      </c>
      <c r="U23" s="964">
        <f>Elect!AV27</f>
        <v>0</v>
      </c>
      <c r="V23" s="964">
        <f>Elect!AX27</f>
        <v>0</v>
      </c>
      <c r="W23" s="964">
        <f>Elect!AZ27</f>
        <v>0</v>
      </c>
      <c r="X23" s="964">
        <f>Elect!BB27</f>
        <v>0</v>
      </c>
      <c r="Y23" s="964">
        <f>Elect!BE27</f>
        <v>0</v>
      </c>
      <c r="Z23" s="964">
        <f>Elect!BG27</f>
        <v>0</v>
      </c>
      <c r="AA23" s="964">
        <f>Elect!BI27</f>
        <v>0</v>
      </c>
      <c r="AB23" s="964">
        <f>Elect!BK27</f>
        <v>0</v>
      </c>
      <c r="AC23" s="964"/>
      <c r="AD23" s="964">
        <f>Water!C28</f>
        <v>0</v>
      </c>
      <c r="AE23" s="964">
        <f>Water!E28</f>
        <v>0</v>
      </c>
      <c r="AF23" s="964">
        <f>Water!G28</f>
        <v>0</v>
      </c>
      <c r="AG23" s="964"/>
      <c r="AH23" s="964">
        <f>Gas!C28</f>
        <v>0</v>
      </c>
      <c r="AI23" s="964">
        <f>Gas!E28</f>
        <v>0</v>
      </c>
      <c r="AJ23" s="964">
        <f>Gas!G28</f>
        <v>0</v>
      </c>
      <c r="AK23" s="949">
        <f>Elect!BM27</f>
        <v>0</v>
      </c>
    </row>
    <row r="24" spans="1:37" ht="12.75" customHeight="1">
      <c r="A24" s="959" t="s">
        <v>369</v>
      </c>
      <c r="B24" s="954">
        <f t="shared" si="0"/>
        <v>23</v>
      </c>
      <c r="C24" s="957">
        <v>11</v>
      </c>
      <c r="D24" s="960">
        <v>2019</v>
      </c>
      <c r="E24" s="967"/>
      <c r="F24" s="942">
        <f>Elect!J28</f>
        <v>0</v>
      </c>
      <c r="G24" s="942">
        <f>Elect!K28</f>
        <v>0</v>
      </c>
      <c r="H24" s="942">
        <f>Elect!Q28</f>
        <v>0</v>
      </c>
      <c r="I24" s="942">
        <f>Elect!W28</f>
        <v>0</v>
      </c>
      <c r="J24" s="942">
        <f>Elect!Y28</f>
        <v>0</v>
      </c>
      <c r="K24" s="942">
        <f>Elect!AA28</f>
        <v>0</v>
      </c>
      <c r="L24" s="942">
        <f>Elect!AC28</f>
        <v>0</v>
      </c>
      <c r="M24" s="964">
        <f>Elect!AE28</f>
        <v>0</v>
      </c>
      <c r="N24" s="964">
        <f>Elect!AG28</f>
        <v>0</v>
      </c>
      <c r="O24" s="964">
        <f>Elect!AI28</f>
        <v>0</v>
      </c>
      <c r="P24" s="964">
        <f>Elect!AK28</f>
        <v>0</v>
      </c>
      <c r="Q24" s="964">
        <f>Elect!AN28</f>
        <v>0</v>
      </c>
      <c r="R24" s="964">
        <f>Elect!AP28</f>
        <v>0</v>
      </c>
      <c r="S24" s="964">
        <f>Elect!AR28</f>
        <v>0</v>
      </c>
      <c r="T24" s="964">
        <f>Elect!AT28</f>
        <v>0</v>
      </c>
      <c r="U24" s="964">
        <f>Elect!AV28</f>
        <v>0</v>
      </c>
      <c r="V24" s="964">
        <f>Elect!AX28</f>
        <v>0</v>
      </c>
      <c r="W24" s="964">
        <f>Elect!AZ28</f>
        <v>0</v>
      </c>
      <c r="X24" s="964">
        <f>Elect!BB28</f>
        <v>0</v>
      </c>
      <c r="Y24" s="964">
        <f>Elect!BE28</f>
        <v>0</v>
      </c>
      <c r="Z24" s="964">
        <f>Elect!BG28</f>
        <v>0</v>
      </c>
      <c r="AA24" s="964">
        <f>Elect!BI28</f>
        <v>0</v>
      </c>
      <c r="AB24" s="964">
        <f>Elect!BK28</f>
        <v>0</v>
      </c>
      <c r="AC24" s="964"/>
      <c r="AD24" s="964">
        <f>Water!C29</f>
        <v>0</v>
      </c>
      <c r="AE24" s="964">
        <f>Water!E29</f>
        <v>0</v>
      </c>
      <c r="AF24" s="964">
        <f>Water!G29</f>
        <v>0</v>
      </c>
      <c r="AG24" s="964"/>
      <c r="AH24" s="964">
        <f>Gas!C29</f>
        <v>0</v>
      </c>
      <c r="AI24" s="964">
        <f>Gas!E29</f>
        <v>0</v>
      </c>
      <c r="AJ24" s="964">
        <f>Gas!G29</f>
        <v>0</v>
      </c>
      <c r="AK24" s="949">
        <f>Elect!BM28</f>
        <v>0</v>
      </c>
    </row>
    <row r="25" spans="1:37" ht="12.75" customHeight="1">
      <c r="A25" s="959" t="s">
        <v>369</v>
      </c>
      <c r="B25" s="954">
        <f t="shared" si="0"/>
        <v>24</v>
      </c>
      <c r="C25" s="957">
        <v>11</v>
      </c>
      <c r="D25" s="960">
        <v>2019</v>
      </c>
      <c r="E25" s="967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4">
        <f>Elect!AE29</f>
        <v>0</v>
      </c>
      <c r="N25" s="964">
        <f>Elect!AG29</f>
        <v>0</v>
      </c>
      <c r="O25" s="964">
        <f>Elect!AI29</f>
        <v>0</v>
      </c>
      <c r="P25" s="964">
        <f>Elect!AK29</f>
        <v>0</v>
      </c>
      <c r="Q25" s="964">
        <f>Elect!AN29</f>
        <v>0</v>
      </c>
      <c r="R25" s="964">
        <f>Elect!AP29</f>
        <v>0</v>
      </c>
      <c r="S25" s="964">
        <f>Elect!AR29</f>
        <v>0</v>
      </c>
      <c r="T25" s="964">
        <f>Elect!AT29</f>
        <v>0</v>
      </c>
      <c r="U25" s="964">
        <f>Elect!AV29</f>
        <v>0</v>
      </c>
      <c r="V25" s="964">
        <f>Elect!AX29</f>
        <v>0</v>
      </c>
      <c r="W25" s="964">
        <f>Elect!AZ29</f>
        <v>0</v>
      </c>
      <c r="X25" s="964">
        <f>Elect!BB29</f>
        <v>0</v>
      </c>
      <c r="Y25" s="964">
        <f>Elect!BE29</f>
        <v>0</v>
      </c>
      <c r="Z25" s="964">
        <f>Elect!BG29</f>
        <v>0</v>
      </c>
      <c r="AA25" s="964">
        <f>Elect!BI29</f>
        <v>0</v>
      </c>
      <c r="AB25" s="964">
        <f>Elect!BK29</f>
        <v>0</v>
      </c>
      <c r="AC25" s="964"/>
      <c r="AD25" s="964">
        <f>Water!C30</f>
        <v>0</v>
      </c>
      <c r="AE25" s="964">
        <f>Water!E30</f>
        <v>0</v>
      </c>
      <c r="AF25" s="964">
        <f>Water!G30</f>
        <v>0</v>
      </c>
      <c r="AG25" s="964"/>
      <c r="AH25" s="964">
        <f>Gas!C30</f>
        <v>0</v>
      </c>
      <c r="AI25" s="964">
        <f>Gas!E30</f>
        <v>0</v>
      </c>
      <c r="AJ25" s="964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11</v>
      </c>
      <c r="D26" s="960">
        <v>2019</v>
      </c>
      <c r="E26" s="967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4">
        <f>Elect!AE30</f>
        <v>0</v>
      </c>
      <c r="N26" s="964">
        <f>Elect!AG30</f>
        <v>0</v>
      </c>
      <c r="O26" s="964">
        <f>Elect!AI30</f>
        <v>0</v>
      </c>
      <c r="P26" s="964">
        <f>Elect!AK30</f>
        <v>0</v>
      </c>
      <c r="Q26" s="964">
        <f>Elect!AN30</f>
        <v>0</v>
      </c>
      <c r="R26" s="964">
        <f>Elect!AP30</f>
        <v>0</v>
      </c>
      <c r="S26" s="964">
        <f>Elect!AR30</f>
        <v>0</v>
      </c>
      <c r="T26" s="964">
        <f>Elect!AT30</f>
        <v>0</v>
      </c>
      <c r="U26" s="964">
        <f>Elect!AV30</f>
        <v>0</v>
      </c>
      <c r="V26" s="964">
        <f>Elect!AX30</f>
        <v>0</v>
      </c>
      <c r="W26" s="964">
        <f>Elect!AZ30</f>
        <v>0</v>
      </c>
      <c r="X26" s="964">
        <f>Elect!BB30</f>
        <v>0</v>
      </c>
      <c r="Y26" s="964">
        <f>Elect!BE30</f>
        <v>0</v>
      </c>
      <c r="Z26" s="964">
        <f>Elect!BG30</f>
        <v>0</v>
      </c>
      <c r="AA26" s="964">
        <f>Elect!BI30</f>
        <v>0</v>
      </c>
      <c r="AB26" s="964">
        <f>Elect!BK30</f>
        <v>0</v>
      </c>
      <c r="AC26" s="964"/>
      <c r="AD26" s="964">
        <f>Water!C31</f>
        <v>0</v>
      </c>
      <c r="AE26" s="964">
        <f>Water!E31</f>
        <v>0</v>
      </c>
      <c r="AF26" s="964">
        <f>Water!G31</f>
        <v>0</v>
      </c>
      <c r="AG26" s="964"/>
      <c r="AH26" s="964">
        <f>Gas!C31</f>
        <v>0</v>
      </c>
      <c r="AI26" s="964">
        <f>Gas!E31</f>
        <v>0</v>
      </c>
      <c r="AJ26" s="964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11</v>
      </c>
      <c r="D27" s="960">
        <v>2019</v>
      </c>
      <c r="E27" s="967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4">
        <f>Elect!AE31</f>
        <v>0</v>
      </c>
      <c r="N27" s="964">
        <f>Elect!AG31</f>
        <v>0</v>
      </c>
      <c r="O27" s="964">
        <f>Elect!AI31</f>
        <v>0</v>
      </c>
      <c r="P27" s="964">
        <f>Elect!AK31</f>
        <v>0</v>
      </c>
      <c r="Q27" s="964">
        <f>Elect!AN31</f>
        <v>0</v>
      </c>
      <c r="R27" s="964">
        <f>Elect!AP31</f>
        <v>0</v>
      </c>
      <c r="S27" s="964">
        <f>Elect!AR31</f>
        <v>0</v>
      </c>
      <c r="T27" s="964">
        <f>Elect!AT31</f>
        <v>0</v>
      </c>
      <c r="U27" s="964">
        <f>Elect!AV31</f>
        <v>0</v>
      </c>
      <c r="V27" s="964">
        <f>Elect!AX31</f>
        <v>0</v>
      </c>
      <c r="W27" s="964">
        <f>Elect!AZ31</f>
        <v>0</v>
      </c>
      <c r="X27" s="964">
        <f>Elect!BB31</f>
        <v>0</v>
      </c>
      <c r="Y27" s="964">
        <f>Elect!BE31</f>
        <v>0</v>
      </c>
      <c r="Z27" s="964">
        <f>Elect!BG31</f>
        <v>0</v>
      </c>
      <c r="AA27" s="964">
        <f>Elect!BI31</f>
        <v>0</v>
      </c>
      <c r="AB27" s="964">
        <f>Elect!BK31</f>
        <v>0</v>
      </c>
      <c r="AC27" s="964"/>
      <c r="AD27" s="964">
        <f>Water!C32</f>
        <v>0</v>
      </c>
      <c r="AE27" s="964">
        <f>Water!E32</f>
        <v>0</v>
      </c>
      <c r="AF27" s="964">
        <f>Water!G32</f>
        <v>0</v>
      </c>
      <c r="AG27" s="964"/>
      <c r="AH27" s="964">
        <f>Gas!C32</f>
        <v>0</v>
      </c>
      <c r="AI27" s="964">
        <f>Gas!E32</f>
        <v>0</v>
      </c>
      <c r="AJ27" s="964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11</v>
      </c>
      <c r="D28" s="960">
        <v>2019</v>
      </c>
      <c r="E28" s="967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4">
        <f>Elect!AE32</f>
        <v>0</v>
      </c>
      <c r="N28" s="964">
        <f>Elect!AG32</f>
        <v>0</v>
      </c>
      <c r="O28" s="964">
        <f>Elect!AI32</f>
        <v>0</v>
      </c>
      <c r="P28" s="964">
        <f>Elect!AK32</f>
        <v>0</v>
      </c>
      <c r="Q28" s="964">
        <f>Elect!AN32</f>
        <v>0</v>
      </c>
      <c r="R28" s="964">
        <f>Elect!AP32</f>
        <v>0</v>
      </c>
      <c r="S28" s="964">
        <f>Elect!AR32</f>
        <v>0</v>
      </c>
      <c r="T28" s="964">
        <f>Elect!AT32</f>
        <v>0</v>
      </c>
      <c r="U28" s="964">
        <f>Elect!AV32</f>
        <v>0</v>
      </c>
      <c r="V28" s="964">
        <f>Elect!AX32</f>
        <v>0</v>
      </c>
      <c r="W28" s="964">
        <f>Elect!AZ32</f>
        <v>0</v>
      </c>
      <c r="X28" s="964">
        <f>Elect!BB32</f>
        <v>0</v>
      </c>
      <c r="Y28" s="964">
        <f>Elect!BE32</f>
        <v>0</v>
      </c>
      <c r="Z28" s="964">
        <f>Elect!BG32</f>
        <v>0</v>
      </c>
      <c r="AA28" s="964">
        <f>Elect!BI32</f>
        <v>0</v>
      </c>
      <c r="AB28" s="964">
        <f>Elect!BK32</f>
        <v>0</v>
      </c>
      <c r="AC28" s="964"/>
      <c r="AD28" s="964">
        <f>Water!C33</f>
        <v>0</v>
      </c>
      <c r="AE28" s="964">
        <f>Water!E33</f>
        <v>0</v>
      </c>
      <c r="AF28" s="964">
        <f>Water!G33</f>
        <v>0</v>
      </c>
      <c r="AG28" s="964"/>
      <c r="AH28" s="964">
        <f>Gas!C33</f>
        <v>0</v>
      </c>
      <c r="AI28" s="964">
        <f>Gas!E33</f>
        <v>0</v>
      </c>
      <c r="AJ28" s="964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11</v>
      </c>
      <c r="D29" s="960">
        <v>2019</v>
      </c>
      <c r="E29" s="967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4">
        <f>Elect!AE33</f>
        <v>0</v>
      </c>
      <c r="N29" s="964">
        <f>Elect!AG33</f>
        <v>0</v>
      </c>
      <c r="O29" s="964">
        <f>Elect!AI33</f>
        <v>0</v>
      </c>
      <c r="P29" s="964">
        <f>Elect!AK33</f>
        <v>0</v>
      </c>
      <c r="Q29" s="964">
        <f>Elect!AN33</f>
        <v>0</v>
      </c>
      <c r="R29" s="964">
        <f>Elect!AP33</f>
        <v>0</v>
      </c>
      <c r="S29" s="964">
        <f>Elect!AR33</f>
        <v>0</v>
      </c>
      <c r="T29" s="964">
        <f>Elect!AT33</f>
        <v>0</v>
      </c>
      <c r="U29" s="964">
        <f>Elect!AV33</f>
        <v>0</v>
      </c>
      <c r="V29" s="964">
        <f>Elect!AX33</f>
        <v>0</v>
      </c>
      <c r="W29" s="964">
        <f>Elect!AZ33</f>
        <v>0</v>
      </c>
      <c r="X29" s="964">
        <f>Elect!BB33</f>
        <v>0</v>
      </c>
      <c r="Y29" s="964">
        <f>Elect!BE33</f>
        <v>0</v>
      </c>
      <c r="Z29" s="964">
        <f>Elect!BG33</f>
        <v>0</v>
      </c>
      <c r="AA29" s="964">
        <f>Elect!BI33</f>
        <v>0</v>
      </c>
      <c r="AB29" s="964">
        <f>Elect!BK33</f>
        <v>0</v>
      </c>
      <c r="AC29" s="964"/>
      <c r="AD29" s="964">
        <f>Water!C34</f>
        <v>0</v>
      </c>
      <c r="AE29" s="964">
        <f>Water!E34</f>
        <v>0</v>
      </c>
      <c r="AF29" s="964">
        <f>Water!G34</f>
        <v>0</v>
      </c>
      <c r="AG29" s="964"/>
      <c r="AH29" s="964">
        <f>Gas!C34</f>
        <v>0</v>
      </c>
      <c r="AI29" s="964">
        <f>Gas!E34</f>
        <v>0</v>
      </c>
      <c r="AJ29" s="964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11</v>
      </c>
      <c r="D30" s="960">
        <v>2019</v>
      </c>
      <c r="E30" s="967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4">
        <f>Elect!AE34</f>
        <v>0</v>
      </c>
      <c r="N30" s="964">
        <f>Elect!AG34</f>
        <v>0</v>
      </c>
      <c r="O30" s="964">
        <f>Elect!AI34</f>
        <v>0</v>
      </c>
      <c r="P30" s="964">
        <f>Elect!AK34</f>
        <v>0</v>
      </c>
      <c r="Q30" s="964">
        <f>Elect!AN34</f>
        <v>0</v>
      </c>
      <c r="R30" s="964">
        <f>Elect!AP34</f>
        <v>0</v>
      </c>
      <c r="S30" s="964">
        <f>Elect!AR34</f>
        <v>0</v>
      </c>
      <c r="T30" s="964">
        <f>Elect!AT34</f>
        <v>0</v>
      </c>
      <c r="U30" s="964">
        <f>Elect!AV34</f>
        <v>0</v>
      </c>
      <c r="V30" s="964">
        <f>Elect!AX34</f>
        <v>0</v>
      </c>
      <c r="W30" s="964">
        <f>Elect!AZ34</f>
        <v>0</v>
      </c>
      <c r="X30" s="964">
        <f>Elect!BB34</f>
        <v>0</v>
      </c>
      <c r="Y30" s="964">
        <f>Elect!BE34</f>
        <v>0</v>
      </c>
      <c r="Z30" s="964">
        <f>Elect!BG34</f>
        <v>0</v>
      </c>
      <c r="AA30" s="964">
        <f>Elect!BI34</f>
        <v>0</v>
      </c>
      <c r="AB30" s="964">
        <f>Elect!BK34</f>
        <v>0</v>
      </c>
      <c r="AC30" s="964"/>
      <c r="AD30" s="964">
        <f>Water!C35</f>
        <v>0</v>
      </c>
      <c r="AE30" s="964">
        <f>Water!E35</f>
        <v>0</v>
      </c>
      <c r="AF30" s="964">
        <f>Water!G35</f>
        <v>0</v>
      </c>
      <c r="AG30" s="964"/>
      <c r="AH30" s="964">
        <f>Gas!C35</f>
        <v>0</v>
      </c>
      <c r="AI30" s="964">
        <f>Gas!E35</f>
        <v>0</v>
      </c>
      <c r="AJ30" s="964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11</v>
      </c>
      <c r="D31" s="960">
        <v>2019</v>
      </c>
      <c r="E31" s="967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4">
        <f>Elect!AE35</f>
        <v>0</v>
      </c>
      <c r="N31" s="964">
        <f>Elect!AG35</f>
        <v>0</v>
      </c>
      <c r="O31" s="964">
        <f>Elect!AI35</f>
        <v>0</v>
      </c>
      <c r="P31" s="964">
        <f>Elect!AK35</f>
        <v>0</v>
      </c>
      <c r="Q31" s="964">
        <f>Elect!AN35</f>
        <v>0</v>
      </c>
      <c r="R31" s="964">
        <f>Elect!AP35</f>
        <v>0</v>
      </c>
      <c r="S31" s="964">
        <f>Elect!AR35</f>
        <v>0</v>
      </c>
      <c r="T31" s="964">
        <f>Elect!AT35</f>
        <v>0</v>
      </c>
      <c r="U31" s="964">
        <f>Elect!AV35</f>
        <v>0</v>
      </c>
      <c r="V31" s="964">
        <f>Elect!AX35</f>
        <v>0</v>
      </c>
      <c r="W31" s="964">
        <f>Elect!AZ35</f>
        <v>0</v>
      </c>
      <c r="X31" s="964">
        <f>Elect!BB35</f>
        <v>0</v>
      </c>
      <c r="Y31" s="964">
        <f>Elect!BE35</f>
        <v>0</v>
      </c>
      <c r="Z31" s="964">
        <f>Elect!BG35</f>
        <v>0</v>
      </c>
      <c r="AA31" s="964">
        <f>Elect!BI35</f>
        <v>0</v>
      </c>
      <c r="AB31" s="964">
        <f>Elect!BK35</f>
        <v>0</v>
      </c>
      <c r="AC31" s="964"/>
      <c r="AD31" s="964">
        <f>Water!C36</f>
        <v>0</v>
      </c>
      <c r="AE31" s="964">
        <f>Water!E36</f>
        <v>0</v>
      </c>
      <c r="AF31" s="964">
        <f>Water!G36</f>
        <v>0</v>
      </c>
      <c r="AG31" s="964"/>
      <c r="AH31" s="964">
        <f>Gas!C36</f>
        <v>0</v>
      </c>
      <c r="AI31" s="964">
        <f>Gas!E36</f>
        <v>0</v>
      </c>
      <c r="AJ31" s="964">
        <f>Gas!G36</f>
        <v>0</v>
      </c>
      <c r="AK31" s="949">
        <f>Elect!BM35</f>
        <v>0</v>
      </c>
    </row>
    <row r="32" spans="1:37" ht="12.75" customHeight="1">
      <c r="A32" s="961" t="s">
        <v>369</v>
      </c>
      <c r="B32" s="962">
        <f>B31+1</f>
        <v>31</v>
      </c>
      <c r="C32" s="957">
        <v>11</v>
      </c>
      <c r="D32" s="963">
        <v>2019</v>
      </c>
      <c r="E32" s="968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4">
        <f>Elect!AE36</f>
        <v>0</v>
      </c>
      <c r="N32" s="964">
        <f>Elect!AG36</f>
        <v>0</v>
      </c>
      <c r="O32" s="964">
        <f>Elect!AI36</f>
        <v>0</v>
      </c>
      <c r="P32" s="964">
        <f>Elect!AK36</f>
        <v>0</v>
      </c>
      <c r="Q32" s="964">
        <f>Elect!AN36</f>
        <v>0</v>
      </c>
      <c r="R32" s="964">
        <f>Elect!AP36</f>
        <v>0</v>
      </c>
      <c r="S32" s="964">
        <f>Elect!AR36</f>
        <v>0</v>
      </c>
      <c r="T32" s="964">
        <f>Elect!AT36</f>
        <v>0</v>
      </c>
      <c r="U32" s="964">
        <f>Elect!AV36</f>
        <v>0</v>
      </c>
      <c r="V32" s="964">
        <f>Elect!AX36</f>
        <v>0</v>
      </c>
      <c r="W32" s="964">
        <f>Elect!AZ36</f>
        <v>0</v>
      </c>
      <c r="X32" s="964">
        <f>Elect!BB36</f>
        <v>0</v>
      </c>
      <c r="Y32" s="964">
        <f>Elect!BE36</f>
        <v>0</v>
      </c>
      <c r="Z32" s="964">
        <f>Elect!BG36</f>
        <v>0</v>
      </c>
      <c r="AA32" s="964">
        <f>Elect!BI36</f>
        <v>0</v>
      </c>
      <c r="AB32" s="964">
        <f>Elect!BK36</f>
        <v>0</v>
      </c>
      <c r="AC32" s="964"/>
      <c r="AD32" s="964">
        <f>Water!C37</f>
        <v>0</v>
      </c>
      <c r="AE32" s="964">
        <f>Water!E37</f>
        <v>0</v>
      </c>
      <c r="AF32" s="964">
        <f>Water!G37</f>
        <v>0</v>
      </c>
      <c r="AG32" s="964"/>
      <c r="AH32" s="964">
        <f>Gas!C37</f>
        <v>0</v>
      </c>
      <c r="AI32" s="964">
        <f>Gas!E37</f>
        <v>0</v>
      </c>
      <c r="AJ32" s="964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CO174"/>
  <sheetViews>
    <sheetView zoomScale="60" zoomScaleNormal="60" zoomScaleSheetLayoutView="40" workbookViewId="0">
      <pane xSplit="8" ySplit="4" topLeftCell="BB5" activePane="bottomRight" state="frozen"/>
      <selection activeCell="G39" sqref="G39"/>
      <selection pane="topRight" activeCell="G39" sqref="G39"/>
      <selection pane="bottomLeft" activeCell="G39" sqref="G39"/>
      <selection pane="bottomRight" activeCell="BD15" sqref="BD15:BD16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4.14062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3.8554687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78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80" t="s">
        <v>259</v>
      </c>
      <c r="N1" s="980"/>
      <c r="O1" s="980"/>
      <c r="Q1" s="980"/>
      <c r="R1" s="980"/>
      <c r="S1" s="980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9"/>
      <c r="B2" s="118"/>
      <c r="C2" s="30"/>
      <c r="D2" s="30"/>
      <c r="E2" s="198"/>
      <c r="F2" s="198"/>
      <c r="I2" s="199"/>
      <c r="M2" s="981"/>
      <c r="N2" s="981"/>
      <c r="O2" s="981"/>
      <c r="Q2" s="981"/>
      <c r="R2" s="981"/>
      <c r="S2" s="981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72" t="s">
        <v>0</v>
      </c>
      <c r="B3" s="974" t="s">
        <v>1</v>
      </c>
      <c r="C3" s="975"/>
      <c r="D3" s="969" t="s">
        <v>2</v>
      </c>
      <c r="E3" s="969"/>
      <c r="F3" s="969" t="s">
        <v>3</v>
      </c>
      <c r="G3" s="969"/>
      <c r="H3" s="976" t="s">
        <v>4</v>
      </c>
      <c r="I3" s="675" t="s">
        <v>322</v>
      </c>
      <c r="J3" s="603"/>
      <c r="K3" s="604"/>
      <c r="L3" s="969"/>
      <c r="M3" s="969"/>
      <c r="N3" s="969"/>
      <c r="O3" s="969"/>
      <c r="P3" s="969"/>
      <c r="Q3" s="969"/>
      <c r="R3" s="984" t="s">
        <v>324</v>
      </c>
      <c r="S3" s="985"/>
      <c r="T3" s="985"/>
      <c r="U3" s="985"/>
      <c r="V3" s="985"/>
      <c r="W3" s="986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82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69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73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77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83"/>
      <c r="BM4" s="605" t="s">
        <v>315</v>
      </c>
      <c r="BN4" s="605" t="s">
        <v>316</v>
      </c>
      <c r="BO4" s="605" t="s">
        <v>8</v>
      </c>
      <c r="BP4" s="605" t="s">
        <v>8</v>
      </c>
      <c r="BQ4" s="970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19931247</v>
      </c>
      <c r="J5" s="760">
        <f>IF(I5&gt;=I4,I5-I4,0)</f>
        <v>0</v>
      </c>
      <c r="K5" s="760">
        <f t="shared" ref="K5:K36" si="0">M5+O5</f>
        <v>0</v>
      </c>
      <c r="L5" s="855">
        <v>281178</v>
      </c>
      <c r="M5" s="760">
        <f t="shared" ref="M5:M36" si="1">IF(L5&gt;=L4,L5-L4,0)</f>
        <v>0</v>
      </c>
      <c r="N5" s="855">
        <v>358777</v>
      </c>
      <c r="O5" s="760">
        <f t="shared" ref="O5:O36" si="2">IF(N5&gt;=N4,N5-N4,0)</f>
        <v>0</v>
      </c>
      <c r="P5" s="855">
        <v>207244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67827</v>
      </c>
      <c r="W5" s="760">
        <f t="shared" si="4"/>
        <v>0</v>
      </c>
      <c r="X5" s="480">
        <v>131607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434034</v>
      </c>
      <c r="AC5" s="760">
        <f t="shared" ref="AC5:AC28" si="7">IF(AB5&gt;=AB4,AB5-AB4,0)*0.53</f>
        <v>0</v>
      </c>
      <c r="AD5" s="904">
        <v>387409</v>
      </c>
      <c r="AE5" s="760">
        <f t="shared" ref="AE5:AE36" si="8">IF(AD5&gt;=AD4,AD5-AD4,0)*0.53</f>
        <v>0</v>
      </c>
      <c r="AF5" s="480">
        <v>575976</v>
      </c>
      <c r="AG5" s="760">
        <f t="shared" ref="AG5:AG36" si="9">IF(AF5&gt;=AF4,AF5-AF4,0)*0.53</f>
        <v>0</v>
      </c>
      <c r="AH5" s="855">
        <v>119352</v>
      </c>
      <c r="AI5" s="760">
        <f t="shared" ref="AI5:AI36" si="10">IF(AH5&gt;=AH4,AH5-AH4,0)*0.53</f>
        <v>0</v>
      </c>
      <c r="AJ5" s="480">
        <v>581303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6745757</v>
      </c>
      <c r="AN5" s="760">
        <f t="shared" ref="AN5:AN36" si="12">IF(AM5&gt;=AM4,AM5-AM4,0)</f>
        <v>0</v>
      </c>
      <c r="AO5" s="855">
        <v>494779</v>
      </c>
      <c r="AP5" s="760">
        <f t="shared" ref="AP5:AP36" si="13">IF(AO5&gt;=AO4,AO5-AO4,0)</f>
        <v>0</v>
      </c>
      <c r="AQ5" s="480">
        <v>839798</v>
      </c>
      <c r="AR5" s="760">
        <f t="shared" ref="AR5:AR36" si="14">IF(AQ5&gt;=AQ4,AQ5-AQ4,0)*0.11</f>
        <v>0</v>
      </c>
      <c r="AS5" s="480">
        <v>748372</v>
      </c>
      <c r="AT5" s="760">
        <f t="shared" ref="AT5:AT36" si="15">IF(AS5&gt;=AS4,AS5-AS4,0)</f>
        <v>0</v>
      </c>
      <c r="AU5" s="855">
        <v>2018180</v>
      </c>
      <c r="AV5" s="760">
        <f t="shared" ref="AV5:AV36" si="16">IF(AU5&gt;=AU4,AU5-AU4,0)</f>
        <v>0</v>
      </c>
      <c r="AW5" s="855">
        <v>186816.74393770899</v>
      </c>
      <c r="AX5" s="760">
        <v>0</v>
      </c>
      <c r="AY5" s="855">
        <v>15856310</v>
      </c>
      <c r="AZ5" s="760">
        <f t="shared" ref="AZ5:AZ36" si="17">IF(AY5&gt;=AY4,AY5-AY4,0)</f>
        <v>0</v>
      </c>
      <c r="BA5" s="855">
        <v>19267225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2964015</v>
      </c>
      <c r="BG5" s="760">
        <f t="shared" ref="BG5:BG36" si="21">IF(BF5&gt;=BF4,BF5-BF4,0)</f>
        <v>0</v>
      </c>
      <c r="BH5" s="480">
        <v>329717</v>
      </c>
      <c r="BI5" s="760">
        <f t="shared" ref="BI5:BI36" si="22">IF(BH5&gt;=BH4,BH5-BH4,0)</f>
        <v>0</v>
      </c>
      <c r="BJ5" s="480">
        <v>364749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19936793</v>
      </c>
      <c r="J6" s="760">
        <f t="shared" ref="J6:J36" si="23">IF(I6&gt;=I5,I6-I5,0)</f>
        <v>5546</v>
      </c>
      <c r="K6" s="760">
        <f t="shared" si="0"/>
        <v>3765</v>
      </c>
      <c r="L6" s="855">
        <v>284102</v>
      </c>
      <c r="M6" s="760">
        <f t="shared" si="1"/>
        <v>2924</v>
      </c>
      <c r="N6" s="855">
        <v>359618</v>
      </c>
      <c r="O6" s="760">
        <f>IF(N6&gt;=N5,N6-N5,0)</f>
        <v>841</v>
      </c>
      <c r="P6" s="855">
        <v>207271</v>
      </c>
      <c r="Q6" s="760">
        <f t="shared" si="3"/>
        <v>810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68008</v>
      </c>
      <c r="W6" s="760">
        <f t="shared" si="4"/>
        <v>181</v>
      </c>
      <c r="X6" s="480">
        <v>131807</v>
      </c>
      <c r="Y6" s="760">
        <f t="shared" si="5"/>
        <v>200</v>
      </c>
      <c r="Z6" s="480">
        <v>315108</v>
      </c>
      <c r="AA6" s="760">
        <f t="shared" si="6"/>
        <v>0</v>
      </c>
      <c r="AB6" s="855">
        <v>435013</v>
      </c>
      <c r="AC6" s="760">
        <f t="shared" si="7"/>
        <v>518.87</v>
      </c>
      <c r="AD6" s="855">
        <v>394891</v>
      </c>
      <c r="AE6" s="760">
        <f t="shared" si="8"/>
        <v>3965.46</v>
      </c>
      <c r="AF6" s="855">
        <v>575976</v>
      </c>
      <c r="AG6" s="760">
        <f t="shared" si="9"/>
        <v>0</v>
      </c>
      <c r="AH6" s="855">
        <v>120409</v>
      </c>
      <c r="AI6" s="760">
        <f t="shared" si="10"/>
        <v>560.21</v>
      </c>
      <c r="AJ6" s="480">
        <v>583508</v>
      </c>
      <c r="AK6" s="760">
        <f>IF(AJ6&gt;=AJ5,AJ6-AJ5,0)*0.53</f>
        <v>1168.6500000000001</v>
      </c>
      <c r="AL6" s="760">
        <f>AA6+AC6+AE6+AG6+AI6+AK6</f>
        <v>6213.1900000000005</v>
      </c>
      <c r="AM6" s="480">
        <v>6746998</v>
      </c>
      <c r="AN6" s="760">
        <f t="shared" si="12"/>
        <v>1241</v>
      </c>
      <c r="AO6" s="855">
        <v>495139</v>
      </c>
      <c r="AP6" s="760">
        <f t="shared" si="13"/>
        <v>360</v>
      </c>
      <c r="AQ6" s="855">
        <v>840077</v>
      </c>
      <c r="AR6" s="760">
        <f t="shared" si="14"/>
        <v>30.69</v>
      </c>
      <c r="AS6" s="480">
        <v>748587</v>
      </c>
      <c r="AT6" s="760">
        <f t="shared" si="15"/>
        <v>215</v>
      </c>
      <c r="AU6" s="855">
        <v>2018826</v>
      </c>
      <c r="AV6" s="760">
        <f t="shared" si="16"/>
        <v>646</v>
      </c>
      <c r="AW6" s="855">
        <v>186864</v>
      </c>
      <c r="AX6" s="760">
        <f t="shared" ref="AX6:AX18" si="25">IF(AW6&gt;=AW5,AW6-AW5,0)</f>
        <v>47.256062291009584</v>
      </c>
      <c r="AY6" s="855">
        <v>15861898</v>
      </c>
      <c r="AZ6" s="760">
        <f t="shared" si="17"/>
        <v>5588</v>
      </c>
      <c r="BA6" s="855">
        <v>19275015</v>
      </c>
      <c r="BB6" s="760">
        <f t="shared" si="18"/>
        <v>6628.9</v>
      </c>
      <c r="BC6" s="760">
        <f t="shared" si="19"/>
        <v>14756.84606229101</v>
      </c>
      <c r="BD6" s="855">
        <v>1323286</v>
      </c>
      <c r="BE6" s="760">
        <f t="shared" si="20"/>
        <v>0</v>
      </c>
      <c r="BF6" s="855">
        <v>2965571</v>
      </c>
      <c r="BG6" s="760">
        <f t="shared" si="21"/>
        <v>1556</v>
      </c>
      <c r="BH6" s="855">
        <v>329782</v>
      </c>
      <c r="BI6" s="760">
        <f t="shared" si="22"/>
        <v>65</v>
      </c>
      <c r="BJ6" s="855">
        <v>364944</v>
      </c>
      <c r="BK6" s="760">
        <f>IF(BJ6&gt;=BJ5,BJ6-BJ5,0)</f>
        <v>195</v>
      </c>
      <c r="BL6" s="870">
        <f t="shared" ref="BL6:BL36" si="26">J6+Q6+AL6+BC6</f>
        <v>27326.036062291008</v>
      </c>
      <c r="BM6" s="871">
        <v>244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12569.976588653864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19943301</v>
      </c>
      <c r="J7" s="760">
        <f t="shared" si="23"/>
        <v>6508</v>
      </c>
      <c r="K7" s="760">
        <f t="shared" si="0"/>
        <v>4025</v>
      </c>
      <c r="L7" s="855">
        <v>286575</v>
      </c>
      <c r="M7" s="760">
        <f>IF(L7&gt;=L6,L7-L6,0)</f>
        <v>2473</v>
      </c>
      <c r="N7" s="855">
        <v>361170</v>
      </c>
      <c r="O7" s="760">
        <f>IF(N7&gt;=N6,N7-N6,0)</f>
        <v>1552</v>
      </c>
      <c r="P7" s="855">
        <v>207297</v>
      </c>
      <c r="Q7" s="760">
        <f t="shared" si="3"/>
        <v>780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68153</v>
      </c>
      <c r="W7" s="760">
        <f t="shared" si="4"/>
        <v>145</v>
      </c>
      <c r="X7" s="480">
        <v>132039</v>
      </c>
      <c r="Y7" s="760">
        <f t="shared" si="5"/>
        <v>232</v>
      </c>
      <c r="Z7" s="480">
        <v>315108</v>
      </c>
      <c r="AA7" s="760">
        <f t="shared" si="6"/>
        <v>0</v>
      </c>
      <c r="AB7" s="855">
        <v>438323</v>
      </c>
      <c r="AC7" s="760">
        <f t="shared" si="7"/>
        <v>1754.3000000000002</v>
      </c>
      <c r="AD7" s="855">
        <v>402263</v>
      </c>
      <c r="AE7" s="760">
        <f t="shared" si="8"/>
        <v>3907.1600000000003</v>
      </c>
      <c r="AF7" s="855">
        <v>575976</v>
      </c>
      <c r="AG7" s="760">
        <f t="shared" si="9"/>
        <v>0</v>
      </c>
      <c r="AH7" s="855">
        <v>121347</v>
      </c>
      <c r="AI7" s="760">
        <f t="shared" si="10"/>
        <v>497.14000000000004</v>
      </c>
      <c r="AJ7" s="855">
        <v>588358</v>
      </c>
      <c r="AK7" s="760">
        <f t="shared" ref="AK7:AK36" si="28">IF(AJ7&gt;=AJ6,AJ7-AJ6,0)*0.53</f>
        <v>2570.5</v>
      </c>
      <c r="AL7" s="760">
        <f t="shared" si="11"/>
        <v>8729.1000000000022</v>
      </c>
      <c r="AM7" s="480">
        <v>6748094</v>
      </c>
      <c r="AN7" s="760">
        <f t="shared" si="12"/>
        <v>1096</v>
      </c>
      <c r="AO7" s="480">
        <v>495413</v>
      </c>
      <c r="AP7" s="760">
        <f t="shared" si="13"/>
        <v>274</v>
      </c>
      <c r="AQ7" s="480">
        <v>840413</v>
      </c>
      <c r="AR7" s="760">
        <f t="shared" si="14"/>
        <v>36.96</v>
      </c>
      <c r="AS7" s="907">
        <v>748843</v>
      </c>
      <c r="AT7" s="760">
        <f t="shared" si="15"/>
        <v>256</v>
      </c>
      <c r="AU7" s="855">
        <v>2019719</v>
      </c>
      <c r="AV7" s="760">
        <f t="shared" si="16"/>
        <v>893</v>
      </c>
      <c r="AW7" s="480">
        <v>186931</v>
      </c>
      <c r="AX7" s="760">
        <f t="shared" si="25"/>
        <v>67</v>
      </c>
      <c r="AY7" s="855">
        <v>15868307</v>
      </c>
      <c r="AZ7" s="760">
        <f t="shared" si="17"/>
        <v>6409</v>
      </c>
      <c r="BA7" s="855">
        <v>19281632</v>
      </c>
      <c r="BB7" s="760">
        <f t="shared" si="18"/>
        <v>5627.8</v>
      </c>
      <c r="BC7" s="760">
        <f t="shared" si="19"/>
        <v>14659.759999999998</v>
      </c>
      <c r="BD7" s="855">
        <v>1323286</v>
      </c>
      <c r="BE7" s="760">
        <f t="shared" si="20"/>
        <v>0</v>
      </c>
      <c r="BF7" s="855">
        <v>2966858</v>
      </c>
      <c r="BG7" s="760">
        <f t="shared" si="21"/>
        <v>1287</v>
      </c>
      <c r="BH7" s="855">
        <v>329876</v>
      </c>
      <c r="BI7" s="760">
        <f t="shared" si="22"/>
        <v>94</v>
      </c>
      <c r="BJ7" s="480">
        <v>365114</v>
      </c>
      <c r="BK7" s="760">
        <f t="shared" ref="BK7:BK36" si="29">IF(BJ7&gt;=BJ6,BJ7-BJ6,0)</f>
        <v>170</v>
      </c>
      <c r="BL7" s="870">
        <f t="shared" si="26"/>
        <v>30676.86</v>
      </c>
      <c r="BM7" s="871">
        <v>230</v>
      </c>
      <c r="BN7" s="870">
        <f t="shared" ref="BN7:BN12" si="30">IF(BL7&gt;0,BL7/BM6,0)</f>
        <v>125.72483606557377</v>
      </c>
      <c r="BO7" s="871"/>
      <c r="BP7" s="870" t="e">
        <f t="shared" si="27"/>
        <v>#DIV/0!</v>
      </c>
      <c r="BQ7" s="870">
        <f>BL7*BS1</f>
        <v>14111.355600000001</v>
      </c>
      <c r="BR7" s="870">
        <f t="shared" ref="BR7:BR15" si="31">IF(BQ7&gt;0,BQ7/BM6,0)</f>
        <v>57.833424590163936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19949904</v>
      </c>
      <c r="J8" s="760">
        <f t="shared" si="23"/>
        <v>6603</v>
      </c>
      <c r="K8" s="760">
        <f t="shared" si="0"/>
        <v>4233</v>
      </c>
      <c r="L8" s="855">
        <v>289080</v>
      </c>
      <c r="M8" s="760">
        <f>IF(L8&gt;=L7,L8-L7,0)</f>
        <v>2505</v>
      </c>
      <c r="N8" s="855">
        <v>362898</v>
      </c>
      <c r="O8" s="760">
        <f t="shared" si="2"/>
        <v>1728</v>
      </c>
      <c r="P8" s="855">
        <v>207323</v>
      </c>
      <c r="Q8" s="760">
        <f t="shared" si="3"/>
        <v>780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68300</v>
      </c>
      <c r="W8" s="760">
        <f t="shared" si="4"/>
        <v>147</v>
      </c>
      <c r="X8" s="480">
        <v>132266</v>
      </c>
      <c r="Y8" s="760">
        <f t="shared" si="5"/>
        <v>227</v>
      </c>
      <c r="Z8" s="855">
        <v>315108</v>
      </c>
      <c r="AA8" s="760">
        <f t="shared" si="6"/>
        <v>0</v>
      </c>
      <c r="AB8" s="855">
        <v>445869</v>
      </c>
      <c r="AC8" s="760">
        <f t="shared" si="7"/>
        <v>3999.38</v>
      </c>
      <c r="AD8" s="855">
        <v>407030</v>
      </c>
      <c r="AE8" s="760">
        <f t="shared" si="8"/>
        <v>2526.5100000000002</v>
      </c>
      <c r="AF8" s="855">
        <v>575976</v>
      </c>
      <c r="AG8" s="760">
        <f t="shared" si="9"/>
        <v>0</v>
      </c>
      <c r="AH8" s="855">
        <v>122329</v>
      </c>
      <c r="AI8" s="760">
        <f t="shared" si="10"/>
        <v>520.46</v>
      </c>
      <c r="AJ8" s="480">
        <v>593680</v>
      </c>
      <c r="AK8" s="760">
        <f t="shared" si="28"/>
        <v>2820.6600000000003</v>
      </c>
      <c r="AL8" s="760">
        <f>AA8+AC8+AE8+AG8+AI8+AK8</f>
        <v>9867.01</v>
      </c>
      <c r="AM8" s="480">
        <v>6749653</v>
      </c>
      <c r="AN8" s="760">
        <f t="shared" si="12"/>
        <v>1559</v>
      </c>
      <c r="AO8" s="855">
        <v>495690</v>
      </c>
      <c r="AP8" s="760">
        <f t="shared" si="13"/>
        <v>277</v>
      </c>
      <c r="AQ8" s="855">
        <v>840798</v>
      </c>
      <c r="AR8" s="760">
        <f t="shared" si="14"/>
        <v>42.35</v>
      </c>
      <c r="AS8" s="480">
        <v>749104</v>
      </c>
      <c r="AT8" s="760">
        <f t="shared" si="15"/>
        <v>261</v>
      </c>
      <c r="AU8" s="855">
        <v>2020735</v>
      </c>
      <c r="AV8" s="760">
        <f t="shared" si="16"/>
        <v>1016</v>
      </c>
      <c r="AW8" s="480">
        <v>186998</v>
      </c>
      <c r="AX8" s="760">
        <f t="shared" si="25"/>
        <v>67</v>
      </c>
      <c r="AY8" s="855">
        <v>15874988</v>
      </c>
      <c r="AZ8" s="760">
        <f t="shared" si="17"/>
        <v>6681</v>
      </c>
      <c r="BA8" s="855">
        <v>19288888</v>
      </c>
      <c r="BB8" s="760">
        <f t="shared" si="18"/>
        <v>6197.4</v>
      </c>
      <c r="BC8" s="760">
        <f t="shared" si="19"/>
        <v>16100.75</v>
      </c>
      <c r="BD8" s="855">
        <v>1323286</v>
      </c>
      <c r="BE8" s="760">
        <f t="shared" si="20"/>
        <v>0</v>
      </c>
      <c r="BF8" s="855">
        <v>2968234</v>
      </c>
      <c r="BG8" s="760">
        <f t="shared" si="21"/>
        <v>1376</v>
      </c>
      <c r="BH8" s="855">
        <v>329974</v>
      </c>
      <c r="BI8" s="760">
        <f t="shared" si="22"/>
        <v>98</v>
      </c>
      <c r="BJ8" s="855">
        <v>365298</v>
      </c>
      <c r="BK8" s="760">
        <f t="shared" si="29"/>
        <v>184</v>
      </c>
      <c r="BL8" s="870">
        <f t="shared" si="26"/>
        <v>33350.76</v>
      </c>
      <c r="BM8" s="871">
        <v>252</v>
      </c>
      <c r="BN8" s="870">
        <f t="shared" si="30"/>
        <v>145.00330434782609</v>
      </c>
      <c r="BO8" s="871"/>
      <c r="BP8" s="870" t="e">
        <f t="shared" si="27"/>
        <v>#DIV/0!</v>
      </c>
      <c r="BQ8" s="870">
        <f>BL8*BS1</f>
        <v>15341.349600000001</v>
      </c>
      <c r="BR8" s="870">
        <f t="shared" si="31"/>
        <v>66.701520000000002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19956222</v>
      </c>
      <c r="J9" s="760">
        <f>IF(I9&gt;=I8,I9-I8,0)</f>
        <v>6318</v>
      </c>
      <c r="K9" s="760">
        <f t="shared" si="0"/>
        <v>3858</v>
      </c>
      <c r="L9" s="480">
        <v>291297</v>
      </c>
      <c r="M9" s="760">
        <f>IF(L9&gt;=L8,L9-L8,0)</f>
        <v>2217</v>
      </c>
      <c r="N9" s="480">
        <v>364539</v>
      </c>
      <c r="O9" s="760">
        <f t="shared" si="2"/>
        <v>1641</v>
      </c>
      <c r="P9" s="855">
        <v>207350</v>
      </c>
      <c r="Q9" s="760">
        <f t="shared" si="3"/>
        <v>810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68442</v>
      </c>
      <c r="W9" s="760">
        <f t="shared" si="4"/>
        <v>142</v>
      </c>
      <c r="X9" s="480">
        <v>132487</v>
      </c>
      <c r="Y9" s="760">
        <f t="shared" si="5"/>
        <v>221</v>
      </c>
      <c r="Z9" s="480">
        <v>315108</v>
      </c>
      <c r="AA9" s="760">
        <f t="shared" si="6"/>
        <v>0</v>
      </c>
      <c r="AB9" s="480">
        <v>449949</v>
      </c>
      <c r="AC9" s="760">
        <f t="shared" si="7"/>
        <v>2162.4</v>
      </c>
      <c r="AD9" s="904">
        <v>413930</v>
      </c>
      <c r="AE9" s="760">
        <f t="shared" si="8"/>
        <v>3657</v>
      </c>
      <c r="AF9" s="480">
        <v>575976</v>
      </c>
      <c r="AG9" s="760">
        <f t="shared" si="9"/>
        <v>0</v>
      </c>
      <c r="AH9" s="480">
        <v>123303</v>
      </c>
      <c r="AI9" s="760">
        <f t="shared" si="10"/>
        <v>516.22</v>
      </c>
      <c r="AJ9" s="480">
        <v>598718</v>
      </c>
      <c r="AK9" s="760">
        <f t="shared" si="28"/>
        <v>2670.1400000000003</v>
      </c>
      <c r="AL9" s="760">
        <f t="shared" si="11"/>
        <v>9005.76</v>
      </c>
      <c r="AM9" s="480">
        <v>6751437</v>
      </c>
      <c r="AN9" s="760">
        <f t="shared" si="12"/>
        <v>1784</v>
      </c>
      <c r="AO9" s="855">
        <v>495962</v>
      </c>
      <c r="AP9" s="760">
        <f t="shared" si="13"/>
        <v>272</v>
      </c>
      <c r="AQ9" s="480">
        <v>841132</v>
      </c>
      <c r="AR9" s="760">
        <f t="shared" si="14"/>
        <v>36.74</v>
      </c>
      <c r="AS9" s="480">
        <v>749357</v>
      </c>
      <c r="AT9" s="760">
        <f t="shared" si="15"/>
        <v>253</v>
      </c>
      <c r="AU9" s="480">
        <v>2021700</v>
      </c>
      <c r="AV9" s="760">
        <f t="shared" si="16"/>
        <v>965</v>
      </c>
      <c r="AW9" s="480">
        <v>187064</v>
      </c>
      <c r="AX9" s="760">
        <f t="shared" si="25"/>
        <v>66</v>
      </c>
      <c r="AY9" s="480">
        <v>15881199</v>
      </c>
      <c r="AZ9" s="760">
        <f t="shared" si="17"/>
        <v>6211</v>
      </c>
      <c r="BA9" s="855">
        <v>19295692</v>
      </c>
      <c r="BB9" s="760">
        <f t="shared" si="18"/>
        <v>5823.1</v>
      </c>
      <c r="BC9" s="760">
        <f t="shared" si="19"/>
        <v>15410.84</v>
      </c>
      <c r="BD9" s="855">
        <v>1323286</v>
      </c>
      <c r="BE9" s="760">
        <f t="shared" si="20"/>
        <v>0</v>
      </c>
      <c r="BF9" s="480">
        <v>2969508</v>
      </c>
      <c r="BG9" s="760">
        <f t="shared" si="21"/>
        <v>1274</v>
      </c>
      <c r="BH9" s="855">
        <v>330063</v>
      </c>
      <c r="BI9" s="760">
        <f t="shared" si="22"/>
        <v>89</v>
      </c>
      <c r="BJ9" s="480">
        <v>365470</v>
      </c>
      <c r="BK9" s="760">
        <f t="shared" si="29"/>
        <v>172</v>
      </c>
      <c r="BL9" s="870">
        <f t="shared" si="26"/>
        <v>31544.6</v>
      </c>
      <c r="BM9" s="871">
        <v>243</v>
      </c>
      <c r="BN9" s="870">
        <f t="shared" si="30"/>
        <v>125.17698412698412</v>
      </c>
      <c r="BO9" s="871"/>
      <c r="BP9" s="870" t="e">
        <f t="shared" si="27"/>
        <v>#DIV/0!</v>
      </c>
      <c r="BQ9" s="870">
        <f>BL9*BS1</f>
        <v>14510.516</v>
      </c>
      <c r="BR9" s="870">
        <f t="shared" si="31"/>
        <v>57.581412698412699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19962223</v>
      </c>
      <c r="J10" s="760">
        <f>IF(I10&gt;=I9,I10-I9,0)</f>
        <v>6001</v>
      </c>
      <c r="K10" s="760">
        <f t="shared" si="0"/>
        <v>3791</v>
      </c>
      <c r="L10" s="855">
        <v>293469</v>
      </c>
      <c r="M10" s="760">
        <f>IF(L10&gt;=L9,L10-L9,0)</f>
        <v>2172</v>
      </c>
      <c r="N10" s="855">
        <v>366158</v>
      </c>
      <c r="O10" s="760">
        <f t="shared" si="2"/>
        <v>1619</v>
      </c>
      <c r="P10" s="855">
        <v>207374</v>
      </c>
      <c r="Q10" s="760">
        <f t="shared" si="3"/>
        <v>720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68587</v>
      </c>
      <c r="W10" s="760">
        <f t="shared" si="4"/>
        <v>145</v>
      </c>
      <c r="X10" s="480">
        <v>132714</v>
      </c>
      <c r="Y10" s="760">
        <f t="shared" si="5"/>
        <v>227</v>
      </c>
      <c r="Z10" s="480">
        <v>315108</v>
      </c>
      <c r="AA10" s="760">
        <f t="shared" si="6"/>
        <v>0</v>
      </c>
      <c r="AB10" s="855">
        <v>457051</v>
      </c>
      <c r="AC10" s="760">
        <f t="shared" si="7"/>
        <v>3764.0600000000004</v>
      </c>
      <c r="AD10" s="855">
        <v>418479</v>
      </c>
      <c r="AE10" s="760">
        <f t="shared" si="8"/>
        <v>2410.9700000000003</v>
      </c>
      <c r="AF10" s="480">
        <v>575976</v>
      </c>
      <c r="AG10" s="760">
        <f t="shared" si="9"/>
        <v>0</v>
      </c>
      <c r="AH10" s="480">
        <v>124338</v>
      </c>
      <c r="AI10" s="760">
        <f t="shared" si="10"/>
        <v>548.55000000000007</v>
      </c>
      <c r="AJ10" s="480">
        <v>603840</v>
      </c>
      <c r="AK10" s="760">
        <f t="shared" si="28"/>
        <v>2714.6600000000003</v>
      </c>
      <c r="AL10" s="760">
        <f t="shared" si="11"/>
        <v>9438.2400000000016</v>
      </c>
      <c r="AM10" s="480">
        <v>6753262</v>
      </c>
      <c r="AN10" s="760">
        <f t="shared" si="12"/>
        <v>1825</v>
      </c>
      <c r="AO10" s="855">
        <v>496228</v>
      </c>
      <c r="AP10" s="760">
        <f t="shared" si="13"/>
        <v>266</v>
      </c>
      <c r="AQ10" s="855">
        <v>841489</v>
      </c>
      <c r="AR10" s="760">
        <f t="shared" si="14"/>
        <v>39.270000000000003</v>
      </c>
      <c r="AS10" s="855">
        <v>749587</v>
      </c>
      <c r="AT10" s="760">
        <f t="shared" si="15"/>
        <v>230</v>
      </c>
      <c r="AU10" s="480">
        <v>2022667</v>
      </c>
      <c r="AV10" s="760">
        <f t="shared" si="16"/>
        <v>967</v>
      </c>
      <c r="AW10" s="480">
        <v>187133</v>
      </c>
      <c r="AX10" s="760">
        <f t="shared" si="25"/>
        <v>69</v>
      </c>
      <c r="AY10" s="855">
        <v>15887511</v>
      </c>
      <c r="AZ10" s="760">
        <f t="shared" si="17"/>
        <v>6312</v>
      </c>
      <c r="BA10" s="855">
        <v>19302461</v>
      </c>
      <c r="BB10" s="760">
        <f t="shared" si="18"/>
        <v>5755.8</v>
      </c>
      <c r="BC10" s="760">
        <f t="shared" si="19"/>
        <v>15464.07</v>
      </c>
      <c r="BD10" s="855">
        <v>1323286</v>
      </c>
      <c r="BE10" s="760">
        <f t="shared" si="20"/>
        <v>0</v>
      </c>
      <c r="BF10" s="855">
        <v>2970825</v>
      </c>
      <c r="BG10" s="760">
        <f t="shared" si="21"/>
        <v>1317</v>
      </c>
      <c r="BH10" s="855">
        <v>330155</v>
      </c>
      <c r="BI10" s="760">
        <f t="shared" si="22"/>
        <v>92</v>
      </c>
      <c r="BJ10" s="855">
        <v>365647</v>
      </c>
      <c r="BK10" s="760">
        <f t="shared" si="29"/>
        <v>177</v>
      </c>
      <c r="BL10" s="870">
        <f t="shared" si="26"/>
        <v>31623.31</v>
      </c>
      <c r="BM10" s="871">
        <v>248</v>
      </c>
      <c r="BN10" s="870">
        <f t="shared" si="30"/>
        <v>130.13707818930041</v>
      </c>
      <c r="BO10" s="871"/>
      <c r="BP10" s="870" t="e">
        <f t="shared" si="27"/>
        <v>#DIV/0!</v>
      </c>
      <c r="BQ10" s="870">
        <f>BL10*BS1</f>
        <v>14546.722600000001</v>
      </c>
      <c r="BR10" s="870">
        <f t="shared" si="31"/>
        <v>59.863055967078196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19968452</v>
      </c>
      <c r="J11" s="760">
        <f>IF(I11&gt;=I10,I11-I10,0)</f>
        <v>6229</v>
      </c>
      <c r="K11" s="760">
        <f t="shared" si="0"/>
        <v>3847</v>
      </c>
      <c r="L11" s="855">
        <v>295613</v>
      </c>
      <c r="M11" s="760">
        <f>IF(L11&gt;=L10,L11-L10,0)</f>
        <v>2144</v>
      </c>
      <c r="N11" s="855">
        <v>367861</v>
      </c>
      <c r="O11" s="760">
        <f t="shared" si="2"/>
        <v>1703</v>
      </c>
      <c r="P11" s="855">
        <v>207402</v>
      </c>
      <c r="Q11" s="760">
        <f t="shared" si="3"/>
        <v>840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68729</v>
      </c>
      <c r="W11" s="760">
        <f t="shared" si="4"/>
        <v>142</v>
      </c>
      <c r="X11" s="480">
        <v>132941</v>
      </c>
      <c r="Y11" s="760">
        <f t="shared" si="5"/>
        <v>227</v>
      </c>
      <c r="Z11" s="480">
        <v>315108</v>
      </c>
      <c r="AA11" s="760">
        <f t="shared" si="6"/>
        <v>0</v>
      </c>
      <c r="AB11" s="855">
        <v>464143</v>
      </c>
      <c r="AC11" s="760">
        <f t="shared" si="7"/>
        <v>3758.76</v>
      </c>
      <c r="AD11" s="855">
        <v>423399</v>
      </c>
      <c r="AE11" s="760">
        <f t="shared" si="8"/>
        <v>2607.6</v>
      </c>
      <c r="AF11" s="855">
        <v>575976</v>
      </c>
      <c r="AG11" s="760">
        <f>IF(AF11&gt;=AF10,AF11-AF10,0)*0.53</f>
        <v>0</v>
      </c>
      <c r="AH11" s="855">
        <v>125514</v>
      </c>
      <c r="AI11" s="760">
        <f t="shared" si="10"/>
        <v>623.28000000000009</v>
      </c>
      <c r="AJ11" s="855">
        <v>608932</v>
      </c>
      <c r="AK11" s="760">
        <f t="shared" si="28"/>
        <v>2698.76</v>
      </c>
      <c r="AL11" s="760">
        <f t="shared" si="11"/>
        <v>9688.4000000000015</v>
      </c>
      <c r="AM11" s="480">
        <v>6754995</v>
      </c>
      <c r="AN11" s="760">
        <f t="shared" si="12"/>
        <v>1733</v>
      </c>
      <c r="AO11" s="480">
        <v>496481</v>
      </c>
      <c r="AP11" s="760">
        <f t="shared" si="13"/>
        <v>253</v>
      </c>
      <c r="AQ11" s="855">
        <v>841849</v>
      </c>
      <c r="AR11" s="760">
        <f t="shared" si="14"/>
        <v>39.6</v>
      </c>
      <c r="AS11" s="480">
        <v>749838</v>
      </c>
      <c r="AT11" s="760">
        <f t="shared" si="15"/>
        <v>251</v>
      </c>
      <c r="AU11" s="855">
        <v>2023616</v>
      </c>
      <c r="AV11" s="760">
        <f t="shared" si="16"/>
        <v>949</v>
      </c>
      <c r="AW11" s="480">
        <v>187202</v>
      </c>
      <c r="AX11" s="760">
        <f t="shared" si="25"/>
        <v>69</v>
      </c>
      <c r="AY11" s="855">
        <v>15893866</v>
      </c>
      <c r="AZ11" s="760">
        <f t="shared" si="17"/>
        <v>6355</v>
      </c>
      <c r="BA11" s="855">
        <v>19308947</v>
      </c>
      <c r="BB11" s="760">
        <f t="shared" si="18"/>
        <v>5542.8</v>
      </c>
      <c r="BC11" s="760">
        <f t="shared" si="19"/>
        <v>15192.400000000001</v>
      </c>
      <c r="BD11" s="855">
        <v>1323286</v>
      </c>
      <c r="BE11" s="760">
        <f t="shared" si="20"/>
        <v>0</v>
      </c>
      <c r="BF11" s="855">
        <v>2972047</v>
      </c>
      <c r="BG11" s="760">
        <f t="shared" si="21"/>
        <v>1222</v>
      </c>
      <c r="BH11" s="855">
        <v>330239</v>
      </c>
      <c r="BI11" s="938">
        <f t="shared" si="22"/>
        <v>84</v>
      </c>
      <c r="BJ11" s="855">
        <v>365815</v>
      </c>
      <c r="BK11" s="760">
        <f t="shared" si="29"/>
        <v>168</v>
      </c>
      <c r="BL11" s="870">
        <f t="shared" si="26"/>
        <v>31949.800000000003</v>
      </c>
      <c r="BM11" s="871">
        <v>249</v>
      </c>
      <c r="BN11" s="870">
        <f t="shared" si="30"/>
        <v>128.82983870967743</v>
      </c>
      <c r="BO11" s="871"/>
      <c r="BP11" s="870" t="e">
        <f t="shared" si="27"/>
        <v>#DIV/0!</v>
      </c>
      <c r="BQ11" s="870">
        <f>BL11*BS1</f>
        <v>14696.908000000001</v>
      </c>
      <c r="BR11" s="870">
        <f t="shared" si="31"/>
        <v>59.261725806451615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19974869</v>
      </c>
      <c r="J12" s="760">
        <f>IF(I12&gt;=I11,I12-I11,0)</f>
        <v>6417</v>
      </c>
      <c r="K12" s="760">
        <f t="shared" si="0"/>
        <v>3969</v>
      </c>
      <c r="L12" s="855">
        <v>297925</v>
      </c>
      <c r="M12" s="760">
        <f t="shared" si="1"/>
        <v>2312</v>
      </c>
      <c r="N12" s="855">
        <v>369518</v>
      </c>
      <c r="O12" s="760">
        <f>IF(N12&gt;=N11,N12-N11,0)</f>
        <v>1657</v>
      </c>
      <c r="P12" s="855">
        <v>207428</v>
      </c>
      <c r="Q12" s="760">
        <f t="shared" si="3"/>
        <v>780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68875</v>
      </c>
      <c r="W12" s="760">
        <f t="shared" si="4"/>
        <v>146</v>
      </c>
      <c r="X12" s="480">
        <v>133160</v>
      </c>
      <c r="Y12" s="760">
        <f t="shared" si="5"/>
        <v>219</v>
      </c>
      <c r="Z12" s="480">
        <v>315108</v>
      </c>
      <c r="AA12" s="760">
        <f t="shared" si="6"/>
        <v>0</v>
      </c>
      <c r="AB12" s="855">
        <v>469601</v>
      </c>
      <c r="AC12" s="760">
        <f t="shared" si="7"/>
        <v>2892.7400000000002</v>
      </c>
      <c r="AD12" s="855">
        <v>430642</v>
      </c>
      <c r="AE12" s="760">
        <f t="shared" si="8"/>
        <v>3838.7900000000004</v>
      </c>
      <c r="AF12" s="855">
        <v>575976</v>
      </c>
      <c r="AG12" s="760">
        <f t="shared" si="9"/>
        <v>0</v>
      </c>
      <c r="AH12" s="480">
        <v>127077</v>
      </c>
      <c r="AI12" s="760">
        <f t="shared" si="10"/>
        <v>828.39</v>
      </c>
      <c r="AJ12" s="480">
        <v>614664</v>
      </c>
      <c r="AK12" s="760">
        <f t="shared" si="28"/>
        <v>3037.96</v>
      </c>
      <c r="AL12" s="760">
        <f t="shared" si="11"/>
        <v>10597.880000000001</v>
      </c>
      <c r="AM12" s="480">
        <v>6756548</v>
      </c>
      <c r="AN12" s="760">
        <f t="shared" si="12"/>
        <v>1553</v>
      </c>
      <c r="AO12" s="855">
        <v>496742</v>
      </c>
      <c r="AP12" s="760">
        <f t="shared" si="13"/>
        <v>261</v>
      </c>
      <c r="AQ12" s="855">
        <v>842241</v>
      </c>
      <c r="AR12" s="760">
        <f t="shared" si="14"/>
        <v>43.12</v>
      </c>
      <c r="AS12" s="855">
        <v>750087</v>
      </c>
      <c r="AT12" s="760">
        <f t="shared" si="15"/>
        <v>249</v>
      </c>
      <c r="AU12" s="480">
        <v>2024574</v>
      </c>
      <c r="AV12" s="760">
        <f t="shared" si="16"/>
        <v>958</v>
      </c>
      <c r="AW12" s="855">
        <v>187271</v>
      </c>
      <c r="AX12" s="760">
        <f t="shared" si="25"/>
        <v>69</v>
      </c>
      <c r="AY12" s="480">
        <v>15900116</v>
      </c>
      <c r="AZ12" s="760">
        <f t="shared" si="17"/>
        <v>6250</v>
      </c>
      <c r="BA12" s="855">
        <v>19315817</v>
      </c>
      <c r="BB12" s="760">
        <f t="shared" si="18"/>
        <v>5876</v>
      </c>
      <c r="BC12" s="760">
        <f t="shared" si="19"/>
        <v>15259.119999999999</v>
      </c>
      <c r="BD12" s="855">
        <v>1323286</v>
      </c>
      <c r="BE12" s="760">
        <f t="shared" si="20"/>
        <v>0</v>
      </c>
      <c r="BF12" s="855">
        <v>2973407</v>
      </c>
      <c r="BG12" s="760">
        <f t="shared" si="21"/>
        <v>1360</v>
      </c>
      <c r="BH12" s="855">
        <v>330325</v>
      </c>
      <c r="BI12" s="760">
        <f t="shared" si="22"/>
        <v>86</v>
      </c>
      <c r="BJ12" s="855">
        <v>365950</v>
      </c>
      <c r="BK12" s="760">
        <f t="shared" si="29"/>
        <v>135</v>
      </c>
      <c r="BL12" s="870">
        <f t="shared" si="26"/>
        <v>33054</v>
      </c>
      <c r="BM12" s="871">
        <v>223</v>
      </c>
      <c r="BN12" s="870">
        <f t="shared" si="30"/>
        <v>132.74698795180723</v>
      </c>
      <c r="BO12" s="871"/>
      <c r="BP12" s="870" t="e">
        <f t="shared" si="27"/>
        <v>#DIV/0!</v>
      </c>
      <c r="BQ12" s="870">
        <f>BL12*BS1</f>
        <v>15204.84</v>
      </c>
      <c r="BR12" s="870">
        <f t="shared" si="31"/>
        <v>61.063614457831328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19981204</v>
      </c>
      <c r="J13" s="760">
        <f t="shared" si="23"/>
        <v>6335</v>
      </c>
      <c r="K13" s="760">
        <f t="shared" si="0"/>
        <v>3899</v>
      </c>
      <c r="L13" s="855">
        <v>300254</v>
      </c>
      <c r="M13" s="760">
        <f t="shared" si="1"/>
        <v>2329</v>
      </c>
      <c r="N13" s="855">
        <v>371088</v>
      </c>
      <c r="O13" s="760">
        <f>IF(N13&gt;=N12,N13-N12,0)</f>
        <v>1570</v>
      </c>
      <c r="P13" s="855">
        <v>207454</v>
      </c>
      <c r="Q13" s="760">
        <f t="shared" si="3"/>
        <v>780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69018</v>
      </c>
      <c r="W13" s="760">
        <f t="shared" si="4"/>
        <v>143</v>
      </c>
      <c r="X13" s="480">
        <v>133394</v>
      </c>
      <c r="Y13" s="760">
        <f t="shared" si="5"/>
        <v>234</v>
      </c>
      <c r="Z13" s="480">
        <v>315108</v>
      </c>
      <c r="AA13" s="760">
        <f t="shared" si="6"/>
        <v>0</v>
      </c>
      <c r="AB13" s="855">
        <v>476210</v>
      </c>
      <c r="AC13" s="760">
        <f t="shared" si="7"/>
        <v>3502.77</v>
      </c>
      <c r="AD13" s="855">
        <v>437668</v>
      </c>
      <c r="AE13" s="760">
        <f t="shared" si="8"/>
        <v>3723.78</v>
      </c>
      <c r="AF13" s="855">
        <v>575976</v>
      </c>
      <c r="AG13" s="760">
        <f t="shared" si="9"/>
        <v>0</v>
      </c>
      <c r="AH13" s="855">
        <v>128338</v>
      </c>
      <c r="AI13" s="760">
        <f t="shared" si="10"/>
        <v>668.33</v>
      </c>
      <c r="AJ13" s="480">
        <v>620473</v>
      </c>
      <c r="AK13" s="760">
        <f t="shared" si="28"/>
        <v>3078.77</v>
      </c>
      <c r="AL13" s="760">
        <f t="shared" si="11"/>
        <v>10973.65</v>
      </c>
      <c r="AM13" s="480">
        <v>6758270</v>
      </c>
      <c r="AN13" s="760">
        <f t="shared" si="12"/>
        <v>1722</v>
      </c>
      <c r="AO13" s="480">
        <v>497000</v>
      </c>
      <c r="AP13" s="760">
        <f t="shared" si="13"/>
        <v>258</v>
      </c>
      <c r="AQ13" s="855">
        <v>842598</v>
      </c>
      <c r="AR13" s="760">
        <f t="shared" si="14"/>
        <v>39.270000000000003</v>
      </c>
      <c r="AS13" s="480">
        <v>750315</v>
      </c>
      <c r="AT13" s="760">
        <f t="shared" si="15"/>
        <v>228</v>
      </c>
      <c r="AU13" s="855">
        <v>2025533</v>
      </c>
      <c r="AV13" s="760">
        <f t="shared" si="16"/>
        <v>959</v>
      </c>
      <c r="AW13" s="480">
        <v>187339</v>
      </c>
      <c r="AX13" s="760">
        <f t="shared" si="25"/>
        <v>68</v>
      </c>
      <c r="AY13" s="855">
        <v>15906342</v>
      </c>
      <c r="AZ13" s="760">
        <f t="shared" si="17"/>
        <v>6226</v>
      </c>
      <c r="BA13" s="855">
        <v>19322340</v>
      </c>
      <c r="BB13" s="760">
        <f t="shared" si="18"/>
        <v>5521.9</v>
      </c>
      <c r="BC13" s="760">
        <f t="shared" si="19"/>
        <v>15022.17</v>
      </c>
      <c r="BD13" s="855">
        <v>1323286</v>
      </c>
      <c r="BE13" s="760">
        <f t="shared" si="20"/>
        <v>0</v>
      </c>
      <c r="BF13" s="855">
        <v>2974648</v>
      </c>
      <c r="BG13" s="760">
        <f t="shared" si="21"/>
        <v>1241</v>
      </c>
      <c r="BH13" s="855">
        <v>330414</v>
      </c>
      <c r="BI13" s="760">
        <f t="shared" si="22"/>
        <v>89</v>
      </c>
      <c r="BJ13" s="480">
        <v>366162</v>
      </c>
      <c r="BK13" s="760">
        <f t="shared" si="29"/>
        <v>212</v>
      </c>
      <c r="BL13" s="870">
        <f t="shared" si="26"/>
        <v>33110.82</v>
      </c>
      <c r="BM13" s="871">
        <v>235</v>
      </c>
      <c r="BN13" s="870">
        <f t="shared" ref="BN13:BN19" si="36">IF(BL13&gt;0,BL13/BM12,0)</f>
        <v>148.47901345291478</v>
      </c>
      <c r="BO13" s="871"/>
      <c r="BP13" s="870" t="e">
        <f t="shared" si="27"/>
        <v>#DIV/0!</v>
      </c>
      <c r="BQ13" s="870">
        <f>BL13*BS1</f>
        <v>15230.977200000001</v>
      </c>
      <c r="BR13" s="870">
        <f t="shared" si="31"/>
        <v>68.300346188340811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19987770</v>
      </c>
      <c r="J14" s="760">
        <f t="shared" si="23"/>
        <v>6566</v>
      </c>
      <c r="K14" s="760">
        <f t="shared" si="0"/>
        <v>5112</v>
      </c>
      <c r="L14" s="855">
        <v>302622</v>
      </c>
      <c r="M14" s="760">
        <f>IF(L14&gt;=L13,L14-L13,0)</f>
        <v>2368</v>
      </c>
      <c r="N14" s="855">
        <v>373832</v>
      </c>
      <c r="O14" s="760">
        <f t="shared" si="2"/>
        <v>2744</v>
      </c>
      <c r="P14" s="855">
        <v>207476</v>
      </c>
      <c r="Q14" s="760">
        <f t="shared" si="3"/>
        <v>660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69164</v>
      </c>
      <c r="W14" s="760">
        <f t="shared" si="4"/>
        <v>146</v>
      </c>
      <c r="X14" s="480">
        <v>133630</v>
      </c>
      <c r="Y14" s="760">
        <f t="shared" si="5"/>
        <v>236</v>
      </c>
      <c r="Z14" s="480">
        <v>315108</v>
      </c>
      <c r="AA14" s="760">
        <f t="shared" si="6"/>
        <v>0</v>
      </c>
      <c r="AB14" s="855">
        <v>482543</v>
      </c>
      <c r="AC14" s="760">
        <f t="shared" si="7"/>
        <v>3356.4900000000002</v>
      </c>
      <c r="AD14" s="855">
        <v>444194</v>
      </c>
      <c r="AE14" s="760">
        <f t="shared" si="8"/>
        <v>3458.78</v>
      </c>
      <c r="AF14" s="855">
        <v>575976</v>
      </c>
      <c r="AG14" s="760">
        <f t="shared" si="9"/>
        <v>0</v>
      </c>
      <c r="AH14" s="480">
        <v>129585</v>
      </c>
      <c r="AI14" s="760">
        <f t="shared" si="10"/>
        <v>660.91000000000008</v>
      </c>
      <c r="AJ14" s="855">
        <v>626825</v>
      </c>
      <c r="AK14" s="760">
        <f t="shared" si="28"/>
        <v>3366.56</v>
      </c>
      <c r="AL14" s="760">
        <f t="shared" si="11"/>
        <v>10842.74</v>
      </c>
      <c r="AM14" s="480">
        <v>6759978</v>
      </c>
      <c r="AN14" s="760">
        <f t="shared" si="12"/>
        <v>1708</v>
      </c>
      <c r="AO14" s="855">
        <v>497275</v>
      </c>
      <c r="AP14" s="760">
        <f t="shared" si="13"/>
        <v>275</v>
      </c>
      <c r="AQ14" s="855">
        <v>842967</v>
      </c>
      <c r="AR14" s="760">
        <f t="shared" si="14"/>
        <v>40.590000000000003</v>
      </c>
      <c r="AS14" s="855">
        <v>750542</v>
      </c>
      <c r="AT14" s="760">
        <f t="shared" si="15"/>
        <v>227</v>
      </c>
      <c r="AU14" s="480">
        <v>2026403</v>
      </c>
      <c r="AV14" s="760">
        <f t="shared" si="16"/>
        <v>870</v>
      </c>
      <c r="AW14" s="855">
        <v>187408</v>
      </c>
      <c r="AX14" s="760">
        <f t="shared" si="25"/>
        <v>69</v>
      </c>
      <c r="AY14" s="855">
        <v>15912537</v>
      </c>
      <c r="AZ14" s="760">
        <f t="shared" si="17"/>
        <v>6195</v>
      </c>
      <c r="BA14" s="855">
        <v>19329175</v>
      </c>
      <c r="BB14" s="760">
        <f t="shared" si="18"/>
        <v>5797.4</v>
      </c>
      <c r="BC14" s="760">
        <f t="shared" si="19"/>
        <v>15181.99</v>
      </c>
      <c r="BD14" s="855">
        <v>1323286</v>
      </c>
      <c r="BE14" s="760">
        <f t="shared" si="20"/>
        <v>0</v>
      </c>
      <c r="BF14" s="855">
        <v>2976009</v>
      </c>
      <c r="BG14" s="760">
        <f t="shared" si="21"/>
        <v>1361</v>
      </c>
      <c r="BH14" s="855">
        <v>330504</v>
      </c>
      <c r="BI14" s="760">
        <f t="shared" si="22"/>
        <v>90</v>
      </c>
      <c r="BJ14" s="855">
        <v>366338</v>
      </c>
      <c r="BK14" s="760">
        <f t="shared" si="29"/>
        <v>176</v>
      </c>
      <c r="BL14" s="870">
        <f t="shared" si="26"/>
        <v>33250.729999999996</v>
      </c>
      <c r="BM14" s="871">
        <v>231</v>
      </c>
      <c r="BN14" s="870">
        <f t="shared" si="36"/>
        <v>141.49246808510637</v>
      </c>
      <c r="BO14" s="871"/>
      <c r="BP14" s="870" t="e">
        <f t="shared" si="27"/>
        <v>#DIV/0!</v>
      </c>
      <c r="BQ14" s="870">
        <f>BL14*BS1</f>
        <v>15295.335799999999</v>
      </c>
      <c r="BR14" s="870">
        <f t="shared" si="31"/>
        <v>65.086535319148936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19994136</v>
      </c>
      <c r="J15" s="760">
        <f t="shared" si="23"/>
        <v>6366</v>
      </c>
      <c r="K15" s="760">
        <f t="shared" si="0"/>
        <v>3944</v>
      </c>
      <c r="L15" s="855">
        <v>304871</v>
      </c>
      <c r="M15" s="760">
        <f>IF(L15&gt;=L14,L15-L14,0)</f>
        <v>2249</v>
      </c>
      <c r="N15" s="855">
        <v>375527</v>
      </c>
      <c r="O15" s="760">
        <f t="shared" si="2"/>
        <v>1695</v>
      </c>
      <c r="P15" s="855">
        <v>207500</v>
      </c>
      <c r="Q15" s="760">
        <f t="shared" si="3"/>
        <v>720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69310</v>
      </c>
      <c r="W15" s="760">
        <f t="shared" si="4"/>
        <v>146</v>
      </c>
      <c r="X15" s="480">
        <v>133864</v>
      </c>
      <c r="Y15" s="760">
        <f t="shared" si="5"/>
        <v>234</v>
      </c>
      <c r="Z15" s="480">
        <v>315108</v>
      </c>
      <c r="AA15" s="760">
        <f t="shared" si="6"/>
        <v>0</v>
      </c>
      <c r="AB15" s="855">
        <v>489544</v>
      </c>
      <c r="AC15" s="760">
        <f t="shared" si="7"/>
        <v>3710.53</v>
      </c>
      <c r="AD15" s="855">
        <v>449776</v>
      </c>
      <c r="AE15" s="760">
        <f t="shared" si="8"/>
        <v>2958.46</v>
      </c>
      <c r="AF15" s="855">
        <v>575976</v>
      </c>
      <c r="AG15" s="760">
        <f t="shared" si="9"/>
        <v>0</v>
      </c>
      <c r="AH15" s="855">
        <v>130684</v>
      </c>
      <c r="AI15" s="760">
        <f t="shared" si="10"/>
        <v>582.47</v>
      </c>
      <c r="AJ15" s="480">
        <v>632848</v>
      </c>
      <c r="AK15" s="760">
        <f t="shared" si="28"/>
        <v>3192.19</v>
      </c>
      <c r="AL15" s="760">
        <f t="shared" si="11"/>
        <v>10443.65</v>
      </c>
      <c r="AM15" s="480">
        <v>6761939</v>
      </c>
      <c r="AN15" s="760">
        <f t="shared" si="12"/>
        <v>1961</v>
      </c>
      <c r="AO15" s="480">
        <v>497558</v>
      </c>
      <c r="AP15" s="760">
        <f t="shared" si="13"/>
        <v>283</v>
      </c>
      <c r="AQ15" s="855">
        <v>843343</v>
      </c>
      <c r="AR15" s="760">
        <f t="shared" si="14"/>
        <v>41.36</v>
      </c>
      <c r="AS15" s="480">
        <v>750782</v>
      </c>
      <c r="AT15" s="760">
        <f t="shared" si="15"/>
        <v>240</v>
      </c>
      <c r="AU15" s="855">
        <v>2027342</v>
      </c>
      <c r="AV15" s="760">
        <f t="shared" si="16"/>
        <v>939</v>
      </c>
      <c r="AW15" s="855">
        <v>187478</v>
      </c>
      <c r="AX15" s="760">
        <f t="shared" si="25"/>
        <v>70</v>
      </c>
      <c r="AY15" s="855">
        <v>15918760</v>
      </c>
      <c r="AZ15" s="760">
        <f t="shared" si="17"/>
        <v>6223</v>
      </c>
      <c r="BA15" s="855">
        <v>19336060</v>
      </c>
      <c r="BB15" s="760">
        <f t="shared" si="18"/>
        <v>5845.5</v>
      </c>
      <c r="BC15" s="760">
        <f t="shared" si="19"/>
        <v>15602.86</v>
      </c>
      <c r="BD15" s="855">
        <v>1323286</v>
      </c>
      <c r="BE15" s="760">
        <f t="shared" si="20"/>
        <v>0</v>
      </c>
      <c r="BF15" s="855">
        <v>2977369</v>
      </c>
      <c r="BG15" s="760">
        <f t="shared" si="21"/>
        <v>1360</v>
      </c>
      <c r="BH15" s="855">
        <v>330597</v>
      </c>
      <c r="BI15" s="760">
        <f t="shared" si="22"/>
        <v>93</v>
      </c>
      <c r="BJ15" s="855">
        <v>366515</v>
      </c>
      <c r="BK15" s="760">
        <f t="shared" si="29"/>
        <v>177</v>
      </c>
      <c r="BL15" s="870">
        <f t="shared" si="26"/>
        <v>33132.51</v>
      </c>
      <c r="BM15" s="871">
        <v>225</v>
      </c>
      <c r="BN15" s="870">
        <f t="shared" si="36"/>
        <v>143.43077922077924</v>
      </c>
      <c r="BO15" s="871"/>
      <c r="BP15" s="870" t="e">
        <f t="shared" si="27"/>
        <v>#DIV/0!</v>
      </c>
      <c r="BQ15" s="870">
        <f>BL15*BS1</f>
        <v>15240.954600000001</v>
      </c>
      <c r="BR15" s="870">
        <f t="shared" si="31"/>
        <v>65.978158441558449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20000259</v>
      </c>
      <c r="J16" s="760">
        <f t="shared" si="23"/>
        <v>6123</v>
      </c>
      <c r="K16" s="760">
        <f t="shared" si="0"/>
        <v>3800</v>
      </c>
      <c r="L16" s="855">
        <v>307018</v>
      </c>
      <c r="M16" s="760">
        <f>IF(L16&gt;=L15,L16-L15,0)</f>
        <v>2147</v>
      </c>
      <c r="N16" s="480">
        <v>377180</v>
      </c>
      <c r="O16" s="760">
        <f t="shared" si="2"/>
        <v>1653</v>
      </c>
      <c r="P16" s="855">
        <v>207526</v>
      </c>
      <c r="Q16" s="760">
        <f t="shared" si="3"/>
        <v>780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69452</v>
      </c>
      <c r="W16" s="760">
        <f t="shared" si="4"/>
        <v>142</v>
      </c>
      <c r="X16" s="480">
        <v>134084</v>
      </c>
      <c r="Y16" s="760">
        <f t="shared" si="5"/>
        <v>220</v>
      </c>
      <c r="Z16" s="480">
        <v>315108</v>
      </c>
      <c r="AA16" s="760">
        <f t="shared" si="6"/>
        <v>0</v>
      </c>
      <c r="AB16" s="855">
        <v>496512</v>
      </c>
      <c r="AC16" s="760">
        <f t="shared" si="7"/>
        <v>3693.04</v>
      </c>
      <c r="AD16" s="855">
        <v>454601</v>
      </c>
      <c r="AE16" s="760">
        <f t="shared" si="8"/>
        <v>2557.25</v>
      </c>
      <c r="AF16" s="480">
        <v>575972</v>
      </c>
      <c r="AG16" s="760">
        <f t="shared" si="9"/>
        <v>0</v>
      </c>
      <c r="AH16" s="480">
        <v>131870</v>
      </c>
      <c r="AI16" s="760">
        <f t="shared" si="10"/>
        <v>628.58000000000004</v>
      </c>
      <c r="AJ16" s="855">
        <v>638960</v>
      </c>
      <c r="AK16" s="760">
        <f t="shared" si="28"/>
        <v>3239.36</v>
      </c>
      <c r="AL16" s="760">
        <f t="shared" si="11"/>
        <v>10118.23</v>
      </c>
      <c r="AM16" s="904">
        <v>6763537</v>
      </c>
      <c r="AN16" s="760">
        <f t="shared" si="12"/>
        <v>1598</v>
      </c>
      <c r="AO16" s="480">
        <v>497820</v>
      </c>
      <c r="AP16" s="760">
        <f t="shared" si="13"/>
        <v>262</v>
      </c>
      <c r="AQ16" s="480">
        <v>843700</v>
      </c>
      <c r="AR16" s="760">
        <f t="shared" si="14"/>
        <v>39.270000000000003</v>
      </c>
      <c r="AS16" s="480">
        <v>751020</v>
      </c>
      <c r="AT16" s="760">
        <f t="shared" si="15"/>
        <v>238</v>
      </c>
      <c r="AU16" s="480">
        <v>2028100</v>
      </c>
      <c r="AV16" s="760">
        <f t="shared" si="16"/>
        <v>758</v>
      </c>
      <c r="AW16" s="480">
        <v>187545</v>
      </c>
      <c r="AX16" s="760">
        <f t="shared" si="25"/>
        <v>67</v>
      </c>
      <c r="AY16" s="480">
        <v>15924765</v>
      </c>
      <c r="AZ16" s="760">
        <f t="shared" si="17"/>
        <v>6005</v>
      </c>
      <c r="BA16" s="855">
        <v>19342703</v>
      </c>
      <c r="BB16" s="760">
        <f t="shared" si="18"/>
        <v>5646.4</v>
      </c>
      <c r="BC16" s="760">
        <f t="shared" si="19"/>
        <v>14613.67</v>
      </c>
      <c r="BD16" s="855">
        <v>1323286</v>
      </c>
      <c r="BE16" s="760">
        <f t="shared" si="20"/>
        <v>0</v>
      </c>
      <c r="BF16" s="855">
        <v>2978680</v>
      </c>
      <c r="BG16" s="760">
        <f t="shared" si="21"/>
        <v>1311</v>
      </c>
      <c r="BH16" s="480">
        <v>330675</v>
      </c>
      <c r="BI16" s="760">
        <f t="shared" si="22"/>
        <v>78</v>
      </c>
      <c r="BJ16" s="480">
        <v>366686</v>
      </c>
      <c r="BK16" s="760">
        <f t="shared" si="29"/>
        <v>171</v>
      </c>
      <c r="BL16" s="870">
        <f t="shared" si="26"/>
        <v>31634.9</v>
      </c>
      <c r="BM16" s="871">
        <v>173</v>
      </c>
      <c r="BN16" s="870">
        <f t="shared" si="36"/>
        <v>140.59955555555555</v>
      </c>
      <c r="BO16" s="871"/>
      <c r="BP16" s="870" t="e">
        <f t="shared" si="27"/>
        <v>#DIV/0!</v>
      </c>
      <c r="BQ16" s="870">
        <f>BL16*BS1</f>
        <v>14552.054000000002</v>
      </c>
      <c r="BR16" s="870">
        <f>IF(BQ16&gt;0,BQ16/BM15,0)</f>
        <v>64.675795555555567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/>
      <c r="J17" s="760">
        <f t="shared" si="23"/>
        <v>0</v>
      </c>
      <c r="K17" s="760">
        <f t="shared" si="0"/>
        <v>0</v>
      </c>
      <c r="L17" s="480"/>
      <c r="M17" s="760">
        <f>IF(L17&gt;=L16,L17-L16,0)</f>
        <v>0</v>
      </c>
      <c r="N17" s="480"/>
      <c r="O17" s="760">
        <f t="shared" si="2"/>
        <v>0</v>
      </c>
      <c r="P17" s="855"/>
      <c r="Q17" s="760">
        <f t="shared" si="3"/>
        <v>0</v>
      </c>
      <c r="R17" s="480"/>
      <c r="S17" s="760">
        <f>IF(R17&gt;=R16,R17-R16,0)</f>
        <v>0</v>
      </c>
      <c r="T17" s="480"/>
      <c r="U17" s="760">
        <f t="shared" si="4"/>
        <v>0</v>
      </c>
      <c r="V17" s="855"/>
      <c r="W17" s="760">
        <f t="shared" si="4"/>
        <v>0</v>
      </c>
      <c r="X17" s="855"/>
      <c r="Y17" s="760">
        <f t="shared" si="5"/>
        <v>0</v>
      </c>
      <c r="Z17" s="480"/>
      <c r="AA17" s="760">
        <f t="shared" si="6"/>
        <v>0</v>
      </c>
      <c r="AB17" s="480"/>
      <c r="AC17" s="760">
        <f t="shared" si="7"/>
        <v>0</v>
      </c>
      <c r="AD17" s="904"/>
      <c r="AE17" s="760">
        <f t="shared" si="8"/>
        <v>0</v>
      </c>
      <c r="AF17" s="480"/>
      <c r="AG17" s="760">
        <f t="shared" si="9"/>
        <v>0</v>
      </c>
      <c r="AH17" s="480"/>
      <c r="AI17" s="760">
        <f t="shared" si="10"/>
        <v>0</v>
      </c>
      <c r="AJ17" s="480"/>
      <c r="AK17" s="760">
        <f t="shared" si="28"/>
        <v>0</v>
      </c>
      <c r="AL17" s="760">
        <f t="shared" si="11"/>
        <v>0</v>
      </c>
      <c r="AM17" s="480"/>
      <c r="AN17" s="760">
        <f t="shared" si="12"/>
        <v>0</v>
      </c>
      <c r="AO17" s="480"/>
      <c r="AP17" s="760">
        <f t="shared" si="13"/>
        <v>0</v>
      </c>
      <c r="AQ17" s="480"/>
      <c r="AR17" s="760">
        <f t="shared" si="14"/>
        <v>0</v>
      </c>
      <c r="AS17" s="480"/>
      <c r="AT17" s="760">
        <f t="shared" si="15"/>
        <v>0</v>
      </c>
      <c r="AU17" s="480"/>
      <c r="AV17" s="760">
        <f t="shared" si="16"/>
        <v>0</v>
      </c>
      <c r="AW17" s="480"/>
      <c r="AX17" s="760">
        <f t="shared" si="25"/>
        <v>0</v>
      </c>
      <c r="AY17" s="480"/>
      <c r="AZ17" s="760">
        <f t="shared" si="17"/>
        <v>0</v>
      </c>
      <c r="BA17" s="855"/>
      <c r="BB17" s="760">
        <f t="shared" si="18"/>
        <v>0</v>
      </c>
      <c r="BC17" s="760">
        <f t="shared" si="19"/>
        <v>0</v>
      </c>
      <c r="BD17" s="855"/>
      <c r="BE17" s="760">
        <f>IF(BD17&gt;=BF16,BD17-BF16,0)</f>
        <v>0</v>
      </c>
      <c r="BF17" s="480"/>
      <c r="BG17" s="760">
        <f t="shared" si="21"/>
        <v>0</v>
      </c>
      <c r="BH17" s="480"/>
      <c r="BI17" s="760">
        <f t="shared" si="22"/>
        <v>0</v>
      </c>
      <c r="BJ17" s="480"/>
      <c r="BK17" s="760">
        <f t="shared" si="29"/>
        <v>0</v>
      </c>
      <c r="BL17" s="870">
        <f t="shared" si="26"/>
        <v>0</v>
      </c>
      <c r="BM17" s="871"/>
      <c r="BN17" s="870">
        <f t="shared" si="36"/>
        <v>0</v>
      </c>
      <c r="BO17" s="871"/>
      <c r="BP17" s="870">
        <f t="shared" si="27"/>
        <v>0</v>
      </c>
      <c r="BQ17" s="870">
        <f>BL17*BS1</f>
        <v>0</v>
      </c>
      <c r="BR17" s="870">
        <f>IF(BQ17&gt;0,BQ17/BM16,0)</f>
        <v>0</v>
      </c>
      <c r="BS17" s="872">
        <f t="shared" si="32"/>
        <v>0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480"/>
      <c r="J18" s="760">
        <f t="shared" si="23"/>
        <v>0</v>
      </c>
      <c r="K18" s="760">
        <f t="shared" si="0"/>
        <v>0</v>
      </c>
      <c r="L18" s="480"/>
      <c r="M18" s="760">
        <f>IF(L18&gt;=L17,L18-L17,0)</f>
        <v>0</v>
      </c>
      <c r="N18" s="480"/>
      <c r="O18" s="760">
        <f t="shared" si="2"/>
        <v>0</v>
      </c>
      <c r="P18" s="855"/>
      <c r="Q18" s="760">
        <f t="shared" si="3"/>
        <v>0</v>
      </c>
      <c r="R18" s="480"/>
      <c r="S18" s="760">
        <f t="shared" si="24"/>
        <v>0</v>
      </c>
      <c r="T18" s="480"/>
      <c r="U18" s="760">
        <f t="shared" si="4"/>
        <v>0</v>
      </c>
      <c r="V18" s="480"/>
      <c r="W18" s="760">
        <f t="shared" si="4"/>
        <v>0</v>
      </c>
      <c r="X18" s="480"/>
      <c r="Y18" s="760">
        <f t="shared" si="5"/>
        <v>0</v>
      </c>
      <c r="Z18" s="480"/>
      <c r="AA18" s="760">
        <f t="shared" si="6"/>
        <v>0</v>
      </c>
      <c r="AB18" s="480"/>
      <c r="AC18" s="760">
        <f t="shared" si="7"/>
        <v>0</v>
      </c>
      <c r="AD18" s="480"/>
      <c r="AE18" s="760">
        <f t="shared" si="8"/>
        <v>0</v>
      </c>
      <c r="AF18" s="480"/>
      <c r="AG18" s="760">
        <f t="shared" si="9"/>
        <v>0</v>
      </c>
      <c r="AH18" s="480"/>
      <c r="AI18" s="760">
        <f t="shared" si="10"/>
        <v>0</v>
      </c>
      <c r="AJ18" s="855"/>
      <c r="AK18" s="760">
        <f t="shared" si="28"/>
        <v>0</v>
      </c>
      <c r="AL18" s="760">
        <f t="shared" si="11"/>
        <v>0</v>
      </c>
      <c r="AM18" s="480"/>
      <c r="AN18" s="760">
        <f t="shared" si="12"/>
        <v>0</v>
      </c>
      <c r="AO18" s="480"/>
      <c r="AP18" s="760">
        <f t="shared" si="13"/>
        <v>0</v>
      </c>
      <c r="AQ18" s="480"/>
      <c r="AR18" s="760">
        <f t="shared" si="14"/>
        <v>0</v>
      </c>
      <c r="AS18" s="480"/>
      <c r="AT18" s="760">
        <f t="shared" si="15"/>
        <v>0</v>
      </c>
      <c r="AU18" s="480"/>
      <c r="AV18" s="760">
        <f t="shared" si="16"/>
        <v>0</v>
      </c>
      <c r="AW18" s="855"/>
      <c r="AX18" s="760">
        <f t="shared" si="25"/>
        <v>0</v>
      </c>
      <c r="AY18" s="480"/>
      <c r="AZ18" s="760">
        <f t="shared" si="17"/>
        <v>0</v>
      </c>
      <c r="BA18" s="855"/>
      <c r="BB18" s="760">
        <f t="shared" si="18"/>
        <v>0</v>
      </c>
      <c r="BC18" s="760">
        <f t="shared" si="19"/>
        <v>0</v>
      </c>
      <c r="BD18" s="855"/>
      <c r="BE18" s="760">
        <f t="shared" si="20"/>
        <v>0</v>
      </c>
      <c r="BF18" s="480"/>
      <c r="BG18" s="760">
        <f t="shared" si="21"/>
        <v>0</v>
      </c>
      <c r="BH18" s="480"/>
      <c r="BI18" s="760">
        <f t="shared" si="22"/>
        <v>0</v>
      </c>
      <c r="BJ18" s="855"/>
      <c r="BK18" s="760">
        <f t="shared" si="29"/>
        <v>0</v>
      </c>
      <c r="BL18" s="870">
        <f t="shared" si="26"/>
        <v>0</v>
      </c>
      <c r="BM18" s="871"/>
      <c r="BN18" s="870">
        <f t="shared" si="36"/>
        <v>0</v>
      </c>
      <c r="BO18" s="871"/>
      <c r="BP18" s="870">
        <f t="shared" si="27"/>
        <v>0</v>
      </c>
      <c r="BQ18" s="870">
        <f>BL18*BS1</f>
        <v>0</v>
      </c>
      <c r="BR18" s="870">
        <f>IF(BQ18&gt;0,BQ18/BM17,0)</f>
        <v>0</v>
      </c>
      <c r="BS18" s="872">
        <f t="shared" si="32"/>
        <v>0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/>
      <c r="J19" s="760">
        <f t="shared" si="23"/>
        <v>0</v>
      </c>
      <c r="K19" s="760">
        <f t="shared" si="0"/>
        <v>0</v>
      </c>
      <c r="L19" s="480"/>
      <c r="M19" s="760">
        <f t="shared" si="1"/>
        <v>0</v>
      </c>
      <c r="N19" s="480"/>
      <c r="O19" s="760">
        <f t="shared" si="2"/>
        <v>0</v>
      </c>
      <c r="P19" s="855"/>
      <c r="Q19" s="760">
        <f t="shared" ref="Q19:Q36" si="37">IF(P19&gt;=P18,P19-P18,0)*30</f>
        <v>0</v>
      </c>
      <c r="R19" s="480"/>
      <c r="S19" s="760">
        <f t="shared" ref="S19:S36" si="38">IF(R19&gt;=R18,R19-R18,0)</f>
        <v>0</v>
      </c>
      <c r="T19" s="480"/>
      <c r="U19" s="760">
        <f t="shared" ref="U19:U36" si="39">IF(T19&gt;=T18,T19-T18,0)</f>
        <v>0</v>
      </c>
      <c r="V19" s="480"/>
      <c r="W19" s="760">
        <f t="shared" si="4"/>
        <v>0</v>
      </c>
      <c r="X19" s="480"/>
      <c r="Y19" s="760">
        <f t="shared" si="5"/>
        <v>0</v>
      </c>
      <c r="Z19" s="480"/>
      <c r="AA19" s="760">
        <f t="shared" si="6"/>
        <v>0</v>
      </c>
      <c r="AB19" s="480"/>
      <c r="AC19" s="760">
        <f t="shared" si="7"/>
        <v>0</v>
      </c>
      <c r="AD19" s="904"/>
      <c r="AE19" s="760">
        <f t="shared" si="8"/>
        <v>0</v>
      </c>
      <c r="AF19" s="904"/>
      <c r="AG19" s="760">
        <f t="shared" si="9"/>
        <v>0</v>
      </c>
      <c r="AH19" s="904"/>
      <c r="AI19" s="760">
        <f t="shared" si="10"/>
        <v>0</v>
      </c>
      <c r="AJ19" s="855"/>
      <c r="AK19" s="760">
        <f t="shared" si="28"/>
        <v>0</v>
      </c>
      <c r="AL19" s="760">
        <f t="shared" si="11"/>
        <v>0</v>
      </c>
      <c r="AM19" s="904"/>
      <c r="AN19" s="760">
        <f t="shared" si="12"/>
        <v>0</v>
      </c>
      <c r="AO19" s="480"/>
      <c r="AP19" s="760">
        <f t="shared" si="13"/>
        <v>0</v>
      </c>
      <c r="AQ19" s="904"/>
      <c r="AR19" s="760">
        <f t="shared" si="14"/>
        <v>0</v>
      </c>
      <c r="AS19" s="480"/>
      <c r="AT19" s="760">
        <f t="shared" si="15"/>
        <v>0</v>
      </c>
      <c r="AU19" s="904"/>
      <c r="AV19" s="760">
        <f t="shared" si="16"/>
        <v>0</v>
      </c>
      <c r="AW19" s="480"/>
      <c r="AX19" s="760">
        <f t="shared" ref="AX19:AX36" si="40">IF(AW19&gt;=AW18,AW19-AW18,0)</f>
        <v>0</v>
      </c>
      <c r="AY19" s="855"/>
      <c r="AZ19" s="760">
        <f t="shared" si="17"/>
        <v>0</v>
      </c>
      <c r="BA19" s="855"/>
      <c r="BB19" s="760">
        <f t="shared" si="18"/>
        <v>0</v>
      </c>
      <c r="BC19" s="760">
        <f t="shared" si="19"/>
        <v>0</v>
      </c>
      <c r="BD19" s="855"/>
      <c r="BE19" s="760">
        <f t="shared" si="20"/>
        <v>0</v>
      </c>
      <c r="BF19" s="480"/>
      <c r="BG19" s="760">
        <f t="shared" si="21"/>
        <v>0</v>
      </c>
      <c r="BH19" s="904"/>
      <c r="BI19" s="760">
        <f t="shared" si="22"/>
        <v>0</v>
      </c>
      <c r="BJ19" s="855"/>
      <c r="BK19" s="760">
        <f t="shared" si="29"/>
        <v>0</v>
      </c>
      <c r="BL19" s="870">
        <f t="shared" si="26"/>
        <v>0</v>
      </c>
      <c r="BM19" s="904"/>
      <c r="BN19" s="870">
        <f t="shared" si="36"/>
        <v>0</v>
      </c>
      <c r="BO19" s="871"/>
      <c r="BP19" s="870">
        <f t="shared" si="27"/>
        <v>0</v>
      </c>
      <c r="BQ19" s="870">
        <f>BL19*BS1</f>
        <v>0</v>
      </c>
      <c r="BR19" s="870">
        <f>IF(BQ19&gt;0,BQ19/BM18,0)</f>
        <v>0</v>
      </c>
      <c r="BS19" s="872">
        <f t="shared" si="32"/>
        <v>0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/>
      <c r="J20" s="760">
        <f t="shared" si="23"/>
        <v>0</v>
      </c>
      <c r="K20" s="760">
        <f t="shared" si="0"/>
        <v>0</v>
      </c>
      <c r="L20" s="480"/>
      <c r="M20" s="760">
        <f t="shared" si="1"/>
        <v>0</v>
      </c>
      <c r="N20" s="480"/>
      <c r="O20" s="760">
        <f t="shared" si="2"/>
        <v>0</v>
      </c>
      <c r="P20" s="480"/>
      <c r="Q20" s="760">
        <f t="shared" si="37"/>
        <v>0</v>
      </c>
      <c r="R20" s="480"/>
      <c r="S20" s="760">
        <f t="shared" si="38"/>
        <v>0</v>
      </c>
      <c r="T20" s="480"/>
      <c r="U20" s="760">
        <f t="shared" si="39"/>
        <v>0</v>
      </c>
      <c r="V20" s="480"/>
      <c r="W20" s="760">
        <f t="shared" si="4"/>
        <v>0</v>
      </c>
      <c r="X20" s="480"/>
      <c r="Y20" s="760">
        <f t="shared" si="5"/>
        <v>0</v>
      </c>
      <c r="Z20" s="480"/>
      <c r="AA20" s="760">
        <f t="shared" si="6"/>
        <v>0</v>
      </c>
      <c r="AB20" s="480"/>
      <c r="AC20" s="760">
        <f t="shared" si="7"/>
        <v>0</v>
      </c>
      <c r="AD20" s="480"/>
      <c r="AE20" s="760">
        <f t="shared" si="8"/>
        <v>0</v>
      </c>
      <c r="AF20" s="480"/>
      <c r="AG20" s="760">
        <f t="shared" si="9"/>
        <v>0</v>
      </c>
      <c r="AH20" s="480"/>
      <c r="AI20" s="760">
        <f t="shared" si="10"/>
        <v>0</v>
      </c>
      <c r="AJ20" s="480"/>
      <c r="AK20" s="760">
        <f t="shared" si="28"/>
        <v>0</v>
      </c>
      <c r="AL20" s="760">
        <f t="shared" si="11"/>
        <v>0</v>
      </c>
      <c r="AM20" s="480"/>
      <c r="AN20" s="760">
        <f t="shared" si="12"/>
        <v>0</v>
      </c>
      <c r="AO20" s="855"/>
      <c r="AP20" s="760">
        <f t="shared" si="13"/>
        <v>0</v>
      </c>
      <c r="AQ20" s="480"/>
      <c r="AR20" s="760">
        <f t="shared" si="14"/>
        <v>0</v>
      </c>
      <c r="AS20" s="480"/>
      <c r="AT20" s="760">
        <f t="shared" si="15"/>
        <v>0</v>
      </c>
      <c r="AU20" s="480"/>
      <c r="AV20" s="760">
        <f t="shared" si="16"/>
        <v>0</v>
      </c>
      <c r="AW20" s="855"/>
      <c r="AX20" s="760">
        <f t="shared" si="40"/>
        <v>0</v>
      </c>
      <c r="AY20" s="480"/>
      <c r="AZ20" s="760">
        <f t="shared" si="17"/>
        <v>0</v>
      </c>
      <c r="BA20" s="855"/>
      <c r="BB20" s="760">
        <f t="shared" si="18"/>
        <v>0</v>
      </c>
      <c r="BC20" s="760">
        <f t="shared" si="19"/>
        <v>0</v>
      </c>
      <c r="BD20" s="855"/>
      <c r="BE20" s="760">
        <f t="shared" si="20"/>
        <v>0</v>
      </c>
      <c r="BF20" s="480"/>
      <c r="BG20" s="760">
        <f t="shared" si="21"/>
        <v>0</v>
      </c>
      <c r="BH20" s="480"/>
      <c r="BI20" s="760">
        <f t="shared" si="22"/>
        <v>0</v>
      </c>
      <c r="BJ20" s="855"/>
      <c r="BK20" s="760">
        <f t="shared" si="29"/>
        <v>0</v>
      </c>
      <c r="BL20" s="870">
        <f t="shared" si="26"/>
        <v>0</v>
      </c>
      <c r="BM20" s="871"/>
      <c r="BN20" s="870">
        <f t="shared" ref="BN20:BN36" si="41">IF(BL20&gt;0,BL20/BM20,0)</f>
        <v>0</v>
      </c>
      <c r="BO20" s="871"/>
      <c r="BP20" s="870">
        <f t="shared" si="27"/>
        <v>0</v>
      </c>
      <c r="BQ20" s="870">
        <f>BL20*BS1</f>
        <v>0</v>
      </c>
      <c r="BR20" s="870">
        <f t="shared" ref="BR20:BR36" si="42">IF(BQ20&gt;0,BQ20/BM20,0)</f>
        <v>0</v>
      </c>
      <c r="BS20" s="872">
        <f t="shared" si="32"/>
        <v>0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/>
      <c r="J21" s="760">
        <f t="shared" si="23"/>
        <v>0</v>
      </c>
      <c r="K21" s="760">
        <f t="shared" si="0"/>
        <v>0</v>
      </c>
      <c r="L21" s="480"/>
      <c r="M21" s="760">
        <f t="shared" si="1"/>
        <v>0</v>
      </c>
      <c r="N21" s="480"/>
      <c r="O21" s="760">
        <f t="shared" si="2"/>
        <v>0</v>
      </c>
      <c r="P21" s="855"/>
      <c r="Q21" s="760">
        <f t="shared" si="37"/>
        <v>0</v>
      </c>
      <c r="R21" s="480"/>
      <c r="S21" s="760">
        <f t="shared" si="38"/>
        <v>0</v>
      </c>
      <c r="T21" s="480"/>
      <c r="U21" s="760">
        <f t="shared" si="39"/>
        <v>0</v>
      </c>
      <c r="V21" s="480"/>
      <c r="W21" s="760">
        <f t="shared" ref="W21:W36" si="43">IF(V21&gt;=V20,V21-V20,0)</f>
        <v>0</v>
      </c>
      <c r="X21" s="855"/>
      <c r="Y21" s="760">
        <f t="shared" si="5"/>
        <v>0</v>
      </c>
      <c r="Z21" s="480"/>
      <c r="AA21" s="760">
        <f t="shared" si="6"/>
        <v>0</v>
      </c>
      <c r="AB21" s="855"/>
      <c r="AC21" s="760">
        <f>IF(AB21&gt;=AB20,AB21-AB20,0)*0.53</f>
        <v>0</v>
      </c>
      <c r="AD21" s="904"/>
      <c r="AE21" s="760">
        <f t="shared" si="8"/>
        <v>0</v>
      </c>
      <c r="AF21" s="480"/>
      <c r="AG21" s="760">
        <f t="shared" si="9"/>
        <v>0</v>
      </c>
      <c r="AH21" s="480"/>
      <c r="AI21" s="760">
        <f t="shared" si="10"/>
        <v>0</v>
      </c>
      <c r="AJ21" s="480"/>
      <c r="AK21" s="760">
        <f t="shared" si="28"/>
        <v>0</v>
      </c>
      <c r="AL21" s="760">
        <f t="shared" si="11"/>
        <v>0</v>
      </c>
      <c r="AM21" s="480"/>
      <c r="AN21" s="760">
        <f t="shared" si="12"/>
        <v>0</v>
      </c>
      <c r="AO21" s="480"/>
      <c r="AP21" s="760">
        <f t="shared" si="13"/>
        <v>0</v>
      </c>
      <c r="AQ21" s="480"/>
      <c r="AR21" s="760">
        <f t="shared" si="14"/>
        <v>0</v>
      </c>
      <c r="AS21" s="904"/>
      <c r="AT21" s="760">
        <f t="shared" si="15"/>
        <v>0</v>
      </c>
      <c r="AU21" s="480"/>
      <c r="AV21" s="760">
        <f t="shared" si="16"/>
        <v>0</v>
      </c>
      <c r="AW21" s="855"/>
      <c r="AX21" s="760">
        <f t="shared" si="40"/>
        <v>0</v>
      </c>
      <c r="AY21" s="855"/>
      <c r="AZ21" s="760">
        <f t="shared" si="17"/>
        <v>0</v>
      </c>
      <c r="BA21" s="855"/>
      <c r="BB21" s="760">
        <f t="shared" si="18"/>
        <v>0</v>
      </c>
      <c r="BC21" s="760">
        <f t="shared" si="19"/>
        <v>0</v>
      </c>
      <c r="BD21" s="855"/>
      <c r="BE21" s="760">
        <f t="shared" si="20"/>
        <v>0</v>
      </c>
      <c r="BF21" s="480"/>
      <c r="BG21" s="760">
        <f t="shared" si="21"/>
        <v>0</v>
      </c>
      <c r="BH21" s="480"/>
      <c r="BI21" s="760">
        <f t="shared" si="22"/>
        <v>0</v>
      </c>
      <c r="BJ21" s="480"/>
      <c r="BK21" s="760">
        <f t="shared" si="29"/>
        <v>0</v>
      </c>
      <c r="BL21" s="870">
        <f t="shared" si="26"/>
        <v>0</v>
      </c>
      <c r="BM21" s="871"/>
      <c r="BN21" s="870">
        <f t="shared" si="41"/>
        <v>0</v>
      </c>
      <c r="BO21" s="871"/>
      <c r="BP21" s="870">
        <f t="shared" si="27"/>
        <v>0</v>
      </c>
      <c r="BQ21" s="870">
        <f>BL21*BS1</f>
        <v>0</v>
      </c>
      <c r="BR21" s="870">
        <f t="shared" si="42"/>
        <v>0</v>
      </c>
      <c r="BS21" s="872">
        <f t="shared" si="32"/>
        <v>0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/>
      <c r="J22" s="760">
        <f t="shared" si="23"/>
        <v>0</v>
      </c>
      <c r="K22" s="760">
        <f t="shared" si="0"/>
        <v>0</v>
      </c>
      <c r="L22" s="480"/>
      <c r="M22" s="760">
        <f t="shared" si="1"/>
        <v>0</v>
      </c>
      <c r="N22" s="480"/>
      <c r="O22" s="760">
        <f t="shared" si="2"/>
        <v>0</v>
      </c>
      <c r="P22" s="855"/>
      <c r="Q22" s="760">
        <f t="shared" si="37"/>
        <v>0</v>
      </c>
      <c r="R22" s="480"/>
      <c r="S22" s="760">
        <f t="shared" si="38"/>
        <v>0</v>
      </c>
      <c r="T22" s="480"/>
      <c r="U22" s="760">
        <f t="shared" si="39"/>
        <v>0</v>
      </c>
      <c r="V22" s="480"/>
      <c r="W22" s="760">
        <f t="shared" si="43"/>
        <v>0</v>
      </c>
      <c r="X22" s="480"/>
      <c r="Y22" s="760">
        <f t="shared" si="5"/>
        <v>0</v>
      </c>
      <c r="Z22" s="480"/>
      <c r="AA22" s="760">
        <f t="shared" si="6"/>
        <v>0</v>
      </c>
      <c r="AB22" s="855"/>
      <c r="AC22" s="760">
        <f>IF(AB22&gt;=AB21,AB22-AB21,0)*0.53</f>
        <v>0</v>
      </c>
      <c r="AD22" s="904"/>
      <c r="AE22" s="760">
        <f t="shared" si="8"/>
        <v>0</v>
      </c>
      <c r="AF22" s="480"/>
      <c r="AG22" s="760">
        <f t="shared" si="9"/>
        <v>0</v>
      </c>
      <c r="AH22" s="480"/>
      <c r="AI22" s="760">
        <f t="shared" si="10"/>
        <v>0</v>
      </c>
      <c r="AJ22" s="480"/>
      <c r="AK22" s="760">
        <f t="shared" si="28"/>
        <v>0</v>
      </c>
      <c r="AL22" s="760">
        <f t="shared" si="11"/>
        <v>0</v>
      </c>
      <c r="AM22" s="480"/>
      <c r="AN22" s="760">
        <f t="shared" si="12"/>
        <v>0</v>
      </c>
      <c r="AO22" s="480"/>
      <c r="AP22" s="760">
        <f t="shared" si="13"/>
        <v>0</v>
      </c>
      <c r="AQ22" s="480"/>
      <c r="AR22" s="760">
        <f t="shared" si="14"/>
        <v>0</v>
      </c>
      <c r="AS22" s="480"/>
      <c r="AT22" s="760">
        <f t="shared" si="15"/>
        <v>0</v>
      </c>
      <c r="AU22" s="480"/>
      <c r="AV22" s="760">
        <f t="shared" si="16"/>
        <v>0</v>
      </c>
      <c r="AW22" s="480"/>
      <c r="AX22" s="760">
        <f t="shared" si="40"/>
        <v>0</v>
      </c>
      <c r="AY22" s="855"/>
      <c r="AZ22" s="760">
        <f t="shared" si="17"/>
        <v>0</v>
      </c>
      <c r="BA22" s="855"/>
      <c r="BB22" s="760">
        <f t="shared" si="18"/>
        <v>0</v>
      </c>
      <c r="BC22" s="760">
        <f t="shared" si="19"/>
        <v>0</v>
      </c>
      <c r="BD22" s="855"/>
      <c r="BE22" s="760">
        <f t="shared" si="20"/>
        <v>0</v>
      </c>
      <c r="BF22" s="480"/>
      <c r="BG22" s="760">
        <f t="shared" si="21"/>
        <v>0</v>
      </c>
      <c r="BH22" s="480"/>
      <c r="BI22" s="760">
        <f t="shared" si="22"/>
        <v>0</v>
      </c>
      <c r="BJ22" s="480"/>
      <c r="BK22" s="760">
        <f t="shared" si="29"/>
        <v>0</v>
      </c>
      <c r="BL22" s="870">
        <f t="shared" si="26"/>
        <v>0</v>
      </c>
      <c r="BM22" s="871"/>
      <c r="BN22" s="870">
        <f t="shared" si="41"/>
        <v>0</v>
      </c>
      <c r="BO22" s="871"/>
      <c r="BP22" s="870">
        <f t="shared" si="27"/>
        <v>0</v>
      </c>
      <c r="BQ22" s="870">
        <f>BL22*BS1</f>
        <v>0</v>
      </c>
      <c r="BR22" s="870">
        <f t="shared" si="42"/>
        <v>0</v>
      </c>
      <c r="BS22" s="872">
        <f t="shared" si="32"/>
        <v>0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/>
      <c r="J23" s="760">
        <f t="shared" si="23"/>
        <v>0</v>
      </c>
      <c r="K23" s="760">
        <f t="shared" si="0"/>
        <v>0</v>
      </c>
      <c r="L23" s="480"/>
      <c r="M23" s="760">
        <f t="shared" si="1"/>
        <v>0</v>
      </c>
      <c r="N23" s="480"/>
      <c r="O23" s="760">
        <f t="shared" si="2"/>
        <v>0</v>
      </c>
      <c r="P23" s="855"/>
      <c r="Q23" s="760">
        <f t="shared" si="37"/>
        <v>0</v>
      </c>
      <c r="R23" s="480"/>
      <c r="S23" s="760">
        <f t="shared" si="38"/>
        <v>0</v>
      </c>
      <c r="T23" s="480"/>
      <c r="U23" s="760">
        <f t="shared" si="39"/>
        <v>0</v>
      </c>
      <c r="V23" s="480"/>
      <c r="W23" s="760">
        <f t="shared" si="43"/>
        <v>0</v>
      </c>
      <c r="X23" s="480"/>
      <c r="Y23" s="760">
        <f t="shared" si="5"/>
        <v>0</v>
      </c>
      <c r="Z23" s="480"/>
      <c r="AA23" s="760">
        <f t="shared" si="6"/>
        <v>0</v>
      </c>
      <c r="AB23" s="480"/>
      <c r="AC23" s="760">
        <f>IF(AB23&gt;=AB22,AB23-AB22,0)*0.53</f>
        <v>0</v>
      </c>
      <c r="AD23" s="904"/>
      <c r="AE23" s="760">
        <f t="shared" si="8"/>
        <v>0</v>
      </c>
      <c r="AF23" s="480"/>
      <c r="AG23" s="760">
        <f t="shared" si="9"/>
        <v>0</v>
      </c>
      <c r="AH23" s="480"/>
      <c r="AI23" s="760">
        <f t="shared" si="10"/>
        <v>0</v>
      </c>
      <c r="AJ23" s="480"/>
      <c r="AK23" s="760">
        <f t="shared" si="28"/>
        <v>0</v>
      </c>
      <c r="AL23" s="760">
        <f t="shared" si="11"/>
        <v>0</v>
      </c>
      <c r="AM23" s="480"/>
      <c r="AN23" s="760">
        <f t="shared" si="12"/>
        <v>0</v>
      </c>
      <c r="AO23" s="480"/>
      <c r="AP23" s="760">
        <f t="shared" si="13"/>
        <v>0</v>
      </c>
      <c r="AQ23" s="480"/>
      <c r="AR23" s="760">
        <f t="shared" si="14"/>
        <v>0</v>
      </c>
      <c r="AS23" s="480"/>
      <c r="AT23" s="760">
        <f t="shared" si="15"/>
        <v>0</v>
      </c>
      <c r="AU23" s="480"/>
      <c r="AV23" s="760">
        <f t="shared" si="16"/>
        <v>0</v>
      </c>
      <c r="AW23" s="855"/>
      <c r="AX23" s="760">
        <f t="shared" si="40"/>
        <v>0</v>
      </c>
      <c r="AY23" s="855"/>
      <c r="AZ23" s="760">
        <f t="shared" si="17"/>
        <v>0</v>
      </c>
      <c r="BA23" s="855"/>
      <c r="BB23" s="760">
        <f t="shared" si="18"/>
        <v>0</v>
      </c>
      <c r="BC23" s="760">
        <f t="shared" si="19"/>
        <v>0</v>
      </c>
      <c r="BD23" s="855"/>
      <c r="BE23" s="760">
        <f t="shared" si="20"/>
        <v>0</v>
      </c>
      <c r="BF23" s="480"/>
      <c r="BG23" s="760">
        <f t="shared" si="21"/>
        <v>0</v>
      </c>
      <c r="BH23" s="480"/>
      <c r="BI23" s="760">
        <f t="shared" si="22"/>
        <v>0</v>
      </c>
      <c r="BJ23" s="480"/>
      <c r="BK23" s="760">
        <f t="shared" si="29"/>
        <v>0</v>
      </c>
      <c r="BL23" s="870">
        <f t="shared" si="26"/>
        <v>0</v>
      </c>
      <c r="BM23" s="871"/>
      <c r="BN23" s="870">
        <f t="shared" si="41"/>
        <v>0</v>
      </c>
      <c r="BO23" s="871"/>
      <c r="BP23" s="870">
        <f t="shared" si="27"/>
        <v>0</v>
      </c>
      <c r="BQ23" s="870">
        <f>BL23*BS1</f>
        <v>0</v>
      </c>
      <c r="BR23" s="870">
        <f t="shared" si="42"/>
        <v>0</v>
      </c>
      <c r="BS23" s="872">
        <f t="shared" si="32"/>
        <v>0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/>
      <c r="J24" s="760">
        <f t="shared" si="23"/>
        <v>0</v>
      </c>
      <c r="K24" s="760">
        <f t="shared" si="0"/>
        <v>0</v>
      </c>
      <c r="L24" s="480"/>
      <c r="M24" s="760">
        <f t="shared" si="1"/>
        <v>0</v>
      </c>
      <c r="N24" s="480"/>
      <c r="O24" s="760">
        <f t="shared" si="2"/>
        <v>0</v>
      </c>
      <c r="P24" s="855"/>
      <c r="Q24" s="760">
        <f>IF(P24&gt;=P23,P24-P23,0)*30</f>
        <v>0</v>
      </c>
      <c r="R24" s="480"/>
      <c r="S24" s="760">
        <f t="shared" si="38"/>
        <v>0</v>
      </c>
      <c r="T24" s="480"/>
      <c r="U24" s="760">
        <f t="shared" si="39"/>
        <v>0</v>
      </c>
      <c r="V24" s="480"/>
      <c r="W24" s="760">
        <f t="shared" si="43"/>
        <v>0</v>
      </c>
      <c r="X24" s="480"/>
      <c r="Y24" s="760">
        <f t="shared" si="5"/>
        <v>0</v>
      </c>
      <c r="Z24" s="480"/>
      <c r="AA24" s="760">
        <f t="shared" si="6"/>
        <v>0</v>
      </c>
      <c r="AB24" s="480"/>
      <c r="AC24" s="760">
        <f t="shared" si="7"/>
        <v>0</v>
      </c>
      <c r="AD24" s="480"/>
      <c r="AE24" s="760">
        <f t="shared" si="8"/>
        <v>0</v>
      </c>
      <c r="AF24" s="480"/>
      <c r="AG24" s="760">
        <f t="shared" si="9"/>
        <v>0</v>
      </c>
      <c r="AH24" s="480"/>
      <c r="AI24" s="760">
        <f t="shared" si="10"/>
        <v>0</v>
      </c>
      <c r="AJ24" s="480"/>
      <c r="AK24" s="760">
        <f t="shared" si="28"/>
        <v>0</v>
      </c>
      <c r="AL24" s="760">
        <f t="shared" si="11"/>
        <v>0</v>
      </c>
      <c r="AM24" s="480"/>
      <c r="AN24" s="760">
        <f t="shared" si="12"/>
        <v>0</v>
      </c>
      <c r="AO24" s="480"/>
      <c r="AP24" s="760">
        <f t="shared" si="13"/>
        <v>0</v>
      </c>
      <c r="AQ24" s="480"/>
      <c r="AR24" s="760">
        <f t="shared" si="14"/>
        <v>0</v>
      </c>
      <c r="AS24" s="480"/>
      <c r="AT24" s="760">
        <f t="shared" si="15"/>
        <v>0</v>
      </c>
      <c r="AU24" s="480"/>
      <c r="AV24" s="760">
        <f t="shared" si="16"/>
        <v>0</v>
      </c>
      <c r="AW24" s="480"/>
      <c r="AX24" s="760">
        <f t="shared" si="40"/>
        <v>0</v>
      </c>
      <c r="AY24" s="480"/>
      <c r="AZ24" s="760">
        <f t="shared" si="17"/>
        <v>0</v>
      </c>
      <c r="BA24" s="855"/>
      <c r="BB24" s="760">
        <f t="shared" si="18"/>
        <v>0</v>
      </c>
      <c r="BC24" s="760">
        <f t="shared" si="19"/>
        <v>0</v>
      </c>
      <c r="BD24" s="855"/>
      <c r="BE24" s="760">
        <f t="shared" si="20"/>
        <v>0</v>
      </c>
      <c r="BF24" s="480"/>
      <c r="BG24" s="760">
        <f t="shared" si="21"/>
        <v>0</v>
      </c>
      <c r="BH24" s="480"/>
      <c r="BI24" s="760">
        <f t="shared" si="22"/>
        <v>0</v>
      </c>
      <c r="BJ24" s="480"/>
      <c r="BK24" s="760">
        <f t="shared" si="29"/>
        <v>0</v>
      </c>
      <c r="BL24" s="870">
        <f t="shared" si="26"/>
        <v>0</v>
      </c>
      <c r="BM24" s="871"/>
      <c r="BN24" s="870">
        <f t="shared" si="41"/>
        <v>0</v>
      </c>
      <c r="BO24" s="871"/>
      <c r="BP24" s="870">
        <f t="shared" si="27"/>
        <v>0</v>
      </c>
      <c r="BQ24" s="870">
        <f>BL24*BS1</f>
        <v>0</v>
      </c>
      <c r="BR24" s="870">
        <f t="shared" si="42"/>
        <v>0</v>
      </c>
      <c r="BS24" s="872">
        <f t="shared" si="32"/>
        <v>0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/>
      <c r="J25" s="760">
        <f t="shared" si="23"/>
        <v>0</v>
      </c>
      <c r="K25" s="760">
        <f t="shared" si="0"/>
        <v>0</v>
      </c>
      <c r="L25" s="480"/>
      <c r="M25" s="760">
        <f t="shared" si="1"/>
        <v>0</v>
      </c>
      <c r="N25" s="480"/>
      <c r="O25" s="760">
        <f t="shared" si="2"/>
        <v>0</v>
      </c>
      <c r="P25" s="855"/>
      <c r="Q25" s="760">
        <f t="shared" si="37"/>
        <v>0</v>
      </c>
      <c r="R25" s="480"/>
      <c r="S25" s="760">
        <f t="shared" si="38"/>
        <v>0</v>
      </c>
      <c r="T25" s="480"/>
      <c r="U25" s="760">
        <f t="shared" si="39"/>
        <v>0</v>
      </c>
      <c r="V25" s="480"/>
      <c r="W25" s="760">
        <f t="shared" si="43"/>
        <v>0</v>
      </c>
      <c r="X25" s="480"/>
      <c r="Y25" s="760">
        <f t="shared" si="5"/>
        <v>0</v>
      </c>
      <c r="Z25" s="480"/>
      <c r="AA25" s="760">
        <f t="shared" si="6"/>
        <v>0</v>
      </c>
      <c r="AB25" s="855"/>
      <c r="AC25" s="760">
        <f t="shared" si="7"/>
        <v>0</v>
      </c>
      <c r="AD25" s="904"/>
      <c r="AE25" s="760">
        <f t="shared" si="8"/>
        <v>0</v>
      </c>
      <c r="AF25" s="480"/>
      <c r="AG25" s="760">
        <f t="shared" si="9"/>
        <v>0</v>
      </c>
      <c r="AH25" s="480"/>
      <c r="AI25" s="760">
        <f t="shared" si="10"/>
        <v>0</v>
      </c>
      <c r="AJ25" s="480"/>
      <c r="AK25" s="760">
        <f t="shared" si="28"/>
        <v>0</v>
      </c>
      <c r="AL25" s="760">
        <f t="shared" si="11"/>
        <v>0</v>
      </c>
      <c r="AM25" s="480"/>
      <c r="AN25" s="760">
        <f t="shared" si="12"/>
        <v>0</v>
      </c>
      <c r="AO25" s="855"/>
      <c r="AP25" s="760">
        <f>IF(AO25&gt;=AO24,AO25-AO24,0)</f>
        <v>0</v>
      </c>
      <c r="AQ25" s="480"/>
      <c r="AR25" s="760">
        <f t="shared" si="14"/>
        <v>0</v>
      </c>
      <c r="AS25" s="480"/>
      <c r="AT25" s="760">
        <f t="shared" si="15"/>
        <v>0</v>
      </c>
      <c r="AU25" s="480"/>
      <c r="AV25" s="760">
        <f t="shared" si="16"/>
        <v>0</v>
      </c>
      <c r="AW25" s="855"/>
      <c r="AX25" s="760">
        <f t="shared" si="40"/>
        <v>0</v>
      </c>
      <c r="AY25" s="480"/>
      <c r="AZ25" s="760">
        <f t="shared" si="17"/>
        <v>0</v>
      </c>
      <c r="BA25" s="855"/>
      <c r="BB25" s="760">
        <f t="shared" si="18"/>
        <v>0</v>
      </c>
      <c r="BC25" s="760">
        <f t="shared" si="19"/>
        <v>0</v>
      </c>
      <c r="BD25" s="855"/>
      <c r="BE25" s="760">
        <f t="shared" si="20"/>
        <v>0</v>
      </c>
      <c r="BF25" s="480"/>
      <c r="BG25" s="760">
        <f t="shared" si="21"/>
        <v>0</v>
      </c>
      <c r="BH25" s="480"/>
      <c r="BI25" s="760">
        <f t="shared" si="22"/>
        <v>0</v>
      </c>
      <c r="BJ25" s="480"/>
      <c r="BK25" s="760">
        <f t="shared" si="29"/>
        <v>0</v>
      </c>
      <c r="BL25" s="870">
        <f t="shared" si="26"/>
        <v>0</v>
      </c>
      <c r="BM25" s="871"/>
      <c r="BN25" s="870">
        <f t="shared" si="41"/>
        <v>0</v>
      </c>
      <c r="BO25" s="871"/>
      <c r="BP25" s="870">
        <f t="shared" si="27"/>
        <v>0</v>
      </c>
      <c r="BQ25" s="870">
        <f>BL25*BS1</f>
        <v>0</v>
      </c>
      <c r="BR25" s="870">
        <f t="shared" si="42"/>
        <v>0</v>
      </c>
      <c r="BS25" s="872">
        <f t="shared" si="32"/>
        <v>0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480"/>
      <c r="J26" s="760">
        <f t="shared" si="23"/>
        <v>0</v>
      </c>
      <c r="K26" s="760">
        <f t="shared" si="0"/>
        <v>0</v>
      </c>
      <c r="L26" s="855"/>
      <c r="M26" s="760">
        <f t="shared" si="1"/>
        <v>0</v>
      </c>
      <c r="N26" s="480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855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480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480"/>
      <c r="AT26" s="760">
        <f t="shared" si="15"/>
        <v>0</v>
      </c>
      <c r="AU26" s="480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480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480"/>
      <c r="J29" s="760">
        <f t="shared" si="23"/>
        <v>0</v>
      </c>
      <c r="K29" s="760">
        <f t="shared" si="0"/>
        <v>0</v>
      </c>
      <c r="L29" s="480"/>
      <c r="M29" s="760">
        <f t="shared" si="1"/>
        <v>0</v>
      </c>
      <c r="N29" s="480"/>
      <c r="O29" s="760">
        <f t="shared" si="2"/>
        <v>0</v>
      </c>
      <c r="P29" s="480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904"/>
      <c r="AE29" s="760">
        <f t="shared" si="8"/>
        <v>0</v>
      </c>
      <c r="AF29" s="480"/>
      <c r="AG29" s="760">
        <f t="shared" si="9"/>
        <v>0</v>
      </c>
      <c r="AH29" s="480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480"/>
      <c r="AN29" s="760">
        <f t="shared" si="12"/>
        <v>0</v>
      </c>
      <c r="AO29" s="480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480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/>
      <c r="J30" s="760">
        <f t="shared" si="23"/>
        <v>0</v>
      </c>
      <c r="K30" s="760">
        <f t="shared" si="0"/>
        <v>0</v>
      </c>
      <c r="L30" s="480"/>
      <c r="M30" s="760">
        <f t="shared" si="1"/>
        <v>0</v>
      </c>
      <c r="N30" s="480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480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480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480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480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480"/>
      <c r="J31" s="760">
        <f t="shared" si="23"/>
        <v>0</v>
      </c>
      <c r="K31" s="760">
        <f t="shared" si="0"/>
        <v>0</v>
      </c>
      <c r="L31" s="480"/>
      <c r="M31" s="760">
        <f t="shared" si="1"/>
        <v>0</v>
      </c>
      <c r="N31" s="480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904"/>
      <c r="AE31" s="760">
        <f t="shared" si="8"/>
        <v>0</v>
      </c>
      <c r="AF31" s="480"/>
      <c r="AG31" s="760">
        <f t="shared" si="9"/>
        <v>0</v>
      </c>
      <c r="AH31" s="480"/>
      <c r="AI31" s="760">
        <f t="shared" si="10"/>
        <v>0</v>
      </c>
      <c r="AJ31" s="480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480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480"/>
      <c r="AX32" s="760">
        <f t="shared" si="40"/>
        <v>0</v>
      </c>
      <c r="AY32" s="480"/>
      <c r="AZ32" s="760">
        <f t="shared" si="17"/>
        <v>0</v>
      </c>
      <c r="BA32" s="480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480"/>
      <c r="J33" s="760">
        <f t="shared" si="23"/>
        <v>0</v>
      </c>
      <c r="K33" s="760">
        <f t="shared" si="0"/>
        <v>0</v>
      </c>
      <c r="L33" s="480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480"/>
      <c r="Y33" s="760">
        <f t="shared" si="5"/>
        <v>0</v>
      </c>
      <c r="Z33" s="480"/>
      <c r="AA33" s="760">
        <f t="shared" si="6"/>
        <v>0</v>
      </c>
      <c r="AB33" s="480"/>
      <c r="AC33" s="760">
        <f t="shared" si="44"/>
        <v>0</v>
      </c>
      <c r="AD33" s="904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480"/>
      <c r="AT33" s="760">
        <f t="shared" si="15"/>
        <v>0</v>
      </c>
      <c r="AU33" s="480"/>
      <c r="AV33" s="760">
        <f t="shared" si="16"/>
        <v>0</v>
      </c>
      <c r="AW33" s="480"/>
      <c r="AX33" s="760">
        <f t="shared" si="40"/>
        <v>0</v>
      </c>
      <c r="AY33" s="480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480"/>
      <c r="M34" s="760">
        <f t="shared" si="1"/>
        <v>0</v>
      </c>
      <c r="N34" s="480"/>
      <c r="O34" s="760">
        <f t="shared" si="2"/>
        <v>0</v>
      </c>
      <c r="P34" s="855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904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855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855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855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855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855"/>
      <c r="AZ35" s="760">
        <f t="shared" si="17"/>
        <v>0</v>
      </c>
      <c r="BA35" s="480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480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855"/>
      <c r="M36" s="760">
        <f t="shared" si="1"/>
        <v>0</v>
      </c>
      <c r="N36" s="855"/>
      <c r="O36" s="760">
        <f t="shared" si="2"/>
        <v>0</v>
      </c>
      <c r="P36" s="855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904"/>
      <c r="AE36" s="760">
        <f t="shared" si="8"/>
        <v>0</v>
      </c>
      <c r="AF36" s="480"/>
      <c r="AG36" s="760">
        <f t="shared" si="9"/>
        <v>0</v>
      </c>
      <c r="AH36" s="855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855"/>
      <c r="AP36" s="760">
        <f t="shared" si="13"/>
        <v>0</v>
      </c>
      <c r="AQ36" s="480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855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480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69012</v>
      </c>
      <c r="K37" s="910">
        <f>SUM(K6:K36)</f>
        <v>44243</v>
      </c>
      <c r="L37" s="875"/>
      <c r="M37" s="638">
        <f>SUM(M6:M36)</f>
        <v>25840</v>
      </c>
      <c r="N37" s="875"/>
      <c r="O37" s="638">
        <f>SUM(O6:O36)</f>
        <v>18403</v>
      </c>
      <c r="P37" s="874"/>
      <c r="Q37" s="638">
        <f>SUM(Q6:Q36)</f>
        <v>8460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1625</v>
      </c>
      <c r="X37" s="915"/>
      <c r="Y37" s="638">
        <f>SUM(Y6:Y36)</f>
        <v>2477</v>
      </c>
      <c r="Z37" s="874"/>
      <c r="AA37" s="638">
        <f>SUM(AA6:AA36)</f>
        <v>0</v>
      </c>
      <c r="AB37" s="480"/>
      <c r="AC37" s="638">
        <f>SUM(AC5:AC36)</f>
        <v>33113.340000000004</v>
      </c>
      <c r="AD37" s="911"/>
      <c r="AE37" s="910">
        <f>SUM(AE6:AE36)</f>
        <v>35611.760000000002</v>
      </c>
      <c r="AF37" s="874"/>
      <c r="AG37" s="638">
        <f>SUM(AG6:AG36)</f>
        <v>0</v>
      </c>
      <c r="AH37" s="877"/>
      <c r="AI37" s="638">
        <f>SUM(AI6:AI36)</f>
        <v>6634.5400000000009</v>
      </c>
      <c r="AJ37" s="877"/>
      <c r="AK37" s="638">
        <f>SUM(AK6:AK36)</f>
        <v>30558.210000000003</v>
      </c>
      <c r="AL37" s="910">
        <f>SUM(AL6:AL36)</f>
        <v>105917.84999999999</v>
      </c>
      <c r="AM37" s="877"/>
      <c r="AN37" s="638">
        <f>SUM(AN6:AN36)</f>
        <v>17780</v>
      </c>
      <c r="AO37" s="877"/>
      <c r="AP37" s="638">
        <f>SUM(AP6:AP36)</f>
        <v>3041</v>
      </c>
      <c r="AQ37" s="877"/>
      <c r="AR37" s="638">
        <f>SUM(AR6:AR36)</f>
        <v>429.22</v>
      </c>
      <c r="AS37" s="877"/>
      <c r="AT37" s="638">
        <f>SUM(AT6:AT36)</f>
        <v>2648</v>
      </c>
      <c r="AU37" s="877"/>
      <c r="AV37" s="638">
        <f>SUM(AV6:AV36)</f>
        <v>9920</v>
      </c>
      <c r="AW37" s="877"/>
      <c r="AX37" s="638">
        <f>SUM(AX6:AX36)</f>
        <v>728.25606229100958</v>
      </c>
      <c r="AY37" s="877"/>
      <c r="AZ37" s="638">
        <f>SUM(AZ6:AZ36)</f>
        <v>68455</v>
      </c>
      <c r="BA37" s="877"/>
      <c r="BB37" s="910">
        <f>SUM(BB6:BB36)</f>
        <v>64263</v>
      </c>
      <c r="BC37" s="910">
        <f>SUM(BC6:BC36)</f>
        <v>167264.47606229104</v>
      </c>
      <c r="BD37" s="875"/>
      <c r="BE37" s="638">
        <f>SUM(BE6:BE36)</f>
        <v>0</v>
      </c>
      <c r="BF37" s="877"/>
      <c r="BG37" s="638">
        <f>SUM(BG6:BG36)</f>
        <v>14665</v>
      </c>
      <c r="BH37" s="877"/>
      <c r="BI37" s="638">
        <f>SUM(BI6:BI36)</f>
        <v>958</v>
      </c>
      <c r="BJ37" s="877"/>
      <c r="BK37" s="638">
        <f>SUM(BK6:BK36)</f>
        <v>1937</v>
      </c>
      <c r="BL37" s="638">
        <f>SUM(BL6:BL36)</f>
        <v>350654.32606229105</v>
      </c>
      <c r="BM37" s="878">
        <f>SUM(BM6:BM36)</f>
        <v>2553</v>
      </c>
      <c r="BN37" s="879">
        <f>IF(BL37&gt;0,BL37/BM37,0)</f>
        <v>137.34991228448533</v>
      </c>
      <c r="BO37" s="878">
        <f>SUM(BO6:BO35)</f>
        <v>0</v>
      </c>
      <c r="BP37" s="879" t="e">
        <f>IF(BL37&gt;0,BL37/BO37,0)</f>
        <v>#DIV/0!</v>
      </c>
      <c r="BQ37" s="616">
        <f>SUM(BQ6:BQ35)</f>
        <v>161300.98998865386</v>
      </c>
      <c r="BR37" s="879">
        <f>IF(BQ37&gt;0,BQ37/BM37,0)</f>
        <v>63.180959650863244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6273.818181818182</v>
      </c>
      <c r="K38" s="881">
        <f>K37/J46</f>
        <v>4022.090909090909</v>
      </c>
      <c r="L38" s="882"/>
      <c r="M38" s="881">
        <f>M37/J46</f>
        <v>2349.090909090909</v>
      </c>
      <c r="N38" s="882"/>
      <c r="O38" s="881">
        <f>O37/J46</f>
        <v>1673</v>
      </c>
      <c r="P38" s="883"/>
      <c r="Q38" s="881">
        <f>Q37/J46</f>
        <v>769.09090909090912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147.72727272727272</v>
      </c>
      <c r="X38" s="916"/>
      <c r="Y38" s="881">
        <f>Y37/J46</f>
        <v>225.18181818181819</v>
      </c>
      <c r="Z38" s="883"/>
      <c r="AA38" s="881">
        <f>AA37/J46</f>
        <v>0</v>
      </c>
      <c r="AB38" s="883"/>
      <c r="AC38" s="760"/>
      <c r="AD38" s="884"/>
      <c r="AE38" s="881">
        <f>AE37/J46</f>
        <v>3237.4327272727273</v>
      </c>
      <c r="AF38" s="883"/>
      <c r="AG38" s="881">
        <f>AG37/J46</f>
        <v>0</v>
      </c>
      <c r="AH38" s="885"/>
      <c r="AI38" s="881">
        <f>AI37/J46</f>
        <v>603.1400000000001</v>
      </c>
      <c r="AJ38" s="885"/>
      <c r="AK38" s="881">
        <f>AK37/J46</f>
        <v>2778.0190909090911</v>
      </c>
      <c r="AL38" s="881">
        <f>AL37/J46</f>
        <v>9628.8954545454544</v>
      </c>
      <c r="AM38" s="885"/>
      <c r="AN38" s="881">
        <f>AN37/J46</f>
        <v>1616.3636363636363</v>
      </c>
      <c r="AO38" s="885"/>
      <c r="AP38" s="881">
        <f>AP37/J46</f>
        <v>276.45454545454544</v>
      </c>
      <c r="AQ38" s="885"/>
      <c r="AR38" s="881">
        <f>AR37/J46</f>
        <v>39.020000000000003</v>
      </c>
      <c r="AS38" s="885"/>
      <c r="AT38" s="881">
        <f>AT37/J46</f>
        <v>240.72727272727272</v>
      </c>
      <c r="AU38" s="885"/>
      <c r="AV38" s="881">
        <f>AV37/J46</f>
        <v>901.81818181818187</v>
      </c>
      <c r="AW38" s="885"/>
      <c r="AX38" s="881">
        <f>AX37/J46</f>
        <v>66.205096571909962</v>
      </c>
      <c r="AY38" s="885"/>
      <c r="AZ38" s="881">
        <f>AZ37/J46</f>
        <v>6223.181818181818</v>
      </c>
      <c r="BA38" s="885"/>
      <c r="BB38" s="881">
        <f>BB37/J46</f>
        <v>5842.090909090909</v>
      </c>
      <c r="BC38" s="881"/>
      <c r="BD38" s="882"/>
      <c r="BE38" s="881">
        <f>BE37/J46</f>
        <v>0</v>
      </c>
      <c r="BF38" s="885"/>
      <c r="BG38" s="881">
        <f>BG37/J46</f>
        <v>1333.1818181818182</v>
      </c>
      <c r="BH38" s="885"/>
      <c r="BI38" s="881">
        <f>BI37/J46</f>
        <v>87.090909090909093</v>
      </c>
      <c r="BJ38" s="885"/>
      <c r="BK38" s="881">
        <f>BK37/J46</f>
        <v>176.09090909090909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11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71"/>
      <c r="B52" s="971"/>
      <c r="BM52" s="31"/>
    </row>
    <row r="54" spans="1:65" ht="30.75" customHeight="1">
      <c r="BL54" s="585"/>
    </row>
    <row r="56" spans="1:65" ht="30.75" customHeight="1">
      <c r="I56" s="31">
        <f>-L11</f>
        <v>-295613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">
    <cfRule type="cellIs" dxfId="19" priority="2" operator="greaterThan">
      <formula>262</formula>
    </cfRule>
  </conditionalFormatting>
  <conditionalFormatting sqref="BM26:BM31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Z762"/>
  <sheetViews>
    <sheetView showGridLines="0" tabSelected="1" zoomScale="60" zoomScaleNormal="60" zoomScaleSheetLayoutView="40" workbookViewId="0">
      <pane xSplit="1" ySplit="5" topLeftCell="B6" activePane="bottomRight" state="frozen"/>
      <selection activeCell="G39" sqref="G39"/>
      <selection pane="topRight" activeCell="G39" sqref="G39"/>
      <selection pane="bottomLeft" activeCell="G39" sqref="G39"/>
      <selection pane="bottomRight" activeCell="B9" sqref="B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998" t="str">
        <f>Elect!A1</f>
        <v>November</v>
      </c>
      <c r="B1" s="694"/>
      <c r="C1" s="695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696"/>
      <c r="P1" s="1000"/>
      <c r="Q1" s="1000"/>
      <c r="R1" s="1000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999"/>
      <c r="B2" s="701"/>
      <c r="C2" s="695"/>
      <c r="O2" s="696"/>
      <c r="P2" s="1001"/>
      <c r="Q2" s="1001"/>
      <c r="R2" s="1001"/>
      <c r="T2" s="702"/>
      <c r="X2" s="703"/>
    </row>
    <row r="3" spans="1:26" s="617" customFormat="1" ht="42" customHeight="1" thickBot="1">
      <c r="A3" s="990" t="s">
        <v>10</v>
      </c>
      <c r="B3" s="704"/>
      <c r="C3" s="705"/>
      <c r="D3" s="705"/>
      <c r="E3" s="706" t="s">
        <v>11</v>
      </c>
      <c r="F3" s="705"/>
      <c r="G3" s="705"/>
      <c r="H3" s="707"/>
      <c r="I3" s="1020" t="s">
        <v>362</v>
      </c>
      <c r="J3" s="1021"/>
      <c r="K3" s="1021"/>
      <c r="L3" s="1021"/>
      <c r="M3" s="1022"/>
      <c r="N3" s="1012" t="s">
        <v>306</v>
      </c>
      <c r="O3" s="1013"/>
      <c r="P3" s="993" t="s">
        <v>307</v>
      </c>
      <c r="Q3" s="993"/>
      <c r="R3" s="993" t="s">
        <v>308</v>
      </c>
      <c r="S3" s="993"/>
      <c r="T3" s="1008" t="s">
        <v>14</v>
      </c>
      <c r="U3" s="1004" t="s">
        <v>49</v>
      </c>
      <c r="V3" s="1004" t="s">
        <v>15</v>
      </c>
      <c r="W3" s="1004" t="s">
        <v>16</v>
      </c>
      <c r="X3" s="1005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991"/>
      <c r="B4" s="1014" t="s">
        <v>302</v>
      </c>
      <c r="C4" s="1015"/>
      <c r="D4" s="1016" t="s">
        <v>303</v>
      </c>
      <c r="E4" s="1017"/>
      <c r="F4" s="1016" t="s">
        <v>304</v>
      </c>
      <c r="G4" s="1017"/>
      <c r="H4" s="996" t="s">
        <v>20</v>
      </c>
      <c r="I4" s="1018" t="s">
        <v>363</v>
      </c>
      <c r="J4" s="1019"/>
      <c r="K4" s="1018" t="s">
        <v>364</v>
      </c>
      <c r="L4" s="1019"/>
      <c r="M4" s="922"/>
      <c r="N4" s="996" t="s">
        <v>305</v>
      </c>
      <c r="O4" s="996" t="s">
        <v>26</v>
      </c>
      <c r="P4" s="994" t="s">
        <v>63</v>
      </c>
      <c r="Q4" s="994" t="s">
        <v>46</v>
      </c>
      <c r="R4" s="994" t="s">
        <v>63</v>
      </c>
      <c r="S4" s="994" t="s">
        <v>46</v>
      </c>
      <c r="T4" s="1009"/>
      <c r="U4" s="994"/>
      <c r="V4" s="994"/>
      <c r="W4" s="994"/>
      <c r="X4" s="1006"/>
      <c r="Y4" s="1002" t="s">
        <v>54</v>
      </c>
      <c r="Z4" s="987" t="s">
        <v>55</v>
      </c>
    </row>
    <row r="5" spans="1:26" s="617" customFormat="1" ht="48.75" customHeight="1" thickBot="1">
      <c r="A5" s="992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997"/>
      <c r="I5" s="926" t="s">
        <v>22</v>
      </c>
      <c r="J5" s="927"/>
      <c r="K5" s="926" t="s">
        <v>22</v>
      </c>
      <c r="L5" s="927"/>
      <c r="M5" s="925"/>
      <c r="N5" s="995"/>
      <c r="O5" s="995"/>
      <c r="P5" s="995"/>
      <c r="Q5" s="995"/>
      <c r="R5" s="995"/>
      <c r="S5" s="995"/>
      <c r="T5" s="1010"/>
      <c r="U5" s="995"/>
      <c r="V5" s="995"/>
      <c r="W5" s="995"/>
      <c r="X5" s="1007"/>
      <c r="Y5" s="1003"/>
      <c r="Z5" s="988"/>
    </row>
    <row r="6" spans="1:26" s="488" customFormat="1" ht="36.75" customHeight="1">
      <c r="A6" s="713"/>
      <c r="B6" s="113">
        <v>70027</v>
      </c>
      <c r="C6" s="760">
        <f t="shared" ref="C6:C37" si="0">IF(B6&gt;=B5,B6-B5,0)*10*0.58</f>
        <v>0</v>
      </c>
      <c r="D6" s="862">
        <v>145813</v>
      </c>
      <c r="E6" s="760">
        <f>IF(D6&gt;=D5,D6-D5,0)*10*0.58</f>
        <v>0</v>
      </c>
      <c r="F6" s="908">
        <v>2574</v>
      </c>
      <c r="G6" s="760">
        <f>IF(F6&gt;=F5,F6-F5,0)*0.58</f>
        <v>0</v>
      </c>
      <c r="H6" s="905"/>
      <c r="I6" s="908">
        <v>144</v>
      </c>
      <c r="J6" s="924"/>
      <c r="K6" s="908">
        <v>1906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70060</v>
      </c>
      <c r="C7" s="760">
        <f t="shared" si="0"/>
        <v>191.39999999999998</v>
      </c>
      <c r="D7" s="862">
        <v>145813</v>
      </c>
      <c r="E7" s="760">
        <f>IF(D7&gt;=D6,D7-D6,0)*10*0.58</f>
        <v>0</v>
      </c>
      <c r="F7" s="908">
        <v>2578</v>
      </c>
      <c r="G7" s="760">
        <f t="shared" ref="G7:G14" si="1">IF(F7&gt;=F6,F7-F6,0)*0.58</f>
        <v>2.3199999999999998</v>
      </c>
      <c r="H7" s="760">
        <f>C7+E7+G7</f>
        <v>193.71999999999997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112.35759999999998</v>
      </c>
      <c r="R7" s="112"/>
      <c r="S7" s="484">
        <f>IF(R7-R6&gt;0,R7-R6,0)</f>
        <v>0</v>
      </c>
      <c r="T7" s="903">
        <f>Elect!BM6</f>
        <v>244</v>
      </c>
      <c r="U7" s="724">
        <f>H7/T7</f>
        <v>0.79393442622950805</v>
      </c>
      <c r="V7" s="903">
        <f>Elect!BO6</f>
        <v>0</v>
      </c>
      <c r="W7" s="724" t="e">
        <f>H7/V7</f>
        <v>#DIV/0!</v>
      </c>
      <c r="X7" s="727">
        <f>H7*V1</f>
        <v>774.87999999999988</v>
      </c>
      <c r="Y7" s="724">
        <f>IF(X7&gt;0,X7/T7,0)</f>
        <v>3.1757377049180322</v>
      </c>
      <c r="Z7" s="728">
        <v>0</v>
      </c>
    </row>
    <row r="8" spans="1:26" s="488" customFormat="1" ht="36.75" customHeight="1">
      <c r="A8" s="713">
        <v>2</v>
      </c>
      <c r="B8" s="113">
        <v>70112</v>
      </c>
      <c r="C8" s="760">
        <f t="shared" si="0"/>
        <v>301.59999999999997</v>
      </c>
      <c r="D8" s="862">
        <v>145813</v>
      </c>
      <c r="E8" s="760">
        <f t="shared" ref="E8:E37" si="2">IF(D8&gt;=D7,D8-D7,0)*10*0.58</f>
        <v>0</v>
      </c>
      <c r="F8" s="908">
        <v>2580</v>
      </c>
      <c r="G8" s="760">
        <f t="shared" si="1"/>
        <v>1.1599999999999999</v>
      </c>
      <c r="H8" s="760">
        <f t="shared" ref="H8:H37" si="3">C8+E8+G8</f>
        <v>302.76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175.60079999999999</v>
      </c>
      <c r="R8" s="112"/>
      <c r="S8" s="484">
        <f t="shared" ref="S8:S37" si="6">IF(R8-R7&gt;0,R8-R7,0)</f>
        <v>0</v>
      </c>
      <c r="T8" s="903">
        <f>Elect!BM7</f>
        <v>230</v>
      </c>
      <c r="U8" s="724">
        <f t="shared" ref="U8:U37" si="7">H8/T8</f>
        <v>1.3163478260869566</v>
      </c>
      <c r="V8" s="903">
        <f>Elect!BO7</f>
        <v>0</v>
      </c>
      <c r="W8" s="724" t="e">
        <f t="shared" ref="W8:W37" si="8">H8/V8</f>
        <v>#DIV/0!</v>
      </c>
      <c r="X8" s="727">
        <f>H8*V1</f>
        <v>1211.04</v>
      </c>
      <c r="Y8" s="724">
        <f>IF(X8&gt;0,X8/T8,0)</f>
        <v>5.2653913043478262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70172</v>
      </c>
      <c r="C9" s="760">
        <f t="shared" si="0"/>
        <v>348</v>
      </c>
      <c r="D9" s="862">
        <v>145813</v>
      </c>
      <c r="E9" s="760">
        <f t="shared" si="2"/>
        <v>0</v>
      </c>
      <c r="F9" s="908">
        <v>2585</v>
      </c>
      <c r="G9" s="760">
        <f t="shared" si="1"/>
        <v>2.9</v>
      </c>
      <c r="H9" s="760">
        <f t="shared" si="3"/>
        <v>350.9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203.52199999999996</v>
      </c>
      <c r="R9" s="112"/>
      <c r="S9" s="484">
        <f t="shared" si="6"/>
        <v>0</v>
      </c>
      <c r="T9" s="903">
        <f>Elect!BM8</f>
        <v>252</v>
      </c>
      <c r="U9" s="724">
        <f t="shared" si="7"/>
        <v>1.3924603174603174</v>
      </c>
      <c r="V9" s="903">
        <f>Elect!BO8</f>
        <v>0</v>
      </c>
      <c r="W9" s="724" t="e">
        <f t="shared" si="8"/>
        <v>#DIV/0!</v>
      </c>
      <c r="X9" s="727">
        <f>H9*V1</f>
        <v>1403.6</v>
      </c>
      <c r="Y9" s="724">
        <f t="shared" ref="Y9:Y37" si="9">IF(X9&gt;0,X9/T9,0)</f>
        <v>5.5698412698412696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70202</v>
      </c>
      <c r="C10" s="760">
        <f t="shared" si="0"/>
        <v>174</v>
      </c>
      <c r="D10" s="862">
        <v>145813</v>
      </c>
      <c r="E10" s="760">
        <f t="shared" si="2"/>
        <v>0</v>
      </c>
      <c r="F10" s="908">
        <v>2588</v>
      </c>
      <c r="G10" s="760">
        <f t="shared" si="1"/>
        <v>1.7399999999999998</v>
      </c>
      <c r="H10" s="760">
        <f t="shared" si="3"/>
        <v>175.74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101.92919999999999</v>
      </c>
      <c r="R10" s="112"/>
      <c r="S10" s="484">
        <f t="shared" si="6"/>
        <v>0</v>
      </c>
      <c r="T10" s="903">
        <f>Elect!BM9</f>
        <v>243</v>
      </c>
      <c r="U10" s="724">
        <f t="shared" si="7"/>
        <v>0.7232098765432099</v>
      </c>
      <c r="V10" s="903">
        <f>Elect!BO9</f>
        <v>0</v>
      </c>
      <c r="W10" s="724" t="e">
        <f t="shared" si="8"/>
        <v>#DIV/0!</v>
      </c>
      <c r="X10" s="727">
        <f>H10*V1</f>
        <v>702.96</v>
      </c>
      <c r="Y10" s="724">
        <f t="shared" si="9"/>
        <v>2.8928395061728396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70234</v>
      </c>
      <c r="C11" s="760">
        <f t="shared" si="0"/>
        <v>185.6</v>
      </c>
      <c r="D11" s="862">
        <v>145813</v>
      </c>
      <c r="E11" s="760">
        <f>IF(D11&gt;=D10,D11-D10,0)*10*0.58</f>
        <v>0</v>
      </c>
      <c r="F11" s="908">
        <v>2593</v>
      </c>
      <c r="G11" s="760">
        <f t="shared" si="1"/>
        <v>2.9</v>
      </c>
      <c r="H11" s="760">
        <f>C11+E11+G11</f>
        <v>188.5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109.33</v>
      </c>
      <c r="R11" s="112"/>
      <c r="S11" s="484">
        <f t="shared" si="6"/>
        <v>0</v>
      </c>
      <c r="T11" s="903">
        <f>Elect!BM10</f>
        <v>248</v>
      </c>
      <c r="U11" s="724">
        <f t="shared" si="7"/>
        <v>0.76008064516129037</v>
      </c>
      <c r="V11" s="903">
        <f>Elect!BO10</f>
        <v>0</v>
      </c>
      <c r="W11" s="724" t="e">
        <f t="shared" si="8"/>
        <v>#DIV/0!</v>
      </c>
      <c r="X11" s="727">
        <f>H11*V1</f>
        <v>754</v>
      </c>
      <c r="Y11" s="724">
        <f t="shared" si="9"/>
        <v>3.0403225806451615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70261</v>
      </c>
      <c r="C12" s="760">
        <f t="shared" si="0"/>
        <v>156.6</v>
      </c>
      <c r="D12" s="862">
        <v>145813</v>
      </c>
      <c r="E12" s="760">
        <f>IF(D12&gt;=D11,D12-D11,0)*10*0.58</f>
        <v>0</v>
      </c>
      <c r="F12" s="908">
        <v>2593</v>
      </c>
      <c r="G12" s="760">
        <f t="shared" si="1"/>
        <v>0</v>
      </c>
      <c r="H12" s="760">
        <f t="shared" si="3"/>
        <v>156.6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90.827999999999989</v>
      </c>
      <c r="R12" s="112"/>
      <c r="S12" s="484">
        <f t="shared" si="6"/>
        <v>0</v>
      </c>
      <c r="T12" s="903">
        <f>Elect!BM11</f>
        <v>249</v>
      </c>
      <c r="U12" s="724">
        <f t="shared" si="7"/>
        <v>0.62891566265060239</v>
      </c>
      <c r="V12" s="903">
        <f>Elect!BO11</f>
        <v>0</v>
      </c>
      <c r="W12" s="724" t="e">
        <f t="shared" si="8"/>
        <v>#DIV/0!</v>
      </c>
      <c r="X12" s="727">
        <f>H12*V1</f>
        <v>626.4</v>
      </c>
      <c r="Y12" s="724">
        <f t="shared" si="9"/>
        <v>2.5156626506024096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70292</v>
      </c>
      <c r="C13" s="760">
        <f t="shared" si="0"/>
        <v>179.79999999999998</v>
      </c>
      <c r="D13" s="862">
        <v>145813</v>
      </c>
      <c r="E13" s="760">
        <f>IF(D13&gt;=D12,D13-D12,0)*10*0.58</f>
        <v>0</v>
      </c>
      <c r="F13" s="908">
        <v>2597</v>
      </c>
      <c r="G13" s="760">
        <f t="shared" si="1"/>
        <v>2.3199999999999998</v>
      </c>
      <c r="H13" s="760">
        <f>C13+E13+G13</f>
        <v>182.11999999999998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105.62959999999998</v>
      </c>
      <c r="R13" s="112"/>
      <c r="S13" s="484">
        <f t="shared" si="6"/>
        <v>0</v>
      </c>
      <c r="T13" s="903">
        <f>Elect!BM12</f>
        <v>223</v>
      </c>
      <c r="U13" s="724">
        <f t="shared" si="7"/>
        <v>0.81668161434977571</v>
      </c>
      <c r="V13" s="903">
        <f>Elect!BO12</f>
        <v>0</v>
      </c>
      <c r="W13" s="724" t="e">
        <f t="shared" si="8"/>
        <v>#DIV/0!</v>
      </c>
      <c r="X13" s="727">
        <f>H13*V1</f>
        <v>728.4799999999999</v>
      </c>
      <c r="Y13" s="724">
        <f t="shared" si="9"/>
        <v>3.2667264573991028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70320</v>
      </c>
      <c r="C14" s="760">
        <f t="shared" si="0"/>
        <v>162.39999999999998</v>
      </c>
      <c r="D14" s="862">
        <v>145813</v>
      </c>
      <c r="E14" s="760">
        <f>IF(D14&gt;=D13,D14-D13,0)*10*0.58</f>
        <v>0</v>
      </c>
      <c r="F14" s="908">
        <v>2599</v>
      </c>
      <c r="G14" s="760">
        <f t="shared" si="1"/>
        <v>1.1599999999999999</v>
      </c>
      <c r="H14" s="760">
        <f t="shared" si="3"/>
        <v>163.55999999999997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94.864799999999974</v>
      </c>
      <c r="R14" s="112"/>
      <c r="S14" s="484">
        <f t="shared" si="6"/>
        <v>0</v>
      </c>
      <c r="T14" s="903">
        <f>Elect!BM13</f>
        <v>235</v>
      </c>
      <c r="U14" s="724">
        <f t="shared" si="7"/>
        <v>0.69599999999999984</v>
      </c>
      <c r="V14" s="903">
        <f>Elect!BO13</f>
        <v>0</v>
      </c>
      <c r="W14" s="724" t="e">
        <f t="shared" si="8"/>
        <v>#DIV/0!</v>
      </c>
      <c r="X14" s="727">
        <f>H14*V1</f>
        <v>654.2399999999999</v>
      </c>
      <c r="Y14" s="724">
        <f t="shared" si="9"/>
        <v>2.7839999999999994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70354</v>
      </c>
      <c r="C15" s="760">
        <f t="shared" si="0"/>
        <v>197.2</v>
      </c>
      <c r="D15" s="862">
        <v>145813</v>
      </c>
      <c r="E15" s="760">
        <f>IF(D15&gt;=D14,D15-D14,0)*10*0.58</f>
        <v>0</v>
      </c>
      <c r="F15" s="908">
        <v>2602</v>
      </c>
      <c r="G15" s="760">
        <f t="shared" ref="G15:G37" si="11">IF(F15&gt;=F14,F15-F14,0)*0.58</f>
        <v>1.7399999999999998</v>
      </c>
      <c r="H15" s="760">
        <f t="shared" si="3"/>
        <v>198.94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115.3852</v>
      </c>
      <c r="R15" s="112"/>
      <c r="S15" s="484">
        <f t="shared" si="6"/>
        <v>0</v>
      </c>
      <c r="T15" s="903">
        <f>Elect!BM14</f>
        <v>231</v>
      </c>
      <c r="U15" s="724">
        <f t="shared" si="7"/>
        <v>0.86121212121212121</v>
      </c>
      <c r="V15" s="903">
        <f>Elect!BO14</f>
        <v>0</v>
      </c>
      <c r="W15" s="724" t="e">
        <f t="shared" si="8"/>
        <v>#DIV/0!</v>
      </c>
      <c r="X15" s="727">
        <f>H15*V1</f>
        <v>795.76</v>
      </c>
      <c r="Y15" s="724">
        <f t="shared" si="9"/>
        <v>3.4448484848484848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70399</v>
      </c>
      <c r="C16" s="760">
        <f t="shared" si="0"/>
        <v>261</v>
      </c>
      <c r="D16" s="862">
        <v>145813</v>
      </c>
      <c r="E16" s="760">
        <f t="shared" si="2"/>
        <v>0</v>
      </c>
      <c r="F16" s="908">
        <v>2605</v>
      </c>
      <c r="G16" s="760">
        <f t="shared" si="11"/>
        <v>1.7399999999999998</v>
      </c>
      <c r="H16" s="760">
        <f t="shared" si="3"/>
        <v>262.74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152.38919999999999</v>
      </c>
      <c r="R16" s="112"/>
      <c r="S16" s="484">
        <f t="shared" si="6"/>
        <v>0</v>
      </c>
      <c r="T16" s="903">
        <f>Elect!BM15</f>
        <v>225</v>
      </c>
      <c r="U16" s="724">
        <f t="shared" si="7"/>
        <v>1.1677333333333333</v>
      </c>
      <c r="V16" s="903">
        <f>Elect!BO15</f>
        <v>0</v>
      </c>
      <c r="W16" s="724" t="e">
        <f t="shared" si="8"/>
        <v>#DIV/0!</v>
      </c>
      <c r="X16" s="727">
        <f>H16*V1</f>
        <v>1050.96</v>
      </c>
      <c r="Y16" s="724">
        <f t="shared" si="9"/>
        <v>4.6709333333333332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70430</v>
      </c>
      <c r="C17" s="760">
        <f t="shared" si="0"/>
        <v>179.79999999999998</v>
      </c>
      <c r="D17" s="862">
        <v>145813</v>
      </c>
      <c r="E17" s="760">
        <f t="shared" si="2"/>
        <v>0</v>
      </c>
      <c r="F17" s="908">
        <v>2605</v>
      </c>
      <c r="G17" s="760">
        <f t="shared" si="11"/>
        <v>0</v>
      </c>
      <c r="H17" s="760">
        <f t="shared" si="3"/>
        <v>179.79999999999998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104.28399999999998</v>
      </c>
      <c r="R17" s="112"/>
      <c r="S17" s="484">
        <f t="shared" si="6"/>
        <v>0</v>
      </c>
      <c r="T17" s="903">
        <f>Elect!BM16</f>
        <v>173</v>
      </c>
      <c r="U17" s="724">
        <f t="shared" si="7"/>
        <v>1.0393063583815028</v>
      </c>
      <c r="V17" s="903">
        <f>Elect!BO16</f>
        <v>0</v>
      </c>
      <c r="W17" s="724" t="e">
        <f t="shared" si="8"/>
        <v>#DIV/0!</v>
      </c>
      <c r="X17" s="727">
        <f>H17*V1</f>
        <v>719.19999999999993</v>
      </c>
      <c r="Y17" s="724">
        <f t="shared" si="9"/>
        <v>4.157225433526011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70466</v>
      </c>
      <c r="C18" s="760">
        <f t="shared" si="0"/>
        <v>208.79999999999998</v>
      </c>
      <c r="D18" s="862">
        <v>145813</v>
      </c>
      <c r="E18" s="760">
        <f t="shared" si="2"/>
        <v>0</v>
      </c>
      <c r="F18" s="908">
        <v>2607</v>
      </c>
      <c r="G18" s="760">
        <f t="shared" si="11"/>
        <v>1.1599999999999999</v>
      </c>
      <c r="H18" s="760">
        <f t="shared" si="3"/>
        <v>209.95999999999998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121.77679999999998</v>
      </c>
      <c r="R18" s="112"/>
      <c r="S18" s="484">
        <f t="shared" si="6"/>
        <v>0</v>
      </c>
      <c r="T18" s="903">
        <f>Elect!BM17</f>
        <v>0</v>
      </c>
      <c r="U18" s="724" t="e">
        <f t="shared" si="7"/>
        <v>#DIV/0!</v>
      </c>
      <c r="V18" s="903">
        <f>Elect!BO17</f>
        <v>0</v>
      </c>
      <c r="W18" s="724" t="e">
        <f t="shared" si="8"/>
        <v>#DIV/0!</v>
      </c>
      <c r="X18" s="727">
        <f>H18*V1</f>
        <v>839.83999999999992</v>
      </c>
      <c r="Y18" s="724" t="e">
        <f t="shared" si="9"/>
        <v>#DIV/0!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/>
      <c r="C19" s="760">
        <f t="shared" si="0"/>
        <v>0</v>
      </c>
      <c r="D19" s="862"/>
      <c r="E19" s="760">
        <f t="shared" si="2"/>
        <v>0</v>
      </c>
      <c r="F19" s="908"/>
      <c r="G19" s="760">
        <f t="shared" si="11"/>
        <v>0</v>
      </c>
      <c r="H19" s="760">
        <f t="shared" si="3"/>
        <v>0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0</v>
      </c>
      <c r="R19" s="112"/>
      <c r="S19" s="484">
        <f t="shared" si="6"/>
        <v>0</v>
      </c>
      <c r="T19" s="903">
        <f>Elect!BM18</f>
        <v>0</v>
      </c>
      <c r="U19" s="724" t="e">
        <f t="shared" si="7"/>
        <v>#DIV/0!</v>
      </c>
      <c r="V19" s="903">
        <f>Elect!BO18</f>
        <v>0</v>
      </c>
      <c r="W19" s="724" t="e">
        <f t="shared" si="8"/>
        <v>#DIV/0!</v>
      </c>
      <c r="X19" s="727">
        <f>H19*V1</f>
        <v>0</v>
      </c>
      <c r="Y19" s="724">
        <f t="shared" si="9"/>
        <v>0</v>
      </c>
      <c r="Z19" s="728">
        <f t="shared" si="10"/>
        <v>0</v>
      </c>
    </row>
    <row r="20" spans="1:26" s="488" customFormat="1" ht="36.75" customHeight="1">
      <c r="A20" s="713">
        <v>14</v>
      </c>
      <c r="B20" s="113"/>
      <c r="C20" s="760">
        <f t="shared" si="0"/>
        <v>0</v>
      </c>
      <c r="D20" s="862"/>
      <c r="E20" s="760">
        <f t="shared" si="2"/>
        <v>0</v>
      </c>
      <c r="F20" s="908"/>
      <c r="G20" s="760">
        <f t="shared" si="11"/>
        <v>0</v>
      </c>
      <c r="H20" s="760">
        <f t="shared" si="3"/>
        <v>0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0</v>
      </c>
      <c r="R20" s="112"/>
      <c r="S20" s="484">
        <f t="shared" si="6"/>
        <v>0</v>
      </c>
      <c r="T20" s="903">
        <f>Elect!BM19</f>
        <v>0</v>
      </c>
      <c r="U20" s="724" t="e">
        <f t="shared" si="7"/>
        <v>#DIV/0!</v>
      </c>
      <c r="V20" s="903">
        <f>Elect!BO19</f>
        <v>0</v>
      </c>
      <c r="W20" s="724" t="e">
        <f t="shared" si="8"/>
        <v>#DIV/0!</v>
      </c>
      <c r="X20" s="727">
        <f>H20*V1</f>
        <v>0</v>
      </c>
      <c r="Y20" s="724">
        <f t="shared" si="9"/>
        <v>0</v>
      </c>
      <c r="Z20" s="728">
        <f t="shared" si="10"/>
        <v>0</v>
      </c>
    </row>
    <row r="21" spans="1:26" s="488" customFormat="1" ht="36.75" customHeight="1">
      <c r="A21" s="714">
        <v>15</v>
      </c>
      <c r="B21" s="113"/>
      <c r="C21" s="760">
        <f t="shared" si="0"/>
        <v>0</v>
      </c>
      <c r="D21" s="862"/>
      <c r="E21" s="760">
        <f t="shared" ref="E21:E27" si="12">IF(D21&gt;=D20,D21-D20,0)*10*0.58</f>
        <v>0</v>
      </c>
      <c r="F21" s="908"/>
      <c r="G21" s="760">
        <f t="shared" si="11"/>
        <v>0</v>
      </c>
      <c r="H21" s="760">
        <f t="shared" si="3"/>
        <v>0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0</v>
      </c>
      <c r="R21" s="112"/>
      <c r="S21" s="484">
        <f t="shared" si="6"/>
        <v>0</v>
      </c>
      <c r="T21" s="903">
        <f>Elect!BM20</f>
        <v>0</v>
      </c>
      <c r="U21" s="724" t="e">
        <f t="shared" si="7"/>
        <v>#DIV/0!</v>
      </c>
      <c r="V21" s="903">
        <f>Elect!BO20</f>
        <v>0</v>
      </c>
      <c r="W21" s="724" t="e">
        <f t="shared" si="8"/>
        <v>#DIV/0!</v>
      </c>
      <c r="X21" s="727">
        <f>H21*V1</f>
        <v>0</v>
      </c>
      <c r="Y21" s="724">
        <f t="shared" si="9"/>
        <v>0</v>
      </c>
      <c r="Z21" s="728">
        <f t="shared" si="10"/>
        <v>0</v>
      </c>
    </row>
    <row r="22" spans="1:26" s="488" customFormat="1" ht="36.75" customHeight="1">
      <c r="A22" s="713">
        <v>16</v>
      </c>
      <c r="B22" s="113"/>
      <c r="C22" s="760">
        <f t="shared" si="0"/>
        <v>0</v>
      </c>
      <c r="D22" s="862"/>
      <c r="E22" s="760">
        <f t="shared" si="12"/>
        <v>0</v>
      </c>
      <c r="F22" s="908"/>
      <c r="G22" s="760">
        <f>IF(F22&gt;=F21,F22-F21,0)*0.58</f>
        <v>0</v>
      </c>
      <c r="H22" s="760">
        <f t="shared" si="3"/>
        <v>0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0</v>
      </c>
      <c r="R22" s="112"/>
      <c r="S22" s="484">
        <f t="shared" si="6"/>
        <v>0</v>
      </c>
      <c r="T22" s="903">
        <f>Elect!BM21</f>
        <v>0</v>
      </c>
      <c r="U22" s="724" t="e">
        <f t="shared" si="7"/>
        <v>#DIV/0!</v>
      </c>
      <c r="V22" s="903">
        <f>Elect!BO21</f>
        <v>0</v>
      </c>
      <c r="W22" s="724" t="e">
        <f t="shared" si="8"/>
        <v>#DIV/0!</v>
      </c>
      <c r="X22" s="727">
        <f>H22*V1</f>
        <v>0</v>
      </c>
      <c r="Y22" s="724">
        <f t="shared" si="9"/>
        <v>0</v>
      </c>
      <c r="Z22" s="728">
        <f t="shared" si="10"/>
        <v>0</v>
      </c>
    </row>
    <row r="23" spans="1:26" s="488" customFormat="1" ht="36.75" customHeight="1">
      <c r="A23" s="714">
        <v>17</v>
      </c>
      <c r="B23" s="113"/>
      <c r="C23" s="760">
        <f t="shared" si="0"/>
        <v>0</v>
      </c>
      <c r="D23" s="862"/>
      <c r="E23" s="760">
        <f t="shared" si="12"/>
        <v>0</v>
      </c>
      <c r="F23" s="908"/>
      <c r="G23" s="760">
        <f>IF(F23&gt;=F22,F23-F22,0)*0.58</f>
        <v>0</v>
      </c>
      <c r="H23" s="760">
        <f t="shared" si="3"/>
        <v>0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0</v>
      </c>
      <c r="R23" s="112"/>
      <c r="S23" s="484">
        <f t="shared" si="6"/>
        <v>0</v>
      </c>
      <c r="T23" s="903">
        <f>Elect!BM22</f>
        <v>0</v>
      </c>
      <c r="U23" s="724" t="e">
        <f t="shared" si="7"/>
        <v>#DIV/0!</v>
      </c>
      <c r="V23" s="903">
        <f>Elect!BO22</f>
        <v>0</v>
      </c>
      <c r="W23" s="724" t="e">
        <f t="shared" si="8"/>
        <v>#DIV/0!</v>
      </c>
      <c r="X23" s="727">
        <f>H23*V1</f>
        <v>0</v>
      </c>
      <c r="Y23" s="724">
        <f t="shared" si="9"/>
        <v>0</v>
      </c>
      <c r="Z23" s="728">
        <f t="shared" si="10"/>
        <v>0</v>
      </c>
    </row>
    <row r="24" spans="1:26" s="488" customFormat="1" ht="36.75" customHeight="1">
      <c r="A24" s="713">
        <v>18</v>
      </c>
      <c r="B24" s="113"/>
      <c r="C24" s="760">
        <f t="shared" si="0"/>
        <v>0</v>
      </c>
      <c r="D24" s="862"/>
      <c r="E24" s="760">
        <f t="shared" si="12"/>
        <v>0</v>
      </c>
      <c r="F24" s="908"/>
      <c r="G24" s="760">
        <f>IF(F24&gt;=F23,F24-F23,0)*0.58</f>
        <v>0</v>
      </c>
      <c r="H24" s="760">
        <f t="shared" si="3"/>
        <v>0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0</v>
      </c>
      <c r="R24" s="112"/>
      <c r="S24" s="484">
        <f t="shared" si="6"/>
        <v>0</v>
      </c>
      <c r="T24" s="903">
        <f>Elect!BM23</f>
        <v>0</v>
      </c>
      <c r="U24" s="724" t="e">
        <f t="shared" si="7"/>
        <v>#DIV/0!</v>
      </c>
      <c r="V24" s="903">
        <f>Elect!BO23</f>
        <v>0</v>
      </c>
      <c r="W24" s="724" t="e">
        <f t="shared" si="8"/>
        <v>#DIV/0!</v>
      </c>
      <c r="X24" s="727">
        <f>H24*V1</f>
        <v>0</v>
      </c>
      <c r="Y24" s="724">
        <f t="shared" si="9"/>
        <v>0</v>
      </c>
      <c r="Z24" s="728">
        <f t="shared" si="10"/>
        <v>0</v>
      </c>
    </row>
    <row r="25" spans="1:26" s="488" customFormat="1" ht="36.75" customHeight="1">
      <c r="A25" s="714">
        <v>19</v>
      </c>
      <c r="B25" s="113"/>
      <c r="C25" s="760">
        <f t="shared" si="0"/>
        <v>0</v>
      </c>
      <c r="D25" s="862"/>
      <c r="E25" s="760">
        <f t="shared" si="12"/>
        <v>0</v>
      </c>
      <c r="F25" s="908"/>
      <c r="G25" s="760">
        <f>IF(F25&gt;=F24,F25-F24,0)*0.58</f>
        <v>0</v>
      </c>
      <c r="H25" s="760">
        <f t="shared" si="3"/>
        <v>0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0</v>
      </c>
      <c r="R25" s="112"/>
      <c r="S25" s="484">
        <f t="shared" si="6"/>
        <v>0</v>
      </c>
      <c r="T25" s="903">
        <f>Elect!BM24</f>
        <v>0</v>
      </c>
      <c r="U25" s="724" t="e">
        <f t="shared" si="7"/>
        <v>#DIV/0!</v>
      </c>
      <c r="V25" s="903">
        <f>Elect!BO24</f>
        <v>0</v>
      </c>
      <c r="W25" s="724" t="e">
        <f t="shared" si="8"/>
        <v>#DIV/0!</v>
      </c>
      <c r="X25" s="727">
        <f>H25*V1</f>
        <v>0</v>
      </c>
      <c r="Y25" s="724">
        <f t="shared" si="9"/>
        <v>0</v>
      </c>
      <c r="Z25" s="728">
        <f t="shared" si="10"/>
        <v>0</v>
      </c>
    </row>
    <row r="26" spans="1:26" s="488" customFormat="1" ht="36.75" customHeight="1">
      <c r="A26" s="713">
        <v>20</v>
      </c>
      <c r="B26" s="113"/>
      <c r="C26" s="760">
        <f t="shared" si="0"/>
        <v>0</v>
      </c>
      <c r="D26" s="862"/>
      <c r="E26" s="760">
        <f t="shared" si="12"/>
        <v>0</v>
      </c>
      <c r="F26" s="908"/>
      <c r="G26" s="760">
        <f t="shared" si="11"/>
        <v>0</v>
      </c>
      <c r="H26" s="760">
        <f t="shared" si="3"/>
        <v>0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0</v>
      </c>
      <c r="R26" s="112"/>
      <c r="S26" s="484">
        <f t="shared" si="6"/>
        <v>0</v>
      </c>
      <c r="T26" s="903">
        <f>Elect!BM25</f>
        <v>0</v>
      </c>
      <c r="U26" s="724" t="e">
        <f t="shared" si="7"/>
        <v>#DIV/0!</v>
      </c>
      <c r="V26" s="903">
        <f>Elect!BO25</f>
        <v>0</v>
      </c>
      <c r="W26" s="724" t="e">
        <f t="shared" si="8"/>
        <v>#DIV/0!</v>
      </c>
      <c r="X26" s="727">
        <f>H26*V1</f>
        <v>0</v>
      </c>
      <c r="Y26" s="724">
        <f t="shared" si="9"/>
        <v>0</v>
      </c>
      <c r="Z26" s="728">
        <f t="shared" si="10"/>
        <v>0</v>
      </c>
    </row>
    <row r="27" spans="1:26" s="488" customFormat="1" ht="36.75" customHeight="1">
      <c r="A27" s="714">
        <v>21</v>
      </c>
      <c r="B27" s="113"/>
      <c r="C27" s="760">
        <f t="shared" si="0"/>
        <v>0</v>
      </c>
      <c r="D27" s="862"/>
      <c r="E27" s="760">
        <f t="shared" si="12"/>
        <v>0</v>
      </c>
      <c r="F27" s="908"/>
      <c r="G27" s="760">
        <f t="shared" si="11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0"/>
        <v>0</v>
      </c>
      <c r="D28" s="862"/>
      <c r="E28" s="760">
        <f t="shared" si="2"/>
        <v>0</v>
      </c>
      <c r="F28" s="908"/>
      <c r="G28" s="760">
        <f t="shared" si="11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 t="shared" si="0"/>
        <v>0</v>
      </c>
      <c r="D29" s="862"/>
      <c r="E29" s="760">
        <f t="shared" si="2"/>
        <v>0</v>
      </c>
      <c r="F29" s="908"/>
      <c r="G29" s="760">
        <f t="shared" si="11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 t="shared" si="0"/>
        <v>0</v>
      </c>
      <c r="D30" s="862"/>
      <c r="E30" s="760">
        <f t="shared" si="2"/>
        <v>0</v>
      </c>
      <c r="F30" s="908"/>
      <c r="G30" s="760">
        <f t="shared" si="11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 t="shared" si="0"/>
        <v>0</v>
      </c>
      <c r="D31" s="862"/>
      <c r="E31" s="760">
        <f t="shared" si="2"/>
        <v>0</v>
      </c>
      <c r="F31" s="908"/>
      <c r="G31" s="760">
        <f t="shared" si="11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3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0"/>
        <v>0</v>
      </c>
      <c r="D32" s="862"/>
      <c r="E32" s="760">
        <f t="shared" si="2"/>
        <v>0</v>
      </c>
      <c r="F32" s="908"/>
      <c r="G32" s="760">
        <f>IF(F32&gt;=F31,F32-F31,0)*0.58</f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3"/>
        <v>0</v>
      </c>
    </row>
    <row r="33" spans="1:26" s="3" customFormat="1" ht="36.75" customHeight="1">
      <c r="A33" s="715">
        <v>27</v>
      </c>
      <c r="B33" s="113"/>
      <c r="C33" s="760">
        <f t="shared" si="0"/>
        <v>0</v>
      </c>
      <c r="D33" s="862"/>
      <c r="E33" s="760">
        <f t="shared" si="2"/>
        <v>0</v>
      </c>
      <c r="F33" s="908"/>
      <c r="G33" s="760">
        <f>IF(F33&gt;=F32,F33-F32,0)*0.58</f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3"/>
        <v>0</v>
      </c>
    </row>
    <row r="34" spans="1:26" s="3" customFormat="1" ht="36.75" customHeight="1">
      <c r="A34" s="716">
        <v>28</v>
      </c>
      <c r="B34" s="113"/>
      <c r="C34" s="760">
        <f t="shared" si="0"/>
        <v>0</v>
      </c>
      <c r="D34" s="862"/>
      <c r="E34" s="760">
        <f t="shared" si="2"/>
        <v>0</v>
      </c>
      <c r="F34" s="908"/>
      <c r="G34" s="760">
        <f>IF(F34&gt;=F33,F34-F33,0)*0.58</f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3"/>
        <v>0</v>
      </c>
    </row>
    <row r="35" spans="1:26" s="3" customFormat="1" ht="36.75" customHeight="1">
      <c r="A35" s="713">
        <v>29</v>
      </c>
      <c r="B35" s="113"/>
      <c r="C35" s="760">
        <f t="shared" si="0"/>
        <v>0</v>
      </c>
      <c r="D35" s="862"/>
      <c r="E35" s="760">
        <f t="shared" si="2"/>
        <v>0</v>
      </c>
      <c r="F35" s="908"/>
      <c r="G35" s="760">
        <f>IF(F35&gt;=F34,F35-F34,0)*0.58</f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3"/>
        <v>0</v>
      </c>
    </row>
    <row r="36" spans="1:26" s="3" customFormat="1" ht="36.75" customHeight="1">
      <c r="A36" s="715">
        <v>30</v>
      </c>
      <c r="B36" s="113"/>
      <c r="C36" s="760">
        <f t="shared" si="0"/>
        <v>0</v>
      </c>
      <c r="D36" s="862"/>
      <c r="E36" s="760">
        <f t="shared" si="2"/>
        <v>0</v>
      </c>
      <c r="F36" s="908"/>
      <c r="G36" s="760">
        <f t="shared" si="11"/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3"/>
        <v>0</v>
      </c>
    </row>
    <row r="37" spans="1:26" s="3" customFormat="1" ht="36.75" customHeight="1" thickBot="1">
      <c r="A37" s="713">
        <v>31</v>
      </c>
      <c r="B37" s="113"/>
      <c r="C37" s="760">
        <f t="shared" si="0"/>
        <v>0</v>
      </c>
      <c r="D37" s="862"/>
      <c r="E37" s="760">
        <f t="shared" si="2"/>
        <v>0</v>
      </c>
      <c r="F37" s="908"/>
      <c r="G37" s="760">
        <f t="shared" si="11"/>
        <v>0</v>
      </c>
      <c r="H37" s="760">
        <f t="shared" si="3"/>
        <v>0</v>
      </c>
      <c r="I37" s="908">
        <v>144</v>
      </c>
      <c r="J37" s="923"/>
      <c r="K37" s="908">
        <v>1906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3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2546.1999999999998</v>
      </c>
      <c r="D38" s="607"/>
      <c r="E38" s="928">
        <f>SUM(E7:E37)</f>
        <v>0</v>
      </c>
      <c r="F38" s="607"/>
      <c r="G38" s="928">
        <f>SUM(G7:G37)</f>
        <v>19.139999999999997</v>
      </c>
      <c r="H38" s="928">
        <f>SUM(H7:H37)</f>
        <v>2565.34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1487.8971999999999</v>
      </c>
      <c r="R38" s="607"/>
      <c r="S38" s="614">
        <f>SUM(S7:S34)</f>
        <v>0</v>
      </c>
      <c r="T38" s="615">
        <f>SUM(T7:T36)</f>
        <v>2553</v>
      </c>
      <c r="U38" s="725">
        <f>IF(H38&gt;0,H38/T38,0)</f>
        <v>1.0048335291813553</v>
      </c>
      <c r="V38" s="794">
        <f>SUM(V7:V36)</f>
        <v>0</v>
      </c>
      <c r="W38" s="725" t="e">
        <f>IF(H38&gt;0,H38/V38,0)</f>
        <v>#DIV/0!</v>
      </c>
      <c r="X38" s="729">
        <f>SUM(X7:X36)</f>
        <v>10261.36</v>
      </c>
      <c r="Y38" s="725">
        <f t="shared" ref="Y38:Y44" si="14">IF(X38&gt;0,X38/T38,0)</f>
        <v>4.0193341167254211</v>
      </c>
      <c r="Z38" s="730" t="e">
        <f t="shared" ref="Z38:Z44" si="15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82.135483870967732</v>
      </c>
      <c r="D39" s="608"/>
      <c r="E39" s="620">
        <f>E38/B49</f>
        <v>0</v>
      </c>
      <c r="F39" s="608"/>
      <c r="G39" s="620">
        <f>G38/B49</f>
        <v>0.61741935483870958</v>
      </c>
      <c r="H39" s="620">
        <f>H38/B49</f>
        <v>82.752903225806463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47.996683870967736</v>
      </c>
      <c r="R39" s="608"/>
      <c r="S39" s="620" t="e">
        <f>S38/C49</f>
        <v>#DIV/0!</v>
      </c>
      <c r="T39" s="622">
        <f>T38/B49</f>
        <v>82.354838709677423</v>
      </c>
      <c r="U39" s="726">
        <f>IF(H39&gt;0,H39/T39,0)</f>
        <v>1.0048335291813553</v>
      </c>
      <c r="V39" s="742">
        <f>V38/B49</f>
        <v>0</v>
      </c>
      <c r="W39" s="725" t="e">
        <f>IF(H39&gt;0,H39/V39,0)</f>
        <v>#DIV/0!</v>
      </c>
      <c r="X39" s="731">
        <f>X38/B49</f>
        <v>331.01161290322585</v>
      </c>
      <c r="Y39" s="726">
        <f t="shared" si="14"/>
        <v>4.0193341167254211</v>
      </c>
      <c r="Z39" s="732" t="e">
        <f t="shared" si="15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4"/>
        <v>0</v>
      </c>
      <c r="Z40" s="730">
        <f t="shared" si="15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4"/>
        <v>#REF!</v>
      </c>
      <c r="Z41" s="732" t="e">
        <f t="shared" si="15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4"/>
        <v>0</v>
      </c>
      <c r="Z43" s="757">
        <f t="shared" si="15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4"/>
        <v>#VALUE!</v>
      </c>
      <c r="Z44" s="644" t="e">
        <f t="shared" si="15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11" t="s">
        <v>11</v>
      </c>
      <c r="B150" s="1011"/>
      <c r="C150" s="1011"/>
      <c r="D150" s="1011"/>
      <c r="E150" s="1011"/>
      <c r="F150" s="1011"/>
      <c r="G150" s="1011"/>
      <c r="H150" s="1011"/>
      <c r="I150" s="1011"/>
      <c r="J150" s="1011"/>
      <c r="K150" s="1011"/>
      <c r="L150" s="1011"/>
      <c r="M150" s="1011"/>
      <c r="N150" s="1011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N444"/>
  <sheetViews>
    <sheetView zoomScale="60" zoomScaleNormal="60" zoomScaleSheetLayoutView="55" workbookViewId="0">
      <pane xSplit="1" ySplit="5" topLeftCell="B6" activePane="bottomRight" state="frozen"/>
      <selection activeCell="D22" sqref="D22"/>
      <selection pane="topRight" activeCell="D22" sqref="D22"/>
      <selection pane="bottomLeft" activeCell="D22" sqref="D22"/>
      <selection pane="bottomRight" activeCell="B18" sqref="B18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3" t="str">
        <f>Elect!A1</f>
        <v>November</v>
      </c>
      <c r="E1" s="980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3"/>
      <c r="C2" s="29"/>
      <c r="E2" s="980"/>
      <c r="G2" s="29"/>
      <c r="H2" s="29"/>
      <c r="I2" s="29"/>
      <c r="K2" s="588"/>
      <c r="L2" s="587"/>
      <c r="M2" s="483"/>
    </row>
    <row r="3" spans="1:13" ht="21" customHeight="1" thickBot="1">
      <c r="A3" s="1024"/>
      <c r="B3" s="29"/>
      <c r="C3" s="29"/>
      <c r="D3" s="29"/>
      <c r="E3" s="981"/>
      <c r="F3" s="29"/>
      <c r="G3" s="29"/>
      <c r="H3" s="29"/>
      <c r="I3" s="29"/>
    </row>
    <row r="4" spans="1:13" ht="53.25" customHeight="1">
      <c r="A4" s="795" t="s">
        <v>23</v>
      </c>
      <c r="B4" s="1025" t="s">
        <v>311</v>
      </c>
      <c r="C4" s="1026"/>
      <c r="D4" s="1025" t="s">
        <v>312</v>
      </c>
      <c r="E4" s="1026"/>
      <c r="F4" s="1025" t="s">
        <v>313</v>
      </c>
      <c r="G4" s="1026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7526640</v>
      </c>
      <c r="C6" s="760">
        <f t="shared" ref="C6:C14" si="0">IF(B6&gt;=B5,B6-B5,0)*1.06</f>
        <v>0</v>
      </c>
      <c r="D6" s="862">
        <v>173008</v>
      </c>
      <c r="E6" s="760">
        <f>IF(D6&gt;=D5,D6-D5,0)*0.7</f>
        <v>0</v>
      </c>
      <c r="F6" s="862">
        <v>542671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7576330</v>
      </c>
      <c r="C7" s="760">
        <f t="shared" si="0"/>
        <v>52671.4</v>
      </c>
      <c r="D7" s="862">
        <v>173383</v>
      </c>
      <c r="E7" s="760">
        <f t="shared" ref="E7:E37" si="2">IF(D7&gt;=D6,D7-D6,0)*0.7</f>
        <v>262.5</v>
      </c>
      <c r="F7" s="862">
        <v>542754</v>
      </c>
      <c r="G7" s="760">
        <f t="shared" si="1"/>
        <v>83</v>
      </c>
      <c r="H7" s="760">
        <f>(E7*0.55)*1.61</f>
        <v>232.44375000000002</v>
      </c>
      <c r="I7" s="760">
        <f>C7*J1</f>
        <v>84800.954000000012</v>
      </c>
      <c r="J7" s="760">
        <f>G7*J1</f>
        <v>133.63</v>
      </c>
      <c r="K7" s="935">
        <f t="shared" ref="K7:K37" si="3">C7+E7</f>
        <v>52933.9</v>
      </c>
    </row>
    <row r="8" spans="1:13" s="475" customFormat="1" ht="41.25" customHeight="1">
      <c r="A8" s="797">
        <v>2</v>
      </c>
      <c r="B8" s="113">
        <v>7593100</v>
      </c>
      <c r="C8" s="760">
        <f t="shared" si="0"/>
        <v>17776.2</v>
      </c>
      <c r="D8" s="862">
        <v>173658</v>
      </c>
      <c r="E8" s="760">
        <f t="shared" si="2"/>
        <v>192.5</v>
      </c>
      <c r="F8" s="862">
        <v>542837</v>
      </c>
      <c r="G8" s="760">
        <f t="shared" si="1"/>
        <v>83</v>
      </c>
      <c r="H8" s="760">
        <f t="shared" ref="H8:H37" si="4">(E8*0.55)*1.61</f>
        <v>170.45875000000004</v>
      </c>
      <c r="I8" s="760">
        <f>C8*J1</f>
        <v>28619.682000000004</v>
      </c>
      <c r="J8" s="760">
        <f>G8*J1</f>
        <v>133.63</v>
      </c>
      <c r="K8" s="935">
        <f t="shared" si="3"/>
        <v>17968.7</v>
      </c>
    </row>
    <row r="9" spans="1:13" s="475" customFormat="1" ht="41.25" customHeight="1">
      <c r="A9" s="797">
        <v>3</v>
      </c>
      <c r="B9" s="113">
        <v>7609870</v>
      </c>
      <c r="C9" s="760">
        <f t="shared" si="0"/>
        <v>17776.2</v>
      </c>
      <c r="D9" s="862">
        <v>174233</v>
      </c>
      <c r="E9" s="760">
        <f t="shared" si="2"/>
        <v>402.5</v>
      </c>
      <c r="F9" s="862">
        <v>542920</v>
      </c>
      <c r="G9" s="760">
        <f t="shared" si="1"/>
        <v>83</v>
      </c>
      <c r="H9" s="760">
        <f>(E9*0.55)*1.61</f>
        <v>356.41375000000005</v>
      </c>
      <c r="I9" s="760">
        <f>C9*J1</f>
        <v>28619.682000000004</v>
      </c>
      <c r="J9" s="760">
        <f>G9*J1</f>
        <v>133.63</v>
      </c>
      <c r="K9" s="935">
        <f>C9+E9</f>
        <v>18178.7</v>
      </c>
    </row>
    <row r="10" spans="1:13" s="475" customFormat="1" ht="41.25" customHeight="1">
      <c r="A10" s="797">
        <v>4</v>
      </c>
      <c r="B10" s="113">
        <v>7626640</v>
      </c>
      <c r="C10" s="760">
        <f t="shared" si="0"/>
        <v>17776.2</v>
      </c>
      <c r="D10" s="862">
        <v>174508</v>
      </c>
      <c r="E10" s="760">
        <f t="shared" si="2"/>
        <v>192.5</v>
      </c>
      <c r="F10" s="862">
        <v>543003</v>
      </c>
      <c r="G10" s="760">
        <f t="shared" si="1"/>
        <v>83</v>
      </c>
      <c r="H10" s="760">
        <f>(E10*0.55)*1.61</f>
        <v>170.45875000000004</v>
      </c>
      <c r="I10" s="760">
        <f>C10*J1</f>
        <v>28619.682000000004</v>
      </c>
      <c r="J10" s="760">
        <f>G10*J1</f>
        <v>133.63</v>
      </c>
      <c r="K10" s="935">
        <f t="shared" si="3"/>
        <v>17968.7</v>
      </c>
    </row>
    <row r="11" spans="1:13" s="475" customFormat="1" ht="41.25" customHeight="1">
      <c r="A11" s="797">
        <v>5</v>
      </c>
      <c r="B11" s="113">
        <v>7643410</v>
      </c>
      <c r="C11" s="760">
        <f t="shared" si="0"/>
        <v>17776.2</v>
      </c>
      <c r="D11" s="862">
        <v>174713</v>
      </c>
      <c r="E11" s="760">
        <f t="shared" si="2"/>
        <v>143.5</v>
      </c>
      <c r="F11" s="862">
        <v>543126</v>
      </c>
      <c r="G11" s="760">
        <f t="shared" si="1"/>
        <v>123</v>
      </c>
      <c r="H11" s="760">
        <f t="shared" si="4"/>
        <v>127.06925000000003</v>
      </c>
      <c r="I11" s="760">
        <f>C11*J1</f>
        <v>28619.682000000004</v>
      </c>
      <c r="J11" s="760">
        <f>G11*J1</f>
        <v>198.03</v>
      </c>
      <c r="K11" s="935">
        <f t="shared" si="3"/>
        <v>17919.7</v>
      </c>
    </row>
    <row r="12" spans="1:13" s="475" customFormat="1" ht="41.25" customHeight="1">
      <c r="A12" s="797">
        <v>6</v>
      </c>
      <c r="B12" s="113">
        <v>7644904</v>
      </c>
      <c r="C12" s="760">
        <f t="shared" si="0"/>
        <v>1583.64</v>
      </c>
      <c r="D12" s="862">
        <v>174950</v>
      </c>
      <c r="E12" s="760">
        <f t="shared" si="2"/>
        <v>165.89999999999998</v>
      </c>
      <c r="F12" s="862">
        <v>543195</v>
      </c>
      <c r="G12" s="760">
        <f t="shared" si="1"/>
        <v>69</v>
      </c>
      <c r="H12" s="760">
        <f t="shared" si="4"/>
        <v>146.90445</v>
      </c>
      <c r="I12" s="760">
        <f>C12*J1</f>
        <v>2549.6604000000002</v>
      </c>
      <c r="J12" s="760">
        <f>G12*J1</f>
        <v>111.09</v>
      </c>
      <c r="K12" s="935">
        <f t="shared" si="3"/>
        <v>1749.54</v>
      </c>
    </row>
    <row r="13" spans="1:13" s="475" customFormat="1" ht="41.25" customHeight="1">
      <c r="A13" s="797">
        <v>7</v>
      </c>
      <c r="B13" s="113">
        <v>7646639</v>
      </c>
      <c r="C13" s="760">
        <f t="shared" si="0"/>
        <v>1839.1000000000001</v>
      </c>
      <c r="D13" s="862">
        <v>175238</v>
      </c>
      <c r="E13" s="760">
        <f t="shared" si="2"/>
        <v>201.6</v>
      </c>
      <c r="F13" s="862">
        <v>543290</v>
      </c>
      <c r="G13" s="760">
        <f t="shared" si="1"/>
        <v>95</v>
      </c>
      <c r="H13" s="760">
        <f t="shared" si="4"/>
        <v>178.51680000000002</v>
      </c>
      <c r="I13" s="760">
        <f>C13*J1</f>
        <v>2960.9510000000005</v>
      </c>
      <c r="J13" s="760">
        <f>G13*J1</f>
        <v>152.95000000000002</v>
      </c>
      <c r="K13" s="935">
        <f t="shared" si="3"/>
        <v>2040.7</v>
      </c>
    </row>
    <row r="14" spans="1:13" s="475" customFormat="1" ht="41.25" customHeight="1">
      <c r="A14" s="797">
        <v>8</v>
      </c>
      <c r="B14" s="113">
        <v>7647774</v>
      </c>
      <c r="C14" s="760">
        <f t="shared" si="0"/>
        <v>1203.1000000000001</v>
      </c>
      <c r="D14" s="862">
        <v>175708</v>
      </c>
      <c r="E14" s="760">
        <f t="shared" si="2"/>
        <v>329</v>
      </c>
      <c r="F14" s="862">
        <v>543375</v>
      </c>
      <c r="G14" s="760">
        <f t="shared" si="1"/>
        <v>85</v>
      </c>
      <c r="H14" s="760">
        <f t="shared" si="4"/>
        <v>291.32950000000005</v>
      </c>
      <c r="I14" s="760">
        <f>C14*J1</f>
        <v>1936.9910000000004</v>
      </c>
      <c r="J14" s="760">
        <f>G14*J1</f>
        <v>136.85</v>
      </c>
      <c r="K14" s="935">
        <f t="shared" si="3"/>
        <v>1532.1000000000001</v>
      </c>
    </row>
    <row r="15" spans="1:13" s="475" customFormat="1" ht="41.25" customHeight="1">
      <c r="A15" s="797">
        <v>9</v>
      </c>
      <c r="B15" s="113">
        <v>7649464</v>
      </c>
      <c r="C15" s="760">
        <f t="shared" ref="C15:C32" si="5">IF(B15&gt;=B14,B15-B14,0)*1.06</f>
        <v>1791.4</v>
      </c>
      <c r="D15" s="862">
        <v>175874</v>
      </c>
      <c r="E15" s="760">
        <f t="shared" si="2"/>
        <v>116.19999999999999</v>
      </c>
      <c r="F15" s="862">
        <v>543502</v>
      </c>
      <c r="G15" s="760">
        <f t="shared" ref="G15:G37" si="6">IF(F15&gt;=F14,F15-F14,0)</f>
        <v>127</v>
      </c>
      <c r="H15" s="760">
        <f t="shared" si="4"/>
        <v>102.8951</v>
      </c>
      <c r="I15" s="760">
        <f>C15*J1</f>
        <v>2884.1540000000005</v>
      </c>
      <c r="J15" s="760">
        <f>G15*J1</f>
        <v>204.47</v>
      </c>
      <c r="K15" s="935">
        <f t="shared" si="3"/>
        <v>1907.6000000000001</v>
      </c>
    </row>
    <row r="16" spans="1:13" s="475" customFormat="1" ht="41.25" customHeight="1">
      <c r="A16" s="797">
        <v>10</v>
      </c>
      <c r="B16" s="113">
        <v>7650667</v>
      </c>
      <c r="C16" s="760">
        <f t="shared" si="5"/>
        <v>1275.18</v>
      </c>
      <c r="D16" s="862">
        <v>176273</v>
      </c>
      <c r="E16" s="760">
        <f t="shared" si="2"/>
        <v>279.29999999999995</v>
      </c>
      <c r="F16" s="862">
        <v>543593</v>
      </c>
      <c r="G16" s="760">
        <f>IF(F16&gt;=F15,F16-F15,0)</f>
        <v>91</v>
      </c>
      <c r="H16" s="760">
        <f t="shared" si="4"/>
        <v>247.32014999999998</v>
      </c>
      <c r="I16" s="760">
        <f>C16*J1</f>
        <v>2053.0398</v>
      </c>
      <c r="J16" s="760">
        <f>G16*J1</f>
        <v>146.51000000000002</v>
      </c>
      <c r="K16" s="935">
        <f t="shared" si="3"/>
        <v>1554.48</v>
      </c>
    </row>
    <row r="17" spans="1:11" s="475" customFormat="1" ht="41.25" customHeight="1">
      <c r="A17" s="797">
        <v>11</v>
      </c>
      <c r="B17" s="113"/>
      <c r="C17" s="760">
        <f t="shared" si="5"/>
        <v>0</v>
      </c>
      <c r="D17" s="862"/>
      <c r="E17" s="760">
        <f t="shared" si="2"/>
        <v>0</v>
      </c>
      <c r="F17" s="862"/>
      <c r="G17" s="760">
        <f t="shared" si="6"/>
        <v>0</v>
      </c>
      <c r="H17" s="760">
        <f t="shared" si="4"/>
        <v>0</v>
      </c>
      <c r="I17" s="760">
        <f>C17*J1</f>
        <v>0</v>
      </c>
      <c r="J17" s="760">
        <f>G17*J1</f>
        <v>0</v>
      </c>
      <c r="K17" s="935">
        <f t="shared" si="3"/>
        <v>0</v>
      </c>
    </row>
    <row r="18" spans="1:11" s="475" customFormat="1" ht="41.25" customHeight="1">
      <c r="A18" s="797">
        <v>12</v>
      </c>
      <c r="B18" s="113"/>
      <c r="C18" s="760">
        <f t="shared" si="5"/>
        <v>0</v>
      </c>
      <c r="D18" s="862"/>
      <c r="E18" s="760">
        <f t="shared" si="2"/>
        <v>0</v>
      </c>
      <c r="F18" s="862"/>
      <c r="G18" s="760">
        <f t="shared" si="6"/>
        <v>0</v>
      </c>
      <c r="H18" s="760">
        <f t="shared" si="4"/>
        <v>0</v>
      </c>
      <c r="I18" s="760">
        <f>C18*J1</f>
        <v>0</v>
      </c>
      <c r="J18" s="760">
        <f>G18*J1</f>
        <v>0</v>
      </c>
      <c r="K18" s="935">
        <f t="shared" si="3"/>
        <v>0</v>
      </c>
    </row>
    <row r="19" spans="1:11" s="475" customFormat="1" ht="41.25" customHeight="1">
      <c r="A19" s="797">
        <v>13</v>
      </c>
      <c r="B19" s="113"/>
      <c r="C19" s="760">
        <f t="shared" si="5"/>
        <v>0</v>
      </c>
      <c r="D19" s="862"/>
      <c r="E19" s="760">
        <f t="shared" si="2"/>
        <v>0</v>
      </c>
      <c r="F19" s="862"/>
      <c r="G19" s="760">
        <f t="shared" si="6"/>
        <v>0</v>
      </c>
      <c r="H19" s="760">
        <f t="shared" si="4"/>
        <v>0</v>
      </c>
      <c r="I19" s="760">
        <f>C19*J1</f>
        <v>0</v>
      </c>
      <c r="J19" s="760">
        <f>G19*J1</f>
        <v>0</v>
      </c>
      <c r="K19" s="935">
        <f t="shared" si="3"/>
        <v>0</v>
      </c>
    </row>
    <row r="20" spans="1:11" s="475" customFormat="1" ht="41.25" customHeight="1">
      <c r="A20" s="797">
        <v>14</v>
      </c>
      <c r="B20" s="113"/>
      <c r="C20" s="760">
        <f t="shared" si="5"/>
        <v>0</v>
      </c>
      <c r="D20" s="862"/>
      <c r="E20" s="760">
        <f t="shared" si="2"/>
        <v>0</v>
      </c>
      <c r="F20" s="862"/>
      <c r="G20" s="760">
        <f t="shared" si="6"/>
        <v>0</v>
      </c>
      <c r="H20" s="760">
        <f t="shared" si="4"/>
        <v>0</v>
      </c>
      <c r="I20" s="760">
        <f>C20*J1</f>
        <v>0</v>
      </c>
      <c r="J20" s="760">
        <f>G20*J1</f>
        <v>0</v>
      </c>
      <c r="K20" s="935">
        <f t="shared" si="3"/>
        <v>0</v>
      </c>
    </row>
    <row r="21" spans="1:11" s="475" customFormat="1" ht="41.25" customHeight="1">
      <c r="A21" s="797">
        <v>15</v>
      </c>
      <c r="B21" s="113"/>
      <c r="C21" s="760">
        <f t="shared" si="5"/>
        <v>0</v>
      </c>
      <c r="D21" s="862"/>
      <c r="E21" s="760">
        <f t="shared" si="2"/>
        <v>0</v>
      </c>
      <c r="F21" s="862"/>
      <c r="G21" s="760">
        <f>IF(F21&gt;=F20,F21-F20,0)</f>
        <v>0</v>
      </c>
      <c r="H21" s="760">
        <f t="shared" si="4"/>
        <v>0</v>
      </c>
      <c r="I21" s="760">
        <f>C21*J1</f>
        <v>0</v>
      </c>
      <c r="J21" s="760">
        <f>G21*J1</f>
        <v>0</v>
      </c>
      <c r="K21" s="935">
        <f t="shared" si="3"/>
        <v>0</v>
      </c>
    </row>
    <row r="22" spans="1:11" s="475" customFormat="1" ht="41.25" customHeight="1">
      <c r="A22" s="797">
        <v>16</v>
      </c>
      <c r="B22" s="864"/>
      <c r="C22" s="760">
        <f t="shared" si="5"/>
        <v>0</v>
      </c>
      <c r="D22" s="862"/>
      <c r="E22" s="760">
        <f t="shared" si="2"/>
        <v>0</v>
      </c>
      <c r="F22" s="862"/>
      <c r="G22" s="760">
        <f>IF(F22&gt;=F21,F22-F21,0)</f>
        <v>0</v>
      </c>
      <c r="H22" s="760">
        <f t="shared" si="4"/>
        <v>0</v>
      </c>
      <c r="I22" s="760">
        <f>C22*J1</f>
        <v>0</v>
      </c>
      <c r="J22" s="760">
        <f>G22*J1</f>
        <v>0</v>
      </c>
      <c r="K22" s="935">
        <f t="shared" si="3"/>
        <v>0</v>
      </c>
    </row>
    <row r="23" spans="1:11" s="475" customFormat="1" ht="41.25" customHeight="1">
      <c r="A23" s="797">
        <v>17</v>
      </c>
      <c r="B23" s="113"/>
      <c r="C23" s="760">
        <f t="shared" si="5"/>
        <v>0</v>
      </c>
      <c r="D23" s="862"/>
      <c r="E23" s="760">
        <f t="shared" si="2"/>
        <v>0</v>
      </c>
      <c r="F23" s="862"/>
      <c r="G23" s="760">
        <f>IF(F23&gt;=F22,F23-F22,0)</f>
        <v>0</v>
      </c>
      <c r="H23" s="760">
        <f t="shared" si="4"/>
        <v>0</v>
      </c>
      <c r="I23" s="760">
        <f>C23*J1</f>
        <v>0</v>
      </c>
      <c r="J23" s="760">
        <f>G23*J1</f>
        <v>0</v>
      </c>
      <c r="K23" s="935">
        <f t="shared" si="3"/>
        <v>0</v>
      </c>
    </row>
    <row r="24" spans="1:11" s="475" customFormat="1" ht="41.25" customHeight="1">
      <c r="A24" s="797">
        <v>18</v>
      </c>
      <c r="B24" s="113"/>
      <c r="C24" s="760">
        <f t="shared" si="5"/>
        <v>0</v>
      </c>
      <c r="D24" s="862"/>
      <c r="E24" s="760">
        <f t="shared" si="2"/>
        <v>0</v>
      </c>
      <c r="F24" s="862"/>
      <c r="G24" s="760">
        <f t="shared" si="6"/>
        <v>0</v>
      </c>
      <c r="H24" s="760">
        <f t="shared" si="4"/>
        <v>0</v>
      </c>
      <c r="I24" s="760">
        <f>C24*J1</f>
        <v>0</v>
      </c>
      <c r="J24" s="760">
        <f>G24*J1</f>
        <v>0</v>
      </c>
      <c r="K24" s="935">
        <f t="shared" si="3"/>
        <v>0</v>
      </c>
    </row>
    <row r="25" spans="1:11" s="475" customFormat="1" ht="41.25" customHeight="1">
      <c r="A25" s="797">
        <v>19</v>
      </c>
      <c r="B25" s="113"/>
      <c r="C25" s="760">
        <f t="shared" si="5"/>
        <v>0</v>
      </c>
      <c r="D25" s="862"/>
      <c r="E25" s="760">
        <f t="shared" si="2"/>
        <v>0</v>
      </c>
      <c r="F25" s="862"/>
      <c r="G25" s="760">
        <f t="shared" si="6"/>
        <v>0</v>
      </c>
      <c r="H25" s="760">
        <f t="shared" si="4"/>
        <v>0</v>
      </c>
      <c r="I25" s="760">
        <f>C25*J1</f>
        <v>0</v>
      </c>
      <c r="J25" s="760">
        <f>G25*J1</f>
        <v>0</v>
      </c>
      <c r="K25" s="935">
        <f t="shared" si="3"/>
        <v>0</v>
      </c>
    </row>
    <row r="26" spans="1:11" s="475" customFormat="1" ht="41.25" customHeight="1">
      <c r="A26" s="797">
        <v>20</v>
      </c>
      <c r="B26" s="113"/>
      <c r="C26" s="760">
        <f t="shared" si="5"/>
        <v>0</v>
      </c>
      <c r="D26" s="862"/>
      <c r="E26" s="760">
        <f t="shared" si="2"/>
        <v>0</v>
      </c>
      <c r="F26" s="862"/>
      <c r="G26" s="760">
        <f t="shared" si="6"/>
        <v>0</v>
      </c>
      <c r="H26" s="760">
        <f t="shared" si="4"/>
        <v>0</v>
      </c>
      <c r="I26" s="760">
        <f>C26*J1</f>
        <v>0</v>
      </c>
      <c r="J26" s="760">
        <f>G26*J1</f>
        <v>0</v>
      </c>
      <c r="K26" s="935">
        <f t="shared" si="3"/>
        <v>0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6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 t="shared" si="5"/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 t="shared" si="5"/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 t="shared" si="5"/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864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131468.62</v>
      </c>
      <c r="D38" s="865"/>
      <c r="E38" s="866">
        <f>SUM(E7:E37)</f>
        <v>2285.5</v>
      </c>
      <c r="F38" s="865"/>
      <c r="G38" s="866">
        <f>SUM(G7:G37)</f>
        <v>922</v>
      </c>
      <c r="H38" s="867">
        <f>SUM(H6:H37)</f>
        <v>2023.8102500000002</v>
      </c>
      <c r="I38" s="867">
        <f>SUM(I6:I37)</f>
        <v>211664.47820000004</v>
      </c>
      <c r="J38" s="867">
        <f>SUM(J6:J37)</f>
        <v>1484.42</v>
      </c>
      <c r="K38" s="936">
        <f>SUM(K6:K37)</f>
        <v>133754.12</v>
      </c>
    </row>
    <row r="39" spans="1:14" s="602" customFormat="1" ht="41.25" customHeight="1" thickBot="1">
      <c r="A39" s="800" t="s">
        <v>331</v>
      </c>
      <c r="B39" s="868"/>
      <c r="C39" s="869">
        <f>C38/A51</f>
        <v>11951.692727272726</v>
      </c>
      <c r="D39" s="868"/>
      <c r="E39" s="869">
        <f>E38/A51</f>
        <v>207.77272727272728</v>
      </c>
      <c r="F39" s="868"/>
      <c r="G39" s="869">
        <f>G38/A51</f>
        <v>83.818181818181813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11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55" t="str">
        <f>Elect!A1</f>
        <v>November</v>
      </c>
      <c r="B1" s="177"/>
      <c r="C1" s="177"/>
      <c r="H1" s="143"/>
      <c r="I1" s="144"/>
      <c r="J1" s="145"/>
      <c r="K1" s="145"/>
      <c r="L1" s="1057" t="s">
        <v>144</v>
      </c>
      <c r="M1" s="1057"/>
      <c r="N1" s="1057"/>
      <c r="P1" s="1058" t="str">
        <f>Elect!A1</f>
        <v>November</v>
      </c>
      <c r="Q1" s="1058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56"/>
      <c r="B2" s="1041" t="s">
        <v>131</v>
      </c>
      <c r="C2" s="1042"/>
      <c r="D2" s="1042"/>
      <c r="E2" s="1042"/>
      <c r="F2" s="1042"/>
      <c r="G2" s="1059"/>
      <c r="H2" s="1041" t="s">
        <v>11</v>
      </c>
      <c r="I2" s="1042"/>
      <c r="J2" s="1042"/>
      <c r="K2" s="1042"/>
      <c r="L2" s="1042"/>
      <c r="M2" s="1042"/>
      <c r="N2" s="1042"/>
      <c r="O2" s="1042"/>
      <c r="P2" s="1059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29" t="s">
        <v>56</v>
      </c>
      <c r="AH2" s="1030"/>
      <c r="AI2" s="1030"/>
      <c r="AJ2" s="395" t="s">
        <v>50</v>
      </c>
      <c r="AK2" s="1035" t="s">
        <v>58</v>
      </c>
      <c r="AL2" s="1037" t="s">
        <v>65</v>
      </c>
      <c r="AM2" s="1037" t="s">
        <v>64</v>
      </c>
      <c r="AN2" s="1027" t="s">
        <v>120</v>
      </c>
      <c r="AO2" s="1045" t="s">
        <v>45</v>
      </c>
      <c r="AP2" s="1047" t="s">
        <v>51</v>
      </c>
      <c r="AQ2" s="1049" t="s">
        <v>66</v>
      </c>
      <c r="AR2" s="1051" t="s">
        <v>44</v>
      </c>
      <c r="AS2" s="1053" t="s">
        <v>51</v>
      </c>
      <c r="AT2" s="1043" t="s">
        <v>269</v>
      </c>
      <c r="AU2" s="1044"/>
      <c r="AV2" s="1041" t="s">
        <v>132</v>
      </c>
      <c r="AW2" s="1042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60" t="s">
        <v>5</v>
      </c>
      <c r="C3" s="1061"/>
      <c r="D3" s="1062" t="s">
        <v>2</v>
      </c>
      <c r="E3" s="1063"/>
      <c r="F3" s="1064" t="s">
        <v>3</v>
      </c>
      <c r="G3" s="1065"/>
      <c r="H3" s="1064" t="s">
        <v>17</v>
      </c>
      <c r="I3" s="1065"/>
      <c r="J3" s="1066" t="s">
        <v>18</v>
      </c>
      <c r="K3" s="1067"/>
      <c r="L3" s="1068" t="s">
        <v>19</v>
      </c>
      <c r="M3" s="1069"/>
      <c r="N3" s="161" t="s">
        <v>272</v>
      </c>
      <c r="O3" s="1031" t="s">
        <v>20</v>
      </c>
      <c r="P3" s="1032"/>
      <c r="Q3" s="1031" t="s">
        <v>114</v>
      </c>
      <c r="R3" s="1032"/>
      <c r="S3" s="1033" t="s">
        <v>121</v>
      </c>
      <c r="T3" s="1034"/>
      <c r="U3" s="1033" t="s">
        <v>122</v>
      </c>
      <c r="V3" s="1034"/>
      <c r="W3" s="1039" t="s">
        <v>123</v>
      </c>
      <c r="X3" s="1040"/>
      <c r="Y3" s="1033" t="s">
        <v>13</v>
      </c>
      <c r="Z3" s="1034"/>
      <c r="AA3" s="1039" t="s">
        <v>12</v>
      </c>
      <c r="AB3" s="1040"/>
      <c r="AC3" s="1033" t="s">
        <v>124</v>
      </c>
      <c r="AD3" s="1034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36"/>
      <c r="AL3" s="1038"/>
      <c r="AM3" s="1038"/>
      <c r="AN3" s="1028"/>
      <c r="AO3" s="1046"/>
      <c r="AP3" s="1048"/>
      <c r="AQ3" s="1050"/>
      <c r="AR3" s="1052"/>
      <c r="AS3" s="1054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5546</v>
      </c>
      <c r="D5" s="512">
        <f>[3]Consp!$E$6</f>
        <v>0</v>
      </c>
      <c r="E5" s="511">
        <f>Elect!M6</f>
        <v>2924</v>
      </c>
      <c r="F5" s="512">
        <f>[3]Consp!G6</f>
        <v>20</v>
      </c>
      <c r="G5" s="511">
        <f>Elect!O6</f>
        <v>841</v>
      </c>
      <c r="H5" s="512">
        <f>[3]Consp!I6</f>
        <v>800</v>
      </c>
      <c r="I5" s="511">
        <f>Water!C7</f>
        <v>191.39999999999998</v>
      </c>
      <c r="J5" s="512">
        <f>[4]Consp!$K$6</f>
        <v>0</v>
      </c>
      <c r="K5" s="511">
        <f>Water!E7</f>
        <v>0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193.71999999999997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112.35759999999998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52671.4</v>
      </c>
      <c r="AI5" s="516" t="e">
        <f>Gas!#REF!</f>
        <v>#REF!</v>
      </c>
      <c r="AJ5" s="517">
        <f>Gas!J7</f>
        <v>133.63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195</v>
      </c>
      <c r="AU5" s="511">
        <f>Elect!BI6</f>
        <v>65</v>
      </c>
      <c r="AV5" s="511" t="e">
        <f>Elect!#REF!</f>
        <v>#REF!</v>
      </c>
      <c r="AW5" s="511">
        <f>Elect!BK6</f>
        <v>195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0.79393442622950805</v>
      </c>
      <c r="BN5" s="528" t="e">
        <f>Water!W7</f>
        <v>#DIV/0!</v>
      </c>
      <c r="BO5" s="523">
        <f>Water!X7</f>
        <v>774.87999999999988</v>
      </c>
      <c r="BP5" s="528">
        <f>Water!Y7</f>
        <v>3.1757377049180322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6508</v>
      </c>
      <c r="D6" s="512">
        <f>[3]Consp!$E$6</f>
        <v>0</v>
      </c>
      <c r="E6" s="511">
        <f>Elect!M7</f>
        <v>2473</v>
      </c>
      <c r="F6" s="512">
        <f>[3]Consp!G7</f>
        <v>20</v>
      </c>
      <c r="G6" s="511">
        <f>Elect!O7</f>
        <v>1552</v>
      </c>
      <c r="H6" s="512">
        <f>[3]Consp!I7</f>
        <v>936</v>
      </c>
      <c r="I6" s="511">
        <f>Water!C8</f>
        <v>301.59999999999997</v>
      </c>
      <c r="J6" s="512">
        <f>[4]Consp!$K$6</f>
        <v>0</v>
      </c>
      <c r="K6" s="511">
        <f>Water!E8</f>
        <v>0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302.76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175.60079999999999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7576330</v>
      </c>
      <c r="AH6" s="515">
        <f>Gas!C8</f>
        <v>17776.2</v>
      </c>
      <c r="AI6" s="516" t="e">
        <f>Gas!#REF!</f>
        <v>#REF!</v>
      </c>
      <c r="AJ6" s="517">
        <f>Gas!J8</f>
        <v>133.63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170</v>
      </c>
      <c r="AU6" s="511">
        <f>Elect!BI7</f>
        <v>94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365114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1.3163478260869566</v>
      </c>
      <c r="BN6" s="528" t="e">
        <f>Water!W8</f>
        <v>#DIV/0!</v>
      </c>
      <c r="BO6" s="523">
        <f>Water!X8</f>
        <v>1211.04</v>
      </c>
      <c r="BP6" s="528">
        <f>Water!Y8</f>
        <v>5.2653913043478262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6603</v>
      </c>
      <c r="D7" s="512">
        <f>[3]Consp!$E$6</f>
        <v>0</v>
      </c>
      <c r="E7" s="511">
        <f>Elect!M8</f>
        <v>2505</v>
      </c>
      <c r="F7" s="512">
        <f>[3]Consp!G8</f>
        <v>20</v>
      </c>
      <c r="G7" s="511">
        <f>Elect!O8</f>
        <v>1728</v>
      </c>
      <c r="H7" s="512">
        <f>[3]Consp!I8</f>
        <v>685</v>
      </c>
      <c r="I7" s="511">
        <f>Water!C9</f>
        <v>348</v>
      </c>
      <c r="J7" s="512">
        <f>[4]Consp!$K$6</f>
        <v>0</v>
      </c>
      <c r="K7" s="511">
        <f>Water!E9</f>
        <v>0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350.9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203.52199999999996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7609870</v>
      </c>
      <c r="AH7" s="515">
        <f>Gas!C9</f>
        <v>17776.2</v>
      </c>
      <c r="AI7" s="516" t="e">
        <f>Gas!#REF!</f>
        <v>#REF!</v>
      </c>
      <c r="AJ7" s="517">
        <f>Gas!J9</f>
        <v>133.63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184</v>
      </c>
      <c r="AU7" s="511">
        <f>Elect!BI8</f>
        <v>98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365298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1.3924603174603174</v>
      </c>
      <c r="BN7" s="528" t="e">
        <f>Water!W9</f>
        <v>#DIV/0!</v>
      </c>
      <c r="BO7" s="523">
        <f>Water!X9</f>
        <v>1403.6</v>
      </c>
      <c r="BP7" s="528">
        <f>Water!Y9</f>
        <v>5.5698412698412696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6318</v>
      </c>
      <c r="D8" s="512">
        <f>[3]Consp!$E$6</f>
        <v>0</v>
      </c>
      <c r="E8" s="511">
        <f>Elect!M9</f>
        <v>2217</v>
      </c>
      <c r="F8" s="512">
        <f>[3]Consp!G9</f>
        <v>20</v>
      </c>
      <c r="G8" s="511">
        <f>Elect!O9</f>
        <v>1641</v>
      </c>
      <c r="H8" s="512">
        <f>[3]Consp!I9</f>
        <v>786</v>
      </c>
      <c r="I8" s="511">
        <f>Water!C10</f>
        <v>174</v>
      </c>
      <c r="J8" s="512">
        <f>[4]Consp!$K$6</f>
        <v>0</v>
      </c>
      <c r="K8" s="511">
        <f>Water!E10</f>
        <v>0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175.74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101.92919999999999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7626640</v>
      </c>
      <c r="AH8" s="515">
        <f>Gas!C10</f>
        <v>17776.2</v>
      </c>
      <c r="AI8" s="516" t="e">
        <f>Gas!#REF!</f>
        <v>#REF!</v>
      </c>
      <c r="AJ8" s="517">
        <f>Gas!J10</f>
        <v>133.63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172</v>
      </c>
      <c r="AU8" s="511">
        <f>Elect!BI9</f>
        <v>89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365470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0.7232098765432099</v>
      </c>
      <c r="BN8" s="528" t="e">
        <f>Water!W10</f>
        <v>#DIV/0!</v>
      </c>
      <c r="BO8" s="523">
        <f>Water!X10</f>
        <v>702.96</v>
      </c>
      <c r="BP8" s="528">
        <f>Water!Y10</f>
        <v>2.8928395061728396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6001</v>
      </c>
      <c r="D9" s="512">
        <f>[3]Consp!$E$6</f>
        <v>0</v>
      </c>
      <c r="E9" s="511">
        <f>Elect!M10</f>
        <v>2172</v>
      </c>
      <c r="F9" s="512">
        <f>[3]Consp!G10</f>
        <v>20</v>
      </c>
      <c r="G9" s="511">
        <f>Elect!O10</f>
        <v>1619</v>
      </c>
      <c r="H9" s="512">
        <f>[3]Consp!I10</f>
        <v>789</v>
      </c>
      <c r="I9" s="511">
        <f>Water!C11</f>
        <v>185.6</v>
      </c>
      <c r="J9" s="512">
        <f>[4]Consp!$K$6</f>
        <v>0</v>
      </c>
      <c r="K9" s="511">
        <f>Water!E11</f>
        <v>0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188.5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109.33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7643410</v>
      </c>
      <c r="AH9" s="515">
        <f>Gas!C11</f>
        <v>17776.2</v>
      </c>
      <c r="AI9" s="516" t="e">
        <f>Gas!#REF!</f>
        <v>#REF!</v>
      </c>
      <c r="AJ9" s="517">
        <f>Gas!J11</f>
        <v>198.03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177</v>
      </c>
      <c r="AU9" s="511">
        <f>Elect!BI10</f>
        <v>92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365647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0.76008064516129037</v>
      </c>
      <c r="BN9" s="528" t="e">
        <f>Water!W11</f>
        <v>#DIV/0!</v>
      </c>
      <c r="BO9" s="523">
        <f>Water!X11</f>
        <v>754</v>
      </c>
      <c r="BP9" s="528">
        <f>Water!Y11</f>
        <v>3.0403225806451615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6229</v>
      </c>
      <c r="D10" s="512">
        <f>[3]Consp!$E$6</f>
        <v>0</v>
      </c>
      <c r="E10" s="511">
        <f>Elect!M11</f>
        <v>2144</v>
      </c>
      <c r="F10" s="512">
        <f>[3]Consp!G11</f>
        <v>20</v>
      </c>
      <c r="G10" s="511">
        <f>Elect!O11</f>
        <v>1703</v>
      </c>
      <c r="H10" s="512">
        <f>[3]Consp!I11</f>
        <v>805</v>
      </c>
      <c r="I10" s="511">
        <f>Water!C12</f>
        <v>156.6</v>
      </c>
      <c r="J10" s="512">
        <f>[4]Consp!$K$6</f>
        <v>0</v>
      </c>
      <c r="K10" s="511">
        <f>Water!E12</f>
        <v>0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156.6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90.827999999999989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7644904</v>
      </c>
      <c r="AH10" s="515">
        <f>Gas!C12</f>
        <v>1583.64</v>
      </c>
      <c r="AI10" s="516" t="e">
        <f>Gas!#REF!</f>
        <v>#REF!</v>
      </c>
      <c r="AJ10" s="517">
        <f>Gas!J12</f>
        <v>111.09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168</v>
      </c>
      <c r="AU10" s="511">
        <f>Elect!BI11</f>
        <v>84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365815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0.62891566265060239</v>
      </c>
      <c r="BN10" s="528" t="e">
        <f>Water!W12</f>
        <v>#DIV/0!</v>
      </c>
      <c r="BO10" s="523">
        <f>Water!X12</f>
        <v>626.4</v>
      </c>
      <c r="BP10" s="528">
        <f>Water!Y12</f>
        <v>2.5156626506024096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6417</v>
      </c>
      <c r="D11" s="512">
        <f>[3]Consp!$E$6</f>
        <v>0</v>
      </c>
      <c r="E11" s="511">
        <f>Elect!M12</f>
        <v>2312</v>
      </c>
      <c r="F11" s="512">
        <f>[3]Consp!G12</f>
        <v>20</v>
      </c>
      <c r="G11" s="511">
        <f>Elect!O12</f>
        <v>1657</v>
      </c>
      <c r="H11" s="512">
        <f>[3]Consp!I12</f>
        <v>871</v>
      </c>
      <c r="I11" s="511">
        <f>Water!C13</f>
        <v>179.79999999999998</v>
      </c>
      <c r="J11" s="512">
        <f>[4]Consp!$K$6</f>
        <v>0</v>
      </c>
      <c r="K11" s="511">
        <f>Water!E13</f>
        <v>0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182.11999999999998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105.62959999999998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7646639</v>
      </c>
      <c r="AH11" s="515">
        <f>Gas!C13</f>
        <v>1839.1000000000001</v>
      </c>
      <c r="AI11" s="516" t="e">
        <f>Gas!#REF!</f>
        <v>#REF!</v>
      </c>
      <c r="AJ11" s="517">
        <f>Gas!J13</f>
        <v>152.95000000000002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135</v>
      </c>
      <c r="AU11" s="511">
        <f>Elect!BI12</f>
        <v>86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365950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0.81668161434977571</v>
      </c>
      <c r="BN11" s="528" t="e">
        <f>Water!W13</f>
        <v>#DIV/0!</v>
      </c>
      <c r="BO11" s="523">
        <f>Water!X13</f>
        <v>728.4799999999999</v>
      </c>
      <c r="BP11" s="528">
        <f>Water!Y13</f>
        <v>3.2667264573991028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6335</v>
      </c>
      <c r="D12" s="512">
        <f>[3]Consp!$E$6</f>
        <v>0</v>
      </c>
      <c r="E12" s="511">
        <f>Elect!M13</f>
        <v>2329</v>
      </c>
      <c r="F12" s="512">
        <f>[3]Consp!G13</f>
        <v>20</v>
      </c>
      <c r="G12" s="511">
        <f>Elect!O13</f>
        <v>1570</v>
      </c>
      <c r="H12" s="512">
        <f>[3]Consp!I13</f>
        <v>963</v>
      </c>
      <c r="I12" s="511">
        <f>Water!C14</f>
        <v>162.39999999999998</v>
      </c>
      <c r="J12" s="512">
        <f>[4]Consp!$K$6</f>
        <v>0</v>
      </c>
      <c r="K12" s="511">
        <f>Water!E14</f>
        <v>0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163.55999999999997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94.864799999999974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7647774</v>
      </c>
      <c r="AH12" s="515">
        <f>Gas!C14</f>
        <v>1203.1000000000001</v>
      </c>
      <c r="AI12" s="516" t="e">
        <f>Gas!#REF!</f>
        <v>#REF!</v>
      </c>
      <c r="AJ12" s="517">
        <f>Gas!J14</f>
        <v>136.85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212</v>
      </c>
      <c r="AU12" s="511">
        <f>Elect!BI13</f>
        <v>89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366162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0.69599999999999984</v>
      </c>
      <c r="BN12" s="528" t="e">
        <f>Water!W14</f>
        <v>#DIV/0!</v>
      </c>
      <c r="BO12" s="523">
        <f>Water!X14</f>
        <v>654.2399999999999</v>
      </c>
      <c r="BP12" s="528">
        <f>Water!Y14</f>
        <v>2.7839999999999994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6566</v>
      </c>
      <c r="D13" s="512">
        <f>[3]Consp!$E$6</f>
        <v>0</v>
      </c>
      <c r="E13" s="511">
        <f>Elect!M14</f>
        <v>2368</v>
      </c>
      <c r="F13" s="512">
        <f>[3]Consp!G14</f>
        <v>20</v>
      </c>
      <c r="G13" s="511">
        <f>Elect!O14</f>
        <v>2744</v>
      </c>
      <c r="H13" s="512">
        <f>[3]Consp!I14</f>
        <v>790</v>
      </c>
      <c r="I13" s="511">
        <f>Water!C15</f>
        <v>197.2</v>
      </c>
      <c r="J13" s="512">
        <f>[4]Consp!$K$6</f>
        <v>0</v>
      </c>
      <c r="K13" s="511">
        <f>Water!E15</f>
        <v>0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198.94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115.3852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7649464</v>
      </c>
      <c r="AH13" s="515">
        <f>Gas!C15</f>
        <v>1791.4</v>
      </c>
      <c r="AI13" s="516" t="e">
        <f>Gas!#REF!</f>
        <v>#REF!</v>
      </c>
      <c r="AJ13" s="517">
        <f>Gas!J15</f>
        <v>204.47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176</v>
      </c>
      <c r="AU13" s="511">
        <f>Elect!BI14</f>
        <v>90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366338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0.86121212121212121</v>
      </c>
      <c r="BN13" s="528" t="e">
        <f>Water!W15</f>
        <v>#DIV/0!</v>
      </c>
      <c r="BO13" s="523">
        <f>Water!X15</f>
        <v>795.76</v>
      </c>
      <c r="BP13" s="528">
        <f>Water!Y15</f>
        <v>3.4448484848484848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6366</v>
      </c>
      <c r="D14" s="512">
        <f>[3]Consp!$E$6</f>
        <v>0</v>
      </c>
      <c r="E14" s="511">
        <f>Elect!M15</f>
        <v>2249</v>
      </c>
      <c r="F14" s="512">
        <f>[3]Consp!G15</f>
        <v>20</v>
      </c>
      <c r="G14" s="511">
        <f>Elect!O15</f>
        <v>1695</v>
      </c>
      <c r="H14" s="512">
        <f>[3]Consp!I15</f>
        <v>792</v>
      </c>
      <c r="I14" s="511">
        <f>Water!C16</f>
        <v>261</v>
      </c>
      <c r="J14" s="512">
        <f>[4]Consp!$K$6</f>
        <v>0</v>
      </c>
      <c r="K14" s="511">
        <f>Water!E16</f>
        <v>0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262.74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152.38919999999999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7650667</v>
      </c>
      <c r="AH14" s="515">
        <f>Gas!C16</f>
        <v>1275.18</v>
      </c>
      <c r="AI14" s="516" t="e">
        <f>Gas!#REF!</f>
        <v>#REF!</v>
      </c>
      <c r="AJ14" s="517">
        <f>Gas!J16</f>
        <v>146.51000000000002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177</v>
      </c>
      <c r="AU14" s="511">
        <f>Elect!BI15</f>
        <v>93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366515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1.1677333333333333</v>
      </c>
      <c r="BN14" s="528" t="e">
        <f>Water!W16</f>
        <v>#DIV/0!</v>
      </c>
      <c r="BO14" s="523">
        <f>Water!X16</f>
        <v>1050.96</v>
      </c>
      <c r="BP14" s="528">
        <f>Water!Y16</f>
        <v>4.6709333333333332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6123</v>
      </c>
      <c r="D15" s="512">
        <f>[3]Consp!$E$6</f>
        <v>0</v>
      </c>
      <c r="E15" s="511">
        <f>Elect!M16</f>
        <v>2147</v>
      </c>
      <c r="F15" s="512">
        <f>[3]Consp!G16</f>
        <v>20</v>
      </c>
      <c r="G15" s="511">
        <f>Elect!O16</f>
        <v>1653</v>
      </c>
      <c r="H15" s="512">
        <f>[3]Consp!I16</f>
        <v>817</v>
      </c>
      <c r="I15" s="511">
        <f>Water!C17</f>
        <v>179.79999999999998</v>
      </c>
      <c r="J15" s="512">
        <f>[4]Consp!$K$6</f>
        <v>0</v>
      </c>
      <c r="K15" s="511">
        <f>Water!E17</f>
        <v>0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179.79999999999998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104.28399999999998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0</v>
      </c>
      <c r="AI15" s="516" t="e">
        <f>Gas!#REF!</f>
        <v>#REF!</v>
      </c>
      <c r="AJ15" s="517">
        <f>Gas!J17</f>
        <v>0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171</v>
      </c>
      <c r="AU15" s="511">
        <f>Elect!BI16</f>
        <v>78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366686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1.0393063583815028</v>
      </c>
      <c r="BN15" s="528" t="e">
        <f>Water!W17</f>
        <v>#DIV/0!</v>
      </c>
      <c r="BO15" s="523">
        <f>Water!X17</f>
        <v>719.19999999999993</v>
      </c>
      <c r="BP15" s="528">
        <f>Water!Y17</f>
        <v>4.157225433526011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0</v>
      </c>
      <c r="D16" s="512">
        <f>[3]Consp!$E$6</f>
        <v>0</v>
      </c>
      <c r="E16" s="511">
        <f>Elect!M17</f>
        <v>0</v>
      </c>
      <c r="F16" s="512">
        <f>[3]Consp!G17</f>
        <v>20</v>
      </c>
      <c r="G16" s="511">
        <f>Elect!O17</f>
        <v>0</v>
      </c>
      <c r="H16" s="512">
        <f>[3]Consp!I17</f>
        <v>907</v>
      </c>
      <c r="I16" s="511">
        <f>Water!C18</f>
        <v>208.79999999999998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209.95999999999998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121.77679999999998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0</v>
      </c>
      <c r="AH16" s="515">
        <f>Gas!C18</f>
        <v>0</v>
      </c>
      <c r="AI16" s="516" t="e">
        <f>Gas!#REF!</f>
        <v>#REF!</v>
      </c>
      <c r="AJ16" s="517">
        <f>Gas!J18</f>
        <v>0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0</v>
      </c>
      <c r="AU16" s="511">
        <f>Elect!BI17</f>
        <v>0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0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 t="e">
        <f>Water!U18</f>
        <v>#DIV/0!</v>
      </c>
      <c r="BN16" s="528" t="e">
        <f>Water!W18</f>
        <v>#DIV/0!</v>
      </c>
      <c r="BO16" s="523">
        <f>Water!X18</f>
        <v>839.83999999999992</v>
      </c>
      <c r="BP16" s="528" t="e">
        <f>Water!Y18</f>
        <v>#DIV/0!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0</v>
      </c>
      <c r="D17" s="512">
        <f>[3]Consp!$E$6</f>
        <v>0</v>
      </c>
      <c r="E17" s="511">
        <f>Elect!M18</f>
        <v>0</v>
      </c>
      <c r="F17" s="512">
        <f>[3]Consp!G18</f>
        <v>20</v>
      </c>
      <c r="G17" s="511">
        <f>Elect!O18</f>
        <v>0</v>
      </c>
      <c r="H17" s="512">
        <f>[3]Consp!I18</f>
        <v>812</v>
      </c>
      <c r="I17" s="511">
        <f>Water!C19</f>
        <v>0</v>
      </c>
      <c r="J17" s="512">
        <f>[4]Consp!$K$6</f>
        <v>0</v>
      </c>
      <c r="K17" s="511">
        <f>Water!E19</f>
        <v>0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0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0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0</v>
      </c>
      <c r="AH17" s="515">
        <f>Gas!C19</f>
        <v>0</v>
      </c>
      <c r="AI17" s="516" t="e">
        <f>Gas!#REF!</f>
        <v>#REF!</v>
      </c>
      <c r="AJ17" s="517">
        <f>Gas!J19</f>
        <v>0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0</v>
      </c>
      <c r="AU17" s="511">
        <f>Elect!BI18</f>
        <v>0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0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 t="e">
        <f>Water!U19</f>
        <v>#DIV/0!</v>
      </c>
      <c r="BN17" s="528" t="e">
        <f>Water!W19</f>
        <v>#DIV/0!</v>
      </c>
      <c r="BO17" s="523">
        <f>Water!X19</f>
        <v>0</v>
      </c>
      <c r="BP17" s="528">
        <f>Water!Y19</f>
        <v>0</v>
      </c>
      <c r="BQ17" s="529">
        <f>Water!Z19</f>
        <v>0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0</v>
      </c>
      <c r="D18" s="512">
        <f>[3]Consp!$E$6</f>
        <v>0</v>
      </c>
      <c r="E18" s="511">
        <f>Elect!M19</f>
        <v>0</v>
      </c>
      <c r="F18" s="512">
        <f>[3]Consp!G19</f>
        <v>30</v>
      </c>
      <c r="G18" s="511">
        <f>Elect!O19</f>
        <v>0</v>
      </c>
      <c r="H18" s="512">
        <f>[3]Consp!I19</f>
        <v>810</v>
      </c>
      <c r="I18" s="511">
        <f>Water!C20</f>
        <v>0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0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0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0</v>
      </c>
      <c r="AH18" s="515">
        <f>Gas!C20</f>
        <v>0</v>
      </c>
      <c r="AI18" s="516" t="e">
        <f>Gas!#REF!</f>
        <v>#REF!</v>
      </c>
      <c r="AJ18" s="517">
        <f>Gas!J20</f>
        <v>0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0</v>
      </c>
      <c r="AU18" s="511">
        <f>Elect!BI19</f>
        <v>0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364944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 t="e">
        <f>Water!U20</f>
        <v>#DIV/0!</v>
      </c>
      <c r="BN18" s="528" t="e">
        <f>Water!W20</f>
        <v>#DIV/0!</v>
      </c>
      <c r="BO18" s="523">
        <f>Water!X20</f>
        <v>0</v>
      </c>
      <c r="BP18" s="528">
        <f>Water!Y20</f>
        <v>0</v>
      </c>
      <c r="BQ18" s="529">
        <f>Water!Z20</f>
        <v>0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0</v>
      </c>
      <c r="D19" s="512">
        <f>[3]Consp!$E$6</f>
        <v>0</v>
      </c>
      <c r="E19" s="511">
        <f>Elect!M20</f>
        <v>0</v>
      </c>
      <c r="F19" s="512">
        <f>[3]Consp!G20</f>
        <v>20</v>
      </c>
      <c r="G19" s="511">
        <f>Elect!O20</f>
        <v>0</v>
      </c>
      <c r="H19" s="512">
        <f>[3]Consp!I20</f>
        <v>841</v>
      </c>
      <c r="I19" s="511">
        <f>Water!C21</f>
        <v>0</v>
      </c>
      <c r="J19" s="512">
        <f>[4]Consp!$K$6</f>
        <v>0</v>
      </c>
      <c r="K19" s="511">
        <f>Water!E21</f>
        <v>0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0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0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0</v>
      </c>
      <c r="AH19" s="515">
        <f>Gas!C21</f>
        <v>0</v>
      </c>
      <c r="AI19" s="516" t="e">
        <f>Gas!#REF!</f>
        <v>#REF!</v>
      </c>
      <c r="AJ19" s="517">
        <f>Gas!J21</f>
        <v>0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0</v>
      </c>
      <c r="AU19" s="511">
        <f>Elect!BI20</f>
        <v>0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0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0</v>
      </c>
      <c r="BP19" s="528">
        <f>Water!Y21</f>
        <v>0</v>
      </c>
      <c r="BQ19" s="529">
        <f>Water!Z21</f>
        <v>0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0</v>
      </c>
      <c r="D20" s="512">
        <f>[3]Consp!$E$6</f>
        <v>0</v>
      </c>
      <c r="E20" s="511">
        <f>Elect!M21</f>
        <v>0</v>
      </c>
      <c r="F20" s="512">
        <f>[3]Consp!G21</f>
        <v>20</v>
      </c>
      <c r="G20" s="511">
        <f>Elect!O21</f>
        <v>0</v>
      </c>
      <c r="H20" s="512">
        <f>[3]Consp!I21</f>
        <v>932</v>
      </c>
      <c r="I20" s="511">
        <f>Water!C22</f>
        <v>0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0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0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0</v>
      </c>
      <c r="AH20" s="515">
        <f>Gas!C22</f>
        <v>0</v>
      </c>
      <c r="AI20" s="516" t="e">
        <f>Gas!#REF!</f>
        <v>#REF!</v>
      </c>
      <c r="AJ20" s="517">
        <f>Gas!J22</f>
        <v>0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0</v>
      </c>
      <c r="AU20" s="511">
        <f>Elect!BI21</f>
        <v>0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0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0</v>
      </c>
      <c r="BP20" s="528">
        <f>Water!Y22</f>
        <v>0</v>
      </c>
      <c r="BQ20" s="529">
        <f>Water!Z22</f>
        <v>0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0</v>
      </c>
      <c r="D21" s="512">
        <f>[3]Consp!$E$6</f>
        <v>0</v>
      </c>
      <c r="E21" s="511">
        <f>Elect!M22</f>
        <v>0</v>
      </c>
      <c r="F21" s="512">
        <f>[3]Consp!G22</f>
        <v>20</v>
      </c>
      <c r="G21" s="511">
        <f>Elect!O22</f>
        <v>0</v>
      </c>
      <c r="H21" s="512">
        <f>[3]Consp!I22</f>
        <v>972</v>
      </c>
      <c r="I21" s="511">
        <f>Water!C23</f>
        <v>0</v>
      </c>
      <c r="J21" s="512">
        <f>[4]Consp!$K$6</f>
        <v>0</v>
      </c>
      <c r="K21" s="511">
        <f>Water!E23</f>
        <v>0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0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0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0</v>
      </c>
      <c r="AH21" s="515">
        <f>Gas!C23</f>
        <v>0</v>
      </c>
      <c r="AI21" s="516" t="e">
        <f>Gas!#REF!</f>
        <v>#REF!</v>
      </c>
      <c r="AJ21" s="517">
        <f>Gas!J23</f>
        <v>0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0</v>
      </c>
      <c r="AU21" s="511">
        <f>Elect!BI22</f>
        <v>0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0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0</v>
      </c>
      <c r="BP21" s="528">
        <f>Water!Y23</f>
        <v>0</v>
      </c>
      <c r="BQ21" s="529">
        <f>Water!Z23</f>
        <v>0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0</v>
      </c>
      <c r="D22" s="512">
        <f>[3]Consp!$E$6</f>
        <v>0</v>
      </c>
      <c r="E22" s="511">
        <f>Elect!M23</f>
        <v>0</v>
      </c>
      <c r="F22" s="512">
        <f>[3]Consp!G23</f>
        <v>20</v>
      </c>
      <c r="G22" s="511">
        <f>Elect!O23</f>
        <v>0</v>
      </c>
      <c r="H22" s="512">
        <f>[3]Consp!I23</f>
        <v>864</v>
      </c>
      <c r="I22" s="511">
        <f>Water!C24</f>
        <v>0</v>
      </c>
      <c r="J22" s="512">
        <f>[4]Consp!$K$6</f>
        <v>0</v>
      </c>
      <c r="K22" s="511">
        <f>Water!E24</f>
        <v>0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0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0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0</v>
      </c>
      <c r="AH22" s="515">
        <f>Gas!C24</f>
        <v>0</v>
      </c>
      <c r="AI22" s="516" t="e">
        <f>Gas!#REF!</f>
        <v>#REF!</v>
      </c>
      <c r="AJ22" s="517">
        <f>Gas!J24</f>
        <v>0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0</v>
      </c>
      <c r="AU22" s="511">
        <f>Elect!BI23</f>
        <v>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0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0</v>
      </c>
      <c r="BP22" s="528">
        <f>Water!Y24</f>
        <v>0</v>
      </c>
      <c r="BQ22" s="529">
        <f>Water!Z24</f>
        <v>0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0</v>
      </c>
      <c r="D23" s="512">
        <f>[3]Consp!$E$6</f>
        <v>0</v>
      </c>
      <c r="E23" s="511">
        <f>Elect!M24</f>
        <v>0</v>
      </c>
      <c r="F23" s="512">
        <f>[3]Consp!G24</f>
        <v>30</v>
      </c>
      <c r="G23" s="511">
        <f>Elect!O24</f>
        <v>0</v>
      </c>
      <c r="H23" s="512">
        <f>[3]Consp!I24</f>
        <v>894</v>
      </c>
      <c r="I23" s="511">
        <f>Water!C25</f>
        <v>0</v>
      </c>
      <c r="J23" s="512">
        <f>[4]Consp!$K$6</f>
        <v>0</v>
      </c>
      <c r="K23" s="511">
        <f>Water!E25</f>
        <v>0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0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0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0</v>
      </c>
      <c r="AH23" s="515">
        <f>Gas!C25</f>
        <v>0</v>
      </c>
      <c r="AI23" s="516" t="e">
        <f>Gas!#REF!</f>
        <v>#REF!</v>
      </c>
      <c r="AJ23" s="517">
        <f>Gas!J25</f>
        <v>0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0</v>
      </c>
      <c r="AU23" s="511">
        <f>Elect!BI24</f>
        <v>0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0</v>
      </c>
      <c r="BP23" s="528">
        <f>Water!Y25</f>
        <v>0</v>
      </c>
      <c r="BQ23" s="529">
        <f>Water!Z25</f>
        <v>0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0</v>
      </c>
      <c r="D24" s="512">
        <f>[3]Consp!$E$6</f>
        <v>0</v>
      </c>
      <c r="E24" s="511">
        <f>Elect!M25</f>
        <v>0</v>
      </c>
      <c r="F24" s="512">
        <f>[3]Consp!G25</f>
        <v>20</v>
      </c>
      <c r="G24" s="511">
        <f>Elect!O25</f>
        <v>0</v>
      </c>
      <c r="H24" s="512">
        <f>[3]Consp!I25</f>
        <v>944</v>
      </c>
      <c r="I24" s="511">
        <f>Water!C26</f>
        <v>0</v>
      </c>
      <c r="J24" s="512">
        <f>[4]Consp!$K$6</f>
        <v>0</v>
      </c>
      <c r="K24" s="511">
        <f>Water!E26</f>
        <v>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0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0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0</v>
      </c>
      <c r="AH24" s="515">
        <f>Gas!C26</f>
        <v>0</v>
      </c>
      <c r="AI24" s="516" t="e">
        <f>Gas!#REF!</f>
        <v>#REF!</v>
      </c>
      <c r="AJ24" s="517">
        <f>Gas!J26</f>
        <v>0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0</v>
      </c>
      <c r="AU24" s="511">
        <f>Elect!BI25</f>
        <v>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0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0</v>
      </c>
      <c r="BP24" s="528">
        <f>Water!Y26</f>
        <v>0</v>
      </c>
      <c r="BQ24" s="529">
        <f>Water!Z26</f>
        <v>0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2546.1999999999998</v>
      </c>
      <c r="J33" s="556">
        <f>[4]Consp!$K$6</f>
        <v>0</v>
      </c>
      <c r="K33" s="555">
        <f>Water!E39</f>
        <v>0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2565.34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1487.8971999999999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131468.62</v>
      </c>
      <c r="AI33" s="560" t="e">
        <f>Gas!#REF!</f>
        <v>#REF!</v>
      </c>
      <c r="AJ33" s="561">
        <f>Gas!J38</f>
        <v>1484.42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1.0048335291813553</v>
      </c>
      <c r="BN33" s="572" t="e">
        <f>Water!W38</f>
        <v>#DIV/0!</v>
      </c>
      <c r="BO33" s="567">
        <f>Water!X38</f>
        <v>10261.36</v>
      </c>
      <c r="BP33" s="572">
        <f>Water!Y38</f>
        <v>4.0193341167254211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82.135483870967732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82.752903225806463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47.996683870967736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11951.692727272726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1.0048335291813553</v>
      </c>
      <c r="BN34" s="572" t="e">
        <f>Water!W39</f>
        <v>#DIV/0!</v>
      </c>
      <c r="BO34" s="567">
        <f>Water!X39</f>
        <v>331.01161290322585</v>
      </c>
      <c r="BP34" s="572">
        <f>Water!Y39</f>
        <v>4.0193341167254211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364749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0" t="s">
        <v>30</v>
      </c>
      <c r="B4" s="1070"/>
      <c r="C4" s="1070"/>
      <c r="D4" s="1070"/>
      <c r="E4" s="1070"/>
      <c r="F4" s="1070"/>
      <c r="G4" s="111" t="str">
        <f>Elect!A1</f>
        <v>November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1"/>
      <c r="B3" s="1073" t="str">
        <f>Elect!A1</f>
        <v>November</v>
      </c>
      <c r="C3" s="1074"/>
      <c r="D3" s="1074"/>
      <c r="E3" s="1075"/>
    </row>
    <row r="4" spans="1:5" ht="14.25" customHeight="1" thickBot="1">
      <c r="A4" s="1072"/>
      <c r="B4" s="1076" t="s">
        <v>9</v>
      </c>
      <c r="C4" s="1077"/>
      <c r="D4" s="1078" t="s">
        <v>68</v>
      </c>
      <c r="E4" s="1079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2565.34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254239.34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10261.36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1388872.1500000001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November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B5:M54"/>
  <sheetViews>
    <sheetView view="pageBreakPreview" topLeftCell="A19" zoomScale="85" zoomScaleSheetLayoutView="85" workbookViewId="0">
      <selection activeCell="C44" sqref="C44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November</v>
      </c>
      <c r="I6" s="832"/>
      <c r="J6" s="832"/>
      <c r="K6" s="832"/>
    </row>
    <row r="9" spans="2:13" ht="13.5" customHeight="1">
      <c r="B9" s="1080" t="s">
        <v>332</v>
      </c>
      <c r="C9" s="1081"/>
      <c r="D9" s="1081"/>
      <c r="E9" s="1081"/>
      <c r="F9" s="1081"/>
      <c r="G9" s="1081"/>
      <c r="H9" s="1081"/>
      <c r="I9" s="1081"/>
      <c r="J9" s="1081"/>
      <c r="K9" s="1081"/>
      <c r="L9" s="1081"/>
      <c r="M9" s="1081"/>
    </row>
    <row r="10" spans="2:13" ht="13.5" customHeight="1" thickBot="1">
      <c r="B10" s="1082"/>
      <c r="C10" s="1083"/>
      <c r="D10" s="1083"/>
      <c r="E10" s="1083"/>
      <c r="F10" s="1083"/>
      <c r="G10" s="1083"/>
      <c r="H10" s="1083"/>
      <c r="I10" s="1083"/>
      <c r="J10" s="1083"/>
      <c r="K10" s="1083"/>
      <c r="L10" s="1083"/>
      <c r="M10" s="1083"/>
    </row>
    <row r="11" spans="2:13" ht="16.5" thickBot="1">
      <c r="B11" s="1092" t="s">
        <v>333</v>
      </c>
      <c r="C11" s="1092"/>
      <c r="D11" s="1092" t="s">
        <v>334</v>
      </c>
      <c r="E11" s="1092"/>
      <c r="F11" s="1092" t="s">
        <v>335</v>
      </c>
      <c r="G11" s="1092"/>
      <c r="H11" s="1090" t="s">
        <v>336</v>
      </c>
      <c r="I11" s="1091"/>
      <c r="J11" s="1090" t="s">
        <v>337</v>
      </c>
      <c r="K11" s="1091"/>
      <c r="L11" s="1090" t="s">
        <v>355</v>
      </c>
      <c r="M11" s="1091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105917.84999999999</v>
      </c>
      <c r="C13" s="838">
        <f>(B13*1.15)+(2879*60*0.72)</f>
        <v>246178.32749999996</v>
      </c>
      <c r="D13" s="837">
        <f>Elect!J37</f>
        <v>69012</v>
      </c>
      <c r="E13" s="838">
        <f>(D13*1.15)+(573*60)+10000</f>
        <v>123743.79999999999</v>
      </c>
      <c r="F13" s="837">
        <f>Elect!BC37</f>
        <v>167264.47606229104</v>
      </c>
      <c r="G13" s="838">
        <f>(F13*1.15)</f>
        <v>192354.14747163467</v>
      </c>
      <c r="H13" s="837">
        <f>Elect!Q37</f>
        <v>8460</v>
      </c>
      <c r="I13" s="838">
        <f>H13*1.6+1500</f>
        <v>15036</v>
      </c>
      <c r="J13" s="839">
        <f>B13+D13+F13+H13</f>
        <v>350654.32606229105</v>
      </c>
      <c r="K13" s="840">
        <f>G13+E13+C13+I13</f>
        <v>577312.27497163462</v>
      </c>
      <c r="L13" s="839">
        <f>B13+F13</f>
        <v>273182.32606229105</v>
      </c>
      <c r="M13" s="860">
        <f>C13+G13</f>
        <v>438532.47497163463</v>
      </c>
    </row>
    <row r="16" spans="2:13" ht="0.75" customHeight="1" thickBot="1"/>
    <row r="17" spans="4:11" ht="13.5" customHeight="1" thickBot="1">
      <c r="E17" s="1084" t="s">
        <v>340</v>
      </c>
      <c r="F17" s="1085"/>
      <c r="K17" s="840"/>
    </row>
    <row r="18" spans="4:11" ht="34.5" customHeight="1" thickBot="1">
      <c r="E18" s="1086"/>
      <c r="F18" s="1087"/>
    </row>
    <row r="19" spans="4:11" ht="13.5" thickBot="1">
      <c r="E19" s="841" t="s">
        <v>341</v>
      </c>
      <c r="F19" s="841" t="s">
        <v>339</v>
      </c>
    </row>
    <row r="20" spans="4:11" ht="13.5" thickBot="1">
      <c r="E20" s="1088">
        <f>Water!H38</f>
        <v>2565.34</v>
      </c>
      <c r="F20" s="1089">
        <f>E20*10</f>
        <v>25653.4</v>
      </c>
    </row>
    <row r="21" spans="4:11" ht="13.5" thickBot="1">
      <c r="E21" s="1088"/>
      <c r="F21" s="1089"/>
    </row>
    <row r="23" spans="4:11" ht="13.5" thickBot="1"/>
    <row r="24" spans="4:11" ht="13.5" thickBot="1">
      <c r="E24" s="1093" t="s">
        <v>342</v>
      </c>
      <c r="F24" s="1093"/>
    </row>
    <row r="25" spans="4:11" ht="11.25" customHeight="1" thickBot="1">
      <c r="E25" s="1093"/>
      <c r="F25" s="1093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88">
        <f>Gas!C38</f>
        <v>131468.62</v>
      </c>
      <c r="F27" s="1089">
        <f>E27*3.8</f>
        <v>499580.75599999994</v>
      </c>
    </row>
    <row r="28" spans="4:11" ht="13.5" thickBot="1">
      <c r="E28" s="1088"/>
      <c r="F28" s="1089"/>
    </row>
    <row r="30" spans="4:11" ht="13.5" thickBot="1"/>
    <row r="31" spans="4:11" ht="20.25">
      <c r="D31" s="1094" t="s">
        <v>343</v>
      </c>
      <c r="E31" s="1095"/>
      <c r="F31" s="1095"/>
      <c r="G31" s="1096"/>
      <c r="H31" s="843"/>
      <c r="I31" s="843"/>
    </row>
    <row r="32" spans="4:11" ht="21" thickBot="1">
      <c r="D32" s="1080"/>
      <c r="E32" s="1081"/>
      <c r="F32" s="1081"/>
      <c r="G32" s="1097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173008</v>
      </c>
      <c r="E34" s="850">
        <f>Gas!D36</f>
        <v>0</v>
      </c>
      <c r="F34" s="913">
        <f>Gas!E38</f>
        <v>2285.5</v>
      </c>
      <c r="G34" s="842">
        <f>F34*3.8</f>
        <v>8684.9</v>
      </c>
      <c r="H34" s="847"/>
      <c r="I34" s="847"/>
    </row>
    <row r="35" spans="3:9" ht="18.75" thickBot="1">
      <c r="D35" s="1101" t="s">
        <v>347</v>
      </c>
      <c r="E35" s="1101"/>
      <c r="F35" s="1101"/>
      <c r="G35" s="842">
        <f>G34</f>
        <v>8684.9</v>
      </c>
      <c r="H35" s="849"/>
      <c r="I35" s="849"/>
    </row>
    <row r="37" spans="3:9" ht="13.5" thickBot="1"/>
    <row r="38" spans="3:9" ht="20.25">
      <c r="D38" s="1094" t="s">
        <v>348</v>
      </c>
      <c r="E38" s="1095"/>
      <c r="F38" s="1095"/>
      <c r="G38" s="1096"/>
      <c r="H38" s="843"/>
      <c r="I38" s="843"/>
    </row>
    <row r="39" spans="3:9" ht="21" thickBot="1">
      <c r="D39" s="1080"/>
      <c r="E39" s="1081"/>
      <c r="F39" s="1081"/>
      <c r="G39" s="1097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67827</v>
      </c>
      <c r="E41" s="851">
        <f>Elect!V35</f>
        <v>0</v>
      </c>
      <c r="F41" s="852">
        <f>E41-D41</f>
        <v>-67827</v>
      </c>
      <c r="G41" s="840">
        <f>F41*1.15</f>
        <v>-78001.049999999988</v>
      </c>
      <c r="H41" s="853"/>
      <c r="I41" s="853"/>
    </row>
    <row r="42" spans="3:9" ht="13.5" thickBot="1">
      <c r="C42" s="846" t="s">
        <v>361</v>
      </c>
      <c r="D42" s="851">
        <f>Elect!X5</f>
        <v>131607</v>
      </c>
      <c r="E42" s="851">
        <f>Elect!X35</f>
        <v>0</v>
      </c>
      <c r="F42" s="852">
        <f>E42-D42</f>
        <v>-131607</v>
      </c>
      <c r="G42" s="840">
        <f>F42*1.15</f>
        <v>-151348.04999999999</v>
      </c>
      <c r="H42" s="853"/>
      <c r="I42" s="853"/>
    </row>
    <row r="43" spans="3:9" ht="18.75" thickBot="1">
      <c r="D43" s="1098" t="s">
        <v>347</v>
      </c>
      <c r="E43" s="1099"/>
      <c r="F43" s="1100"/>
      <c r="G43" s="848">
        <f>G42+G41</f>
        <v>-229349.09999999998</v>
      </c>
      <c r="H43" s="849"/>
      <c r="I43" s="849"/>
    </row>
    <row r="44" spans="3:9">
      <c r="F44" s="854"/>
    </row>
    <row r="48" spans="3:9" ht="13.5" thickBot="1"/>
    <row r="49" spans="3:7">
      <c r="D49" s="1094" t="s">
        <v>378</v>
      </c>
      <c r="E49" s="1095"/>
      <c r="F49" s="1095"/>
      <c r="G49" s="1096"/>
    </row>
    <row r="50" spans="3:7" ht="13.5" thickBot="1">
      <c r="D50" s="1080"/>
      <c r="E50" s="1081"/>
      <c r="F50" s="1081"/>
      <c r="G50" s="1097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144</v>
      </c>
      <c r="E52" s="851">
        <f>Water!I37</f>
        <v>144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1906</v>
      </c>
      <c r="E53" s="851">
        <f>Water!K37</f>
        <v>1906</v>
      </c>
      <c r="F53" s="852">
        <f>E53-D53</f>
        <v>0</v>
      </c>
      <c r="G53" s="840">
        <f>F53*10</f>
        <v>0</v>
      </c>
    </row>
    <row r="54" spans="3:7" ht="18.75" thickBot="1">
      <c r="D54" s="1098" t="s">
        <v>347</v>
      </c>
      <c r="E54" s="1099"/>
      <c r="F54" s="1100"/>
      <c r="G54" s="848">
        <f>G52+G53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mohanad.abdelmotaal</cp:lastModifiedBy>
  <cp:lastPrinted>2016-08-18T17:18:40Z</cp:lastPrinted>
  <dcterms:created xsi:type="dcterms:W3CDTF">2007-10-20T05:06:40Z</dcterms:created>
  <dcterms:modified xsi:type="dcterms:W3CDTF">2019-11-12T15:48:37Z</dcterms:modified>
</cp:coreProperties>
</file>