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1"/>
  <workbookPr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xr:revisionPtr revIDLastSave="28" documentId="11_C6CB49589A6AEEA323ED615BAC1701928A2F9E95" xr6:coauthVersionLast="47" xr6:coauthVersionMax="47" xr10:uidLastSave="{3F81B6B6-8D7D-4806-858F-74F08E567C95}"/>
  <bookViews>
    <workbookView xWindow="0" yWindow="0" windowWidth="15696" windowHeight="8052" xr2:uid="{00000000-000D-0000-FFFF-FFFF00000000}"/>
  </bookViews>
  <sheets>
    <sheet name="Total" sheetId="1" r:id="rId1"/>
    <sheet name="Electricity " sheetId="4" r:id="rId2"/>
    <sheet name="Gas Water" sheetId="3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0" i="3" l="1"/>
  <c r="J271" i="3"/>
  <c r="J272" i="3"/>
  <c r="I271" i="3"/>
  <c r="O369" i="4" l="1"/>
  <c r="O355" i="4"/>
  <c r="O368" i="4"/>
  <c r="I263" i="4"/>
  <c r="I260" i="4"/>
  <c r="L234" i="3"/>
  <c r="K234" i="3"/>
  <c r="J234" i="3"/>
  <c r="I234" i="3"/>
  <c r="H234" i="3"/>
  <c r="M234" i="3" s="1"/>
  <c r="L233" i="3"/>
  <c r="K233" i="3"/>
  <c r="J233" i="3"/>
  <c r="I233" i="3"/>
  <c r="H233" i="3"/>
  <c r="M233" i="3" s="1"/>
  <c r="L232" i="3"/>
  <c r="K232" i="3"/>
  <c r="J232" i="3"/>
  <c r="I232" i="3"/>
  <c r="H232" i="3"/>
  <c r="O233" i="4"/>
  <c r="L233" i="4"/>
  <c r="J233" i="4"/>
  <c r="I233" i="4"/>
  <c r="O232" i="4"/>
  <c r="L232" i="4"/>
  <c r="J232" i="4"/>
  <c r="I232" i="4"/>
  <c r="O231" i="4"/>
  <c r="L231" i="4"/>
  <c r="J231" i="4"/>
  <c r="I231" i="4"/>
  <c r="K231" i="4" l="1"/>
  <c r="M231" i="4"/>
  <c r="K232" i="4"/>
  <c r="M232" i="4"/>
  <c r="K233" i="4"/>
  <c r="M233" i="4"/>
  <c r="M232" i="3"/>
  <c r="H225" i="3"/>
  <c r="J193" i="3" l="1"/>
  <c r="K168" i="3" l="1"/>
  <c r="L106" i="4" l="1"/>
  <c r="J106" i="4"/>
  <c r="I106" i="4"/>
  <c r="L107" i="3"/>
  <c r="I104" i="1" s="1"/>
  <c r="K107" i="3"/>
  <c r="J107" i="3"/>
  <c r="I107" i="3"/>
  <c r="H107" i="3"/>
  <c r="M107" i="3" s="1"/>
  <c r="G104" i="1" s="1"/>
  <c r="K106" i="4" l="1"/>
  <c r="M106" i="4"/>
  <c r="L105" i="4"/>
  <c r="J105" i="4"/>
  <c r="I105" i="4"/>
  <c r="L106" i="3"/>
  <c r="I103" i="1" s="1"/>
  <c r="K106" i="3"/>
  <c r="J106" i="3"/>
  <c r="I106" i="3"/>
  <c r="H106" i="3"/>
  <c r="M106" i="3" s="1"/>
  <c r="G103" i="1" s="1"/>
  <c r="K105" i="4" l="1"/>
  <c r="M105" i="4"/>
  <c r="L104" i="4"/>
  <c r="J104" i="4"/>
  <c r="I104" i="4"/>
  <c r="L105" i="3"/>
  <c r="I102" i="1" s="1"/>
  <c r="K105" i="3"/>
  <c r="J105" i="3"/>
  <c r="I105" i="3"/>
  <c r="H105" i="3"/>
  <c r="M105" i="3" l="1"/>
  <c r="G102" i="1" s="1"/>
  <c r="K104" i="4"/>
  <c r="M104" i="4"/>
  <c r="L103" i="4"/>
  <c r="J103" i="4"/>
  <c r="I103" i="4"/>
  <c r="L102" i="4"/>
  <c r="J102" i="4"/>
  <c r="I102" i="4"/>
  <c r="L104" i="3"/>
  <c r="I101" i="1" s="1"/>
  <c r="K104" i="3"/>
  <c r="J104" i="3"/>
  <c r="I104" i="3"/>
  <c r="H104" i="3"/>
  <c r="L103" i="3"/>
  <c r="I100" i="1" s="1"/>
  <c r="K103" i="3"/>
  <c r="J103" i="3"/>
  <c r="I103" i="3"/>
  <c r="H103" i="3"/>
  <c r="M103" i="3" l="1"/>
  <c r="G100" i="1" s="1"/>
  <c r="M104" i="3"/>
  <c r="G101" i="1" s="1"/>
  <c r="K102" i="4"/>
  <c r="M102" i="4"/>
  <c r="K103" i="4"/>
  <c r="M103" i="4"/>
  <c r="L101" i="4"/>
  <c r="J101" i="4"/>
  <c r="I101" i="4"/>
  <c r="K101" i="4" s="1"/>
  <c r="L100" i="4"/>
  <c r="J100" i="4"/>
  <c r="I100" i="4"/>
  <c r="L102" i="3"/>
  <c r="I99" i="1" s="1"/>
  <c r="K102" i="3"/>
  <c r="J102" i="3"/>
  <c r="I102" i="3"/>
  <c r="H102" i="3"/>
  <c r="H101" i="3"/>
  <c r="L101" i="3"/>
  <c r="I98" i="1" s="1"/>
  <c r="K101" i="3"/>
  <c r="J101" i="3"/>
  <c r="I101" i="3"/>
  <c r="M101" i="3" l="1"/>
  <c r="G98" i="1" s="1"/>
  <c r="M102" i="3"/>
  <c r="G99" i="1" s="1"/>
  <c r="K100" i="4"/>
  <c r="M100" i="4"/>
  <c r="M101" i="4"/>
  <c r="L99" i="4"/>
  <c r="L98" i="4"/>
  <c r="L97" i="4"/>
  <c r="J99" i="4"/>
  <c r="J98" i="4"/>
  <c r="J97" i="4"/>
  <c r="I99" i="4"/>
  <c r="I98" i="4"/>
  <c r="I97" i="4"/>
  <c r="L100" i="3"/>
  <c r="I97" i="1" s="1"/>
  <c r="K100" i="3"/>
  <c r="J100" i="3"/>
  <c r="I100" i="3"/>
  <c r="H100" i="3"/>
  <c r="L99" i="3"/>
  <c r="I96" i="1" s="1"/>
  <c r="K99" i="3"/>
  <c r="J99" i="3"/>
  <c r="I99" i="3"/>
  <c r="H99" i="3"/>
  <c r="L98" i="3"/>
  <c r="I95" i="1" s="1"/>
  <c r="K98" i="3"/>
  <c r="J98" i="3"/>
  <c r="I98" i="3"/>
  <c r="H98" i="3"/>
  <c r="M98" i="3" l="1"/>
  <c r="G95" i="1" s="1"/>
  <c r="M99" i="3"/>
  <c r="G96" i="1" s="1"/>
  <c r="M100" i="3"/>
  <c r="G97" i="1" s="1"/>
  <c r="K97" i="4"/>
  <c r="K98" i="4"/>
  <c r="K99" i="4"/>
  <c r="M97" i="4"/>
  <c r="M98" i="4"/>
  <c r="M99" i="4"/>
  <c r="L96" i="4"/>
  <c r="J96" i="4"/>
  <c r="I96" i="4"/>
  <c r="L95" i="4"/>
  <c r="J95" i="4"/>
  <c r="I95" i="4"/>
  <c r="L94" i="4"/>
  <c r="J94" i="4"/>
  <c r="I94" i="4"/>
  <c r="L97" i="3"/>
  <c r="I94" i="1" s="1"/>
  <c r="K97" i="3"/>
  <c r="J97" i="3"/>
  <c r="I97" i="3"/>
  <c r="H97" i="3"/>
  <c r="L96" i="3"/>
  <c r="I93" i="1" s="1"/>
  <c r="K96" i="3"/>
  <c r="J96" i="3"/>
  <c r="I96" i="3"/>
  <c r="H96" i="3"/>
  <c r="L95" i="3"/>
  <c r="I92" i="1" s="1"/>
  <c r="K95" i="3"/>
  <c r="J95" i="3"/>
  <c r="I95" i="3"/>
  <c r="H95" i="3"/>
  <c r="M95" i="3" l="1"/>
  <c r="G92" i="1" s="1"/>
  <c r="M96" i="3"/>
  <c r="G93" i="1" s="1"/>
  <c r="M97" i="3"/>
  <c r="G94" i="1" s="1"/>
  <c r="K94" i="4"/>
  <c r="M94" i="4"/>
  <c r="K95" i="4"/>
  <c r="M95" i="4"/>
  <c r="K96" i="4"/>
  <c r="M96" i="4"/>
  <c r="L93" i="4"/>
  <c r="J93" i="4"/>
  <c r="I93" i="4"/>
  <c r="L94" i="3"/>
  <c r="I91" i="1" s="1"/>
  <c r="K94" i="3"/>
  <c r="J94" i="3"/>
  <c r="I94" i="3"/>
  <c r="H94" i="3"/>
  <c r="M94" i="3" s="1"/>
  <c r="G91" i="1" s="1"/>
  <c r="K93" i="4" l="1"/>
  <c r="M93" i="4"/>
  <c r="L92" i="4"/>
  <c r="J92" i="4"/>
  <c r="I92" i="4"/>
  <c r="L93" i="3"/>
  <c r="I90" i="1" s="1"/>
  <c r="K93" i="3"/>
  <c r="J93" i="3"/>
  <c r="I93" i="3"/>
  <c r="H93" i="3"/>
  <c r="M93" i="3" s="1"/>
  <c r="G90" i="1" s="1"/>
  <c r="K92" i="4" l="1"/>
  <c r="M92" i="4"/>
  <c r="L91" i="4"/>
  <c r="J91" i="4"/>
  <c r="I91" i="4"/>
  <c r="L92" i="3"/>
  <c r="I89" i="1" s="1"/>
  <c r="K92" i="3"/>
  <c r="J92" i="3"/>
  <c r="I92" i="3"/>
  <c r="H92" i="3"/>
  <c r="M92" i="3" s="1"/>
  <c r="G89" i="1" s="1"/>
  <c r="K91" i="4" l="1"/>
  <c r="M91" i="4"/>
  <c r="L90" i="4"/>
  <c r="J90" i="4"/>
  <c r="I90" i="4"/>
  <c r="L91" i="3"/>
  <c r="I88" i="1" s="1"/>
  <c r="K91" i="3"/>
  <c r="J91" i="3"/>
  <c r="I91" i="3"/>
  <c r="H91" i="3"/>
  <c r="M91" i="3" l="1"/>
  <c r="G88" i="1" s="1"/>
  <c r="K90" i="4"/>
  <c r="M90" i="4"/>
  <c r="L89" i="4"/>
  <c r="J89" i="4"/>
  <c r="I89" i="4"/>
  <c r="L88" i="4"/>
  <c r="J88" i="4"/>
  <c r="I88" i="4"/>
  <c r="I87" i="4"/>
  <c r="L87" i="4"/>
  <c r="M87" i="4" s="1"/>
  <c r="J87" i="4"/>
  <c r="L90" i="3"/>
  <c r="I87" i="1" s="1"/>
  <c r="K90" i="3"/>
  <c r="J90" i="3"/>
  <c r="I90" i="3"/>
  <c r="H90" i="3"/>
  <c r="L89" i="3"/>
  <c r="I86" i="1" s="1"/>
  <c r="K89" i="3"/>
  <c r="J89" i="3"/>
  <c r="I89" i="3"/>
  <c r="H89" i="3"/>
  <c r="L88" i="3"/>
  <c r="I85" i="1" s="1"/>
  <c r="K88" i="3"/>
  <c r="J88" i="3"/>
  <c r="I88" i="3"/>
  <c r="H88" i="3"/>
  <c r="M88" i="3" l="1"/>
  <c r="G85" i="1" s="1"/>
  <c r="M89" i="3"/>
  <c r="G86" i="1" s="1"/>
  <c r="M90" i="3"/>
  <c r="G87" i="1" s="1"/>
  <c r="K87" i="4"/>
  <c r="K88" i="4"/>
  <c r="M88" i="4"/>
  <c r="K89" i="4"/>
  <c r="M89" i="4"/>
  <c r="L86" i="4"/>
  <c r="J86" i="4"/>
  <c r="I86" i="4"/>
  <c r="L87" i="3"/>
  <c r="I84" i="1" s="1"/>
  <c r="K87" i="3"/>
  <c r="J87" i="3"/>
  <c r="I87" i="3"/>
  <c r="H87" i="3"/>
  <c r="M87" i="3" s="1"/>
  <c r="G84" i="1" s="1"/>
  <c r="M86" i="4" l="1"/>
  <c r="K86" i="4"/>
  <c r="I85" i="4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L84" i="4" l="1"/>
  <c r="J84" i="4"/>
  <c r="I84" i="4"/>
  <c r="L85" i="3"/>
  <c r="I82" i="1" s="1"/>
  <c r="K85" i="3"/>
  <c r="J85" i="3"/>
  <c r="I85" i="3"/>
  <c r="H85" i="3"/>
  <c r="M85" i="3" s="1"/>
  <c r="G82" i="1" s="1"/>
  <c r="K84" i="4" l="1"/>
  <c r="M84" i="4"/>
  <c r="L83" i="4"/>
  <c r="J83" i="4"/>
  <c r="I83" i="4"/>
  <c r="L84" i="3"/>
  <c r="I81" i="1" s="1"/>
  <c r="K84" i="3"/>
  <c r="J84" i="3"/>
  <c r="I84" i="3"/>
  <c r="H84" i="3"/>
  <c r="M84" i="3" s="1"/>
  <c r="G81" i="1" s="1"/>
  <c r="K83" i="4" l="1"/>
  <c r="M83" i="4"/>
  <c r="L82" i="4"/>
  <c r="J82" i="4"/>
  <c r="I82" i="4"/>
  <c r="L81" i="4"/>
  <c r="J81" i="4"/>
  <c r="I81" i="4"/>
  <c r="L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K80" i="4" l="1"/>
  <c r="M80" i="4"/>
  <c r="K81" i="4"/>
  <c r="M81" i="4"/>
  <c r="K82" i="4"/>
  <c r="M82" i="4"/>
  <c r="L79" i="4"/>
  <c r="J79" i="4"/>
  <c r="I79" i="4"/>
  <c r="L80" i="3"/>
  <c r="I77" i="1" s="1"/>
  <c r="K80" i="3"/>
  <c r="J80" i="3"/>
  <c r="I80" i="3"/>
  <c r="H80" i="3"/>
  <c r="M80" i="3" s="1"/>
  <c r="G77" i="1" s="1"/>
  <c r="K79" i="4" l="1"/>
  <c r="M79" i="4"/>
  <c r="L78" i="4"/>
  <c r="J78" i="4"/>
  <c r="I78" i="4"/>
  <c r="L79" i="3"/>
  <c r="I76" i="1" s="1"/>
  <c r="K79" i="3"/>
  <c r="J79" i="3"/>
  <c r="I79" i="3"/>
  <c r="H79" i="3"/>
  <c r="M79" i="3" s="1"/>
  <c r="G76" i="1" s="1"/>
  <c r="K78" i="4" l="1"/>
  <c r="M78" i="4"/>
  <c r="L77" i="4"/>
  <c r="J77" i="4"/>
  <c r="I77" i="4"/>
  <c r="L78" i="3"/>
  <c r="I75" i="1" s="1"/>
  <c r="K78" i="3"/>
  <c r="J78" i="3"/>
  <c r="I78" i="3"/>
  <c r="H78" i="3"/>
  <c r="M78" i="3" s="1"/>
  <c r="G75" i="1" s="1"/>
  <c r="K77" i="4" l="1"/>
  <c r="M77" i="4"/>
  <c r="L76" i="4"/>
  <c r="J76" i="4"/>
  <c r="I76" i="4"/>
  <c r="L77" i="3"/>
  <c r="I74" i="1" s="1"/>
  <c r="K77" i="3"/>
  <c r="J77" i="3"/>
  <c r="I77" i="3"/>
  <c r="H77" i="3"/>
  <c r="M77" i="3" l="1"/>
  <c r="G74" i="1" s="1"/>
  <c r="K76" i="4"/>
  <c r="M76" i="4"/>
  <c r="L75" i="4"/>
  <c r="J75" i="4"/>
  <c r="I75" i="4"/>
  <c r="L74" i="4"/>
  <c r="J74" i="4"/>
  <c r="I74" i="4"/>
  <c r="L73" i="4"/>
  <c r="J73" i="4"/>
  <c r="I73" i="4"/>
  <c r="L76" i="3"/>
  <c r="I73" i="1" s="1"/>
  <c r="K76" i="3"/>
  <c r="J76" i="3"/>
  <c r="I76" i="3"/>
  <c r="H76" i="3"/>
  <c r="L75" i="3"/>
  <c r="I72" i="1" s="1"/>
  <c r="K75" i="3"/>
  <c r="J75" i="3"/>
  <c r="I75" i="3"/>
  <c r="H75" i="3"/>
  <c r="L74" i="3"/>
  <c r="I71" i="1" s="1"/>
  <c r="K74" i="3"/>
  <c r="J74" i="3"/>
  <c r="I74" i="3"/>
  <c r="H74" i="3"/>
  <c r="M74" i="3" l="1"/>
  <c r="G71" i="1" s="1"/>
  <c r="M75" i="3"/>
  <c r="G72" i="1" s="1"/>
  <c r="M76" i="3"/>
  <c r="G73" i="1" s="1"/>
  <c r="K73" i="4"/>
  <c r="M73" i="4"/>
  <c r="K74" i="4"/>
  <c r="M74" i="4"/>
  <c r="K75" i="4"/>
  <c r="M75" i="4"/>
  <c r="L72" i="4"/>
  <c r="J72" i="4"/>
  <c r="I72" i="4"/>
  <c r="L73" i="3"/>
  <c r="I70" i="1" s="1"/>
  <c r="K73" i="3"/>
  <c r="J73" i="3"/>
  <c r="I73" i="3"/>
  <c r="H73" i="3"/>
  <c r="M73" i="3" s="1"/>
  <c r="G70" i="1" s="1"/>
  <c r="K72" i="4" l="1"/>
  <c r="M72" i="4"/>
  <c r="L71" i="4"/>
  <c r="J71" i="4"/>
  <c r="I71" i="4"/>
  <c r="L72" i="3"/>
  <c r="I69" i="1" s="1"/>
  <c r="K72" i="3"/>
  <c r="J72" i="3"/>
  <c r="I72" i="3"/>
  <c r="H72" i="3"/>
  <c r="M72" i="3" s="1"/>
  <c r="G69" i="1" s="1"/>
  <c r="K71" i="4" l="1"/>
  <c r="M71" i="4"/>
  <c r="L70" i="4"/>
  <c r="J70" i="4"/>
  <c r="I70" i="4"/>
  <c r="L69" i="4"/>
  <c r="J69" i="4"/>
  <c r="I69" i="4"/>
  <c r="L71" i="3"/>
  <c r="I68" i="1" s="1"/>
  <c r="K71" i="3"/>
  <c r="J71" i="3"/>
  <c r="I71" i="3"/>
  <c r="H71" i="3"/>
  <c r="M71" i="3" s="1"/>
  <c r="G68" i="1" s="1"/>
  <c r="L70" i="3"/>
  <c r="I67" i="1" s="1"/>
  <c r="K70" i="3"/>
  <c r="J70" i="3"/>
  <c r="I70" i="3"/>
  <c r="H70" i="3"/>
  <c r="M70" i="3" s="1"/>
  <c r="G67" i="1" s="1"/>
  <c r="K69" i="4" l="1"/>
  <c r="K70" i="4"/>
  <c r="M70" i="4"/>
  <c r="M69" i="4"/>
  <c r="L68" i="4"/>
  <c r="J68" i="4"/>
  <c r="I68" i="4"/>
  <c r="L67" i="4"/>
  <c r="J67" i="4"/>
  <c r="I67" i="4"/>
  <c r="L66" i="4"/>
  <c r="J66" i="4"/>
  <c r="I66" i="4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6" i="4" l="1"/>
  <c r="M66" i="4"/>
  <c r="K67" i="4"/>
  <c r="M67" i="4"/>
  <c r="M68" i="4"/>
  <c r="K68" i="4"/>
  <c r="L66" i="3"/>
  <c r="I63" i="1" s="1"/>
  <c r="K66" i="3"/>
  <c r="J66" i="3"/>
  <c r="I66" i="3"/>
  <c r="H66" i="3"/>
  <c r="M66" i="3" s="1"/>
  <c r="G63" i="1" s="1"/>
  <c r="L65" i="4"/>
  <c r="J65" i="4"/>
  <c r="I65" i="4"/>
  <c r="K65" i="4" l="1"/>
  <c r="M65" i="4"/>
  <c r="I43" i="4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4" i="3" l="1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E91" i="1" s="1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E74" i="1" s="1"/>
  <c r="O75" i="4"/>
  <c r="E73" i="1" s="1"/>
  <c r="O74" i="4"/>
  <c r="E72" i="1" s="1"/>
  <c r="O73" i="4"/>
  <c r="E71" i="1" s="1"/>
  <c r="O72" i="4"/>
  <c r="E70" i="1" s="1"/>
  <c r="O71" i="4"/>
  <c r="E69" i="1" s="1"/>
  <c r="O70" i="4"/>
  <c r="E68" i="1" s="1"/>
  <c r="O69" i="4"/>
  <c r="E67" i="1" s="1"/>
  <c r="O68" i="4"/>
  <c r="E66" i="1" s="1"/>
  <c r="O67" i="4"/>
  <c r="E65" i="1" s="1"/>
  <c r="O66" i="4"/>
  <c r="E64" i="1" s="1"/>
  <c r="O65" i="4"/>
  <c r="E63" i="1" s="1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S232" i="4"/>
  <c r="R232" i="4"/>
  <c r="S231" i="4"/>
  <c r="R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E181" i="1" s="1"/>
  <c r="S182" i="4"/>
  <c r="R182" i="4"/>
  <c r="O182" i="4"/>
  <c r="E180" i="1" s="1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E104" i="1" s="1"/>
  <c r="S105" i="4"/>
  <c r="R105" i="4"/>
  <c r="O105" i="4"/>
  <c r="E103" i="1" s="1"/>
  <c r="S104" i="4"/>
  <c r="R104" i="4"/>
  <c r="O104" i="4"/>
  <c r="E102" i="1" s="1"/>
  <c r="S103" i="4"/>
  <c r="R103" i="4"/>
  <c r="O103" i="4"/>
  <c r="E101" i="1" s="1"/>
  <c r="S102" i="4"/>
  <c r="R102" i="4"/>
  <c r="O102" i="4"/>
  <c r="E100" i="1" s="1"/>
  <c r="S101" i="4"/>
  <c r="R101" i="4"/>
  <c r="O101" i="4"/>
  <c r="E99" i="1" s="1"/>
  <c r="S100" i="4"/>
  <c r="R100" i="4"/>
  <c r="O100" i="4"/>
  <c r="E98" i="1" s="1"/>
  <c r="S99" i="4"/>
  <c r="R99" i="4"/>
  <c r="O99" i="4"/>
  <c r="E97" i="1" s="1"/>
  <c r="S98" i="4"/>
  <c r="R98" i="4"/>
  <c r="O98" i="4"/>
  <c r="E96" i="1" s="1"/>
  <c r="S97" i="4"/>
  <c r="R97" i="4"/>
  <c r="O97" i="4"/>
  <c r="E95" i="1" s="1"/>
  <c r="S96" i="4"/>
  <c r="R96" i="4"/>
  <c r="O96" i="4"/>
  <c r="E94" i="1" s="1"/>
  <c r="S95" i="4"/>
  <c r="R95" i="4"/>
  <c r="O95" i="4"/>
  <c r="E93" i="1" s="1"/>
  <c r="S94" i="4"/>
  <c r="R94" i="4"/>
  <c r="O94" i="4"/>
  <c r="E92" i="1" s="1"/>
  <c r="Q115" i="4"/>
  <c r="P115" i="4"/>
  <c r="S93" i="4"/>
  <c r="R93" i="4"/>
  <c r="S92" i="4"/>
  <c r="R92" i="4"/>
  <c r="O92" i="4"/>
  <c r="E90" i="1" s="1"/>
  <c r="S91" i="4"/>
  <c r="R91" i="4"/>
  <c r="O91" i="4"/>
  <c r="E89" i="1" s="1"/>
  <c r="S90" i="4"/>
  <c r="R90" i="4"/>
  <c r="O90" i="4"/>
  <c r="E88" i="1" s="1"/>
  <c r="S89" i="4"/>
  <c r="R89" i="4"/>
  <c r="P89" i="4"/>
  <c r="O89" i="4"/>
  <c r="E87" i="1" s="1"/>
  <c r="S88" i="4"/>
  <c r="R88" i="4"/>
  <c r="O88" i="4"/>
  <c r="E86" i="1" s="1"/>
  <c r="S87" i="4"/>
  <c r="R87" i="4"/>
  <c r="P87" i="4"/>
  <c r="O87" i="4"/>
  <c r="E85" i="1" s="1"/>
  <c r="S86" i="4"/>
  <c r="R86" i="4"/>
  <c r="O86" i="4"/>
  <c r="E84" i="1" s="1"/>
  <c r="S85" i="4"/>
  <c r="R85" i="4"/>
  <c r="O85" i="4"/>
  <c r="E83" i="1" s="1"/>
  <c r="S84" i="4"/>
  <c r="R84" i="4"/>
  <c r="O84" i="4"/>
  <c r="E82" i="1" s="1"/>
  <c r="S83" i="4"/>
  <c r="R83" i="4"/>
  <c r="O83" i="4"/>
  <c r="E81" i="1" s="1"/>
  <c r="S82" i="4"/>
  <c r="R82" i="4"/>
  <c r="O82" i="4"/>
  <c r="E80" i="1" s="1"/>
  <c r="S81" i="4"/>
  <c r="R81" i="4"/>
  <c r="O81" i="4"/>
  <c r="E79" i="1" s="1"/>
  <c r="S80" i="4"/>
  <c r="R80" i="4"/>
  <c r="O80" i="4"/>
  <c r="E78" i="1" s="1"/>
  <c r="S79" i="4"/>
  <c r="R79" i="4"/>
  <c r="O79" i="4"/>
  <c r="E77" i="1" s="1"/>
  <c r="S78" i="4"/>
  <c r="R78" i="4"/>
  <c r="O78" i="4"/>
  <c r="E76" i="1" s="1"/>
  <c r="S77" i="4"/>
  <c r="R77" i="4"/>
  <c r="O77" i="4"/>
  <c r="E75" i="1" s="1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I272" i="3"/>
  <c r="H272" i="3"/>
  <c r="L271" i="3"/>
  <c r="I268" i="1" s="1"/>
  <c r="K271" i="3"/>
  <c r="H271" i="3"/>
  <c r="L270" i="3"/>
  <c r="I267" i="1" s="1"/>
  <c r="K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I241" i="1"/>
  <c r="K244" i="3"/>
  <c r="J244" i="3"/>
  <c r="I244" i="3"/>
  <c r="H244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I230" i="1"/>
  <c r="I229" i="1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G229" i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G231" i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G230" i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Ilker Sark</author>
  </authors>
  <commentList>
    <comment ref="F168" authorId="0" shapeId="0" xr:uid="{00000000-0006-0000-0200-000001000000}">
      <text>
        <r>
          <rPr>
            <b/>
            <sz val="9"/>
            <color indexed="81"/>
            <rFont val="Tahoma"/>
            <charset val="1"/>
          </rPr>
          <t>Ilker Sark:</t>
        </r>
        <r>
          <rPr>
            <sz val="9"/>
            <color indexed="81"/>
            <rFont val="Tahoma"/>
            <charset val="1"/>
          </rPr>
          <t xml:space="preserve">
meter replaced by gas supply company
</t>
        </r>
      </text>
    </comment>
  </commentList>
</comments>
</file>

<file path=xl/sharedStrings.xml><?xml version="1.0" encoding="utf-8"?>
<sst xmlns="http://schemas.openxmlformats.org/spreadsheetml/2006/main" count="895" uniqueCount="78">
  <si>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</si>
  <si>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</si>
  <si>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</si>
  <si>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</si>
  <si>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</si>
  <si>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</si>
  <si>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</si>
  <si>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</si>
  <si>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</si>
  <si>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</si>
  <si>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</si>
  <si>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</si>
  <si>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</si>
  <si>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4,11</t>
  </si>
  <si>
    <t>31,44</t>
  </si>
  <si>
    <t>Date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</si>
  <si>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</si>
  <si>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</si>
  <si>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</si>
  <si>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</si>
  <si>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</si>
  <si>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</si>
  <si>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</si>
  <si>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</si>
  <si>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</si>
  <si>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</si>
  <si>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</si>
  <si>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</si>
  <si>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</si>
  <si>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</si>
  <si>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</si>
  <si>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</si>
  <si>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</si>
  <si>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</si>
  <si>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</si>
  <si>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</si>
  <si>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</si>
  <si>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</si>
  <si>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</si>
  <si>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</si>
  <si>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</si>
  <si>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</si>
  <si>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</si>
  <si>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</si>
  <si>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</si>
  <si>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</si>
  <si>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</si>
  <si>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</si>
  <si>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</si>
  <si>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</si>
  <si>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0,142</t>
  </si>
  <si>
    <t>Ağustos / Agu</t>
  </si>
  <si>
    <t>Eylül / Sep</t>
  </si>
  <si>
    <t xml:space="preserve"> </t>
  </si>
  <si>
    <t>Ekim / Oct</t>
  </si>
  <si>
    <t>Kasım / Nov</t>
  </si>
  <si>
    <t>Aralık / Dec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</si>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</sst>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F0E4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1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165" fontId="3" fillId="17" borderId="9" xfId="0" applyNumberFormat="1" applyFont="1" applyFill="1" applyBorder="1" applyAlignment="1">
      <alignment horizontal="center" vertical="center"/>
    </xf>
    <xf numFmtId="165" fontId="3" fillId="2" borderId="9" xfId="0" applyNumberFormat="1" applyFont="1" applyFill="1" applyBorder="1" applyAlignment="1">
      <alignment horizontal="center" vertical="center"/>
    </xf>
    <xf numFmtId="164" fontId="3" fillId="18" borderId="9" xfId="3" applyNumberFormat="1" applyFont="1" applyFill="1" applyBorder="1" applyAlignment="1">
      <alignment horizontal="center" wrapText="1"/>
    </xf>
    <xf numFmtId="2" fontId="3" fillId="18" borderId="1" xfId="0" applyNumberFormat="1" applyFont="1" applyFill="1" applyBorder="1" applyAlignment="1">
      <alignment horizontal="center" wrapText="1"/>
    </xf>
    <xf numFmtId="2" fontId="3" fillId="18" borderId="0" xfId="0" applyNumberFormat="1" applyFont="1" applyFill="1" applyAlignment="1">
      <alignment horizontal="center" wrapText="1"/>
    </xf>
    <xf numFmtId="10" fontId="3" fillId="18" borderId="0" xfId="0" applyNumberFormat="1" applyFont="1" applyFill="1" applyAlignment="1">
      <alignment horizontal="center" wrapText="1"/>
    </xf>
    <xf numFmtId="1" fontId="3" fillId="18" borderId="0" xfId="0" applyNumberFormat="1" applyFont="1" applyFill="1" applyAlignment="1">
      <alignment horizontal="center" wrapText="1"/>
    </xf>
    <xf numFmtId="164" fontId="3" fillId="18" borderId="9" xfId="0" applyNumberFormat="1" applyFont="1" applyFill="1" applyBorder="1" applyAlignment="1">
      <alignment horizontal="center" wrapText="1"/>
    </xf>
    <xf numFmtId="1" fontId="3" fillId="18" borderId="0" xfId="3" applyNumberFormat="1" applyFont="1" applyFill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18" borderId="0" xfId="0" applyFont="1" applyFill="1" applyAlignment="1">
      <alignment horizontal="center" wrapText="1"/>
    </xf>
    <xf numFmtId="167" fontId="17" fillId="10" borderId="18" xfId="0" applyNumberFormat="1" applyFont="1" applyFill="1" applyBorder="1" applyAlignment="1">
      <alignment wrapText="1"/>
    </xf>
    <xf numFmtId="164" fontId="3" fillId="8" borderId="43" xfId="3" applyNumberFormat="1" applyFont="1" applyFill="1" applyBorder="1" applyAlignment="1">
      <alignment horizontal="center" wrapText="1"/>
    </xf>
    <xf numFmtId="164" fontId="3" fillId="13" borderId="43" xfId="3" applyNumberFormat="1" applyFont="1" applyFill="1" applyBorder="1" applyAlignment="1">
      <alignment horizontal="center" wrapText="1"/>
    </xf>
    <xf numFmtId="164" fontId="3" fillId="5" borderId="43" xfId="3" applyNumberFormat="1" applyFont="1" applyFill="1" applyBorder="1" applyAlignment="1">
      <alignment horizontal="center" wrapText="1"/>
    </xf>
    <xf numFmtId="164" fontId="3" fillId="18" borderId="44" xfId="3" applyNumberFormat="1" applyFont="1" applyFill="1" applyBorder="1" applyAlignment="1">
      <alignment horizontal="center" wrapText="1"/>
    </xf>
    <xf numFmtId="2" fontId="3" fillId="18" borderId="44" xfId="0" applyNumberFormat="1" applyFont="1" applyFill="1" applyBorder="1" applyAlignment="1">
      <alignment horizontal="center" wrapText="1"/>
    </xf>
    <xf numFmtId="10" fontId="3" fillId="18" borderId="44" xfId="0" applyNumberFormat="1" applyFont="1" applyFill="1" applyBorder="1" applyAlignment="1">
      <alignment horizontal="center" wrapText="1"/>
    </xf>
    <xf numFmtId="1" fontId="3" fillId="18" borderId="44" xfId="0" applyNumberFormat="1" applyFont="1" applyFill="1" applyBorder="1" applyAlignment="1">
      <alignment horizontal="center" wrapText="1"/>
    </xf>
    <xf numFmtId="0" fontId="3" fillId="18" borderId="44" xfId="0" applyFont="1" applyFill="1" applyBorder="1" applyAlignment="1">
      <alignment horizontal="center" wrapText="1"/>
    </xf>
    <xf numFmtId="0" fontId="3" fillId="18" borderId="29" xfId="0" applyFont="1" applyFill="1" applyBorder="1" applyAlignment="1">
      <alignment horizontal="center" wrapText="1"/>
    </xf>
    <xf numFmtId="3" fontId="3" fillId="18" borderId="1" xfId="0" applyNumberFormat="1" applyFont="1" applyFill="1" applyBorder="1" applyAlignment="1">
      <alignment horizontal="center" vertical="center"/>
    </xf>
    <xf numFmtId="3" fontId="3" fillId="18" borderId="9" xfId="3" applyNumberFormat="1" applyFont="1" applyFill="1" applyBorder="1" applyAlignment="1">
      <alignment horizontal="center" vertical="center"/>
    </xf>
    <xf numFmtId="165" fontId="3" fillId="18" borderId="9" xfId="0" applyNumberFormat="1" applyFont="1" applyFill="1" applyBorder="1" applyAlignment="1">
      <alignment horizontal="center" vertical="center"/>
    </xf>
    <xf numFmtId="1" fontId="9" fillId="18" borderId="1" xfId="0" applyNumberFormat="1" applyFont="1" applyFill="1" applyBorder="1" applyAlignment="1">
      <alignment horizontal="center" vertical="center"/>
    </xf>
    <xf numFmtId="165" fontId="9" fillId="18" borderId="1" xfId="0" applyNumberFormat="1" applyFont="1" applyFill="1" applyBorder="1" applyAlignment="1">
      <alignment horizontal="center" vertical="center"/>
    </xf>
    <xf numFmtId="3" fontId="3" fillId="18" borderId="1" xfId="3" applyNumberFormat="1" applyFont="1" applyFill="1" applyBorder="1" applyAlignment="1">
      <alignment horizontal="center" vertical="center"/>
    </xf>
    <xf numFmtId="14" fontId="9" fillId="18" borderId="9" xfId="0" applyNumberFormat="1" applyFont="1" applyFill="1" applyBorder="1" applyAlignment="1">
      <alignment horizontal="center" vertical="center"/>
    </xf>
    <xf numFmtId="3" fontId="3" fillId="18" borderId="9" xfId="0" applyNumberFormat="1" applyFont="1" applyFill="1" applyBorder="1" applyAlignment="1">
      <alignment horizontal="center" vertical="center"/>
    </xf>
    <xf numFmtId="165" fontId="3" fillId="18" borderId="1" xfId="0" applyNumberFormat="1" applyFont="1" applyFill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colors>
    <mruColors>
      <color rgb="FF00F0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topLeftCell="A253" workbookViewId="0">
      <selection activeCell="K274" sqref="K274"/>
    </sheetView>
  </sheetViews>
  <sheetFormatPr defaultRowHeight="14.45"/>
  <cols>
    <col min="1" max="1" width="23.42578125" customWidth="1"/>
    <col min="5" max="5" width="13.5703125" customWidth="1"/>
    <col min="6" max="6" width="11.85546875" style="125" customWidth="1"/>
    <col min="7" max="7" width="11.140625" customWidth="1"/>
    <col min="8" max="8" width="11" style="125" customWidth="1"/>
    <col min="9" max="9" width="11.5703125" customWidth="1"/>
    <col min="10" max="10" width="13.140625" style="125" customWidth="1"/>
    <col min="11" max="11" width="11.140625" customWidth="1"/>
    <col min="12" max="12" width="11.5703125" customWidth="1"/>
  </cols>
  <sheetData>
    <row r="1" spans="1:13" s="6" customFormat="1" ht="43.15">
      <c r="A1" s="6" t="s">
        <v>0</v>
      </c>
      <c r="B1" s="6" t="s">
        <v>1</v>
      </c>
      <c r="C1" s="6" t="s">
        <v>2</v>
      </c>
      <c r="D1" s="6" t="s">
        <v>3</v>
      </c>
      <c r="E1" s="126" t="s">
        <v>4</v>
      </c>
      <c r="F1" s="127" t="s">
        <v>5</v>
      </c>
      <c r="G1" s="7" t="s">
        <v>6</v>
      </c>
      <c r="H1" s="123" t="s">
        <v>7</v>
      </c>
      <c r="I1" s="126" t="s">
        <v>8</v>
      </c>
      <c r="J1" s="127" t="s">
        <v>9</v>
      </c>
      <c r="K1" s="126" t="s">
        <v>10</v>
      </c>
      <c r="L1" s="126" t="s">
        <v>11</v>
      </c>
      <c r="M1"/>
    </row>
    <row r="2" spans="1:13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24">
        <v>2.06</v>
      </c>
      <c r="G2" s="4">
        <f>'Gas Water'!M5</f>
        <v>2757</v>
      </c>
      <c r="H2" s="124">
        <v>6.17</v>
      </c>
      <c r="I2" s="2">
        <f>'Gas Water'!L5</f>
        <v>184</v>
      </c>
      <c r="J2" s="124">
        <v>14.95</v>
      </c>
      <c r="K2" s="5">
        <v>145</v>
      </c>
      <c r="L2" s="5">
        <v>294</v>
      </c>
    </row>
    <row r="3" spans="1:13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24">
        <v>2.06</v>
      </c>
      <c r="G3" s="4">
        <f>'Gas Water'!M6</f>
        <v>2787</v>
      </c>
      <c r="H3" s="124">
        <v>6.17</v>
      </c>
      <c r="I3" s="2">
        <f>'Gas Water'!L6</f>
        <v>202</v>
      </c>
      <c r="J3" s="124">
        <v>14.95</v>
      </c>
      <c r="K3" s="5">
        <v>127</v>
      </c>
      <c r="L3" s="5">
        <v>252</v>
      </c>
    </row>
    <row r="4" spans="1:13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24">
        <v>2.06</v>
      </c>
      <c r="G4" s="4">
        <f>'Gas Water'!M7</f>
        <v>2470</v>
      </c>
      <c r="H4" s="124">
        <v>6.17</v>
      </c>
      <c r="I4" s="2">
        <f>'Gas Water'!L7</f>
        <v>221</v>
      </c>
      <c r="J4" s="124">
        <v>14.95</v>
      </c>
      <c r="K4" s="5">
        <v>143</v>
      </c>
      <c r="L4" s="5">
        <v>256</v>
      </c>
    </row>
    <row r="5" spans="1:13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24">
        <v>2.06</v>
      </c>
      <c r="G5" s="4">
        <f>'Gas Water'!M8</f>
        <v>2283</v>
      </c>
      <c r="H5" s="124">
        <v>6.17</v>
      </c>
      <c r="I5" s="2">
        <f>'Gas Water'!L8</f>
        <v>206</v>
      </c>
      <c r="J5" s="124">
        <v>14.95</v>
      </c>
      <c r="K5" s="5">
        <v>148</v>
      </c>
      <c r="L5" s="5">
        <v>255</v>
      </c>
    </row>
    <row r="6" spans="1:13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24">
        <v>2.06</v>
      </c>
      <c r="G6" s="4">
        <f>'Gas Water'!M9</f>
        <v>2077</v>
      </c>
      <c r="H6" s="124">
        <v>6.17</v>
      </c>
      <c r="I6" s="2">
        <f>'Gas Water'!L9</f>
        <v>183</v>
      </c>
      <c r="J6" s="124">
        <v>14.95</v>
      </c>
      <c r="K6" s="5">
        <v>147</v>
      </c>
      <c r="L6" s="5">
        <v>265</v>
      </c>
    </row>
    <row r="7" spans="1:13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24">
        <v>2.06</v>
      </c>
      <c r="G7" s="4">
        <f>'Gas Water'!M10</f>
        <v>2098</v>
      </c>
      <c r="H7" s="124">
        <v>6.17</v>
      </c>
      <c r="I7" s="2">
        <f>'Gas Water'!L10</f>
        <v>174</v>
      </c>
      <c r="J7" s="124">
        <v>14.95</v>
      </c>
      <c r="K7" s="5">
        <v>152</v>
      </c>
      <c r="L7" s="5">
        <v>279</v>
      </c>
    </row>
    <row r="8" spans="1:13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24">
        <v>2.06</v>
      </c>
      <c r="G8" s="4">
        <f>'Gas Water'!M11</f>
        <v>2634</v>
      </c>
      <c r="H8" s="124">
        <v>6.17</v>
      </c>
      <c r="I8" s="2">
        <f>'Gas Water'!L11</f>
        <v>179</v>
      </c>
      <c r="J8" s="124">
        <v>14.95</v>
      </c>
      <c r="K8" s="5">
        <v>155</v>
      </c>
      <c r="L8" s="5">
        <v>296</v>
      </c>
    </row>
    <row r="9" spans="1:13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24">
        <v>2.06</v>
      </c>
      <c r="G9" s="4">
        <f>'Gas Water'!M12</f>
        <v>2711</v>
      </c>
      <c r="H9" s="124">
        <v>6.17</v>
      </c>
      <c r="I9" s="2">
        <f>'Gas Water'!L12</f>
        <v>190</v>
      </c>
      <c r="J9" s="124">
        <v>14.95</v>
      </c>
      <c r="K9" s="5">
        <v>136</v>
      </c>
      <c r="L9" s="5">
        <v>264</v>
      </c>
    </row>
    <row r="10" spans="1:13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24">
        <v>2.06</v>
      </c>
      <c r="G10" s="4">
        <f>'Gas Water'!M13</f>
        <v>2672</v>
      </c>
      <c r="H10" s="124">
        <v>6.17</v>
      </c>
      <c r="I10" s="2">
        <f>'Gas Water'!L13</f>
        <v>223</v>
      </c>
      <c r="J10" s="124">
        <v>14.95</v>
      </c>
      <c r="K10" s="5">
        <v>125</v>
      </c>
      <c r="L10" s="5">
        <v>224</v>
      </c>
    </row>
    <row r="11" spans="1:13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24">
        <v>2.06</v>
      </c>
      <c r="G11" s="4">
        <f>'Gas Water'!M14</f>
        <v>2670</v>
      </c>
      <c r="H11" s="124">
        <v>6.17</v>
      </c>
      <c r="I11" s="2">
        <f>'Gas Water'!L14</f>
        <v>182</v>
      </c>
      <c r="J11" s="124">
        <v>14.95</v>
      </c>
      <c r="K11" s="5">
        <v>98</v>
      </c>
      <c r="L11" s="5">
        <v>164</v>
      </c>
    </row>
    <row r="12" spans="1:13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24">
        <v>2.06</v>
      </c>
      <c r="G12" s="4">
        <f>'Gas Water'!M15</f>
        <v>3164</v>
      </c>
      <c r="H12" s="124">
        <v>6.17</v>
      </c>
      <c r="I12" s="2">
        <f>'Gas Water'!L15</f>
        <v>148</v>
      </c>
      <c r="J12" s="124">
        <v>14.95</v>
      </c>
      <c r="K12" s="5">
        <v>97</v>
      </c>
      <c r="L12" s="5">
        <v>159</v>
      </c>
    </row>
    <row r="13" spans="1:13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24">
        <v>2.06</v>
      </c>
      <c r="G13" s="4">
        <f>'Gas Water'!M16</f>
        <v>3991</v>
      </c>
      <c r="H13" s="124">
        <v>6.17</v>
      </c>
      <c r="I13" s="2">
        <f>'Gas Water'!L16</f>
        <v>175</v>
      </c>
      <c r="J13" s="124">
        <v>14.95</v>
      </c>
      <c r="K13" s="5">
        <v>96</v>
      </c>
      <c r="L13" s="5">
        <v>139</v>
      </c>
    </row>
    <row r="14" spans="1:13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24">
        <v>2.06</v>
      </c>
      <c r="G14" s="4">
        <f>'Gas Water'!M17</f>
        <v>4064</v>
      </c>
      <c r="H14" s="124">
        <v>6.17</v>
      </c>
      <c r="I14" s="2">
        <f>'Gas Water'!L17</f>
        <v>122</v>
      </c>
      <c r="J14" s="124">
        <v>14.95</v>
      </c>
      <c r="K14" s="5">
        <v>102</v>
      </c>
      <c r="L14" s="5">
        <v>167</v>
      </c>
    </row>
    <row r="15" spans="1:13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24">
        <v>2.06</v>
      </c>
      <c r="G15" s="4">
        <f>'Gas Water'!M18</f>
        <v>3946</v>
      </c>
      <c r="H15" s="124">
        <v>6.17</v>
      </c>
      <c r="I15" s="2">
        <f>'Gas Water'!L18</f>
        <v>144</v>
      </c>
      <c r="J15" s="124">
        <v>14.95</v>
      </c>
      <c r="K15" s="5">
        <v>111</v>
      </c>
      <c r="L15" s="5">
        <v>186</v>
      </c>
    </row>
    <row r="16" spans="1:13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24">
        <v>2.06</v>
      </c>
      <c r="G16" s="4">
        <f>'Gas Water'!M19</f>
        <v>3639</v>
      </c>
      <c r="H16" s="124">
        <v>6.17</v>
      </c>
      <c r="I16" s="2">
        <f>'Gas Water'!L19</f>
        <v>161</v>
      </c>
      <c r="J16" s="124">
        <v>14.95</v>
      </c>
      <c r="K16" s="5">
        <v>100</v>
      </c>
      <c r="L16" s="5">
        <v>178</v>
      </c>
    </row>
    <row r="17" spans="1:12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24">
        <v>2.06</v>
      </c>
      <c r="G17" s="4">
        <f>'Gas Water'!M20</f>
        <v>3669</v>
      </c>
      <c r="H17" s="124">
        <v>6.17</v>
      </c>
      <c r="I17" s="2">
        <f>'Gas Water'!L20</f>
        <v>139</v>
      </c>
      <c r="J17" s="124">
        <v>14.95</v>
      </c>
      <c r="K17" s="5">
        <v>67</v>
      </c>
      <c r="L17" s="5">
        <v>116</v>
      </c>
    </row>
    <row r="18" spans="1:12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24">
        <v>2.06</v>
      </c>
      <c r="G18" s="4">
        <v>3409</v>
      </c>
      <c r="H18" s="124">
        <v>6.17</v>
      </c>
      <c r="I18" s="2">
        <v>168</v>
      </c>
      <c r="J18" s="124">
        <v>14.95</v>
      </c>
      <c r="K18" s="5">
        <v>46</v>
      </c>
      <c r="L18" s="5">
        <v>84</v>
      </c>
    </row>
    <row r="19" spans="1:12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24">
        <v>2.06</v>
      </c>
      <c r="G19" s="4">
        <v>3817</v>
      </c>
      <c r="H19" s="124">
        <v>6.17</v>
      </c>
      <c r="I19" s="2">
        <v>121</v>
      </c>
      <c r="J19" s="124">
        <v>14.95</v>
      </c>
      <c r="K19" s="5">
        <v>57</v>
      </c>
      <c r="L19" s="5">
        <v>89</v>
      </c>
    </row>
    <row r="20" spans="1:12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24">
        <v>2.06</v>
      </c>
      <c r="G20" s="4">
        <v>4098</v>
      </c>
      <c r="H20" s="124">
        <v>6.17</v>
      </c>
      <c r="I20" s="2">
        <v>128</v>
      </c>
      <c r="J20" s="124">
        <v>14.95</v>
      </c>
      <c r="K20" s="5">
        <v>67</v>
      </c>
      <c r="L20" s="5">
        <v>109</v>
      </c>
    </row>
    <row r="21" spans="1:12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24">
        <v>2.06</v>
      </c>
      <c r="G21" s="4">
        <v>3568</v>
      </c>
      <c r="H21" s="124">
        <v>6.17</v>
      </c>
      <c r="I21" s="2">
        <v>147</v>
      </c>
      <c r="J21" s="124">
        <v>14.95</v>
      </c>
      <c r="K21" s="5">
        <v>91</v>
      </c>
      <c r="L21" s="5">
        <v>143</v>
      </c>
    </row>
    <row r="22" spans="1:12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24">
        <v>2.06</v>
      </c>
      <c r="G22" s="4">
        <v>2117</v>
      </c>
      <c r="H22" s="124">
        <v>6.17</v>
      </c>
      <c r="I22" s="2">
        <v>117</v>
      </c>
      <c r="J22" s="124">
        <v>14.95</v>
      </c>
      <c r="K22" s="5">
        <v>87</v>
      </c>
      <c r="L22" s="5">
        <v>140</v>
      </c>
    </row>
    <row r="23" spans="1:12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24">
        <v>2.06</v>
      </c>
      <c r="G23" s="4">
        <v>1731</v>
      </c>
      <c r="H23" s="124">
        <v>6.17</v>
      </c>
      <c r="I23" s="2">
        <v>140</v>
      </c>
      <c r="J23" s="124">
        <v>14.95</v>
      </c>
      <c r="K23" s="5">
        <v>104</v>
      </c>
      <c r="L23" s="5">
        <v>170</v>
      </c>
    </row>
    <row r="24" spans="1:12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24">
        <v>2.06</v>
      </c>
      <c r="G24" s="4">
        <f>'Gas Water'!M27</f>
        <v>4282</v>
      </c>
      <c r="H24" s="124">
        <v>6.17</v>
      </c>
      <c r="I24" s="2">
        <f>'Gas Water'!L27</f>
        <v>140</v>
      </c>
      <c r="J24" s="124">
        <v>14.95</v>
      </c>
      <c r="K24" s="5">
        <v>82</v>
      </c>
      <c r="L24" s="5">
        <v>118</v>
      </c>
    </row>
    <row r="25" spans="1:12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24">
        <v>2.06</v>
      </c>
      <c r="G25" s="4">
        <f>'Gas Water'!M28</f>
        <v>4328</v>
      </c>
      <c r="H25" s="124">
        <v>6.17</v>
      </c>
      <c r="I25" s="2">
        <f>'Gas Water'!L28</f>
        <v>110</v>
      </c>
      <c r="J25" s="124">
        <v>14.95</v>
      </c>
      <c r="K25" s="5">
        <v>94</v>
      </c>
      <c r="L25" s="5">
        <v>145</v>
      </c>
    </row>
    <row r="26" spans="1:12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24">
        <v>2.06</v>
      </c>
      <c r="G26" s="4">
        <f>'Gas Water'!M29</f>
        <v>4490</v>
      </c>
      <c r="H26" s="124">
        <v>6.17</v>
      </c>
      <c r="I26" s="2">
        <f>'Gas Water'!L29</f>
        <v>114</v>
      </c>
      <c r="J26" s="124">
        <v>14.95</v>
      </c>
      <c r="K26" s="5">
        <v>70</v>
      </c>
      <c r="L26" s="5">
        <v>104</v>
      </c>
    </row>
    <row r="27" spans="1:12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24">
        <v>2.06</v>
      </c>
      <c r="G27" s="4">
        <f>'Gas Water'!M30</f>
        <v>4233</v>
      </c>
      <c r="H27" s="124">
        <v>6.17</v>
      </c>
      <c r="I27" s="2">
        <f>'Gas Water'!L30</f>
        <v>140</v>
      </c>
      <c r="J27" s="124">
        <v>14.95</v>
      </c>
      <c r="K27" s="5">
        <v>67</v>
      </c>
      <c r="L27" s="5">
        <v>101</v>
      </c>
    </row>
    <row r="28" spans="1:12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24">
        <v>2.06</v>
      </c>
      <c r="G28" s="4">
        <f>'Gas Water'!M31</f>
        <v>3868</v>
      </c>
      <c r="H28" s="124">
        <v>6.17</v>
      </c>
      <c r="I28" s="2">
        <f>'Gas Water'!L31</f>
        <v>127</v>
      </c>
      <c r="J28" s="124">
        <v>14.95</v>
      </c>
      <c r="K28" s="5">
        <v>128</v>
      </c>
      <c r="L28" s="5">
        <v>145</v>
      </c>
    </row>
    <row r="29" spans="1:12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24">
        <v>2.06</v>
      </c>
      <c r="G29" s="4">
        <f>'Gas Water'!M32</f>
        <v>3653</v>
      </c>
      <c r="H29" s="124">
        <v>6.17</v>
      </c>
      <c r="I29" s="2">
        <f>'Gas Water'!L32</f>
        <v>173</v>
      </c>
      <c r="J29" s="124">
        <v>14.95</v>
      </c>
      <c r="K29" s="5">
        <v>88</v>
      </c>
      <c r="L29" s="5">
        <v>118</v>
      </c>
    </row>
    <row r="30" spans="1:12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24">
        <v>2.06</v>
      </c>
      <c r="G30" s="4">
        <f>'Gas Water'!M33</f>
        <v>3567</v>
      </c>
      <c r="H30" s="124">
        <v>6.17</v>
      </c>
      <c r="I30" s="2">
        <f>'Gas Water'!L33</f>
        <v>126</v>
      </c>
      <c r="J30" s="124">
        <v>14.95</v>
      </c>
      <c r="K30" s="5">
        <v>107</v>
      </c>
      <c r="L30" s="5">
        <v>111</v>
      </c>
    </row>
    <row r="31" spans="1:12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24">
        <v>2.06</v>
      </c>
      <c r="G31" s="4">
        <f>'Gas Water'!M34</f>
        <v>3523</v>
      </c>
      <c r="H31" s="124">
        <v>6.17</v>
      </c>
      <c r="I31" s="2">
        <f>'Gas Water'!L34</f>
        <v>127</v>
      </c>
      <c r="J31" s="124">
        <v>14.95</v>
      </c>
      <c r="K31" s="5">
        <v>110</v>
      </c>
      <c r="L31" s="5">
        <v>125</v>
      </c>
    </row>
    <row r="32" spans="1:12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24">
        <v>2.06</v>
      </c>
      <c r="G32" s="4">
        <f>'Gas Water'!M35</f>
        <v>3359</v>
      </c>
      <c r="H32" s="124">
        <v>6.17</v>
      </c>
      <c r="I32" s="2">
        <f>'Gas Water'!L35</f>
        <v>124</v>
      </c>
      <c r="J32" s="124">
        <v>14.95</v>
      </c>
      <c r="K32" s="5">
        <v>83</v>
      </c>
      <c r="L32" s="5">
        <v>105</v>
      </c>
    </row>
    <row r="33" spans="1:12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24">
        <v>1.7</v>
      </c>
      <c r="G33" s="4">
        <f>'Gas Water'!M36</f>
        <v>3285</v>
      </c>
      <c r="H33" s="124">
        <v>8.1999999999999993</v>
      </c>
      <c r="I33" s="2">
        <f>'Gas Water'!L36</f>
        <v>148</v>
      </c>
      <c r="J33" s="124">
        <v>14.95</v>
      </c>
      <c r="K33" s="5">
        <v>60</v>
      </c>
      <c r="L33" s="5">
        <v>83</v>
      </c>
    </row>
    <row r="34" spans="1:12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24">
        <v>1.7</v>
      </c>
      <c r="G34" s="4">
        <f>'Gas Water'!M37</f>
        <v>3411</v>
      </c>
      <c r="H34" s="124">
        <v>8.1999999999999993</v>
      </c>
      <c r="I34" s="2">
        <f>'Gas Water'!L37</f>
        <v>109</v>
      </c>
      <c r="J34" s="124">
        <v>14.95</v>
      </c>
      <c r="K34" s="5">
        <v>69</v>
      </c>
      <c r="L34" s="5">
        <v>93</v>
      </c>
    </row>
    <row r="35" spans="1:12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24">
        <v>1.7</v>
      </c>
      <c r="G35" s="4">
        <f>'Gas Water'!M38</f>
        <v>3911</v>
      </c>
      <c r="H35" s="124">
        <v>8.1999999999999993</v>
      </c>
      <c r="I35" s="2">
        <f>'Gas Water'!L38</f>
        <v>151</v>
      </c>
      <c r="J35" s="124">
        <v>14.95</v>
      </c>
      <c r="K35" s="5">
        <v>71</v>
      </c>
      <c r="L35" s="5">
        <v>96</v>
      </c>
    </row>
    <row r="36" spans="1:12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24">
        <v>1.7</v>
      </c>
      <c r="G36" s="4">
        <f>'Gas Water'!M39</f>
        <v>3812</v>
      </c>
      <c r="H36" s="124">
        <v>8.1999999999999993</v>
      </c>
      <c r="I36" s="2">
        <f>'Gas Water'!L39</f>
        <v>161</v>
      </c>
      <c r="J36" s="124">
        <v>14.95</v>
      </c>
      <c r="K36" s="5">
        <v>72</v>
      </c>
      <c r="L36" s="5">
        <v>129</v>
      </c>
    </row>
    <row r="37" spans="1:12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24">
        <v>1.7</v>
      </c>
      <c r="G37" s="4">
        <f>'Gas Water'!M40</f>
        <v>3441</v>
      </c>
      <c r="H37" s="124">
        <v>8.1999999999999993</v>
      </c>
      <c r="I37" s="2">
        <f>'Gas Water'!L40</f>
        <v>148</v>
      </c>
      <c r="J37" s="124">
        <v>14.95</v>
      </c>
      <c r="K37" s="5">
        <v>67</v>
      </c>
      <c r="L37" s="5">
        <v>124</v>
      </c>
    </row>
    <row r="38" spans="1:12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24">
        <v>1.7</v>
      </c>
      <c r="G38" s="4">
        <f>'Gas Water'!M41</f>
        <v>3203</v>
      </c>
      <c r="H38" s="124">
        <v>8.1999999999999993</v>
      </c>
      <c r="I38" s="2">
        <f>'Gas Water'!L41</f>
        <v>140</v>
      </c>
      <c r="J38" s="124">
        <v>14.95</v>
      </c>
      <c r="K38" s="5">
        <v>85</v>
      </c>
      <c r="L38" s="5">
        <v>129</v>
      </c>
    </row>
    <row r="39" spans="1:12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24">
        <v>1.7</v>
      </c>
      <c r="G39" s="4">
        <f>'Gas Water'!M42</f>
        <v>2961</v>
      </c>
      <c r="H39" s="124">
        <v>8.1999999999999993</v>
      </c>
      <c r="I39" s="2">
        <f>'Gas Water'!L42</f>
        <v>128</v>
      </c>
      <c r="J39" s="124">
        <v>14.95</v>
      </c>
      <c r="K39" s="5">
        <v>86</v>
      </c>
      <c r="L39" s="5">
        <v>133</v>
      </c>
    </row>
    <row r="40" spans="1:12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24">
        <v>1.7</v>
      </c>
      <c r="G40" s="4">
        <f>'Gas Water'!M43</f>
        <v>3814</v>
      </c>
      <c r="H40" s="124">
        <v>8.1999999999999993</v>
      </c>
      <c r="I40" s="2">
        <f>'Gas Water'!L43</f>
        <v>128</v>
      </c>
      <c r="J40" s="124">
        <v>14.95</v>
      </c>
      <c r="K40" s="5">
        <v>101</v>
      </c>
      <c r="L40" s="5">
        <v>159</v>
      </c>
    </row>
    <row r="41" spans="1:12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24">
        <v>1.7</v>
      </c>
      <c r="G41" s="4">
        <f>'Gas Water'!M44</f>
        <v>3745</v>
      </c>
      <c r="H41" s="124">
        <v>8.1999999999999993</v>
      </c>
      <c r="I41" s="2">
        <f>'Gas Water'!L44</f>
        <v>165</v>
      </c>
      <c r="J41" s="124">
        <v>14.95</v>
      </c>
      <c r="K41" s="5">
        <v>155</v>
      </c>
      <c r="L41" s="5">
        <v>217</v>
      </c>
    </row>
    <row r="42" spans="1:12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24">
        <v>1.7</v>
      </c>
      <c r="G42" s="4">
        <f>'Gas Water'!M45</f>
        <v>3579</v>
      </c>
      <c r="H42" s="124">
        <v>8.1999999999999993</v>
      </c>
      <c r="I42" s="2">
        <f>'Gas Water'!L45</f>
        <v>161</v>
      </c>
      <c r="J42" s="124">
        <v>14.95</v>
      </c>
      <c r="K42" s="5">
        <v>161</v>
      </c>
      <c r="L42" s="5">
        <v>217</v>
      </c>
    </row>
    <row r="43" spans="1:12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24">
        <v>1.7</v>
      </c>
      <c r="G43" s="4">
        <f>'Gas Water'!M46</f>
        <v>3443</v>
      </c>
      <c r="H43" s="124">
        <v>8.1999999999999993</v>
      </c>
      <c r="I43" s="2">
        <f>'Gas Water'!L46</f>
        <v>214</v>
      </c>
      <c r="J43" s="124">
        <v>14.95</v>
      </c>
      <c r="K43" s="5">
        <v>115</v>
      </c>
      <c r="L43" s="5">
        <v>185</v>
      </c>
    </row>
    <row r="44" spans="1:12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24">
        <v>1.7</v>
      </c>
      <c r="G44" s="4">
        <f>'Gas Water'!M47</f>
        <v>3309</v>
      </c>
      <c r="H44" s="124">
        <v>8.1999999999999993</v>
      </c>
      <c r="I44" s="2">
        <f>'Gas Water'!L47</f>
        <v>190</v>
      </c>
      <c r="J44" s="124">
        <v>14.95</v>
      </c>
      <c r="K44" s="5">
        <v>127</v>
      </c>
      <c r="L44" s="5">
        <v>239</v>
      </c>
    </row>
    <row r="45" spans="1:12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24">
        <v>1.7</v>
      </c>
      <c r="G45" s="4">
        <f>'Gas Water'!M48</f>
        <v>3588</v>
      </c>
      <c r="H45" s="124">
        <v>8.1999999999999993</v>
      </c>
      <c r="I45" s="2">
        <f>'Gas Water'!L48</f>
        <v>201</v>
      </c>
      <c r="J45" s="124">
        <v>14.95</v>
      </c>
      <c r="K45" s="5">
        <v>115</v>
      </c>
      <c r="L45" s="5">
        <v>223</v>
      </c>
    </row>
    <row r="46" spans="1:12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24">
        <v>1.7</v>
      </c>
      <c r="G46" s="4">
        <f>'Gas Water'!M49</f>
        <v>3679</v>
      </c>
      <c r="H46" s="124">
        <v>8.1999999999999993</v>
      </c>
      <c r="I46" s="2">
        <f>'Gas Water'!L49</f>
        <v>166</v>
      </c>
      <c r="J46" s="124">
        <v>14.95</v>
      </c>
      <c r="K46" s="5">
        <v>124</v>
      </c>
      <c r="L46" s="5">
        <v>234</v>
      </c>
    </row>
    <row r="47" spans="1:12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24">
        <v>1.7</v>
      </c>
      <c r="G47" s="4">
        <f>'Gas Water'!M50</f>
        <v>3685</v>
      </c>
      <c r="H47" s="124">
        <v>8.1999999999999993</v>
      </c>
      <c r="I47" s="2">
        <f>'Gas Water'!L50</f>
        <v>97</v>
      </c>
      <c r="J47" s="124">
        <v>14.95</v>
      </c>
      <c r="K47" s="5">
        <v>94</v>
      </c>
      <c r="L47" s="5">
        <v>171</v>
      </c>
    </row>
    <row r="48" spans="1:12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24">
        <v>1.7</v>
      </c>
      <c r="G48" s="4">
        <f>'Gas Water'!M51</f>
        <v>3255</v>
      </c>
      <c r="H48" s="124">
        <v>8.1999999999999993</v>
      </c>
      <c r="I48" s="2">
        <f>'Gas Water'!L51</f>
        <v>21</v>
      </c>
      <c r="J48" s="124">
        <v>14.95</v>
      </c>
      <c r="K48" s="5">
        <v>90</v>
      </c>
      <c r="L48" s="5">
        <v>155</v>
      </c>
    </row>
    <row r="49" spans="1:12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24">
        <v>1.7</v>
      </c>
      <c r="G49" s="4">
        <f>'Gas Water'!M52</f>
        <v>2923</v>
      </c>
      <c r="H49" s="124">
        <v>8.1999999999999993</v>
      </c>
      <c r="I49" s="2">
        <f>'Gas Water'!L52</f>
        <v>125</v>
      </c>
      <c r="J49" s="124">
        <v>14.95</v>
      </c>
      <c r="K49" s="5">
        <v>117</v>
      </c>
      <c r="L49" s="5">
        <v>213</v>
      </c>
    </row>
    <row r="50" spans="1:12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24">
        <v>1.7</v>
      </c>
      <c r="G50" s="4">
        <f>'Gas Water'!M53</f>
        <v>3320</v>
      </c>
      <c r="H50" s="124">
        <v>8.1999999999999993</v>
      </c>
      <c r="I50" s="2">
        <f>'Gas Water'!L53</f>
        <v>510</v>
      </c>
      <c r="J50" s="124">
        <v>14.95</v>
      </c>
      <c r="K50" s="5">
        <v>120</v>
      </c>
      <c r="L50" s="5">
        <v>225</v>
      </c>
    </row>
    <row r="51" spans="1:12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24">
        <v>1.7</v>
      </c>
      <c r="G51" s="4">
        <f>'Gas Water'!M54</f>
        <v>3186</v>
      </c>
      <c r="H51" s="124">
        <v>8.1999999999999993</v>
      </c>
      <c r="I51" s="2">
        <f>'Gas Water'!L54</f>
        <v>223</v>
      </c>
      <c r="J51" s="124">
        <v>14.95</v>
      </c>
      <c r="K51" s="5">
        <v>127</v>
      </c>
      <c r="L51" s="5">
        <v>223</v>
      </c>
    </row>
    <row r="52" spans="1:12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24">
        <v>1.7</v>
      </c>
      <c r="G52" s="4">
        <f>'Gas Water'!M55</f>
        <v>2986</v>
      </c>
      <c r="H52" s="124">
        <v>8.1999999999999993</v>
      </c>
      <c r="I52" s="2">
        <f>'Gas Water'!L55</f>
        <v>293</v>
      </c>
      <c r="J52" s="124">
        <v>14.95</v>
      </c>
      <c r="K52" s="5">
        <v>110</v>
      </c>
      <c r="L52" s="5">
        <v>178</v>
      </c>
    </row>
    <row r="53" spans="1:12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24">
        <v>1.7</v>
      </c>
      <c r="G53" s="4">
        <f>'Gas Water'!M56</f>
        <v>2604</v>
      </c>
      <c r="H53" s="124">
        <v>8.1999999999999993</v>
      </c>
      <c r="I53" s="2">
        <f>'Gas Water'!L56</f>
        <v>189</v>
      </c>
      <c r="J53" s="124">
        <v>14.95</v>
      </c>
      <c r="K53" s="5">
        <v>87</v>
      </c>
      <c r="L53" s="5">
        <v>189</v>
      </c>
    </row>
    <row r="54" spans="1:12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24">
        <v>1.7</v>
      </c>
      <c r="G54" s="4">
        <f>'Gas Water'!M57</f>
        <v>2458</v>
      </c>
      <c r="H54" s="124">
        <v>8.1999999999999993</v>
      </c>
      <c r="I54" s="2">
        <f>'Gas Water'!L57</f>
        <v>160</v>
      </c>
      <c r="J54" s="124">
        <v>14.95</v>
      </c>
      <c r="K54" s="5">
        <v>94</v>
      </c>
      <c r="L54" s="5">
        <v>141</v>
      </c>
    </row>
    <row r="55" spans="1:12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24">
        <v>1.7</v>
      </c>
      <c r="G55" s="4">
        <f>'Gas Water'!M58</f>
        <v>3111</v>
      </c>
      <c r="H55" s="124">
        <v>8.1999999999999993</v>
      </c>
      <c r="I55" s="2">
        <f>'Gas Water'!L58</f>
        <v>61</v>
      </c>
      <c r="J55" s="124">
        <v>14.95</v>
      </c>
      <c r="K55" s="5">
        <v>121</v>
      </c>
      <c r="L55" s="5">
        <v>200</v>
      </c>
    </row>
    <row r="56" spans="1:12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24">
        <v>1.7</v>
      </c>
      <c r="G56" s="4">
        <f>'Gas Water'!M59</f>
        <v>3405</v>
      </c>
      <c r="H56" s="124">
        <v>8.1999999999999993</v>
      </c>
      <c r="I56" s="2">
        <f>'Gas Water'!L59</f>
        <v>255</v>
      </c>
      <c r="J56" s="124">
        <v>14.95</v>
      </c>
      <c r="K56" s="5">
        <v>152</v>
      </c>
      <c r="L56" s="5">
        <v>269</v>
      </c>
    </row>
    <row r="57" spans="1:12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24">
        <v>1.7</v>
      </c>
      <c r="G57" s="4">
        <f>'Gas Water'!M60</f>
        <v>2912</v>
      </c>
      <c r="H57" s="124">
        <v>8.1999999999999993</v>
      </c>
      <c r="I57" s="2">
        <f>'Gas Water'!L60</f>
        <v>373</v>
      </c>
      <c r="J57" s="124">
        <v>14.95</v>
      </c>
      <c r="K57" s="5">
        <v>158</v>
      </c>
      <c r="L57" s="5">
        <v>275</v>
      </c>
    </row>
    <row r="58" spans="1:12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24">
        <v>1.7</v>
      </c>
      <c r="G58" s="4">
        <f>'Gas Water'!M61</f>
        <v>2907</v>
      </c>
      <c r="H58" s="124">
        <v>8.1999999999999993</v>
      </c>
      <c r="I58" s="2">
        <f>'Gas Water'!L61</f>
        <v>188</v>
      </c>
      <c r="J58" s="124">
        <v>14.95</v>
      </c>
      <c r="K58" s="5">
        <v>159</v>
      </c>
      <c r="L58" s="5">
        <v>276</v>
      </c>
    </row>
    <row r="59" spans="1:12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24">
        <v>1.7</v>
      </c>
      <c r="G59" s="4">
        <f>'Gas Water'!M62</f>
        <v>3061</v>
      </c>
      <c r="H59" s="124">
        <v>8.1999999999999993</v>
      </c>
      <c r="I59" s="2">
        <f>'Gas Water'!L62</f>
        <v>207</v>
      </c>
      <c r="J59" s="124">
        <v>14.95</v>
      </c>
      <c r="K59" s="5">
        <v>160</v>
      </c>
      <c r="L59" s="5">
        <v>259</v>
      </c>
    </row>
    <row r="60" spans="1:12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24">
        <v>1.7</v>
      </c>
      <c r="G60" s="4">
        <f>'Gas Water'!M63</f>
        <v>3402</v>
      </c>
      <c r="H60" s="124">
        <v>8.1999999999999993</v>
      </c>
      <c r="I60" s="2">
        <f>'Gas Water'!L63</f>
        <v>178</v>
      </c>
      <c r="J60" s="124">
        <v>14.95</v>
      </c>
      <c r="K60" s="5">
        <v>138</v>
      </c>
      <c r="L60" s="5">
        <v>220</v>
      </c>
    </row>
    <row r="61" spans="1:12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24">
        <v>1.75</v>
      </c>
      <c r="G61" s="4">
        <f>'Gas Water'!M64</f>
        <v>4007</v>
      </c>
      <c r="H61" s="124">
        <v>8.1999999999999993</v>
      </c>
      <c r="I61" s="2">
        <f>'Gas Water'!L64</f>
        <v>182</v>
      </c>
      <c r="J61" s="124">
        <v>14.95</v>
      </c>
      <c r="K61" s="5">
        <v>140</v>
      </c>
      <c r="L61" s="5">
        <v>227</v>
      </c>
    </row>
    <row r="62" spans="1:12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24">
        <v>1.75</v>
      </c>
      <c r="G62" s="4">
        <f>'Gas Water'!M65</f>
        <v>3813</v>
      </c>
      <c r="H62" s="124">
        <v>8.1999999999999993</v>
      </c>
      <c r="I62" s="2">
        <f>'Gas Water'!L65</f>
        <v>198</v>
      </c>
      <c r="J62" s="124">
        <v>14.95</v>
      </c>
      <c r="K62" s="5">
        <v>140</v>
      </c>
      <c r="L62" s="5">
        <v>224</v>
      </c>
    </row>
    <row r="63" spans="1:12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24">
        <v>1.75</v>
      </c>
      <c r="G63" s="4">
        <f>'Gas Water'!M66</f>
        <v>3654</v>
      </c>
      <c r="H63" s="124">
        <v>8.1999999999999993</v>
      </c>
      <c r="I63" s="2">
        <f>'Gas Water'!L66</f>
        <v>177</v>
      </c>
      <c r="J63" s="124">
        <v>14.95</v>
      </c>
      <c r="K63" s="5">
        <v>139</v>
      </c>
      <c r="L63" s="5">
        <v>205</v>
      </c>
    </row>
    <row r="64" spans="1:12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24">
        <v>1.75</v>
      </c>
      <c r="G64" s="4">
        <f>'Gas Water'!M67</f>
        <v>3356</v>
      </c>
      <c r="H64" s="124">
        <v>8.1999999999999993</v>
      </c>
      <c r="I64" s="2">
        <f>'Gas Water'!L67</f>
        <v>197</v>
      </c>
      <c r="J64" s="124">
        <v>14.95</v>
      </c>
      <c r="K64" s="5">
        <v>147</v>
      </c>
      <c r="L64" s="5">
        <v>219</v>
      </c>
    </row>
    <row r="65" spans="1:12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24">
        <v>1.75</v>
      </c>
      <c r="G65" s="4">
        <f>'Gas Water'!M68</f>
        <v>2997</v>
      </c>
      <c r="H65" s="124">
        <v>8.1999999999999993</v>
      </c>
      <c r="I65" s="2">
        <f>'Gas Water'!L68</f>
        <v>174</v>
      </c>
      <c r="J65" s="124">
        <v>14.95</v>
      </c>
      <c r="K65" s="5">
        <v>121</v>
      </c>
      <c r="L65" s="5">
        <v>223</v>
      </c>
    </row>
    <row r="66" spans="1:12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24">
        <v>1.75</v>
      </c>
      <c r="G66" s="4">
        <f>'Gas Water'!M69</f>
        <v>3207</v>
      </c>
      <c r="H66" s="124">
        <v>8.1999999999999993</v>
      </c>
      <c r="I66" s="2">
        <f>'Gas Water'!L69</f>
        <v>177</v>
      </c>
      <c r="J66" s="124">
        <v>14.95</v>
      </c>
      <c r="K66" s="5">
        <v>124</v>
      </c>
      <c r="L66" s="5">
        <v>211</v>
      </c>
    </row>
    <row r="67" spans="1:12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24">
        <v>1.75</v>
      </c>
      <c r="G67" s="4">
        <f>'Gas Water'!M70</f>
        <v>3719</v>
      </c>
      <c r="H67" s="124">
        <v>8.1999999999999993</v>
      </c>
      <c r="I67" s="2">
        <f>'Gas Water'!L70</f>
        <v>180</v>
      </c>
      <c r="J67" s="124">
        <v>14.95</v>
      </c>
      <c r="K67" s="5">
        <v>130</v>
      </c>
      <c r="L67" s="5">
        <v>208</v>
      </c>
    </row>
    <row r="68" spans="1:12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24">
        <v>1.75</v>
      </c>
      <c r="G68" s="4">
        <f>'Gas Water'!M71</f>
        <v>2998</v>
      </c>
      <c r="H68" s="124">
        <v>8.1999999999999993</v>
      </c>
      <c r="I68" s="2">
        <f>'Gas Water'!L71</f>
        <v>190</v>
      </c>
      <c r="J68" s="124">
        <v>14.95</v>
      </c>
      <c r="K68" s="5">
        <v>134</v>
      </c>
      <c r="L68" s="5">
        <v>202</v>
      </c>
    </row>
    <row r="69" spans="1:12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24">
        <v>1.75</v>
      </c>
      <c r="G69" s="4">
        <f>'Gas Water'!M72</f>
        <v>4472</v>
      </c>
      <c r="H69" s="124">
        <v>8.1999999999999993</v>
      </c>
      <c r="I69" s="2">
        <f>'Gas Water'!L72</f>
        <v>165</v>
      </c>
      <c r="J69" s="124">
        <v>14.95</v>
      </c>
      <c r="K69" s="5">
        <v>134</v>
      </c>
      <c r="L69" s="5">
        <v>225</v>
      </c>
    </row>
    <row r="70" spans="1:12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24">
        <v>1.75</v>
      </c>
      <c r="G70" s="4">
        <f>'Gas Water'!M73</f>
        <v>4133</v>
      </c>
      <c r="H70" s="124">
        <v>8.1999999999999993</v>
      </c>
      <c r="I70" s="2">
        <f>'Gas Water'!L73</f>
        <v>173</v>
      </c>
      <c r="J70" s="124">
        <v>14.95</v>
      </c>
      <c r="K70" s="5">
        <v>128</v>
      </c>
      <c r="L70" s="5">
        <v>229</v>
      </c>
    </row>
    <row r="71" spans="1:12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24">
        <v>1.75</v>
      </c>
      <c r="G71" s="4">
        <f>'Gas Water'!M74</f>
        <v>4085</v>
      </c>
      <c r="H71" s="124">
        <v>8.1999999999999993</v>
      </c>
      <c r="I71" s="2">
        <f>'Gas Water'!L74</f>
        <v>174</v>
      </c>
      <c r="J71" s="124">
        <v>14.95</v>
      </c>
      <c r="K71" s="5">
        <v>101</v>
      </c>
      <c r="L71" s="5">
        <v>223</v>
      </c>
    </row>
    <row r="72" spans="1:12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24">
        <v>1.75</v>
      </c>
      <c r="G72" s="4">
        <f>'Gas Water'!M75</f>
        <v>4167</v>
      </c>
      <c r="H72" s="124">
        <v>8.1999999999999993</v>
      </c>
      <c r="I72" s="2">
        <f>'Gas Water'!L75</f>
        <v>172</v>
      </c>
      <c r="J72" s="124">
        <v>14.95</v>
      </c>
      <c r="K72" s="5">
        <v>152</v>
      </c>
      <c r="L72" s="5">
        <v>291</v>
      </c>
    </row>
    <row r="73" spans="1:12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24">
        <v>1.75</v>
      </c>
      <c r="G73" s="4">
        <f>'Gas Water'!M76</f>
        <v>3964</v>
      </c>
      <c r="H73" s="124">
        <v>8.1999999999999993</v>
      </c>
      <c r="I73" s="2">
        <f>'Gas Water'!L76</f>
        <v>183</v>
      </c>
      <c r="J73" s="124">
        <v>14.95</v>
      </c>
      <c r="K73" s="5">
        <v>118</v>
      </c>
      <c r="L73" s="5">
        <v>197</v>
      </c>
    </row>
    <row r="74" spans="1:12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24">
        <v>1.75</v>
      </c>
      <c r="G74" s="4">
        <f>'Gas Water'!M77</f>
        <v>4114</v>
      </c>
      <c r="H74" s="124">
        <v>8.1999999999999993</v>
      </c>
      <c r="I74" s="2">
        <f>'Gas Water'!L77</f>
        <v>207</v>
      </c>
      <c r="J74" s="124">
        <v>14.95</v>
      </c>
      <c r="K74" s="5">
        <v>113</v>
      </c>
      <c r="L74" s="5">
        <v>192</v>
      </c>
    </row>
    <row r="75" spans="1:12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24">
        <v>1.75</v>
      </c>
      <c r="G75" s="4">
        <f>'Gas Water'!M78</f>
        <v>3613</v>
      </c>
      <c r="H75" s="124">
        <v>8.1999999999999993</v>
      </c>
      <c r="I75" s="2">
        <f>'Gas Water'!L78</f>
        <v>219</v>
      </c>
      <c r="J75" s="124">
        <v>14.95</v>
      </c>
      <c r="K75" s="5">
        <v>127</v>
      </c>
      <c r="L75" s="5">
        <v>209</v>
      </c>
    </row>
    <row r="76" spans="1:12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24">
        <v>1.75</v>
      </c>
      <c r="G76" s="4">
        <f>'Gas Water'!M79</f>
        <v>3704</v>
      </c>
      <c r="H76" s="124">
        <v>8.1999999999999993</v>
      </c>
      <c r="I76" s="2">
        <f>'Gas Water'!L79</f>
        <v>238</v>
      </c>
      <c r="J76" s="124">
        <v>14.95</v>
      </c>
      <c r="K76" s="5">
        <v>135</v>
      </c>
      <c r="L76" s="5">
        <v>228</v>
      </c>
    </row>
    <row r="77" spans="1:12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24">
        <v>1.75</v>
      </c>
      <c r="G77" s="4">
        <f>'Gas Water'!M80</f>
        <v>3728</v>
      </c>
      <c r="H77" s="124">
        <v>8.1999999999999993</v>
      </c>
      <c r="I77" s="2">
        <f>'Gas Water'!L80</f>
        <v>226</v>
      </c>
      <c r="J77" s="124">
        <v>14.95</v>
      </c>
      <c r="K77" s="5">
        <v>153</v>
      </c>
      <c r="L77" s="5">
        <v>263</v>
      </c>
    </row>
    <row r="78" spans="1:12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24">
        <v>1.75</v>
      </c>
      <c r="G78" s="4">
        <f>'Gas Water'!M81</f>
        <v>4394</v>
      </c>
      <c r="H78" s="124">
        <v>8.1999999999999993</v>
      </c>
      <c r="I78" s="2">
        <f>'Gas Water'!L81</f>
        <v>224</v>
      </c>
      <c r="J78" s="124">
        <v>14.95</v>
      </c>
      <c r="K78" s="5">
        <v>149</v>
      </c>
      <c r="L78" s="5">
        <v>269</v>
      </c>
    </row>
    <row r="79" spans="1:12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24">
        <v>1.75</v>
      </c>
      <c r="G79" s="4">
        <f>'Gas Water'!M82</f>
        <v>4660</v>
      </c>
      <c r="H79" s="124">
        <v>8.1999999999999993</v>
      </c>
      <c r="I79" s="2">
        <f>'Gas Water'!L82</f>
        <v>244</v>
      </c>
      <c r="J79" s="124">
        <v>14.95</v>
      </c>
      <c r="K79" s="5">
        <v>153</v>
      </c>
      <c r="L79" s="5">
        <v>288</v>
      </c>
    </row>
    <row r="80" spans="1:12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24">
        <v>1.75</v>
      </c>
      <c r="G80" s="4">
        <f>'Gas Water'!M83</f>
        <v>4047</v>
      </c>
      <c r="H80" s="124">
        <v>8.1999999999999993</v>
      </c>
      <c r="I80" s="2">
        <f>'Gas Water'!L83</f>
        <v>237</v>
      </c>
      <c r="J80" s="124">
        <v>14.95</v>
      </c>
      <c r="K80" s="5">
        <v>104</v>
      </c>
      <c r="L80" s="5">
        <v>198</v>
      </c>
    </row>
    <row r="81" spans="1:12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24">
        <v>1.75</v>
      </c>
      <c r="G81" s="4">
        <f>'Gas Water'!M84</f>
        <v>3433</v>
      </c>
      <c r="H81" s="124">
        <v>8.1999999999999993</v>
      </c>
      <c r="I81" s="2">
        <f>'Gas Water'!L84</f>
        <v>205</v>
      </c>
      <c r="J81" s="124">
        <v>14.95</v>
      </c>
      <c r="K81" s="5">
        <v>116</v>
      </c>
      <c r="L81" s="5">
        <v>197</v>
      </c>
    </row>
    <row r="82" spans="1:12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24">
        <v>1.75</v>
      </c>
      <c r="G82" s="4">
        <f>'Gas Water'!M85</f>
        <v>3613</v>
      </c>
      <c r="H82" s="124">
        <v>8.1999999999999993</v>
      </c>
      <c r="I82" s="2">
        <f>'Gas Water'!L85</f>
        <v>228</v>
      </c>
      <c r="J82" s="124">
        <v>14.95</v>
      </c>
      <c r="K82" s="5">
        <v>130</v>
      </c>
      <c r="L82" s="5">
        <v>280</v>
      </c>
    </row>
    <row r="83" spans="1:12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24">
        <v>1.75</v>
      </c>
      <c r="G83" s="4">
        <f>'Gas Water'!M86</f>
        <v>3275</v>
      </c>
      <c r="H83" s="124">
        <v>8.1999999999999993</v>
      </c>
      <c r="I83" s="2">
        <f>'Gas Water'!L86</f>
        <v>232</v>
      </c>
      <c r="J83" s="124">
        <v>14.95</v>
      </c>
      <c r="K83" s="5">
        <v>153</v>
      </c>
      <c r="L83" s="5">
        <v>266</v>
      </c>
    </row>
    <row r="84" spans="1:12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24">
        <v>1.75</v>
      </c>
      <c r="G84" s="4">
        <f>'Gas Water'!M87</f>
        <v>3319</v>
      </c>
      <c r="H84" s="124">
        <v>8.1999999999999993</v>
      </c>
      <c r="I84" s="2">
        <f>'Gas Water'!L87</f>
        <v>242</v>
      </c>
      <c r="J84" s="124">
        <v>14.95</v>
      </c>
      <c r="K84" s="5">
        <v>155</v>
      </c>
      <c r="L84" s="5">
        <v>277</v>
      </c>
    </row>
    <row r="85" spans="1:12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24">
        <v>1.75</v>
      </c>
      <c r="G85" s="4">
        <f>'Gas Water'!M88</f>
        <v>3291</v>
      </c>
      <c r="H85" s="124">
        <v>8.1999999999999993</v>
      </c>
      <c r="I85" s="2">
        <f>'Gas Water'!L88</f>
        <v>265</v>
      </c>
      <c r="J85" s="124">
        <v>14.95</v>
      </c>
      <c r="K85" s="5">
        <v>158</v>
      </c>
      <c r="L85" s="5">
        <v>286</v>
      </c>
    </row>
    <row r="86" spans="1:12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24">
        <v>1.75</v>
      </c>
      <c r="G86" s="4">
        <f>'Gas Water'!M89</f>
        <v>3310</v>
      </c>
      <c r="H86" s="124">
        <v>8.1999999999999993</v>
      </c>
      <c r="I86" s="2">
        <f>'Gas Water'!L89</f>
        <v>230</v>
      </c>
      <c r="J86" s="124">
        <v>14.95</v>
      </c>
      <c r="K86" s="5">
        <v>156</v>
      </c>
      <c r="L86" s="5">
        <v>302</v>
      </c>
    </row>
    <row r="87" spans="1:12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24">
        <v>1.75</v>
      </c>
      <c r="G87" s="4">
        <f>'Gas Water'!M90</f>
        <v>2968</v>
      </c>
      <c r="H87" s="124">
        <v>8.1999999999999993</v>
      </c>
      <c r="I87" s="2">
        <f>'Gas Water'!L90</f>
        <v>244</v>
      </c>
      <c r="J87" s="124">
        <v>14.95</v>
      </c>
      <c r="K87" s="5">
        <v>143</v>
      </c>
      <c r="L87" s="5">
        <v>278</v>
      </c>
    </row>
    <row r="88" spans="1:12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24">
        <v>1.75</v>
      </c>
      <c r="G88" s="4">
        <f>'Gas Water'!M91</f>
        <v>2725</v>
      </c>
      <c r="H88" s="124">
        <v>8.1999999999999993</v>
      </c>
      <c r="I88" s="2">
        <f>'Gas Water'!L91</f>
        <v>242</v>
      </c>
      <c r="J88" s="124">
        <v>14.95</v>
      </c>
      <c r="K88" s="5">
        <v>153</v>
      </c>
      <c r="L88" s="5">
        <v>280</v>
      </c>
    </row>
    <row r="89" spans="1:12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24">
        <v>1.75</v>
      </c>
      <c r="G89" s="4">
        <f>'Gas Water'!M92</f>
        <v>2444</v>
      </c>
      <c r="H89" s="124">
        <v>8.1999999999999993</v>
      </c>
      <c r="I89" s="2">
        <f>'Gas Water'!L92</f>
        <v>227</v>
      </c>
      <c r="J89" s="124">
        <v>14.95</v>
      </c>
      <c r="K89" s="5">
        <v>153</v>
      </c>
      <c r="L89" s="5">
        <v>275</v>
      </c>
    </row>
    <row r="90" spans="1:12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24">
        <v>1.75</v>
      </c>
      <c r="G90" s="4">
        <f>'Gas Water'!M93</f>
        <v>2328</v>
      </c>
      <c r="H90" s="124">
        <v>8.1999999999999993</v>
      </c>
      <c r="I90" s="2">
        <f>'Gas Water'!L93</f>
        <v>222</v>
      </c>
      <c r="J90" s="124">
        <v>14.95</v>
      </c>
      <c r="K90" s="5">
        <v>142</v>
      </c>
      <c r="L90" s="5">
        <v>269</v>
      </c>
    </row>
    <row r="91" spans="1:12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24">
        <v>1.75</v>
      </c>
      <c r="G91" s="4">
        <f>'Gas Water'!M94</f>
        <v>2279</v>
      </c>
      <c r="H91" s="124">
        <v>8.1999999999999993</v>
      </c>
      <c r="I91" s="2">
        <f>'Gas Water'!L94</f>
        <v>255</v>
      </c>
      <c r="J91" s="124">
        <v>14.95</v>
      </c>
      <c r="K91" s="5">
        <v>154</v>
      </c>
      <c r="L91" s="5">
        <v>278</v>
      </c>
    </row>
    <row r="92" spans="1:12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24">
        <v>2.06</v>
      </c>
      <c r="G92" s="4">
        <f>'Gas Water'!M95</f>
        <v>2064</v>
      </c>
      <c r="H92" s="124">
        <v>12.75</v>
      </c>
      <c r="I92" s="2">
        <f>'Gas Water'!L95</f>
        <v>244</v>
      </c>
      <c r="J92" s="124">
        <v>19.5</v>
      </c>
      <c r="K92" s="5">
        <v>167</v>
      </c>
      <c r="L92" s="5">
        <v>285</v>
      </c>
    </row>
    <row r="93" spans="1:12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24">
        <v>2.06</v>
      </c>
      <c r="G93" s="4">
        <f>'Gas Water'!M96</f>
        <v>2007</v>
      </c>
      <c r="H93" s="124">
        <v>12.75</v>
      </c>
      <c r="I93" s="2">
        <f>'Gas Water'!L96</f>
        <v>266</v>
      </c>
      <c r="J93" s="124">
        <v>19.5</v>
      </c>
      <c r="K93" s="5">
        <v>159</v>
      </c>
      <c r="L93" s="5">
        <v>276</v>
      </c>
    </row>
    <row r="94" spans="1:12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24">
        <v>2.06</v>
      </c>
      <c r="G94" s="4">
        <f>'Gas Water'!M97</f>
        <v>2300</v>
      </c>
      <c r="H94" s="124">
        <v>12.75</v>
      </c>
      <c r="I94" s="2">
        <f>'Gas Water'!L97</f>
        <v>251</v>
      </c>
      <c r="J94" s="124">
        <v>19.5</v>
      </c>
      <c r="K94" s="5">
        <v>105</v>
      </c>
      <c r="L94" s="5">
        <v>208</v>
      </c>
    </row>
    <row r="95" spans="1:12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24">
        <v>2.06</v>
      </c>
      <c r="G95" s="4">
        <f>'Gas Water'!M98</f>
        <v>2568</v>
      </c>
      <c r="H95" s="124">
        <v>12.75</v>
      </c>
      <c r="I95" s="2">
        <f>'Gas Water'!L98</f>
        <v>252</v>
      </c>
      <c r="J95" s="124">
        <v>19.5</v>
      </c>
      <c r="K95" s="5">
        <v>154</v>
      </c>
      <c r="L95" s="5">
        <v>261</v>
      </c>
    </row>
    <row r="96" spans="1:12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24">
        <v>2.06</v>
      </c>
      <c r="G96" s="4">
        <f>'Gas Water'!M99</f>
        <v>3277</v>
      </c>
      <c r="H96" s="124">
        <v>12.75</v>
      </c>
      <c r="I96" s="2">
        <f>'Gas Water'!L99</f>
        <v>230</v>
      </c>
      <c r="J96" s="124">
        <v>19.5</v>
      </c>
      <c r="K96" s="5">
        <v>158</v>
      </c>
      <c r="L96" s="5">
        <v>261</v>
      </c>
    </row>
    <row r="97" spans="1:12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24">
        <v>2.06</v>
      </c>
      <c r="G97" s="4">
        <f>'Gas Water'!M100</f>
        <v>2698</v>
      </c>
      <c r="H97" s="124">
        <v>12.75</v>
      </c>
      <c r="I97" s="2">
        <f>'Gas Water'!L100</f>
        <v>233</v>
      </c>
      <c r="J97" s="124">
        <v>19.5</v>
      </c>
      <c r="K97" s="5">
        <v>163</v>
      </c>
      <c r="L97" s="5">
        <v>268</v>
      </c>
    </row>
    <row r="98" spans="1:12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24">
        <v>2.06</v>
      </c>
      <c r="G98" s="4">
        <f>'Gas Water'!M101</f>
        <v>2485</v>
      </c>
      <c r="H98" s="124">
        <v>12.75</v>
      </c>
      <c r="I98" s="2">
        <f>'Gas Water'!L101</f>
        <v>245</v>
      </c>
      <c r="J98" s="124">
        <v>19.5</v>
      </c>
      <c r="K98" s="5">
        <v>160</v>
      </c>
      <c r="L98" s="5">
        <v>272</v>
      </c>
    </row>
    <row r="99" spans="1:12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24">
        <v>2.06</v>
      </c>
      <c r="G99" s="4">
        <f>'Gas Water'!M102</f>
        <v>2430</v>
      </c>
      <c r="H99" s="124">
        <v>12.75</v>
      </c>
      <c r="I99" s="2">
        <f>'Gas Water'!L102</f>
        <v>261</v>
      </c>
      <c r="J99" s="124">
        <v>19.5</v>
      </c>
      <c r="K99" s="5">
        <v>139</v>
      </c>
      <c r="L99" s="5">
        <v>275</v>
      </c>
    </row>
    <row r="100" spans="1:12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24">
        <v>2.06</v>
      </c>
      <c r="G100" s="4">
        <f>'Gas Water'!M103</f>
        <v>2032</v>
      </c>
      <c r="H100" s="124">
        <v>12.75</v>
      </c>
      <c r="I100" s="2">
        <f>'Gas Water'!L103</f>
        <v>230</v>
      </c>
      <c r="J100" s="124">
        <v>19.5</v>
      </c>
      <c r="K100" s="5">
        <v>159</v>
      </c>
      <c r="L100" s="5">
        <v>317</v>
      </c>
    </row>
    <row r="101" spans="1:12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24">
        <v>2.06</v>
      </c>
      <c r="G101" s="4">
        <f>'Gas Water'!M104</f>
        <v>2170</v>
      </c>
      <c r="H101" s="124">
        <v>12.75</v>
      </c>
      <c r="I101" s="2">
        <f>'Gas Water'!L104</f>
        <v>340</v>
      </c>
      <c r="J101" s="124">
        <v>19.5</v>
      </c>
      <c r="K101" s="5">
        <v>153</v>
      </c>
      <c r="L101" s="5">
        <v>301</v>
      </c>
    </row>
    <row r="102" spans="1:12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24">
        <v>2.06</v>
      </c>
      <c r="G102" s="4">
        <f>'Gas Water'!M105</f>
        <v>2830</v>
      </c>
      <c r="H102" s="124">
        <v>12.75</v>
      </c>
      <c r="I102" s="2">
        <f>'Gas Water'!L105</f>
        <v>252</v>
      </c>
      <c r="J102" s="124">
        <v>19.5</v>
      </c>
      <c r="K102" s="5">
        <v>143</v>
      </c>
      <c r="L102" s="5">
        <v>279</v>
      </c>
    </row>
    <row r="103" spans="1:12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24">
        <v>2.06</v>
      </c>
      <c r="G103" s="4">
        <f>'Gas Water'!M106</f>
        <v>2935</v>
      </c>
      <c r="H103" s="124">
        <v>12.75</v>
      </c>
      <c r="I103" s="2">
        <f>'Gas Water'!L106</f>
        <v>255</v>
      </c>
      <c r="J103" s="124">
        <v>19.5</v>
      </c>
      <c r="K103" s="5">
        <v>132</v>
      </c>
      <c r="L103" s="5">
        <v>256</v>
      </c>
    </row>
    <row r="104" spans="1:12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24">
        <v>2.06</v>
      </c>
      <c r="G104" s="4">
        <f>'Gas Water'!M107</f>
        <v>2896</v>
      </c>
      <c r="H104" s="124">
        <v>12.75</v>
      </c>
      <c r="I104" s="2">
        <f>'Gas Water'!L107</f>
        <v>235</v>
      </c>
      <c r="J104" s="124">
        <v>19.5</v>
      </c>
      <c r="K104" s="5">
        <v>132</v>
      </c>
      <c r="L104" s="5">
        <v>256</v>
      </c>
    </row>
    <row r="105" spans="1:12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24">
        <v>2.06</v>
      </c>
      <c r="G105" s="4">
        <f>'Gas Water'!M108</f>
        <v>2603</v>
      </c>
      <c r="H105" s="124">
        <v>12.75</v>
      </c>
      <c r="I105" s="2">
        <f>'Gas Water'!L108</f>
        <v>222</v>
      </c>
      <c r="J105" s="124">
        <v>19.5</v>
      </c>
      <c r="K105" s="5">
        <v>148</v>
      </c>
      <c r="L105" s="5">
        <v>286</v>
      </c>
    </row>
    <row r="106" spans="1:12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24">
        <v>2.06</v>
      </c>
      <c r="G106" s="4">
        <f>'Gas Water'!M109</f>
        <v>2147</v>
      </c>
      <c r="H106" s="124">
        <v>12.75</v>
      </c>
      <c r="I106" s="2">
        <f>'Gas Water'!L109</f>
        <v>279</v>
      </c>
      <c r="J106" s="124">
        <v>19.5</v>
      </c>
      <c r="K106" s="5">
        <v>152</v>
      </c>
      <c r="L106" s="5">
        <v>296</v>
      </c>
    </row>
    <row r="107" spans="1:12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24">
        <v>2.06</v>
      </c>
      <c r="G107" s="4">
        <f>'Gas Water'!M110</f>
        <v>2154</v>
      </c>
      <c r="H107" s="124">
        <v>12.75</v>
      </c>
      <c r="I107" s="2">
        <f>'Gas Water'!L110</f>
        <v>279</v>
      </c>
      <c r="J107" s="124">
        <v>19.5</v>
      </c>
      <c r="K107" s="5">
        <v>152</v>
      </c>
      <c r="L107" s="5">
        <v>297</v>
      </c>
    </row>
    <row r="108" spans="1:12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24">
        <v>2.06</v>
      </c>
      <c r="G108" s="4">
        <f>'Gas Water'!M111</f>
        <v>2619</v>
      </c>
      <c r="H108" s="124">
        <v>12.75</v>
      </c>
      <c r="I108" s="2">
        <f>'Gas Water'!L111</f>
        <v>277</v>
      </c>
      <c r="J108" s="124">
        <v>19.5</v>
      </c>
      <c r="K108" s="5">
        <v>133</v>
      </c>
      <c r="L108" s="5">
        <v>251</v>
      </c>
    </row>
    <row r="109" spans="1:12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24">
        <v>2.06</v>
      </c>
      <c r="G109" s="4">
        <f>'Gas Water'!M112</f>
        <v>2957</v>
      </c>
      <c r="H109" s="124">
        <v>12.75</v>
      </c>
      <c r="I109" s="2">
        <f>'Gas Water'!L112</f>
        <v>249</v>
      </c>
      <c r="J109" s="124">
        <v>19.5</v>
      </c>
      <c r="K109" s="5">
        <v>111</v>
      </c>
      <c r="L109" s="5">
        <v>198</v>
      </c>
    </row>
    <row r="110" spans="1:12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24">
        <v>2.06</v>
      </c>
      <c r="G110" s="4">
        <f>'Gas Water'!M113</f>
        <v>3171</v>
      </c>
      <c r="H110" s="124">
        <v>12.75</v>
      </c>
      <c r="I110" s="2">
        <f>'Gas Water'!L113</f>
        <v>214</v>
      </c>
      <c r="J110" s="124">
        <v>19.5</v>
      </c>
      <c r="K110" s="5">
        <v>94</v>
      </c>
      <c r="L110" s="5">
        <v>167</v>
      </c>
    </row>
    <row r="111" spans="1:12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24">
        <v>2.06</v>
      </c>
      <c r="G111" s="4">
        <f>'Gas Water'!M114</f>
        <v>2680</v>
      </c>
      <c r="H111" s="124">
        <v>12.75</v>
      </c>
      <c r="I111" s="2">
        <f>'Gas Water'!L114</f>
        <v>224</v>
      </c>
      <c r="J111" s="124">
        <v>19.5</v>
      </c>
      <c r="K111" s="5">
        <v>156</v>
      </c>
      <c r="L111" s="5">
        <v>269</v>
      </c>
    </row>
    <row r="112" spans="1:12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24">
        <v>2.06</v>
      </c>
      <c r="G112" s="4">
        <f>'Gas Water'!M115</f>
        <v>2541</v>
      </c>
      <c r="H112" s="124">
        <v>12.75</v>
      </c>
      <c r="I112" s="2">
        <f>'Gas Water'!L115</f>
        <v>232</v>
      </c>
      <c r="J112" s="124">
        <v>19.5</v>
      </c>
      <c r="K112" s="5">
        <v>144</v>
      </c>
      <c r="L112" s="5">
        <v>257</v>
      </c>
    </row>
    <row r="113" spans="1:12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24">
        <v>2.06</v>
      </c>
      <c r="G113" s="4">
        <f>'Gas Water'!M116</f>
        <v>2044</v>
      </c>
      <c r="H113" s="124">
        <v>12.75</v>
      </c>
      <c r="I113" s="2">
        <f>'Gas Water'!L116</f>
        <v>391</v>
      </c>
      <c r="J113" s="124">
        <v>19.5</v>
      </c>
      <c r="K113" s="5">
        <v>156</v>
      </c>
      <c r="L113" s="5">
        <v>301</v>
      </c>
    </row>
    <row r="114" spans="1:12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24">
        <v>2.06</v>
      </c>
      <c r="G114" s="4">
        <f>'Gas Water'!M117</f>
        <v>1974</v>
      </c>
      <c r="H114" s="124">
        <v>12.75</v>
      </c>
      <c r="I114" s="2">
        <f>'Gas Water'!L117</f>
        <v>461</v>
      </c>
      <c r="J114" s="124">
        <v>19.5</v>
      </c>
      <c r="K114" s="5">
        <v>113</v>
      </c>
      <c r="L114" s="5">
        <v>219</v>
      </c>
    </row>
    <row r="115" spans="1:12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24">
        <v>2.06</v>
      </c>
      <c r="G115" s="4">
        <f>'Gas Water'!M118</f>
        <v>1774</v>
      </c>
      <c r="H115" s="124">
        <v>12.75</v>
      </c>
      <c r="I115" s="2">
        <f>'Gas Water'!L118</f>
        <v>246</v>
      </c>
      <c r="J115" s="124">
        <v>19.5</v>
      </c>
      <c r="K115" s="5">
        <v>134</v>
      </c>
      <c r="L115" s="5">
        <v>253</v>
      </c>
    </row>
    <row r="116" spans="1:12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24">
        <v>2.06</v>
      </c>
      <c r="G116" s="4">
        <f>'Gas Water'!M119</f>
        <v>2089</v>
      </c>
      <c r="H116" s="124">
        <v>12.75</v>
      </c>
      <c r="I116" s="2">
        <f>'Gas Water'!L119</f>
        <v>278</v>
      </c>
      <c r="J116" s="124">
        <v>19.5</v>
      </c>
      <c r="K116" s="5">
        <v>132</v>
      </c>
      <c r="L116" s="5">
        <v>250</v>
      </c>
    </row>
    <row r="117" spans="1:12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24">
        <v>2.06</v>
      </c>
      <c r="G117" s="4">
        <f>'Gas Water'!M120</f>
        <v>1947</v>
      </c>
      <c r="H117" s="124">
        <v>12.75</v>
      </c>
      <c r="I117" s="2">
        <f>'Gas Water'!L120</f>
        <v>268</v>
      </c>
      <c r="J117" s="124">
        <v>19.5</v>
      </c>
      <c r="K117" s="5">
        <v>149</v>
      </c>
      <c r="L117" s="5">
        <v>265</v>
      </c>
    </row>
    <row r="118" spans="1:12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24">
        <v>2.06</v>
      </c>
      <c r="G118" s="4">
        <f>'Gas Water'!M121</f>
        <v>1881</v>
      </c>
      <c r="H118" s="124">
        <v>12.75</v>
      </c>
      <c r="I118" s="2">
        <f>'Gas Water'!L121</f>
        <v>267</v>
      </c>
      <c r="J118" s="124">
        <v>19.5</v>
      </c>
      <c r="K118" s="5">
        <v>153</v>
      </c>
      <c r="L118" s="5">
        <v>284</v>
      </c>
    </row>
    <row r="119" spans="1:12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24">
        <v>2.06</v>
      </c>
      <c r="G119" s="4">
        <f>'Gas Water'!M122</f>
        <v>1909</v>
      </c>
      <c r="H119" s="124">
        <v>12.75</v>
      </c>
      <c r="I119" s="2">
        <f>'Gas Water'!L122</f>
        <v>245</v>
      </c>
      <c r="J119" s="124">
        <v>19.5</v>
      </c>
      <c r="K119" s="5">
        <v>145</v>
      </c>
      <c r="L119" s="5">
        <v>278</v>
      </c>
    </row>
    <row r="120" spans="1:12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24">
        <v>2.06</v>
      </c>
      <c r="G120" s="4">
        <f>'Gas Water'!M123</f>
        <v>1819</v>
      </c>
      <c r="H120" s="124">
        <v>12.75</v>
      </c>
      <c r="I120" s="2">
        <f>'Gas Water'!L123</f>
        <v>280</v>
      </c>
      <c r="J120" s="124">
        <v>19.5</v>
      </c>
      <c r="K120" s="5">
        <v>160</v>
      </c>
      <c r="L120" s="5">
        <v>324</v>
      </c>
    </row>
    <row r="121" spans="1:12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24">
        <v>2.06</v>
      </c>
      <c r="G121" s="4">
        <f>'Gas Water'!M124</f>
        <v>2104</v>
      </c>
      <c r="H121" s="124">
        <v>12.75</v>
      </c>
      <c r="I121" s="2">
        <f>'Gas Water'!L124</f>
        <v>319</v>
      </c>
      <c r="J121" s="124">
        <v>19.5</v>
      </c>
      <c r="K121" s="5">
        <v>162</v>
      </c>
      <c r="L121" s="5">
        <v>325</v>
      </c>
    </row>
    <row r="122" spans="1:12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24">
        <v>2.13</v>
      </c>
      <c r="G122" s="4">
        <f>'Gas Water'!M125</f>
        <v>1935</v>
      </c>
      <c r="H122" s="124">
        <v>12.75</v>
      </c>
      <c r="I122" s="2">
        <f>'Gas Water'!L125</f>
        <v>274</v>
      </c>
      <c r="J122" s="124">
        <v>22.4</v>
      </c>
      <c r="K122" s="5">
        <v>159</v>
      </c>
      <c r="L122" s="5">
        <v>295</v>
      </c>
    </row>
    <row r="123" spans="1:12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24">
        <v>2.13</v>
      </c>
      <c r="G123" s="4">
        <f>'Gas Water'!M126</f>
        <v>2058</v>
      </c>
      <c r="H123" s="124">
        <v>12.75</v>
      </c>
      <c r="I123" s="2">
        <f>'Gas Water'!L126</f>
        <v>248</v>
      </c>
      <c r="J123" s="124">
        <v>22.4</v>
      </c>
      <c r="K123" s="5">
        <v>121</v>
      </c>
      <c r="L123" s="5">
        <v>241</v>
      </c>
    </row>
    <row r="124" spans="1:12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24">
        <v>2.13</v>
      </c>
      <c r="G124" s="4">
        <f>'Gas Water'!M127</f>
        <v>1927</v>
      </c>
      <c r="H124" s="124">
        <v>12.75</v>
      </c>
      <c r="I124" s="2">
        <f>'Gas Water'!L127</f>
        <v>328</v>
      </c>
      <c r="J124" s="124">
        <v>22.4</v>
      </c>
      <c r="K124" s="5">
        <v>149</v>
      </c>
      <c r="L124" s="5">
        <v>260</v>
      </c>
    </row>
    <row r="125" spans="1:12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24">
        <v>2.13</v>
      </c>
      <c r="G125" s="4">
        <f>'Gas Water'!M128</f>
        <v>2122</v>
      </c>
      <c r="H125" s="124">
        <v>12.75</v>
      </c>
      <c r="I125" s="2">
        <f>'Gas Water'!L128</f>
        <v>339</v>
      </c>
      <c r="J125" s="124">
        <v>22.4</v>
      </c>
      <c r="K125" s="5">
        <v>151</v>
      </c>
      <c r="L125" s="5">
        <v>257</v>
      </c>
    </row>
    <row r="126" spans="1:12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24">
        <v>2.13</v>
      </c>
      <c r="G126" s="4">
        <f>'Gas Water'!M129</f>
        <v>1993</v>
      </c>
      <c r="H126" s="124">
        <v>12.75</v>
      </c>
      <c r="I126" s="2">
        <f>'Gas Water'!L129</f>
        <v>247</v>
      </c>
      <c r="J126" s="124">
        <v>22.4</v>
      </c>
      <c r="K126" s="5">
        <v>155</v>
      </c>
      <c r="L126" s="5">
        <v>257</v>
      </c>
    </row>
    <row r="127" spans="1:12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24">
        <v>2.13</v>
      </c>
      <c r="G127" s="4">
        <f>'Gas Water'!M130</f>
        <v>1955</v>
      </c>
      <c r="H127" s="124">
        <v>12.75</v>
      </c>
      <c r="I127" s="2">
        <f>'Gas Water'!L130</f>
        <v>278</v>
      </c>
      <c r="J127" s="124">
        <v>22.4</v>
      </c>
      <c r="K127" s="5">
        <v>157</v>
      </c>
      <c r="L127" s="5">
        <v>255</v>
      </c>
    </row>
    <row r="128" spans="1:12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24">
        <v>2.13</v>
      </c>
      <c r="G128" s="4">
        <f>'Gas Water'!M131</f>
        <v>1985</v>
      </c>
      <c r="H128" s="124">
        <v>12.75</v>
      </c>
      <c r="I128" s="2">
        <f>'Gas Water'!L131</f>
        <v>278</v>
      </c>
      <c r="J128" s="124">
        <v>22.4</v>
      </c>
      <c r="K128" s="5">
        <v>155</v>
      </c>
      <c r="L128" s="5">
        <v>242</v>
      </c>
    </row>
    <row r="129" spans="1:12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24">
        <v>2.13</v>
      </c>
      <c r="G129" s="4">
        <f>'Gas Water'!M132</f>
        <v>1915</v>
      </c>
      <c r="H129" s="124">
        <v>12.75</v>
      </c>
      <c r="I129" s="2">
        <f>'Gas Water'!L132</f>
        <v>310</v>
      </c>
      <c r="J129" s="124">
        <v>22.4</v>
      </c>
      <c r="K129" s="5">
        <v>142</v>
      </c>
      <c r="L129" s="5">
        <v>207</v>
      </c>
    </row>
    <row r="130" spans="1:12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24">
        <v>2.13</v>
      </c>
      <c r="G130" s="4">
        <f>'Gas Water'!M133</f>
        <v>2269</v>
      </c>
      <c r="H130" s="124">
        <v>12.75</v>
      </c>
      <c r="I130" s="2">
        <f>'Gas Water'!L133</f>
        <v>300</v>
      </c>
      <c r="J130" s="124">
        <v>22.4</v>
      </c>
      <c r="K130" s="5">
        <v>145</v>
      </c>
      <c r="L130" s="5">
        <v>212</v>
      </c>
    </row>
    <row r="131" spans="1:12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24">
        <v>2.13</v>
      </c>
      <c r="G131" s="4">
        <f>'Gas Water'!M134</f>
        <v>2497</v>
      </c>
      <c r="H131" s="124">
        <v>12.75</v>
      </c>
      <c r="I131" s="2">
        <f>'Gas Water'!L134</f>
        <v>295</v>
      </c>
      <c r="J131" s="124">
        <v>22.4</v>
      </c>
      <c r="K131" s="5">
        <v>147</v>
      </c>
      <c r="L131" s="5">
        <v>210</v>
      </c>
    </row>
    <row r="132" spans="1:12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24">
        <v>2.13</v>
      </c>
      <c r="G132" s="4">
        <f>'Gas Water'!M135</f>
        <v>2190</v>
      </c>
      <c r="H132" s="124">
        <v>12.75</v>
      </c>
      <c r="I132" s="2">
        <f>'Gas Water'!L135</f>
        <v>377</v>
      </c>
      <c r="J132" s="124">
        <v>22.4</v>
      </c>
      <c r="K132" s="5">
        <v>158</v>
      </c>
      <c r="L132" s="5">
        <v>234</v>
      </c>
    </row>
    <row r="133" spans="1:12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24">
        <v>2.13</v>
      </c>
      <c r="G133" s="4">
        <f>'Gas Water'!M136</f>
        <v>2232</v>
      </c>
      <c r="H133" s="124">
        <v>12.75</v>
      </c>
      <c r="I133" s="2">
        <f>'Gas Water'!L136</f>
        <v>337</v>
      </c>
      <c r="J133" s="124">
        <v>22.4</v>
      </c>
      <c r="K133" s="5">
        <v>141</v>
      </c>
      <c r="L133" s="5">
        <v>222</v>
      </c>
    </row>
    <row r="134" spans="1:12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24">
        <v>2.13</v>
      </c>
      <c r="G134" s="4">
        <f>'Gas Water'!M137</f>
        <v>2099</v>
      </c>
      <c r="H134" s="124">
        <v>12.75</v>
      </c>
      <c r="I134" s="2">
        <f>'Gas Water'!L137</f>
        <v>360</v>
      </c>
      <c r="J134" s="124">
        <v>22.4</v>
      </c>
      <c r="K134" s="5">
        <v>153</v>
      </c>
      <c r="L134" s="5">
        <v>265</v>
      </c>
    </row>
    <row r="135" spans="1:12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24">
        <v>2.13</v>
      </c>
      <c r="G135" s="4">
        <f>'Gas Water'!M138</f>
        <v>2110</v>
      </c>
      <c r="H135" s="124">
        <v>12.75</v>
      </c>
      <c r="I135" s="2">
        <f>'Gas Water'!L138</f>
        <v>306</v>
      </c>
      <c r="J135" s="124">
        <v>22.4</v>
      </c>
      <c r="K135" s="5">
        <v>153</v>
      </c>
      <c r="L135" s="5">
        <v>271</v>
      </c>
    </row>
    <row r="136" spans="1:12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24">
        <v>2.13</v>
      </c>
      <c r="G136" s="4">
        <f>'Gas Water'!M139</f>
        <v>2231</v>
      </c>
      <c r="H136" s="124">
        <v>12.75</v>
      </c>
      <c r="I136" s="2">
        <f>'Gas Water'!L139</f>
        <v>307</v>
      </c>
      <c r="J136" s="124">
        <v>22.4</v>
      </c>
      <c r="K136" s="5">
        <v>129</v>
      </c>
      <c r="L136" s="5">
        <v>204</v>
      </c>
    </row>
    <row r="137" spans="1:12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24">
        <v>2.13</v>
      </c>
      <c r="G137" s="4">
        <f>'Gas Water'!M140</f>
        <v>2451</v>
      </c>
      <c r="H137" s="124">
        <v>12.75</v>
      </c>
      <c r="I137" s="2">
        <f>'Gas Water'!L140</f>
        <v>294</v>
      </c>
      <c r="J137" s="124">
        <v>22.4</v>
      </c>
      <c r="K137" s="5">
        <v>166</v>
      </c>
      <c r="L137" s="5">
        <v>248</v>
      </c>
    </row>
    <row r="138" spans="1:12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24">
        <v>2.13</v>
      </c>
      <c r="G138" s="4">
        <f>'Gas Water'!M141</f>
        <v>2329</v>
      </c>
      <c r="H138" s="124">
        <v>12.75</v>
      </c>
      <c r="I138" s="2">
        <f>'Gas Water'!L141</f>
        <v>331</v>
      </c>
      <c r="J138" s="124">
        <v>22.4</v>
      </c>
      <c r="K138" s="5">
        <v>155</v>
      </c>
      <c r="L138" s="5">
        <v>230</v>
      </c>
    </row>
    <row r="139" spans="1:12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24">
        <v>2.13</v>
      </c>
      <c r="G139" s="4">
        <f>'Gas Water'!M142</f>
        <v>2755</v>
      </c>
      <c r="H139" s="124">
        <v>12.75</v>
      </c>
      <c r="I139" s="2">
        <f>'Gas Water'!L142</f>
        <v>258</v>
      </c>
      <c r="J139" s="124">
        <v>22.4</v>
      </c>
      <c r="K139" s="5">
        <v>101</v>
      </c>
      <c r="L139" s="5">
        <v>166</v>
      </c>
    </row>
    <row r="140" spans="1:12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24">
        <v>2.13</v>
      </c>
      <c r="G140" s="4">
        <f>'Gas Water'!M143</f>
        <v>2730</v>
      </c>
      <c r="H140" s="124">
        <v>12.75</v>
      </c>
      <c r="I140" s="2">
        <f>'Gas Water'!L143</f>
        <v>227</v>
      </c>
      <c r="J140" s="124">
        <v>22.4</v>
      </c>
      <c r="K140" s="5">
        <v>162</v>
      </c>
      <c r="L140" s="5">
        <v>263</v>
      </c>
    </row>
    <row r="141" spans="1:12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24">
        <v>2.13</v>
      </c>
      <c r="G141" s="4">
        <f>'Gas Water'!M144</f>
        <v>2529</v>
      </c>
      <c r="H141" s="124">
        <v>12.75</v>
      </c>
      <c r="I141" s="2">
        <f>'Gas Water'!L144</f>
        <v>273</v>
      </c>
      <c r="J141" s="124">
        <v>22.4</v>
      </c>
      <c r="K141" s="5">
        <v>153</v>
      </c>
      <c r="L141" s="5">
        <v>253</v>
      </c>
    </row>
    <row r="142" spans="1:12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24">
        <v>2.13</v>
      </c>
      <c r="G142" s="4">
        <f>'Gas Water'!M145</f>
        <v>2425</v>
      </c>
      <c r="H142" s="124">
        <v>12.75</v>
      </c>
      <c r="I142" s="2">
        <f>'Gas Water'!L145</f>
        <v>247</v>
      </c>
      <c r="J142" s="124">
        <v>22.4</v>
      </c>
      <c r="K142" s="5">
        <v>153</v>
      </c>
      <c r="L142" s="5">
        <v>250</v>
      </c>
    </row>
    <row r="143" spans="1:12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24">
        <v>2.13</v>
      </c>
      <c r="G143" s="4">
        <f>'Gas Water'!M146</f>
        <v>2303</v>
      </c>
      <c r="H143" s="124">
        <v>12.75</v>
      </c>
      <c r="I143" s="2">
        <f>'Gas Water'!L146</f>
        <v>257</v>
      </c>
      <c r="J143" s="124">
        <v>22.4</v>
      </c>
      <c r="K143" s="5">
        <v>80</v>
      </c>
      <c r="L143" s="5">
        <v>134</v>
      </c>
    </row>
    <row r="144" spans="1:12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24">
        <v>2.13</v>
      </c>
      <c r="G144" s="4">
        <f>'Gas Water'!M147</f>
        <v>2359</v>
      </c>
      <c r="H144" s="124">
        <v>12.75</v>
      </c>
      <c r="I144" s="2">
        <f>'Gas Water'!L147</f>
        <v>288</v>
      </c>
      <c r="J144" s="124">
        <v>22.4</v>
      </c>
      <c r="K144" s="5">
        <v>121</v>
      </c>
      <c r="L144" s="5">
        <v>187</v>
      </c>
    </row>
    <row r="145" spans="1:12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24">
        <v>2.13</v>
      </c>
      <c r="G145" s="4">
        <f>'Gas Water'!M148</f>
        <v>2164</v>
      </c>
      <c r="H145" s="124">
        <v>12.75</v>
      </c>
      <c r="I145" s="2">
        <f>'Gas Water'!L148</f>
        <v>343</v>
      </c>
      <c r="J145" s="124">
        <v>22.4</v>
      </c>
      <c r="K145" s="5">
        <v>140</v>
      </c>
      <c r="L145" s="5">
        <v>233</v>
      </c>
    </row>
    <row r="146" spans="1:12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24">
        <v>2.13</v>
      </c>
      <c r="G146" s="4">
        <f>'Gas Water'!M149</f>
        <v>2276</v>
      </c>
      <c r="H146" s="124">
        <v>12.75</v>
      </c>
      <c r="I146" s="2">
        <f>'Gas Water'!L149</f>
        <v>292</v>
      </c>
      <c r="J146" s="124">
        <v>22.4</v>
      </c>
      <c r="K146" s="5">
        <v>155</v>
      </c>
      <c r="L146" s="5">
        <v>273</v>
      </c>
    </row>
    <row r="147" spans="1:12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24">
        <v>2.13</v>
      </c>
      <c r="G147" s="4">
        <f>'Gas Water'!M150</f>
        <v>2118</v>
      </c>
      <c r="H147" s="124">
        <v>12.75</v>
      </c>
      <c r="I147" s="2">
        <f>'Gas Water'!L150</f>
        <v>292</v>
      </c>
      <c r="J147" s="124">
        <v>22.4</v>
      </c>
      <c r="K147" s="5">
        <v>166</v>
      </c>
      <c r="L147" s="5">
        <v>310</v>
      </c>
    </row>
    <row r="148" spans="1:12">
      <c r="A148" s="3" t="s">
        <v>12</v>
      </c>
      <c r="B148" s="3">
        <v>27</v>
      </c>
      <c r="C148" s="3">
        <v>5</v>
      </c>
      <c r="D148" s="3">
        <v>2022</v>
      </c>
      <c r="E148" s="4">
        <f>'Electricity '!I150+'Electricity '!O150</f>
        <v>31861.439999999639</v>
      </c>
      <c r="F148" s="124">
        <v>2.13</v>
      </c>
      <c r="G148" s="4">
        <f>'Gas Water'!M151</f>
        <v>2141</v>
      </c>
      <c r="H148" s="124">
        <v>12.75</v>
      </c>
      <c r="I148" s="2">
        <f>'Gas Water'!L151</f>
        <v>354</v>
      </c>
      <c r="J148" s="124">
        <v>22.4</v>
      </c>
      <c r="K148" s="5">
        <v>164</v>
      </c>
      <c r="L148" s="5">
        <v>306</v>
      </c>
    </row>
    <row r="149" spans="1:12">
      <c r="A149" s="3" t="s">
        <v>12</v>
      </c>
      <c r="B149" s="3">
        <v>28</v>
      </c>
      <c r="C149" s="3">
        <v>5</v>
      </c>
      <c r="D149" s="3">
        <v>2022</v>
      </c>
      <c r="E149" s="4">
        <f>'Electricity '!I151+'Electricity '!O151</f>
        <v>31327.38000000003</v>
      </c>
      <c r="F149" s="124">
        <v>2.13</v>
      </c>
      <c r="G149" s="4">
        <f>'Gas Water'!M152</f>
        <v>2165</v>
      </c>
      <c r="H149" s="124">
        <v>12.75</v>
      </c>
      <c r="I149" s="2">
        <f>'Gas Water'!L152</f>
        <v>301</v>
      </c>
      <c r="J149" s="124">
        <v>22.4</v>
      </c>
      <c r="K149" s="5">
        <v>155</v>
      </c>
      <c r="L149" s="5">
        <v>285</v>
      </c>
    </row>
    <row r="150" spans="1:12">
      <c r="A150" s="3" t="s">
        <v>12</v>
      </c>
      <c r="B150" s="3">
        <v>29</v>
      </c>
      <c r="C150" s="3">
        <v>5</v>
      </c>
      <c r="D150" s="3">
        <v>2022</v>
      </c>
      <c r="E150" s="4">
        <f>'Electricity '!I152+'Electricity '!O152</f>
        <v>33997.679999999957</v>
      </c>
      <c r="F150" s="124">
        <v>2.13</v>
      </c>
      <c r="G150" s="4">
        <f>'Gas Water'!M153</f>
        <v>2038</v>
      </c>
      <c r="H150" s="124">
        <v>12.75</v>
      </c>
      <c r="I150" s="2">
        <f>'Gas Water'!L153</f>
        <v>298</v>
      </c>
      <c r="J150" s="124">
        <v>22.4</v>
      </c>
      <c r="K150" s="5">
        <v>136</v>
      </c>
      <c r="L150" s="5">
        <v>226</v>
      </c>
    </row>
    <row r="151" spans="1:12">
      <c r="A151" s="3" t="s">
        <v>12</v>
      </c>
      <c r="B151" s="3">
        <v>30</v>
      </c>
      <c r="C151" s="3">
        <v>5</v>
      </c>
      <c r="D151" s="3">
        <v>2022</v>
      </c>
      <c r="E151" s="4">
        <f>'Electricity '!I153+'Electricity '!O153</f>
        <v>35119.620000000723</v>
      </c>
      <c r="F151" s="124">
        <v>2.13</v>
      </c>
      <c r="G151" s="4">
        <f>'Gas Water'!M154</f>
        <v>2065</v>
      </c>
      <c r="H151" s="124">
        <v>12.75</v>
      </c>
      <c r="I151" s="2">
        <f>'Gas Water'!L154</f>
        <v>299</v>
      </c>
      <c r="J151" s="124">
        <v>22.4</v>
      </c>
      <c r="K151" s="5">
        <v>147</v>
      </c>
      <c r="L151" s="5">
        <v>240</v>
      </c>
    </row>
    <row r="152" spans="1:12">
      <c r="A152" s="3" t="s">
        <v>12</v>
      </c>
      <c r="B152" s="3">
        <v>31</v>
      </c>
      <c r="C152" s="3">
        <v>5</v>
      </c>
      <c r="D152" s="3">
        <v>2022</v>
      </c>
      <c r="E152" s="4">
        <f>'Electricity '!I154+'Electricity '!O154</f>
        <v>36055.259999999311</v>
      </c>
      <c r="F152" s="124">
        <v>2.13</v>
      </c>
      <c r="G152" s="4">
        <f>'Gas Water'!M155</f>
        <v>2056</v>
      </c>
      <c r="H152" s="124">
        <v>12.75</v>
      </c>
      <c r="I152" s="2">
        <f>'Gas Water'!L155</f>
        <v>375</v>
      </c>
      <c r="J152" s="124">
        <v>22.4</v>
      </c>
      <c r="K152" s="5">
        <v>116</v>
      </c>
      <c r="L152" s="5">
        <v>194</v>
      </c>
    </row>
    <row r="153" spans="1:12">
      <c r="A153" s="3" t="s">
        <v>12</v>
      </c>
      <c r="B153" s="3">
        <v>1</v>
      </c>
      <c r="C153" s="3">
        <v>6</v>
      </c>
      <c r="D153" s="3">
        <v>2022</v>
      </c>
      <c r="E153" s="4">
        <f>'Electricity '!I155+'Electricity '!O155</f>
        <v>36212.580000001239</v>
      </c>
      <c r="F153" s="124">
        <v>2.7</v>
      </c>
      <c r="G153" s="4">
        <f>'Gas Water'!M156</f>
        <v>2104</v>
      </c>
      <c r="H153" s="124">
        <v>13.68</v>
      </c>
      <c r="I153" s="2">
        <f>'Gas Water'!L156</f>
        <v>357</v>
      </c>
      <c r="J153" s="124">
        <v>22.4</v>
      </c>
      <c r="K153" s="5">
        <v>137</v>
      </c>
      <c r="L153" s="5">
        <v>235</v>
      </c>
    </row>
    <row r="154" spans="1:12">
      <c r="A154" s="3" t="s">
        <v>12</v>
      </c>
      <c r="B154" s="3">
        <v>2</v>
      </c>
      <c r="C154" s="3">
        <v>6</v>
      </c>
      <c r="D154" s="3">
        <v>2022</v>
      </c>
      <c r="E154" s="4">
        <f>'Electricity '!I156+'Electricity '!O156</f>
        <v>33053.759999999682</v>
      </c>
      <c r="F154" s="124">
        <v>2.7</v>
      </c>
      <c r="G154" s="4">
        <f>'Gas Water'!M157</f>
        <v>2090</v>
      </c>
      <c r="H154" s="124">
        <v>13.68</v>
      </c>
      <c r="I154" s="2">
        <f>'Gas Water'!L157</f>
        <v>334</v>
      </c>
      <c r="J154" s="124">
        <v>22.4</v>
      </c>
      <c r="K154" s="5">
        <v>159</v>
      </c>
      <c r="L154" s="5">
        <v>275</v>
      </c>
    </row>
    <row r="155" spans="1:12">
      <c r="A155" s="3" t="s">
        <v>12</v>
      </c>
      <c r="B155" s="3">
        <v>3</v>
      </c>
      <c r="C155" s="3">
        <v>6</v>
      </c>
      <c r="D155" s="3">
        <v>2022</v>
      </c>
      <c r="E155" s="4">
        <f>'Electricity '!I157+'Electricity '!O157</f>
        <v>37624.319999998916</v>
      </c>
      <c r="F155" s="124">
        <v>2.7</v>
      </c>
      <c r="G155" s="4">
        <f>'Gas Water'!M158</f>
        <v>2199</v>
      </c>
      <c r="H155" s="124">
        <v>13.68</v>
      </c>
      <c r="I155" s="2">
        <f>'Gas Water'!L158</f>
        <v>357</v>
      </c>
      <c r="J155" s="124">
        <v>22.4</v>
      </c>
      <c r="K155" s="5">
        <v>155</v>
      </c>
      <c r="L155" s="5">
        <v>284</v>
      </c>
    </row>
    <row r="156" spans="1:12">
      <c r="A156" s="3" t="s">
        <v>12</v>
      </c>
      <c r="B156" s="3">
        <v>4</v>
      </c>
      <c r="C156" s="3">
        <v>6</v>
      </c>
      <c r="D156" s="3">
        <v>2022</v>
      </c>
      <c r="E156" s="4">
        <f>'Electricity '!I158+'Electricity '!O158</f>
        <v>36928.800000000301</v>
      </c>
      <c r="F156" s="124">
        <v>2.7</v>
      </c>
      <c r="G156" s="4">
        <f>'Gas Water'!M159</f>
        <v>1989</v>
      </c>
      <c r="H156" s="124">
        <v>13.68</v>
      </c>
      <c r="I156" s="2">
        <f>'Gas Water'!L159</f>
        <v>310</v>
      </c>
      <c r="J156" s="124">
        <v>22.4</v>
      </c>
      <c r="K156" s="5">
        <v>157</v>
      </c>
      <c r="L156" s="5">
        <v>291</v>
      </c>
    </row>
    <row r="157" spans="1:12">
      <c r="A157" s="3" t="s">
        <v>12</v>
      </c>
      <c r="B157" s="3">
        <v>5</v>
      </c>
      <c r="C157" s="3">
        <v>6</v>
      </c>
      <c r="D157" s="3">
        <v>2022</v>
      </c>
      <c r="E157" s="4">
        <f>'Electricity '!I159+'Electricity '!O159</f>
        <v>33310.43999999926</v>
      </c>
      <c r="F157" s="124">
        <v>2.7</v>
      </c>
      <c r="G157" s="4">
        <f>'Gas Water'!M160</f>
        <v>1883</v>
      </c>
      <c r="H157" s="124">
        <v>13.68</v>
      </c>
      <c r="I157" s="2">
        <f>'Gas Water'!L160</f>
        <v>325</v>
      </c>
      <c r="J157" s="124">
        <v>22.4</v>
      </c>
      <c r="K157" s="5">
        <v>126</v>
      </c>
      <c r="L157" s="5">
        <v>223</v>
      </c>
    </row>
    <row r="158" spans="1:12">
      <c r="A158" s="3" t="s">
        <v>12</v>
      </c>
      <c r="B158" s="3">
        <v>6</v>
      </c>
      <c r="C158" s="3">
        <v>6</v>
      </c>
      <c r="D158" s="3">
        <v>2022</v>
      </c>
      <c r="E158" s="4">
        <f>'Electricity '!I160+'Electricity '!O160</f>
        <v>33662.340000001292</v>
      </c>
      <c r="F158" s="124">
        <v>2.7</v>
      </c>
      <c r="G158" s="4">
        <f>'Gas Water'!M161</f>
        <v>2207</v>
      </c>
      <c r="H158" s="124">
        <v>13.68</v>
      </c>
      <c r="I158" s="2">
        <f>'Gas Water'!L161</f>
        <v>359</v>
      </c>
      <c r="J158" s="124">
        <v>22.4</v>
      </c>
      <c r="K158" s="5">
        <v>147</v>
      </c>
      <c r="L158" s="5">
        <v>261</v>
      </c>
    </row>
    <row r="159" spans="1:12">
      <c r="A159" s="3" t="s">
        <v>12</v>
      </c>
      <c r="B159" s="3">
        <v>7</v>
      </c>
      <c r="C159" s="3">
        <v>6</v>
      </c>
      <c r="D159" s="3">
        <v>2022</v>
      </c>
      <c r="E159" s="4">
        <f>'Electricity '!I161+'Electricity '!O161</f>
        <v>32441.039999999113</v>
      </c>
      <c r="F159" s="124">
        <v>2.7</v>
      </c>
      <c r="G159" s="4">
        <f>'Gas Water'!M162</f>
        <v>2211</v>
      </c>
      <c r="H159" s="124">
        <v>13.68</v>
      </c>
      <c r="I159" s="2">
        <f>'Gas Water'!L162</f>
        <v>348</v>
      </c>
      <c r="J159" s="124">
        <v>22.4</v>
      </c>
      <c r="K159" s="5">
        <v>149</v>
      </c>
      <c r="L159" s="5">
        <v>286</v>
      </c>
    </row>
    <row r="160" spans="1:12">
      <c r="A160" s="3" t="s">
        <v>12</v>
      </c>
      <c r="B160" s="3">
        <v>8</v>
      </c>
      <c r="C160" s="3">
        <v>6</v>
      </c>
      <c r="D160" s="3">
        <v>2022</v>
      </c>
      <c r="E160" s="4">
        <f>'Electricity '!I162+'Electricity '!O162</f>
        <v>31691.700000000827</v>
      </c>
      <c r="F160" s="124">
        <v>2.7</v>
      </c>
      <c r="G160" s="4">
        <f>'Gas Water'!M163</f>
        <v>1972</v>
      </c>
      <c r="H160" s="124">
        <v>13.68</v>
      </c>
      <c r="I160" s="2">
        <f>'Gas Water'!L163</f>
        <v>312</v>
      </c>
      <c r="J160" s="124">
        <v>22.4</v>
      </c>
      <c r="K160" s="5">
        <v>134</v>
      </c>
      <c r="L160" s="5">
        <v>243</v>
      </c>
    </row>
    <row r="161" spans="1:12">
      <c r="A161" s="3" t="s">
        <v>12</v>
      </c>
      <c r="B161" s="3">
        <v>9</v>
      </c>
      <c r="C161" s="3">
        <v>6</v>
      </c>
      <c r="D161" s="3">
        <v>2022</v>
      </c>
      <c r="E161" s="4">
        <f>'Electricity '!I163+'Electricity '!O163</f>
        <v>35674.379999998899</v>
      </c>
      <c r="F161" s="124">
        <v>2.7</v>
      </c>
      <c r="G161" s="4">
        <f>'Gas Water'!M164</f>
        <v>2167</v>
      </c>
      <c r="H161" s="124">
        <v>13.68</v>
      </c>
      <c r="I161" s="2">
        <f>'Gas Water'!L164</f>
        <v>340</v>
      </c>
      <c r="J161" s="124">
        <v>22.4</v>
      </c>
      <c r="K161" s="5">
        <v>135</v>
      </c>
      <c r="L161" s="5">
        <v>272</v>
      </c>
    </row>
    <row r="162" spans="1:12">
      <c r="A162" s="3" t="s">
        <v>12</v>
      </c>
      <c r="B162" s="3">
        <v>10</v>
      </c>
      <c r="C162" s="3">
        <v>6</v>
      </c>
      <c r="D162" s="3">
        <v>2022</v>
      </c>
      <c r="E162" s="4">
        <f>'Electricity '!I164+'Electricity '!O164</f>
        <v>33298.020000000499</v>
      </c>
      <c r="F162" s="124">
        <v>2.7</v>
      </c>
      <c r="G162" s="4">
        <f>'Gas Water'!M165</f>
        <v>1791</v>
      </c>
      <c r="H162" s="124">
        <v>13.68</v>
      </c>
      <c r="I162" s="2">
        <f>'Gas Water'!L165</f>
        <v>305</v>
      </c>
      <c r="J162" s="124">
        <v>22.4</v>
      </c>
      <c r="K162" s="5">
        <v>143</v>
      </c>
      <c r="L162" s="5">
        <v>292</v>
      </c>
    </row>
    <row r="163" spans="1:12">
      <c r="A163" s="3" t="s">
        <v>12</v>
      </c>
      <c r="B163" s="3">
        <v>11</v>
      </c>
      <c r="C163" s="3">
        <v>6</v>
      </c>
      <c r="D163" s="3">
        <v>2022</v>
      </c>
      <c r="E163" s="4">
        <f>'Electricity '!I165+'Electricity '!O165</f>
        <v>33161.400000000904</v>
      </c>
      <c r="F163" s="124">
        <v>2.7</v>
      </c>
      <c r="G163" s="4">
        <f>'Gas Water'!M166</f>
        <v>2018</v>
      </c>
      <c r="H163" s="124">
        <v>13.68</v>
      </c>
      <c r="I163" s="2">
        <f>'Gas Water'!L166</f>
        <v>279</v>
      </c>
      <c r="J163" s="124">
        <v>22.4</v>
      </c>
      <c r="K163" s="5">
        <v>153</v>
      </c>
      <c r="L163" s="5">
        <v>311</v>
      </c>
    </row>
    <row r="164" spans="1:12">
      <c r="A164" s="3" t="s">
        <v>12</v>
      </c>
      <c r="B164" s="3">
        <v>12</v>
      </c>
      <c r="C164" s="3">
        <v>6</v>
      </c>
      <c r="D164" s="3">
        <v>2022</v>
      </c>
      <c r="E164" s="4">
        <f>'Electricity '!I166+'Electricity '!O166</f>
        <v>32085</v>
      </c>
      <c r="F164" s="124">
        <v>2.7</v>
      </c>
      <c r="G164" s="4">
        <f>'Gas Water'!M167</f>
        <v>1875</v>
      </c>
      <c r="H164" s="124">
        <v>13.68</v>
      </c>
      <c r="I164" s="2">
        <f>'Gas Water'!L167</f>
        <v>294</v>
      </c>
      <c r="J164" s="124">
        <v>22.4</v>
      </c>
      <c r="K164" s="5">
        <v>147</v>
      </c>
      <c r="L164" s="5">
        <v>273</v>
      </c>
    </row>
    <row r="165" spans="1:12">
      <c r="A165" s="3" t="s">
        <v>12</v>
      </c>
      <c r="B165" s="3">
        <v>13</v>
      </c>
      <c r="C165" s="3">
        <v>6</v>
      </c>
      <c r="D165" s="3">
        <v>2022</v>
      </c>
      <c r="E165" s="4">
        <f>'Electricity '!I167+'Electricity '!O167</f>
        <v>36382.320000000043</v>
      </c>
      <c r="F165" s="124">
        <v>2.7</v>
      </c>
      <c r="G165" s="4">
        <f>'Gas Water'!M168</f>
        <v>1967</v>
      </c>
      <c r="H165" s="124">
        <v>13.68</v>
      </c>
      <c r="I165" s="2">
        <f>'Gas Water'!L168</f>
        <v>271</v>
      </c>
      <c r="J165" s="124">
        <v>22.4</v>
      </c>
      <c r="K165" s="5">
        <v>145</v>
      </c>
      <c r="L165" s="5">
        <v>261</v>
      </c>
    </row>
    <row r="166" spans="1:12">
      <c r="A166" s="3" t="s">
        <v>12</v>
      </c>
      <c r="B166" s="3">
        <v>14</v>
      </c>
      <c r="C166" s="3">
        <v>6</v>
      </c>
      <c r="D166" s="3">
        <v>2022</v>
      </c>
      <c r="E166" s="4">
        <f>'Electricity '!I168+'Electricity '!O168</f>
        <v>33405.659999999836</v>
      </c>
      <c r="F166" s="124">
        <v>2.7</v>
      </c>
      <c r="G166" s="4">
        <f>'Gas Water'!M169</f>
        <v>1704</v>
      </c>
      <c r="H166" s="124">
        <v>13.68</v>
      </c>
      <c r="I166" s="2">
        <f>'Gas Water'!L169</f>
        <v>271</v>
      </c>
      <c r="J166" s="124">
        <v>22.4</v>
      </c>
      <c r="K166" s="5">
        <v>138</v>
      </c>
      <c r="L166" s="5">
        <v>249</v>
      </c>
    </row>
    <row r="167" spans="1:12">
      <c r="A167" s="3" t="s">
        <v>12</v>
      </c>
      <c r="B167" s="3">
        <v>15</v>
      </c>
      <c r="C167" s="3">
        <v>6</v>
      </c>
      <c r="D167" s="3">
        <v>2022</v>
      </c>
      <c r="E167" s="4">
        <f>'Electricity '!I169+'Electricity '!O169</f>
        <v>31832.459999999381</v>
      </c>
      <c r="F167" s="124">
        <v>2.7</v>
      </c>
      <c r="G167" s="4">
        <f>'Gas Water'!M170</f>
        <v>1988</v>
      </c>
      <c r="H167" s="124">
        <v>13.68</v>
      </c>
      <c r="I167" s="2">
        <f>'Gas Water'!L170</f>
        <v>307</v>
      </c>
      <c r="J167" s="124">
        <v>22.4</v>
      </c>
      <c r="K167" s="5">
        <v>119</v>
      </c>
      <c r="L167" s="5">
        <v>235</v>
      </c>
    </row>
    <row r="168" spans="1:12">
      <c r="A168" s="3" t="s">
        <v>12</v>
      </c>
      <c r="B168" s="3">
        <v>16</v>
      </c>
      <c r="C168" s="3">
        <v>6</v>
      </c>
      <c r="D168" s="3">
        <v>2022</v>
      </c>
      <c r="E168" s="4">
        <f>'Electricity '!I170+'Electricity '!O170</f>
        <v>32908.860000000284</v>
      </c>
      <c r="F168" s="124">
        <v>2.7</v>
      </c>
      <c r="G168" s="4">
        <f>'Gas Water'!M171</f>
        <v>1889</v>
      </c>
      <c r="H168" s="124">
        <v>13.68</v>
      </c>
      <c r="I168" s="2">
        <f>'Gas Water'!L171</f>
        <v>327</v>
      </c>
      <c r="J168" s="124">
        <v>22.4</v>
      </c>
      <c r="K168" s="5">
        <v>118</v>
      </c>
      <c r="L168" s="5">
        <v>203</v>
      </c>
    </row>
    <row r="169" spans="1:12">
      <c r="A169" s="3" t="s">
        <v>12</v>
      </c>
      <c r="B169" s="3">
        <v>17</v>
      </c>
      <c r="C169" s="3">
        <v>6</v>
      </c>
      <c r="D169" s="3">
        <v>2022</v>
      </c>
      <c r="E169" s="4">
        <f>'Electricity '!I171+'Electricity '!O171</f>
        <v>30561.480000000258</v>
      </c>
      <c r="F169" s="124">
        <v>2.7</v>
      </c>
      <c r="G169" s="4">
        <f>'Gas Water'!M172</f>
        <v>2461</v>
      </c>
      <c r="H169" s="124">
        <v>13.68</v>
      </c>
      <c r="I169" s="2">
        <f>'Gas Water'!L172</f>
        <v>378</v>
      </c>
      <c r="J169" s="124">
        <v>22.4</v>
      </c>
      <c r="K169" s="5">
        <v>145</v>
      </c>
      <c r="L169" s="5">
        <v>245</v>
      </c>
    </row>
    <row r="170" spans="1:12">
      <c r="A170" s="3" t="s">
        <v>12</v>
      </c>
      <c r="B170" s="3">
        <v>18</v>
      </c>
      <c r="C170" s="3">
        <v>6</v>
      </c>
      <c r="D170" s="3">
        <v>2022</v>
      </c>
      <c r="E170" s="4">
        <f>'Electricity '!I172+'Electricity '!O172</f>
        <v>35368.020000000499</v>
      </c>
      <c r="F170" s="124">
        <v>2.7</v>
      </c>
      <c r="G170" s="4">
        <f>'Gas Water'!M173</f>
        <v>1893</v>
      </c>
      <c r="H170" s="124">
        <v>13.68</v>
      </c>
      <c r="I170" s="2">
        <f>'Gas Water'!L173</f>
        <v>313</v>
      </c>
      <c r="J170" s="124">
        <v>22.4</v>
      </c>
      <c r="K170" s="5">
        <v>161</v>
      </c>
      <c r="L170" s="5">
        <v>288</v>
      </c>
    </row>
    <row r="171" spans="1:12">
      <c r="A171" s="3" t="s">
        <v>12</v>
      </c>
      <c r="B171" s="3">
        <v>19</v>
      </c>
      <c r="C171" s="3">
        <v>6</v>
      </c>
      <c r="D171" s="3">
        <v>2022</v>
      </c>
      <c r="E171" s="4">
        <f>'Electricity '!I173+'Electricity '!O173</f>
        <v>33264.899999999398</v>
      </c>
      <c r="F171" s="124">
        <v>2.7</v>
      </c>
      <c r="G171" s="4">
        <f>'Gas Water'!M174</f>
        <v>1983</v>
      </c>
      <c r="H171" s="124">
        <v>13.68</v>
      </c>
      <c r="I171" s="2">
        <f>'Gas Water'!L174</f>
        <v>319</v>
      </c>
      <c r="J171" s="124">
        <v>22.4</v>
      </c>
      <c r="K171" s="5">
        <v>145</v>
      </c>
      <c r="L171" s="5">
        <v>253</v>
      </c>
    </row>
    <row r="172" spans="1:12">
      <c r="A172" s="3" t="s">
        <v>12</v>
      </c>
      <c r="B172" s="3">
        <v>20</v>
      </c>
      <c r="C172" s="3">
        <v>6</v>
      </c>
      <c r="D172" s="3">
        <v>2022</v>
      </c>
      <c r="E172" s="4">
        <f>'Electricity '!I174+'Electricity '!O174</f>
        <v>33418.080000000482</v>
      </c>
      <c r="F172" s="124">
        <v>2.7</v>
      </c>
      <c r="G172" s="4">
        <f>'Gas Water'!M175</f>
        <v>1814</v>
      </c>
      <c r="H172" s="124">
        <v>13.68</v>
      </c>
      <c r="I172" s="2">
        <f>'Gas Water'!L175</f>
        <v>294</v>
      </c>
      <c r="J172" s="124">
        <v>22.4</v>
      </c>
      <c r="K172" s="5">
        <v>156</v>
      </c>
      <c r="L172" s="5">
        <v>267</v>
      </c>
    </row>
    <row r="173" spans="1:12">
      <c r="A173" s="3" t="s">
        <v>12</v>
      </c>
      <c r="B173" s="3">
        <v>21</v>
      </c>
      <c r="C173" s="3">
        <v>6</v>
      </c>
      <c r="D173" s="3">
        <v>2022</v>
      </c>
      <c r="E173" s="4">
        <f>'Electricity '!I175+'Electricity '!O175</f>
        <v>33562.97999999988</v>
      </c>
      <c r="F173" s="124">
        <v>2.7</v>
      </c>
      <c r="G173" s="4">
        <f>'Gas Water'!M176</f>
        <v>1915</v>
      </c>
      <c r="H173" s="124">
        <v>13.68</v>
      </c>
      <c r="I173" s="2">
        <f>'Gas Water'!L176</f>
        <v>287</v>
      </c>
      <c r="J173" s="124">
        <v>22.4</v>
      </c>
      <c r="K173" s="5">
        <v>157</v>
      </c>
      <c r="L173" s="5">
        <v>266</v>
      </c>
    </row>
    <row r="174" spans="1:12">
      <c r="A174" s="3" t="s">
        <v>12</v>
      </c>
      <c r="B174" s="3">
        <v>22</v>
      </c>
      <c r="C174" s="3">
        <v>6</v>
      </c>
      <c r="D174" s="3">
        <v>2022</v>
      </c>
      <c r="E174" s="4">
        <f>'Electricity '!I176+'Electricity '!O176</f>
        <v>35430.119999999966</v>
      </c>
      <c r="F174" s="124">
        <v>2.7</v>
      </c>
      <c r="G174" s="4">
        <f>'Gas Water'!M177</f>
        <v>22731</v>
      </c>
      <c r="H174" s="124">
        <v>13.68</v>
      </c>
      <c r="I174" s="2">
        <f>'Gas Water'!L177</f>
        <v>324</v>
      </c>
      <c r="J174" s="124">
        <v>22.4</v>
      </c>
      <c r="K174" s="5">
        <v>157</v>
      </c>
      <c r="L174" s="5">
        <v>272</v>
      </c>
    </row>
    <row r="175" spans="1:12">
      <c r="A175" s="3" t="s">
        <v>12</v>
      </c>
      <c r="B175" s="3">
        <v>23</v>
      </c>
      <c r="C175" s="3">
        <v>6</v>
      </c>
      <c r="D175" s="3">
        <v>2022</v>
      </c>
      <c r="E175" s="4">
        <f>'Electricity '!I177+'Electricity '!O177</f>
        <v>34991.279999999053</v>
      </c>
      <c r="F175" s="124">
        <v>2.7</v>
      </c>
      <c r="G175" s="4">
        <f>'Gas Water'!M178</f>
        <v>1890</v>
      </c>
      <c r="H175" s="124">
        <v>13.68</v>
      </c>
      <c r="I175" s="2">
        <f>'Gas Water'!L178</f>
        <v>324</v>
      </c>
      <c r="J175" s="124">
        <v>22.4</v>
      </c>
      <c r="K175" s="5">
        <v>144</v>
      </c>
      <c r="L175" s="5">
        <v>286</v>
      </c>
    </row>
    <row r="176" spans="1:12">
      <c r="A176" s="3" t="s">
        <v>12</v>
      </c>
      <c r="B176" s="3">
        <v>24</v>
      </c>
      <c r="C176" s="3">
        <v>6</v>
      </c>
      <c r="D176" s="3">
        <v>2022</v>
      </c>
      <c r="E176" s="4">
        <v>31480</v>
      </c>
      <c r="F176" s="124">
        <v>2.7</v>
      </c>
      <c r="G176" s="4">
        <f>'Gas Water'!M179</f>
        <v>1760</v>
      </c>
      <c r="H176" s="124">
        <v>13.68</v>
      </c>
      <c r="I176" s="2">
        <f>'Gas Water'!L179</f>
        <v>286</v>
      </c>
      <c r="J176" s="124">
        <v>22.4</v>
      </c>
      <c r="K176" s="5">
        <v>154</v>
      </c>
      <c r="L176" s="5">
        <v>290</v>
      </c>
    </row>
    <row r="177" spans="1:12">
      <c r="A177" s="3" t="s">
        <v>12</v>
      </c>
      <c r="B177" s="3">
        <v>25</v>
      </c>
      <c r="C177" s="3">
        <v>6</v>
      </c>
      <c r="D177" s="3">
        <v>2022</v>
      </c>
      <c r="E177" s="4">
        <v>33020</v>
      </c>
      <c r="F177" s="124">
        <v>2.7</v>
      </c>
      <c r="G177" s="4">
        <f>'Gas Water'!M180</f>
        <v>1951</v>
      </c>
      <c r="H177" s="124">
        <v>13.68</v>
      </c>
      <c r="I177" s="2">
        <f>'Gas Water'!L180</f>
        <v>281</v>
      </c>
      <c r="J177" s="124">
        <v>22.4</v>
      </c>
      <c r="K177" s="5">
        <v>142</v>
      </c>
      <c r="L177" s="5">
        <v>255</v>
      </c>
    </row>
    <row r="178" spans="1:12">
      <c r="A178" s="3" t="s">
        <v>12</v>
      </c>
      <c r="B178" s="3">
        <v>26</v>
      </c>
      <c r="C178" s="3">
        <v>6</v>
      </c>
      <c r="D178" s="3">
        <v>2022</v>
      </c>
      <c r="E178" s="4">
        <v>30329</v>
      </c>
      <c r="F178" s="124">
        <v>2.7</v>
      </c>
      <c r="G178" s="4">
        <f>'Gas Water'!M181</f>
        <v>1802</v>
      </c>
      <c r="H178" s="124">
        <v>13.68</v>
      </c>
      <c r="I178" s="2">
        <f>'Gas Water'!L181</f>
        <v>311</v>
      </c>
      <c r="J178" s="124">
        <v>22.4</v>
      </c>
      <c r="K178" s="5">
        <v>133</v>
      </c>
      <c r="L178" s="5">
        <v>242</v>
      </c>
    </row>
    <row r="179" spans="1:12">
      <c r="A179" s="3" t="s">
        <v>12</v>
      </c>
      <c r="B179" s="3">
        <v>27</v>
      </c>
      <c r="C179" s="3">
        <v>6</v>
      </c>
      <c r="D179" s="3">
        <v>2022</v>
      </c>
      <c r="E179" s="4">
        <v>33910</v>
      </c>
      <c r="F179" s="124">
        <v>2.7</v>
      </c>
      <c r="G179" s="4">
        <f>'Gas Water'!M182</f>
        <v>1826</v>
      </c>
      <c r="H179" s="124">
        <v>13.68</v>
      </c>
      <c r="I179" s="2">
        <f>'Gas Water'!L182</f>
        <v>324</v>
      </c>
      <c r="J179" s="124">
        <v>22.4</v>
      </c>
      <c r="K179" s="5">
        <v>141</v>
      </c>
      <c r="L179" s="5">
        <v>271</v>
      </c>
    </row>
    <row r="180" spans="1:12">
      <c r="A180" s="3" t="s">
        <v>12</v>
      </c>
      <c r="B180" s="3">
        <v>28</v>
      </c>
      <c r="C180" s="3">
        <v>6</v>
      </c>
      <c r="D180" s="3">
        <v>2022</v>
      </c>
      <c r="E180" s="4">
        <f>'Electricity '!I182+'Electricity '!O182</f>
        <v>36594.019999998993</v>
      </c>
      <c r="F180" s="124">
        <v>2.7</v>
      </c>
      <c r="G180" s="4">
        <f>'Gas Water'!M183</f>
        <v>1987</v>
      </c>
      <c r="H180" s="124">
        <v>13.68</v>
      </c>
      <c r="I180" s="2">
        <f>'Gas Water'!L183</f>
        <v>268</v>
      </c>
      <c r="J180" s="124">
        <v>22.4</v>
      </c>
      <c r="K180" s="5">
        <v>140</v>
      </c>
      <c r="L180" s="5">
        <v>275</v>
      </c>
    </row>
    <row r="181" spans="1:12">
      <c r="A181" s="3" t="s">
        <v>12</v>
      </c>
      <c r="B181" s="3">
        <v>29</v>
      </c>
      <c r="C181" s="3">
        <v>6</v>
      </c>
      <c r="D181" s="3">
        <v>2022</v>
      </c>
      <c r="E181" s="4">
        <f>'Electricity '!I183+'Electricity '!O183</f>
        <v>35305.920000001024</v>
      </c>
      <c r="F181" s="124">
        <v>2.7</v>
      </c>
      <c r="G181" s="4">
        <f>'Gas Water'!M184</f>
        <v>1921</v>
      </c>
      <c r="H181" s="124">
        <v>13.68</v>
      </c>
      <c r="I181" s="2">
        <f>'Gas Water'!L184</f>
        <v>292</v>
      </c>
      <c r="J181" s="124">
        <v>22.4</v>
      </c>
      <c r="K181" s="5">
        <v>142</v>
      </c>
      <c r="L181" s="5">
        <v>294</v>
      </c>
    </row>
    <row r="182" spans="1:12">
      <c r="A182" s="3" t="s">
        <v>12</v>
      </c>
      <c r="B182" s="3">
        <v>30</v>
      </c>
      <c r="C182" s="3">
        <v>6</v>
      </c>
      <c r="D182" s="3">
        <v>2022</v>
      </c>
      <c r="E182" s="4">
        <f>'Electricity '!I184+'Electricity '!O184</f>
        <v>35185.859999999157</v>
      </c>
      <c r="F182" s="124">
        <v>2.7</v>
      </c>
      <c r="G182" s="4">
        <f>'Gas Water'!M185</f>
        <v>1749</v>
      </c>
      <c r="H182" s="124">
        <v>13.68</v>
      </c>
      <c r="I182" s="2">
        <f>'Gas Water'!L185</f>
        <v>281</v>
      </c>
      <c r="J182" s="124">
        <v>22.4</v>
      </c>
      <c r="K182" s="5">
        <v>130</v>
      </c>
      <c r="L182" s="5">
        <v>264</v>
      </c>
    </row>
    <row r="183" spans="1:12">
      <c r="A183" s="3" t="s">
        <v>12</v>
      </c>
      <c r="B183" s="3">
        <v>1</v>
      </c>
      <c r="C183" s="3">
        <v>7</v>
      </c>
      <c r="D183" s="3">
        <v>2022</v>
      </c>
      <c r="E183" s="4">
        <f>'Electricity '!I185+'Electricity '!O185</f>
        <v>39176.8200000008</v>
      </c>
      <c r="F183" s="124">
        <v>2.7</v>
      </c>
      <c r="G183" s="4">
        <f>'Gas Water'!M186</f>
        <v>1735</v>
      </c>
      <c r="H183" s="124">
        <v>13.68</v>
      </c>
      <c r="I183" s="2">
        <f>'Gas Water'!L186</f>
        <v>308</v>
      </c>
      <c r="J183" s="124">
        <v>22.4</v>
      </c>
      <c r="K183" s="5">
        <v>133</v>
      </c>
      <c r="L183" s="5">
        <v>261</v>
      </c>
    </row>
    <row r="184" spans="1:12">
      <c r="A184" s="3" t="s">
        <v>12</v>
      </c>
      <c r="B184" s="3">
        <v>2</v>
      </c>
      <c r="C184" s="3">
        <v>7</v>
      </c>
      <c r="D184" s="3">
        <v>2022</v>
      </c>
      <c r="E184" s="4">
        <f>'Electricity '!I186+'Electricity '!O186</f>
        <v>38323.980000000258</v>
      </c>
      <c r="F184" s="124">
        <v>2.7</v>
      </c>
      <c r="G184" s="4">
        <f>'Gas Water'!M187</f>
        <v>1765</v>
      </c>
      <c r="H184" s="124">
        <v>13.68</v>
      </c>
      <c r="I184" s="2">
        <f>'Gas Water'!L187</f>
        <v>301</v>
      </c>
      <c r="J184" s="124">
        <v>22.4</v>
      </c>
      <c r="K184" s="5">
        <v>157</v>
      </c>
      <c r="L184" s="5">
        <v>295</v>
      </c>
    </row>
    <row r="185" spans="1:12">
      <c r="A185" s="3" t="s">
        <v>12</v>
      </c>
      <c r="B185" s="3">
        <v>3</v>
      </c>
      <c r="C185" s="3">
        <v>7</v>
      </c>
      <c r="D185" s="3">
        <v>2022</v>
      </c>
      <c r="E185" s="4">
        <f>'Electricity '!I187+'Electricity '!O187</f>
        <v>35185.859999999157</v>
      </c>
      <c r="F185" s="124">
        <v>2.7</v>
      </c>
      <c r="G185" s="4">
        <f>'Gas Water'!M188</f>
        <v>1955</v>
      </c>
      <c r="H185" s="124">
        <v>13.68</v>
      </c>
      <c r="I185" s="2">
        <f>'Gas Water'!L188</f>
        <v>323</v>
      </c>
      <c r="J185" s="124">
        <v>22.4</v>
      </c>
      <c r="K185" s="5">
        <v>149</v>
      </c>
      <c r="L185" s="5">
        <v>296</v>
      </c>
    </row>
    <row r="186" spans="1:12">
      <c r="A186" s="3" t="s">
        <v>12</v>
      </c>
      <c r="B186" s="3">
        <v>4</v>
      </c>
      <c r="C186" s="3">
        <v>7</v>
      </c>
      <c r="D186" s="3">
        <v>2022</v>
      </c>
      <c r="E186" s="4">
        <f>'Electricity '!I188+'Electricity '!O188</f>
        <v>35384.580000000104</v>
      </c>
      <c r="F186" s="124">
        <v>2.7</v>
      </c>
      <c r="G186" s="4">
        <f>'Gas Water'!M189</f>
        <v>1731</v>
      </c>
      <c r="H186" s="124">
        <v>13.68</v>
      </c>
      <c r="I186" s="2">
        <f>'Gas Water'!L189</f>
        <v>273</v>
      </c>
      <c r="J186" s="124">
        <v>22.4</v>
      </c>
      <c r="K186" s="5">
        <v>157</v>
      </c>
      <c r="L186" s="5">
        <v>290</v>
      </c>
    </row>
    <row r="187" spans="1:12">
      <c r="A187" s="3" t="s">
        <v>12</v>
      </c>
      <c r="B187" s="3">
        <v>5</v>
      </c>
      <c r="C187" s="3">
        <v>7</v>
      </c>
      <c r="D187" s="3">
        <v>2022</v>
      </c>
      <c r="E187" s="4">
        <f>'Electricity '!I189+'Electricity '!O189</f>
        <v>38009.340000000164</v>
      </c>
      <c r="F187" s="124">
        <v>2.7</v>
      </c>
      <c r="G187" s="4">
        <f>'Gas Water'!M190</f>
        <v>1863</v>
      </c>
      <c r="H187" s="124">
        <v>13.68</v>
      </c>
      <c r="I187" s="2">
        <f>'Gas Water'!L190</f>
        <v>374</v>
      </c>
      <c r="J187" s="124">
        <v>22.4</v>
      </c>
      <c r="K187" s="5">
        <v>145</v>
      </c>
      <c r="L187" s="5">
        <v>255</v>
      </c>
    </row>
    <row r="188" spans="1:12">
      <c r="A188" s="3" t="s">
        <v>12</v>
      </c>
      <c r="B188" s="3">
        <v>6</v>
      </c>
      <c r="C188" s="3">
        <v>7</v>
      </c>
      <c r="D188" s="3">
        <v>2022</v>
      </c>
      <c r="E188" s="4">
        <f>'Electricity '!I190+'Electricity '!O190</f>
        <v>37479.419999999518</v>
      </c>
      <c r="F188" s="124">
        <v>2.7</v>
      </c>
      <c r="G188" s="4">
        <f>'Gas Water'!M191</f>
        <v>1805</v>
      </c>
      <c r="H188" s="124">
        <v>13.68</v>
      </c>
      <c r="I188" s="2">
        <f>'Gas Water'!L191</f>
        <v>415</v>
      </c>
      <c r="J188" s="124">
        <v>22.4</v>
      </c>
      <c r="K188" s="5">
        <v>136</v>
      </c>
      <c r="L188" s="5">
        <v>263</v>
      </c>
    </row>
    <row r="189" spans="1:12">
      <c r="A189" s="3" t="s">
        <v>12</v>
      </c>
      <c r="B189" s="3">
        <v>7</v>
      </c>
      <c r="C189" s="3">
        <v>7</v>
      </c>
      <c r="D189" s="3">
        <v>2022</v>
      </c>
      <c r="E189" s="4">
        <f>'Electricity '!I191+'Electricity '!O191</f>
        <v>40360.860000001041</v>
      </c>
      <c r="F189" s="124">
        <v>2.7</v>
      </c>
      <c r="G189" s="4">
        <f>'Gas Water'!M192</f>
        <v>1713</v>
      </c>
      <c r="H189" s="124">
        <v>13.68</v>
      </c>
      <c r="I189" s="2">
        <f>'Gas Water'!L192</f>
        <v>284</v>
      </c>
      <c r="J189" s="124">
        <v>22.4</v>
      </c>
      <c r="K189" s="5">
        <v>166</v>
      </c>
      <c r="L189" s="5">
        <v>307</v>
      </c>
    </row>
    <row r="190" spans="1:12">
      <c r="A190" s="3" t="s">
        <v>12</v>
      </c>
      <c r="B190" s="3">
        <v>8</v>
      </c>
      <c r="C190" s="3">
        <v>7</v>
      </c>
      <c r="D190" s="3">
        <v>2022</v>
      </c>
      <c r="E190" s="4">
        <f>'Electricity '!I192+'Electricity '!O192</f>
        <v>33923.159999999836</v>
      </c>
      <c r="F190" s="124">
        <v>2.7</v>
      </c>
      <c r="G190" s="4">
        <f>'Gas Water'!M193</f>
        <v>1713</v>
      </c>
      <c r="H190" s="124">
        <v>13.68</v>
      </c>
      <c r="I190" s="2">
        <f>'Gas Water'!L193</f>
        <v>301</v>
      </c>
      <c r="J190" s="124">
        <v>22.4</v>
      </c>
      <c r="K190" s="5">
        <v>162</v>
      </c>
      <c r="L190" s="5">
        <v>278</v>
      </c>
    </row>
    <row r="191" spans="1:12">
      <c r="A191" s="3" t="s">
        <v>12</v>
      </c>
      <c r="B191" s="3">
        <v>9</v>
      </c>
      <c r="C191" s="3">
        <v>7</v>
      </c>
      <c r="D191" s="3">
        <v>2022</v>
      </c>
      <c r="E191" s="4">
        <f>'Electricity '!I193+'Electricity '!O193</f>
        <v>35810.999999998494</v>
      </c>
      <c r="F191" s="124">
        <v>2.7</v>
      </c>
      <c r="G191" s="4">
        <f>'Gas Water'!M194</f>
        <v>1701</v>
      </c>
      <c r="H191" s="124">
        <v>13.68</v>
      </c>
      <c r="I191" s="2">
        <f>'Gas Water'!L194</f>
        <v>309</v>
      </c>
      <c r="J191" s="124">
        <v>22.4</v>
      </c>
      <c r="K191" s="5">
        <v>149</v>
      </c>
      <c r="L191" s="5">
        <v>255</v>
      </c>
    </row>
    <row r="192" spans="1:12">
      <c r="A192" s="3" t="s">
        <v>12</v>
      </c>
      <c r="B192" s="3">
        <v>10</v>
      </c>
      <c r="C192" s="3">
        <v>7</v>
      </c>
      <c r="D192" s="3">
        <v>2022</v>
      </c>
      <c r="E192" s="4">
        <f>'Electricity '!I194+'Electricity '!O194</f>
        <v>33567.120000000723</v>
      </c>
      <c r="F192" s="124">
        <v>2.7</v>
      </c>
      <c r="G192" s="4">
        <f>'Gas Water'!M195</f>
        <v>1818</v>
      </c>
      <c r="H192" s="124">
        <v>13.68</v>
      </c>
      <c r="I192" s="2">
        <f>'Gas Water'!L195</f>
        <v>228</v>
      </c>
      <c r="J192" s="124">
        <v>22.4</v>
      </c>
      <c r="K192" s="5">
        <v>142</v>
      </c>
      <c r="L192" s="5">
        <v>251</v>
      </c>
    </row>
    <row r="193" spans="1:12">
      <c r="A193" s="3" t="s">
        <v>12</v>
      </c>
      <c r="B193" s="3">
        <v>11</v>
      </c>
      <c r="C193" s="3">
        <v>7</v>
      </c>
      <c r="D193" s="3">
        <v>2022</v>
      </c>
      <c r="E193" s="4">
        <f>'Electricity '!I195+'Electricity '!O195</f>
        <v>32867.459999999381</v>
      </c>
      <c r="F193" s="124">
        <v>2.7</v>
      </c>
      <c r="G193" s="4">
        <f>'Gas Water'!M196</f>
        <v>1805</v>
      </c>
      <c r="H193" s="124">
        <v>13.68</v>
      </c>
      <c r="I193" s="2">
        <f>'Gas Water'!L196</f>
        <v>255</v>
      </c>
      <c r="J193" s="124">
        <v>22.4</v>
      </c>
      <c r="K193" s="5">
        <v>135</v>
      </c>
      <c r="L193" s="5">
        <v>287</v>
      </c>
    </row>
    <row r="194" spans="1:12">
      <c r="A194" s="3" t="s">
        <v>12</v>
      </c>
      <c r="B194" s="3">
        <v>12</v>
      </c>
      <c r="C194" s="3">
        <v>7</v>
      </c>
      <c r="D194" s="3">
        <v>2022</v>
      </c>
      <c r="E194" s="4">
        <f>'Electricity '!I196+'Electricity '!O196</f>
        <v>33637.5</v>
      </c>
      <c r="F194" s="124">
        <v>2.7</v>
      </c>
      <c r="G194" s="4">
        <f>'Gas Water'!M197</f>
        <v>1739</v>
      </c>
      <c r="H194" s="124">
        <v>13.68</v>
      </c>
      <c r="I194" s="2">
        <f>'Gas Water'!L197</f>
        <v>263</v>
      </c>
      <c r="J194" s="124">
        <v>22.4</v>
      </c>
      <c r="K194" s="5">
        <v>152</v>
      </c>
      <c r="L194" s="5">
        <v>311</v>
      </c>
    </row>
    <row r="195" spans="1:12">
      <c r="A195" s="3" t="s">
        <v>12</v>
      </c>
      <c r="B195" s="3">
        <v>13</v>
      </c>
      <c r="C195" s="3">
        <v>7</v>
      </c>
      <c r="D195" s="3">
        <v>2022</v>
      </c>
      <c r="E195" s="4">
        <f>'Electricity '!I197+'Electricity '!O197</f>
        <v>33641.640000000843</v>
      </c>
      <c r="F195" s="124">
        <v>2.7</v>
      </c>
      <c r="G195" s="4">
        <f>'Gas Water'!M198</f>
        <v>1769</v>
      </c>
      <c r="H195" s="124">
        <v>13.68</v>
      </c>
      <c r="I195" s="2">
        <f>'Gas Water'!L198</f>
        <v>275</v>
      </c>
      <c r="J195" s="124">
        <v>22.4</v>
      </c>
      <c r="K195" s="5">
        <v>146</v>
      </c>
      <c r="L195" s="5">
        <v>293</v>
      </c>
    </row>
    <row r="196" spans="1:12">
      <c r="A196" s="3" t="s">
        <v>12</v>
      </c>
      <c r="B196" s="3">
        <v>14</v>
      </c>
      <c r="C196" s="3">
        <v>7</v>
      </c>
      <c r="D196" s="3">
        <v>2022</v>
      </c>
      <c r="E196" s="4">
        <f>'Electricity '!I198+'Electricity '!O198</f>
        <v>34324.740000000689</v>
      </c>
      <c r="F196" s="124">
        <v>2.7</v>
      </c>
      <c r="G196" s="4">
        <f>'Gas Water'!M199</f>
        <v>1871</v>
      </c>
      <c r="H196" s="124">
        <v>13.68</v>
      </c>
      <c r="I196" s="2">
        <f>'Gas Water'!L199</f>
        <v>298</v>
      </c>
      <c r="J196" s="124">
        <v>22.4</v>
      </c>
      <c r="K196" s="5">
        <v>157</v>
      </c>
      <c r="L196" s="5">
        <v>314</v>
      </c>
    </row>
    <row r="197" spans="1:12">
      <c r="A197" s="3" t="s">
        <v>12</v>
      </c>
      <c r="B197" s="3">
        <v>15</v>
      </c>
      <c r="C197" s="3">
        <v>7</v>
      </c>
      <c r="D197" s="3">
        <v>2022</v>
      </c>
      <c r="E197" s="4">
        <f>'Electricity '!I199+'Electricity '!O199</f>
        <v>34502.759999999311</v>
      </c>
      <c r="F197" s="124">
        <v>2.7</v>
      </c>
      <c r="G197" s="4">
        <f>'Gas Water'!M200</f>
        <v>1622</v>
      </c>
      <c r="H197" s="124">
        <v>13.68</v>
      </c>
      <c r="I197" s="2">
        <f>'Gas Water'!L200</f>
        <v>282</v>
      </c>
      <c r="J197" s="124">
        <v>22.4</v>
      </c>
      <c r="K197" s="5">
        <v>156</v>
      </c>
      <c r="L197" s="5">
        <v>311</v>
      </c>
    </row>
    <row r="198" spans="1:12">
      <c r="A198" s="3" t="s">
        <v>12</v>
      </c>
      <c r="B198" s="3">
        <v>16</v>
      </c>
      <c r="C198" s="3">
        <v>7</v>
      </c>
      <c r="D198" s="3">
        <v>2022</v>
      </c>
      <c r="E198" s="4">
        <f>'Electricity '!I200+'Electricity '!O200</f>
        <v>35107.200000000077</v>
      </c>
      <c r="F198" s="124">
        <v>2.7</v>
      </c>
      <c r="G198" s="4">
        <f>'Gas Water'!M201</f>
        <v>1532</v>
      </c>
      <c r="H198" s="124">
        <v>13.68</v>
      </c>
      <c r="I198" s="2">
        <f>'Gas Water'!L201</f>
        <v>342</v>
      </c>
      <c r="J198" s="124">
        <v>22.4</v>
      </c>
      <c r="K198" s="5">
        <v>155</v>
      </c>
      <c r="L198" s="5">
        <v>312</v>
      </c>
    </row>
    <row r="199" spans="1:12">
      <c r="A199" s="3" t="s">
        <v>12</v>
      </c>
      <c r="B199" s="3">
        <v>17</v>
      </c>
      <c r="C199" s="3">
        <v>7</v>
      </c>
      <c r="D199" s="3">
        <v>2022</v>
      </c>
      <c r="E199" s="4">
        <f>'Electricity '!I201+'Electricity '!O201</f>
        <v>34498.620000000345</v>
      </c>
      <c r="F199" s="124">
        <v>2.7</v>
      </c>
      <c r="G199" s="4">
        <f>'Gas Water'!M202</f>
        <v>1513</v>
      </c>
      <c r="H199" s="124">
        <v>13.68</v>
      </c>
      <c r="I199" s="2">
        <f>'Gas Water'!L202</f>
        <v>315</v>
      </c>
      <c r="J199" s="124">
        <v>22.4</v>
      </c>
      <c r="K199" s="5">
        <v>154</v>
      </c>
      <c r="L199" s="5">
        <v>323</v>
      </c>
    </row>
    <row r="200" spans="1:12">
      <c r="A200" s="3" t="s">
        <v>12</v>
      </c>
      <c r="B200" s="3">
        <v>18</v>
      </c>
      <c r="C200" s="3">
        <v>7</v>
      </c>
      <c r="D200" s="3">
        <v>2022</v>
      </c>
      <c r="E200" s="4">
        <f>'Electricity '!I202+'Electricity '!O202</f>
        <v>34817.399999999398</v>
      </c>
      <c r="F200" s="124">
        <v>2.7</v>
      </c>
      <c r="G200" s="4">
        <f>'Gas Water'!M203</f>
        <v>1752</v>
      </c>
      <c r="H200" s="124">
        <v>13.68</v>
      </c>
      <c r="I200" s="2">
        <f>'Gas Water'!L203</f>
        <v>334</v>
      </c>
      <c r="J200" s="124">
        <v>22.4</v>
      </c>
      <c r="K200" s="5">
        <v>160</v>
      </c>
      <c r="L200" s="5">
        <v>329</v>
      </c>
    </row>
    <row r="201" spans="1:12">
      <c r="A201" s="3" t="s">
        <v>12</v>
      </c>
      <c r="B201" s="3">
        <v>19</v>
      </c>
      <c r="C201" s="3">
        <v>7</v>
      </c>
      <c r="D201" s="3">
        <v>2022</v>
      </c>
      <c r="E201" s="4">
        <f>'Electricity '!I203+'Electricity '!O203</f>
        <v>32743.260000000439</v>
      </c>
      <c r="F201" s="124">
        <v>2.7</v>
      </c>
      <c r="G201" s="4">
        <f>'Gas Water'!M204</f>
        <v>1761</v>
      </c>
      <c r="H201" s="124">
        <v>13.68</v>
      </c>
      <c r="I201" s="2">
        <f>'Gas Water'!L204</f>
        <v>384</v>
      </c>
      <c r="J201" s="124">
        <v>22.4</v>
      </c>
      <c r="K201" s="5">
        <v>157</v>
      </c>
      <c r="L201" s="5">
        <v>308</v>
      </c>
    </row>
    <row r="202" spans="1:12">
      <c r="A202" s="3" t="s">
        <v>12</v>
      </c>
      <c r="B202" s="3">
        <v>20</v>
      </c>
      <c r="C202" s="3">
        <v>7</v>
      </c>
      <c r="D202" s="3">
        <v>2022</v>
      </c>
      <c r="E202" s="4">
        <f>'Electricity '!I204+'Electricity '!O204</f>
        <v>33596.099999999096</v>
      </c>
      <c r="F202" s="124">
        <v>2.7</v>
      </c>
      <c r="G202" s="4">
        <f>'Gas Water'!M205</f>
        <v>1837</v>
      </c>
      <c r="H202" s="124">
        <v>13.68</v>
      </c>
      <c r="I202" s="2">
        <f>'Gas Water'!L205</f>
        <v>354</v>
      </c>
      <c r="J202" s="124">
        <v>22.4</v>
      </c>
      <c r="K202" s="5">
        <v>144</v>
      </c>
      <c r="L202" s="5">
        <v>290</v>
      </c>
    </row>
    <row r="203" spans="1:12">
      <c r="A203" s="3" t="s">
        <v>12</v>
      </c>
      <c r="B203" s="3">
        <v>21</v>
      </c>
      <c r="C203" s="3">
        <v>7</v>
      </c>
      <c r="D203" s="3">
        <v>2022</v>
      </c>
      <c r="E203" s="4">
        <f>'Electricity '!I205+'Electricity '!O205</f>
        <v>34204.680000000706</v>
      </c>
      <c r="F203" s="124">
        <v>2.7</v>
      </c>
      <c r="G203" s="4">
        <f>'Gas Water'!M206</f>
        <v>1623</v>
      </c>
      <c r="H203" s="124">
        <v>13.68</v>
      </c>
      <c r="I203" s="2">
        <f>'Gas Water'!L206</f>
        <v>333</v>
      </c>
      <c r="J203" s="124">
        <v>22.4</v>
      </c>
      <c r="K203" s="5">
        <v>157</v>
      </c>
      <c r="L203" s="5">
        <v>309</v>
      </c>
    </row>
    <row r="204" spans="1:12">
      <c r="A204" s="3" t="s">
        <v>12</v>
      </c>
      <c r="B204" s="3">
        <v>22</v>
      </c>
      <c r="C204" s="3">
        <v>7</v>
      </c>
      <c r="D204" s="3">
        <v>2022</v>
      </c>
      <c r="E204" s="4">
        <f>'Electricity '!I206+'Electricity '!O206</f>
        <v>33438.779999999053</v>
      </c>
      <c r="F204" s="124">
        <v>2.7</v>
      </c>
      <c r="G204" s="4">
        <f>'Gas Water'!M207</f>
        <v>1621</v>
      </c>
      <c r="H204" s="124">
        <v>13.68</v>
      </c>
      <c r="I204" s="2">
        <f>'Gas Water'!L207</f>
        <v>354</v>
      </c>
      <c r="J204" s="124">
        <v>22.4</v>
      </c>
      <c r="K204" s="5">
        <v>166</v>
      </c>
      <c r="L204" s="5">
        <v>288</v>
      </c>
    </row>
    <row r="205" spans="1:12">
      <c r="A205" s="3" t="s">
        <v>12</v>
      </c>
      <c r="B205" s="3">
        <v>23</v>
      </c>
      <c r="C205" s="3">
        <v>7</v>
      </c>
      <c r="D205" s="3">
        <v>2022</v>
      </c>
      <c r="E205" s="4">
        <f>'Electricity '!I207+'Electricity '!O207</f>
        <v>31878.000000001128</v>
      </c>
      <c r="F205" s="124">
        <v>2.7</v>
      </c>
      <c r="G205" s="4">
        <f>'Gas Water'!M208</f>
        <v>1536</v>
      </c>
      <c r="H205" s="124">
        <v>13.68</v>
      </c>
      <c r="I205" s="2">
        <f>'Gas Water'!L208</f>
        <v>297</v>
      </c>
      <c r="J205" s="124">
        <v>22.4</v>
      </c>
      <c r="K205" s="5">
        <v>161</v>
      </c>
      <c r="L205" s="5">
        <v>286</v>
      </c>
    </row>
    <row r="206" spans="1:12">
      <c r="A206" s="3" t="s">
        <v>12</v>
      </c>
      <c r="B206" s="3">
        <v>24</v>
      </c>
      <c r="C206" s="3">
        <v>7</v>
      </c>
      <c r="D206" s="3">
        <v>2022</v>
      </c>
      <c r="E206" s="4">
        <f>'Electricity '!I208+'Electricity '!O208</f>
        <v>32006.339999999036</v>
      </c>
      <c r="F206" s="124">
        <v>2.7</v>
      </c>
      <c r="G206" s="4">
        <f>'Gas Water'!M209</f>
        <v>1515</v>
      </c>
      <c r="H206" s="124">
        <v>13.68</v>
      </c>
      <c r="I206" s="2">
        <f>'Gas Water'!L209</f>
        <v>271</v>
      </c>
      <c r="J206" s="124">
        <v>22.4</v>
      </c>
      <c r="K206" s="5">
        <v>146</v>
      </c>
      <c r="L206" s="5">
        <v>291</v>
      </c>
    </row>
    <row r="207" spans="1:12">
      <c r="A207" s="3" t="s">
        <v>12</v>
      </c>
      <c r="B207" s="3">
        <v>25</v>
      </c>
      <c r="C207" s="3">
        <v>7</v>
      </c>
      <c r="D207" s="3">
        <v>2022</v>
      </c>
      <c r="E207" s="4">
        <f>'Electricity '!I209+'Electricity '!O209</f>
        <v>33339.420000001403</v>
      </c>
      <c r="F207" s="124">
        <v>2.7</v>
      </c>
      <c r="G207" s="4">
        <f>'Gas Water'!M210</f>
        <v>1435</v>
      </c>
      <c r="H207" s="124">
        <v>13.68</v>
      </c>
      <c r="I207" s="2">
        <f>'Gas Water'!L210</f>
        <v>296</v>
      </c>
      <c r="J207" s="124">
        <v>22.4</v>
      </c>
      <c r="K207" s="5">
        <v>146</v>
      </c>
      <c r="L207" s="5">
        <v>292</v>
      </c>
    </row>
    <row r="208" spans="1:12">
      <c r="A208" s="3" t="s">
        <v>12</v>
      </c>
      <c r="B208" s="3">
        <v>26</v>
      </c>
      <c r="C208" s="3">
        <v>7</v>
      </c>
      <c r="D208" s="3">
        <v>2022</v>
      </c>
      <c r="E208" s="4">
        <f>'Electricity '!I210+'Electricity '!O210</f>
        <v>36071.819999998916</v>
      </c>
      <c r="F208" s="124">
        <v>2.7</v>
      </c>
      <c r="G208" s="4">
        <f>'Gas Water'!M211</f>
        <v>1554</v>
      </c>
      <c r="H208" s="124">
        <v>13.68</v>
      </c>
      <c r="I208" s="2">
        <f>'Gas Water'!L211</f>
        <v>321</v>
      </c>
      <c r="J208" s="124">
        <v>22.4</v>
      </c>
      <c r="K208" s="5">
        <v>142</v>
      </c>
      <c r="L208" s="5">
        <v>287</v>
      </c>
    </row>
    <row r="209" spans="1:12">
      <c r="A209" s="3" t="s">
        <v>12</v>
      </c>
      <c r="B209" s="3">
        <v>27</v>
      </c>
      <c r="C209" s="3">
        <v>7</v>
      </c>
      <c r="D209" s="3">
        <v>2022</v>
      </c>
      <c r="E209" s="4">
        <f>'Electricity '!I211+'Electricity '!O211</f>
        <v>35343.180000001084</v>
      </c>
      <c r="F209" s="124">
        <v>2.7</v>
      </c>
      <c r="G209" s="4">
        <f>'Gas Water'!M212</f>
        <v>1550</v>
      </c>
      <c r="H209" s="124">
        <v>13.68</v>
      </c>
      <c r="I209" s="2">
        <f>'Gas Water'!L212</f>
        <v>324</v>
      </c>
      <c r="J209" s="124">
        <v>22.4</v>
      </c>
      <c r="K209" s="5">
        <v>145</v>
      </c>
      <c r="L209" s="5">
        <v>291</v>
      </c>
    </row>
    <row r="210" spans="1:12">
      <c r="A210" s="3" t="s">
        <v>12</v>
      </c>
      <c r="B210" s="3">
        <v>28</v>
      </c>
      <c r="C210" s="3">
        <v>7</v>
      </c>
      <c r="D210" s="3">
        <v>2022</v>
      </c>
      <c r="E210" s="4">
        <f>'Electricity '!I212+'Electricity '!O212</f>
        <v>38862.179999998829</v>
      </c>
      <c r="F210" s="124">
        <v>2.7</v>
      </c>
      <c r="G210" s="4">
        <f>'Gas Water'!M213</f>
        <v>1523</v>
      </c>
      <c r="H210" s="124">
        <v>13.68</v>
      </c>
      <c r="I210" s="2">
        <f>'Gas Water'!L213</f>
        <v>305</v>
      </c>
      <c r="J210" s="124">
        <v>22.4</v>
      </c>
      <c r="K210" s="5">
        <v>124</v>
      </c>
      <c r="L210" s="5">
        <v>262</v>
      </c>
    </row>
    <row r="211" spans="1:12">
      <c r="A211" s="3" t="s">
        <v>12</v>
      </c>
      <c r="B211" s="3">
        <v>29</v>
      </c>
      <c r="C211" s="3">
        <v>7</v>
      </c>
      <c r="D211" s="3">
        <v>2022</v>
      </c>
      <c r="E211" s="4">
        <f>'Electricity '!I213+'Electricity '!O213</f>
        <v>39847.5</v>
      </c>
      <c r="F211" s="124">
        <v>2.7</v>
      </c>
      <c r="G211" s="4">
        <f>'Gas Water'!M214</f>
        <v>1459</v>
      </c>
      <c r="H211" s="124">
        <v>13.68</v>
      </c>
      <c r="I211" s="2">
        <f>'Gas Water'!L214</f>
        <v>371</v>
      </c>
      <c r="J211" s="124">
        <v>22.4</v>
      </c>
      <c r="K211" s="5">
        <v>137</v>
      </c>
      <c r="L211" s="5">
        <v>271</v>
      </c>
    </row>
    <row r="212" spans="1:12">
      <c r="A212" s="3" t="s">
        <v>12</v>
      </c>
      <c r="B212" s="3">
        <v>30</v>
      </c>
      <c r="C212" s="3">
        <v>7</v>
      </c>
      <c r="D212" s="3">
        <v>2022</v>
      </c>
      <c r="E212" s="4">
        <f>'Electricity '!I214+'Electricity '!O214</f>
        <v>39230.640000000465</v>
      </c>
      <c r="F212" s="124">
        <v>2.7</v>
      </c>
      <c r="G212" s="4">
        <f>'Gas Water'!M215</f>
        <v>1461</v>
      </c>
      <c r="H212" s="124">
        <v>13.68</v>
      </c>
      <c r="I212" s="2">
        <f>'Gas Water'!L215</f>
        <v>303</v>
      </c>
      <c r="J212" s="124">
        <v>22.4</v>
      </c>
      <c r="K212" s="5">
        <v>143</v>
      </c>
      <c r="L212" s="5">
        <v>292</v>
      </c>
    </row>
    <row r="213" spans="1:12">
      <c r="A213" s="3" t="s">
        <v>12</v>
      </c>
      <c r="B213" s="3">
        <v>31</v>
      </c>
      <c r="C213" s="3">
        <v>7</v>
      </c>
      <c r="D213" s="3">
        <v>2022</v>
      </c>
      <c r="E213" s="4">
        <f>'Electricity '!I215+'Electricity '!O215</f>
        <v>38439.899999999398</v>
      </c>
      <c r="F213" s="124">
        <v>2.7</v>
      </c>
      <c r="G213" s="4">
        <f>'Gas Water'!M216</f>
        <v>1460</v>
      </c>
      <c r="H213" s="124">
        <v>13.68</v>
      </c>
      <c r="I213" s="2">
        <f>'Gas Water'!L216</f>
        <v>327</v>
      </c>
      <c r="J213" s="124">
        <v>22.4</v>
      </c>
      <c r="K213" s="5">
        <v>153</v>
      </c>
      <c r="L213" s="5">
        <v>311</v>
      </c>
    </row>
    <row r="214" spans="1:12">
      <c r="A214" s="3" t="s">
        <v>12</v>
      </c>
      <c r="B214" s="3">
        <v>1</v>
      </c>
      <c r="C214" s="3">
        <v>8</v>
      </c>
      <c r="D214" s="3">
        <v>2022</v>
      </c>
      <c r="E214" s="4">
        <f>'Electricity '!I216+'Electricity '!O216</f>
        <v>36225</v>
      </c>
      <c r="F214" s="124">
        <v>2.7</v>
      </c>
      <c r="G214" s="4">
        <f>'Gas Water'!M217</f>
        <v>1668</v>
      </c>
      <c r="H214" s="124">
        <v>13.68</v>
      </c>
      <c r="I214" s="2">
        <f>'Gas Water'!L217</f>
        <v>344</v>
      </c>
      <c r="J214" s="124">
        <v>22.4</v>
      </c>
      <c r="K214" s="5">
        <v>144</v>
      </c>
      <c r="L214" s="5">
        <v>290</v>
      </c>
    </row>
    <row r="215" spans="1:12">
      <c r="A215" s="3" t="s">
        <v>12</v>
      </c>
      <c r="B215" s="3">
        <v>2</v>
      </c>
      <c r="C215" s="3">
        <v>8</v>
      </c>
      <c r="D215" s="3">
        <v>2022</v>
      </c>
      <c r="E215" s="4">
        <f>'Electricity '!I217+'Electricity '!O217</f>
        <v>37885.140000001222</v>
      </c>
      <c r="F215" s="124">
        <v>2.7</v>
      </c>
      <c r="G215" s="4">
        <f>'Gas Water'!M218</f>
        <v>1455</v>
      </c>
      <c r="H215" s="124">
        <v>13.68</v>
      </c>
      <c r="I215" s="2">
        <f>'Gas Water'!L218</f>
        <v>321</v>
      </c>
      <c r="J215" s="124">
        <v>22.4</v>
      </c>
      <c r="K215" s="5">
        <v>135</v>
      </c>
      <c r="L215" s="5">
        <v>273</v>
      </c>
    </row>
    <row r="216" spans="1:12">
      <c r="A216" s="3" t="s">
        <v>12</v>
      </c>
      <c r="B216" s="3">
        <v>3</v>
      </c>
      <c r="C216" s="3">
        <v>8</v>
      </c>
      <c r="D216" s="3">
        <v>2022</v>
      </c>
      <c r="E216" s="4">
        <f>'Electricity '!I218+'Electricity '!O218</f>
        <v>39077.459999999381</v>
      </c>
      <c r="F216" s="124">
        <v>2.7</v>
      </c>
      <c r="G216" s="4">
        <f>'Gas Water'!M219</f>
        <v>1501</v>
      </c>
      <c r="H216" s="124">
        <v>13.68</v>
      </c>
      <c r="I216" s="2">
        <f>'Gas Water'!L219</f>
        <v>355</v>
      </c>
      <c r="J216" s="124">
        <v>22.4</v>
      </c>
      <c r="K216" s="5">
        <v>138</v>
      </c>
      <c r="L216" s="5">
        <v>237</v>
      </c>
    </row>
    <row r="217" spans="1:12">
      <c r="A217" s="3" t="s">
        <v>12</v>
      </c>
      <c r="B217" s="3">
        <v>4</v>
      </c>
      <c r="C217" s="3">
        <v>8</v>
      </c>
      <c r="D217" s="3">
        <v>2022</v>
      </c>
      <c r="E217" s="4">
        <f>'Electricity '!I219+'Electricity '!O219</f>
        <v>39429.359999999535</v>
      </c>
      <c r="F217" s="124">
        <v>2.7</v>
      </c>
      <c r="G217" s="4">
        <f>'Gas Water'!M220</f>
        <v>1507</v>
      </c>
      <c r="H217" s="124">
        <v>13.68</v>
      </c>
      <c r="I217" s="2">
        <f>'Gas Water'!L220</f>
        <v>313</v>
      </c>
      <c r="J217" s="124">
        <v>22.4</v>
      </c>
      <c r="K217" s="5">
        <v>154</v>
      </c>
      <c r="L217" s="5">
        <v>278</v>
      </c>
    </row>
    <row r="218" spans="1:12">
      <c r="A218" s="3" t="s">
        <v>12</v>
      </c>
      <c r="B218" s="3">
        <v>5</v>
      </c>
      <c r="C218" s="3">
        <v>8</v>
      </c>
      <c r="D218" s="3">
        <v>2022</v>
      </c>
      <c r="E218" s="4">
        <f>'Electricity '!I220+'Electricity '!O220</f>
        <v>41349.060000001118</v>
      </c>
      <c r="F218" s="124">
        <v>2.7</v>
      </c>
      <c r="G218" s="4">
        <f>'Gas Water'!M221</f>
        <v>1560</v>
      </c>
      <c r="H218" s="124">
        <v>13.68</v>
      </c>
      <c r="I218" s="2">
        <f>'Gas Water'!L221</f>
        <v>343</v>
      </c>
      <c r="J218" s="124">
        <v>22.4</v>
      </c>
      <c r="K218" s="5">
        <v>160</v>
      </c>
      <c r="L218" s="5">
        <v>340</v>
      </c>
    </row>
    <row r="219" spans="1:12">
      <c r="A219" s="3" t="s">
        <v>12</v>
      </c>
      <c r="B219" s="3">
        <v>6</v>
      </c>
      <c r="C219" s="3">
        <v>8</v>
      </c>
      <c r="D219" s="3">
        <v>2022</v>
      </c>
      <c r="E219" s="4">
        <f>'Electricity '!I221+'Electricity '!O221</f>
        <v>39466.379999999277</v>
      </c>
      <c r="F219" s="124">
        <v>2.7</v>
      </c>
      <c r="G219" s="4">
        <f>'Gas Water'!M222</f>
        <v>3164</v>
      </c>
      <c r="H219" s="124">
        <v>13.68</v>
      </c>
      <c r="I219" s="2">
        <f>'Gas Water'!L222</f>
        <v>331</v>
      </c>
      <c r="J219" s="124">
        <v>22.4</v>
      </c>
      <c r="K219" s="5">
        <v>156</v>
      </c>
      <c r="L219" s="5">
        <v>329</v>
      </c>
    </row>
    <row r="220" spans="1:12">
      <c r="A220" s="3" t="s">
        <v>12</v>
      </c>
      <c r="B220" s="3">
        <v>7</v>
      </c>
      <c r="C220" s="3">
        <v>8</v>
      </c>
      <c r="D220" s="3">
        <v>2022</v>
      </c>
      <c r="E220" s="4">
        <f>'Electricity '!I222+'Electricity '!O222</f>
        <v>42617.320000000422</v>
      </c>
      <c r="F220" s="124">
        <v>2.7</v>
      </c>
      <c r="G220" s="4">
        <f>'Gas Water'!M223</f>
        <v>4332</v>
      </c>
      <c r="H220" s="124">
        <v>13.68</v>
      </c>
      <c r="I220" s="2">
        <f>'Gas Water'!L223</f>
        <v>315</v>
      </c>
      <c r="J220" s="124">
        <v>22.4</v>
      </c>
      <c r="K220" s="5">
        <v>141</v>
      </c>
      <c r="L220" s="5">
        <v>309</v>
      </c>
    </row>
    <row r="221" spans="1:12">
      <c r="A221" s="3" t="s">
        <v>12</v>
      </c>
      <c r="B221" s="3">
        <v>8</v>
      </c>
      <c r="C221" s="3">
        <v>8</v>
      </c>
      <c r="D221" s="3">
        <v>2022</v>
      </c>
      <c r="E221" s="4">
        <f>'Electricity '!I223+'Electricity '!O223</f>
        <v>43324.320000000043</v>
      </c>
      <c r="F221" s="124">
        <v>2.7</v>
      </c>
      <c r="G221" s="4">
        <f>'Gas Water'!M224</f>
        <v>4484</v>
      </c>
      <c r="H221" s="124">
        <v>13.68</v>
      </c>
      <c r="I221" s="2">
        <f>'Gas Water'!L224</f>
        <v>291</v>
      </c>
      <c r="J221" s="124">
        <v>22.4</v>
      </c>
      <c r="K221" s="5">
        <v>135</v>
      </c>
      <c r="L221" s="5">
        <v>293</v>
      </c>
    </row>
    <row r="222" spans="1:12">
      <c r="A222" s="3" t="s">
        <v>12</v>
      </c>
      <c r="B222" s="3">
        <v>9</v>
      </c>
      <c r="C222" s="3">
        <v>8</v>
      </c>
      <c r="D222" s="3">
        <v>2022</v>
      </c>
      <c r="E222" s="4">
        <f>'Electricity '!I224+'Electricity '!O224</f>
        <v>42511.339999999414</v>
      </c>
      <c r="F222" s="124">
        <v>2.7</v>
      </c>
      <c r="G222" s="4">
        <f>'Gas Water'!M225</f>
        <v>4579</v>
      </c>
      <c r="H222" s="124">
        <v>13.68</v>
      </c>
      <c r="I222" s="2">
        <f>'Gas Water'!L225</f>
        <v>302</v>
      </c>
      <c r="J222" s="124">
        <v>22.4</v>
      </c>
      <c r="K222" s="5">
        <v>160</v>
      </c>
      <c r="L222" s="5">
        <v>341</v>
      </c>
    </row>
    <row r="223" spans="1:12">
      <c r="A223" s="3" t="s">
        <v>12</v>
      </c>
      <c r="B223" s="3">
        <v>10</v>
      </c>
      <c r="C223" s="3">
        <v>8</v>
      </c>
      <c r="D223" s="3">
        <v>2022</v>
      </c>
      <c r="E223" s="4">
        <f>'Electricity '!I225+'Electricity '!O225</f>
        <v>43634.999999999622</v>
      </c>
      <c r="F223" s="124">
        <v>2.7</v>
      </c>
      <c r="G223" s="4">
        <f>'Gas Water'!M226</f>
        <v>4452</v>
      </c>
      <c r="H223" s="124">
        <v>13.68</v>
      </c>
      <c r="I223" s="2">
        <f>'Gas Water'!L226</f>
        <v>306</v>
      </c>
      <c r="J223" s="124">
        <v>22.4</v>
      </c>
      <c r="K223" s="5">
        <v>161</v>
      </c>
      <c r="L223" s="5">
        <v>324</v>
      </c>
    </row>
    <row r="224" spans="1:12">
      <c r="A224" s="3" t="s">
        <v>12</v>
      </c>
      <c r="B224" s="3">
        <v>11</v>
      </c>
      <c r="C224" s="3">
        <v>8</v>
      </c>
      <c r="D224" s="3">
        <v>2022</v>
      </c>
      <c r="E224" s="4">
        <f>'Electricity '!I226+'Electricity '!O226</f>
        <v>42158.360000000663</v>
      </c>
      <c r="F224" s="124">
        <v>2.7</v>
      </c>
      <c r="G224" s="4">
        <f>'Gas Water'!M227</f>
        <v>4680</v>
      </c>
      <c r="H224" s="124">
        <v>13.68</v>
      </c>
      <c r="I224" s="2">
        <f>'Gas Water'!L227</f>
        <v>329</v>
      </c>
      <c r="J224" s="124">
        <v>22.4</v>
      </c>
      <c r="K224" s="5">
        <v>160</v>
      </c>
      <c r="L224" s="5">
        <v>306</v>
      </c>
    </row>
    <row r="225" spans="1:12">
      <c r="A225" s="3" t="s">
        <v>12</v>
      </c>
      <c r="B225" s="3">
        <v>12</v>
      </c>
      <c r="C225" s="3">
        <v>8</v>
      </c>
      <c r="D225" s="3">
        <v>2022</v>
      </c>
      <c r="E225" s="4">
        <f>'Electricity '!I227+'Electricity '!O227</f>
        <v>46290.559999999983</v>
      </c>
      <c r="F225" s="124">
        <v>2.7</v>
      </c>
      <c r="G225" s="4">
        <f>'Gas Water'!M228</f>
        <v>5774</v>
      </c>
      <c r="H225" s="124">
        <v>13.68</v>
      </c>
      <c r="I225" s="2">
        <f>'Gas Water'!L228</f>
        <v>313</v>
      </c>
      <c r="J225" s="124">
        <v>22.4</v>
      </c>
      <c r="K225" s="5">
        <v>165</v>
      </c>
      <c r="L225" s="5">
        <v>313</v>
      </c>
    </row>
    <row r="226" spans="1:12">
      <c r="A226" s="3" t="s">
        <v>12</v>
      </c>
      <c r="B226" s="3">
        <v>13</v>
      </c>
      <c r="C226" s="3">
        <v>8</v>
      </c>
      <c r="D226" s="3">
        <v>2022</v>
      </c>
      <c r="E226" s="4">
        <f>'Electricity '!I228+'Electricity '!O228</f>
        <v>42674.200000000077</v>
      </c>
      <c r="F226" s="124">
        <v>2.7</v>
      </c>
      <c r="G226" s="4">
        <f>'Gas Water'!M229</f>
        <v>5271</v>
      </c>
      <c r="H226" s="124">
        <v>13.68</v>
      </c>
      <c r="I226" s="2">
        <f>'Gas Water'!L229</f>
        <v>378</v>
      </c>
      <c r="J226" s="124">
        <v>22.4</v>
      </c>
      <c r="K226" s="5">
        <v>159</v>
      </c>
      <c r="L226" s="5">
        <v>318</v>
      </c>
    </row>
    <row r="227" spans="1:12">
      <c r="A227" s="3" t="s">
        <v>12</v>
      </c>
      <c r="B227" s="3">
        <v>14</v>
      </c>
      <c r="C227" s="3">
        <v>8</v>
      </c>
      <c r="D227" s="3">
        <v>2022</v>
      </c>
      <c r="E227" s="4">
        <f>'Electricity '!I229+'Electricity '!O229</f>
        <v>41399.299999999552</v>
      </c>
      <c r="F227" s="124">
        <v>2.7</v>
      </c>
      <c r="G227" s="4">
        <f>'Gas Water'!M230</f>
        <v>1363</v>
      </c>
      <c r="H227" s="124">
        <v>13.68</v>
      </c>
      <c r="I227" s="2">
        <f>'Gas Water'!L230</f>
        <v>318</v>
      </c>
      <c r="J227" s="124">
        <v>22.4</v>
      </c>
      <c r="K227" s="5">
        <v>161</v>
      </c>
      <c r="L227" s="5">
        <v>317</v>
      </c>
    </row>
    <row r="228" spans="1:12">
      <c r="A228" s="3" t="s">
        <v>12</v>
      </c>
      <c r="B228" s="3">
        <v>15</v>
      </c>
      <c r="C228" s="3">
        <v>8</v>
      </c>
      <c r="D228" s="3">
        <v>2022</v>
      </c>
      <c r="E228" s="4">
        <f>'Electricity '!I230+'Electricity '!O230</f>
        <v>38659.340000000542</v>
      </c>
      <c r="F228" s="124">
        <v>2.7</v>
      </c>
      <c r="G228" s="4">
        <f>'Gas Water'!M231</f>
        <v>3878</v>
      </c>
      <c r="H228" s="124">
        <v>13.68</v>
      </c>
      <c r="I228" s="2">
        <f>'Gas Water'!L231</f>
        <v>280</v>
      </c>
      <c r="J228" s="124">
        <v>22.4</v>
      </c>
      <c r="K228" s="5">
        <v>142</v>
      </c>
      <c r="L228" s="5">
        <v>305</v>
      </c>
    </row>
    <row r="229" spans="1:12">
      <c r="A229" s="3" t="s">
        <v>12</v>
      </c>
      <c r="B229" s="3">
        <v>16</v>
      </c>
      <c r="C229" s="3">
        <v>8</v>
      </c>
      <c r="D229" s="3">
        <v>2022</v>
      </c>
      <c r="E229" s="4">
        <f>'Electricity '!I231+'Electricity '!O231</f>
        <v>41514.540000000619</v>
      </c>
      <c r="F229" s="124">
        <v>2.7</v>
      </c>
      <c r="G229" s="4">
        <f>'Gas Water'!M232</f>
        <v>6576</v>
      </c>
      <c r="H229" s="124">
        <v>13.68</v>
      </c>
      <c r="I229" s="2">
        <f>'Gas Water'!L232</f>
        <v>268</v>
      </c>
      <c r="J229" s="124">
        <v>22.4</v>
      </c>
      <c r="K229" s="5">
        <v>157</v>
      </c>
      <c r="L229" s="5">
        <v>298</v>
      </c>
    </row>
    <row r="230" spans="1:12">
      <c r="A230" s="3" t="s">
        <v>12</v>
      </c>
      <c r="B230" s="3">
        <v>17</v>
      </c>
      <c r="C230" s="3">
        <v>8</v>
      </c>
      <c r="D230" s="3">
        <v>2022</v>
      </c>
      <c r="E230" s="4">
        <f>'Electricity '!I232+'Electricity '!O232</f>
        <v>43363.6799999992</v>
      </c>
      <c r="F230" s="124">
        <v>2.7</v>
      </c>
      <c r="G230" s="4">
        <f>'Gas Water'!M233</f>
        <v>6035</v>
      </c>
      <c r="H230" s="124">
        <v>13.68</v>
      </c>
      <c r="I230" s="2">
        <f>'Gas Water'!L233</f>
        <v>298</v>
      </c>
      <c r="J230" s="124">
        <v>22.4</v>
      </c>
      <c r="K230" s="5">
        <v>149</v>
      </c>
      <c r="L230" s="5">
        <v>287</v>
      </c>
    </row>
    <row r="231" spans="1:12">
      <c r="A231" s="3" t="s">
        <v>12</v>
      </c>
      <c r="B231" s="3">
        <v>18</v>
      </c>
      <c r="C231" s="3">
        <v>8</v>
      </c>
      <c r="D231" s="3">
        <v>2022</v>
      </c>
      <c r="E231" s="4">
        <f>'Electricity '!I233+'Electricity '!O233</f>
        <v>45975.100000000602</v>
      </c>
      <c r="F231" s="124">
        <v>2.7</v>
      </c>
      <c r="G231" s="4">
        <f>'Gas Water'!M234</f>
        <v>6037</v>
      </c>
      <c r="H231" s="124">
        <v>13.68</v>
      </c>
      <c r="I231" s="2">
        <f>'Gas Water'!L234</f>
        <v>288</v>
      </c>
      <c r="J231" s="124">
        <v>22.4</v>
      </c>
      <c r="K231" s="5">
        <v>148</v>
      </c>
      <c r="L231" s="5">
        <v>276</v>
      </c>
    </row>
    <row r="232" spans="1:12">
      <c r="A232" s="3" t="s">
        <v>12</v>
      </c>
      <c r="B232" s="3">
        <v>19</v>
      </c>
      <c r="C232" s="3">
        <v>8</v>
      </c>
      <c r="D232" s="3">
        <v>2022</v>
      </c>
      <c r="E232" s="4">
        <f>'Electricity '!I234+'Electricity '!O234</f>
        <v>45547.040000000241</v>
      </c>
      <c r="F232" s="124">
        <v>2.7</v>
      </c>
      <c r="G232" s="4">
        <f>'Gas Water'!M235</f>
        <v>6189</v>
      </c>
      <c r="H232" s="124">
        <v>13.68</v>
      </c>
      <c r="I232" s="2">
        <f>'Gas Water'!L235</f>
        <v>304</v>
      </c>
      <c r="J232" s="124">
        <v>22.4</v>
      </c>
      <c r="K232" s="5">
        <v>166</v>
      </c>
      <c r="L232" s="5">
        <v>274</v>
      </c>
    </row>
    <row r="233" spans="1:12">
      <c r="A233" s="3" t="s">
        <v>12</v>
      </c>
      <c r="B233" s="3">
        <v>20</v>
      </c>
      <c r="C233" s="3">
        <v>8</v>
      </c>
      <c r="D233" s="3">
        <v>2022</v>
      </c>
      <c r="E233" s="4">
        <f>'Electricity '!I235+'Electricity '!O235</f>
        <v>45196.139999999716</v>
      </c>
      <c r="F233" s="124">
        <v>2.7</v>
      </c>
      <c r="G233" s="4">
        <f>'Gas Water'!M236</f>
        <v>5975</v>
      </c>
      <c r="H233" s="124">
        <v>13.68</v>
      </c>
      <c r="I233" s="2">
        <f>'Gas Water'!L236</f>
        <v>305</v>
      </c>
      <c r="J233" s="124">
        <v>22.4</v>
      </c>
      <c r="K233" s="5">
        <v>164</v>
      </c>
      <c r="L233" s="5">
        <v>255</v>
      </c>
    </row>
    <row r="234" spans="1:12">
      <c r="A234" s="3" t="s">
        <v>12</v>
      </c>
      <c r="B234" s="3">
        <v>21</v>
      </c>
      <c r="C234" s="3">
        <v>8</v>
      </c>
      <c r="D234" s="3">
        <v>2022</v>
      </c>
      <c r="E234" s="4">
        <f>'Electricity '!I236+'Electricity '!O236</f>
        <v>43876.160000000207</v>
      </c>
      <c r="F234" s="124">
        <v>2.7</v>
      </c>
      <c r="G234" s="4">
        <f>'Gas Water'!M237</f>
        <v>5333</v>
      </c>
      <c r="H234" s="124">
        <v>13.68</v>
      </c>
      <c r="I234" s="2">
        <f>'Gas Water'!L237</f>
        <v>308</v>
      </c>
      <c r="J234" s="124">
        <v>22.4</v>
      </c>
      <c r="K234" s="5">
        <v>166</v>
      </c>
      <c r="L234" s="5">
        <v>260</v>
      </c>
    </row>
    <row r="235" spans="1:12">
      <c r="A235" s="3" t="s">
        <v>12</v>
      </c>
      <c r="B235" s="3">
        <v>22</v>
      </c>
      <c r="C235" s="3">
        <v>8</v>
      </c>
      <c r="D235" s="3">
        <v>2022</v>
      </c>
      <c r="E235" s="4">
        <f>'Electricity '!I237+'Electricity '!O237</f>
        <v>44054.559999999234</v>
      </c>
      <c r="F235" s="124">
        <v>2.7</v>
      </c>
      <c r="G235" s="4">
        <f>'Gas Water'!M238</f>
        <v>5922</v>
      </c>
      <c r="H235" s="124">
        <v>13.68</v>
      </c>
      <c r="I235" s="2">
        <f>'Gas Water'!L238</f>
        <v>358</v>
      </c>
      <c r="J235" s="124">
        <v>22.4</v>
      </c>
      <c r="K235" s="5">
        <v>162</v>
      </c>
      <c r="L235" s="5">
        <v>291</v>
      </c>
    </row>
    <row r="236" spans="1:12">
      <c r="A236" s="3" t="s">
        <v>12</v>
      </c>
      <c r="B236" s="3">
        <v>23</v>
      </c>
      <c r="C236" s="3">
        <v>8</v>
      </c>
      <c r="D236" s="3">
        <v>2022</v>
      </c>
      <c r="E236" s="4">
        <f>'Electricity '!I238+'Electricity '!O238</f>
        <v>45435.020000000499</v>
      </c>
      <c r="F236" s="124">
        <v>2.7</v>
      </c>
      <c r="G236" s="4">
        <f>'Gas Water'!M239</f>
        <v>6047</v>
      </c>
      <c r="H236" s="124">
        <v>13.68</v>
      </c>
      <c r="I236" s="2">
        <f>'Gas Water'!L239</f>
        <v>306</v>
      </c>
      <c r="J236" s="124">
        <v>22.4</v>
      </c>
      <c r="K236" s="5">
        <v>164</v>
      </c>
      <c r="L236" s="5">
        <v>286</v>
      </c>
    </row>
    <row r="237" spans="1:12">
      <c r="A237" s="3" t="s">
        <v>12</v>
      </c>
      <c r="B237" s="3">
        <v>24</v>
      </c>
      <c r="C237" s="3">
        <v>8</v>
      </c>
      <c r="D237" s="3">
        <v>2022</v>
      </c>
      <c r="E237" s="4">
        <f>'Electricity '!I239+'Electricity '!O239</f>
        <v>43569.979999999501</v>
      </c>
      <c r="F237" s="124">
        <v>2.7</v>
      </c>
      <c r="G237" s="4">
        <f>'Gas Water'!M240</f>
        <v>6106</v>
      </c>
      <c r="H237" s="124">
        <v>13.68</v>
      </c>
      <c r="I237" s="2">
        <f>'Gas Water'!L240</f>
        <v>276</v>
      </c>
      <c r="J237" s="124">
        <v>22.4</v>
      </c>
      <c r="K237" s="5">
        <v>160</v>
      </c>
      <c r="L237" s="5">
        <v>260</v>
      </c>
    </row>
    <row r="238" spans="1:12">
      <c r="A238" s="3" t="s">
        <v>12</v>
      </c>
      <c r="B238" s="3">
        <v>25</v>
      </c>
      <c r="C238" s="3">
        <v>8</v>
      </c>
      <c r="D238" s="3">
        <v>2022</v>
      </c>
      <c r="E238" s="4">
        <f>'Electricity '!I240+'Electricity '!O240</f>
        <v>42468.180000000706</v>
      </c>
      <c r="F238" s="124">
        <v>2.7</v>
      </c>
      <c r="G238" s="4">
        <f>'Gas Water'!M241</f>
        <v>6163</v>
      </c>
      <c r="H238" s="124">
        <v>13.68</v>
      </c>
      <c r="I238" s="2">
        <f>'Gas Water'!L241</f>
        <v>284</v>
      </c>
      <c r="J238" s="124">
        <v>22.4</v>
      </c>
      <c r="K238" s="5">
        <v>154</v>
      </c>
      <c r="L238" s="5">
        <v>257</v>
      </c>
    </row>
    <row r="239" spans="1:12">
      <c r="A239" s="3" t="s">
        <v>12</v>
      </c>
      <c r="B239" s="3">
        <v>26</v>
      </c>
      <c r="C239" s="3">
        <v>8</v>
      </c>
      <c r="D239" s="3">
        <v>2022</v>
      </c>
      <c r="E239" s="4">
        <f>'Electricity '!I241+'Electricity '!O241</f>
        <v>45245.859999999913</v>
      </c>
      <c r="F239" s="124">
        <v>2.7</v>
      </c>
      <c r="G239" s="4">
        <f>'Gas Water'!M242</f>
        <v>6050</v>
      </c>
      <c r="H239" s="124">
        <v>13.68</v>
      </c>
      <c r="I239" s="2">
        <f>'Gas Water'!L242</f>
        <v>274</v>
      </c>
      <c r="J239" s="124">
        <v>22.4</v>
      </c>
      <c r="K239" s="5">
        <v>151</v>
      </c>
      <c r="L239" s="5">
        <v>272</v>
      </c>
    </row>
    <row r="240" spans="1:12">
      <c r="A240" s="3" t="s">
        <v>12</v>
      </c>
      <c r="B240" s="3">
        <v>27</v>
      </c>
      <c r="C240" s="3">
        <v>8</v>
      </c>
      <c r="D240" s="3">
        <v>2022</v>
      </c>
      <c r="E240" s="4">
        <f>'Electricity '!I242+'Electricity '!O242</f>
        <v>47578.439999998882</v>
      </c>
      <c r="F240" s="124">
        <v>2.7</v>
      </c>
      <c r="G240" s="4">
        <f>'Gas Water'!M243</f>
        <v>6204</v>
      </c>
      <c r="H240" s="124">
        <v>13.68</v>
      </c>
      <c r="I240" s="2">
        <f>'Gas Water'!L243</f>
        <v>340</v>
      </c>
      <c r="J240" s="124">
        <v>22.4</v>
      </c>
      <c r="K240" s="5">
        <v>146</v>
      </c>
      <c r="L240" s="5">
        <v>269</v>
      </c>
    </row>
    <row r="241" spans="1:12">
      <c r="A241" s="3" t="s">
        <v>12</v>
      </c>
      <c r="B241" s="3">
        <v>28</v>
      </c>
      <c r="C241" s="3">
        <v>8</v>
      </c>
      <c r="D241" s="3">
        <v>2022</v>
      </c>
      <c r="E241" s="4">
        <f>'Electricity '!I243+'Electricity '!O243</f>
        <v>46242.079999999725</v>
      </c>
      <c r="F241" s="124">
        <v>2.7</v>
      </c>
      <c r="G241" s="4">
        <f>'Gas Water'!M244</f>
        <v>6282</v>
      </c>
      <c r="H241" s="124">
        <v>13.68</v>
      </c>
      <c r="I241" s="2">
        <f>'Gas Water'!L244</f>
        <v>390</v>
      </c>
      <c r="J241" s="124">
        <v>22.4</v>
      </c>
      <c r="K241" s="5">
        <v>129</v>
      </c>
      <c r="L241" s="5">
        <v>252</v>
      </c>
    </row>
    <row r="242" spans="1:12">
      <c r="A242" s="3" t="s">
        <v>12</v>
      </c>
      <c r="B242" s="3">
        <v>29</v>
      </c>
      <c r="C242" s="3">
        <v>8</v>
      </c>
      <c r="D242" s="3">
        <v>2022</v>
      </c>
      <c r="E242" s="4">
        <f>'Electricity '!I244+'Electricity '!O244</f>
        <v>46042.480000000636</v>
      </c>
      <c r="F242" s="124">
        <v>2.7</v>
      </c>
      <c r="G242" s="4">
        <f>'Gas Water'!M245</f>
        <v>6320</v>
      </c>
      <c r="H242" s="124">
        <v>13.68</v>
      </c>
      <c r="I242" s="2">
        <f>'Gas Water'!L245</f>
        <v>304</v>
      </c>
      <c r="J242" s="124">
        <v>22.4</v>
      </c>
      <c r="K242" s="5">
        <v>150</v>
      </c>
      <c r="L242" s="5">
        <v>258</v>
      </c>
    </row>
    <row r="243" spans="1:12">
      <c r="A243" s="3" t="s">
        <v>12</v>
      </c>
      <c r="B243" s="3">
        <v>30</v>
      </c>
      <c r="C243" s="3">
        <v>8</v>
      </c>
      <c r="D243" s="3">
        <v>2022</v>
      </c>
      <c r="E243" s="4">
        <f>'Electricity '!I245+'Electricity '!O245</f>
        <v>48037.579999999354</v>
      </c>
      <c r="F243" s="124">
        <v>2.7</v>
      </c>
      <c r="G243" s="4">
        <f>'Gas Water'!M246</f>
        <v>5980</v>
      </c>
      <c r="H243" s="124">
        <v>13.68</v>
      </c>
      <c r="I243" s="2">
        <f>'Gas Water'!L246</f>
        <v>335</v>
      </c>
      <c r="J243" s="124">
        <v>22.4</v>
      </c>
      <c r="K243" s="5">
        <v>151</v>
      </c>
      <c r="L243" s="5">
        <v>262</v>
      </c>
    </row>
    <row r="244" spans="1:12">
      <c r="A244" s="3" t="s">
        <v>12</v>
      </c>
      <c r="B244" s="3">
        <v>31</v>
      </c>
      <c r="C244" s="3">
        <v>8</v>
      </c>
      <c r="D244" s="3">
        <v>2022</v>
      </c>
      <c r="E244" s="4">
        <f>'Electricity '!I246+'Electricity '!O246</f>
        <v>43412.059999999983</v>
      </c>
      <c r="F244" s="124">
        <v>2.7</v>
      </c>
      <c r="G244" s="4">
        <f>'Gas Water'!M247</f>
        <v>6166</v>
      </c>
      <c r="H244" s="124">
        <v>13.68</v>
      </c>
      <c r="I244" s="2">
        <f>'Gas Water'!L247</f>
        <v>301</v>
      </c>
      <c r="J244" s="124">
        <v>22.4</v>
      </c>
      <c r="K244" s="5">
        <v>166</v>
      </c>
      <c r="L244" s="5">
        <v>278</v>
      </c>
    </row>
    <row r="245" spans="1:12">
      <c r="A245" s="3" t="s">
        <v>12</v>
      </c>
      <c r="B245" s="3">
        <v>1</v>
      </c>
      <c r="C245" s="3">
        <v>9</v>
      </c>
      <c r="D245" s="3">
        <v>2022</v>
      </c>
      <c r="E245" s="4">
        <f>'Electricity '!I247+'Electricity '!O247</f>
        <v>45815.240000001068</v>
      </c>
      <c r="F245" s="124" t="s">
        <v>13</v>
      </c>
      <c r="G245" s="4">
        <f>'Gas Water'!M248</f>
        <v>3760</v>
      </c>
      <c r="H245" s="124">
        <v>20</v>
      </c>
      <c r="I245" s="2">
        <f>'Gas Water'!L248</f>
        <v>262</v>
      </c>
      <c r="J245" s="124" t="s">
        <v>14</v>
      </c>
      <c r="K245" s="5">
        <v>143</v>
      </c>
      <c r="L245" s="5">
        <v>277</v>
      </c>
    </row>
    <row r="246" spans="1:12">
      <c r="A246" s="3" t="s">
        <v>12</v>
      </c>
      <c r="B246" s="3">
        <v>2</v>
      </c>
      <c r="C246" s="3">
        <v>9</v>
      </c>
      <c r="D246" s="3">
        <v>2022</v>
      </c>
      <c r="E246" s="4">
        <f>'Electricity '!I248+'Electricity '!O248</f>
        <v>42546.780000000181</v>
      </c>
      <c r="F246" s="124" t="s">
        <v>13</v>
      </c>
      <c r="G246" s="4">
        <f>'Gas Water'!M249</f>
        <v>1393</v>
      </c>
      <c r="H246" s="124">
        <v>20</v>
      </c>
      <c r="I246" s="2">
        <f>'Gas Water'!L249</f>
        <v>254</v>
      </c>
      <c r="J246" s="124" t="s">
        <v>14</v>
      </c>
      <c r="K246" s="5">
        <v>149</v>
      </c>
      <c r="L246" s="5">
        <v>279</v>
      </c>
    </row>
    <row r="247" spans="1:12">
      <c r="A247" s="3" t="s">
        <v>12</v>
      </c>
      <c r="B247" s="3">
        <v>3</v>
      </c>
      <c r="C247" s="3">
        <v>9</v>
      </c>
      <c r="D247" s="3">
        <v>2022</v>
      </c>
      <c r="E247" s="4">
        <f>'Electricity '!I249+'Electricity '!O249</f>
        <v>39350.699999998571</v>
      </c>
      <c r="F247" s="124" t="s">
        <v>13</v>
      </c>
      <c r="G247" s="4">
        <f>'Gas Water'!M250</f>
        <v>1511</v>
      </c>
      <c r="H247" s="124">
        <v>20</v>
      </c>
      <c r="I247" s="2">
        <f>'Gas Water'!L250</f>
        <v>287</v>
      </c>
      <c r="J247" s="124" t="s">
        <v>14</v>
      </c>
      <c r="K247" s="5">
        <v>149</v>
      </c>
      <c r="L247" s="5">
        <v>291</v>
      </c>
    </row>
    <row r="248" spans="1:12">
      <c r="A248" s="3" t="s">
        <v>12</v>
      </c>
      <c r="B248" s="3">
        <v>4</v>
      </c>
      <c r="C248" s="3">
        <v>9</v>
      </c>
      <c r="D248" s="3">
        <v>2022</v>
      </c>
      <c r="E248" s="4">
        <f>'Electricity '!I250+'Electricity '!O250</f>
        <v>37171.300000001807</v>
      </c>
      <c r="F248" s="124" t="s">
        <v>13</v>
      </c>
      <c r="G248" s="4">
        <f>'Gas Water'!M251</f>
        <v>6371</v>
      </c>
      <c r="H248" s="124">
        <v>20</v>
      </c>
      <c r="I248" s="2">
        <f>'Gas Water'!L251</f>
        <v>319</v>
      </c>
      <c r="J248" s="124" t="s">
        <v>14</v>
      </c>
      <c r="K248" s="5">
        <v>158</v>
      </c>
      <c r="L248" s="5">
        <v>311</v>
      </c>
    </row>
    <row r="249" spans="1:12">
      <c r="A249" s="3" t="s">
        <v>12</v>
      </c>
      <c r="B249" s="3">
        <v>5</v>
      </c>
      <c r="C249" s="3">
        <v>9</v>
      </c>
      <c r="D249" s="3">
        <v>2022</v>
      </c>
      <c r="E249" s="4">
        <f>'Electricity '!I251+'Electricity '!O251</f>
        <v>37016.259999999682</v>
      </c>
      <c r="F249" s="124" t="s">
        <v>13</v>
      </c>
      <c r="G249" s="4">
        <f>'Gas Water'!M252</f>
        <v>6257</v>
      </c>
      <c r="H249" s="124">
        <v>20</v>
      </c>
      <c r="I249" s="2">
        <f>'Gas Water'!L252</f>
        <v>335</v>
      </c>
      <c r="J249" s="124" t="s">
        <v>14</v>
      </c>
      <c r="K249" s="5">
        <v>150</v>
      </c>
      <c r="L249" s="5">
        <v>282</v>
      </c>
    </row>
    <row r="250" spans="1:12">
      <c r="A250" s="3" t="s">
        <v>12</v>
      </c>
      <c r="B250" s="3">
        <v>6</v>
      </c>
      <c r="C250" s="3">
        <v>9</v>
      </c>
      <c r="D250" s="3">
        <v>2022</v>
      </c>
      <c r="E250" s="4">
        <f>'Electricity '!I252+'Electricity '!O252</f>
        <v>33185.87999999852</v>
      </c>
      <c r="F250" s="124" t="s">
        <v>13</v>
      </c>
      <c r="G250" s="4">
        <f>'Gas Water'!M253</f>
        <v>6164</v>
      </c>
      <c r="H250" s="124">
        <v>20</v>
      </c>
      <c r="I250" s="2">
        <f>'Gas Water'!L253</f>
        <v>315</v>
      </c>
      <c r="J250" s="124" t="s">
        <v>14</v>
      </c>
      <c r="K250" s="5">
        <v>145</v>
      </c>
      <c r="L250" s="5">
        <v>279</v>
      </c>
    </row>
    <row r="251" spans="1:12">
      <c r="A251" s="3" t="s">
        <v>12</v>
      </c>
      <c r="B251" s="3">
        <v>7</v>
      </c>
      <c r="C251" s="3">
        <v>9</v>
      </c>
      <c r="D251" s="3">
        <v>2022</v>
      </c>
      <c r="E251" s="4">
        <f>'Electricity '!I253+'Electricity '!O253</f>
        <v>34738.76000000081</v>
      </c>
      <c r="F251" s="124" t="s">
        <v>13</v>
      </c>
      <c r="G251" s="4">
        <f>'Gas Water'!M254</f>
        <v>6193</v>
      </c>
      <c r="H251" s="124">
        <v>20</v>
      </c>
      <c r="I251" s="2">
        <f>'Gas Water'!L254</f>
        <v>299</v>
      </c>
      <c r="J251" s="124" t="s">
        <v>14</v>
      </c>
      <c r="K251" s="5">
        <v>149</v>
      </c>
      <c r="L251" s="5">
        <v>276</v>
      </c>
    </row>
    <row r="252" spans="1:12">
      <c r="A252" s="3" t="s">
        <v>12</v>
      </c>
      <c r="B252" s="3">
        <v>8</v>
      </c>
      <c r="C252" s="3">
        <v>9</v>
      </c>
      <c r="D252" s="3">
        <v>2022</v>
      </c>
      <c r="E252" s="4">
        <f>'Electricity '!I254+'Electricity '!O254</f>
        <v>34267.3200000008</v>
      </c>
      <c r="F252" s="124" t="s">
        <v>13</v>
      </c>
      <c r="G252" s="4">
        <f>'Gas Water'!M255</f>
        <v>6623</v>
      </c>
      <c r="H252" s="124">
        <v>20</v>
      </c>
      <c r="I252" s="2">
        <f>'Gas Water'!L255</f>
        <v>321</v>
      </c>
      <c r="J252" s="124" t="s">
        <v>14</v>
      </c>
      <c r="K252" s="5">
        <v>146</v>
      </c>
      <c r="L252" s="5">
        <v>263</v>
      </c>
    </row>
    <row r="253" spans="1:12">
      <c r="A253" s="3" t="s">
        <v>12</v>
      </c>
      <c r="B253" s="3">
        <v>9</v>
      </c>
      <c r="C253" s="3">
        <v>9</v>
      </c>
      <c r="D253" s="3">
        <v>2022</v>
      </c>
      <c r="E253" s="4">
        <f>'Electricity '!I255+'Electricity '!O255</f>
        <v>36299.820000000043</v>
      </c>
      <c r="F253" s="124" t="s">
        <v>13</v>
      </c>
      <c r="G253" s="4">
        <f>'Gas Water'!M256</f>
        <v>6734</v>
      </c>
      <c r="H253" s="124">
        <v>20</v>
      </c>
      <c r="I253" s="2">
        <f>'Gas Water'!L256</f>
        <v>299</v>
      </c>
      <c r="J253" s="124" t="s">
        <v>14</v>
      </c>
      <c r="K253" s="5">
        <v>134</v>
      </c>
      <c r="L253" s="5">
        <v>241</v>
      </c>
    </row>
    <row r="254" spans="1:12">
      <c r="A254" s="3" t="s">
        <v>12</v>
      </c>
      <c r="B254" s="3">
        <v>10</v>
      </c>
      <c r="C254" s="3">
        <v>9</v>
      </c>
      <c r="D254" s="3">
        <v>2022</v>
      </c>
      <c r="E254" s="4">
        <f>'Electricity '!I256+'Electricity '!O256</f>
        <v>35747.69999999932</v>
      </c>
      <c r="F254" s="124" t="s">
        <v>13</v>
      </c>
      <c r="G254" s="4">
        <f>'Gas Water'!M257</f>
        <v>6098</v>
      </c>
      <c r="H254" s="124">
        <v>20</v>
      </c>
      <c r="I254" s="2">
        <f>'Gas Water'!L257</f>
        <v>339</v>
      </c>
      <c r="J254" s="124" t="s">
        <v>14</v>
      </c>
      <c r="K254" s="5">
        <v>137</v>
      </c>
      <c r="L254" s="5">
        <v>236</v>
      </c>
    </row>
    <row r="255" spans="1:12">
      <c r="A255" s="3" t="s">
        <v>12</v>
      </c>
      <c r="B255" s="3">
        <v>11</v>
      </c>
      <c r="C255" s="3">
        <v>9</v>
      </c>
      <c r="D255" s="3">
        <v>2022</v>
      </c>
      <c r="E255" s="4">
        <f>'Electricity '!I257+'Electricity '!O257</f>
        <v>37220.73999999994</v>
      </c>
      <c r="F255" s="124" t="s">
        <v>13</v>
      </c>
      <c r="G255" s="4">
        <f>'Gas Water'!M258</f>
        <v>6325</v>
      </c>
      <c r="H255" s="124">
        <v>20</v>
      </c>
      <c r="I255" s="2">
        <f>'Gas Water'!L258</f>
        <v>412</v>
      </c>
      <c r="J255" s="124" t="s">
        <v>14</v>
      </c>
      <c r="K255" s="5">
        <v>144</v>
      </c>
      <c r="L255" s="5">
        <v>250</v>
      </c>
    </row>
    <row r="256" spans="1:12">
      <c r="A256" s="3" t="s">
        <v>12</v>
      </c>
      <c r="B256" s="3">
        <v>12</v>
      </c>
      <c r="C256" s="3">
        <v>9</v>
      </c>
      <c r="D256" s="3">
        <v>2022</v>
      </c>
      <c r="E256" s="4">
        <f>'Electricity '!I258+'Electricity '!O258</f>
        <v>39609.100000000224</v>
      </c>
      <c r="F256" s="124" t="s">
        <v>13</v>
      </c>
      <c r="G256" s="4">
        <f>'Gas Water'!M259</f>
        <v>5625</v>
      </c>
      <c r="H256" s="124">
        <v>20</v>
      </c>
      <c r="I256" s="2">
        <f>'Gas Water'!L259</f>
        <v>315</v>
      </c>
      <c r="J256" s="124" t="s">
        <v>14</v>
      </c>
      <c r="K256" s="5">
        <v>141</v>
      </c>
      <c r="L256" s="5">
        <v>243</v>
      </c>
    </row>
    <row r="257" spans="1:12">
      <c r="A257" s="3" t="s">
        <v>12</v>
      </c>
      <c r="B257" s="3">
        <v>13</v>
      </c>
      <c r="C257" s="3">
        <v>9</v>
      </c>
      <c r="D257" s="3">
        <v>2022</v>
      </c>
      <c r="E257" s="4">
        <f>'Electricity '!I259+'Electricity '!O259</f>
        <v>33534.640000000465</v>
      </c>
      <c r="F257" s="124" t="s">
        <v>13</v>
      </c>
      <c r="G257" s="4">
        <f>'Gas Water'!M260</f>
        <v>6318</v>
      </c>
      <c r="H257" s="124">
        <v>20</v>
      </c>
      <c r="I257" s="2">
        <f>'Gas Water'!L260</f>
        <v>283</v>
      </c>
      <c r="J257" s="124" t="s">
        <v>14</v>
      </c>
      <c r="K257" s="5">
        <v>160</v>
      </c>
      <c r="L257" s="5">
        <v>291</v>
      </c>
    </row>
    <row r="258" spans="1:12">
      <c r="A258" s="3" t="s">
        <v>12</v>
      </c>
      <c r="B258" s="3">
        <v>14</v>
      </c>
      <c r="C258" s="3">
        <v>9</v>
      </c>
      <c r="D258" s="3">
        <v>2022</v>
      </c>
      <c r="E258" s="4">
        <f>'Electricity '!I260+'Electricity '!O260</f>
        <v>38282.380000000034</v>
      </c>
      <c r="F258" s="124" t="s">
        <v>13</v>
      </c>
      <c r="G258" s="4">
        <f>'Gas Water'!M261</f>
        <v>6304</v>
      </c>
      <c r="H258" s="124">
        <v>20</v>
      </c>
      <c r="I258" s="2">
        <f>'Gas Water'!L261</f>
        <v>323</v>
      </c>
      <c r="J258" s="124" t="s">
        <v>14</v>
      </c>
      <c r="K258" s="5">
        <v>155</v>
      </c>
      <c r="L258" s="5">
        <v>284</v>
      </c>
    </row>
    <row r="259" spans="1:12">
      <c r="A259" s="3" t="s">
        <v>12</v>
      </c>
      <c r="B259" s="3">
        <v>15</v>
      </c>
      <c r="C259" s="3">
        <v>9</v>
      </c>
      <c r="D259" s="3">
        <v>2022</v>
      </c>
      <c r="E259" s="4">
        <f>'Electricity '!I261+'Electricity '!O261</f>
        <v>38975.879999999277</v>
      </c>
      <c r="F259" s="124" t="s">
        <v>13</v>
      </c>
      <c r="G259" s="4">
        <f>'Gas Water'!M262</f>
        <v>5753</v>
      </c>
      <c r="H259" s="124">
        <v>20</v>
      </c>
      <c r="I259" s="2">
        <f>'Gas Water'!L262</f>
        <v>291</v>
      </c>
      <c r="J259" s="124" t="s">
        <v>14</v>
      </c>
      <c r="K259" s="5">
        <v>147</v>
      </c>
      <c r="L259" s="5">
        <v>257</v>
      </c>
    </row>
    <row r="260" spans="1:12">
      <c r="A260" s="3" t="s">
        <v>12</v>
      </c>
      <c r="B260" s="3">
        <v>16</v>
      </c>
      <c r="C260" s="3">
        <v>9</v>
      </c>
      <c r="D260" s="3">
        <v>2022</v>
      </c>
      <c r="E260" s="4">
        <f>'Electricity '!I262+'Electricity '!O262</f>
        <v>42444.240000000318</v>
      </c>
      <c r="F260" s="124" t="s">
        <v>13</v>
      </c>
      <c r="G260" s="4">
        <f>'Gas Water'!M263</f>
        <v>5815</v>
      </c>
      <c r="H260" s="124">
        <v>20</v>
      </c>
      <c r="I260" s="2">
        <f>'Gas Water'!L263</f>
        <v>376</v>
      </c>
      <c r="J260" s="124" t="s">
        <v>14</v>
      </c>
      <c r="K260" s="5">
        <v>153</v>
      </c>
      <c r="L260" s="5">
        <v>292</v>
      </c>
    </row>
    <row r="261" spans="1:12">
      <c r="A261" s="3" t="s">
        <v>12</v>
      </c>
      <c r="B261" s="3">
        <v>17</v>
      </c>
      <c r="C261" s="3">
        <v>9</v>
      </c>
      <c r="D261" s="3">
        <v>2022</v>
      </c>
      <c r="E261" s="4">
        <f>'Electricity '!I263+'Electricity '!O263</f>
        <v>40556.039999998735</v>
      </c>
      <c r="F261" s="124" t="s">
        <v>13</v>
      </c>
      <c r="G261" s="4">
        <f>'Gas Water'!M264</f>
        <v>4974</v>
      </c>
      <c r="H261" s="124">
        <v>20</v>
      </c>
      <c r="I261" s="2">
        <f>'Gas Water'!L264</f>
        <v>321</v>
      </c>
      <c r="J261" s="124" t="s">
        <v>14</v>
      </c>
      <c r="K261" s="5">
        <v>160</v>
      </c>
      <c r="L261" s="5">
        <v>314</v>
      </c>
    </row>
    <row r="262" spans="1:12">
      <c r="A262" s="3" t="s">
        <v>12</v>
      </c>
      <c r="B262" s="3">
        <v>18</v>
      </c>
      <c r="C262" s="3">
        <v>9</v>
      </c>
      <c r="D262" s="3">
        <v>2022</v>
      </c>
      <c r="E262" s="4">
        <f>'Electricity '!I264+'Electricity '!O264</f>
        <v>33620.940000000395</v>
      </c>
      <c r="F262" s="124" t="s">
        <v>13</v>
      </c>
      <c r="G262" s="4">
        <f>'Gas Water'!M265</f>
        <v>1869</v>
      </c>
      <c r="H262" s="124">
        <v>20</v>
      </c>
      <c r="I262" s="2">
        <f>'Gas Water'!L265</f>
        <v>295</v>
      </c>
      <c r="J262" s="124" t="s">
        <v>14</v>
      </c>
      <c r="K262" s="5">
        <v>159</v>
      </c>
      <c r="L262" s="5">
        <v>313</v>
      </c>
    </row>
    <row r="263" spans="1:12">
      <c r="A263" s="3" t="s">
        <v>12</v>
      </c>
      <c r="B263" s="3">
        <v>19</v>
      </c>
      <c r="C263" s="3">
        <v>9</v>
      </c>
      <c r="D263" s="3">
        <v>2022</v>
      </c>
      <c r="E263" s="4">
        <f>'Electricity '!I265+'Electricity '!O265</f>
        <v>32652.180000000706</v>
      </c>
      <c r="F263" s="124" t="s">
        <v>13</v>
      </c>
      <c r="G263" s="4">
        <f>'Gas Water'!M266</f>
        <v>2172</v>
      </c>
      <c r="H263" s="124">
        <v>20</v>
      </c>
      <c r="I263" s="2">
        <f>'Gas Water'!L266</f>
        <v>314</v>
      </c>
      <c r="J263" s="124" t="s">
        <v>14</v>
      </c>
      <c r="K263" s="5">
        <v>146</v>
      </c>
      <c r="L263" s="5">
        <v>287</v>
      </c>
    </row>
    <row r="264" spans="1:12">
      <c r="A264" s="3" t="s">
        <v>12</v>
      </c>
      <c r="B264" s="3">
        <v>20</v>
      </c>
      <c r="C264" s="3">
        <v>9</v>
      </c>
      <c r="D264" s="3">
        <v>2022</v>
      </c>
      <c r="E264" s="4">
        <f>'Electricity '!I266+'Electricity '!O266</f>
        <v>37272.420000000646</v>
      </c>
      <c r="F264" s="124" t="s">
        <v>13</v>
      </c>
      <c r="G264" s="4">
        <f>'Gas Water'!M267</f>
        <v>2314</v>
      </c>
      <c r="H264" s="124">
        <v>20</v>
      </c>
      <c r="I264" s="2">
        <f>'Gas Water'!L267</f>
        <v>313</v>
      </c>
      <c r="J264" s="124" t="s">
        <v>14</v>
      </c>
      <c r="K264" s="5">
        <v>164</v>
      </c>
      <c r="L264" s="5">
        <v>292</v>
      </c>
    </row>
    <row r="265" spans="1:12">
      <c r="A265" s="3" t="s">
        <v>12</v>
      </c>
      <c r="B265" s="3">
        <v>21</v>
      </c>
      <c r="C265" s="3">
        <v>9</v>
      </c>
      <c r="D265" s="3">
        <v>2022</v>
      </c>
      <c r="E265" s="4">
        <f>'Electricity '!I267+'Electricity '!O267</f>
        <v>29667.239999998812</v>
      </c>
      <c r="F265" s="124" t="s">
        <v>13</v>
      </c>
      <c r="G265" s="4">
        <f>'Gas Water'!M268</f>
        <v>2333</v>
      </c>
      <c r="H265" s="124">
        <v>20</v>
      </c>
      <c r="I265" s="2">
        <f>'Gas Water'!L268</f>
        <v>285</v>
      </c>
      <c r="J265" s="124" t="s">
        <v>14</v>
      </c>
      <c r="K265" s="5">
        <v>155</v>
      </c>
      <c r="L265" s="5">
        <v>269</v>
      </c>
    </row>
    <row r="266" spans="1:12">
      <c r="A266" s="3" t="s">
        <v>12</v>
      </c>
      <c r="B266" s="3">
        <v>22</v>
      </c>
      <c r="C266" s="3">
        <v>9</v>
      </c>
      <c r="D266" s="3">
        <v>2022</v>
      </c>
      <c r="E266" s="4">
        <f>'Electricity '!I268+'Electricity '!O268</f>
        <v>31625.460000000512</v>
      </c>
      <c r="F266" s="124" t="s">
        <v>13</v>
      </c>
      <c r="G266" s="4">
        <f>'Gas Water'!M269</f>
        <v>2390</v>
      </c>
      <c r="H266" s="124">
        <v>20</v>
      </c>
      <c r="I266" s="2">
        <f>'Gas Water'!L269</f>
        <v>252</v>
      </c>
      <c r="J266" s="124" t="s">
        <v>14</v>
      </c>
      <c r="K266" s="5">
        <v>153</v>
      </c>
      <c r="L266" s="5">
        <v>255</v>
      </c>
    </row>
    <row r="267" spans="1:12">
      <c r="A267" s="3" t="s">
        <v>12</v>
      </c>
      <c r="B267" s="3">
        <v>23</v>
      </c>
      <c r="C267" s="3">
        <v>9</v>
      </c>
      <c r="D267" s="3">
        <v>2022</v>
      </c>
      <c r="E267" s="4">
        <f>'Electricity '!I269+'Electricity '!O269</f>
        <v>29290.499999999247</v>
      </c>
      <c r="F267" s="124" t="s">
        <v>13</v>
      </c>
      <c r="G267" s="4">
        <f>'Gas Water'!M270</f>
        <v>2531</v>
      </c>
      <c r="H267" s="124">
        <v>20</v>
      </c>
      <c r="I267" s="2">
        <f>'Gas Water'!L270</f>
        <v>255</v>
      </c>
      <c r="J267" s="124" t="s">
        <v>14</v>
      </c>
      <c r="K267" s="5">
        <v>148</v>
      </c>
      <c r="L267" s="5">
        <v>249</v>
      </c>
    </row>
    <row r="268" spans="1:12">
      <c r="A268" s="3" t="s">
        <v>12</v>
      </c>
      <c r="B268" s="3">
        <v>24</v>
      </c>
      <c r="C268" s="3">
        <v>9</v>
      </c>
      <c r="D268" s="3">
        <v>2022</v>
      </c>
      <c r="E268" s="4">
        <f>'Electricity '!I270+'Electricity '!O270</f>
        <v>29112.480000000633</v>
      </c>
      <c r="F268" s="124" t="s">
        <v>13</v>
      </c>
      <c r="G268" s="4">
        <f>'Gas Water'!M271</f>
        <v>2443</v>
      </c>
      <c r="H268" s="124">
        <v>20</v>
      </c>
      <c r="I268" s="2">
        <f>'Gas Water'!L271</f>
        <v>231</v>
      </c>
      <c r="J268" s="124" t="s">
        <v>14</v>
      </c>
      <c r="K268" s="5">
        <v>159</v>
      </c>
      <c r="L268" s="5">
        <v>269</v>
      </c>
    </row>
    <row r="269" spans="1:12">
      <c r="A269" s="3" t="s">
        <v>12</v>
      </c>
      <c r="B269" s="3">
        <v>25</v>
      </c>
      <c r="C269" s="3">
        <v>9</v>
      </c>
      <c r="D269" s="3">
        <v>2022</v>
      </c>
      <c r="E269" s="4">
        <f>'Electricity '!I271+'Electricity '!O271</f>
        <v>28909.620000000723</v>
      </c>
      <c r="F269" s="124" t="s">
        <v>13</v>
      </c>
      <c r="G269" s="4">
        <f>'Gas Water'!M272</f>
        <v>2455</v>
      </c>
      <c r="H269" s="124">
        <v>20</v>
      </c>
      <c r="I269" s="2">
        <f>'Gas Water'!L272</f>
        <v>286</v>
      </c>
      <c r="J269" s="124" t="s">
        <v>14</v>
      </c>
      <c r="K269" s="5">
        <v>156</v>
      </c>
      <c r="L269" s="5">
        <v>261</v>
      </c>
    </row>
    <row r="270" spans="1:12">
      <c r="A270" s="3" t="s">
        <v>12</v>
      </c>
      <c r="B270" s="3">
        <v>26</v>
      </c>
      <c r="C270" s="3">
        <v>9</v>
      </c>
      <c r="D270" s="3">
        <v>2022</v>
      </c>
      <c r="E270" s="4">
        <f>'Electricity '!I272+'Electricity '!O272</f>
        <v>31533.819999998916</v>
      </c>
      <c r="F270" s="124" t="s">
        <v>13</v>
      </c>
      <c r="G270" s="4">
        <f>'Gas Water'!M273</f>
        <v>2462</v>
      </c>
      <c r="H270" s="124">
        <v>20</v>
      </c>
      <c r="I270" s="2">
        <f>'Gas Water'!L273</f>
        <v>310</v>
      </c>
      <c r="J270" s="124" t="s">
        <v>14</v>
      </c>
      <c r="K270" s="5">
        <v>164</v>
      </c>
      <c r="L270" s="5">
        <v>242</v>
      </c>
    </row>
    <row r="271" spans="1:12">
      <c r="A271" s="3" t="s">
        <v>12</v>
      </c>
      <c r="B271" s="3">
        <v>27</v>
      </c>
      <c r="C271" s="3">
        <v>9</v>
      </c>
      <c r="D271" s="3">
        <v>2022</v>
      </c>
      <c r="E271" s="4">
        <f>'Electricity '!I273+'Electricity '!O273</f>
        <v>31604.76000000006</v>
      </c>
      <c r="F271" s="124" t="s">
        <v>13</v>
      </c>
      <c r="G271" s="4">
        <f>'Gas Water'!M274</f>
        <v>2191</v>
      </c>
      <c r="H271" s="124">
        <v>20</v>
      </c>
      <c r="I271" s="2">
        <f>'Gas Water'!L274</f>
        <v>292</v>
      </c>
      <c r="J271" s="124" t="s">
        <v>14</v>
      </c>
      <c r="K271" s="5">
        <v>159</v>
      </c>
      <c r="L271" s="5">
        <v>225</v>
      </c>
    </row>
    <row r="272" spans="1:12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24" t="s">
        <v>13</v>
      </c>
      <c r="G272" s="4" t="str">
        <f>'Gas Water'!M275</f>
        <v/>
      </c>
      <c r="H272" s="124">
        <v>20</v>
      </c>
      <c r="I272" s="2" t="str">
        <f>'Gas Water'!L275</f>
        <v/>
      </c>
      <c r="J272" s="124" t="s">
        <v>14</v>
      </c>
      <c r="K272" s="5"/>
      <c r="L272" s="5"/>
    </row>
    <row r="273" spans="1:12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24" t="s">
        <v>13</v>
      </c>
      <c r="G273" s="4" t="str">
        <f>'Gas Water'!M276</f>
        <v/>
      </c>
      <c r="H273" s="124">
        <v>20</v>
      </c>
      <c r="I273" s="2" t="str">
        <f>'Gas Water'!L276</f>
        <v/>
      </c>
      <c r="J273" s="124" t="s">
        <v>14</v>
      </c>
      <c r="K273" s="5"/>
      <c r="L273" s="5"/>
    </row>
    <row r="274" spans="1:12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24" t="s">
        <v>13</v>
      </c>
      <c r="G274" s="4" t="str">
        <f>'Gas Water'!M277</f>
        <v/>
      </c>
      <c r="H274" s="124">
        <v>20</v>
      </c>
      <c r="I274" s="2" t="str">
        <f>'Gas Water'!L277</f>
        <v/>
      </c>
      <c r="J274" s="124" t="s">
        <v>14</v>
      </c>
      <c r="K274" s="5"/>
      <c r="L274" s="5"/>
    </row>
    <row r="275" spans="1:12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24" t="s">
        <v>13</v>
      </c>
      <c r="G275" s="4" t="str">
        <f>'Gas Water'!M278</f>
        <v/>
      </c>
      <c r="H275" s="124">
        <v>20</v>
      </c>
      <c r="I275" s="2" t="str">
        <f>'Gas Water'!L278</f>
        <v/>
      </c>
      <c r="J275" s="124" t="s">
        <v>14</v>
      </c>
      <c r="K275" s="5"/>
      <c r="L275" s="5"/>
    </row>
    <row r="276" spans="1:12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24" t="s">
        <v>13</v>
      </c>
      <c r="G276" s="4" t="str">
        <f>'Gas Water'!M279</f>
        <v/>
      </c>
      <c r="H276" s="124">
        <v>20</v>
      </c>
      <c r="I276" s="2" t="str">
        <f>'Gas Water'!L279</f>
        <v/>
      </c>
      <c r="J276" s="124" t="s">
        <v>14</v>
      </c>
      <c r="K276" s="5"/>
      <c r="L276" s="5"/>
    </row>
    <row r="277" spans="1:12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24" t="s">
        <v>13</v>
      </c>
      <c r="G277" s="4" t="str">
        <f>'Gas Water'!M280</f>
        <v/>
      </c>
      <c r="H277" s="124">
        <v>20</v>
      </c>
      <c r="I277" s="2" t="str">
        <f>'Gas Water'!L280</f>
        <v/>
      </c>
      <c r="J277" s="124" t="s">
        <v>14</v>
      </c>
      <c r="K277" s="5"/>
      <c r="L277" s="5"/>
    </row>
    <row r="278" spans="1:12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24" t="s">
        <v>13</v>
      </c>
      <c r="G278" s="4" t="str">
        <f>'Gas Water'!M281</f>
        <v/>
      </c>
      <c r="H278" s="124">
        <v>20</v>
      </c>
      <c r="I278" s="2" t="str">
        <f>'Gas Water'!L281</f>
        <v/>
      </c>
      <c r="J278" s="124" t="s">
        <v>14</v>
      </c>
      <c r="K278" s="5"/>
      <c r="L278" s="5"/>
    </row>
    <row r="279" spans="1:12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24" t="s">
        <v>13</v>
      </c>
      <c r="G279" s="4" t="str">
        <f>'Gas Water'!M282</f>
        <v/>
      </c>
      <c r="H279" s="124">
        <v>20</v>
      </c>
      <c r="I279" s="2" t="str">
        <f>'Gas Water'!L282</f>
        <v/>
      </c>
      <c r="J279" s="124" t="s">
        <v>14</v>
      </c>
      <c r="K279" s="5"/>
      <c r="L279" s="5"/>
    </row>
    <row r="280" spans="1:12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24" t="s">
        <v>13</v>
      </c>
      <c r="G280" s="4" t="str">
        <f>'Gas Water'!M283</f>
        <v/>
      </c>
      <c r="H280" s="124">
        <v>20</v>
      </c>
      <c r="I280" s="2" t="str">
        <f>'Gas Water'!L283</f>
        <v/>
      </c>
      <c r="J280" s="124" t="s">
        <v>14</v>
      </c>
      <c r="K280" s="5"/>
      <c r="L280" s="5"/>
    </row>
    <row r="281" spans="1:12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24" t="s">
        <v>13</v>
      </c>
      <c r="G281" s="4" t="str">
        <f>'Gas Water'!M284</f>
        <v/>
      </c>
      <c r="H281" s="124">
        <v>20</v>
      </c>
      <c r="I281" s="2" t="str">
        <f>'Gas Water'!L284</f>
        <v/>
      </c>
      <c r="J281" s="124" t="s">
        <v>14</v>
      </c>
      <c r="K281" s="5"/>
      <c r="L281" s="5"/>
    </row>
    <row r="282" spans="1:12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24" t="s">
        <v>13</v>
      </c>
      <c r="G282" s="4" t="str">
        <f>'Gas Water'!M285</f>
        <v/>
      </c>
      <c r="H282" s="124">
        <v>20</v>
      </c>
      <c r="I282" s="2" t="str">
        <f>'Gas Water'!L285</f>
        <v/>
      </c>
      <c r="J282" s="124" t="s">
        <v>14</v>
      </c>
      <c r="K282" s="5"/>
      <c r="L282" s="5"/>
    </row>
    <row r="283" spans="1:12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24" t="s">
        <v>13</v>
      </c>
      <c r="G283" s="4" t="str">
        <f>'Gas Water'!M286</f>
        <v/>
      </c>
      <c r="H283" s="124">
        <v>20</v>
      </c>
      <c r="I283" s="2" t="str">
        <f>'Gas Water'!L286</f>
        <v/>
      </c>
      <c r="J283" s="124" t="s">
        <v>14</v>
      </c>
      <c r="K283" s="5"/>
      <c r="L283" s="5"/>
    </row>
    <row r="284" spans="1:12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24" t="s">
        <v>13</v>
      </c>
      <c r="G284" s="4" t="str">
        <f>'Gas Water'!M287</f>
        <v/>
      </c>
      <c r="H284" s="124">
        <v>20</v>
      </c>
      <c r="I284" s="2" t="str">
        <f>'Gas Water'!L287</f>
        <v/>
      </c>
      <c r="J284" s="124" t="s">
        <v>14</v>
      </c>
      <c r="K284" s="5"/>
      <c r="L284" s="5"/>
    </row>
    <row r="285" spans="1:12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24" t="s">
        <v>13</v>
      </c>
      <c r="G285" s="4" t="str">
        <f>'Gas Water'!M288</f>
        <v/>
      </c>
      <c r="H285" s="124">
        <v>20</v>
      </c>
      <c r="I285" s="2" t="str">
        <f>'Gas Water'!L288</f>
        <v/>
      </c>
      <c r="J285" s="124" t="s">
        <v>14</v>
      </c>
      <c r="K285" s="5"/>
      <c r="L285" s="5"/>
    </row>
    <row r="286" spans="1:12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24" t="s">
        <v>13</v>
      </c>
      <c r="G286" s="4" t="str">
        <f>'Gas Water'!M289</f>
        <v/>
      </c>
      <c r="H286" s="124">
        <v>20</v>
      </c>
      <c r="I286" s="2" t="str">
        <f>'Gas Water'!L289</f>
        <v/>
      </c>
      <c r="J286" s="124" t="s">
        <v>14</v>
      </c>
      <c r="K286" s="5"/>
      <c r="L286" s="5"/>
    </row>
    <row r="287" spans="1:12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24" t="s">
        <v>13</v>
      </c>
      <c r="G287" s="4" t="str">
        <f>'Gas Water'!M290</f>
        <v/>
      </c>
      <c r="H287" s="124">
        <v>20</v>
      </c>
      <c r="I287" s="2" t="str">
        <f>'Gas Water'!L290</f>
        <v/>
      </c>
      <c r="J287" s="124" t="s">
        <v>14</v>
      </c>
      <c r="K287" s="5"/>
      <c r="L287" s="5"/>
    </row>
    <row r="288" spans="1:12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24" t="s">
        <v>13</v>
      </c>
      <c r="G288" s="4" t="str">
        <f>'Gas Water'!M291</f>
        <v/>
      </c>
      <c r="H288" s="124">
        <v>20</v>
      </c>
      <c r="I288" s="2" t="str">
        <f>'Gas Water'!L291</f>
        <v/>
      </c>
      <c r="J288" s="124" t="s">
        <v>14</v>
      </c>
      <c r="K288" s="5"/>
      <c r="L288" s="5"/>
    </row>
    <row r="289" spans="1:12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24" t="s">
        <v>13</v>
      </c>
      <c r="G289" s="4" t="str">
        <f>'Gas Water'!M292</f>
        <v/>
      </c>
      <c r="H289" s="124">
        <v>20</v>
      </c>
      <c r="I289" s="2" t="str">
        <f>'Gas Water'!L292</f>
        <v/>
      </c>
      <c r="J289" s="124" t="s">
        <v>14</v>
      </c>
      <c r="K289" s="5"/>
      <c r="L289" s="5"/>
    </row>
    <row r="290" spans="1:12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24" t="s">
        <v>13</v>
      </c>
      <c r="G290" s="4" t="str">
        <f>'Gas Water'!M293</f>
        <v/>
      </c>
      <c r="H290" s="124">
        <v>20</v>
      </c>
      <c r="I290" s="2" t="str">
        <f>'Gas Water'!L293</f>
        <v/>
      </c>
      <c r="J290" s="124" t="s">
        <v>14</v>
      </c>
      <c r="K290" s="5"/>
      <c r="L290" s="5"/>
    </row>
    <row r="291" spans="1:12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24" t="s">
        <v>13</v>
      </c>
      <c r="G291" s="4" t="str">
        <f>'Gas Water'!M294</f>
        <v/>
      </c>
      <c r="H291" s="124">
        <v>20</v>
      </c>
      <c r="I291" s="2" t="str">
        <f>'Gas Water'!L294</f>
        <v/>
      </c>
      <c r="J291" s="124" t="s">
        <v>14</v>
      </c>
      <c r="K291" s="5"/>
      <c r="L291" s="5"/>
    </row>
    <row r="292" spans="1:12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24" t="s">
        <v>13</v>
      </c>
      <c r="G292" s="4" t="str">
        <f>'Gas Water'!M295</f>
        <v/>
      </c>
      <c r="H292" s="124">
        <v>20</v>
      </c>
      <c r="I292" s="2" t="str">
        <f>'Gas Water'!L295</f>
        <v/>
      </c>
      <c r="J292" s="124" t="s">
        <v>14</v>
      </c>
      <c r="K292" s="5"/>
      <c r="L292" s="5"/>
    </row>
    <row r="293" spans="1:12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24" t="s">
        <v>13</v>
      </c>
      <c r="G293" s="4" t="str">
        <f>'Gas Water'!M296</f>
        <v/>
      </c>
      <c r="H293" s="124">
        <v>20</v>
      </c>
      <c r="I293" s="2" t="str">
        <f>'Gas Water'!L296</f>
        <v/>
      </c>
      <c r="J293" s="124" t="s">
        <v>14</v>
      </c>
      <c r="K293" s="5"/>
      <c r="L293" s="5"/>
    </row>
    <row r="294" spans="1:12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24" t="s">
        <v>13</v>
      </c>
      <c r="G294" s="4" t="str">
        <f>'Gas Water'!M297</f>
        <v/>
      </c>
      <c r="H294" s="124">
        <v>20</v>
      </c>
      <c r="I294" s="2" t="str">
        <f>'Gas Water'!L297</f>
        <v/>
      </c>
      <c r="J294" s="124" t="s">
        <v>14</v>
      </c>
      <c r="K294" s="5"/>
      <c r="L294" s="5"/>
    </row>
    <row r="295" spans="1:12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24" t="s">
        <v>13</v>
      </c>
      <c r="G295" s="4" t="str">
        <f>'Gas Water'!M298</f>
        <v/>
      </c>
      <c r="H295" s="124">
        <v>20</v>
      </c>
      <c r="I295" s="2" t="str">
        <f>'Gas Water'!L298</f>
        <v/>
      </c>
      <c r="J295" s="124" t="s">
        <v>14</v>
      </c>
      <c r="K295" s="5"/>
      <c r="L295" s="5"/>
    </row>
    <row r="296" spans="1:12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24" t="s">
        <v>13</v>
      </c>
      <c r="G296" s="4" t="str">
        <f>'Gas Water'!M299</f>
        <v/>
      </c>
      <c r="H296" s="124">
        <v>20</v>
      </c>
      <c r="I296" s="2" t="str">
        <f>'Gas Water'!L299</f>
        <v/>
      </c>
      <c r="J296" s="124" t="s">
        <v>14</v>
      </c>
      <c r="K296" s="5"/>
      <c r="L296" s="5"/>
    </row>
    <row r="297" spans="1:12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24" t="s">
        <v>13</v>
      </c>
      <c r="G297" s="4" t="str">
        <f>'Gas Water'!M300</f>
        <v/>
      </c>
      <c r="H297" s="124">
        <v>20</v>
      </c>
      <c r="I297" s="2" t="str">
        <f>'Gas Water'!L300</f>
        <v/>
      </c>
      <c r="J297" s="124" t="s">
        <v>14</v>
      </c>
      <c r="K297" s="5"/>
      <c r="L297" s="5"/>
    </row>
    <row r="298" spans="1:12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24" t="s">
        <v>13</v>
      </c>
      <c r="G298" s="4" t="str">
        <f>'Gas Water'!M301</f>
        <v/>
      </c>
      <c r="H298" s="124">
        <v>20</v>
      </c>
      <c r="I298" s="2" t="str">
        <f>'Gas Water'!L301</f>
        <v/>
      </c>
      <c r="J298" s="124" t="s">
        <v>14</v>
      </c>
      <c r="K298" s="5"/>
      <c r="L298" s="5"/>
    </row>
    <row r="299" spans="1:12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24" t="s">
        <v>13</v>
      </c>
      <c r="G299" s="4" t="str">
        <f>'Gas Water'!M302</f>
        <v/>
      </c>
      <c r="H299" s="124">
        <v>20</v>
      </c>
      <c r="I299" s="2" t="str">
        <f>'Gas Water'!L302</f>
        <v/>
      </c>
      <c r="J299" s="124" t="s">
        <v>14</v>
      </c>
      <c r="K299" s="5"/>
      <c r="L299" s="5"/>
    </row>
    <row r="300" spans="1:12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24" t="s">
        <v>13</v>
      </c>
      <c r="G300" s="4" t="str">
        <f>'Gas Water'!M303</f>
        <v/>
      </c>
      <c r="H300" s="124">
        <v>20</v>
      </c>
      <c r="I300" s="2" t="str">
        <f>'Gas Water'!L303</f>
        <v/>
      </c>
      <c r="J300" s="124" t="s">
        <v>14</v>
      </c>
      <c r="K300" s="5"/>
      <c r="L300" s="5"/>
    </row>
    <row r="301" spans="1:12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24" t="s">
        <v>13</v>
      </c>
      <c r="G301" s="4" t="str">
        <f>'Gas Water'!M304</f>
        <v/>
      </c>
      <c r="H301" s="124">
        <v>20</v>
      </c>
      <c r="I301" s="2" t="str">
        <f>'Gas Water'!L304</f>
        <v/>
      </c>
      <c r="J301" s="124" t="s">
        <v>14</v>
      </c>
      <c r="K301" s="5"/>
      <c r="L301" s="5"/>
    </row>
    <row r="302" spans="1:12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24" t="s">
        <v>13</v>
      </c>
      <c r="G302" s="4" t="str">
        <f>'Gas Water'!M305</f>
        <v/>
      </c>
      <c r="H302" s="124">
        <v>20</v>
      </c>
      <c r="I302" s="2" t="str">
        <f>'Gas Water'!L305</f>
        <v/>
      </c>
      <c r="J302" s="124" t="s">
        <v>14</v>
      </c>
      <c r="K302" s="5"/>
      <c r="L302" s="5"/>
    </row>
    <row r="303" spans="1:12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24" t="s">
        <v>13</v>
      </c>
      <c r="G303" s="4" t="str">
        <f>'Gas Water'!M306</f>
        <v/>
      </c>
      <c r="H303" s="124">
        <v>20</v>
      </c>
      <c r="I303" s="2" t="str">
        <f>'Gas Water'!L306</f>
        <v/>
      </c>
      <c r="J303" s="124" t="s">
        <v>14</v>
      </c>
      <c r="K303" s="5"/>
      <c r="L303" s="5"/>
    </row>
    <row r="304" spans="1:12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24" t="s">
        <v>13</v>
      </c>
      <c r="G304" s="4" t="str">
        <f>'Gas Water'!M307</f>
        <v/>
      </c>
      <c r="H304" s="124">
        <v>20</v>
      </c>
      <c r="I304" s="2" t="str">
        <f>'Gas Water'!L307</f>
        <v/>
      </c>
      <c r="J304" s="124" t="s">
        <v>14</v>
      </c>
      <c r="K304" s="5"/>
      <c r="L304" s="5"/>
    </row>
    <row r="305" spans="1:12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24" t="s">
        <v>13</v>
      </c>
      <c r="G305" s="4" t="str">
        <f>'Gas Water'!M308</f>
        <v/>
      </c>
      <c r="H305" s="124">
        <v>20</v>
      </c>
      <c r="I305" s="2" t="str">
        <f>'Gas Water'!L308</f>
        <v/>
      </c>
      <c r="J305" s="124" t="s">
        <v>14</v>
      </c>
      <c r="K305" s="5"/>
      <c r="L305" s="5"/>
    </row>
    <row r="306" spans="1:12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24" t="s">
        <v>13</v>
      </c>
      <c r="G306" s="4" t="str">
        <f>'Gas Water'!M309</f>
        <v/>
      </c>
      <c r="H306" s="124">
        <v>20</v>
      </c>
      <c r="I306" s="2" t="str">
        <f>'Gas Water'!L309</f>
        <v/>
      </c>
      <c r="J306" s="124" t="s">
        <v>14</v>
      </c>
      <c r="K306" s="5"/>
      <c r="L306" s="5"/>
    </row>
    <row r="307" spans="1:12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24" t="s">
        <v>13</v>
      </c>
      <c r="G307" s="4" t="str">
        <f>'Gas Water'!M310</f>
        <v/>
      </c>
      <c r="H307" s="124">
        <v>20</v>
      </c>
      <c r="I307" s="2" t="str">
        <f>'Gas Water'!L310</f>
        <v/>
      </c>
      <c r="J307" s="124" t="s">
        <v>14</v>
      </c>
      <c r="K307" s="5"/>
      <c r="L307" s="5"/>
    </row>
    <row r="308" spans="1:12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24" t="s">
        <v>13</v>
      </c>
      <c r="G308" s="4" t="str">
        <f>'Gas Water'!M311</f>
        <v/>
      </c>
      <c r="H308" s="124">
        <v>20</v>
      </c>
      <c r="I308" s="2" t="str">
        <f>'Gas Water'!L311</f>
        <v/>
      </c>
      <c r="J308" s="124" t="s">
        <v>14</v>
      </c>
      <c r="K308" s="5"/>
      <c r="L308" s="5"/>
    </row>
    <row r="309" spans="1:12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24" t="s">
        <v>13</v>
      </c>
      <c r="G309" s="4" t="str">
        <f>'Gas Water'!M312</f>
        <v/>
      </c>
      <c r="H309" s="124">
        <v>20</v>
      </c>
      <c r="I309" s="2" t="str">
        <f>'Gas Water'!L312</f>
        <v/>
      </c>
      <c r="J309" s="124" t="s">
        <v>14</v>
      </c>
      <c r="K309" s="5"/>
      <c r="L309" s="5"/>
    </row>
    <row r="310" spans="1:12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24" t="s">
        <v>13</v>
      </c>
      <c r="G310" s="4" t="str">
        <f>'Gas Water'!M313</f>
        <v/>
      </c>
      <c r="H310" s="124">
        <v>20</v>
      </c>
      <c r="I310" s="2" t="str">
        <f>'Gas Water'!L313</f>
        <v/>
      </c>
      <c r="J310" s="124" t="s">
        <v>14</v>
      </c>
      <c r="K310" s="5"/>
      <c r="L310" s="5"/>
    </row>
    <row r="311" spans="1:12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24" t="s">
        <v>13</v>
      </c>
      <c r="G311" s="4" t="str">
        <f>'Gas Water'!M314</f>
        <v/>
      </c>
      <c r="H311" s="124">
        <v>20</v>
      </c>
      <c r="I311" s="2" t="str">
        <f>'Gas Water'!L314</f>
        <v/>
      </c>
      <c r="J311" s="124" t="s">
        <v>14</v>
      </c>
      <c r="K311" s="5"/>
      <c r="L311" s="5"/>
    </row>
    <row r="312" spans="1:12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24" t="s">
        <v>13</v>
      </c>
      <c r="G312" s="4" t="str">
        <f>'Gas Water'!M315</f>
        <v/>
      </c>
      <c r="H312" s="124">
        <v>20</v>
      </c>
      <c r="I312" s="2" t="str">
        <f>'Gas Water'!L315</f>
        <v/>
      </c>
      <c r="J312" s="124" t="s">
        <v>14</v>
      </c>
      <c r="K312" s="5"/>
      <c r="L312" s="5"/>
    </row>
    <row r="313" spans="1:12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24" t="s">
        <v>13</v>
      </c>
      <c r="G313" s="4" t="str">
        <f>'Gas Water'!M316</f>
        <v/>
      </c>
      <c r="H313" s="124">
        <v>20</v>
      </c>
      <c r="I313" s="2" t="str">
        <f>'Gas Water'!L316</f>
        <v/>
      </c>
      <c r="J313" s="124" t="s">
        <v>14</v>
      </c>
      <c r="K313" s="5"/>
      <c r="L313" s="5"/>
    </row>
    <row r="314" spans="1:12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24" t="s">
        <v>13</v>
      </c>
      <c r="G314" s="4" t="str">
        <f>'Gas Water'!M317</f>
        <v/>
      </c>
      <c r="H314" s="124">
        <v>20</v>
      </c>
      <c r="I314" s="2" t="str">
        <f>'Gas Water'!L317</f>
        <v/>
      </c>
      <c r="J314" s="124" t="s">
        <v>14</v>
      </c>
      <c r="K314" s="5"/>
      <c r="L314" s="5"/>
    </row>
    <row r="315" spans="1:12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24" t="s">
        <v>13</v>
      </c>
      <c r="G315" s="4" t="str">
        <f>'Gas Water'!M318</f>
        <v/>
      </c>
      <c r="H315" s="124">
        <v>20</v>
      </c>
      <c r="I315" s="2" t="str">
        <f>'Gas Water'!L318</f>
        <v/>
      </c>
      <c r="J315" s="124" t="s">
        <v>14</v>
      </c>
      <c r="K315" s="5"/>
      <c r="L315" s="5"/>
    </row>
    <row r="316" spans="1:12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24" t="s">
        <v>13</v>
      </c>
      <c r="G316" s="4" t="str">
        <f>'Gas Water'!M319</f>
        <v/>
      </c>
      <c r="H316" s="124">
        <v>20</v>
      </c>
      <c r="I316" s="2" t="str">
        <f>'Gas Water'!L319</f>
        <v/>
      </c>
      <c r="J316" s="124" t="s">
        <v>14</v>
      </c>
      <c r="K316" s="5"/>
      <c r="L316" s="5"/>
    </row>
    <row r="317" spans="1:12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24" t="s">
        <v>13</v>
      </c>
      <c r="G317" s="4" t="str">
        <f>'Gas Water'!M320</f>
        <v/>
      </c>
      <c r="H317" s="124">
        <v>20</v>
      </c>
      <c r="I317" s="2" t="str">
        <f>'Gas Water'!L320</f>
        <v/>
      </c>
      <c r="J317" s="124" t="s">
        <v>14</v>
      </c>
      <c r="K317" s="5"/>
      <c r="L317" s="5"/>
    </row>
    <row r="318" spans="1:12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24" t="s">
        <v>13</v>
      </c>
      <c r="G318" s="4" t="str">
        <f>'Gas Water'!M321</f>
        <v/>
      </c>
      <c r="H318" s="124">
        <v>20</v>
      </c>
      <c r="I318" s="2" t="str">
        <f>'Gas Water'!L321</f>
        <v/>
      </c>
      <c r="J318" s="124" t="s">
        <v>14</v>
      </c>
      <c r="K318" s="5"/>
      <c r="L318" s="5"/>
    </row>
    <row r="319" spans="1:12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24" t="s">
        <v>13</v>
      </c>
      <c r="G319" s="4" t="str">
        <f>'Gas Water'!M322</f>
        <v/>
      </c>
      <c r="H319" s="124">
        <v>20</v>
      </c>
      <c r="I319" s="2" t="str">
        <f>'Gas Water'!L322</f>
        <v/>
      </c>
      <c r="J319" s="124" t="s">
        <v>14</v>
      </c>
      <c r="K319" s="5"/>
      <c r="L319" s="5"/>
    </row>
    <row r="320" spans="1:12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24" t="s">
        <v>13</v>
      </c>
      <c r="G320" s="4" t="str">
        <f>'Gas Water'!M323</f>
        <v/>
      </c>
      <c r="H320" s="124">
        <v>20</v>
      </c>
      <c r="I320" s="2" t="str">
        <f>'Gas Water'!L323</f>
        <v/>
      </c>
      <c r="J320" s="124" t="s">
        <v>14</v>
      </c>
      <c r="K320" s="5"/>
      <c r="L320" s="5"/>
    </row>
    <row r="321" spans="1:12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24" t="s">
        <v>13</v>
      </c>
      <c r="G321" s="4" t="str">
        <f>'Gas Water'!M324</f>
        <v/>
      </c>
      <c r="H321" s="124">
        <v>20</v>
      </c>
      <c r="I321" s="2" t="str">
        <f>'Gas Water'!L324</f>
        <v/>
      </c>
      <c r="J321" s="124" t="s">
        <v>14</v>
      </c>
      <c r="K321" s="5"/>
      <c r="L321" s="5"/>
    </row>
    <row r="322" spans="1:12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24" t="s">
        <v>13</v>
      </c>
      <c r="G322" s="4" t="str">
        <f>'Gas Water'!M325</f>
        <v/>
      </c>
      <c r="H322" s="124">
        <v>20</v>
      </c>
      <c r="I322" s="2" t="str">
        <f>'Gas Water'!L325</f>
        <v/>
      </c>
      <c r="J322" s="124" t="s">
        <v>14</v>
      </c>
      <c r="K322" s="5"/>
      <c r="L322" s="5"/>
    </row>
    <row r="323" spans="1:12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24" t="s">
        <v>13</v>
      </c>
      <c r="G323" s="4" t="str">
        <f>'Gas Water'!M326</f>
        <v/>
      </c>
      <c r="H323" s="124">
        <v>20</v>
      </c>
      <c r="I323" s="2" t="str">
        <f>'Gas Water'!L326</f>
        <v/>
      </c>
      <c r="J323" s="124" t="s">
        <v>14</v>
      </c>
      <c r="K323" s="5"/>
      <c r="L323" s="5"/>
    </row>
    <row r="324" spans="1:12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24" t="s">
        <v>13</v>
      </c>
      <c r="G324" s="4" t="str">
        <f>'Gas Water'!M327</f>
        <v/>
      </c>
      <c r="H324" s="124">
        <v>20</v>
      </c>
      <c r="I324" s="2" t="str">
        <f>'Gas Water'!L327</f>
        <v/>
      </c>
      <c r="J324" s="124" t="s">
        <v>14</v>
      </c>
      <c r="K324" s="5"/>
      <c r="L324" s="5"/>
    </row>
    <row r="325" spans="1:12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24" t="s">
        <v>13</v>
      </c>
      <c r="G325" s="4" t="str">
        <f>'Gas Water'!M328</f>
        <v/>
      </c>
      <c r="H325" s="124">
        <v>20</v>
      </c>
      <c r="I325" s="2" t="str">
        <f>'Gas Water'!L328</f>
        <v/>
      </c>
      <c r="J325" s="124" t="s">
        <v>14</v>
      </c>
      <c r="K325" s="5"/>
      <c r="L325" s="5"/>
    </row>
    <row r="326" spans="1:12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24" t="s">
        <v>13</v>
      </c>
      <c r="G326" s="4" t="str">
        <f>'Gas Water'!M329</f>
        <v/>
      </c>
      <c r="H326" s="124">
        <v>20</v>
      </c>
      <c r="I326" s="2" t="str">
        <f>'Gas Water'!L329</f>
        <v/>
      </c>
      <c r="J326" s="124" t="s">
        <v>14</v>
      </c>
      <c r="K326" s="5"/>
      <c r="L326" s="5"/>
    </row>
    <row r="327" spans="1:12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24" t="s">
        <v>13</v>
      </c>
      <c r="G327" s="4" t="str">
        <f>'Gas Water'!M330</f>
        <v/>
      </c>
      <c r="H327" s="124">
        <v>20</v>
      </c>
      <c r="I327" s="2" t="str">
        <f>'Gas Water'!L330</f>
        <v/>
      </c>
      <c r="J327" s="124" t="s">
        <v>14</v>
      </c>
      <c r="K327" s="5"/>
      <c r="L327" s="5"/>
    </row>
    <row r="328" spans="1:12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24" t="s">
        <v>13</v>
      </c>
      <c r="G328" s="4" t="str">
        <f>'Gas Water'!M331</f>
        <v/>
      </c>
      <c r="H328" s="124">
        <v>20</v>
      </c>
      <c r="I328" s="2" t="str">
        <f>'Gas Water'!L331</f>
        <v/>
      </c>
      <c r="J328" s="124" t="s">
        <v>14</v>
      </c>
      <c r="K328" s="5"/>
      <c r="L328" s="5"/>
    </row>
    <row r="329" spans="1:12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24" t="s">
        <v>13</v>
      </c>
      <c r="G329" s="4" t="str">
        <f>'Gas Water'!M332</f>
        <v/>
      </c>
      <c r="H329" s="124">
        <v>20</v>
      </c>
      <c r="I329" s="2" t="str">
        <f>'Gas Water'!L332</f>
        <v/>
      </c>
      <c r="J329" s="124" t="s">
        <v>14</v>
      </c>
      <c r="K329" s="5"/>
      <c r="L329" s="5"/>
    </row>
    <row r="330" spans="1:12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24" t="s">
        <v>13</v>
      </c>
      <c r="G330" s="4" t="str">
        <f>'Gas Water'!M333</f>
        <v/>
      </c>
      <c r="H330" s="124">
        <v>20</v>
      </c>
      <c r="I330" s="2" t="str">
        <f>'Gas Water'!L333</f>
        <v/>
      </c>
      <c r="J330" s="124" t="s">
        <v>14</v>
      </c>
      <c r="K330" s="5"/>
      <c r="L330" s="5"/>
    </row>
    <row r="331" spans="1:12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24" t="s">
        <v>13</v>
      </c>
      <c r="G331" s="4" t="str">
        <f>'Gas Water'!M334</f>
        <v/>
      </c>
      <c r="H331" s="124">
        <v>20</v>
      </c>
      <c r="I331" s="2" t="str">
        <f>'Gas Water'!L334</f>
        <v/>
      </c>
      <c r="J331" s="124" t="s">
        <v>14</v>
      </c>
      <c r="K331" s="5"/>
      <c r="L331" s="5"/>
    </row>
    <row r="332" spans="1:12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24" t="s">
        <v>13</v>
      </c>
      <c r="G332" s="4" t="str">
        <f>'Gas Water'!M335</f>
        <v/>
      </c>
      <c r="H332" s="124">
        <v>20</v>
      </c>
      <c r="I332" s="2" t="str">
        <f>'Gas Water'!L335</f>
        <v/>
      </c>
      <c r="J332" s="124" t="s">
        <v>14</v>
      </c>
      <c r="K332" s="5"/>
      <c r="L332" s="5"/>
    </row>
    <row r="333" spans="1:12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24" t="s">
        <v>13</v>
      </c>
      <c r="G333" s="4" t="str">
        <f>'Gas Water'!M336</f>
        <v/>
      </c>
      <c r="H333" s="124">
        <v>20</v>
      </c>
      <c r="I333" s="2" t="str">
        <f>'Gas Water'!L336</f>
        <v/>
      </c>
      <c r="J333" s="124" t="s">
        <v>14</v>
      </c>
      <c r="K333" s="5"/>
      <c r="L333" s="5"/>
    </row>
    <row r="334" spans="1:12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24" t="s">
        <v>13</v>
      </c>
      <c r="G334" s="4" t="str">
        <f>'Gas Water'!M337</f>
        <v/>
      </c>
      <c r="H334" s="124">
        <v>20</v>
      </c>
      <c r="I334" s="2" t="str">
        <f>'Gas Water'!L337</f>
        <v/>
      </c>
      <c r="J334" s="124" t="s">
        <v>14</v>
      </c>
      <c r="K334" s="5"/>
      <c r="L334" s="5"/>
    </row>
    <row r="335" spans="1:12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24" t="s">
        <v>13</v>
      </c>
      <c r="G335" s="4" t="str">
        <f>'Gas Water'!M338</f>
        <v/>
      </c>
      <c r="H335" s="124">
        <v>20</v>
      </c>
      <c r="I335" s="2" t="str">
        <f>'Gas Water'!L338</f>
        <v/>
      </c>
      <c r="J335" s="124" t="s">
        <v>14</v>
      </c>
      <c r="K335" s="5"/>
      <c r="L335" s="5"/>
    </row>
    <row r="336" spans="1:12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24" t="s">
        <v>13</v>
      </c>
      <c r="G336" s="4" t="str">
        <f>'Gas Water'!M339</f>
        <v/>
      </c>
      <c r="H336" s="124">
        <v>20</v>
      </c>
      <c r="I336" s="2" t="str">
        <f>'Gas Water'!L339</f>
        <v/>
      </c>
      <c r="J336" s="124" t="s">
        <v>14</v>
      </c>
      <c r="K336" s="5"/>
      <c r="L336" s="5"/>
    </row>
    <row r="337" spans="1:12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24" t="s">
        <v>13</v>
      </c>
      <c r="G337" s="4" t="str">
        <f>'Gas Water'!M340</f>
        <v/>
      </c>
      <c r="H337" s="124">
        <v>20</v>
      </c>
      <c r="I337" s="2" t="str">
        <f>'Gas Water'!L340</f>
        <v/>
      </c>
      <c r="J337" s="124" t="s">
        <v>14</v>
      </c>
      <c r="K337" s="5"/>
      <c r="L337" s="5"/>
    </row>
    <row r="338" spans="1:12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24" t="s">
        <v>13</v>
      </c>
      <c r="G338" s="4" t="str">
        <f>'Gas Water'!M341</f>
        <v/>
      </c>
      <c r="H338" s="124">
        <v>20</v>
      </c>
      <c r="I338" s="2" t="str">
        <f>'Gas Water'!L341</f>
        <v/>
      </c>
      <c r="J338" s="124" t="s">
        <v>14</v>
      </c>
      <c r="K338" s="5"/>
      <c r="L338" s="5"/>
    </row>
    <row r="339" spans="1:12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24" t="s">
        <v>13</v>
      </c>
      <c r="G339" s="4" t="str">
        <f>'Gas Water'!M342</f>
        <v/>
      </c>
      <c r="H339" s="124">
        <v>20</v>
      </c>
      <c r="I339" s="2" t="str">
        <f>'Gas Water'!L342</f>
        <v/>
      </c>
      <c r="J339" s="124" t="s">
        <v>14</v>
      </c>
      <c r="K339" s="5"/>
      <c r="L339" s="5"/>
    </row>
    <row r="340" spans="1:12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24" t="s">
        <v>13</v>
      </c>
      <c r="G340" s="4" t="str">
        <f>'Gas Water'!M343</f>
        <v/>
      </c>
      <c r="H340" s="124">
        <v>20</v>
      </c>
      <c r="I340" s="2" t="str">
        <f>'Gas Water'!L343</f>
        <v/>
      </c>
      <c r="J340" s="124" t="s">
        <v>14</v>
      </c>
      <c r="K340" s="5"/>
      <c r="L340" s="5"/>
    </row>
    <row r="341" spans="1:12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24" t="s">
        <v>13</v>
      </c>
      <c r="G341" s="4" t="str">
        <f>'Gas Water'!M344</f>
        <v/>
      </c>
      <c r="H341" s="124">
        <v>20</v>
      </c>
      <c r="I341" s="2" t="str">
        <f>'Gas Water'!L344</f>
        <v/>
      </c>
      <c r="J341" s="124" t="s">
        <v>14</v>
      </c>
      <c r="K341" s="5"/>
      <c r="L341" s="5"/>
    </row>
    <row r="342" spans="1:12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24" t="s">
        <v>13</v>
      </c>
      <c r="G342" s="4" t="str">
        <f>'Gas Water'!M345</f>
        <v/>
      </c>
      <c r="H342" s="124">
        <v>20</v>
      </c>
      <c r="I342" s="2" t="str">
        <f>'Gas Water'!L345</f>
        <v/>
      </c>
      <c r="J342" s="124" t="s">
        <v>14</v>
      </c>
      <c r="K342" s="5"/>
      <c r="L342" s="5"/>
    </row>
    <row r="343" spans="1:12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24" t="s">
        <v>13</v>
      </c>
      <c r="G343" s="4" t="str">
        <f>'Gas Water'!M346</f>
        <v/>
      </c>
      <c r="H343" s="124">
        <v>20</v>
      </c>
      <c r="I343" s="2" t="str">
        <f>'Gas Water'!L346</f>
        <v/>
      </c>
      <c r="J343" s="124" t="s">
        <v>14</v>
      </c>
      <c r="K343" s="5"/>
      <c r="L343" s="5"/>
    </row>
    <row r="344" spans="1:12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24" t="s">
        <v>13</v>
      </c>
      <c r="G344" s="4" t="str">
        <f>'Gas Water'!M347</f>
        <v/>
      </c>
      <c r="H344" s="124">
        <v>20</v>
      </c>
      <c r="I344" s="2" t="str">
        <f>'Gas Water'!L347</f>
        <v/>
      </c>
      <c r="J344" s="124" t="s">
        <v>14</v>
      </c>
      <c r="K344" s="5"/>
      <c r="L344" s="5"/>
    </row>
    <row r="345" spans="1:12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24" t="s">
        <v>13</v>
      </c>
      <c r="G345" s="4" t="str">
        <f>'Gas Water'!M348</f>
        <v/>
      </c>
      <c r="H345" s="124">
        <v>20</v>
      </c>
      <c r="I345" s="2" t="str">
        <f>'Gas Water'!L348</f>
        <v/>
      </c>
      <c r="J345" s="124" t="s">
        <v>14</v>
      </c>
      <c r="K345" s="5"/>
      <c r="L345" s="5"/>
    </row>
    <row r="346" spans="1:12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24" t="s">
        <v>13</v>
      </c>
      <c r="G346" s="4" t="str">
        <f>'Gas Water'!M349</f>
        <v/>
      </c>
      <c r="H346" s="124">
        <v>20</v>
      </c>
      <c r="I346" s="2" t="str">
        <f>'Gas Water'!L349</f>
        <v/>
      </c>
      <c r="J346" s="124" t="s">
        <v>14</v>
      </c>
      <c r="K346" s="5"/>
      <c r="L346" s="5"/>
    </row>
    <row r="347" spans="1:12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24" t="s">
        <v>13</v>
      </c>
      <c r="G347" s="4" t="str">
        <f>'Gas Water'!M350</f>
        <v/>
      </c>
      <c r="H347" s="124">
        <v>20</v>
      </c>
      <c r="I347" s="2" t="str">
        <f>'Gas Water'!L350</f>
        <v/>
      </c>
      <c r="J347" s="124" t="s">
        <v>14</v>
      </c>
      <c r="K347" s="5"/>
      <c r="L347" s="5"/>
    </row>
    <row r="348" spans="1:12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24" t="s">
        <v>13</v>
      </c>
      <c r="G348" s="4" t="str">
        <f>'Gas Water'!M351</f>
        <v/>
      </c>
      <c r="H348" s="124">
        <v>20</v>
      </c>
      <c r="I348" s="2" t="str">
        <f>'Gas Water'!L351</f>
        <v/>
      </c>
      <c r="J348" s="124" t="s">
        <v>14</v>
      </c>
      <c r="K348" s="5"/>
      <c r="L348" s="5"/>
    </row>
    <row r="349" spans="1:12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24" t="s">
        <v>13</v>
      </c>
      <c r="G349" s="4" t="str">
        <f>'Gas Water'!M352</f>
        <v/>
      </c>
      <c r="H349" s="124">
        <v>20</v>
      </c>
      <c r="I349" s="2" t="str">
        <f>'Gas Water'!L352</f>
        <v/>
      </c>
      <c r="J349" s="124" t="s">
        <v>14</v>
      </c>
      <c r="K349" s="5"/>
      <c r="L349" s="5"/>
    </row>
    <row r="350" spans="1:12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24" t="s">
        <v>13</v>
      </c>
      <c r="G350" s="4" t="str">
        <f>'Gas Water'!M353</f>
        <v/>
      </c>
      <c r="H350" s="124">
        <v>20</v>
      </c>
      <c r="I350" s="2" t="str">
        <f>'Gas Water'!L353</f>
        <v/>
      </c>
      <c r="J350" s="124" t="s">
        <v>14</v>
      </c>
      <c r="K350" s="5"/>
      <c r="L350" s="5"/>
    </row>
    <row r="351" spans="1:12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24" t="s">
        <v>13</v>
      </c>
      <c r="G351" s="4" t="str">
        <f>'Gas Water'!M354</f>
        <v/>
      </c>
      <c r="H351" s="124">
        <v>20</v>
      </c>
      <c r="I351" s="2" t="str">
        <f>'Gas Water'!L354</f>
        <v/>
      </c>
      <c r="J351" s="124" t="s">
        <v>14</v>
      </c>
      <c r="K351" s="5"/>
      <c r="L351" s="5"/>
    </row>
    <row r="352" spans="1:12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24" t="s">
        <v>13</v>
      </c>
      <c r="G352" s="4" t="str">
        <f>'Gas Water'!M355</f>
        <v/>
      </c>
      <c r="H352" s="124">
        <v>20</v>
      </c>
      <c r="I352" s="2" t="str">
        <f>'Gas Water'!L355</f>
        <v/>
      </c>
      <c r="J352" s="124" t="s">
        <v>14</v>
      </c>
      <c r="K352" s="5"/>
      <c r="L352" s="5"/>
    </row>
    <row r="353" spans="1:12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24" t="s">
        <v>13</v>
      </c>
      <c r="G353" s="4" t="str">
        <f>'Gas Water'!M356</f>
        <v/>
      </c>
      <c r="H353" s="124">
        <v>20</v>
      </c>
      <c r="I353" s="2" t="str">
        <f>'Gas Water'!L356</f>
        <v/>
      </c>
      <c r="J353" s="124" t="s">
        <v>14</v>
      </c>
      <c r="K353" s="5"/>
      <c r="L353" s="5"/>
    </row>
    <row r="354" spans="1:12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24" t="s">
        <v>13</v>
      </c>
      <c r="G354" s="4" t="str">
        <f>'Gas Water'!M357</f>
        <v/>
      </c>
      <c r="H354" s="124">
        <v>20</v>
      </c>
      <c r="I354" s="2" t="str">
        <f>'Gas Water'!L357</f>
        <v/>
      </c>
      <c r="J354" s="124" t="s">
        <v>14</v>
      </c>
      <c r="K354" s="5"/>
      <c r="L354" s="5"/>
    </row>
    <row r="355" spans="1:12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24" t="s">
        <v>13</v>
      </c>
      <c r="G355" s="4" t="str">
        <f>'Gas Water'!M358</f>
        <v/>
      </c>
      <c r="H355" s="124">
        <v>20</v>
      </c>
      <c r="I355" s="2" t="str">
        <f>'Gas Water'!L358</f>
        <v/>
      </c>
      <c r="J355" s="124" t="s">
        <v>14</v>
      </c>
      <c r="K355" s="5"/>
      <c r="L355" s="5"/>
    </row>
    <row r="356" spans="1:12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24" t="s">
        <v>13</v>
      </c>
      <c r="G356" s="4" t="str">
        <f>'Gas Water'!M359</f>
        <v/>
      </c>
      <c r="H356" s="124">
        <v>20</v>
      </c>
      <c r="I356" s="2" t="str">
        <f>'Gas Water'!L359</f>
        <v/>
      </c>
      <c r="J356" s="124" t="s">
        <v>14</v>
      </c>
      <c r="K356" s="5"/>
      <c r="L356" s="5"/>
    </row>
    <row r="357" spans="1:12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24" t="s">
        <v>13</v>
      </c>
      <c r="G357" s="4" t="str">
        <f>'Gas Water'!M360</f>
        <v/>
      </c>
      <c r="H357" s="124">
        <v>20</v>
      </c>
      <c r="I357" s="2" t="str">
        <f>'Gas Water'!L360</f>
        <v/>
      </c>
      <c r="J357" s="124" t="s">
        <v>14</v>
      </c>
      <c r="K357" s="5"/>
      <c r="L357" s="5"/>
    </row>
    <row r="358" spans="1:12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24" t="s">
        <v>13</v>
      </c>
      <c r="G358" s="4" t="str">
        <f>'Gas Water'!M361</f>
        <v/>
      </c>
      <c r="H358" s="124">
        <v>20</v>
      </c>
      <c r="I358" s="2" t="str">
        <f>'Gas Water'!L361</f>
        <v/>
      </c>
      <c r="J358" s="124" t="s">
        <v>14</v>
      </c>
      <c r="K358" s="5"/>
      <c r="L358" s="5"/>
    </row>
    <row r="359" spans="1:12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24" t="s">
        <v>13</v>
      </c>
      <c r="G359" s="4" t="str">
        <f>'Gas Water'!M362</f>
        <v/>
      </c>
      <c r="H359" s="124">
        <v>20</v>
      </c>
      <c r="I359" s="2" t="str">
        <f>'Gas Water'!L362</f>
        <v/>
      </c>
      <c r="J359" s="124" t="s">
        <v>14</v>
      </c>
      <c r="K359" s="5"/>
      <c r="L359" s="5"/>
    </row>
    <row r="360" spans="1:12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24" t="s">
        <v>13</v>
      </c>
      <c r="G360" s="4" t="str">
        <f>'Gas Water'!M363</f>
        <v/>
      </c>
      <c r="H360" s="124">
        <v>20</v>
      </c>
      <c r="I360" s="2" t="str">
        <f>'Gas Water'!L363</f>
        <v/>
      </c>
      <c r="J360" s="124" t="s">
        <v>14</v>
      </c>
      <c r="K360" s="5"/>
      <c r="L360" s="5"/>
    </row>
    <row r="361" spans="1:12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24" t="s">
        <v>13</v>
      </c>
      <c r="G361" s="4" t="str">
        <f>'Gas Water'!M364</f>
        <v/>
      </c>
      <c r="H361" s="124">
        <v>20</v>
      </c>
      <c r="I361" s="2" t="str">
        <f>'Gas Water'!L364</f>
        <v/>
      </c>
      <c r="J361" s="124" t="s">
        <v>14</v>
      </c>
      <c r="K361" s="5"/>
      <c r="L361" s="5"/>
    </row>
    <row r="362" spans="1:12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24" t="s">
        <v>13</v>
      </c>
      <c r="G362" s="4" t="str">
        <f>'Gas Water'!M365</f>
        <v/>
      </c>
      <c r="H362" s="124">
        <v>20</v>
      </c>
      <c r="I362" s="2" t="str">
        <f>'Gas Water'!L365</f>
        <v/>
      </c>
      <c r="J362" s="124" t="s">
        <v>14</v>
      </c>
      <c r="K362" s="5"/>
      <c r="L362" s="5"/>
    </row>
    <row r="363" spans="1:12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24" t="s">
        <v>13</v>
      </c>
      <c r="G363" s="4" t="str">
        <f>'Gas Water'!M366</f>
        <v/>
      </c>
      <c r="H363" s="124">
        <v>20</v>
      </c>
      <c r="I363" s="2" t="str">
        <f>'Gas Water'!L366</f>
        <v/>
      </c>
      <c r="J363" s="124" t="s">
        <v>14</v>
      </c>
      <c r="K363" s="5"/>
      <c r="L363" s="5"/>
    </row>
    <row r="364" spans="1:12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24" t="s">
        <v>13</v>
      </c>
      <c r="G364" s="4" t="str">
        <f>'Gas Water'!M367</f>
        <v/>
      </c>
      <c r="H364" s="124">
        <v>20</v>
      </c>
      <c r="I364" s="2" t="str">
        <f>'Gas Water'!L367</f>
        <v/>
      </c>
      <c r="J364" s="124" t="s">
        <v>14</v>
      </c>
      <c r="K364" s="5"/>
      <c r="L364" s="5"/>
    </row>
    <row r="365" spans="1:12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24" t="s">
        <v>13</v>
      </c>
      <c r="G365" s="4" t="str">
        <f>'Gas Water'!M368</f>
        <v/>
      </c>
      <c r="H365" s="124">
        <v>20</v>
      </c>
      <c r="I365" s="2" t="str">
        <f>'Gas Water'!L368</f>
        <v/>
      </c>
      <c r="J365" s="124" t="s">
        <v>14</v>
      </c>
      <c r="K365" s="5"/>
      <c r="L365" s="5"/>
    </row>
    <row r="366" spans="1:12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24" t="s">
        <v>13</v>
      </c>
      <c r="G366" s="4">
        <f>'Gas Water'!M369</f>
        <v>0</v>
      </c>
      <c r="H366" s="124">
        <v>20</v>
      </c>
      <c r="I366" s="2">
        <f>'Gas Water'!L369</f>
        <v>0</v>
      </c>
      <c r="J366" s="124" t="s">
        <v>14</v>
      </c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369"/>
  <sheetViews>
    <sheetView topLeftCell="A255" workbookViewId="0">
      <selection activeCell="N279" sqref="N279"/>
    </sheetView>
  </sheetViews>
  <sheetFormatPr defaultColWidth="9.140625" defaultRowHeight="14.45"/>
  <cols>
    <col min="1" max="1" width="10.85546875" style="122" customWidth="1"/>
    <col min="2" max="2" width="0.140625" style="1" customWidth="1"/>
    <col min="3" max="3" width="4.42578125" style="1" hidden="1" customWidth="1"/>
    <col min="4" max="4" width="13.5703125" style="121" customWidth="1"/>
    <col min="5" max="5" width="11.5703125" style="121" customWidth="1"/>
    <col min="6" max="6" width="9.7109375" style="121" customWidth="1"/>
    <col min="7" max="7" width="11.28515625" style="59" hidden="1" customWidth="1"/>
    <col min="8" max="8" width="11.28515625" style="59" customWidth="1"/>
    <col min="9" max="9" width="11.7109375" style="59" customWidth="1"/>
    <col min="10" max="10" width="12" style="59" customWidth="1"/>
    <col min="11" max="11" width="10.42578125" style="59" customWidth="1"/>
    <col min="12" max="12" width="12.7109375" style="59" bestFit="1" customWidth="1"/>
    <col min="13" max="13" width="10.7109375" style="59" bestFit="1" customWidth="1"/>
    <col min="14" max="14" width="14.140625" style="59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3" t="s">
        <v>22</v>
      </c>
      <c r="I1" s="43" t="s">
        <v>23</v>
      </c>
      <c r="J1" s="43" t="s">
        <v>24</v>
      </c>
      <c r="K1" s="43" t="s">
        <v>25</v>
      </c>
      <c r="L1" s="43" t="s">
        <v>26</v>
      </c>
      <c r="M1" s="43" t="s">
        <v>27</v>
      </c>
      <c r="N1" s="43" t="s">
        <v>28</v>
      </c>
      <c r="O1" s="43" t="s">
        <v>29</v>
      </c>
      <c r="P1" s="44"/>
      <c r="Q1" s="44"/>
      <c r="T1" s="144"/>
    </row>
    <row r="2" spans="1:41">
      <c r="A2" s="45">
        <v>43465</v>
      </c>
      <c r="B2" s="46"/>
      <c r="C2" s="46"/>
      <c r="D2" s="47">
        <v>4926.4570000000003</v>
      </c>
      <c r="E2" s="47">
        <v>220.02</v>
      </c>
      <c r="F2" s="47">
        <v>169.75</v>
      </c>
      <c r="G2" s="15"/>
      <c r="H2" s="15"/>
      <c r="I2" s="15"/>
      <c r="J2" s="15"/>
      <c r="K2" s="16"/>
      <c r="L2" s="15"/>
      <c r="M2" s="16"/>
      <c r="N2" s="48">
        <v>66068309</v>
      </c>
      <c r="O2" s="14"/>
      <c r="P2" s="14"/>
      <c r="Q2" s="49"/>
      <c r="S2" s="19"/>
      <c r="T2" s="144"/>
    </row>
    <row r="3" spans="1:41">
      <c r="A3" s="50">
        <v>44561</v>
      </c>
      <c r="B3" s="51"/>
      <c r="C3" s="51"/>
      <c r="D3" s="128">
        <v>0.14199999999999999</v>
      </c>
      <c r="E3" s="129">
        <v>1877.924</v>
      </c>
      <c r="F3" s="130">
        <v>61.573</v>
      </c>
      <c r="G3" s="53"/>
      <c r="H3" s="53">
        <v>4140</v>
      </c>
      <c r="I3" s="53">
        <v>24293</v>
      </c>
      <c r="J3" s="53">
        <v>260.82</v>
      </c>
      <c r="K3" s="54">
        <f t="shared" ref="K3:K4" si="0">IF(J3="","",+(J3/I3))</f>
        <v>1.0736426130984234E-2</v>
      </c>
      <c r="L3" s="53">
        <v>260.82</v>
      </c>
      <c r="M3" s="54">
        <f t="shared" ref="M3:M4" si="1">IF(L3="","",(L3/I3))</f>
        <v>1.0736426130984234E-2</v>
      </c>
      <c r="N3" s="55">
        <v>66068309</v>
      </c>
      <c r="O3" s="55">
        <v>0</v>
      </c>
      <c r="P3" s="82"/>
      <c r="Q3" s="83"/>
      <c r="R3" s="144"/>
      <c r="S3" s="1"/>
      <c r="T3"/>
      <c r="V3" s="1"/>
    </row>
    <row r="4" spans="1:41">
      <c r="A4" s="50">
        <v>44562</v>
      </c>
      <c r="D4" s="128">
        <v>0.14199999999999999</v>
      </c>
      <c r="E4" s="129">
        <v>1883.77</v>
      </c>
      <c r="F4" s="130">
        <v>61.636000000000003</v>
      </c>
      <c r="G4" s="131">
        <v>183.709</v>
      </c>
      <c r="H4" s="53">
        <v>4140</v>
      </c>
      <c r="I4" s="53">
        <f t="shared" ref="I4:J34" si="2">IF(D4="","",+(E4-E3)*4140)</f>
        <v>24202.440000000017</v>
      </c>
      <c r="J4" s="53">
        <f t="shared" si="2"/>
        <v>260.82000000000988</v>
      </c>
      <c r="K4" s="54">
        <f t="shared" si="0"/>
        <v>1.0776599384194722E-2</v>
      </c>
      <c r="L4" s="53">
        <f t="shared" ref="L4" si="3">IF(F4="","",+(F4-F3)*4140)</f>
        <v>260.82000000000988</v>
      </c>
      <c r="M4" s="54">
        <f t="shared" si="1"/>
        <v>1.0776599384194722E-2</v>
      </c>
      <c r="N4" s="132">
        <v>66068309</v>
      </c>
      <c r="O4" s="132">
        <v>0</v>
      </c>
      <c r="P4" s="84"/>
      <c r="Q4" s="85"/>
      <c r="R4" s="144"/>
      <c r="S4" s="1"/>
      <c r="T4"/>
      <c r="V4" s="1"/>
    </row>
    <row r="5" spans="1:41">
      <c r="A5" s="50">
        <v>44563</v>
      </c>
      <c r="D5" s="128">
        <v>0.14199999999999999</v>
      </c>
      <c r="E5" s="129">
        <v>1889.625</v>
      </c>
      <c r="F5" s="130">
        <v>61.732999999999997</v>
      </c>
      <c r="G5" s="131">
        <v>183.74100000000001</v>
      </c>
      <c r="H5" s="53">
        <v>4140</v>
      </c>
      <c r="I5" s="53">
        <f t="shared" si="2"/>
        <v>24239.700000000077</v>
      </c>
      <c r="J5" s="53">
        <f t="shared" si="2"/>
        <v>401.579999999976</v>
      </c>
      <c r="K5" s="54">
        <f t="shared" ref="K5:K33" si="4">IF(J5="","",+(J5/I5))</f>
        <v>1.6567036720750453E-2</v>
      </c>
      <c r="L5" s="53">
        <f t="shared" ref="L5:L33" si="5">IF(F5="","",+(F5-F4)*4140)</f>
        <v>401.579999999976</v>
      </c>
      <c r="M5" s="54">
        <f t="shared" ref="M5:M33" si="6">IF(L5="","",(L5/I5))</f>
        <v>1.6567036720750453E-2</v>
      </c>
      <c r="N5" s="132">
        <v>66068309</v>
      </c>
      <c r="O5" s="132">
        <v>0</v>
      </c>
      <c r="P5" s="86"/>
      <c r="Q5" s="87"/>
      <c r="R5" s="144"/>
      <c r="S5" s="1"/>
      <c r="T5"/>
      <c r="V5" s="1"/>
    </row>
    <row r="6" spans="1:41">
      <c r="A6" s="50">
        <v>44564</v>
      </c>
      <c r="D6" s="128">
        <v>0.14199999999999999</v>
      </c>
      <c r="E6" s="129">
        <v>1894.934</v>
      </c>
      <c r="F6" s="130">
        <v>61.826000000000001</v>
      </c>
      <c r="G6" s="131">
        <v>183.78100000000001</v>
      </c>
      <c r="H6" s="53">
        <v>4140</v>
      </c>
      <c r="I6" s="53">
        <f t="shared" si="2"/>
        <v>21979.259999999871</v>
      </c>
      <c r="J6" s="53">
        <f t="shared" si="2"/>
        <v>385.02000000001459</v>
      </c>
      <c r="K6" s="54">
        <f t="shared" si="4"/>
        <v>1.7517423243549459E-2</v>
      </c>
      <c r="L6" s="53">
        <f t="shared" si="5"/>
        <v>385.02000000001459</v>
      </c>
      <c r="M6" s="54">
        <f t="shared" si="6"/>
        <v>1.7517423243549459E-2</v>
      </c>
      <c r="N6" s="132">
        <v>66068309</v>
      </c>
      <c r="O6" s="132">
        <v>0</v>
      </c>
      <c r="P6" s="86"/>
      <c r="Q6" s="85"/>
      <c r="R6" s="144"/>
      <c r="S6" s="1"/>
      <c r="T6"/>
      <c r="V6" s="1"/>
    </row>
    <row r="7" spans="1:41">
      <c r="A7" s="50">
        <v>44565</v>
      </c>
      <c r="D7" s="128">
        <v>0.14199999999999999</v>
      </c>
      <c r="E7" s="129">
        <v>1900.1110000000001</v>
      </c>
      <c r="F7" s="130">
        <v>61.917999999999999</v>
      </c>
      <c r="G7" s="131">
        <v>183.809</v>
      </c>
      <c r="H7" s="53">
        <v>4140</v>
      </c>
      <c r="I7" s="53">
        <f t="shared" si="2"/>
        <v>21432.780000000559</v>
      </c>
      <c r="J7" s="53">
        <f t="shared" si="2"/>
        <v>380.87999999999482</v>
      </c>
      <c r="K7" s="54">
        <f t="shared" si="4"/>
        <v>1.7770909793315887E-2</v>
      </c>
      <c r="L7" s="53">
        <f t="shared" si="5"/>
        <v>380.87999999999482</v>
      </c>
      <c r="M7" s="54">
        <f t="shared" si="6"/>
        <v>1.7770909793315887E-2</v>
      </c>
      <c r="N7" s="132">
        <v>66068309</v>
      </c>
      <c r="O7" s="132">
        <v>0</v>
      </c>
      <c r="P7" s="56"/>
      <c r="Q7" s="88"/>
      <c r="R7" s="144"/>
      <c r="S7" s="1"/>
      <c r="T7"/>
      <c r="V7" s="1"/>
    </row>
    <row r="8" spans="1:41">
      <c r="A8" s="50">
        <v>44566</v>
      </c>
      <c r="D8" s="128">
        <v>0.14199999999999999</v>
      </c>
      <c r="E8" s="129">
        <v>1905.6030000000001</v>
      </c>
      <c r="F8" s="130">
        <v>61.968000000000004</v>
      </c>
      <c r="G8" s="131">
        <v>183.83199999999999</v>
      </c>
      <c r="H8" s="53">
        <v>4140</v>
      </c>
      <c r="I8" s="53">
        <f t="shared" si="2"/>
        <v>22736.879999999841</v>
      </c>
      <c r="J8" s="53">
        <f t="shared" si="2"/>
        <v>207.00000000001765</v>
      </c>
      <c r="K8" s="54">
        <f t="shared" si="4"/>
        <v>9.1041514930816844E-3</v>
      </c>
      <c r="L8" s="53">
        <f t="shared" si="5"/>
        <v>207.00000000001765</v>
      </c>
      <c r="M8" s="54">
        <f t="shared" si="6"/>
        <v>9.1041514930816844E-3</v>
      </c>
      <c r="N8" s="132">
        <v>66068309</v>
      </c>
      <c r="O8" s="132">
        <v>0</v>
      </c>
      <c r="P8" s="56"/>
      <c r="Q8" s="57"/>
      <c r="R8" s="19">
        <f t="shared" ref="R8:R71" si="7">IF(N8="",0,1)</f>
        <v>1</v>
      </c>
      <c r="S8" s="19">
        <f t="shared" ref="S8:S71" si="8">IF(N8="",1,0)</f>
        <v>0</v>
      </c>
      <c r="T8" s="144"/>
    </row>
    <row r="9" spans="1:41">
      <c r="A9" s="50">
        <v>44567</v>
      </c>
      <c r="D9" s="128">
        <v>0.14199999999999999</v>
      </c>
      <c r="E9" s="129">
        <v>1911.193</v>
      </c>
      <c r="F9" s="130">
        <v>62.043999999999997</v>
      </c>
      <c r="G9" s="131">
        <v>183.87200000000001</v>
      </c>
      <c r="H9" s="53">
        <v>4140</v>
      </c>
      <c r="I9" s="53">
        <f t="shared" si="2"/>
        <v>23142.59999999966</v>
      </c>
      <c r="J9" s="53">
        <f t="shared" si="2"/>
        <v>314.6399999999727</v>
      </c>
      <c r="K9" s="54">
        <f t="shared" si="4"/>
        <v>1.3595706618961452E-2</v>
      </c>
      <c r="L9" s="53">
        <f t="shared" si="5"/>
        <v>314.6399999999727</v>
      </c>
      <c r="M9" s="54">
        <f t="shared" si="6"/>
        <v>1.3595706618961452E-2</v>
      </c>
      <c r="N9" s="132">
        <v>66068309</v>
      </c>
      <c r="O9" s="132">
        <v>0</v>
      </c>
      <c r="P9" s="56"/>
      <c r="Q9" s="57"/>
      <c r="R9" s="19">
        <f t="shared" si="7"/>
        <v>1</v>
      </c>
      <c r="S9" s="19">
        <f t="shared" si="8"/>
        <v>0</v>
      </c>
      <c r="T9" s="144"/>
    </row>
    <row r="10" spans="1:41">
      <c r="A10" s="50">
        <v>44568</v>
      </c>
      <c r="D10" s="128">
        <v>0.14199999999999999</v>
      </c>
      <c r="E10" s="129">
        <v>1916.9159999999999</v>
      </c>
      <c r="F10" s="130">
        <v>62.165999999999997</v>
      </c>
      <c r="G10" s="131">
        <v>183.90899999999999</v>
      </c>
      <c r="H10" s="53">
        <v>4140</v>
      </c>
      <c r="I10" s="53">
        <f t="shared" si="2"/>
        <v>23693.219999999819</v>
      </c>
      <c r="J10" s="53">
        <f t="shared" si="2"/>
        <v>505.07999999999953</v>
      </c>
      <c r="K10" s="54">
        <f t="shared" si="4"/>
        <v>2.1317490826489746E-2</v>
      </c>
      <c r="L10" s="53">
        <f t="shared" si="5"/>
        <v>505.07999999999953</v>
      </c>
      <c r="M10" s="54">
        <f t="shared" si="6"/>
        <v>2.1317490826489746E-2</v>
      </c>
      <c r="N10" s="132">
        <v>66068309</v>
      </c>
      <c r="O10" s="132">
        <v>0</v>
      </c>
      <c r="P10" s="56"/>
      <c r="Q10" s="58"/>
      <c r="R10" s="19">
        <f t="shared" si="7"/>
        <v>1</v>
      </c>
      <c r="S10" s="19">
        <f t="shared" si="8"/>
        <v>0</v>
      </c>
      <c r="T10" s="144"/>
    </row>
    <row r="11" spans="1:41">
      <c r="A11" s="50">
        <v>44569</v>
      </c>
      <c r="D11" s="128">
        <v>0.14199999999999999</v>
      </c>
      <c r="E11" s="129">
        <v>1922.64</v>
      </c>
      <c r="F11" s="130">
        <v>62.225999999999999</v>
      </c>
      <c r="G11" s="131">
        <v>183.94399999999999</v>
      </c>
      <c r="H11" s="53">
        <v>4140</v>
      </c>
      <c r="I11" s="53">
        <f t="shared" si="2"/>
        <v>23697.360000000663</v>
      </c>
      <c r="J11" s="53">
        <f t="shared" si="2"/>
        <v>248.40000000000941</v>
      </c>
      <c r="K11" s="54">
        <f t="shared" si="4"/>
        <v>1.0482180293501153E-2</v>
      </c>
      <c r="L11" s="53">
        <f t="shared" si="5"/>
        <v>248.40000000000941</v>
      </c>
      <c r="M11" s="54">
        <f t="shared" si="6"/>
        <v>1.0482180293501153E-2</v>
      </c>
      <c r="N11" s="132">
        <v>66068309</v>
      </c>
      <c r="O11" s="132">
        <v>0</v>
      </c>
      <c r="P11" s="56"/>
      <c r="Q11" s="58"/>
      <c r="R11" s="19">
        <f t="shared" si="7"/>
        <v>1</v>
      </c>
      <c r="S11" s="19">
        <f t="shared" si="8"/>
        <v>0</v>
      </c>
      <c r="T11" s="145"/>
    </row>
    <row r="12" spans="1:41">
      <c r="A12" s="50">
        <v>44570</v>
      </c>
      <c r="D12" s="128">
        <v>0.14199999999999999</v>
      </c>
      <c r="E12" s="129">
        <v>1928.38</v>
      </c>
      <c r="F12" s="130">
        <v>62.284999999999997</v>
      </c>
      <c r="G12" s="131">
        <v>183.98599999999999</v>
      </c>
      <c r="H12" s="53">
        <v>4140</v>
      </c>
      <c r="I12" s="53">
        <f t="shared" si="2"/>
        <v>23763.600000000039</v>
      </c>
      <c r="J12" s="53">
        <f t="shared" si="2"/>
        <v>244.25999999998965</v>
      </c>
      <c r="K12" s="54">
        <f t="shared" si="4"/>
        <v>1.0278745644598851E-2</v>
      </c>
      <c r="L12" s="53">
        <f t="shared" si="5"/>
        <v>244.25999999998965</v>
      </c>
      <c r="M12" s="54">
        <f t="shared" si="6"/>
        <v>1.0278745644598851E-2</v>
      </c>
      <c r="N12" s="132">
        <v>66068309</v>
      </c>
      <c r="O12" s="132">
        <v>0</v>
      </c>
      <c r="P12" s="56"/>
      <c r="Q12" s="58"/>
      <c r="R12" s="19">
        <f t="shared" si="7"/>
        <v>1</v>
      </c>
      <c r="S12" s="19">
        <f t="shared" si="8"/>
        <v>0</v>
      </c>
      <c r="T12" s="145"/>
    </row>
    <row r="13" spans="1:41">
      <c r="A13" s="50">
        <v>44571</v>
      </c>
      <c r="D13" s="128">
        <v>0.14199999999999999</v>
      </c>
      <c r="E13" s="129">
        <v>1934.18</v>
      </c>
      <c r="F13" s="130">
        <v>62.383000000000003</v>
      </c>
      <c r="G13" s="131">
        <v>184.02799999999999</v>
      </c>
      <c r="H13" s="53">
        <v>4140</v>
      </c>
      <c r="I13" s="53">
        <f t="shared" si="2"/>
        <v>24011.999999999811</v>
      </c>
      <c r="J13" s="53">
        <f t="shared" si="2"/>
        <v>405.72000000002515</v>
      </c>
      <c r="K13" s="54">
        <f t="shared" si="4"/>
        <v>1.6896551724139112E-2</v>
      </c>
      <c r="L13" s="53">
        <f t="shared" si="5"/>
        <v>405.72000000002515</v>
      </c>
      <c r="M13" s="54">
        <f t="shared" si="6"/>
        <v>1.6896551724139112E-2</v>
      </c>
      <c r="N13" s="132">
        <v>66068309</v>
      </c>
      <c r="O13" s="132">
        <v>0</v>
      </c>
      <c r="P13" s="56"/>
      <c r="Q13" s="57"/>
      <c r="R13" s="19">
        <f t="shared" si="7"/>
        <v>1</v>
      </c>
      <c r="S13" s="19">
        <f t="shared" si="8"/>
        <v>0</v>
      </c>
      <c r="T13" s="144"/>
    </row>
    <row r="14" spans="1:41">
      <c r="A14" s="50">
        <v>44572</v>
      </c>
      <c r="D14" s="128">
        <v>0.14199999999999999</v>
      </c>
      <c r="E14" s="129">
        <v>1939.9929999999999</v>
      </c>
      <c r="F14" s="130">
        <v>62.448</v>
      </c>
      <c r="G14" s="131">
        <v>184.07300000000001</v>
      </c>
      <c r="H14" s="53">
        <v>4140</v>
      </c>
      <c r="I14" s="53">
        <f t="shared" si="2"/>
        <v>24065.819999999479</v>
      </c>
      <c r="J14" s="53">
        <f t="shared" si="2"/>
        <v>269.09999999999059</v>
      </c>
      <c r="K14" s="54">
        <f t="shared" si="4"/>
        <v>1.1181833820746454E-2</v>
      </c>
      <c r="L14" s="53">
        <f t="shared" si="5"/>
        <v>269.09999999999059</v>
      </c>
      <c r="M14" s="54">
        <f t="shared" si="6"/>
        <v>1.1181833820746454E-2</v>
      </c>
      <c r="N14" s="132">
        <v>66068309</v>
      </c>
      <c r="O14" s="132">
        <v>0</v>
      </c>
      <c r="P14" s="56"/>
      <c r="Q14" s="57"/>
      <c r="R14" s="19">
        <f t="shared" si="7"/>
        <v>1</v>
      </c>
      <c r="S14" s="19">
        <f t="shared" si="8"/>
        <v>0</v>
      </c>
      <c r="T14" s="144"/>
      <c r="W14" s="59"/>
      <c r="X14" s="59"/>
      <c r="Y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</row>
    <row r="15" spans="1:41">
      <c r="A15" s="50">
        <v>44573</v>
      </c>
      <c r="D15" s="128">
        <v>0.14199999999999999</v>
      </c>
      <c r="E15" s="129">
        <v>1945.788</v>
      </c>
      <c r="F15" s="130">
        <v>62.552</v>
      </c>
      <c r="G15" s="131">
        <v>184.107</v>
      </c>
      <c r="H15" s="53">
        <v>4140</v>
      </c>
      <c r="I15" s="53">
        <f t="shared" si="2"/>
        <v>23991.300000000301</v>
      </c>
      <c r="J15" s="53">
        <f t="shared" si="2"/>
        <v>430.55999999999671</v>
      </c>
      <c r="K15" s="54">
        <f t="shared" si="4"/>
        <v>1.7946505608282641E-2</v>
      </c>
      <c r="L15" s="53">
        <f t="shared" si="5"/>
        <v>430.55999999999671</v>
      </c>
      <c r="M15" s="54">
        <f t="shared" si="6"/>
        <v>1.7946505608282641E-2</v>
      </c>
      <c r="N15" s="132">
        <v>66068309</v>
      </c>
      <c r="O15" s="132">
        <v>0</v>
      </c>
      <c r="P15" s="56"/>
      <c r="Q15" s="58"/>
      <c r="R15" s="19">
        <f t="shared" si="7"/>
        <v>1</v>
      </c>
      <c r="S15" s="19">
        <f t="shared" si="8"/>
        <v>0</v>
      </c>
      <c r="T15" s="144"/>
      <c r="W15" s="59"/>
      <c r="X15" s="59"/>
      <c r="Y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</row>
    <row r="16" spans="1:41">
      <c r="A16" s="50">
        <v>44574</v>
      </c>
      <c r="D16" s="128">
        <v>0.14199999999999999</v>
      </c>
      <c r="E16" s="129">
        <v>1951.3869999999999</v>
      </c>
      <c r="F16" s="130">
        <v>62.622</v>
      </c>
      <c r="G16" s="131">
        <v>184.131</v>
      </c>
      <c r="H16" s="53">
        <v>4140</v>
      </c>
      <c r="I16" s="53">
        <f t="shared" si="2"/>
        <v>23179.85999999972</v>
      </c>
      <c r="J16" s="53">
        <f t="shared" si="2"/>
        <v>289.80000000000121</v>
      </c>
      <c r="K16" s="54">
        <f t="shared" si="4"/>
        <v>1.2502232541525476E-2</v>
      </c>
      <c r="L16" s="53">
        <f t="shared" si="5"/>
        <v>289.80000000000121</v>
      </c>
      <c r="M16" s="54">
        <f t="shared" si="6"/>
        <v>1.2502232541525476E-2</v>
      </c>
      <c r="N16" s="132">
        <v>66068309</v>
      </c>
      <c r="O16" s="132">
        <v>0</v>
      </c>
      <c r="P16" s="56"/>
      <c r="Q16" s="58"/>
      <c r="R16" s="19">
        <f t="shared" si="7"/>
        <v>1</v>
      </c>
      <c r="S16" s="19">
        <f t="shared" si="8"/>
        <v>0</v>
      </c>
      <c r="T16" s="145"/>
    </row>
    <row r="17" spans="1:21">
      <c r="A17" s="50">
        <v>44575</v>
      </c>
      <c r="D17" s="128">
        <v>0.14199999999999999</v>
      </c>
      <c r="E17" s="129">
        <v>1957.057</v>
      </c>
      <c r="F17" s="130">
        <v>62.703000000000003</v>
      </c>
      <c r="G17" s="131">
        <v>184.166</v>
      </c>
      <c r="H17" s="53">
        <v>4140</v>
      </c>
      <c r="I17" s="53">
        <f t="shared" si="2"/>
        <v>23473.800000000301</v>
      </c>
      <c r="J17" s="53">
        <f t="shared" si="2"/>
        <v>335.34000000001271</v>
      </c>
      <c r="K17" s="54">
        <f t="shared" si="4"/>
        <v>1.4285714285714644E-2</v>
      </c>
      <c r="L17" s="53">
        <f t="shared" si="5"/>
        <v>335.34000000001271</v>
      </c>
      <c r="M17" s="54">
        <f t="shared" si="6"/>
        <v>1.4285714285714644E-2</v>
      </c>
      <c r="N17" s="132">
        <v>66068309</v>
      </c>
      <c r="O17" s="132">
        <v>0</v>
      </c>
      <c r="P17" s="56"/>
      <c r="Q17" s="58"/>
      <c r="R17" s="19">
        <f t="shared" si="7"/>
        <v>1</v>
      </c>
      <c r="S17" s="19">
        <f t="shared" si="8"/>
        <v>0</v>
      </c>
      <c r="T17" s="145"/>
    </row>
    <row r="18" spans="1:21">
      <c r="A18" s="50">
        <v>44576</v>
      </c>
      <c r="D18" s="128">
        <v>0.14199999999999999</v>
      </c>
      <c r="E18" s="129">
        <v>1962.748</v>
      </c>
      <c r="F18" s="130">
        <v>62.829000000000001</v>
      </c>
      <c r="G18" s="131">
        <v>184.20599999999999</v>
      </c>
      <c r="H18" s="53">
        <v>4140</v>
      </c>
      <c r="I18" s="53">
        <f t="shared" si="2"/>
        <v>23560.740000000129</v>
      </c>
      <c r="J18" s="53">
        <f t="shared" si="2"/>
        <v>521.63999999999032</v>
      </c>
      <c r="K18" s="54">
        <f t="shared" si="4"/>
        <v>2.214022140221349E-2</v>
      </c>
      <c r="L18" s="53">
        <f t="shared" si="5"/>
        <v>521.63999999999032</v>
      </c>
      <c r="M18" s="54">
        <f t="shared" si="6"/>
        <v>2.214022140221349E-2</v>
      </c>
      <c r="N18" s="132">
        <v>66068309</v>
      </c>
      <c r="O18" s="132">
        <v>0</v>
      </c>
      <c r="P18" s="56"/>
      <c r="Q18" s="57"/>
      <c r="R18" s="19">
        <f t="shared" si="7"/>
        <v>1</v>
      </c>
      <c r="S18" s="19">
        <f t="shared" si="8"/>
        <v>0</v>
      </c>
      <c r="T18" s="144"/>
    </row>
    <row r="19" spans="1:21">
      <c r="A19" s="50">
        <v>44577</v>
      </c>
      <c r="D19" s="128">
        <v>0.14199999999999999</v>
      </c>
      <c r="E19" s="129">
        <v>1968.395</v>
      </c>
      <c r="F19" s="130">
        <v>62.918999999999997</v>
      </c>
      <c r="G19" s="131">
        <v>184.245</v>
      </c>
      <c r="H19" s="53">
        <v>4140</v>
      </c>
      <c r="I19" s="53">
        <f t="shared" si="2"/>
        <v>23378.579999999729</v>
      </c>
      <c r="J19" s="53">
        <f t="shared" si="2"/>
        <v>372.59999999998468</v>
      </c>
      <c r="K19" s="54">
        <f t="shared" si="4"/>
        <v>1.5937666017353878E-2</v>
      </c>
      <c r="L19" s="53">
        <f t="shared" si="5"/>
        <v>372.59999999998468</v>
      </c>
      <c r="M19" s="54">
        <f t="shared" si="6"/>
        <v>1.5937666017353878E-2</v>
      </c>
      <c r="N19" s="132">
        <v>66068309</v>
      </c>
      <c r="O19" s="132">
        <v>0</v>
      </c>
      <c r="P19" s="56"/>
      <c r="Q19" s="57"/>
      <c r="R19" s="19">
        <f t="shared" si="7"/>
        <v>1</v>
      </c>
      <c r="S19" s="19">
        <f t="shared" si="8"/>
        <v>0</v>
      </c>
      <c r="T19" s="144"/>
    </row>
    <row r="20" spans="1:21" ht="15" thickBot="1">
      <c r="A20" s="50">
        <v>44578</v>
      </c>
      <c r="D20" s="128">
        <v>0.14199999999999999</v>
      </c>
      <c r="E20" s="129">
        <v>1974.35</v>
      </c>
      <c r="F20" s="130">
        <v>63.036000000000001</v>
      </c>
      <c r="G20" s="131">
        <v>184.28200000000001</v>
      </c>
      <c r="H20" s="53">
        <v>4140</v>
      </c>
      <c r="I20" s="53">
        <f t="shared" si="2"/>
        <v>24653.699999999699</v>
      </c>
      <c r="J20" s="53">
        <f t="shared" si="2"/>
        <v>484.38000000001836</v>
      </c>
      <c r="K20" s="54">
        <f t="shared" si="4"/>
        <v>1.9647355163728945E-2</v>
      </c>
      <c r="L20" s="53">
        <f t="shared" si="5"/>
        <v>484.38000000001836</v>
      </c>
      <c r="M20" s="54">
        <f t="shared" si="6"/>
        <v>1.9647355163728945E-2</v>
      </c>
      <c r="N20" s="132">
        <v>66068309</v>
      </c>
      <c r="O20" s="132">
        <v>0</v>
      </c>
      <c r="P20" s="60"/>
      <c r="Q20" s="61"/>
      <c r="R20" s="19">
        <f t="shared" si="7"/>
        <v>1</v>
      </c>
      <c r="S20" s="19">
        <f t="shared" si="8"/>
        <v>0</v>
      </c>
      <c r="T20" s="144"/>
    </row>
    <row r="21" spans="1:21" ht="15" thickBot="1">
      <c r="A21" s="50">
        <v>44579</v>
      </c>
      <c r="D21" s="128">
        <v>0.14199999999999999</v>
      </c>
      <c r="E21" s="129">
        <v>1979.925</v>
      </c>
      <c r="F21" s="130">
        <v>63.125999999999998</v>
      </c>
      <c r="G21" s="131">
        <v>184.31200000000001</v>
      </c>
      <c r="H21" s="53">
        <v>4140</v>
      </c>
      <c r="I21" s="53">
        <f t="shared" si="2"/>
        <v>23080.500000000189</v>
      </c>
      <c r="J21" s="53">
        <f t="shared" si="2"/>
        <v>372.59999999998468</v>
      </c>
      <c r="K21" s="54">
        <f t="shared" si="4"/>
        <v>1.6143497757846736E-2</v>
      </c>
      <c r="L21" s="53">
        <f t="shared" si="5"/>
        <v>372.59999999998468</v>
      </c>
      <c r="M21" s="54">
        <f t="shared" si="6"/>
        <v>1.6143497757846736E-2</v>
      </c>
      <c r="N21" s="132">
        <v>66068309</v>
      </c>
      <c r="O21" s="132">
        <v>0</v>
      </c>
      <c r="P21" s="181" t="s">
        <v>30</v>
      </c>
      <c r="Q21" s="182"/>
      <c r="R21" s="19">
        <f t="shared" si="7"/>
        <v>1</v>
      </c>
      <c r="S21" s="19">
        <f t="shared" si="8"/>
        <v>0</v>
      </c>
      <c r="T21" s="145"/>
    </row>
    <row r="22" spans="1:21" ht="15" thickBot="1">
      <c r="A22" s="50">
        <v>44580</v>
      </c>
      <c r="D22" s="128">
        <v>0.14199999999999999</v>
      </c>
      <c r="E22" s="129">
        <v>1985.5050000000001</v>
      </c>
      <c r="F22" s="130">
        <v>63.203000000000003</v>
      </c>
      <c r="G22" s="131">
        <v>184.34800000000001</v>
      </c>
      <c r="H22" s="53">
        <v>4140</v>
      </c>
      <c r="I22" s="53">
        <f t="shared" si="2"/>
        <v>23101.200000000641</v>
      </c>
      <c r="J22" s="53">
        <f t="shared" si="2"/>
        <v>318.78000000002191</v>
      </c>
      <c r="K22" s="54">
        <f t="shared" si="4"/>
        <v>1.3799283154122429E-2</v>
      </c>
      <c r="L22" s="53">
        <f t="shared" si="5"/>
        <v>318.78000000002191</v>
      </c>
      <c r="M22" s="54">
        <f t="shared" si="6"/>
        <v>1.3799283154122429E-2</v>
      </c>
      <c r="N22" s="132">
        <v>66068309</v>
      </c>
      <c r="O22" s="132">
        <v>0</v>
      </c>
      <c r="P22" s="183"/>
      <c r="Q22" s="184"/>
      <c r="R22" s="19">
        <f t="shared" si="7"/>
        <v>1</v>
      </c>
      <c r="S22" s="19">
        <f t="shared" si="8"/>
        <v>0</v>
      </c>
      <c r="T22" s="145"/>
    </row>
    <row r="23" spans="1:21" ht="15" thickBot="1">
      <c r="A23" s="50">
        <v>44581</v>
      </c>
      <c r="D23" s="128">
        <v>0.14199999999999999</v>
      </c>
      <c r="E23" s="129">
        <v>1991.152</v>
      </c>
      <c r="F23" s="130">
        <v>63.286999999999999</v>
      </c>
      <c r="G23" s="131">
        <v>184.39</v>
      </c>
      <c r="H23" s="53">
        <v>4140</v>
      </c>
      <c r="I23" s="53">
        <f t="shared" si="2"/>
        <v>23378.579999999729</v>
      </c>
      <c r="J23" s="53">
        <f t="shared" si="2"/>
        <v>347.75999999998373</v>
      </c>
      <c r="K23" s="54">
        <f t="shared" si="4"/>
        <v>1.4875154949530201E-2</v>
      </c>
      <c r="L23" s="53">
        <f t="shared" si="5"/>
        <v>347.75999999998373</v>
      </c>
      <c r="M23" s="54">
        <f t="shared" si="6"/>
        <v>1.4875154949530201E-2</v>
      </c>
      <c r="N23" s="132">
        <v>66068309</v>
      </c>
      <c r="O23" s="132">
        <v>0</v>
      </c>
      <c r="P23" s="62" t="s">
        <v>31</v>
      </c>
      <c r="Q23" s="62" t="s">
        <v>32</v>
      </c>
      <c r="R23" s="19">
        <f>IF(N23="",0,1)</f>
        <v>1</v>
      </c>
      <c r="S23" s="19">
        <f t="shared" si="8"/>
        <v>0</v>
      </c>
      <c r="T23" s="144"/>
    </row>
    <row r="24" spans="1:21" ht="15" thickBot="1">
      <c r="A24" s="50">
        <v>44582</v>
      </c>
      <c r="D24" s="128">
        <v>0.14199999999999999</v>
      </c>
      <c r="E24" s="129">
        <v>1996.614</v>
      </c>
      <c r="F24" s="130">
        <v>63.38</v>
      </c>
      <c r="G24" s="131">
        <v>184.43799999999999</v>
      </c>
      <c r="H24" s="53">
        <v>4140</v>
      </c>
      <c r="I24" s="53">
        <f t="shared" si="2"/>
        <v>22612.679999999957</v>
      </c>
      <c r="J24" s="53">
        <f t="shared" si="2"/>
        <v>385.02000000001459</v>
      </c>
      <c r="K24" s="54">
        <f t="shared" si="4"/>
        <v>1.7026730135482185E-2</v>
      </c>
      <c r="L24" s="53">
        <f t="shared" si="5"/>
        <v>385.02000000001459</v>
      </c>
      <c r="M24" s="54">
        <f t="shared" si="6"/>
        <v>1.7026730135482185E-2</v>
      </c>
      <c r="N24" s="132">
        <v>66068309</v>
      </c>
      <c r="O24" s="132">
        <v>0</v>
      </c>
      <c r="P24" s="63">
        <f>IF(J3="",0,+SUM(J3:J33)/SUM(I3:I33))</f>
        <v>1.552924024223157E-2</v>
      </c>
      <c r="Q24" s="63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44"/>
    </row>
    <row r="25" spans="1:21" ht="15" thickBot="1">
      <c r="A25" s="50">
        <v>44583</v>
      </c>
      <c r="D25" s="128">
        <v>0.14199999999999999</v>
      </c>
      <c r="E25" s="129">
        <v>2002.6110000000001</v>
      </c>
      <c r="F25" s="130">
        <v>63.488</v>
      </c>
      <c r="G25" s="131">
        <v>184.483</v>
      </c>
      <c r="H25" s="53">
        <v>4140</v>
      </c>
      <c r="I25" s="53">
        <f t="shared" si="2"/>
        <v>24827.580000000293</v>
      </c>
      <c r="J25" s="53">
        <f t="shared" si="2"/>
        <v>447.1199999999875</v>
      </c>
      <c r="K25" s="54">
        <f t="shared" si="4"/>
        <v>1.800900450225041E-2</v>
      </c>
      <c r="L25" s="53">
        <f t="shared" si="5"/>
        <v>447.1199999999875</v>
      </c>
      <c r="M25" s="54">
        <f t="shared" si="6"/>
        <v>1.800900450225041E-2</v>
      </c>
      <c r="N25" s="132">
        <v>66068309</v>
      </c>
      <c r="O25" s="132">
        <v>0</v>
      </c>
      <c r="P25" s="64">
        <f>IF(J3="",0,+(+(LOOKUP(9.99999999999999E+307,E3:E33)-E2))/(+(LOOKUP(9.99999999999999E+307,D3:D33)-D2)))</f>
        <v>-0.37035492046286117</v>
      </c>
      <c r="Q25" s="64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44"/>
    </row>
    <row r="26" spans="1:21" ht="15" thickBot="1">
      <c r="A26" s="50">
        <v>44584</v>
      </c>
      <c r="D26" s="128">
        <v>0.14199999999999999</v>
      </c>
      <c r="E26" s="129">
        <v>2007.9570000000001</v>
      </c>
      <c r="F26" s="130">
        <v>63.579000000000001</v>
      </c>
      <c r="G26" s="131">
        <v>184.53800000000001</v>
      </c>
      <c r="H26" s="53">
        <v>4140</v>
      </c>
      <c r="I26" s="53">
        <f t="shared" si="2"/>
        <v>22132.440000000017</v>
      </c>
      <c r="J26" s="53">
        <f t="shared" si="2"/>
        <v>376.74000000000444</v>
      </c>
      <c r="K26" s="54">
        <f t="shared" si="4"/>
        <v>1.7022072577628319E-2</v>
      </c>
      <c r="L26" s="53">
        <f t="shared" si="5"/>
        <v>376.74000000000444</v>
      </c>
      <c r="M26" s="54">
        <f t="shared" si="6"/>
        <v>1.7022072577628319E-2</v>
      </c>
      <c r="N26" s="132">
        <v>66068309</v>
      </c>
      <c r="O26" s="132">
        <v>0</v>
      </c>
      <c r="P26" s="65" t="s">
        <v>33</v>
      </c>
      <c r="Q26" s="66" t="s">
        <v>34</v>
      </c>
      <c r="R26" s="19">
        <f t="shared" si="7"/>
        <v>1</v>
      </c>
      <c r="S26" s="19">
        <f t="shared" si="8"/>
        <v>0</v>
      </c>
      <c r="T26" s="145"/>
    </row>
    <row r="27" spans="1:21" ht="15" thickBot="1">
      <c r="A27" s="50">
        <v>44585</v>
      </c>
      <c r="D27" s="128">
        <v>0.14199999999999999</v>
      </c>
      <c r="E27" s="129">
        <v>2013.0409999999999</v>
      </c>
      <c r="F27" s="130">
        <v>63.662999999999997</v>
      </c>
      <c r="G27" s="131">
        <v>184.571</v>
      </c>
      <c r="H27" s="53">
        <v>4140</v>
      </c>
      <c r="I27" s="53">
        <f t="shared" si="2"/>
        <v>21047.759999999307</v>
      </c>
      <c r="J27" s="53">
        <f t="shared" si="2"/>
        <v>347.75999999998373</v>
      </c>
      <c r="K27" s="54">
        <f t="shared" si="4"/>
        <v>1.6522423288748787E-2</v>
      </c>
      <c r="L27" s="53">
        <f t="shared" si="5"/>
        <v>347.75999999998373</v>
      </c>
      <c r="M27" s="54">
        <f t="shared" si="6"/>
        <v>1.6522423288748787E-2</v>
      </c>
      <c r="N27" s="132">
        <v>66068309</v>
      </c>
      <c r="O27" s="132">
        <v>0</v>
      </c>
      <c r="P27" s="67">
        <f>IF(N2="",0,+(LOOKUP(9.99999999999999E+307,N2:N33)-N2))</f>
        <v>0</v>
      </c>
      <c r="Q27" s="68">
        <f>IF(P27="",0,+P27/SUM(R3:R33))</f>
        <v>0</v>
      </c>
      <c r="R27" s="19">
        <f t="shared" si="7"/>
        <v>1</v>
      </c>
      <c r="S27" s="19">
        <f t="shared" si="8"/>
        <v>0</v>
      </c>
      <c r="T27" s="145"/>
    </row>
    <row r="28" spans="1:21" ht="15" thickBot="1">
      <c r="A28" s="50">
        <v>44586</v>
      </c>
      <c r="D28" s="128">
        <v>0.14199999999999999</v>
      </c>
      <c r="E28" s="129">
        <v>2018.2239999999999</v>
      </c>
      <c r="F28" s="130">
        <v>63.71</v>
      </c>
      <c r="G28" s="131">
        <v>184.61</v>
      </c>
      <c r="H28" s="53">
        <v>4140</v>
      </c>
      <c r="I28" s="53">
        <f t="shared" si="2"/>
        <v>21457.61999999997</v>
      </c>
      <c r="J28" s="53">
        <f t="shared" si="2"/>
        <v>194.58000000001718</v>
      </c>
      <c r="K28" s="54">
        <f t="shared" si="4"/>
        <v>9.0681072737804781E-3</v>
      </c>
      <c r="L28" s="53">
        <f t="shared" si="5"/>
        <v>194.58000000001718</v>
      </c>
      <c r="M28" s="54">
        <f t="shared" si="6"/>
        <v>9.0681072737804781E-3</v>
      </c>
      <c r="N28" s="132">
        <v>66068309</v>
      </c>
      <c r="O28" s="132">
        <v>0</v>
      </c>
      <c r="P28" s="69" t="s">
        <v>35</v>
      </c>
      <c r="Q28" s="70" t="s">
        <v>36</v>
      </c>
      <c r="R28" s="19">
        <f t="shared" si="7"/>
        <v>1</v>
      </c>
      <c r="S28" s="19">
        <f t="shared" si="8"/>
        <v>0</v>
      </c>
      <c r="T28" s="144"/>
    </row>
    <row r="29" spans="1:21" ht="15" thickBot="1">
      <c r="A29" s="50">
        <v>44587</v>
      </c>
      <c r="D29" s="128">
        <v>0.14199999999999999</v>
      </c>
      <c r="E29" s="129">
        <v>2023.5609999999999</v>
      </c>
      <c r="F29" s="130">
        <v>63.9</v>
      </c>
      <c r="G29" s="131">
        <v>184.66200000000001</v>
      </c>
      <c r="H29" s="53">
        <v>4140</v>
      </c>
      <c r="I29" s="53">
        <f t="shared" si="2"/>
        <v>22095.179999999957</v>
      </c>
      <c r="J29" s="53">
        <f t="shared" si="2"/>
        <v>786.59999999999059</v>
      </c>
      <c r="K29" s="54">
        <f t="shared" si="4"/>
        <v>3.560052463931012E-2</v>
      </c>
      <c r="L29" s="53">
        <f t="shared" si="5"/>
        <v>786.59999999999059</v>
      </c>
      <c r="M29" s="54">
        <f t="shared" si="6"/>
        <v>3.560052463931012E-2</v>
      </c>
      <c r="N29" s="132">
        <v>66068309</v>
      </c>
      <c r="O29" s="132">
        <v>0</v>
      </c>
      <c r="P29" s="71">
        <f>IF(D3="",0,+(LOOKUP(9.99999999999999E+307,D2:D33)-D2))*4140</f>
        <v>-20394944.100000001</v>
      </c>
      <c r="Q29" s="72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44"/>
    </row>
    <row r="30" spans="1:21" ht="15" thickBot="1">
      <c r="A30" s="50">
        <v>44588</v>
      </c>
      <c r="D30" s="128">
        <v>0.14199999999999999</v>
      </c>
      <c r="E30" s="129">
        <v>2028.854</v>
      </c>
      <c r="F30" s="130">
        <v>63.908000000000001</v>
      </c>
      <c r="G30" s="131">
        <v>184.72200000000001</v>
      </c>
      <c r="H30" s="53">
        <v>4140</v>
      </c>
      <c r="I30" s="53">
        <f t="shared" si="2"/>
        <v>21913.020000000499</v>
      </c>
      <c r="J30" s="53">
        <f t="shared" si="2"/>
        <v>33.120000000011061</v>
      </c>
      <c r="K30" s="54">
        <f t="shared" si="4"/>
        <v>1.511430190818532E-3</v>
      </c>
      <c r="L30" s="53">
        <f t="shared" si="5"/>
        <v>33.120000000011061</v>
      </c>
      <c r="M30" s="54">
        <f t="shared" si="6"/>
        <v>1.511430190818532E-3</v>
      </c>
      <c r="N30" s="132">
        <v>66068309</v>
      </c>
      <c r="O30" s="132">
        <v>0</v>
      </c>
      <c r="P30" s="146" t="s">
        <v>37</v>
      </c>
      <c r="Q30" s="147" t="s">
        <v>38</v>
      </c>
      <c r="R30" s="19">
        <f t="shared" si="7"/>
        <v>1</v>
      </c>
      <c r="S30" s="19">
        <f t="shared" si="8"/>
        <v>0</v>
      </c>
      <c r="T30" s="145"/>
    </row>
    <row r="31" spans="1:21" ht="15" thickBot="1">
      <c r="A31" s="50">
        <v>44589</v>
      </c>
      <c r="D31" s="128">
        <v>0.14199999999999999</v>
      </c>
      <c r="E31" s="129">
        <v>2034.1489999999999</v>
      </c>
      <c r="F31" s="130">
        <v>63.984000000000002</v>
      </c>
      <c r="G31" s="131">
        <v>184.76900000000001</v>
      </c>
      <c r="H31" s="53">
        <v>4140</v>
      </c>
      <c r="I31" s="53">
        <f t="shared" si="2"/>
        <v>21921.299999999359</v>
      </c>
      <c r="J31" s="53">
        <f t="shared" si="2"/>
        <v>314.64000000000215</v>
      </c>
      <c r="K31" s="54">
        <f t="shared" si="4"/>
        <v>1.4353163361662463E-2</v>
      </c>
      <c r="L31" s="53">
        <f t="shared" si="5"/>
        <v>314.64000000000215</v>
      </c>
      <c r="M31" s="54">
        <f t="shared" si="6"/>
        <v>1.4353163361662463E-2</v>
      </c>
      <c r="N31" s="132">
        <v>66068309</v>
      </c>
      <c r="O31" s="132">
        <v>0</v>
      </c>
      <c r="P31" s="73">
        <f>P29*Q34</f>
        <v>-11625118.137</v>
      </c>
      <c r="Q31" s="74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45"/>
      <c r="U31" s="75"/>
    </row>
    <row r="32" spans="1:21" ht="13.5" customHeight="1" thickBot="1">
      <c r="A32" s="50">
        <v>44590</v>
      </c>
      <c r="D32" s="128">
        <v>0.14199999999999999</v>
      </c>
      <c r="E32" s="129">
        <v>2039.106</v>
      </c>
      <c r="F32" s="130">
        <v>64.063000000000002</v>
      </c>
      <c r="G32" s="131">
        <v>184.81</v>
      </c>
      <c r="H32" s="53">
        <v>4140</v>
      </c>
      <c r="I32" s="53">
        <f t="shared" si="2"/>
        <v>20521.980000000443</v>
      </c>
      <c r="J32" s="53">
        <f t="shared" si="2"/>
        <v>327.06000000000256</v>
      </c>
      <c r="K32" s="54">
        <f t="shared" si="4"/>
        <v>1.5937058704861593E-2</v>
      </c>
      <c r="L32" s="53">
        <f t="shared" si="5"/>
        <v>327.06000000000256</v>
      </c>
      <c r="M32" s="54">
        <f t="shared" si="6"/>
        <v>1.5937058704861593E-2</v>
      </c>
      <c r="N32" s="132">
        <v>66068309</v>
      </c>
      <c r="O32" s="132">
        <v>0</v>
      </c>
      <c r="P32" s="148" t="s">
        <v>39</v>
      </c>
      <c r="Q32" s="149" t="s">
        <v>40</v>
      </c>
      <c r="R32" s="19">
        <f t="shared" si="7"/>
        <v>1</v>
      </c>
      <c r="S32" s="19">
        <f t="shared" si="8"/>
        <v>0</v>
      </c>
      <c r="T32" s="145"/>
      <c r="U32" s="75"/>
    </row>
    <row r="33" spans="1:20" ht="15" thickBot="1">
      <c r="A33" s="50">
        <v>44591</v>
      </c>
      <c r="B33" s="76"/>
      <c r="C33" s="77"/>
      <c r="D33" s="128">
        <v>0.14199999999999999</v>
      </c>
      <c r="E33" s="129">
        <v>2044.5050000000001</v>
      </c>
      <c r="F33" s="130">
        <v>64.188000000000002</v>
      </c>
      <c r="G33" s="133">
        <v>184.857</v>
      </c>
      <c r="H33" s="53">
        <v>4140</v>
      </c>
      <c r="I33" s="53">
        <f t="shared" si="2"/>
        <v>22351.860000000474</v>
      </c>
      <c r="J33" s="53">
        <f t="shared" si="2"/>
        <v>517.5</v>
      </c>
      <c r="K33" s="54">
        <f t="shared" si="4"/>
        <v>2.315243563622844E-2</v>
      </c>
      <c r="L33" s="53">
        <f t="shared" si="5"/>
        <v>517.5</v>
      </c>
      <c r="M33" s="54">
        <f t="shared" si="6"/>
        <v>2.315243563622844E-2</v>
      </c>
      <c r="N33" s="132">
        <v>66068309</v>
      </c>
      <c r="O33" s="160">
        <v>0</v>
      </c>
      <c r="P33" s="111">
        <f>(P31+Q29*SUM(S3:S33)*Q34)</f>
        <v>-11625118.137</v>
      </c>
      <c r="Q33" s="79">
        <f>Q29*31</f>
        <v>-24317048.734615386</v>
      </c>
      <c r="R33" s="19">
        <f t="shared" si="7"/>
        <v>1</v>
      </c>
      <c r="S33" s="19">
        <f t="shared" si="8"/>
        <v>0</v>
      </c>
      <c r="T33" s="144"/>
    </row>
    <row r="34" spans="1:20" ht="15" thickBot="1">
      <c r="A34" s="50">
        <v>44592</v>
      </c>
      <c r="D34" s="153">
        <v>0.14199999999999999</v>
      </c>
      <c r="E34" s="153">
        <v>2049.8359999999998</v>
      </c>
      <c r="F34" s="153">
        <v>64.308999999999997</v>
      </c>
      <c r="G34" s="153">
        <v>184.89</v>
      </c>
      <c r="H34" s="155">
        <v>4140</v>
      </c>
      <c r="I34" s="155">
        <f t="shared" si="2"/>
        <v>22070.339999998658</v>
      </c>
      <c r="J34" s="155">
        <f t="shared" ref="J34" si="9">IF(E34="","",+(F34-F33)*4140)</f>
        <v>500.93999999997976</v>
      </c>
      <c r="K34" s="156">
        <f t="shared" ref="K34" si="10">IF(J34="","",+(J34/I34))</f>
        <v>2.269743012568045E-2</v>
      </c>
      <c r="L34" s="155">
        <f t="shared" ref="L34" si="11">IF(F34="","",+(F34-F33)*4140)</f>
        <v>500.93999999997976</v>
      </c>
      <c r="M34" s="156">
        <f t="shared" ref="M34" si="12">IF(L34="","",(L34/I34))</f>
        <v>2.269743012568045E-2</v>
      </c>
      <c r="N34" s="159">
        <v>66068309</v>
      </c>
      <c r="O34" s="159">
        <v>0</v>
      </c>
      <c r="P34" s="80" t="s">
        <v>41</v>
      </c>
      <c r="Q34" s="81">
        <v>0.56999999999999995</v>
      </c>
      <c r="R34" s="19">
        <f t="shared" si="7"/>
        <v>1</v>
      </c>
      <c r="S34" s="19">
        <f t="shared" si="8"/>
        <v>0</v>
      </c>
      <c r="T34" s="144"/>
    </row>
    <row r="35" spans="1:20" ht="15" thickBot="1">
      <c r="A35" s="50">
        <v>44593</v>
      </c>
      <c r="D35" s="128">
        <v>0.14199999999999999</v>
      </c>
      <c r="E35" s="129">
        <v>2055.3000000000002</v>
      </c>
      <c r="F35" s="130">
        <v>64.445999999999998</v>
      </c>
      <c r="G35" s="131">
        <v>184.91900000000001</v>
      </c>
      <c r="H35" s="53">
        <v>4140</v>
      </c>
      <c r="I35" s="53">
        <f t="shared" ref="I35:I48" si="13">IF(D35="","",+(E35-E34)*4140)</f>
        <v>22620.960000001643</v>
      </c>
      <c r="J35" s="53">
        <f t="shared" ref="J35:J48" si="14">IF(E35="","",+(F35-F34)*4140)</f>
        <v>567.18000000000188</v>
      </c>
      <c r="K35" s="54">
        <f t="shared" ref="K35:K48" si="15">IF(J35="","",+(J35/I35))</f>
        <v>2.5073206442165173E-2</v>
      </c>
      <c r="L35" s="53">
        <f t="shared" ref="L35:L48" si="16">IF(F35="","",+(F35-F34)*4140)</f>
        <v>567.18000000000188</v>
      </c>
      <c r="M35" s="54">
        <f t="shared" ref="M35:M48" si="17">IF(L35="","",(L35/I35))</f>
        <v>2.5073206442165173E-2</v>
      </c>
      <c r="N35" s="132">
        <v>66068309</v>
      </c>
      <c r="O35" s="132">
        <v>0</v>
      </c>
      <c r="P35" s="82"/>
      <c r="Q35" s="83"/>
      <c r="R35" s="19">
        <f t="shared" si="7"/>
        <v>1</v>
      </c>
      <c r="S35" s="19">
        <f t="shared" si="8"/>
        <v>0</v>
      </c>
      <c r="T35" s="144"/>
    </row>
    <row r="36" spans="1:20" ht="15" thickBot="1">
      <c r="A36" s="50">
        <v>44594</v>
      </c>
      <c r="D36" s="128">
        <v>0.14199999999999999</v>
      </c>
      <c r="E36" s="129">
        <v>2061.1010000000001</v>
      </c>
      <c r="F36" s="130">
        <v>64.557000000000002</v>
      </c>
      <c r="G36" s="131">
        <v>184.96700000000001</v>
      </c>
      <c r="H36" s="53">
        <v>4140</v>
      </c>
      <c r="I36" s="53">
        <f t="shared" si="13"/>
        <v>24016.139999999716</v>
      </c>
      <c r="J36" s="53">
        <f t="shared" si="14"/>
        <v>459.54000000001741</v>
      </c>
      <c r="K36" s="54">
        <f t="shared" si="15"/>
        <v>1.9134631960007847E-2</v>
      </c>
      <c r="L36" s="53">
        <f t="shared" si="16"/>
        <v>459.54000000001741</v>
      </c>
      <c r="M36" s="54">
        <f t="shared" si="17"/>
        <v>1.9134631960007847E-2</v>
      </c>
      <c r="N36" s="132">
        <v>66068309</v>
      </c>
      <c r="O36" s="132">
        <v>0</v>
      </c>
      <c r="P36" s="84"/>
      <c r="Q36" s="85"/>
      <c r="R36" s="19">
        <f t="shared" si="7"/>
        <v>1</v>
      </c>
      <c r="S36" s="19">
        <f t="shared" si="8"/>
        <v>0</v>
      </c>
      <c r="T36" s="145"/>
    </row>
    <row r="37" spans="1:20" ht="15" thickBot="1">
      <c r="A37" s="50">
        <v>44595</v>
      </c>
      <c r="D37" s="128">
        <v>0.14199999999999999</v>
      </c>
      <c r="E37" s="129">
        <v>2066.5459999999998</v>
      </c>
      <c r="F37" s="130">
        <v>64.7</v>
      </c>
      <c r="G37" s="131">
        <v>185.077</v>
      </c>
      <c r="H37" s="53">
        <v>4140</v>
      </c>
      <c r="I37" s="53">
        <f t="shared" si="13"/>
        <v>22542.299999998795</v>
      </c>
      <c r="J37" s="53">
        <f t="shared" si="14"/>
        <v>592.02000000000282</v>
      </c>
      <c r="K37" s="54">
        <f t="shared" si="15"/>
        <v>2.6262626262627792E-2</v>
      </c>
      <c r="L37" s="53">
        <f t="shared" si="16"/>
        <v>592.02000000000282</v>
      </c>
      <c r="M37" s="54">
        <f t="shared" si="17"/>
        <v>2.6262626262627792E-2</v>
      </c>
      <c r="N37" s="132">
        <v>66068309</v>
      </c>
      <c r="O37" s="132">
        <v>0</v>
      </c>
      <c r="P37" s="86"/>
      <c r="Q37" s="87"/>
      <c r="R37" s="19">
        <f t="shared" si="7"/>
        <v>1</v>
      </c>
      <c r="S37" s="19">
        <f t="shared" si="8"/>
        <v>0</v>
      </c>
      <c r="T37" s="145"/>
    </row>
    <row r="38" spans="1:20" ht="15" thickBot="1">
      <c r="A38" s="50">
        <v>44596</v>
      </c>
      <c r="D38" s="128">
        <v>0.14199999999999999</v>
      </c>
      <c r="E38" s="129">
        <v>2071.9639999999999</v>
      </c>
      <c r="F38" s="130">
        <v>64.814999999999998</v>
      </c>
      <c r="G38" s="131">
        <v>185.119</v>
      </c>
      <c r="H38" s="53">
        <v>4140</v>
      </c>
      <c r="I38" s="53">
        <f t="shared" si="13"/>
        <v>22430.520000000499</v>
      </c>
      <c r="J38" s="53">
        <f t="shared" si="14"/>
        <v>476.09999999997882</v>
      </c>
      <c r="K38" s="54">
        <f t="shared" si="15"/>
        <v>2.1225544481357019E-2</v>
      </c>
      <c r="L38" s="53">
        <f t="shared" si="16"/>
        <v>476.09999999997882</v>
      </c>
      <c r="M38" s="54">
        <f t="shared" si="17"/>
        <v>2.1225544481357019E-2</v>
      </c>
      <c r="N38" s="132">
        <v>66068309</v>
      </c>
      <c r="O38" s="132">
        <v>0</v>
      </c>
      <c r="P38" s="86"/>
      <c r="Q38" s="85"/>
      <c r="R38" s="19">
        <f t="shared" si="7"/>
        <v>1</v>
      </c>
      <c r="S38" s="19">
        <f t="shared" si="8"/>
        <v>0</v>
      </c>
      <c r="T38" s="144"/>
    </row>
    <row r="39" spans="1:20" ht="15" thickBot="1">
      <c r="A39" s="50">
        <v>44597</v>
      </c>
      <c r="D39" s="128">
        <v>0.14199999999999999</v>
      </c>
      <c r="E39" s="129">
        <v>2077.4569999999999</v>
      </c>
      <c r="F39" s="130">
        <v>64.947000000000003</v>
      </c>
      <c r="G39" s="131">
        <v>185.148</v>
      </c>
      <c r="H39" s="53">
        <v>4140</v>
      </c>
      <c r="I39" s="53">
        <f t="shared" si="13"/>
        <v>22741.019999999742</v>
      </c>
      <c r="J39" s="53">
        <f t="shared" si="14"/>
        <v>546.48000000002071</v>
      </c>
      <c r="K39" s="54">
        <f t="shared" si="15"/>
        <v>2.4030584380121334E-2</v>
      </c>
      <c r="L39" s="53">
        <f t="shared" si="16"/>
        <v>546.48000000002071</v>
      </c>
      <c r="M39" s="54">
        <f t="shared" si="17"/>
        <v>2.4030584380121334E-2</v>
      </c>
      <c r="N39" s="132">
        <v>66068309</v>
      </c>
      <c r="O39" s="132">
        <v>0</v>
      </c>
      <c r="P39" s="56"/>
      <c r="Q39" s="88"/>
      <c r="R39" s="19">
        <f t="shared" si="7"/>
        <v>1</v>
      </c>
      <c r="S39" s="19">
        <f t="shared" si="8"/>
        <v>0</v>
      </c>
      <c r="T39" s="144"/>
    </row>
    <row r="40" spans="1:20" ht="15" thickBot="1">
      <c r="A40" s="50">
        <v>44598</v>
      </c>
      <c r="D40" s="128">
        <v>0.14199999999999999</v>
      </c>
      <c r="E40" s="129">
        <v>2082.8270000000002</v>
      </c>
      <c r="F40" s="130">
        <v>65.058999999999997</v>
      </c>
      <c r="G40" s="131">
        <v>185.19200000000001</v>
      </c>
      <c r="H40" s="53">
        <v>4140</v>
      </c>
      <c r="I40" s="53">
        <f t="shared" si="13"/>
        <v>22231.800000001429</v>
      </c>
      <c r="J40" s="53">
        <f t="shared" si="14"/>
        <v>463.67999999997835</v>
      </c>
      <c r="K40" s="54">
        <f t="shared" si="15"/>
        <v>2.0856610800742564E-2</v>
      </c>
      <c r="L40" s="53">
        <f t="shared" si="16"/>
        <v>463.67999999997835</v>
      </c>
      <c r="M40" s="54">
        <f t="shared" si="17"/>
        <v>2.0856610800742564E-2</v>
      </c>
      <c r="N40" s="132">
        <v>66068309</v>
      </c>
      <c r="O40" s="132">
        <v>0</v>
      </c>
      <c r="P40" s="56"/>
      <c r="Q40" s="88"/>
      <c r="R40" s="19">
        <f t="shared" si="7"/>
        <v>1</v>
      </c>
      <c r="S40" s="19">
        <f t="shared" si="8"/>
        <v>0</v>
      </c>
      <c r="T40" s="144"/>
    </row>
    <row r="41" spans="1:20" ht="15" thickBot="1">
      <c r="A41" s="50">
        <v>44599</v>
      </c>
      <c r="D41" s="128">
        <v>0.14199999999999999</v>
      </c>
      <c r="E41" s="129">
        <v>2088.3159999999998</v>
      </c>
      <c r="F41" s="130">
        <v>65.192999999999998</v>
      </c>
      <c r="G41" s="131">
        <v>185.26300000000001</v>
      </c>
      <c r="H41" s="53">
        <v>4140</v>
      </c>
      <c r="I41" s="53">
        <f t="shared" si="13"/>
        <v>22724.459999998253</v>
      </c>
      <c r="J41" s="53">
        <f t="shared" si="14"/>
        <v>554.76000000000136</v>
      </c>
      <c r="K41" s="54">
        <f t="shared" si="15"/>
        <v>2.4412461286210718E-2</v>
      </c>
      <c r="L41" s="53">
        <f t="shared" si="16"/>
        <v>554.76000000000136</v>
      </c>
      <c r="M41" s="54">
        <f t="shared" si="17"/>
        <v>2.4412461286210718E-2</v>
      </c>
      <c r="N41" s="132">
        <v>66068309</v>
      </c>
      <c r="O41" s="132">
        <v>0</v>
      </c>
      <c r="P41" s="56"/>
      <c r="Q41" s="88"/>
      <c r="R41" s="19">
        <f t="shared" si="7"/>
        <v>1</v>
      </c>
      <c r="S41" s="19">
        <f t="shared" si="8"/>
        <v>0</v>
      </c>
      <c r="T41" s="145"/>
    </row>
    <row r="42" spans="1:20" ht="15" thickBot="1">
      <c r="A42" s="50">
        <v>44600</v>
      </c>
      <c r="D42" s="128">
        <v>0.14199999999999999</v>
      </c>
      <c r="E42" s="129">
        <v>2093.8310000000001</v>
      </c>
      <c r="F42" s="130">
        <v>65.313999999999993</v>
      </c>
      <c r="G42" s="131">
        <v>185.31800000000001</v>
      </c>
      <c r="H42" s="53">
        <v>4140</v>
      </c>
      <c r="I42" s="53">
        <f t="shared" si="13"/>
        <v>22832.100000001356</v>
      </c>
      <c r="J42" s="53">
        <f t="shared" si="14"/>
        <v>500.93999999997976</v>
      </c>
      <c r="K42" s="54">
        <f t="shared" si="15"/>
        <v>2.1940163191294274E-2</v>
      </c>
      <c r="L42" s="53">
        <f t="shared" si="16"/>
        <v>500.93999999997976</v>
      </c>
      <c r="M42" s="54">
        <f t="shared" si="17"/>
        <v>2.1940163191294274E-2</v>
      </c>
      <c r="N42" s="132">
        <v>66068309</v>
      </c>
      <c r="O42" s="132">
        <v>0</v>
      </c>
      <c r="P42" s="56"/>
      <c r="Q42" s="88"/>
      <c r="R42" s="19">
        <f t="shared" si="7"/>
        <v>1</v>
      </c>
      <c r="S42" s="19">
        <f t="shared" si="8"/>
        <v>0</v>
      </c>
      <c r="T42" s="145"/>
    </row>
    <row r="43" spans="1:20" ht="15" thickBot="1">
      <c r="A43" s="50">
        <v>44601</v>
      </c>
      <c r="D43" s="128">
        <v>0.14199999999999999</v>
      </c>
      <c r="E43" s="129">
        <v>2099.4569999999999</v>
      </c>
      <c r="F43" s="130">
        <v>65.441999999999993</v>
      </c>
      <c r="G43" s="131">
        <v>185.46299999999999</v>
      </c>
      <c r="H43" s="53">
        <v>4140</v>
      </c>
      <c r="I43" s="53">
        <f>IF(D43="","",+(E43-E42)*4140)</f>
        <v>23291.639999998959</v>
      </c>
      <c r="J43" s="53">
        <f t="shared" si="14"/>
        <v>529.92000000000053</v>
      </c>
      <c r="K43" s="54">
        <f t="shared" si="15"/>
        <v>2.2751510842517926E-2</v>
      </c>
      <c r="L43" s="53">
        <f t="shared" si="16"/>
        <v>529.92000000000053</v>
      </c>
      <c r="M43" s="54">
        <f t="shared" si="17"/>
        <v>2.2751510842517926E-2</v>
      </c>
      <c r="N43" s="132">
        <v>66068309</v>
      </c>
      <c r="O43" s="132">
        <v>0</v>
      </c>
      <c r="P43" s="56"/>
      <c r="Q43" s="88"/>
      <c r="R43" s="19">
        <f t="shared" si="7"/>
        <v>1</v>
      </c>
      <c r="S43" s="19">
        <f t="shared" si="8"/>
        <v>0</v>
      </c>
      <c r="T43" s="144"/>
    </row>
    <row r="44" spans="1:20" ht="15" thickBot="1">
      <c r="A44" s="50">
        <v>44602</v>
      </c>
      <c r="D44" s="128">
        <v>0.14199999999999999</v>
      </c>
      <c r="E44" s="129">
        <v>2104.9850000000001</v>
      </c>
      <c r="F44" s="130">
        <v>65.581000000000003</v>
      </c>
      <c r="G44" s="131">
        <v>185.536</v>
      </c>
      <c r="H44" s="53">
        <v>4140</v>
      </c>
      <c r="I44" s="53">
        <f t="shared" si="13"/>
        <v>22885.920000001024</v>
      </c>
      <c r="J44" s="53">
        <f t="shared" si="14"/>
        <v>575.46000000004142</v>
      </c>
      <c r="K44" s="54">
        <f t="shared" si="15"/>
        <v>2.5144717800290119E-2</v>
      </c>
      <c r="L44" s="53">
        <f t="shared" si="16"/>
        <v>575.46000000004142</v>
      </c>
      <c r="M44" s="54">
        <f t="shared" si="17"/>
        <v>2.5144717800290119E-2</v>
      </c>
      <c r="N44" s="132">
        <v>66068309</v>
      </c>
      <c r="O44" s="132">
        <v>0</v>
      </c>
      <c r="P44" s="56"/>
      <c r="Q44" s="88"/>
      <c r="R44" s="19">
        <f t="shared" si="7"/>
        <v>1</v>
      </c>
      <c r="S44" s="19">
        <f t="shared" si="8"/>
        <v>0</v>
      </c>
      <c r="T44" s="144"/>
    </row>
    <row r="45" spans="1:20" ht="15" thickBot="1">
      <c r="A45" s="50">
        <v>44603</v>
      </c>
      <c r="D45" s="128">
        <v>0.14199999999999999</v>
      </c>
      <c r="E45" s="129">
        <v>2110.6080000000002</v>
      </c>
      <c r="F45" s="130">
        <v>65.745999999999995</v>
      </c>
      <c r="G45" s="131">
        <v>185.636</v>
      </c>
      <c r="H45" s="53">
        <v>4140</v>
      </c>
      <c r="I45" s="53">
        <f t="shared" si="13"/>
        <v>23279.220000000198</v>
      </c>
      <c r="J45" s="53">
        <f t="shared" si="14"/>
        <v>683.09999999996705</v>
      </c>
      <c r="K45" s="54">
        <f t="shared" si="15"/>
        <v>2.9343766672593037E-2</v>
      </c>
      <c r="L45" s="53">
        <f t="shared" si="16"/>
        <v>683.09999999996705</v>
      </c>
      <c r="M45" s="54">
        <f t="shared" si="17"/>
        <v>2.9343766672593037E-2</v>
      </c>
      <c r="N45" s="132">
        <v>66068309</v>
      </c>
      <c r="O45" s="132">
        <v>0</v>
      </c>
      <c r="P45" s="56"/>
      <c r="Q45" s="88"/>
      <c r="R45" s="19">
        <f t="shared" si="7"/>
        <v>1</v>
      </c>
      <c r="S45" s="19">
        <f t="shared" si="8"/>
        <v>0</v>
      </c>
      <c r="T45" s="144"/>
    </row>
    <row r="46" spans="1:20" ht="15" thickBot="1">
      <c r="A46" s="50">
        <v>44604</v>
      </c>
      <c r="D46" s="128">
        <v>0.14199999999999999</v>
      </c>
      <c r="E46" s="129">
        <v>2116.09</v>
      </c>
      <c r="F46" s="130">
        <v>65.879000000000005</v>
      </c>
      <c r="G46" s="131">
        <v>185.68700000000001</v>
      </c>
      <c r="H46" s="53">
        <v>4140</v>
      </c>
      <c r="I46" s="53">
        <f t="shared" si="13"/>
        <v>22695.47999999988</v>
      </c>
      <c r="J46" s="53">
        <f t="shared" si="14"/>
        <v>550.62000000004048</v>
      </c>
      <c r="K46" s="54">
        <f t="shared" si="15"/>
        <v>2.426121853338389E-2</v>
      </c>
      <c r="L46" s="53">
        <f t="shared" si="16"/>
        <v>550.62000000004048</v>
      </c>
      <c r="M46" s="54">
        <f t="shared" si="17"/>
        <v>2.426121853338389E-2</v>
      </c>
      <c r="N46" s="132">
        <v>66068309</v>
      </c>
      <c r="O46" s="132">
        <v>0</v>
      </c>
      <c r="P46" s="56"/>
      <c r="Q46" s="88"/>
      <c r="R46" s="19">
        <f t="shared" si="7"/>
        <v>1</v>
      </c>
      <c r="S46" s="19">
        <f t="shared" si="8"/>
        <v>0</v>
      </c>
      <c r="T46" s="145"/>
    </row>
    <row r="47" spans="1:20" ht="15" thickBot="1">
      <c r="A47" s="50">
        <v>44605</v>
      </c>
      <c r="D47" s="128">
        <v>0.14199999999999999</v>
      </c>
      <c r="E47" s="129">
        <v>2122.1959999999999</v>
      </c>
      <c r="F47" s="130">
        <v>65.983999999999995</v>
      </c>
      <c r="G47" s="131">
        <v>185.76</v>
      </c>
      <c r="H47" s="53">
        <v>4140</v>
      </c>
      <c r="I47" s="53">
        <f t="shared" si="13"/>
        <v>25278.839999999036</v>
      </c>
      <c r="J47" s="53">
        <f t="shared" si="14"/>
        <v>434.69999999995764</v>
      </c>
      <c r="K47" s="54">
        <f t="shared" si="15"/>
        <v>1.7196200458564327E-2</v>
      </c>
      <c r="L47" s="53">
        <f t="shared" si="16"/>
        <v>434.69999999995764</v>
      </c>
      <c r="M47" s="54">
        <f t="shared" si="17"/>
        <v>1.7196200458564327E-2</v>
      </c>
      <c r="N47" s="132">
        <v>66068309</v>
      </c>
      <c r="O47" s="132">
        <v>0</v>
      </c>
      <c r="P47" s="56"/>
      <c r="Q47" s="88"/>
      <c r="R47" s="19">
        <f t="shared" si="7"/>
        <v>1</v>
      </c>
      <c r="S47" s="19">
        <f t="shared" si="8"/>
        <v>0</v>
      </c>
      <c r="T47" s="145"/>
    </row>
    <row r="48" spans="1:20" ht="15" thickBot="1">
      <c r="A48" s="50">
        <v>44606</v>
      </c>
      <c r="D48" s="128">
        <v>0.14199999999999999</v>
      </c>
      <c r="E48" s="129">
        <v>2128.1619999999998</v>
      </c>
      <c r="F48" s="130">
        <v>66.134</v>
      </c>
      <c r="G48" s="131">
        <v>185.84</v>
      </c>
      <c r="H48" s="53">
        <v>4140</v>
      </c>
      <c r="I48" s="53">
        <f t="shared" si="13"/>
        <v>24699.239999999561</v>
      </c>
      <c r="J48" s="53">
        <f t="shared" si="14"/>
        <v>621.00000000002353</v>
      </c>
      <c r="K48" s="54">
        <f t="shared" si="15"/>
        <v>2.5142474019444912E-2</v>
      </c>
      <c r="L48" s="53">
        <f t="shared" si="16"/>
        <v>621.00000000002353</v>
      </c>
      <c r="M48" s="54">
        <f t="shared" si="17"/>
        <v>2.5142474019444912E-2</v>
      </c>
      <c r="N48" s="132">
        <v>66068309</v>
      </c>
      <c r="O48" s="132">
        <v>0</v>
      </c>
      <c r="P48" s="60"/>
      <c r="Q48" s="89"/>
      <c r="R48" s="19">
        <f t="shared" si="7"/>
        <v>1</v>
      </c>
      <c r="S48" s="19">
        <f>IF(N48="",1,0)</f>
        <v>0</v>
      </c>
      <c r="T48" s="144"/>
    </row>
    <row r="49" spans="1:20" ht="15" thickBot="1">
      <c r="A49" s="50">
        <v>44607</v>
      </c>
      <c r="D49" s="128">
        <v>0.14199999999999999</v>
      </c>
      <c r="E49" s="129">
        <v>2134.038</v>
      </c>
      <c r="F49" s="130">
        <v>66.262</v>
      </c>
      <c r="G49" s="131">
        <v>185.916</v>
      </c>
      <c r="H49" s="53">
        <v>4140</v>
      </c>
      <c r="I49" s="53">
        <f t="shared" ref="I49:J51" si="18">IF(D49="","",+(E49-E48)*4140)</f>
        <v>24326.640000000843</v>
      </c>
      <c r="J49" s="53">
        <f t="shared" si="18"/>
        <v>529.92000000000053</v>
      </c>
      <c r="K49" s="54">
        <f t="shared" ref="K49:K54" si="19">IF(J49="","",+(J49/I49))</f>
        <v>2.1783526208304236E-2</v>
      </c>
      <c r="L49" s="53">
        <f t="shared" ref="L49:L54" si="20">IF(F49="","",+(F49-F48)*4140)</f>
        <v>529.92000000000053</v>
      </c>
      <c r="M49" s="54">
        <f t="shared" ref="M49:M54" si="21">IF(L49="","",(L49/I49))</f>
        <v>2.1783526208304236E-2</v>
      </c>
      <c r="N49" s="132">
        <v>66068309</v>
      </c>
      <c r="O49" s="132">
        <v>0</v>
      </c>
      <c r="P49" s="181" t="s">
        <v>42</v>
      </c>
      <c r="Q49" s="182"/>
      <c r="R49" s="19">
        <f t="shared" si="7"/>
        <v>1</v>
      </c>
      <c r="S49" s="19">
        <f t="shared" si="8"/>
        <v>0</v>
      </c>
      <c r="T49" s="144"/>
    </row>
    <row r="50" spans="1:20" ht="15" thickBot="1">
      <c r="A50" s="50">
        <v>44608</v>
      </c>
      <c r="D50" s="128">
        <v>0.14199999999999999</v>
      </c>
      <c r="E50" s="129">
        <v>2139.6280000000002</v>
      </c>
      <c r="F50" s="130">
        <v>66.363</v>
      </c>
      <c r="G50" s="131">
        <v>185.96799999999999</v>
      </c>
      <c r="H50" s="53">
        <v>4140</v>
      </c>
      <c r="I50" s="53">
        <f t="shared" si="18"/>
        <v>23142.600000000602</v>
      </c>
      <c r="J50" s="53">
        <f t="shared" si="18"/>
        <v>418.13999999999623</v>
      </c>
      <c r="K50" s="54">
        <f t="shared" si="19"/>
        <v>1.8067978533094178E-2</v>
      </c>
      <c r="L50" s="53">
        <f t="shared" si="20"/>
        <v>418.13999999999623</v>
      </c>
      <c r="M50" s="54">
        <f t="shared" si="21"/>
        <v>1.8067978533094178E-2</v>
      </c>
      <c r="N50" s="132">
        <v>66068309</v>
      </c>
      <c r="O50" s="132">
        <v>0</v>
      </c>
      <c r="P50" s="183"/>
      <c r="Q50" s="184"/>
      <c r="R50" s="19">
        <f t="shared" si="7"/>
        <v>1</v>
      </c>
      <c r="S50" s="19">
        <f t="shared" si="8"/>
        <v>0</v>
      </c>
      <c r="T50" s="144"/>
    </row>
    <row r="51" spans="1:20" ht="15" thickBot="1">
      <c r="A51" s="50">
        <v>44609</v>
      </c>
      <c r="D51" s="128">
        <v>0.14199999999999999</v>
      </c>
      <c r="E51" s="129">
        <v>2145.3040000000001</v>
      </c>
      <c r="F51" s="130">
        <v>66.445999999999998</v>
      </c>
      <c r="G51" s="131">
        <v>186.03100000000001</v>
      </c>
      <c r="H51" s="53">
        <v>4140</v>
      </c>
      <c r="I51" s="53">
        <f t="shared" si="18"/>
        <v>23498.639999999716</v>
      </c>
      <c r="J51" s="53">
        <f t="shared" si="18"/>
        <v>343.61999999999341</v>
      </c>
      <c r="K51" s="54">
        <f t="shared" si="19"/>
        <v>1.4622973925299404E-2</v>
      </c>
      <c r="L51" s="53">
        <f t="shared" si="20"/>
        <v>343.61999999999341</v>
      </c>
      <c r="M51" s="54">
        <f t="shared" si="21"/>
        <v>1.4622973925299404E-2</v>
      </c>
      <c r="N51" s="132">
        <v>66068309</v>
      </c>
      <c r="O51" s="132">
        <v>0</v>
      </c>
      <c r="P51" s="62" t="s">
        <v>31</v>
      </c>
      <c r="Q51" s="62" t="s">
        <v>32</v>
      </c>
      <c r="R51" s="19">
        <f t="shared" si="7"/>
        <v>1</v>
      </c>
      <c r="S51" s="19">
        <f t="shared" si="8"/>
        <v>0</v>
      </c>
      <c r="T51" s="145"/>
    </row>
    <row r="52" spans="1:20" ht="15" thickBot="1">
      <c r="A52" s="50">
        <v>44610</v>
      </c>
      <c r="D52" s="128">
        <v>0.14199999999999999</v>
      </c>
      <c r="E52" s="129">
        <v>2151.0479999999998</v>
      </c>
      <c r="F52" s="130">
        <v>66.525999999999996</v>
      </c>
      <c r="G52" s="131">
        <v>186.15700000000001</v>
      </c>
      <c r="H52" s="53">
        <v>4140</v>
      </c>
      <c r="I52" s="53">
        <f t="shared" ref="I52:J54" si="22">IF(D52="","",+(E52-E51)*4140)</f>
        <v>23780.159999998705</v>
      </c>
      <c r="J52" s="53">
        <f t="shared" si="22"/>
        <v>331.19999999999294</v>
      </c>
      <c r="K52" s="54">
        <f t="shared" si="19"/>
        <v>1.392757660167177E-2</v>
      </c>
      <c r="L52" s="53">
        <f t="shared" si="20"/>
        <v>331.19999999999294</v>
      </c>
      <c r="M52" s="54">
        <f t="shared" si="21"/>
        <v>1.392757660167177E-2</v>
      </c>
      <c r="N52" s="132">
        <v>66068309</v>
      </c>
      <c r="O52" s="132">
        <v>0</v>
      </c>
      <c r="P52" s="63">
        <f>IF(J34="",0,+SUM(J34:J61)/SUM(I34:I61))</f>
        <v>2.0175112012632709E-2</v>
      </c>
      <c r="Q52" s="63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45"/>
    </row>
    <row r="53" spans="1:20" ht="15" thickBot="1">
      <c r="A53" s="50">
        <v>44611</v>
      </c>
      <c r="D53" s="128">
        <v>0.14199999999999999</v>
      </c>
      <c r="E53" s="129">
        <v>2156.5479999999998</v>
      </c>
      <c r="F53" s="130">
        <v>66.662999999999997</v>
      </c>
      <c r="G53" s="131">
        <v>186.21100000000001</v>
      </c>
      <c r="H53" s="53">
        <v>4140</v>
      </c>
      <c r="I53" s="53">
        <f t="shared" si="22"/>
        <v>22770</v>
      </c>
      <c r="J53" s="53">
        <f t="shared" si="22"/>
        <v>567.18000000000188</v>
      </c>
      <c r="K53" s="54">
        <f t="shared" si="19"/>
        <v>2.4909090909090992E-2</v>
      </c>
      <c r="L53" s="53">
        <f t="shared" si="20"/>
        <v>567.18000000000188</v>
      </c>
      <c r="M53" s="54">
        <f t="shared" si="21"/>
        <v>2.4909090909090992E-2</v>
      </c>
      <c r="N53" s="132">
        <v>66068309</v>
      </c>
      <c r="O53" s="132">
        <v>0</v>
      </c>
      <c r="P53" s="64" t="e">
        <f>IF(J34="",0,+(+(LOOKUP(9.99999999999999E+307,E34:E61)-E33))/(+(LOOKUP(9.99999999999999E+307,D34:D61)-D33)))</f>
        <v>#DIV/0!</v>
      </c>
      <c r="Q53" s="64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44"/>
    </row>
    <row r="54" spans="1:20" ht="15" thickBot="1">
      <c r="A54" s="50">
        <v>44612</v>
      </c>
      <c r="D54" s="128">
        <v>0.14199999999999999</v>
      </c>
      <c r="E54" s="129">
        <v>2162.087</v>
      </c>
      <c r="F54" s="130">
        <v>66.677999999999997</v>
      </c>
      <c r="G54" s="131">
        <v>186.25</v>
      </c>
      <c r="H54" s="53">
        <v>4140</v>
      </c>
      <c r="I54" s="53">
        <f t="shared" si="22"/>
        <v>22931.460000000887</v>
      </c>
      <c r="J54" s="53">
        <f t="shared" ref="J54:J61" si="23">IF(E54="","",+(F54-F53)*4140)</f>
        <v>62.100000000002353</v>
      </c>
      <c r="K54" s="54">
        <f t="shared" si="19"/>
        <v>2.7080700487452586E-3</v>
      </c>
      <c r="L54" s="53">
        <f t="shared" si="20"/>
        <v>62.100000000002353</v>
      </c>
      <c r="M54" s="54">
        <f t="shared" si="21"/>
        <v>2.7080700487452586E-3</v>
      </c>
      <c r="N54" s="132">
        <v>66068309</v>
      </c>
      <c r="O54" s="132">
        <v>0</v>
      </c>
      <c r="P54" s="65" t="s">
        <v>33</v>
      </c>
      <c r="Q54" s="66" t="s">
        <v>34</v>
      </c>
      <c r="R54" s="19">
        <f t="shared" si="7"/>
        <v>1</v>
      </c>
      <c r="S54" s="19">
        <f t="shared" si="8"/>
        <v>0</v>
      </c>
      <c r="T54" s="144"/>
    </row>
    <row r="55" spans="1:20" ht="15" thickBot="1">
      <c r="A55" s="50">
        <v>44613</v>
      </c>
      <c r="D55" s="128">
        <v>0.14199999999999999</v>
      </c>
      <c r="E55" s="129">
        <v>2167.4580000000001</v>
      </c>
      <c r="F55" s="130">
        <v>66.736000000000004</v>
      </c>
      <c r="G55" s="131">
        <v>186.30600000000001</v>
      </c>
      <c r="H55" s="53">
        <v>4140</v>
      </c>
      <c r="I55" s="53">
        <f t="shared" ref="I55:I61" si="24">IF(D55="","",+(E55-E54)*4140)</f>
        <v>22235.940000000392</v>
      </c>
      <c r="J55" s="53">
        <f t="shared" si="23"/>
        <v>240.12000000002871</v>
      </c>
      <c r="K55" s="54">
        <f t="shared" ref="K55:K61" si="25">IF(J55="","",+(J55/I55))</f>
        <v>1.079873394153899E-2</v>
      </c>
      <c r="L55" s="53">
        <f t="shared" ref="L55:L61" si="26">IF(F55="","",+(F55-F54)*4140)</f>
        <v>240.12000000002871</v>
      </c>
      <c r="M55" s="54">
        <f t="shared" ref="M55:M61" si="27">IF(L55="","",(L55/I55))</f>
        <v>1.079873394153899E-2</v>
      </c>
      <c r="N55" s="132">
        <v>66068309</v>
      </c>
      <c r="O55" s="132">
        <v>0</v>
      </c>
      <c r="P55" s="67">
        <f>IF(N33="",0,+(LOOKUP(9.99999999999999E+307,N33:N61)-N33))</f>
        <v>0</v>
      </c>
      <c r="Q55" s="68">
        <f>IF(P55="",0,+P55/SUM(R34:R61))</f>
        <v>0</v>
      </c>
      <c r="R55" s="19">
        <f t="shared" si="7"/>
        <v>1</v>
      </c>
      <c r="S55" s="19">
        <f t="shared" si="8"/>
        <v>0</v>
      </c>
      <c r="T55" s="145"/>
    </row>
    <row r="56" spans="1:20" ht="15" thickBot="1">
      <c r="A56" s="50">
        <v>44614</v>
      </c>
      <c r="D56" s="128">
        <v>0.14199999999999999</v>
      </c>
      <c r="E56" s="129">
        <v>2173.1239999999998</v>
      </c>
      <c r="F56" s="130">
        <v>66.807000000000002</v>
      </c>
      <c r="G56" s="131">
        <v>186.36600000000001</v>
      </c>
      <c r="H56" s="53">
        <v>4140</v>
      </c>
      <c r="I56" s="53">
        <f t="shared" si="24"/>
        <v>23457.239999998812</v>
      </c>
      <c r="J56" s="53">
        <f t="shared" si="23"/>
        <v>293.93999999999153</v>
      </c>
      <c r="K56" s="54">
        <f t="shared" si="25"/>
        <v>1.253088598658693E-2</v>
      </c>
      <c r="L56" s="53">
        <f t="shared" si="26"/>
        <v>293.93999999999153</v>
      </c>
      <c r="M56" s="54">
        <f t="shared" si="27"/>
        <v>1.253088598658693E-2</v>
      </c>
      <c r="N56" s="132">
        <v>66068309</v>
      </c>
      <c r="O56" s="132">
        <v>0</v>
      </c>
      <c r="P56" s="69" t="s">
        <v>35</v>
      </c>
      <c r="Q56" s="70" t="s">
        <v>43</v>
      </c>
      <c r="R56" s="19">
        <f t="shared" si="7"/>
        <v>1</v>
      </c>
      <c r="S56" s="19">
        <f t="shared" si="8"/>
        <v>0</v>
      </c>
      <c r="T56" s="145"/>
    </row>
    <row r="57" spans="1:20" ht="15" thickBot="1">
      <c r="A57" s="50">
        <v>44615</v>
      </c>
      <c r="D57" s="128">
        <v>0.14199999999999999</v>
      </c>
      <c r="E57" s="129">
        <v>2178.846</v>
      </c>
      <c r="F57" s="130">
        <v>66.957999999999998</v>
      </c>
      <c r="G57" s="131">
        <v>186.435</v>
      </c>
      <c r="H57" s="53">
        <v>4140</v>
      </c>
      <c r="I57" s="53">
        <f t="shared" si="24"/>
        <v>23689.08000000086</v>
      </c>
      <c r="J57" s="53">
        <f t="shared" si="23"/>
        <v>625.13999999998441</v>
      </c>
      <c r="K57" s="54">
        <f t="shared" si="25"/>
        <v>2.6389374344633128E-2</v>
      </c>
      <c r="L57" s="53">
        <f t="shared" si="26"/>
        <v>625.13999999998441</v>
      </c>
      <c r="M57" s="54">
        <f t="shared" si="27"/>
        <v>2.6389374344633128E-2</v>
      </c>
      <c r="N57" s="132">
        <v>66068309</v>
      </c>
      <c r="O57" s="132">
        <v>0</v>
      </c>
      <c r="P57" s="71">
        <f>IF(D33="",0,+(LOOKUP(9.99999999999999E+307,D33:D62)-D33))*4140</f>
        <v>0</v>
      </c>
      <c r="Q57" s="72">
        <f>IF(P57="",0,+P57/SUM(R34:R62))</f>
        <v>0</v>
      </c>
      <c r="R57" s="19">
        <f t="shared" si="7"/>
        <v>1</v>
      </c>
      <c r="S57" s="19">
        <f t="shared" si="8"/>
        <v>0</v>
      </c>
      <c r="T57" s="145"/>
    </row>
    <row r="58" spans="1:20" ht="15" thickBot="1">
      <c r="A58" s="50">
        <v>44616</v>
      </c>
      <c r="D58" s="128">
        <v>0.14199999999999999</v>
      </c>
      <c r="E58" s="129">
        <v>2184.9650000000001</v>
      </c>
      <c r="F58" s="130">
        <v>67.113</v>
      </c>
      <c r="G58" s="131">
        <v>186.5</v>
      </c>
      <c r="H58" s="53">
        <v>4140</v>
      </c>
      <c r="I58" s="53">
        <f t="shared" si="24"/>
        <v>25332.660000000586</v>
      </c>
      <c r="J58" s="53">
        <f t="shared" si="23"/>
        <v>641.70000000000471</v>
      </c>
      <c r="K58" s="54">
        <f t="shared" si="25"/>
        <v>2.5330936427520438E-2</v>
      </c>
      <c r="L58" s="53">
        <f t="shared" si="26"/>
        <v>641.70000000000471</v>
      </c>
      <c r="M58" s="54">
        <f t="shared" si="27"/>
        <v>2.5330936427520438E-2</v>
      </c>
      <c r="N58" s="132">
        <v>66068309</v>
      </c>
      <c r="O58" s="132">
        <v>0</v>
      </c>
      <c r="P58" s="146" t="s">
        <v>37</v>
      </c>
      <c r="Q58" s="147" t="s">
        <v>44</v>
      </c>
      <c r="R58" s="19">
        <f t="shared" si="7"/>
        <v>1</v>
      </c>
      <c r="S58" s="19">
        <f t="shared" si="8"/>
        <v>0</v>
      </c>
      <c r="T58" s="145"/>
    </row>
    <row r="59" spans="1:20" ht="15" thickBot="1">
      <c r="A59" s="50">
        <v>44617</v>
      </c>
      <c r="D59" s="128">
        <v>0.14199999999999999</v>
      </c>
      <c r="E59" s="129">
        <v>2189.0070000000001</v>
      </c>
      <c r="F59" s="130">
        <v>67.135999999999996</v>
      </c>
      <c r="G59" s="131">
        <v>186.56299999999999</v>
      </c>
      <c r="H59" s="53">
        <v>4140</v>
      </c>
      <c r="I59" s="53">
        <f t="shared" si="24"/>
        <v>16733.879999999655</v>
      </c>
      <c r="J59" s="53">
        <f t="shared" si="23"/>
        <v>95.219999999983997</v>
      </c>
      <c r="K59" s="54">
        <f t="shared" si="25"/>
        <v>5.6902523503207835E-3</v>
      </c>
      <c r="L59" s="53">
        <f t="shared" si="26"/>
        <v>95.219999999983997</v>
      </c>
      <c r="M59" s="54">
        <f t="shared" si="27"/>
        <v>5.6902523503207835E-3</v>
      </c>
      <c r="N59" s="132">
        <v>66068309</v>
      </c>
      <c r="O59" s="132">
        <v>0</v>
      </c>
      <c r="P59" s="73">
        <f>P57*Q63</f>
        <v>0</v>
      </c>
      <c r="Q59" s="74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44"/>
    </row>
    <row r="60" spans="1:20" ht="15" thickBot="1">
      <c r="A60" s="50">
        <v>44618</v>
      </c>
      <c r="D60" s="128">
        <v>0.14199999999999999</v>
      </c>
      <c r="E60" s="129">
        <v>2194.4540000000002</v>
      </c>
      <c r="F60" s="130">
        <v>67.231999999999999</v>
      </c>
      <c r="G60" s="131">
        <v>186.62200000000001</v>
      </c>
      <c r="H60" s="53">
        <v>4140</v>
      </c>
      <c r="I60" s="53">
        <f t="shared" si="24"/>
        <v>22550.580000000482</v>
      </c>
      <c r="J60" s="53">
        <f t="shared" si="23"/>
        <v>397.44000000001506</v>
      </c>
      <c r="K60" s="54">
        <f t="shared" si="25"/>
        <v>1.7624380392877104E-2</v>
      </c>
      <c r="L60" s="53">
        <f t="shared" si="26"/>
        <v>397.44000000001506</v>
      </c>
      <c r="M60" s="54">
        <f t="shared" si="27"/>
        <v>1.7624380392877104E-2</v>
      </c>
      <c r="N60" s="132">
        <v>66068309</v>
      </c>
      <c r="O60" s="132">
        <v>0</v>
      </c>
      <c r="P60" s="148" t="s">
        <v>39</v>
      </c>
      <c r="Q60" s="149" t="s">
        <v>40</v>
      </c>
      <c r="R60" s="19">
        <f t="shared" si="7"/>
        <v>1</v>
      </c>
      <c r="S60" s="19">
        <f t="shared" si="8"/>
        <v>0</v>
      </c>
      <c r="T60" s="144"/>
    </row>
    <row r="61" spans="1:20" ht="15" thickBot="1">
      <c r="A61" s="50">
        <v>44619</v>
      </c>
      <c r="B61" s="90"/>
      <c r="C61" s="90"/>
      <c r="D61" s="128">
        <v>0.14199999999999999</v>
      </c>
      <c r="E61" s="129">
        <v>2200.2910000000002</v>
      </c>
      <c r="F61" s="130">
        <v>67.331000000000003</v>
      </c>
      <c r="G61" s="134">
        <v>186.69300000000001</v>
      </c>
      <c r="H61" s="53">
        <v>4140</v>
      </c>
      <c r="I61" s="53">
        <f t="shared" si="24"/>
        <v>24165.179999999957</v>
      </c>
      <c r="J61" s="53">
        <f t="shared" si="23"/>
        <v>409.86000000001553</v>
      </c>
      <c r="K61" s="54">
        <f t="shared" si="25"/>
        <v>1.6960767517561065E-2</v>
      </c>
      <c r="L61" s="53">
        <f t="shared" si="26"/>
        <v>409.86000000001553</v>
      </c>
      <c r="M61" s="54">
        <f t="shared" si="27"/>
        <v>1.6960767517561065E-2</v>
      </c>
      <c r="N61" s="132">
        <v>66068309</v>
      </c>
      <c r="O61" s="132">
        <v>0</v>
      </c>
      <c r="P61" s="111">
        <f>(P59+Q57*SUM(S34:S61)*Q63)</f>
        <v>0</v>
      </c>
      <c r="Q61" s="79">
        <f>Q57*29</f>
        <v>0</v>
      </c>
      <c r="R61" s="19">
        <f t="shared" si="7"/>
        <v>1</v>
      </c>
      <c r="S61" s="19">
        <f t="shared" si="8"/>
        <v>0</v>
      </c>
      <c r="T61" s="144"/>
    </row>
    <row r="62" spans="1:20" ht="15" thickBot="1">
      <c r="A62" s="50">
        <v>44620</v>
      </c>
      <c r="B62" s="90"/>
      <c r="C62" s="90"/>
      <c r="D62" s="153">
        <v>0.14199999999999999</v>
      </c>
      <c r="E62" s="153">
        <v>2206.3420000000001</v>
      </c>
      <c r="F62" s="153">
        <v>67.456999999999994</v>
      </c>
      <c r="G62" s="158">
        <v>186.77500000000001</v>
      </c>
      <c r="H62" s="155">
        <v>4140</v>
      </c>
      <c r="I62" s="155">
        <f t="shared" ref="I62:J64" si="28">IF(D62="","",+(E62-E61)*4140)</f>
        <v>25051.139999999716</v>
      </c>
      <c r="J62" s="155">
        <f t="shared" si="28"/>
        <v>521.63999999996099</v>
      </c>
      <c r="K62" s="156">
        <f t="shared" ref="K62:K68" si="29">IF(J62="","",+(J62/I62))</f>
        <v>2.0823004462071065E-2</v>
      </c>
      <c r="L62" s="155">
        <f t="shared" ref="L62:L68" si="30">IF(F62="","",+(F62-F61)*4140)</f>
        <v>521.63999999996099</v>
      </c>
      <c r="M62" s="156">
        <f t="shared" ref="M62:M68" si="31">IF(L62="","",(L62/I62))</f>
        <v>2.0823004462071065E-2</v>
      </c>
      <c r="N62" s="157">
        <v>66068309</v>
      </c>
      <c r="O62" s="157">
        <f>IF(N62="","",N62-N61)</f>
        <v>0</v>
      </c>
      <c r="P62" s="91"/>
      <c r="Q62" s="92"/>
      <c r="R62" s="19">
        <f t="shared" si="7"/>
        <v>1</v>
      </c>
      <c r="S62" s="19">
        <f t="shared" si="8"/>
        <v>0</v>
      </c>
      <c r="T62" s="144"/>
    </row>
    <row r="63" spans="1:20" ht="15" thickBot="1">
      <c r="A63" s="50">
        <v>44621</v>
      </c>
      <c r="D63" s="128">
        <v>0.14199999999999999</v>
      </c>
      <c r="E63" s="129">
        <v>2212.4119999999998</v>
      </c>
      <c r="F63" s="130">
        <v>67.59</v>
      </c>
      <c r="G63" s="52">
        <v>186.875</v>
      </c>
      <c r="H63" s="53">
        <v>4140</v>
      </c>
      <c r="I63" s="53">
        <f t="shared" si="28"/>
        <v>25129.799999998795</v>
      </c>
      <c r="J63" s="53">
        <f t="shared" si="28"/>
        <v>550.62000000004048</v>
      </c>
      <c r="K63" s="54">
        <f t="shared" si="29"/>
        <v>2.1911037891271194E-2</v>
      </c>
      <c r="L63" s="53">
        <f t="shared" si="30"/>
        <v>550.62000000004048</v>
      </c>
      <c r="M63" s="54">
        <f t="shared" si="31"/>
        <v>2.1911037891271194E-2</v>
      </c>
      <c r="N63" s="55">
        <v>66068309</v>
      </c>
      <c r="O63" s="55">
        <f t="shared" ref="O63:O76" si="32">IF(N63="","",N63-N62)</f>
        <v>0</v>
      </c>
      <c r="P63" s="80" t="s">
        <v>41</v>
      </c>
      <c r="Q63" s="81">
        <v>0.56999999999999995</v>
      </c>
      <c r="R63" s="19">
        <f t="shared" si="7"/>
        <v>1</v>
      </c>
      <c r="S63" s="19">
        <f t="shared" si="8"/>
        <v>0</v>
      </c>
      <c r="T63" s="144"/>
    </row>
    <row r="64" spans="1:20" ht="15" thickBot="1">
      <c r="A64" s="50">
        <v>44622</v>
      </c>
      <c r="D64" s="128">
        <v>0.14199999999999999</v>
      </c>
      <c r="E64" s="129">
        <v>2218.1669999999999</v>
      </c>
      <c r="F64" s="130">
        <v>67.766000000000005</v>
      </c>
      <c r="G64" s="52">
        <v>187.01300000000001</v>
      </c>
      <c r="H64" s="53">
        <v>4140</v>
      </c>
      <c r="I64" s="53">
        <f t="shared" si="28"/>
        <v>23825.700000000452</v>
      </c>
      <c r="J64" s="53">
        <f t="shared" si="28"/>
        <v>728.64000000000806</v>
      </c>
      <c r="K64" s="54">
        <f t="shared" si="29"/>
        <v>3.0582102519547977E-2</v>
      </c>
      <c r="L64" s="53">
        <f t="shared" si="30"/>
        <v>728.64000000000806</v>
      </c>
      <c r="M64" s="54">
        <f t="shared" si="31"/>
        <v>3.0582102519547977E-2</v>
      </c>
      <c r="N64" s="55">
        <v>66068309</v>
      </c>
      <c r="O64" s="55">
        <f t="shared" si="32"/>
        <v>0</v>
      </c>
      <c r="P64" s="82"/>
      <c r="Q64" s="83"/>
      <c r="R64" s="19">
        <f t="shared" si="7"/>
        <v>1</v>
      </c>
      <c r="S64" s="19">
        <f t="shared" si="8"/>
        <v>0</v>
      </c>
      <c r="T64" s="144"/>
    </row>
    <row r="65" spans="1:20" ht="15" thickBot="1">
      <c r="A65" s="50">
        <v>44623</v>
      </c>
      <c r="D65" s="128">
        <v>0.14199999999999999</v>
      </c>
      <c r="E65" s="129">
        <v>2224.0830000000001</v>
      </c>
      <c r="F65" s="130">
        <v>67.905000000000001</v>
      </c>
      <c r="G65" s="52">
        <v>187.11799999999999</v>
      </c>
      <c r="H65" s="53">
        <v>4140</v>
      </c>
      <c r="I65" s="53">
        <f t="shared" ref="I65:J68" si="33">IF(D65="","",+(E65-E64)*4140)</f>
        <v>24492.240000000693</v>
      </c>
      <c r="J65" s="53">
        <f t="shared" si="33"/>
        <v>575.45999999998253</v>
      </c>
      <c r="K65" s="54">
        <f t="shared" si="29"/>
        <v>2.3495605138605789E-2</v>
      </c>
      <c r="L65" s="53">
        <f t="shared" si="30"/>
        <v>575.45999999998253</v>
      </c>
      <c r="M65" s="54">
        <f t="shared" si="31"/>
        <v>2.3495605138605789E-2</v>
      </c>
      <c r="N65" s="55">
        <v>66068309</v>
      </c>
      <c r="O65" s="55">
        <f t="shared" si="32"/>
        <v>0</v>
      </c>
      <c r="P65" s="84"/>
      <c r="Q65" s="85"/>
      <c r="R65" s="19">
        <f t="shared" si="7"/>
        <v>1</v>
      </c>
      <c r="S65" s="19">
        <f t="shared" si="8"/>
        <v>0</v>
      </c>
      <c r="T65" s="145"/>
    </row>
    <row r="66" spans="1:20" ht="15" thickBot="1">
      <c r="A66" s="50">
        <v>44624</v>
      </c>
      <c r="D66" s="128">
        <v>0.14199999999999999</v>
      </c>
      <c r="E66" s="129">
        <v>2229.683</v>
      </c>
      <c r="F66" s="130">
        <v>68.031000000000006</v>
      </c>
      <c r="G66" s="52">
        <v>187.22499999999999</v>
      </c>
      <c r="H66" s="53">
        <v>4140</v>
      </c>
      <c r="I66" s="53">
        <f t="shared" si="33"/>
        <v>23183.999999999622</v>
      </c>
      <c r="J66" s="53">
        <f t="shared" si="33"/>
        <v>521.64000000001977</v>
      </c>
      <c r="K66" s="54">
        <f t="shared" si="29"/>
        <v>2.250000000000122E-2</v>
      </c>
      <c r="L66" s="53">
        <f t="shared" si="30"/>
        <v>521.64000000001977</v>
      </c>
      <c r="M66" s="54">
        <f t="shared" si="31"/>
        <v>2.250000000000122E-2</v>
      </c>
      <c r="N66" s="55">
        <v>66068309</v>
      </c>
      <c r="O66" s="55">
        <f t="shared" si="32"/>
        <v>0</v>
      </c>
      <c r="P66" s="86"/>
      <c r="Q66" s="87"/>
      <c r="R66" s="19">
        <f t="shared" si="7"/>
        <v>1</v>
      </c>
      <c r="S66" s="19">
        <f t="shared" si="8"/>
        <v>0</v>
      </c>
      <c r="T66" s="145"/>
    </row>
    <row r="67" spans="1:20" ht="15" thickBot="1">
      <c r="A67" s="50">
        <v>44625</v>
      </c>
      <c r="D67" s="128">
        <v>0.14199999999999999</v>
      </c>
      <c r="E67" s="129">
        <v>2234.8809999999999</v>
      </c>
      <c r="F67" s="130">
        <v>68.129000000000005</v>
      </c>
      <c r="G67" s="52">
        <v>187.32300000000001</v>
      </c>
      <c r="H67" s="53">
        <v>4140</v>
      </c>
      <c r="I67" s="53">
        <f t="shared" si="33"/>
        <v>21519.719999999441</v>
      </c>
      <c r="J67" s="53">
        <f t="shared" si="33"/>
        <v>405.71999999999576</v>
      </c>
      <c r="K67" s="54">
        <f t="shared" si="29"/>
        <v>1.8853405155829457E-2</v>
      </c>
      <c r="L67" s="53">
        <f t="shared" si="30"/>
        <v>405.71999999999576</v>
      </c>
      <c r="M67" s="54">
        <f t="shared" si="31"/>
        <v>1.8853405155829457E-2</v>
      </c>
      <c r="N67" s="55">
        <v>66068309</v>
      </c>
      <c r="O67" s="55">
        <f t="shared" si="32"/>
        <v>0</v>
      </c>
      <c r="P67" s="86"/>
      <c r="Q67" s="85"/>
      <c r="R67" s="19">
        <f t="shared" si="7"/>
        <v>1</v>
      </c>
      <c r="S67" s="19">
        <f t="shared" si="8"/>
        <v>0</v>
      </c>
      <c r="T67" s="144"/>
    </row>
    <row r="68" spans="1:20" ht="15" thickBot="1">
      <c r="A68" s="50">
        <v>44626</v>
      </c>
      <c r="D68" s="128">
        <v>0.14199999999999999</v>
      </c>
      <c r="E68" s="129">
        <v>2240.1889999999999</v>
      </c>
      <c r="F68" s="130">
        <v>68.265000000000001</v>
      </c>
      <c r="G68" s="52">
        <v>187.411</v>
      </c>
      <c r="H68" s="53">
        <v>4140</v>
      </c>
      <c r="I68" s="53">
        <f t="shared" si="33"/>
        <v>21975.11999999997</v>
      </c>
      <c r="J68" s="53">
        <f t="shared" si="33"/>
        <v>563.03999999998211</v>
      </c>
      <c r="K68" s="54">
        <f t="shared" si="29"/>
        <v>2.5621703089675183E-2</v>
      </c>
      <c r="L68" s="53">
        <f t="shared" si="30"/>
        <v>563.03999999998211</v>
      </c>
      <c r="M68" s="54">
        <f t="shared" si="31"/>
        <v>2.5621703089675183E-2</v>
      </c>
      <c r="N68" s="55">
        <v>66068309</v>
      </c>
      <c r="O68" s="55">
        <f t="shared" si="32"/>
        <v>0</v>
      </c>
      <c r="P68" s="93"/>
      <c r="Q68" s="58"/>
      <c r="R68" s="19">
        <f t="shared" si="7"/>
        <v>1</v>
      </c>
      <c r="S68" s="19">
        <f t="shared" si="8"/>
        <v>0</v>
      </c>
      <c r="T68" s="144"/>
    </row>
    <row r="69" spans="1:20" ht="15" thickBot="1">
      <c r="A69" s="50">
        <v>44627</v>
      </c>
      <c r="D69" s="128">
        <v>0.14199999999999999</v>
      </c>
      <c r="E69" s="129">
        <v>2245.962</v>
      </c>
      <c r="F69" s="130">
        <v>68.394000000000005</v>
      </c>
      <c r="G69" s="52">
        <v>187.49199999999999</v>
      </c>
      <c r="H69" s="53">
        <v>4140</v>
      </c>
      <c r="I69" s="53">
        <f t="shared" ref="I69:J71" si="34">IF(D69="","",+(E69-E68)*4140)</f>
        <v>23900.220000000572</v>
      </c>
      <c r="J69" s="53">
        <f t="shared" si="34"/>
        <v>534.06000000002018</v>
      </c>
      <c r="K69" s="54">
        <f t="shared" ref="K69:K75" si="35">IF(J69="","",+(J69/I69))</f>
        <v>2.2345401004677252E-2</v>
      </c>
      <c r="L69" s="53">
        <f t="shared" ref="L69:L75" si="36">IF(F69="","",+(F69-F68)*4140)</f>
        <v>534.06000000002018</v>
      </c>
      <c r="M69" s="54">
        <f t="shared" ref="M69:M75" si="37">IF(L69="","",(L69/I69))</f>
        <v>2.2345401004677252E-2</v>
      </c>
      <c r="N69" s="55">
        <v>66068309</v>
      </c>
      <c r="O69" s="55">
        <f>IF(N69="","",N69-N68)</f>
        <v>0</v>
      </c>
      <c r="P69" s="56"/>
      <c r="Q69" s="94"/>
      <c r="R69" s="19">
        <f t="shared" si="7"/>
        <v>1</v>
      </c>
      <c r="S69" s="19">
        <f t="shared" si="8"/>
        <v>0</v>
      </c>
      <c r="T69" s="144"/>
    </row>
    <row r="70" spans="1:20" ht="15" thickBot="1">
      <c r="A70" s="50">
        <v>44628</v>
      </c>
      <c r="D70" s="128">
        <v>0.14199999999999999</v>
      </c>
      <c r="E70" s="129">
        <v>2251.509</v>
      </c>
      <c r="F70" s="130">
        <v>68.524000000000001</v>
      </c>
      <c r="G70" s="52">
        <v>187.55099999999999</v>
      </c>
      <c r="H70" s="53">
        <v>4140</v>
      </c>
      <c r="I70" s="53">
        <f t="shared" si="34"/>
        <v>22964.580000000104</v>
      </c>
      <c r="J70" s="53">
        <f t="shared" si="34"/>
        <v>538.19999999998117</v>
      </c>
      <c r="K70" s="54">
        <f t="shared" si="35"/>
        <v>2.3436091581033869E-2</v>
      </c>
      <c r="L70" s="53">
        <f t="shared" si="36"/>
        <v>538.19999999998117</v>
      </c>
      <c r="M70" s="54">
        <f t="shared" si="37"/>
        <v>2.3436091581033869E-2</v>
      </c>
      <c r="N70" s="55">
        <v>66068309</v>
      </c>
      <c r="O70" s="55">
        <f t="shared" si="32"/>
        <v>0</v>
      </c>
      <c r="P70" s="56"/>
      <c r="Q70" s="58"/>
      <c r="R70" s="19">
        <f t="shared" si="7"/>
        <v>1</v>
      </c>
      <c r="S70" s="19">
        <f t="shared" si="8"/>
        <v>0</v>
      </c>
      <c r="T70" s="145"/>
    </row>
    <row r="71" spans="1:20" ht="15" thickBot="1">
      <c r="A71" s="50">
        <v>44629</v>
      </c>
      <c r="D71" s="128">
        <v>0.14199999999999999</v>
      </c>
      <c r="E71" s="129">
        <v>2256.855</v>
      </c>
      <c r="F71" s="130">
        <v>68.643000000000001</v>
      </c>
      <c r="G71" s="52">
        <v>187.58600000000001</v>
      </c>
      <c r="H71" s="53">
        <v>4140</v>
      </c>
      <c r="I71" s="53">
        <f t="shared" si="34"/>
        <v>22132.440000000017</v>
      </c>
      <c r="J71" s="53">
        <f t="shared" si="34"/>
        <v>492.65999999999906</v>
      </c>
      <c r="K71" s="54">
        <f t="shared" si="35"/>
        <v>2.2259633370744422E-2</v>
      </c>
      <c r="L71" s="53">
        <f t="shared" si="36"/>
        <v>492.65999999999906</v>
      </c>
      <c r="M71" s="54">
        <f t="shared" si="37"/>
        <v>2.2259633370744422E-2</v>
      </c>
      <c r="N71" s="55">
        <v>66068309</v>
      </c>
      <c r="O71" s="55">
        <f t="shared" si="32"/>
        <v>0</v>
      </c>
      <c r="P71" s="56"/>
      <c r="Q71" s="58"/>
      <c r="R71" s="19">
        <f t="shared" si="7"/>
        <v>1</v>
      </c>
      <c r="S71" s="19">
        <f t="shared" si="8"/>
        <v>0</v>
      </c>
      <c r="T71" s="145"/>
    </row>
    <row r="72" spans="1:20" ht="15" thickBot="1">
      <c r="A72" s="50">
        <v>44630</v>
      </c>
      <c r="D72" s="128">
        <v>0.14199999999999999</v>
      </c>
      <c r="E72" s="129">
        <v>2262.0839999999998</v>
      </c>
      <c r="F72" s="130">
        <v>68.741</v>
      </c>
      <c r="G72" s="52">
        <v>187.63</v>
      </c>
      <c r="H72" s="53">
        <v>4140</v>
      </c>
      <c r="I72" s="53">
        <f t="shared" ref="I72:J75" si="38">IF(D72="","",+(E72-E71)*4140)</f>
        <v>21648.059999999234</v>
      </c>
      <c r="J72" s="53">
        <f t="shared" si="38"/>
        <v>405.71999999999576</v>
      </c>
      <c r="K72" s="54">
        <f t="shared" si="35"/>
        <v>1.8741633199464994E-2</v>
      </c>
      <c r="L72" s="53">
        <f t="shared" si="36"/>
        <v>405.71999999999576</v>
      </c>
      <c r="M72" s="54">
        <f t="shared" si="37"/>
        <v>1.8741633199464994E-2</v>
      </c>
      <c r="N72" s="55">
        <v>66068309</v>
      </c>
      <c r="O72" s="55">
        <f t="shared" si="32"/>
        <v>0</v>
      </c>
      <c r="P72" s="56"/>
      <c r="Q72" s="58"/>
      <c r="R72" s="19">
        <f t="shared" ref="R72:R93" si="39">IF(N72="",0,1)</f>
        <v>1</v>
      </c>
      <c r="S72" s="19">
        <f t="shared" ref="S72:S135" si="40">IF(N72="",1,0)</f>
        <v>0</v>
      </c>
      <c r="T72" s="144"/>
    </row>
    <row r="73" spans="1:20" ht="15" thickBot="1">
      <c r="A73" s="50">
        <v>44631</v>
      </c>
      <c r="D73" s="128">
        <v>0.14199999999999999</v>
      </c>
      <c r="E73" s="129">
        <v>2267.3620000000001</v>
      </c>
      <c r="F73" s="130">
        <v>68.828000000000003</v>
      </c>
      <c r="G73" s="52">
        <v>187.70400000000001</v>
      </c>
      <c r="H73" s="53">
        <v>4140</v>
      </c>
      <c r="I73" s="53">
        <f t="shared" si="38"/>
        <v>21850.920000001024</v>
      </c>
      <c r="J73" s="53">
        <f t="shared" si="38"/>
        <v>360.18000000001365</v>
      </c>
      <c r="K73" s="54">
        <f t="shared" si="35"/>
        <v>1.6483516483516335E-2</v>
      </c>
      <c r="L73" s="53">
        <f t="shared" si="36"/>
        <v>360.18000000001365</v>
      </c>
      <c r="M73" s="54">
        <f t="shared" si="37"/>
        <v>1.6483516483516335E-2</v>
      </c>
      <c r="N73" s="55">
        <v>66068309</v>
      </c>
      <c r="O73" s="55">
        <f t="shared" si="32"/>
        <v>0</v>
      </c>
      <c r="P73" s="56"/>
      <c r="Q73" s="57"/>
      <c r="R73" s="19">
        <f t="shared" si="39"/>
        <v>1</v>
      </c>
      <c r="S73" s="19">
        <f t="shared" si="40"/>
        <v>0</v>
      </c>
      <c r="T73" s="144"/>
    </row>
    <row r="74" spans="1:20" ht="15" thickBot="1">
      <c r="A74" s="50">
        <v>44632</v>
      </c>
      <c r="D74" s="128">
        <v>0.14199999999999999</v>
      </c>
      <c r="E74" s="129">
        <v>2271.9810000000002</v>
      </c>
      <c r="F74" s="130">
        <v>68.893000000000001</v>
      </c>
      <c r="G74" s="52">
        <v>187.773</v>
      </c>
      <c r="H74" s="53">
        <v>4140</v>
      </c>
      <c r="I74" s="53">
        <f t="shared" si="38"/>
        <v>19122.660000000586</v>
      </c>
      <c r="J74" s="53">
        <f t="shared" si="38"/>
        <v>269.09999999999059</v>
      </c>
      <c r="K74" s="54">
        <f t="shared" si="35"/>
        <v>1.4072310023813756E-2</v>
      </c>
      <c r="L74" s="53">
        <f t="shared" si="36"/>
        <v>269.09999999999059</v>
      </c>
      <c r="M74" s="54">
        <f t="shared" si="37"/>
        <v>1.4072310023813756E-2</v>
      </c>
      <c r="N74" s="55">
        <v>66068309</v>
      </c>
      <c r="O74" s="55">
        <f t="shared" si="32"/>
        <v>0</v>
      </c>
      <c r="P74" s="56"/>
      <c r="Q74" s="58"/>
      <c r="R74" s="19">
        <f t="shared" si="39"/>
        <v>1</v>
      </c>
      <c r="S74" s="19">
        <f t="shared" si="40"/>
        <v>0</v>
      </c>
      <c r="T74" s="144"/>
    </row>
    <row r="75" spans="1:20" ht="15" thickBot="1">
      <c r="A75" s="50">
        <v>44633</v>
      </c>
      <c r="D75" s="128">
        <v>0.14199999999999999</v>
      </c>
      <c r="E75" s="129">
        <v>2277.1089999999999</v>
      </c>
      <c r="F75" s="130">
        <v>68.974000000000004</v>
      </c>
      <c r="G75" s="52">
        <v>187.822</v>
      </c>
      <c r="H75" s="53">
        <v>4140</v>
      </c>
      <c r="I75" s="53">
        <f t="shared" si="38"/>
        <v>21229.919999998765</v>
      </c>
      <c r="J75" s="53">
        <f t="shared" si="38"/>
        <v>335.34000000001271</v>
      </c>
      <c r="K75" s="54">
        <f t="shared" si="35"/>
        <v>1.5795631825274527E-2</v>
      </c>
      <c r="L75" s="53">
        <f t="shared" si="36"/>
        <v>335.34000000001271</v>
      </c>
      <c r="M75" s="54">
        <f t="shared" si="37"/>
        <v>1.5795631825274527E-2</v>
      </c>
      <c r="N75" s="55">
        <v>66068309</v>
      </c>
      <c r="O75" s="55">
        <f t="shared" si="32"/>
        <v>0</v>
      </c>
      <c r="P75" s="56"/>
      <c r="Q75" s="58"/>
      <c r="R75" s="19">
        <f t="shared" si="39"/>
        <v>1</v>
      </c>
      <c r="S75" s="19">
        <f t="shared" si="40"/>
        <v>0</v>
      </c>
      <c r="T75" s="145"/>
    </row>
    <row r="76" spans="1:20" ht="15" thickBot="1">
      <c r="A76" s="50">
        <v>44634</v>
      </c>
      <c r="D76" s="128">
        <v>0.14199999999999999</v>
      </c>
      <c r="E76" s="129">
        <v>2282.587</v>
      </c>
      <c r="F76" s="130">
        <v>69.043999999999997</v>
      </c>
      <c r="G76" s="52">
        <v>187.88300000000001</v>
      </c>
      <c r="H76" s="53">
        <v>4140</v>
      </c>
      <c r="I76" s="53">
        <f t="shared" ref="I76:J78" si="41">IF(D76="","",+(E76-E75)*4140)</f>
        <v>22678.920000000271</v>
      </c>
      <c r="J76" s="53">
        <f t="shared" si="41"/>
        <v>289.79999999997176</v>
      </c>
      <c r="K76" s="54">
        <f t="shared" ref="K76:K82" si="42">IF(J76="","",+(J76/I76))</f>
        <v>1.2778386272360777E-2</v>
      </c>
      <c r="L76" s="53">
        <f t="shared" ref="L76:L82" si="43">IF(F76="","",+(F76-F75)*4140)</f>
        <v>289.79999999997176</v>
      </c>
      <c r="M76" s="54">
        <f t="shared" ref="M76:M82" si="44">IF(L76="","",(L76/I76))</f>
        <v>1.2778386272360777E-2</v>
      </c>
      <c r="N76" s="55">
        <v>66068309</v>
      </c>
      <c r="O76" s="55">
        <f t="shared" si="32"/>
        <v>0</v>
      </c>
      <c r="P76" s="56"/>
      <c r="Q76" s="57"/>
      <c r="R76" s="19">
        <f t="shared" si="39"/>
        <v>1</v>
      </c>
      <c r="S76" s="19">
        <f t="shared" si="40"/>
        <v>0</v>
      </c>
      <c r="T76" s="145"/>
    </row>
    <row r="77" spans="1:20" ht="15" thickBot="1">
      <c r="A77" s="50">
        <v>44635</v>
      </c>
      <c r="D77" s="128">
        <v>0.14199999999999999</v>
      </c>
      <c r="E77" s="129">
        <v>2287.7170000000001</v>
      </c>
      <c r="F77" s="130">
        <v>69.156000000000006</v>
      </c>
      <c r="G77" s="53"/>
      <c r="H77" s="53">
        <v>4140</v>
      </c>
      <c r="I77" s="53">
        <f t="shared" si="41"/>
        <v>21238.200000000452</v>
      </c>
      <c r="J77" s="53">
        <f t="shared" si="41"/>
        <v>463.68000000003718</v>
      </c>
      <c r="K77" s="54">
        <f t="shared" si="42"/>
        <v>2.1832358674465223E-2</v>
      </c>
      <c r="L77" s="53">
        <f t="shared" si="43"/>
        <v>463.68000000003718</v>
      </c>
      <c r="M77" s="54">
        <f t="shared" si="44"/>
        <v>2.1832358674465223E-2</v>
      </c>
      <c r="N77" s="55">
        <v>66068309</v>
      </c>
      <c r="O77" s="55">
        <f t="shared" ref="O77:O131" si="45">IF(N77="","",N77-N76)</f>
        <v>0</v>
      </c>
      <c r="P77" s="56"/>
      <c r="Q77" s="88"/>
      <c r="R77" s="19">
        <f t="shared" si="39"/>
        <v>1</v>
      </c>
      <c r="S77" s="19">
        <f t="shared" si="40"/>
        <v>0</v>
      </c>
      <c r="T77" s="144"/>
    </row>
    <row r="78" spans="1:20" ht="15" thickBot="1">
      <c r="A78" s="50">
        <v>44636</v>
      </c>
      <c r="D78" s="128">
        <v>0.14199999999999999</v>
      </c>
      <c r="E78" s="129">
        <v>2293.0909999999999</v>
      </c>
      <c r="F78" s="130">
        <v>69.266000000000005</v>
      </c>
      <c r="G78" s="53"/>
      <c r="H78" s="53">
        <v>4140</v>
      </c>
      <c r="I78" s="53">
        <f t="shared" si="41"/>
        <v>22248.359999999157</v>
      </c>
      <c r="J78" s="53">
        <f t="shared" si="41"/>
        <v>455.39999999999765</v>
      </c>
      <c r="K78" s="54">
        <f t="shared" si="42"/>
        <v>2.0468924451061334E-2</v>
      </c>
      <c r="L78" s="53">
        <f t="shared" si="43"/>
        <v>455.39999999999765</v>
      </c>
      <c r="M78" s="54">
        <f t="shared" si="44"/>
        <v>2.0468924451061334E-2</v>
      </c>
      <c r="N78" s="55">
        <v>66068309</v>
      </c>
      <c r="O78" s="55">
        <f t="shared" si="45"/>
        <v>0</v>
      </c>
      <c r="P78" s="56"/>
      <c r="Q78" s="88"/>
      <c r="R78" s="19">
        <f t="shared" si="39"/>
        <v>1</v>
      </c>
      <c r="S78" s="19">
        <f t="shared" si="40"/>
        <v>0</v>
      </c>
      <c r="T78" s="144"/>
    </row>
    <row r="79" spans="1:20" ht="15" thickBot="1">
      <c r="A79" s="50">
        <v>44637</v>
      </c>
      <c r="D79" s="128">
        <v>0.14199999999999999</v>
      </c>
      <c r="E79" s="129">
        <v>2298.4899999999998</v>
      </c>
      <c r="F79" s="130">
        <v>69.344999999999999</v>
      </c>
      <c r="G79" s="53"/>
      <c r="H79" s="53">
        <v>4140</v>
      </c>
      <c r="I79" s="53">
        <f t="shared" ref="I79:J82" si="46">IF(D79="","",+(E79-E78)*4140)</f>
        <v>22351.859999999535</v>
      </c>
      <c r="J79" s="53">
        <f t="shared" si="46"/>
        <v>327.05999999997317</v>
      </c>
      <c r="K79" s="54">
        <f t="shared" si="42"/>
        <v>1.4632339322095789E-2</v>
      </c>
      <c r="L79" s="53">
        <f t="shared" si="43"/>
        <v>327.05999999997317</v>
      </c>
      <c r="M79" s="54">
        <f t="shared" si="44"/>
        <v>1.4632339322095789E-2</v>
      </c>
      <c r="N79" s="55">
        <v>66068309</v>
      </c>
      <c r="O79" s="55">
        <f t="shared" si="45"/>
        <v>0</v>
      </c>
      <c r="P79" s="56"/>
      <c r="Q79" s="88"/>
      <c r="R79" s="19">
        <f t="shared" si="39"/>
        <v>1</v>
      </c>
      <c r="S79" s="19">
        <f t="shared" si="40"/>
        <v>0</v>
      </c>
      <c r="T79" s="144"/>
    </row>
    <row r="80" spans="1:20" ht="15" thickBot="1">
      <c r="A80" s="50">
        <v>44638</v>
      </c>
      <c r="D80" s="128">
        <v>0.14199999999999999</v>
      </c>
      <c r="E80" s="129">
        <v>2304.337</v>
      </c>
      <c r="F80" s="130">
        <v>69.414000000000001</v>
      </c>
      <c r="G80" s="53"/>
      <c r="H80" s="53">
        <v>4140</v>
      </c>
      <c r="I80" s="53">
        <f t="shared" si="46"/>
        <v>24206.58000000086</v>
      </c>
      <c r="J80" s="53">
        <f t="shared" si="46"/>
        <v>285.66000000001083</v>
      </c>
      <c r="K80" s="54">
        <f t="shared" si="42"/>
        <v>1.1800923550538765E-2</v>
      </c>
      <c r="L80" s="53">
        <f t="shared" si="43"/>
        <v>285.66000000001083</v>
      </c>
      <c r="M80" s="54">
        <f t="shared" si="44"/>
        <v>1.1800923550538765E-2</v>
      </c>
      <c r="N80" s="55">
        <v>66068309</v>
      </c>
      <c r="O80" s="55">
        <f t="shared" si="45"/>
        <v>0</v>
      </c>
      <c r="P80" s="60"/>
      <c r="Q80" s="89"/>
      <c r="R80" s="19">
        <f t="shared" si="39"/>
        <v>1</v>
      </c>
      <c r="S80" s="19">
        <f t="shared" si="40"/>
        <v>0</v>
      </c>
      <c r="T80" s="145"/>
    </row>
    <row r="81" spans="1:20" ht="15" thickBot="1">
      <c r="A81" s="50">
        <v>44639</v>
      </c>
      <c r="D81" s="128">
        <v>0.14199999999999999</v>
      </c>
      <c r="E81" s="129">
        <v>2310.0430000000001</v>
      </c>
      <c r="F81" s="130">
        <v>69.522999999999996</v>
      </c>
      <c r="G81" s="53"/>
      <c r="H81" s="53">
        <v>4140</v>
      </c>
      <c r="I81" s="53">
        <f t="shared" si="46"/>
        <v>23622.840000000542</v>
      </c>
      <c r="J81" s="53">
        <f t="shared" si="46"/>
        <v>451.25999999997788</v>
      </c>
      <c r="K81" s="54">
        <f t="shared" si="42"/>
        <v>1.9102698913423092E-2</v>
      </c>
      <c r="L81" s="53">
        <f t="shared" si="43"/>
        <v>451.25999999997788</v>
      </c>
      <c r="M81" s="54">
        <f t="shared" si="44"/>
        <v>1.9102698913423092E-2</v>
      </c>
      <c r="N81" s="55">
        <v>66068309</v>
      </c>
      <c r="O81" s="55">
        <f t="shared" si="45"/>
        <v>0</v>
      </c>
      <c r="P81" s="181" t="s">
        <v>45</v>
      </c>
      <c r="Q81" s="182"/>
      <c r="R81" s="19">
        <f t="shared" si="39"/>
        <v>1</v>
      </c>
      <c r="S81" s="19">
        <f t="shared" si="40"/>
        <v>0</v>
      </c>
      <c r="T81" s="145"/>
    </row>
    <row r="82" spans="1:20" ht="15" thickBot="1">
      <c r="A82" s="50">
        <v>44640</v>
      </c>
      <c r="D82" s="128">
        <v>0.14199999999999999</v>
      </c>
      <c r="E82" s="129">
        <v>2315.8000000000002</v>
      </c>
      <c r="F82" s="130">
        <v>69.616</v>
      </c>
      <c r="G82" s="53"/>
      <c r="H82" s="53">
        <v>4140</v>
      </c>
      <c r="I82" s="53">
        <f t="shared" si="46"/>
        <v>23833.980000000258</v>
      </c>
      <c r="J82" s="53">
        <f t="shared" si="46"/>
        <v>385.02000000001459</v>
      </c>
      <c r="K82" s="54">
        <f t="shared" si="42"/>
        <v>1.6154247003648172E-2</v>
      </c>
      <c r="L82" s="53">
        <f t="shared" si="43"/>
        <v>385.02000000001459</v>
      </c>
      <c r="M82" s="54">
        <f t="shared" si="44"/>
        <v>1.6154247003648172E-2</v>
      </c>
      <c r="N82" s="55">
        <v>66068309</v>
      </c>
      <c r="O82" s="55">
        <f t="shared" si="45"/>
        <v>0</v>
      </c>
      <c r="P82" s="183"/>
      <c r="Q82" s="184"/>
      <c r="R82" s="19">
        <f t="shared" si="39"/>
        <v>1</v>
      </c>
      <c r="S82" s="19">
        <f t="shared" si="40"/>
        <v>0</v>
      </c>
      <c r="T82" s="144"/>
    </row>
    <row r="83" spans="1:20" ht="15" thickBot="1">
      <c r="A83" s="50">
        <v>44641</v>
      </c>
      <c r="D83" s="128">
        <v>0.14199999999999999</v>
      </c>
      <c r="E83" s="129">
        <v>2321.1219999999998</v>
      </c>
      <c r="F83" s="130">
        <v>69.713999999999999</v>
      </c>
      <c r="G83" s="53"/>
      <c r="H83" s="53">
        <v>4140</v>
      </c>
      <c r="I83" s="53">
        <f t="shared" ref="I83:J85" si="47">IF(D83="","",+(E83-E82)*4140)</f>
        <v>22033.079999998597</v>
      </c>
      <c r="J83" s="53">
        <f t="shared" si="47"/>
        <v>405.71999999999576</v>
      </c>
      <c r="K83" s="54">
        <f t="shared" ref="K83:K89" si="48">IF(J83="","",+(J83/I83))</f>
        <v>1.8414130026306881E-2</v>
      </c>
      <c r="L83" s="53">
        <f t="shared" ref="L83:L86" si="49">IF(F83="","",+(F83-F82)*4140)</f>
        <v>405.71999999999576</v>
      </c>
      <c r="M83" s="54">
        <f t="shared" ref="M83:M89" si="50">IF(L83="","",(L83/I83))</f>
        <v>1.8414130026306881E-2</v>
      </c>
      <c r="N83" s="55">
        <v>66068309</v>
      </c>
      <c r="O83" s="55">
        <f t="shared" si="45"/>
        <v>0</v>
      </c>
      <c r="P83" s="62" t="s">
        <v>31</v>
      </c>
      <c r="Q83" s="62" t="s">
        <v>32</v>
      </c>
      <c r="R83" s="19">
        <f t="shared" si="39"/>
        <v>1</v>
      </c>
      <c r="S83" s="19">
        <f t="shared" si="40"/>
        <v>0</v>
      </c>
      <c r="T83" s="144"/>
    </row>
    <row r="84" spans="1:20" ht="15" thickBot="1">
      <c r="A84" s="50">
        <v>44642</v>
      </c>
      <c r="D84" s="128">
        <v>0.14199999999999999</v>
      </c>
      <c r="E84" s="129">
        <v>2326.645</v>
      </c>
      <c r="F84" s="130">
        <v>69.790999999999997</v>
      </c>
      <c r="G84" s="53"/>
      <c r="H84" s="53">
        <v>4140</v>
      </c>
      <c r="I84" s="53">
        <f t="shared" si="47"/>
        <v>22865.220000000572</v>
      </c>
      <c r="J84" s="53">
        <f t="shared" si="47"/>
        <v>318.77999999999247</v>
      </c>
      <c r="K84" s="54">
        <f t="shared" si="48"/>
        <v>1.3941698352344063E-2</v>
      </c>
      <c r="L84" s="53">
        <f t="shared" si="49"/>
        <v>318.77999999999247</v>
      </c>
      <c r="M84" s="54">
        <f t="shared" si="50"/>
        <v>1.3941698352344063E-2</v>
      </c>
      <c r="N84" s="55">
        <v>66068309</v>
      </c>
      <c r="O84" s="55">
        <f t="shared" si="45"/>
        <v>0</v>
      </c>
      <c r="P84" s="63">
        <f>IF(J63="",0,+SUM(J63:J93)/SUM(I63:I93))</f>
        <v>1.9949799910018738E-2</v>
      </c>
      <c r="Q84" s="63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45"/>
    </row>
    <row r="85" spans="1:20" ht="15" thickBot="1">
      <c r="A85" s="50">
        <v>44643</v>
      </c>
      <c r="D85" s="128">
        <v>0.14199999999999999</v>
      </c>
      <c r="E85" s="129">
        <v>2331.8739999999998</v>
      </c>
      <c r="F85" s="130">
        <v>69.881</v>
      </c>
      <c r="G85" s="53"/>
      <c r="H85" s="53">
        <v>4140</v>
      </c>
      <c r="I85" s="53">
        <f t="shared" si="47"/>
        <v>21648.059999999234</v>
      </c>
      <c r="J85" s="53">
        <f t="shared" si="47"/>
        <v>372.60000000001412</v>
      </c>
      <c r="K85" s="54">
        <f t="shared" si="48"/>
        <v>1.7211703958693172E-2</v>
      </c>
      <c r="L85" s="53">
        <f t="shared" si="49"/>
        <v>372.60000000001412</v>
      </c>
      <c r="M85" s="54">
        <f t="shared" si="50"/>
        <v>1.7211703958693172E-2</v>
      </c>
      <c r="N85" s="55">
        <v>66068309</v>
      </c>
      <c r="O85" s="55">
        <f t="shared" si="45"/>
        <v>0</v>
      </c>
      <c r="P85" s="64" t="e">
        <f>IF(J63="",0,+(+(LOOKUP(9.99999999999999E+307,E63:E93)-E61))/(+(LOOKUP(9.99999999999999E+307,D63:D93)-D62)))</f>
        <v>#DIV/0!</v>
      </c>
      <c r="Q85" s="64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45"/>
    </row>
    <row r="86" spans="1:20" ht="15" thickBot="1">
      <c r="A86" s="50">
        <v>44644</v>
      </c>
      <c r="D86" s="128">
        <v>0.14199999999999999</v>
      </c>
      <c r="E86" s="129">
        <v>2337.4059999999999</v>
      </c>
      <c r="F86" s="130">
        <v>69.983000000000004</v>
      </c>
      <c r="G86" s="53"/>
      <c r="H86" s="53">
        <v>4140</v>
      </c>
      <c r="I86" s="53">
        <f t="shared" ref="I86:J89" si="51">IF(D86="","",+(E86-E85)*4140)</f>
        <v>22902.480000000633</v>
      </c>
      <c r="J86" s="53">
        <f t="shared" si="51"/>
        <v>422.280000000016</v>
      </c>
      <c r="K86" s="54">
        <f t="shared" si="48"/>
        <v>1.843817787418674E-2</v>
      </c>
      <c r="L86" s="53">
        <f t="shared" si="49"/>
        <v>422.280000000016</v>
      </c>
      <c r="M86" s="54">
        <f t="shared" si="50"/>
        <v>1.843817787418674E-2</v>
      </c>
      <c r="N86" s="55">
        <v>66068309</v>
      </c>
      <c r="O86" s="55">
        <f t="shared" si="45"/>
        <v>0</v>
      </c>
      <c r="P86" s="65" t="s">
        <v>33</v>
      </c>
      <c r="Q86" s="66" t="s">
        <v>34</v>
      </c>
      <c r="R86" s="19">
        <f t="shared" si="39"/>
        <v>1</v>
      </c>
      <c r="S86" s="19">
        <f t="shared" si="40"/>
        <v>0</v>
      </c>
      <c r="T86" s="145"/>
    </row>
    <row r="87" spans="1:20" ht="15" thickBot="1">
      <c r="A87" s="50">
        <v>44645</v>
      </c>
      <c r="D87" s="128">
        <v>0.14199999999999999</v>
      </c>
      <c r="E87" s="129">
        <v>2343.0169999999998</v>
      </c>
      <c r="F87" s="130">
        <v>70.117999999999995</v>
      </c>
      <c r="G87" s="53"/>
      <c r="H87" s="53">
        <v>4140</v>
      </c>
      <c r="I87" s="53">
        <f t="shared" si="51"/>
        <v>23229.539999999488</v>
      </c>
      <c r="J87" s="53">
        <f t="shared" si="51"/>
        <v>558.89999999996235</v>
      </c>
      <c r="K87" s="54">
        <f t="shared" si="48"/>
        <v>2.4059882373907302E-2</v>
      </c>
      <c r="L87" s="53">
        <f t="shared" ref="L87:L92" si="52">IF(F87="","",+(F87-F86)*4140)</f>
        <v>558.89999999996235</v>
      </c>
      <c r="M87" s="54">
        <f t="shared" si="50"/>
        <v>2.4059882373907302E-2</v>
      </c>
      <c r="N87" s="55">
        <v>66068309</v>
      </c>
      <c r="O87" s="55">
        <f t="shared" si="45"/>
        <v>0</v>
      </c>
      <c r="P87" s="67">
        <f>IF(N61="",0,+(LOOKUP(9.99999999999999E+307,N61:N93)-N61))</f>
        <v>0</v>
      </c>
      <c r="Q87" s="68">
        <f>IF(P87="",0,+P87/SUM(R63:R93))</f>
        <v>0</v>
      </c>
      <c r="R87" s="19">
        <f t="shared" si="39"/>
        <v>1</v>
      </c>
      <c r="S87" s="19">
        <f t="shared" si="40"/>
        <v>0</v>
      </c>
      <c r="T87" s="145"/>
    </row>
    <row r="88" spans="1:20" ht="15" thickBot="1">
      <c r="A88" s="50">
        <v>44646</v>
      </c>
      <c r="D88" s="128">
        <v>0.14199999999999999</v>
      </c>
      <c r="E88" s="129">
        <v>2348.5230000000001</v>
      </c>
      <c r="F88" s="130">
        <v>70.23</v>
      </c>
      <c r="G88" s="53"/>
      <c r="H88" s="53">
        <v>4140</v>
      </c>
      <c r="I88" s="53">
        <f t="shared" si="51"/>
        <v>22794.840000001295</v>
      </c>
      <c r="J88" s="53">
        <f t="shared" si="51"/>
        <v>463.68000000003718</v>
      </c>
      <c r="K88" s="54">
        <f t="shared" si="48"/>
        <v>2.0341445695605271E-2</v>
      </c>
      <c r="L88" s="53">
        <f t="shared" si="52"/>
        <v>463.68000000003718</v>
      </c>
      <c r="M88" s="54">
        <f t="shared" si="50"/>
        <v>2.0341445695605271E-2</v>
      </c>
      <c r="N88" s="55">
        <v>66068309</v>
      </c>
      <c r="O88" s="55">
        <f t="shared" si="45"/>
        <v>0</v>
      </c>
      <c r="P88" s="69" t="s">
        <v>35</v>
      </c>
      <c r="Q88" s="70" t="s">
        <v>43</v>
      </c>
      <c r="R88" s="19">
        <f t="shared" si="39"/>
        <v>1</v>
      </c>
      <c r="S88" s="19">
        <f t="shared" si="40"/>
        <v>0</v>
      </c>
      <c r="T88" s="144"/>
    </row>
    <row r="89" spans="1:20" ht="15" thickBot="1">
      <c r="A89" s="50">
        <v>44647</v>
      </c>
      <c r="D89" s="128">
        <v>0.14199999999999999</v>
      </c>
      <c r="E89" s="129">
        <v>2353.6799999999998</v>
      </c>
      <c r="F89" s="130">
        <v>70.332999999999998</v>
      </c>
      <c r="G89" s="53"/>
      <c r="H89" s="53">
        <v>4140</v>
      </c>
      <c r="I89" s="53">
        <f t="shared" si="51"/>
        <v>21349.979999998752</v>
      </c>
      <c r="J89" s="53">
        <f t="shared" si="51"/>
        <v>426.41999999997694</v>
      </c>
      <c r="K89" s="54">
        <f t="shared" si="48"/>
        <v>1.9972852433585507E-2</v>
      </c>
      <c r="L89" s="53">
        <f t="shared" si="52"/>
        <v>426.41999999997694</v>
      </c>
      <c r="M89" s="54">
        <f t="shared" si="50"/>
        <v>1.9972852433585507E-2</v>
      </c>
      <c r="N89" s="55">
        <v>66068309</v>
      </c>
      <c r="O89" s="55">
        <f t="shared" si="45"/>
        <v>0</v>
      </c>
      <c r="P89" s="71">
        <f>IF(D61="",0,+(LOOKUP(9.99999999999999E+307,D62:D93)-D62))*4140</f>
        <v>0</v>
      </c>
      <c r="Q89" s="72">
        <f>IF(P89="",0,+P89/SUM(R63:R93))</f>
        <v>0</v>
      </c>
      <c r="R89" s="19">
        <f t="shared" si="39"/>
        <v>1</v>
      </c>
      <c r="S89" s="19">
        <f t="shared" si="40"/>
        <v>0</v>
      </c>
      <c r="T89" s="144"/>
    </row>
    <row r="90" spans="1:20" ht="15" thickBot="1">
      <c r="A90" s="50">
        <v>44648</v>
      </c>
      <c r="D90" s="128">
        <v>0.14199999999999999</v>
      </c>
      <c r="E90" s="129">
        <v>2358.9859999999999</v>
      </c>
      <c r="F90" s="130">
        <v>70.441999999999993</v>
      </c>
      <c r="G90" s="53"/>
      <c r="H90" s="53">
        <v>4140</v>
      </c>
      <c r="I90" s="53">
        <f t="shared" ref="I90:J92" si="53">IF(D90="","",+(E90-E89)*4140)</f>
        <v>21966.840000000164</v>
      </c>
      <c r="J90" s="53">
        <f t="shared" si="53"/>
        <v>451.25999999997788</v>
      </c>
      <c r="K90" s="54">
        <f t="shared" ref="K90:K96" si="54">IF(J90="","",+(J90/I90))</f>
        <v>2.0542781756500914E-2</v>
      </c>
      <c r="L90" s="53">
        <f t="shared" si="52"/>
        <v>451.25999999997788</v>
      </c>
      <c r="M90" s="54">
        <f t="shared" ref="M90:M96" si="55">IF(L90="","",(L90/I90))</f>
        <v>2.0542781756500914E-2</v>
      </c>
      <c r="N90" s="55">
        <v>66068309</v>
      </c>
      <c r="O90" s="55">
        <f t="shared" si="45"/>
        <v>0</v>
      </c>
      <c r="P90" s="146" t="s">
        <v>37</v>
      </c>
      <c r="Q90" s="147" t="s">
        <v>44</v>
      </c>
      <c r="R90" s="19">
        <f t="shared" si="39"/>
        <v>1</v>
      </c>
      <c r="S90" s="19">
        <f t="shared" si="40"/>
        <v>0</v>
      </c>
      <c r="T90" s="145"/>
    </row>
    <row r="91" spans="1:20" ht="15" thickBot="1">
      <c r="A91" s="50">
        <v>44649</v>
      </c>
      <c r="D91" s="128">
        <v>0.14199999999999999</v>
      </c>
      <c r="E91" s="129">
        <v>2364.2559999999999</v>
      </c>
      <c r="F91" s="130">
        <v>70.543000000000006</v>
      </c>
      <c r="G91" s="53"/>
      <c r="H91" s="53">
        <v>4140</v>
      </c>
      <c r="I91" s="53">
        <f t="shared" si="53"/>
        <v>21817.799999999923</v>
      </c>
      <c r="J91" s="53">
        <f t="shared" si="53"/>
        <v>418.14000000005507</v>
      </c>
      <c r="K91" s="54">
        <f t="shared" si="54"/>
        <v>1.9165085388996899E-2</v>
      </c>
      <c r="L91" s="53">
        <f t="shared" si="52"/>
        <v>418.14000000005507</v>
      </c>
      <c r="M91" s="54">
        <f t="shared" si="55"/>
        <v>1.9165085388996899E-2</v>
      </c>
      <c r="N91" s="55">
        <v>66068309</v>
      </c>
      <c r="O91" s="55">
        <f t="shared" si="45"/>
        <v>0</v>
      </c>
      <c r="P91" s="73">
        <f>P89*Q94</f>
        <v>0</v>
      </c>
      <c r="Q91" s="74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45"/>
    </row>
    <row r="92" spans="1:20" ht="15" thickBot="1">
      <c r="A92" s="50">
        <v>44650</v>
      </c>
      <c r="D92" s="128">
        <v>0.14199999999999999</v>
      </c>
      <c r="E92" s="129">
        <v>2369.9630000000002</v>
      </c>
      <c r="F92" s="130">
        <v>70.677000000000007</v>
      </c>
      <c r="G92" s="53"/>
      <c r="H92" s="53">
        <v>4140</v>
      </c>
      <c r="I92" s="53">
        <f t="shared" si="53"/>
        <v>23626.980000001386</v>
      </c>
      <c r="J92" s="53">
        <f t="shared" si="53"/>
        <v>554.76000000000136</v>
      </c>
      <c r="K92" s="54">
        <f t="shared" si="54"/>
        <v>2.3479936919571134E-2</v>
      </c>
      <c r="L92" s="53">
        <f t="shared" si="52"/>
        <v>554.76000000000136</v>
      </c>
      <c r="M92" s="54">
        <f t="shared" si="55"/>
        <v>2.3479936919571134E-2</v>
      </c>
      <c r="N92" s="55">
        <v>66068309</v>
      </c>
      <c r="O92" s="55">
        <f t="shared" si="45"/>
        <v>0</v>
      </c>
      <c r="P92" s="148" t="s">
        <v>39</v>
      </c>
      <c r="Q92" s="149" t="s">
        <v>40</v>
      </c>
      <c r="R92" s="19">
        <f t="shared" si="39"/>
        <v>1</v>
      </c>
      <c r="S92" s="19">
        <f t="shared" si="40"/>
        <v>0</v>
      </c>
      <c r="T92" s="145"/>
    </row>
    <row r="93" spans="1:20" ht="15" thickBot="1">
      <c r="A93" s="50">
        <v>44651</v>
      </c>
      <c r="D93" s="153">
        <v>0.14199999999999999</v>
      </c>
      <c r="E93" s="153">
        <v>2375.2660000000001</v>
      </c>
      <c r="F93" s="153">
        <v>70.826999999999998</v>
      </c>
      <c r="G93" s="154"/>
      <c r="H93" s="155">
        <v>4140</v>
      </c>
      <c r="I93" s="155">
        <f t="shared" ref="I93:J96" si="56">IF(D93="","",+(E93-E92)*4140)</f>
        <v>21954.419999999518</v>
      </c>
      <c r="J93" s="155">
        <f t="shared" si="56"/>
        <v>620.99999999996476</v>
      </c>
      <c r="K93" s="156">
        <f t="shared" si="54"/>
        <v>2.8285875919289983E-2</v>
      </c>
      <c r="L93" s="155">
        <f t="shared" ref="L93:L99" si="57">IF(F93="","",+(F93-F92)*4140)</f>
        <v>620.99999999996476</v>
      </c>
      <c r="M93" s="156">
        <f t="shared" si="55"/>
        <v>2.8285875919289983E-2</v>
      </c>
      <c r="N93" s="157">
        <v>66068309</v>
      </c>
      <c r="O93" s="157">
        <f t="shared" si="45"/>
        <v>0</v>
      </c>
      <c r="P93" s="78">
        <f>(P91+Q89*SUM(S63:S93)*Q94)</f>
        <v>0</v>
      </c>
      <c r="Q93" s="79">
        <f>Q89*31</f>
        <v>0</v>
      </c>
      <c r="R93" s="19">
        <f t="shared" si="39"/>
        <v>1</v>
      </c>
      <c r="S93" s="19">
        <f t="shared" si="40"/>
        <v>0</v>
      </c>
      <c r="T93" s="144"/>
    </row>
    <row r="94" spans="1:20" ht="15" thickBot="1">
      <c r="A94" s="50">
        <v>44652</v>
      </c>
      <c r="D94" s="128">
        <v>0.14199999999999999</v>
      </c>
      <c r="E94" s="129">
        <v>2380.5610000000001</v>
      </c>
      <c r="F94" s="130">
        <v>70.956999999999994</v>
      </c>
      <c r="G94" s="53"/>
      <c r="H94" s="53">
        <v>4140</v>
      </c>
      <c r="I94" s="53">
        <f t="shared" si="56"/>
        <v>21921.300000000301</v>
      </c>
      <c r="J94" s="53">
        <f t="shared" si="56"/>
        <v>538.19999999998117</v>
      </c>
      <c r="K94" s="54">
        <f t="shared" si="54"/>
        <v>2.4551463644946869E-2</v>
      </c>
      <c r="L94" s="53">
        <f t="shared" si="57"/>
        <v>538.19999999998117</v>
      </c>
      <c r="M94" s="54">
        <f t="shared" si="55"/>
        <v>2.4551463644946869E-2</v>
      </c>
      <c r="N94" s="55">
        <v>66068309</v>
      </c>
      <c r="O94" s="55">
        <f>IF(N94="","",N94-N93)</f>
        <v>0</v>
      </c>
      <c r="P94" s="80" t="s">
        <v>41</v>
      </c>
      <c r="Q94" s="81">
        <v>0.56999999999999995</v>
      </c>
      <c r="R94" s="19">
        <f>IF(N94="",0,1)</f>
        <v>1</v>
      </c>
      <c r="S94" s="19">
        <f>IF(N94="",1,0)</f>
        <v>0</v>
      </c>
      <c r="T94" s="144"/>
    </row>
    <row r="95" spans="1:20" ht="15" thickBot="1">
      <c r="A95" s="50">
        <v>44653</v>
      </c>
      <c r="D95" s="128">
        <v>0.14199999999999999</v>
      </c>
      <c r="E95" s="129">
        <v>2386.08</v>
      </c>
      <c r="F95" s="130">
        <v>71.084000000000003</v>
      </c>
      <c r="G95" s="53"/>
      <c r="H95" s="53">
        <v>4140</v>
      </c>
      <c r="I95" s="53">
        <f t="shared" si="56"/>
        <v>22848.659999999079</v>
      </c>
      <c r="J95" s="53">
        <f t="shared" si="56"/>
        <v>525.78000000003954</v>
      </c>
      <c r="K95" s="54">
        <f t="shared" si="54"/>
        <v>2.3011415111435889E-2</v>
      </c>
      <c r="L95" s="53">
        <f t="shared" si="57"/>
        <v>525.78000000003954</v>
      </c>
      <c r="M95" s="54">
        <f t="shared" si="55"/>
        <v>2.3011415111435889E-2</v>
      </c>
      <c r="N95" s="55">
        <v>66068309</v>
      </c>
      <c r="O95" s="55">
        <f>IF(N95="","",N95-N94)</f>
        <v>0</v>
      </c>
      <c r="P95" s="56"/>
      <c r="Q95" s="88"/>
      <c r="R95" s="19">
        <f>IF(N95="",0,1)</f>
        <v>1</v>
      </c>
      <c r="S95" s="19">
        <f>IF(N95="",1,0)</f>
        <v>0</v>
      </c>
      <c r="T95" s="144"/>
    </row>
    <row r="96" spans="1:20" ht="15" thickBot="1">
      <c r="A96" s="50">
        <v>44654</v>
      </c>
      <c r="D96" s="128">
        <v>0.14199999999999999</v>
      </c>
      <c r="E96" s="129">
        <v>2391.4180000000001</v>
      </c>
      <c r="F96" s="130">
        <v>71.158000000000001</v>
      </c>
      <c r="G96" s="53"/>
      <c r="H96" s="53">
        <v>4140</v>
      </c>
      <c r="I96" s="53">
        <f t="shared" si="56"/>
        <v>22099.3200000008</v>
      </c>
      <c r="J96" s="53">
        <f t="shared" si="56"/>
        <v>306.359999999992</v>
      </c>
      <c r="K96" s="54">
        <f t="shared" si="54"/>
        <v>1.386286998875897E-2</v>
      </c>
      <c r="L96" s="53">
        <f t="shared" si="57"/>
        <v>306.359999999992</v>
      </c>
      <c r="M96" s="54">
        <f t="shared" si="55"/>
        <v>1.386286998875897E-2</v>
      </c>
      <c r="N96" s="55">
        <v>66068309</v>
      </c>
      <c r="O96" s="55">
        <f>IF(N96="","",N96-N95)</f>
        <v>0</v>
      </c>
      <c r="P96" s="84"/>
      <c r="Q96" s="85"/>
      <c r="R96" s="19">
        <f>IF(N96="",0,1)</f>
        <v>1</v>
      </c>
      <c r="S96" s="19">
        <f>IF(N96="",1,0)</f>
        <v>0</v>
      </c>
      <c r="T96" s="145"/>
    </row>
    <row r="97" spans="1:20" ht="15" thickBot="1">
      <c r="A97" s="50">
        <v>44655</v>
      </c>
      <c r="D97" s="128">
        <v>0.14199999999999999</v>
      </c>
      <c r="E97" s="129">
        <v>2397.0140000000001</v>
      </c>
      <c r="F97" s="130">
        <v>71.275999999999996</v>
      </c>
      <c r="G97" s="53"/>
      <c r="H97" s="53">
        <v>4140</v>
      </c>
      <c r="I97" s="53">
        <f t="shared" ref="I97:J99" si="58">IF(D97="","",+(E97-E96)*4140)</f>
        <v>23167.440000000017</v>
      </c>
      <c r="J97" s="53">
        <f t="shared" si="58"/>
        <v>488.51999999997929</v>
      </c>
      <c r="K97" s="54">
        <f t="shared" ref="K97:K103" si="59">IF(J97="","",+(J97/I97))</f>
        <v>2.108649035024927E-2</v>
      </c>
      <c r="L97" s="53">
        <f t="shared" si="57"/>
        <v>488.51999999997929</v>
      </c>
      <c r="M97" s="54">
        <f t="shared" ref="M97:M103" si="60">IF(L97="","",(L97/I97))</f>
        <v>2.108649035024927E-2</v>
      </c>
      <c r="N97" s="55">
        <v>66068309</v>
      </c>
      <c r="O97" s="55">
        <f>IF(N97="","",N97-N96)</f>
        <v>0</v>
      </c>
      <c r="P97" s="86"/>
      <c r="Q97" s="87"/>
      <c r="R97" s="19">
        <f t="shared" ref="R97:R160" si="61">IF(N97="",0,1)</f>
        <v>1</v>
      </c>
      <c r="S97" s="19">
        <f t="shared" si="40"/>
        <v>0</v>
      </c>
      <c r="T97" s="145"/>
    </row>
    <row r="98" spans="1:20" ht="15" thickBot="1">
      <c r="A98" s="50">
        <v>44656</v>
      </c>
      <c r="D98" s="128">
        <v>0.14199999999999999</v>
      </c>
      <c r="E98" s="129">
        <v>2402.7620000000002</v>
      </c>
      <c r="F98" s="130">
        <v>71.39</v>
      </c>
      <c r="G98" s="53"/>
      <c r="H98" s="53">
        <v>4140</v>
      </c>
      <c r="I98" s="53">
        <f t="shared" si="58"/>
        <v>23796.720000000198</v>
      </c>
      <c r="J98" s="53">
        <f t="shared" si="58"/>
        <v>471.96000000001789</v>
      </c>
      <c r="K98" s="54">
        <f t="shared" si="59"/>
        <v>1.9832985386221882E-2</v>
      </c>
      <c r="L98" s="53">
        <f t="shared" si="57"/>
        <v>471.96000000001789</v>
      </c>
      <c r="M98" s="54">
        <f t="shared" si="60"/>
        <v>1.9832985386221882E-2</v>
      </c>
      <c r="N98" s="55">
        <v>66068309</v>
      </c>
      <c r="O98" s="55">
        <f t="shared" si="45"/>
        <v>0</v>
      </c>
      <c r="P98" s="86"/>
      <c r="Q98" s="85"/>
      <c r="R98" s="19">
        <f t="shared" si="61"/>
        <v>1</v>
      </c>
      <c r="S98" s="19">
        <f t="shared" si="40"/>
        <v>0</v>
      </c>
      <c r="T98" s="144"/>
    </row>
    <row r="99" spans="1:20" ht="15" thickBot="1">
      <c r="A99" s="50">
        <v>44657</v>
      </c>
      <c r="D99" s="128">
        <v>0.14199999999999999</v>
      </c>
      <c r="E99" s="129">
        <v>2408.6529999999998</v>
      </c>
      <c r="F99" s="130">
        <v>71.521000000000001</v>
      </c>
      <c r="G99" s="53"/>
      <c r="H99" s="53">
        <v>4140</v>
      </c>
      <c r="I99" s="53">
        <f t="shared" si="58"/>
        <v>24388.739999998434</v>
      </c>
      <c r="J99" s="53">
        <f t="shared" si="58"/>
        <v>542.34000000000094</v>
      </c>
      <c r="K99" s="54">
        <f t="shared" si="59"/>
        <v>2.2237311152607138E-2</v>
      </c>
      <c r="L99" s="53">
        <f t="shared" si="57"/>
        <v>542.34000000000094</v>
      </c>
      <c r="M99" s="54">
        <f t="shared" si="60"/>
        <v>2.2237311152607138E-2</v>
      </c>
      <c r="N99" s="55">
        <v>66068309</v>
      </c>
      <c r="O99" s="55">
        <f t="shared" si="45"/>
        <v>0</v>
      </c>
      <c r="P99" s="56"/>
      <c r="Q99" s="57"/>
      <c r="R99" s="19">
        <f t="shared" si="61"/>
        <v>1</v>
      </c>
      <c r="S99" s="19">
        <f t="shared" si="40"/>
        <v>0</v>
      </c>
      <c r="T99" s="144"/>
    </row>
    <row r="100" spans="1:20" ht="15" thickBot="1">
      <c r="A100" s="50">
        <v>44658</v>
      </c>
      <c r="D100" s="128">
        <v>0.14199999999999999</v>
      </c>
      <c r="E100" s="129">
        <v>2414.4009999999998</v>
      </c>
      <c r="F100" s="130">
        <v>71.668000000000006</v>
      </c>
      <c r="G100" s="53"/>
      <c r="H100" s="53">
        <v>4140</v>
      </c>
      <c r="I100" s="53">
        <f t="shared" ref="I100:J103" si="62">IF(D100="","",+(E100-E99)*4140)</f>
        <v>23796.720000000198</v>
      </c>
      <c r="J100" s="53">
        <f t="shared" si="62"/>
        <v>608.58000000002312</v>
      </c>
      <c r="K100" s="54">
        <f t="shared" si="59"/>
        <v>2.5574112734865061E-2</v>
      </c>
      <c r="L100" s="53">
        <f t="shared" ref="L100:L105" si="63">IF(F100="","",+(F100-F99)*4140)</f>
        <v>608.58000000002312</v>
      </c>
      <c r="M100" s="54">
        <f t="shared" si="60"/>
        <v>2.5574112734865061E-2</v>
      </c>
      <c r="N100" s="55">
        <v>66068309</v>
      </c>
      <c r="O100" s="55">
        <f>IF(N100="","",N100-N99)</f>
        <v>0</v>
      </c>
      <c r="P100" s="56"/>
      <c r="Q100" s="58"/>
      <c r="R100" s="19">
        <f t="shared" si="61"/>
        <v>1</v>
      </c>
      <c r="S100" s="19">
        <f t="shared" si="40"/>
        <v>0</v>
      </c>
      <c r="T100" s="144"/>
    </row>
    <row r="101" spans="1:20" ht="15" thickBot="1">
      <c r="A101" s="50">
        <v>44659</v>
      </c>
      <c r="D101" s="128">
        <v>0.14199999999999999</v>
      </c>
      <c r="E101" s="129">
        <v>2419.8679999999999</v>
      </c>
      <c r="F101" s="130">
        <v>71.83</v>
      </c>
      <c r="G101" s="53"/>
      <c r="H101" s="53">
        <v>4140</v>
      </c>
      <c r="I101" s="53">
        <f t="shared" si="62"/>
        <v>22633.380000000405</v>
      </c>
      <c r="J101" s="53">
        <f t="shared" si="62"/>
        <v>670.67999999996664</v>
      </c>
      <c r="K101" s="54">
        <f t="shared" si="59"/>
        <v>2.9632339491492417E-2</v>
      </c>
      <c r="L101" s="53">
        <f t="shared" si="63"/>
        <v>670.67999999996664</v>
      </c>
      <c r="M101" s="54">
        <f t="shared" si="60"/>
        <v>2.9632339491492417E-2</v>
      </c>
      <c r="N101" s="55">
        <v>66068309</v>
      </c>
      <c r="O101" s="55">
        <f t="shared" si="45"/>
        <v>0</v>
      </c>
      <c r="P101" s="56"/>
      <c r="Q101" s="58"/>
      <c r="R101" s="19">
        <f t="shared" si="61"/>
        <v>1</v>
      </c>
      <c r="S101" s="19">
        <f t="shared" si="40"/>
        <v>0</v>
      </c>
      <c r="T101" s="145"/>
    </row>
    <row r="102" spans="1:20" ht="15" thickBot="1">
      <c r="A102" s="50">
        <v>44660</v>
      </c>
      <c r="D102" s="128">
        <v>0.14199999999999999</v>
      </c>
      <c r="E102" s="129">
        <v>2425.0309999999999</v>
      </c>
      <c r="F102" s="130">
        <v>71.984999999999999</v>
      </c>
      <c r="G102" s="53"/>
      <c r="H102" s="53">
        <v>4140</v>
      </c>
      <c r="I102" s="53">
        <f t="shared" si="62"/>
        <v>21374.820000000043</v>
      </c>
      <c r="J102" s="53">
        <f t="shared" si="62"/>
        <v>641.70000000000471</v>
      </c>
      <c r="K102" s="54">
        <f t="shared" si="59"/>
        <v>3.0021305442572307E-2</v>
      </c>
      <c r="L102" s="53">
        <f t="shared" si="63"/>
        <v>641.70000000000471</v>
      </c>
      <c r="M102" s="54">
        <f t="shared" si="60"/>
        <v>3.0021305442572307E-2</v>
      </c>
      <c r="N102" s="55">
        <v>66068309</v>
      </c>
      <c r="O102" s="55">
        <f t="shared" si="45"/>
        <v>0</v>
      </c>
      <c r="P102" s="56"/>
      <c r="Q102" s="58"/>
      <c r="R102" s="19">
        <f t="shared" si="61"/>
        <v>1</v>
      </c>
      <c r="S102" s="19">
        <f t="shared" si="40"/>
        <v>0</v>
      </c>
      <c r="T102" s="145"/>
    </row>
    <row r="103" spans="1:20" ht="15" thickBot="1">
      <c r="A103" s="50">
        <v>44661</v>
      </c>
      <c r="D103" s="128">
        <v>0.14199999999999999</v>
      </c>
      <c r="E103" s="129">
        <v>2430.4540000000002</v>
      </c>
      <c r="F103" s="130">
        <v>72.048000000000002</v>
      </c>
      <c r="G103" s="53"/>
      <c r="H103" s="53">
        <v>4140</v>
      </c>
      <c r="I103" s="53">
        <f t="shared" si="62"/>
        <v>22451.220000000947</v>
      </c>
      <c r="J103" s="53">
        <f t="shared" si="62"/>
        <v>260.82000000000988</v>
      </c>
      <c r="K103" s="54">
        <f t="shared" si="59"/>
        <v>1.1617186059376679E-2</v>
      </c>
      <c r="L103" s="53">
        <f t="shared" si="63"/>
        <v>260.82000000000988</v>
      </c>
      <c r="M103" s="54">
        <f t="shared" si="60"/>
        <v>1.1617186059376679E-2</v>
      </c>
      <c r="N103" s="55">
        <v>66068309</v>
      </c>
      <c r="O103" s="55">
        <f t="shared" si="45"/>
        <v>0</v>
      </c>
      <c r="P103" s="56"/>
      <c r="Q103" s="57"/>
      <c r="R103" s="19">
        <f t="shared" si="61"/>
        <v>1</v>
      </c>
      <c r="S103" s="19">
        <f t="shared" si="40"/>
        <v>0</v>
      </c>
      <c r="T103" s="144"/>
    </row>
    <row r="104" spans="1:20" ht="15" thickBot="1">
      <c r="A104" s="50">
        <v>44662</v>
      </c>
      <c r="D104" s="128">
        <v>0.14199999999999999</v>
      </c>
      <c r="E104" s="129">
        <v>2435.9810000000002</v>
      </c>
      <c r="F104" s="130">
        <v>72.137</v>
      </c>
      <c r="G104" s="53"/>
      <c r="H104" s="53">
        <v>4140</v>
      </c>
      <c r="I104" s="53">
        <f t="shared" ref="I104:J106" si="64">IF(D104="","",+(E104-E103)*4140)</f>
        <v>22881.780000000181</v>
      </c>
      <c r="J104" s="53">
        <f t="shared" si="64"/>
        <v>368.45999999999435</v>
      </c>
      <c r="K104" s="54">
        <f>IF(J104="","",+(J104/I104))</f>
        <v>1.6102768228695122E-2</v>
      </c>
      <c r="L104" s="53">
        <f t="shared" si="63"/>
        <v>368.45999999999435</v>
      </c>
      <c r="M104" s="54">
        <f>IF(L104="","",(L104/I104))</f>
        <v>1.6102768228695122E-2</v>
      </c>
      <c r="N104" s="55">
        <v>66068309</v>
      </c>
      <c r="O104" s="55">
        <f t="shared" si="45"/>
        <v>0</v>
      </c>
      <c r="P104" s="56"/>
      <c r="Q104" s="57"/>
      <c r="R104" s="19">
        <f t="shared" si="61"/>
        <v>1</v>
      </c>
      <c r="S104" s="19">
        <f t="shared" si="40"/>
        <v>0</v>
      </c>
      <c r="T104" s="144"/>
    </row>
    <row r="105" spans="1:20" ht="15" thickBot="1">
      <c r="A105" s="50">
        <v>44663</v>
      </c>
      <c r="D105" s="128">
        <v>0.14199999999999999</v>
      </c>
      <c r="E105" s="129">
        <v>2441.5390000000002</v>
      </c>
      <c r="F105" s="130">
        <v>72.204999999999998</v>
      </c>
      <c r="G105" s="53"/>
      <c r="H105" s="53">
        <v>4140</v>
      </c>
      <c r="I105" s="53">
        <f t="shared" si="64"/>
        <v>23010.11999999997</v>
      </c>
      <c r="J105" s="53">
        <f t="shared" si="64"/>
        <v>281.51999999999106</v>
      </c>
      <c r="K105" s="54">
        <f>IF(J105="","",+(J105/I105))</f>
        <v>1.2234616768621434E-2</v>
      </c>
      <c r="L105" s="53">
        <f t="shared" si="63"/>
        <v>281.51999999999106</v>
      </c>
      <c r="M105" s="54">
        <f>IF(L105="","",(L105/I105))</f>
        <v>1.2234616768621434E-2</v>
      </c>
      <c r="N105" s="55">
        <v>66068309</v>
      </c>
      <c r="O105" s="55">
        <f t="shared" si="45"/>
        <v>0</v>
      </c>
      <c r="P105" s="56"/>
      <c r="Q105" s="58"/>
      <c r="R105" s="19">
        <f t="shared" si="61"/>
        <v>1</v>
      </c>
      <c r="S105" s="19">
        <f t="shared" si="40"/>
        <v>0</v>
      </c>
      <c r="T105" s="144"/>
    </row>
    <row r="106" spans="1:20" ht="15" thickBot="1">
      <c r="A106" s="50">
        <v>44664</v>
      </c>
      <c r="D106" s="128">
        <v>0.14199999999999999</v>
      </c>
      <c r="E106" s="129">
        <v>2447.085</v>
      </c>
      <c r="F106" s="130">
        <v>72.367999999999995</v>
      </c>
      <c r="G106" s="53"/>
      <c r="H106" s="53">
        <v>4140</v>
      </c>
      <c r="I106" s="53">
        <f t="shared" si="64"/>
        <v>22960.43999999926</v>
      </c>
      <c r="J106" s="53">
        <f t="shared" si="64"/>
        <v>674.81999999998629</v>
      </c>
      <c r="K106" s="54">
        <f>IF(J106="","",+(J106/I106))</f>
        <v>2.9390551749008644E-2</v>
      </c>
      <c r="L106" s="53">
        <f>IF(F106="","",+(F106-F105)*4140)</f>
        <v>674.81999999998629</v>
      </c>
      <c r="M106" s="54">
        <f>IF(L106="","",(L106/I106))</f>
        <v>2.9390551749008644E-2</v>
      </c>
      <c r="N106" s="55">
        <v>66068309</v>
      </c>
      <c r="O106" s="55">
        <f t="shared" si="45"/>
        <v>0</v>
      </c>
      <c r="P106" s="56"/>
      <c r="Q106" s="58"/>
      <c r="R106" s="19">
        <f t="shared" si="61"/>
        <v>1</v>
      </c>
      <c r="S106" s="19">
        <f t="shared" si="40"/>
        <v>0</v>
      </c>
      <c r="T106" s="145"/>
    </row>
    <row r="107" spans="1:20" ht="15" thickBot="1">
      <c r="A107" s="50">
        <v>44665</v>
      </c>
      <c r="D107" s="128">
        <v>0.14199999999999999</v>
      </c>
      <c r="E107" s="129">
        <v>2452.8739999999998</v>
      </c>
      <c r="F107" s="130">
        <v>72.483999999999995</v>
      </c>
      <c r="G107" s="53"/>
      <c r="H107" s="53">
        <v>4140</v>
      </c>
      <c r="I107" s="53">
        <f t="shared" ref="I107:I143" si="65">IF(D107="","",+(E107-E106)*4140)</f>
        <v>23966.459999999006</v>
      </c>
      <c r="J107" s="53">
        <f t="shared" ref="J107:J143" si="66">IF(E107="","",+(F107-F106)*4140)</f>
        <v>480.23999999999859</v>
      </c>
      <c r="K107" s="54">
        <f t="shared" ref="K107:K140" si="67">IF(J107="","",+(J107/I107))</f>
        <v>2.0038003109346083E-2</v>
      </c>
      <c r="L107" s="53">
        <f t="shared" ref="L107:L140" si="68">IF(F107="","",+(F107-F106)*4140)</f>
        <v>480.23999999999859</v>
      </c>
      <c r="M107" s="54">
        <f t="shared" ref="M107:M140" si="69">IF(L107="","",(L107/I107))</f>
        <v>2.0038003109346083E-2</v>
      </c>
      <c r="N107" s="55">
        <v>66068309</v>
      </c>
      <c r="O107" s="55">
        <f t="shared" si="45"/>
        <v>0</v>
      </c>
      <c r="P107" s="56"/>
      <c r="Q107" s="57"/>
      <c r="R107" s="19">
        <f t="shared" si="61"/>
        <v>1</v>
      </c>
      <c r="S107" s="19">
        <f t="shared" si="40"/>
        <v>0</v>
      </c>
      <c r="T107" s="145"/>
    </row>
    <row r="108" spans="1:20" ht="15" thickBot="1">
      <c r="A108" s="50">
        <v>44666</v>
      </c>
      <c r="D108" s="128">
        <v>0.14199999999999999</v>
      </c>
      <c r="E108" s="129">
        <v>2458.3519999999999</v>
      </c>
      <c r="F108" s="130">
        <v>72.637</v>
      </c>
      <c r="G108" s="53"/>
      <c r="H108" s="53">
        <v>4140</v>
      </c>
      <c r="I108" s="53">
        <f t="shared" si="65"/>
        <v>22678.920000000271</v>
      </c>
      <c r="J108" s="53">
        <f t="shared" si="66"/>
        <v>633.42000000002395</v>
      </c>
      <c r="K108" s="54">
        <f t="shared" si="67"/>
        <v>2.7929901423878051E-2</v>
      </c>
      <c r="L108" s="53">
        <f t="shared" si="68"/>
        <v>633.42000000002395</v>
      </c>
      <c r="M108" s="54">
        <f t="shared" si="69"/>
        <v>2.7929901423878051E-2</v>
      </c>
      <c r="N108" s="55">
        <v>66068309</v>
      </c>
      <c r="O108" s="55">
        <f t="shared" si="45"/>
        <v>0</v>
      </c>
      <c r="P108" s="56"/>
      <c r="Q108" s="57"/>
      <c r="R108" s="19">
        <f t="shared" si="61"/>
        <v>1</v>
      </c>
      <c r="S108" s="19">
        <f t="shared" si="40"/>
        <v>0</v>
      </c>
      <c r="T108" s="144"/>
    </row>
    <row r="109" spans="1:20" ht="15" thickBot="1">
      <c r="A109" s="50">
        <v>44667</v>
      </c>
      <c r="D109" s="128">
        <v>0.14199999999999999</v>
      </c>
      <c r="E109" s="129">
        <v>2463.576</v>
      </c>
      <c r="F109" s="130">
        <v>72.772999999999996</v>
      </c>
      <c r="G109" s="53"/>
      <c r="H109" s="53">
        <v>4140</v>
      </c>
      <c r="I109" s="53">
        <f t="shared" si="65"/>
        <v>21627.360000000663</v>
      </c>
      <c r="J109" s="53">
        <f t="shared" si="66"/>
        <v>563.03999999998211</v>
      </c>
      <c r="K109" s="54">
        <f t="shared" si="67"/>
        <v>2.6033690658497609E-2</v>
      </c>
      <c r="L109" s="53">
        <f t="shared" si="68"/>
        <v>563.03999999998211</v>
      </c>
      <c r="M109" s="54">
        <f t="shared" si="69"/>
        <v>2.6033690658497609E-2</v>
      </c>
      <c r="N109" s="55">
        <v>66068309</v>
      </c>
      <c r="O109" s="55">
        <f t="shared" si="45"/>
        <v>0</v>
      </c>
      <c r="P109" s="56"/>
      <c r="Q109" s="57"/>
      <c r="R109" s="19">
        <f t="shared" si="61"/>
        <v>1</v>
      </c>
      <c r="S109" s="19">
        <f t="shared" si="40"/>
        <v>0</v>
      </c>
      <c r="T109" s="144"/>
    </row>
    <row r="110" spans="1:20" ht="15" thickBot="1">
      <c r="A110" s="50">
        <v>44668</v>
      </c>
      <c r="D110" s="128">
        <v>0.14199999999999999</v>
      </c>
      <c r="E110" s="129">
        <v>2469.1529999999998</v>
      </c>
      <c r="F110" s="130">
        <v>72.844999999999999</v>
      </c>
      <c r="G110" s="53"/>
      <c r="H110" s="53">
        <v>4140</v>
      </c>
      <c r="I110" s="53">
        <f t="shared" si="65"/>
        <v>23088.779999999053</v>
      </c>
      <c r="J110" s="53">
        <f t="shared" si="66"/>
        <v>298.0800000000113</v>
      </c>
      <c r="K110" s="54">
        <f t="shared" si="67"/>
        <v>1.2910166756321621E-2</v>
      </c>
      <c r="L110" s="53">
        <f t="shared" si="68"/>
        <v>298.0800000000113</v>
      </c>
      <c r="M110" s="54">
        <f t="shared" si="69"/>
        <v>1.2910166756321621E-2</v>
      </c>
      <c r="N110" s="55">
        <v>66068309</v>
      </c>
      <c r="O110" s="55">
        <f t="shared" si="45"/>
        <v>0</v>
      </c>
      <c r="P110" s="56"/>
      <c r="Q110" s="88"/>
      <c r="R110" s="19">
        <f t="shared" si="61"/>
        <v>1</v>
      </c>
      <c r="S110" s="19">
        <f t="shared" si="40"/>
        <v>0</v>
      </c>
      <c r="T110" s="144"/>
    </row>
    <row r="111" spans="1:20" ht="15" thickBot="1">
      <c r="A111" s="50">
        <v>44669</v>
      </c>
      <c r="D111" s="128">
        <v>0.14199999999999999</v>
      </c>
      <c r="E111" s="129">
        <v>2474.7919999999999</v>
      </c>
      <c r="F111" s="130">
        <v>72.944000000000003</v>
      </c>
      <c r="G111" s="53"/>
      <c r="H111" s="53">
        <v>4140</v>
      </c>
      <c r="I111" s="53">
        <f t="shared" si="65"/>
        <v>23345.460000000512</v>
      </c>
      <c r="J111" s="53">
        <f t="shared" si="66"/>
        <v>409.86000000001553</v>
      </c>
      <c r="K111" s="54">
        <f t="shared" si="67"/>
        <v>1.7556304309274975E-2</v>
      </c>
      <c r="L111" s="53">
        <f t="shared" si="68"/>
        <v>409.86000000001553</v>
      </c>
      <c r="M111" s="54">
        <f t="shared" si="69"/>
        <v>1.7556304309274975E-2</v>
      </c>
      <c r="N111" s="55">
        <v>66068309</v>
      </c>
      <c r="O111" s="55">
        <f t="shared" si="45"/>
        <v>0</v>
      </c>
      <c r="P111" s="181" t="s">
        <v>46</v>
      </c>
      <c r="Q111" s="182"/>
      <c r="R111" s="19">
        <f t="shared" si="61"/>
        <v>1</v>
      </c>
      <c r="S111" s="19">
        <f t="shared" si="40"/>
        <v>0</v>
      </c>
      <c r="T111" s="145"/>
    </row>
    <row r="112" spans="1:20" ht="15" thickBot="1">
      <c r="A112" s="50">
        <v>44670</v>
      </c>
      <c r="D112" s="128">
        <v>0.14199999999999999</v>
      </c>
      <c r="E112" s="129">
        <v>2480.5439999999999</v>
      </c>
      <c r="F112" s="130">
        <v>73.054000000000002</v>
      </c>
      <c r="G112" s="53"/>
      <c r="H112" s="53">
        <v>4140</v>
      </c>
      <c r="I112" s="53">
        <f t="shared" si="65"/>
        <v>23813.279999999802</v>
      </c>
      <c r="J112" s="53">
        <f t="shared" si="66"/>
        <v>455.39999999999765</v>
      </c>
      <c r="K112" s="54">
        <f t="shared" si="67"/>
        <v>1.9123783031988934E-2</v>
      </c>
      <c r="L112" s="53">
        <f t="shared" si="68"/>
        <v>455.39999999999765</v>
      </c>
      <c r="M112" s="54">
        <f t="shared" si="69"/>
        <v>1.9123783031988934E-2</v>
      </c>
      <c r="N112" s="55">
        <v>66068309</v>
      </c>
      <c r="O112" s="55">
        <f t="shared" si="45"/>
        <v>0</v>
      </c>
      <c r="P112" s="183"/>
      <c r="Q112" s="184"/>
      <c r="R112" s="19">
        <f t="shared" si="61"/>
        <v>1</v>
      </c>
      <c r="S112" s="19">
        <f t="shared" si="40"/>
        <v>0</v>
      </c>
      <c r="T112" s="145"/>
    </row>
    <row r="113" spans="1:20" ht="15" thickBot="1">
      <c r="A113" s="50">
        <v>44671</v>
      </c>
      <c r="D113" s="128">
        <v>0.14199999999999999</v>
      </c>
      <c r="E113" s="129">
        <v>2486.2330000000002</v>
      </c>
      <c r="F113" s="130">
        <v>73.143000000000001</v>
      </c>
      <c r="G113" s="53"/>
      <c r="H113" s="53">
        <v>4140</v>
      </c>
      <c r="I113" s="53">
        <f t="shared" si="65"/>
        <v>23552.460000001265</v>
      </c>
      <c r="J113" s="53">
        <f t="shared" si="66"/>
        <v>368.45999999999435</v>
      </c>
      <c r="K113" s="54">
        <f t="shared" si="67"/>
        <v>1.5644225698715743E-2</v>
      </c>
      <c r="L113" s="53">
        <f t="shared" si="68"/>
        <v>368.45999999999435</v>
      </c>
      <c r="M113" s="54">
        <f t="shared" si="69"/>
        <v>1.5644225698715743E-2</v>
      </c>
      <c r="N113" s="55">
        <v>66068309</v>
      </c>
      <c r="O113" s="55">
        <f t="shared" si="45"/>
        <v>0</v>
      </c>
      <c r="P113" s="62" t="s">
        <v>31</v>
      </c>
      <c r="Q113" s="62" t="s">
        <v>32</v>
      </c>
      <c r="R113" s="19">
        <f t="shared" si="61"/>
        <v>1</v>
      </c>
      <c r="S113" s="19">
        <f t="shared" si="40"/>
        <v>0</v>
      </c>
      <c r="T113" s="144"/>
    </row>
    <row r="114" spans="1:20" ht="15" thickBot="1">
      <c r="A114" s="50">
        <v>44672</v>
      </c>
      <c r="D114" s="128">
        <v>0.14199999999999999</v>
      </c>
      <c r="E114" s="129">
        <v>2491.431</v>
      </c>
      <c r="F114" s="130">
        <v>73.221999999999994</v>
      </c>
      <c r="G114" s="53"/>
      <c r="H114" s="53">
        <v>4140</v>
      </c>
      <c r="I114" s="53">
        <f t="shared" si="65"/>
        <v>21519.719999999441</v>
      </c>
      <c r="J114" s="53">
        <f t="shared" si="66"/>
        <v>327.05999999997317</v>
      </c>
      <c r="K114" s="54">
        <f t="shared" si="67"/>
        <v>1.5198153135820618E-2</v>
      </c>
      <c r="L114" s="53">
        <f t="shared" si="68"/>
        <v>327.05999999997317</v>
      </c>
      <c r="M114" s="54">
        <f t="shared" si="69"/>
        <v>1.5198153135820618E-2</v>
      </c>
      <c r="N114" s="55">
        <v>66068309</v>
      </c>
      <c r="O114" s="55">
        <f t="shared" si="45"/>
        <v>0</v>
      </c>
      <c r="P114" s="63">
        <f>IF(J94="",0,+SUM(J94:J123)/SUM(I94:I123))</f>
        <v>2.1722657236675925E-2</v>
      </c>
      <c r="Q114" s="63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44"/>
    </row>
    <row r="115" spans="1:20" ht="15" thickBot="1">
      <c r="A115" s="50">
        <v>44673</v>
      </c>
      <c r="D115" s="128">
        <v>0.14199999999999999</v>
      </c>
      <c r="E115" s="129">
        <v>2496.837</v>
      </c>
      <c r="F115" s="130">
        <v>73.331999999999994</v>
      </c>
      <c r="G115" s="53"/>
      <c r="H115" s="53">
        <v>4140</v>
      </c>
      <c r="I115" s="53">
        <f t="shared" si="65"/>
        <v>22380.839999999789</v>
      </c>
      <c r="J115" s="53">
        <f t="shared" si="66"/>
        <v>455.39999999999765</v>
      </c>
      <c r="K115" s="54">
        <f t="shared" si="67"/>
        <v>2.0347761746208004E-2</v>
      </c>
      <c r="L115" s="53">
        <f t="shared" si="68"/>
        <v>455.39999999999765</v>
      </c>
      <c r="M115" s="54">
        <f t="shared" si="69"/>
        <v>2.0347761746208004E-2</v>
      </c>
      <c r="N115" s="55">
        <v>66068309</v>
      </c>
      <c r="O115" s="55">
        <f t="shared" si="45"/>
        <v>0</v>
      </c>
      <c r="P115" s="64" t="e">
        <f>IF(J94="",0,+(+(LOOKUP(9.99999999999999E+307,E94:E123)-E93))/(+(LOOKUP(9.99999999999999E+307,D94:D123)-D93)))</f>
        <v>#DIV/0!</v>
      </c>
      <c r="Q115" s="64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45"/>
    </row>
    <row r="116" spans="1:20" ht="15" thickBot="1">
      <c r="A116" s="50">
        <v>44674</v>
      </c>
      <c r="D116" s="128">
        <v>0.14199999999999999</v>
      </c>
      <c r="E116" s="129">
        <v>2502.3049999999998</v>
      </c>
      <c r="F116" s="130">
        <v>73.438000000000002</v>
      </c>
      <c r="G116" s="53"/>
      <c r="H116" s="53">
        <v>4140</v>
      </c>
      <c r="I116" s="53">
        <f>IF(D116="","",+(E116-E115)*4140)</f>
        <v>22637.519999999367</v>
      </c>
      <c r="J116" s="53">
        <f>IF(E116="","",+(F116-F115)*4140)</f>
        <v>438.84000000003624</v>
      </c>
      <c r="K116" s="54">
        <f t="shared" si="67"/>
        <v>1.9385515727873392E-2</v>
      </c>
      <c r="L116" s="53">
        <f t="shared" si="68"/>
        <v>438.84000000003624</v>
      </c>
      <c r="M116" s="54">
        <f t="shared" si="69"/>
        <v>1.9385515727873392E-2</v>
      </c>
      <c r="N116" s="55">
        <v>66068309</v>
      </c>
      <c r="O116" s="55">
        <f t="shared" si="45"/>
        <v>0</v>
      </c>
      <c r="P116" s="65" t="s">
        <v>33</v>
      </c>
      <c r="Q116" s="66" t="s">
        <v>34</v>
      </c>
      <c r="R116" s="19">
        <f t="shared" si="61"/>
        <v>1</v>
      </c>
      <c r="S116" s="19">
        <f t="shared" si="40"/>
        <v>0</v>
      </c>
      <c r="T116" s="145"/>
    </row>
    <row r="117" spans="1:20" ht="15" thickBot="1">
      <c r="A117" s="50">
        <v>44675</v>
      </c>
      <c r="D117" s="128">
        <v>0.14199999999999999</v>
      </c>
      <c r="E117" s="129">
        <v>2507.5810000000001</v>
      </c>
      <c r="F117" s="130">
        <v>73.522999999999996</v>
      </c>
      <c r="G117" s="53"/>
      <c r="H117" s="53">
        <v>4140</v>
      </c>
      <c r="I117" s="53">
        <f>IF(D117="","",+(E117-E116)*4140)</f>
        <v>21842.640000001222</v>
      </c>
      <c r="J117" s="53">
        <f>IF(E117="","",+(F117-F116)*4140)</f>
        <v>351.89999999997411</v>
      </c>
      <c r="K117" s="54">
        <f t="shared" si="67"/>
        <v>1.61106899166014E-2</v>
      </c>
      <c r="L117" s="53">
        <f t="shared" si="68"/>
        <v>351.89999999997411</v>
      </c>
      <c r="M117" s="54">
        <f t="shared" si="69"/>
        <v>1.61106899166014E-2</v>
      </c>
      <c r="N117" s="55">
        <v>66068309</v>
      </c>
      <c r="O117" s="55">
        <f t="shared" si="45"/>
        <v>0</v>
      </c>
      <c r="P117" s="67">
        <f>IF(N93="",0,+(LOOKUP(9.99999999999999E+307,N93:N123)-N93))</f>
        <v>0</v>
      </c>
      <c r="Q117" s="68">
        <f>IF(P117="",0,+P117/SUM(R94:R123))</f>
        <v>0</v>
      </c>
      <c r="R117" s="19">
        <f t="shared" si="61"/>
        <v>1</v>
      </c>
      <c r="S117" s="19">
        <f t="shared" si="40"/>
        <v>0</v>
      </c>
      <c r="T117" s="145"/>
    </row>
    <row r="118" spans="1:20" ht="15" thickBot="1">
      <c r="A118" s="50">
        <v>44676</v>
      </c>
      <c r="D118" s="128">
        <v>0.14199999999999999</v>
      </c>
      <c r="E118" s="129">
        <v>2513.3409999999999</v>
      </c>
      <c r="F118" s="130">
        <v>73.668999999999997</v>
      </c>
      <c r="G118" s="53"/>
      <c r="H118" s="53">
        <v>4140</v>
      </c>
      <c r="I118" s="53">
        <f>IF(D118="","",+(E118-E117)*4140)</f>
        <v>23846.399999999019</v>
      </c>
      <c r="J118" s="53">
        <f t="shared" si="66"/>
        <v>604.44000000000324</v>
      </c>
      <c r="K118" s="54">
        <f t="shared" si="67"/>
        <v>2.5347222222223402E-2</v>
      </c>
      <c r="L118" s="53">
        <f t="shared" si="68"/>
        <v>604.44000000000324</v>
      </c>
      <c r="M118" s="54">
        <f t="shared" si="69"/>
        <v>2.5347222222223402E-2</v>
      </c>
      <c r="N118" s="55">
        <v>66068309</v>
      </c>
      <c r="O118" s="55">
        <f t="shared" si="45"/>
        <v>0</v>
      </c>
      <c r="P118" s="69" t="s">
        <v>35</v>
      </c>
      <c r="Q118" s="70" t="s">
        <v>43</v>
      </c>
      <c r="R118" s="19">
        <f t="shared" si="61"/>
        <v>1</v>
      </c>
      <c r="S118" s="19">
        <f t="shared" si="40"/>
        <v>0</v>
      </c>
      <c r="T118" s="145"/>
    </row>
    <row r="119" spans="1:20" ht="15" thickBot="1">
      <c r="A119" s="50">
        <v>44677</v>
      </c>
      <c r="D119" s="128">
        <v>0.14199999999999999</v>
      </c>
      <c r="E119" s="129">
        <v>2518.9679999999998</v>
      </c>
      <c r="F119" s="130">
        <v>73.870999999999995</v>
      </c>
      <c r="G119" s="53"/>
      <c r="H119" s="53">
        <v>4140</v>
      </c>
      <c r="I119" s="53">
        <f t="shared" si="65"/>
        <v>23295.779999999802</v>
      </c>
      <c r="J119" s="53">
        <f t="shared" si="66"/>
        <v>836.27999999999247</v>
      </c>
      <c r="K119" s="54">
        <f t="shared" si="67"/>
        <v>3.5898347254309557E-2</v>
      </c>
      <c r="L119" s="53">
        <f t="shared" si="68"/>
        <v>836.27999999999247</v>
      </c>
      <c r="M119" s="54">
        <f t="shared" si="69"/>
        <v>3.5898347254309557E-2</v>
      </c>
      <c r="N119" s="55">
        <v>66068309</v>
      </c>
      <c r="O119" s="55">
        <f t="shared" si="45"/>
        <v>0</v>
      </c>
      <c r="P119" s="71">
        <f>IF(D93="",0,+(LOOKUP(9.99999999999999E+307,D93:D123)-D93))*4140</f>
        <v>0</v>
      </c>
      <c r="Q119" s="72">
        <f>IF(P119="",0,+P119/SUM(R94:R123))</f>
        <v>0</v>
      </c>
      <c r="R119" s="19">
        <f t="shared" si="61"/>
        <v>1</v>
      </c>
      <c r="S119" s="19">
        <f t="shared" si="40"/>
        <v>0</v>
      </c>
      <c r="T119" s="144"/>
    </row>
    <row r="120" spans="1:20" ht="15" thickBot="1">
      <c r="A120" s="50">
        <v>44678</v>
      </c>
      <c r="D120" s="128">
        <v>0.14199999999999999</v>
      </c>
      <c r="E120" s="129">
        <v>2525.1559999999999</v>
      </c>
      <c r="F120" s="130">
        <v>74.040000000000006</v>
      </c>
      <c r="G120" s="53"/>
      <c r="H120" s="53">
        <v>4140</v>
      </c>
      <c r="I120" s="53">
        <f t="shared" si="65"/>
        <v>25618.320000000422</v>
      </c>
      <c r="J120" s="53">
        <f t="shared" si="66"/>
        <v>699.66000000004613</v>
      </c>
      <c r="K120" s="54">
        <f t="shared" si="67"/>
        <v>2.7310924369749249E-2</v>
      </c>
      <c r="L120" s="53">
        <f t="shared" si="68"/>
        <v>699.66000000004613</v>
      </c>
      <c r="M120" s="54">
        <f t="shared" si="69"/>
        <v>2.7310924369749249E-2</v>
      </c>
      <c r="N120" s="55">
        <v>66068309</v>
      </c>
      <c r="O120" s="55">
        <f t="shared" si="45"/>
        <v>0</v>
      </c>
      <c r="P120" s="146" t="s">
        <v>37</v>
      </c>
      <c r="Q120" s="147" t="s">
        <v>44</v>
      </c>
      <c r="R120" s="19">
        <f t="shared" si="61"/>
        <v>1</v>
      </c>
      <c r="S120" s="19">
        <f t="shared" si="40"/>
        <v>0</v>
      </c>
      <c r="T120" s="144"/>
    </row>
    <row r="121" spans="1:20" ht="15" thickBot="1">
      <c r="A121" s="50">
        <v>44679</v>
      </c>
      <c r="D121" s="128">
        <v>0.14199999999999999</v>
      </c>
      <c r="E121" s="129">
        <v>2531.721</v>
      </c>
      <c r="F121" s="130">
        <v>74.210999999999999</v>
      </c>
      <c r="G121" s="53"/>
      <c r="H121" s="53">
        <v>4140</v>
      </c>
      <c r="I121" s="53">
        <f t="shared" si="65"/>
        <v>27179.100000000224</v>
      </c>
      <c r="J121" s="53">
        <f t="shared" si="66"/>
        <v>707.93999999996799</v>
      </c>
      <c r="K121" s="54">
        <f t="shared" si="67"/>
        <v>2.6047220106624656E-2</v>
      </c>
      <c r="L121" s="53">
        <f t="shared" si="68"/>
        <v>707.93999999996799</v>
      </c>
      <c r="M121" s="54">
        <f t="shared" si="69"/>
        <v>2.6047220106624656E-2</v>
      </c>
      <c r="N121" s="55">
        <v>66068309</v>
      </c>
      <c r="O121" s="55">
        <f t="shared" si="45"/>
        <v>0</v>
      </c>
      <c r="P121" s="73">
        <f>P119*Q124</f>
        <v>0</v>
      </c>
      <c r="Q121" s="74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45"/>
    </row>
    <row r="122" spans="1:20" ht="15" thickBot="1">
      <c r="A122" s="50">
        <v>44680</v>
      </c>
      <c r="D122" s="128">
        <v>0.14199999999999999</v>
      </c>
      <c r="E122" s="129">
        <v>2535.8560000000002</v>
      </c>
      <c r="F122" s="130">
        <v>74.337000000000003</v>
      </c>
      <c r="G122" s="53"/>
      <c r="H122" s="53">
        <v>4140</v>
      </c>
      <c r="I122" s="53">
        <f t="shared" si="65"/>
        <v>17118.900000000904</v>
      </c>
      <c r="J122" s="53">
        <f t="shared" si="66"/>
        <v>521.64000000001977</v>
      </c>
      <c r="K122" s="54">
        <f t="shared" si="67"/>
        <v>3.0471584038693621E-2</v>
      </c>
      <c r="L122" s="53">
        <f t="shared" si="68"/>
        <v>521.64000000001977</v>
      </c>
      <c r="M122" s="54">
        <f t="shared" si="69"/>
        <v>3.0471584038693621E-2</v>
      </c>
      <c r="N122" s="55">
        <v>66068309</v>
      </c>
      <c r="O122" s="55">
        <f t="shared" si="45"/>
        <v>0</v>
      </c>
      <c r="P122" s="148" t="s">
        <v>39</v>
      </c>
      <c r="Q122" s="149" t="s">
        <v>40</v>
      </c>
      <c r="R122" s="19">
        <f t="shared" si="61"/>
        <v>1</v>
      </c>
      <c r="S122" s="19">
        <f t="shared" si="40"/>
        <v>0</v>
      </c>
      <c r="T122" s="145"/>
    </row>
    <row r="123" spans="1:20">
      <c r="A123" s="50">
        <v>44681</v>
      </c>
      <c r="D123" s="153">
        <v>0.14199999999999999</v>
      </c>
      <c r="E123" s="153">
        <v>2541.5439999999999</v>
      </c>
      <c r="F123" s="153">
        <v>74.438999999999993</v>
      </c>
      <c r="G123" s="154"/>
      <c r="H123" s="155">
        <v>4140</v>
      </c>
      <c r="I123" s="155">
        <f t="shared" si="65"/>
        <v>23548.319999998537</v>
      </c>
      <c r="J123" s="155">
        <f t="shared" si="66"/>
        <v>422.27999999995717</v>
      </c>
      <c r="K123" s="156">
        <f t="shared" si="67"/>
        <v>1.7932489451476089E-2</v>
      </c>
      <c r="L123" s="155">
        <f t="shared" si="68"/>
        <v>422.27999999995717</v>
      </c>
      <c r="M123" s="156">
        <f t="shared" si="69"/>
        <v>1.7932489451476089E-2</v>
      </c>
      <c r="N123" s="157">
        <v>66068309</v>
      </c>
      <c r="O123" s="161">
        <f t="shared" si="45"/>
        <v>0</v>
      </c>
      <c r="P123" s="111">
        <f>(P121+Q119*SUM(S94:S123)*Q124)</f>
        <v>0</v>
      </c>
      <c r="Q123" s="79">
        <f>Q119*30</f>
        <v>0</v>
      </c>
      <c r="R123" s="19">
        <f t="shared" si="61"/>
        <v>1</v>
      </c>
      <c r="S123" s="19">
        <f t="shared" si="40"/>
        <v>0</v>
      </c>
      <c r="T123" s="144"/>
    </row>
    <row r="124" spans="1:20" ht="15" thickBot="1">
      <c r="A124" s="50">
        <v>44682</v>
      </c>
      <c r="D124" s="128">
        <v>0.14199999999999999</v>
      </c>
      <c r="E124" s="129">
        <v>2546.98</v>
      </c>
      <c r="F124" s="130">
        <v>74.515000000000001</v>
      </c>
      <c r="G124" s="53"/>
      <c r="H124" s="53">
        <v>4140</v>
      </c>
      <c r="I124" s="53">
        <f t="shared" si="65"/>
        <v>22505.040000000619</v>
      </c>
      <c r="J124" s="53">
        <f t="shared" si="66"/>
        <v>314.64000000003153</v>
      </c>
      <c r="K124" s="54">
        <f t="shared" si="67"/>
        <v>1.3980868285505063E-2</v>
      </c>
      <c r="L124" s="53">
        <f t="shared" si="68"/>
        <v>314.64000000003153</v>
      </c>
      <c r="M124" s="54">
        <f t="shared" si="69"/>
        <v>1.3980868285505063E-2</v>
      </c>
      <c r="N124" s="55">
        <v>66068309</v>
      </c>
      <c r="O124" s="55">
        <f t="shared" si="45"/>
        <v>0</v>
      </c>
      <c r="P124" s="80" t="s">
        <v>41</v>
      </c>
      <c r="Q124" s="81">
        <v>0.56999999999999995</v>
      </c>
      <c r="R124" s="19">
        <f t="shared" si="61"/>
        <v>1</v>
      </c>
      <c r="S124" s="19">
        <f t="shared" si="40"/>
        <v>0</v>
      </c>
      <c r="T124" s="144"/>
    </row>
    <row r="125" spans="1:20" ht="15" thickBot="1">
      <c r="A125" s="50">
        <v>44683</v>
      </c>
      <c r="D125" s="128">
        <v>0.14199999999999999</v>
      </c>
      <c r="E125" s="129">
        <v>2552.1410000000001</v>
      </c>
      <c r="F125" s="130">
        <v>74.613</v>
      </c>
      <c r="G125" s="53"/>
      <c r="H125" s="53">
        <v>4140</v>
      </c>
      <c r="I125" s="53">
        <f t="shared" si="65"/>
        <v>21366.540000000241</v>
      </c>
      <c r="J125" s="53">
        <f t="shared" si="66"/>
        <v>405.71999999999576</v>
      </c>
      <c r="K125" s="54">
        <f t="shared" si="67"/>
        <v>1.8988568106955605E-2</v>
      </c>
      <c r="L125" s="53">
        <f t="shared" si="68"/>
        <v>405.71999999999576</v>
      </c>
      <c r="M125" s="54">
        <f t="shared" si="69"/>
        <v>1.8988568106955605E-2</v>
      </c>
      <c r="N125" s="55">
        <v>66068309</v>
      </c>
      <c r="O125" s="55">
        <f t="shared" si="45"/>
        <v>0</v>
      </c>
      <c r="P125" s="56"/>
      <c r="Q125" s="88"/>
      <c r="R125" s="19">
        <f t="shared" si="61"/>
        <v>1</v>
      </c>
      <c r="S125" s="19">
        <f t="shared" si="40"/>
        <v>0</v>
      </c>
      <c r="T125" s="144"/>
    </row>
    <row r="126" spans="1:20" ht="15" thickBot="1">
      <c r="A126" s="50">
        <v>44684</v>
      </c>
      <c r="D126" s="128">
        <v>0.14199999999999999</v>
      </c>
      <c r="E126" s="129">
        <v>2557.4470000000001</v>
      </c>
      <c r="F126" s="130">
        <v>74.697999999999993</v>
      </c>
      <c r="G126" s="53"/>
      <c r="H126" s="53">
        <v>4140</v>
      </c>
      <c r="I126" s="53">
        <f t="shared" si="65"/>
        <v>21966.840000000164</v>
      </c>
      <c r="J126" s="53">
        <f t="shared" si="66"/>
        <v>351.89999999997411</v>
      </c>
      <c r="K126" s="54">
        <f t="shared" si="67"/>
        <v>1.6019600452316832E-2</v>
      </c>
      <c r="L126" s="53">
        <f t="shared" si="68"/>
        <v>351.89999999997411</v>
      </c>
      <c r="M126" s="54">
        <f t="shared" si="69"/>
        <v>1.6019600452316832E-2</v>
      </c>
      <c r="N126" s="55">
        <v>66068309</v>
      </c>
      <c r="O126" s="55">
        <f t="shared" si="45"/>
        <v>0</v>
      </c>
      <c r="P126" s="84"/>
      <c r="Q126" s="85"/>
      <c r="R126" s="19">
        <f t="shared" si="61"/>
        <v>1</v>
      </c>
      <c r="S126" s="19">
        <f t="shared" si="40"/>
        <v>0</v>
      </c>
      <c r="T126" s="145"/>
    </row>
    <row r="127" spans="1:20" ht="15" thickBot="1">
      <c r="A127" s="50">
        <v>44685</v>
      </c>
      <c r="D127" s="128">
        <v>0.14199999999999999</v>
      </c>
      <c r="E127" s="129">
        <v>2562.576</v>
      </c>
      <c r="F127" s="130">
        <v>74.757000000000005</v>
      </c>
      <c r="G127" s="53"/>
      <c r="H127" s="53">
        <v>4140</v>
      </c>
      <c r="I127" s="53">
        <f t="shared" si="65"/>
        <v>21234.059999999608</v>
      </c>
      <c r="J127" s="53">
        <f t="shared" si="66"/>
        <v>244.26000000004848</v>
      </c>
      <c r="K127" s="54">
        <f t="shared" si="67"/>
        <v>1.1503217001367284E-2</v>
      </c>
      <c r="L127" s="53">
        <f t="shared" si="68"/>
        <v>244.26000000004848</v>
      </c>
      <c r="M127" s="54">
        <f t="shared" si="69"/>
        <v>1.1503217001367284E-2</v>
      </c>
      <c r="N127" s="55">
        <v>66068309</v>
      </c>
      <c r="O127" s="55">
        <f t="shared" si="45"/>
        <v>0</v>
      </c>
      <c r="P127" s="86"/>
      <c r="Q127" s="87"/>
      <c r="R127" s="19">
        <f t="shared" si="61"/>
        <v>1</v>
      </c>
      <c r="S127" s="19">
        <f t="shared" si="40"/>
        <v>0</v>
      </c>
      <c r="T127" s="145"/>
    </row>
    <row r="128" spans="1:20" ht="15" thickBot="1">
      <c r="A128" s="50">
        <v>44686</v>
      </c>
      <c r="D128" s="128">
        <v>0.14199999999999999</v>
      </c>
      <c r="E128" s="129">
        <v>2568.152</v>
      </c>
      <c r="F128" s="130">
        <v>74.878</v>
      </c>
      <c r="G128" s="53"/>
      <c r="H128" s="53">
        <v>4140</v>
      </c>
      <c r="I128" s="53">
        <f t="shared" si="65"/>
        <v>23084.64000000009</v>
      </c>
      <c r="J128" s="53">
        <f t="shared" si="66"/>
        <v>500.93999999997976</v>
      </c>
      <c r="K128" s="54">
        <f t="shared" si="67"/>
        <v>2.1700143472021993E-2</v>
      </c>
      <c r="L128" s="53">
        <f t="shared" si="68"/>
        <v>500.93999999997976</v>
      </c>
      <c r="M128" s="54">
        <f t="shared" si="69"/>
        <v>2.1700143472021993E-2</v>
      </c>
      <c r="N128" s="55">
        <v>66068309</v>
      </c>
      <c r="O128" s="55">
        <f t="shared" si="45"/>
        <v>0</v>
      </c>
      <c r="P128" s="86"/>
      <c r="Q128" s="85"/>
      <c r="R128" s="19">
        <f t="shared" si="61"/>
        <v>1</v>
      </c>
      <c r="S128" s="19">
        <f t="shared" si="40"/>
        <v>0</v>
      </c>
      <c r="T128" s="144"/>
    </row>
    <row r="129" spans="1:20" ht="15" thickBot="1">
      <c r="A129" s="50">
        <v>44687</v>
      </c>
      <c r="D129" s="128">
        <v>0.14199999999999999</v>
      </c>
      <c r="E129" s="129">
        <v>2573.6779999999999</v>
      </c>
      <c r="F129" s="130">
        <v>74.968000000000004</v>
      </c>
      <c r="G129" s="53"/>
      <c r="H129" s="53">
        <v>4140</v>
      </c>
      <c r="I129" s="53">
        <f t="shared" si="65"/>
        <v>22877.639999999337</v>
      </c>
      <c r="J129" s="53">
        <f t="shared" si="66"/>
        <v>372.60000000001412</v>
      </c>
      <c r="K129" s="54">
        <f t="shared" si="67"/>
        <v>1.6286644951141155E-2</v>
      </c>
      <c r="L129" s="53">
        <f t="shared" si="68"/>
        <v>372.60000000001412</v>
      </c>
      <c r="M129" s="54">
        <f t="shared" si="69"/>
        <v>1.6286644951141155E-2</v>
      </c>
      <c r="N129" s="55">
        <v>66068309</v>
      </c>
      <c r="O129" s="55">
        <f t="shared" si="45"/>
        <v>0</v>
      </c>
      <c r="P129" s="56"/>
      <c r="Q129" s="57"/>
      <c r="R129" s="19">
        <f t="shared" si="61"/>
        <v>1</v>
      </c>
      <c r="S129" s="19">
        <f t="shared" si="40"/>
        <v>0</v>
      </c>
      <c r="T129" s="144"/>
    </row>
    <row r="130" spans="1:20" ht="15" thickBot="1">
      <c r="A130" s="50">
        <v>44688</v>
      </c>
      <c r="D130" s="128">
        <v>0.14199999999999999</v>
      </c>
      <c r="E130" s="129">
        <v>2579.1350000000002</v>
      </c>
      <c r="F130" s="130">
        <v>75.007000000000005</v>
      </c>
      <c r="G130" s="53"/>
      <c r="H130" s="53">
        <v>4140</v>
      </c>
      <c r="I130" s="53">
        <f t="shared" si="65"/>
        <v>22591.980000001386</v>
      </c>
      <c r="J130" s="53">
        <f t="shared" si="66"/>
        <v>161.46000000000612</v>
      </c>
      <c r="K130" s="54">
        <f t="shared" si="67"/>
        <v>7.146783947223582E-3</v>
      </c>
      <c r="L130" s="53">
        <f t="shared" si="68"/>
        <v>161.46000000000612</v>
      </c>
      <c r="M130" s="54">
        <f t="shared" si="69"/>
        <v>7.146783947223582E-3</v>
      </c>
      <c r="N130" s="55">
        <v>66068309</v>
      </c>
      <c r="O130" s="55">
        <f t="shared" si="45"/>
        <v>0</v>
      </c>
      <c r="P130" s="56"/>
      <c r="Q130" s="57"/>
      <c r="R130" s="19">
        <f t="shared" si="61"/>
        <v>1</v>
      </c>
      <c r="S130" s="19">
        <f t="shared" si="40"/>
        <v>0</v>
      </c>
      <c r="T130" s="144"/>
    </row>
    <row r="131" spans="1:20" ht="15" thickBot="1">
      <c r="A131" s="50">
        <v>44689</v>
      </c>
      <c r="D131" s="128">
        <v>0.14199999999999999</v>
      </c>
      <c r="E131" s="129">
        <v>2584.6610000000001</v>
      </c>
      <c r="F131" s="130">
        <v>75.096999999999994</v>
      </c>
      <c r="G131" s="53"/>
      <c r="H131" s="53">
        <v>4140</v>
      </c>
      <c r="I131" s="53">
        <f t="shared" si="65"/>
        <v>22877.639999999337</v>
      </c>
      <c r="J131" s="53">
        <f t="shared" si="66"/>
        <v>372.59999999995529</v>
      </c>
      <c r="K131" s="54">
        <f t="shared" si="67"/>
        <v>1.6286644951138584E-2</v>
      </c>
      <c r="L131" s="53">
        <f t="shared" si="68"/>
        <v>372.59999999995529</v>
      </c>
      <c r="M131" s="54">
        <f t="shared" si="69"/>
        <v>1.6286644951138584E-2</v>
      </c>
      <c r="N131" s="55">
        <v>66068309</v>
      </c>
      <c r="O131" s="55">
        <f t="shared" si="45"/>
        <v>0</v>
      </c>
      <c r="P131" s="56"/>
      <c r="Q131" s="58"/>
      <c r="R131" s="19">
        <f t="shared" si="61"/>
        <v>1</v>
      </c>
      <c r="S131" s="19">
        <f t="shared" si="40"/>
        <v>0</v>
      </c>
      <c r="T131" s="145"/>
    </row>
    <row r="132" spans="1:20" ht="15" thickBot="1">
      <c r="A132" s="50">
        <v>44690</v>
      </c>
      <c r="D132" s="128">
        <v>0.14199999999999999</v>
      </c>
      <c r="E132" s="129">
        <v>2590.1570000000002</v>
      </c>
      <c r="F132" s="130">
        <v>75.192999999999998</v>
      </c>
      <c r="G132" s="53"/>
      <c r="H132" s="53">
        <v>4140</v>
      </c>
      <c r="I132" s="53">
        <f t="shared" si="65"/>
        <v>22753.440000000392</v>
      </c>
      <c r="J132" s="53">
        <f t="shared" si="66"/>
        <v>397.44000000001506</v>
      </c>
      <c r="K132" s="54">
        <f t="shared" si="67"/>
        <v>1.7467248908297303E-2</v>
      </c>
      <c r="L132" s="53">
        <f t="shared" si="68"/>
        <v>397.44000000001506</v>
      </c>
      <c r="M132" s="54">
        <f t="shared" si="69"/>
        <v>1.7467248908297303E-2</v>
      </c>
      <c r="N132" s="55">
        <v>66068309</v>
      </c>
      <c r="O132" s="55">
        <f>IF(N132="","",N132-N131)</f>
        <v>0</v>
      </c>
      <c r="P132" s="56"/>
      <c r="Q132" s="58"/>
      <c r="R132" s="19">
        <f t="shared" si="61"/>
        <v>1</v>
      </c>
      <c r="S132" s="19">
        <f t="shared" si="40"/>
        <v>0</v>
      </c>
      <c r="T132" s="145"/>
    </row>
    <row r="133" spans="1:20" ht="15" thickBot="1">
      <c r="A133" s="50">
        <v>44691</v>
      </c>
      <c r="D133" s="128">
        <v>0.14199999999999999</v>
      </c>
      <c r="E133" s="129">
        <v>2596.1619999999998</v>
      </c>
      <c r="F133" s="130">
        <v>75.334000000000003</v>
      </c>
      <c r="G133" s="53"/>
      <c r="H133" s="53">
        <v>4140</v>
      </c>
      <c r="I133" s="53">
        <f t="shared" si="65"/>
        <v>24860.699999998571</v>
      </c>
      <c r="J133" s="53">
        <f t="shared" si="66"/>
        <v>583.74000000002206</v>
      </c>
      <c r="K133" s="54">
        <f t="shared" si="67"/>
        <v>2.3480432972525136E-2</v>
      </c>
      <c r="L133" s="53">
        <f t="shared" si="68"/>
        <v>583.74000000002206</v>
      </c>
      <c r="M133" s="54">
        <f t="shared" si="69"/>
        <v>2.3480432972525136E-2</v>
      </c>
      <c r="N133" s="55">
        <v>66068309</v>
      </c>
      <c r="O133" s="55">
        <f>IF(N133="","",N133-N132)</f>
        <v>0</v>
      </c>
      <c r="P133" s="56"/>
      <c r="Q133" s="58"/>
      <c r="R133" s="19">
        <f t="shared" si="61"/>
        <v>1</v>
      </c>
      <c r="S133" s="19">
        <f t="shared" si="40"/>
        <v>0</v>
      </c>
      <c r="T133" s="144"/>
    </row>
    <row r="134" spans="1:20" ht="15" thickBot="1">
      <c r="A134" s="50">
        <v>44692</v>
      </c>
      <c r="D134" s="128">
        <v>0.14199999999999999</v>
      </c>
      <c r="E134" s="129">
        <v>2602.1</v>
      </c>
      <c r="F134" s="130">
        <v>75.486000000000004</v>
      </c>
      <c r="G134" s="53"/>
      <c r="H134" s="53">
        <v>4140</v>
      </c>
      <c r="I134" s="53">
        <f t="shared" si="65"/>
        <v>24583.320000000422</v>
      </c>
      <c r="J134" s="53">
        <f t="shared" si="66"/>
        <v>629.28000000000429</v>
      </c>
      <c r="K134" s="54">
        <f t="shared" si="67"/>
        <v>2.5597844392050931E-2</v>
      </c>
      <c r="L134" s="53">
        <f t="shared" si="68"/>
        <v>629.28000000000429</v>
      </c>
      <c r="M134" s="54">
        <f t="shared" si="69"/>
        <v>2.5597844392050931E-2</v>
      </c>
      <c r="N134" s="55">
        <v>66068309</v>
      </c>
      <c r="O134" s="55">
        <f t="shared" ref="O134:O197" si="70">IF(N134="","",N134-N133)</f>
        <v>0</v>
      </c>
      <c r="P134" s="56"/>
      <c r="Q134" s="57"/>
      <c r="R134" s="19">
        <f t="shared" si="61"/>
        <v>1</v>
      </c>
      <c r="S134" s="19">
        <f t="shared" si="40"/>
        <v>0</v>
      </c>
      <c r="T134" s="144"/>
    </row>
    <row r="135" spans="1:20" ht="15" thickBot="1">
      <c r="A135" s="50">
        <v>44693</v>
      </c>
      <c r="D135" s="128">
        <v>0.14199999999999999</v>
      </c>
      <c r="E135" s="129">
        <v>2608.0100000000002</v>
      </c>
      <c r="F135" s="130">
        <v>75.599999999999994</v>
      </c>
      <c r="G135" s="53"/>
      <c r="H135" s="53">
        <v>4140</v>
      </c>
      <c r="I135" s="53">
        <f t="shared" si="65"/>
        <v>24467.400000001282</v>
      </c>
      <c r="J135" s="53">
        <f t="shared" si="66"/>
        <v>471.95999999995905</v>
      </c>
      <c r="K135" s="54">
        <f t="shared" si="67"/>
        <v>1.9289340101520159E-2</v>
      </c>
      <c r="L135" s="53">
        <f t="shared" si="68"/>
        <v>471.95999999995905</v>
      </c>
      <c r="M135" s="54">
        <f t="shared" si="69"/>
        <v>1.9289340101520159E-2</v>
      </c>
      <c r="N135" s="55">
        <v>66068309</v>
      </c>
      <c r="O135" s="55">
        <f t="shared" si="70"/>
        <v>0</v>
      </c>
      <c r="P135" s="56"/>
      <c r="Q135" s="57"/>
      <c r="R135" s="19">
        <f t="shared" si="61"/>
        <v>1</v>
      </c>
      <c r="S135" s="19">
        <f t="shared" si="40"/>
        <v>0</v>
      </c>
      <c r="T135" s="144"/>
    </row>
    <row r="136" spans="1:20" ht="15" thickBot="1">
      <c r="A136" s="50">
        <v>44694</v>
      </c>
      <c r="D136" s="128">
        <v>0.14199999999999999</v>
      </c>
      <c r="E136" s="129">
        <v>2614.3560000000002</v>
      </c>
      <c r="F136" s="130">
        <v>75.718000000000004</v>
      </c>
      <c r="G136" s="53"/>
      <c r="H136" s="53">
        <v>4140</v>
      </c>
      <c r="I136" s="53">
        <f t="shared" si="65"/>
        <v>26272.440000000017</v>
      </c>
      <c r="J136" s="53">
        <f t="shared" si="66"/>
        <v>488.52000000003812</v>
      </c>
      <c r="K136" s="54">
        <f t="shared" si="67"/>
        <v>1.859439016703579E-2</v>
      </c>
      <c r="L136" s="53">
        <f t="shared" si="68"/>
        <v>488.52000000003812</v>
      </c>
      <c r="M136" s="54">
        <f t="shared" si="69"/>
        <v>1.859439016703579E-2</v>
      </c>
      <c r="N136" s="55">
        <v>66068309</v>
      </c>
      <c r="O136" s="55">
        <f t="shared" si="70"/>
        <v>0</v>
      </c>
      <c r="P136" s="56"/>
      <c r="Q136" s="58"/>
      <c r="R136" s="19">
        <f t="shared" si="61"/>
        <v>1</v>
      </c>
      <c r="S136" s="19">
        <f t="shared" ref="S136:S199" si="71">IF(N136="",1,0)</f>
        <v>0</v>
      </c>
      <c r="T136" s="145"/>
    </row>
    <row r="137" spans="1:20" ht="15" thickBot="1">
      <c r="A137" s="50">
        <v>44695</v>
      </c>
      <c r="D137" s="128">
        <v>0.14199999999999999</v>
      </c>
      <c r="E137" s="129">
        <v>2621.0639999999999</v>
      </c>
      <c r="F137" s="130">
        <v>75.861000000000004</v>
      </c>
      <c r="G137" s="53"/>
      <c r="H137" s="53">
        <v>4140</v>
      </c>
      <c r="I137" s="53">
        <f t="shared" si="65"/>
        <v>27771.119999998464</v>
      </c>
      <c r="J137" s="53">
        <f t="shared" si="66"/>
        <v>592.02000000000282</v>
      </c>
      <c r="K137" s="54">
        <f t="shared" si="67"/>
        <v>2.1317829457365621E-2</v>
      </c>
      <c r="L137" s="53">
        <f t="shared" si="68"/>
        <v>592.02000000000282</v>
      </c>
      <c r="M137" s="54">
        <f t="shared" si="69"/>
        <v>2.1317829457365621E-2</v>
      </c>
      <c r="N137" s="55">
        <v>66068309</v>
      </c>
      <c r="O137" s="55">
        <f t="shared" si="70"/>
        <v>0</v>
      </c>
      <c r="P137" s="56"/>
      <c r="Q137" s="58"/>
      <c r="R137" s="19">
        <f t="shared" si="61"/>
        <v>1</v>
      </c>
      <c r="S137" s="19">
        <f t="shared" si="71"/>
        <v>0</v>
      </c>
      <c r="T137" s="145"/>
    </row>
    <row r="138" spans="1:20" ht="15" thickBot="1">
      <c r="A138" s="50">
        <v>44696</v>
      </c>
      <c r="D138" s="128">
        <v>0.14199999999999999</v>
      </c>
      <c r="E138" s="129">
        <v>2627.9029999999998</v>
      </c>
      <c r="F138" s="130">
        <v>76.006</v>
      </c>
      <c r="G138" s="53"/>
      <c r="H138" s="53">
        <v>4140</v>
      </c>
      <c r="I138" s="53">
        <f t="shared" si="65"/>
        <v>28313.459999999759</v>
      </c>
      <c r="J138" s="53">
        <f t="shared" si="66"/>
        <v>600.29999999998358</v>
      </c>
      <c r="K138" s="54">
        <f t="shared" si="67"/>
        <v>2.1201930106740353E-2</v>
      </c>
      <c r="L138" s="53">
        <f t="shared" si="68"/>
        <v>600.29999999998358</v>
      </c>
      <c r="M138" s="54">
        <f t="shared" si="69"/>
        <v>2.1201930106740353E-2</v>
      </c>
      <c r="N138" s="55">
        <v>66068309</v>
      </c>
      <c r="O138" s="55">
        <f t="shared" si="70"/>
        <v>0</v>
      </c>
      <c r="P138" s="56"/>
      <c r="Q138" s="57"/>
      <c r="R138" s="19">
        <f t="shared" si="61"/>
        <v>1</v>
      </c>
      <c r="S138" s="19">
        <f t="shared" si="71"/>
        <v>0</v>
      </c>
      <c r="T138" s="144"/>
    </row>
    <row r="139" spans="1:20" ht="15" thickBot="1">
      <c r="A139" s="50">
        <v>44697</v>
      </c>
      <c r="D139" s="128">
        <v>0.14199999999999999</v>
      </c>
      <c r="E139" s="129">
        <v>2634.8510000000001</v>
      </c>
      <c r="F139" s="130">
        <v>76.177999999999997</v>
      </c>
      <c r="G139" s="53"/>
      <c r="H139" s="53">
        <v>4140</v>
      </c>
      <c r="I139" s="53">
        <f t="shared" si="65"/>
        <v>28764.720000001325</v>
      </c>
      <c r="J139" s="53">
        <f t="shared" si="66"/>
        <v>712.07999999998776</v>
      </c>
      <c r="K139" s="54">
        <f t="shared" si="67"/>
        <v>2.4755325273458421E-2</v>
      </c>
      <c r="L139" s="53">
        <f t="shared" si="68"/>
        <v>712.07999999998776</v>
      </c>
      <c r="M139" s="54">
        <f t="shared" si="69"/>
        <v>2.4755325273458421E-2</v>
      </c>
      <c r="N139" s="55">
        <v>66068309</v>
      </c>
      <c r="O139" s="55">
        <f t="shared" si="70"/>
        <v>0</v>
      </c>
      <c r="P139" s="56"/>
      <c r="Q139" s="57"/>
      <c r="R139" s="19">
        <f t="shared" si="61"/>
        <v>1</v>
      </c>
      <c r="S139" s="19">
        <f t="shared" si="71"/>
        <v>0</v>
      </c>
      <c r="T139" s="144"/>
    </row>
    <row r="140" spans="1:20" ht="15" thickBot="1">
      <c r="A140" s="50">
        <v>44698</v>
      </c>
      <c r="D140" s="128">
        <v>0.14199999999999999</v>
      </c>
      <c r="E140" s="129">
        <v>2641.76</v>
      </c>
      <c r="F140" s="130">
        <v>76.296999999999997</v>
      </c>
      <c r="G140" s="53"/>
      <c r="H140" s="53">
        <v>4140</v>
      </c>
      <c r="I140" s="53">
        <f t="shared" si="65"/>
        <v>28603.260000000439</v>
      </c>
      <c r="J140" s="53">
        <f t="shared" si="66"/>
        <v>492.65999999999906</v>
      </c>
      <c r="K140" s="54">
        <f t="shared" si="67"/>
        <v>1.7223910840931819E-2</v>
      </c>
      <c r="L140" s="53">
        <f t="shared" si="68"/>
        <v>492.65999999999906</v>
      </c>
      <c r="M140" s="54">
        <f t="shared" si="69"/>
        <v>1.7223910840931819E-2</v>
      </c>
      <c r="N140" s="55">
        <v>66068309</v>
      </c>
      <c r="O140" s="55">
        <f t="shared" si="70"/>
        <v>0</v>
      </c>
      <c r="P140" s="56"/>
      <c r="Q140" s="57"/>
      <c r="R140" s="19">
        <f t="shared" si="61"/>
        <v>1</v>
      </c>
      <c r="S140" s="19">
        <f t="shared" si="71"/>
        <v>0</v>
      </c>
      <c r="T140" s="144"/>
    </row>
    <row r="141" spans="1:20" ht="15" thickBot="1">
      <c r="A141" s="50">
        <v>44699</v>
      </c>
      <c r="D141" s="128">
        <v>0.14199999999999999</v>
      </c>
      <c r="E141" s="129">
        <v>2648.2080000000001</v>
      </c>
      <c r="F141" s="130">
        <v>76.38</v>
      </c>
      <c r="G141" s="53"/>
      <c r="H141" s="53">
        <v>4140</v>
      </c>
      <c r="I141" s="53">
        <f t="shared" si="65"/>
        <v>26694.719999999441</v>
      </c>
      <c r="J141" s="53">
        <f t="shared" si="66"/>
        <v>343.61999999999341</v>
      </c>
      <c r="K141" s="54">
        <f t="shared" ref="K141:K204" si="72">IF(J141="","",+(J141/I141))</f>
        <v>1.2872208436724588E-2</v>
      </c>
      <c r="L141" s="53">
        <f t="shared" ref="L141:L204" si="73">IF(F141="","",+(F141-F140)*4140)</f>
        <v>343.61999999999341</v>
      </c>
      <c r="M141" s="54">
        <f t="shared" ref="M141:M204" si="74">IF(L141="","",(L141/I141))</f>
        <v>1.2872208436724588E-2</v>
      </c>
      <c r="N141" s="55">
        <v>66068309</v>
      </c>
      <c r="O141" s="55">
        <f t="shared" si="70"/>
        <v>0</v>
      </c>
      <c r="P141" s="56"/>
      <c r="Q141" s="88"/>
      <c r="R141" s="19">
        <f t="shared" si="61"/>
        <v>1</v>
      </c>
      <c r="S141" s="19">
        <f t="shared" si="71"/>
        <v>0</v>
      </c>
      <c r="T141" s="145"/>
    </row>
    <row r="142" spans="1:20" ht="15" thickBot="1">
      <c r="A142" s="50">
        <v>44700</v>
      </c>
      <c r="D142" s="128">
        <v>0.14199999999999999</v>
      </c>
      <c r="E142" s="129">
        <v>2654</v>
      </c>
      <c r="F142" s="130">
        <v>76.540999999999997</v>
      </c>
      <c r="G142" s="53"/>
      <c r="H142" s="53">
        <v>4140</v>
      </c>
      <c r="I142" s="53">
        <f t="shared" si="65"/>
        <v>23978.879999999655</v>
      </c>
      <c r="J142" s="53">
        <f t="shared" si="66"/>
        <v>666.54000000000565</v>
      </c>
      <c r="K142" s="54">
        <f t="shared" si="72"/>
        <v>2.7796961325967484E-2</v>
      </c>
      <c r="L142" s="53">
        <f t="shared" si="73"/>
        <v>666.54000000000565</v>
      </c>
      <c r="M142" s="54">
        <f t="shared" si="74"/>
        <v>2.7796961325967484E-2</v>
      </c>
      <c r="N142" s="55">
        <v>66068309</v>
      </c>
      <c r="O142" s="55">
        <f t="shared" si="70"/>
        <v>0</v>
      </c>
      <c r="P142" s="181" t="s">
        <v>47</v>
      </c>
      <c r="Q142" s="182"/>
      <c r="R142" s="19">
        <f t="shared" si="61"/>
        <v>1</v>
      </c>
      <c r="S142" s="19">
        <f t="shared" si="71"/>
        <v>0</v>
      </c>
      <c r="T142" s="145"/>
    </row>
    <row r="143" spans="1:20" ht="15" thickBot="1">
      <c r="A143" s="50">
        <v>44701</v>
      </c>
      <c r="D143" s="128">
        <v>0.14199999999999999</v>
      </c>
      <c r="E143" s="129">
        <v>2660.47</v>
      </c>
      <c r="F143" s="130">
        <v>76.685000000000002</v>
      </c>
      <c r="G143" s="53"/>
      <c r="H143" s="53">
        <v>4140</v>
      </c>
      <c r="I143" s="53">
        <f t="shared" si="65"/>
        <v>26785.799999999173</v>
      </c>
      <c r="J143" s="53">
        <f t="shared" si="66"/>
        <v>596.16000000002259</v>
      </c>
      <c r="K143" s="54">
        <f t="shared" si="72"/>
        <v>2.2256568778981436E-2</v>
      </c>
      <c r="L143" s="53">
        <f t="shared" si="73"/>
        <v>596.16000000002259</v>
      </c>
      <c r="M143" s="54">
        <f t="shared" si="74"/>
        <v>2.2256568778981436E-2</v>
      </c>
      <c r="N143" s="55">
        <v>66068309</v>
      </c>
      <c r="O143" s="55">
        <f t="shared" si="70"/>
        <v>0</v>
      </c>
      <c r="P143" s="183"/>
      <c r="Q143" s="184"/>
      <c r="R143" s="19">
        <f t="shared" si="61"/>
        <v>1</v>
      </c>
      <c r="S143" s="19">
        <f t="shared" si="71"/>
        <v>0</v>
      </c>
      <c r="T143" s="144"/>
    </row>
    <row r="144" spans="1:20" ht="15" thickBot="1">
      <c r="A144" s="50">
        <v>44702</v>
      </c>
      <c r="D144" s="128">
        <v>0.14199999999999999</v>
      </c>
      <c r="E144" s="129">
        <v>2666.77</v>
      </c>
      <c r="F144" s="130">
        <v>76.867999999999995</v>
      </c>
      <c r="G144" s="53"/>
      <c r="H144" s="53">
        <v>4140</v>
      </c>
      <c r="I144" s="53">
        <f t="shared" ref="I144:J159" si="75">IF(D144="","",+(E144-E143)*4140)</f>
        <v>26082.000000000753</v>
      </c>
      <c r="J144" s="53">
        <f t="shared" si="75"/>
        <v>757.61999999996988</v>
      </c>
      <c r="K144" s="54">
        <f t="shared" si="72"/>
        <v>2.9047619047617053E-2</v>
      </c>
      <c r="L144" s="53">
        <f t="shared" si="73"/>
        <v>757.61999999996988</v>
      </c>
      <c r="M144" s="54">
        <f t="shared" si="74"/>
        <v>2.9047619047617053E-2</v>
      </c>
      <c r="N144" s="55">
        <v>66068309</v>
      </c>
      <c r="O144" s="55">
        <f t="shared" si="70"/>
        <v>0</v>
      </c>
      <c r="P144" s="62" t="s">
        <v>31</v>
      </c>
      <c r="Q144" s="62" t="s">
        <v>32</v>
      </c>
      <c r="R144" s="19">
        <f t="shared" si="61"/>
        <v>1</v>
      </c>
      <c r="S144" s="19">
        <f t="shared" si="71"/>
        <v>0</v>
      </c>
      <c r="T144" s="144"/>
    </row>
    <row r="145" spans="1:20" ht="15" thickBot="1">
      <c r="A145" s="50">
        <v>44703</v>
      </c>
      <c r="D145" s="128">
        <v>0.14199999999999999</v>
      </c>
      <c r="E145" s="129">
        <v>2673.2289999999998</v>
      </c>
      <c r="F145" s="130">
        <v>77.040000000000006</v>
      </c>
      <c r="G145" s="53"/>
      <c r="H145" s="53">
        <v>4140</v>
      </c>
      <c r="I145" s="53">
        <f t="shared" si="75"/>
        <v>26740.259999999307</v>
      </c>
      <c r="J145" s="53">
        <f t="shared" si="75"/>
        <v>712.08000000004654</v>
      </c>
      <c r="K145" s="54">
        <f t="shared" si="72"/>
        <v>2.6629509211954745E-2</v>
      </c>
      <c r="L145" s="53">
        <f t="shared" si="73"/>
        <v>712.08000000004654</v>
      </c>
      <c r="M145" s="54">
        <f t="shared" si="74"/>
        <v>2.6629509211954745E-2</v>
      </c>
      <c r="N145" s="55">
        <v>66068309</v>
      </c>
      <c r="O145" s="55">
        <f t="shared" si="70"/>
        <v>0</v>
      </c>
      <c r="P145" s="63">
        <f>IF(J124="",0,+SUM(J124:J154)/SUM(I124:I154))</f>
        <v>2.2589995788221948E-2</v>
      </c>
      <c r="Q145" s="63">
        <f>IF(L124="",0,+SUM(L124:L154)/SUM(I124:I154))</f>
        <v>2.2589995788221948E-2</v>
      </c>
      <c r="R145" s="19">
        <f t="shared" si="61"/>
        <v>1</v>
      </c>
      <c r="S145" s="19">
        <f t="shared" si="71"/>
        <v>0</v>
      </c>
      <c r="T145" s="145"/>
    </row>
    <row r="146" spans="1:20" ht="15" thickBot="1">
      <c r="A146" s="50">
        <v>44704</v>
      </c>
      <c r="D146" s="128">
        <v>0.14199999999999999</v>
      </c>
      <c r="E146" s="129">
        <v>2680.43</v>
      </c>
      <c r="F146" s="130">
        <v>77.19</v>
      </c>
      <c r="G146" s="53"/>
      <c r="H146" s="53">
        <v>4140</v>
      </c>
      <c r="I146" s="53">
        <f t="shared" si="75"/>
        <v>29812.14000000009</v>
      </c>
      <c r="J146" s="53">
        <f t="shared" si="75"/>
        <v>620.99999999996476</v>
      </c>
      <c r="K146" s="54">
        <f t="shared" si="72"/>
        <v>2.0830440216635333E-2</v>
      </c>
      <c r="L146" s="53">
        <f t="shared" si="73"/>
        <v>620.99999999996476</v>
      </c>
      <c r="M146" s="54">
        <f t="shared" si="74"/>
        <v>2.0830440216635333E-2</v>
      </c>
      <c r="N146" s="55">
        <v>66068309</v>
      </c>
      <c r="O146" s="55">
        <f t="shared" si="70"/>
        <v>0</v>
      </c>
      <c r="P146" s="64" t="e">
        <f>IF(J124="",0,+(+(LOOKUP(9.99999999999999E+307,E124:E154)-E123))/(+(LOOKUP(9.99999999999999E+307,D124:D154)-D123)))</f>
        <v>#DIV/0!</v>
      </c>
      <c r="Q146" s="64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45"/>
    </row>
    <row r="147" spans="1:20" ht="15" thickBot="1">
      <c r="A147" s="50">
        <v>44705</v>
      </c>
      <c r="D147" s="128">
        <v>0.14199999999999999</v>
      </c>
      <c r="E147" s="129">
        <v>2687.5390000000002</v>
      </c>
      <c r="F147" s="130">
        <v>77.355999999999995</v>
      </c>
      <c r="G147" s="53"/>
      <c r="H147" s="53">
        <v>4140</v>
      </c>
      <c r="I147" s="53">
        <f t="shared" si="75"/>
        <v>29431.260000001566</v>
      </c>
      <c r="J147" s="53">
        <f t="shared" si="75"/>
        <v>687.23999999998682</v>
      </c>
      <c r="K147" s="54">
        <f t="shared" si="72"/>
        <v>2.3350682233786467E-2</v>
      </c>
      <c r="L147" s="53">
        <f t="shared" si="73"/>
        <v>687.23999999998682</v>
      </c>
      <c r="M147" s="54">
        <f t="shared" si="74"/>
        <v>2.3350682233786467E-2</v>
      </c>
      <c r="N147" s="55">
        <v>66068309</v>
      </c>
      <c r="O147" s="55">
        <f t="shared" si="70"/>
        <v>0</v>
      </c>
      <c r="P147" s="65" t="s">
        <v>33</v>
      </c>
      <c r="Q147" s="66" t="s">
        <v>34</v>
      </c>
      <c r="R147" s="19">
        <f t="shared" si="61"/>
        <v>1</v>
      </c>
      <c r="S147" s="19">
        <f t="shared" si="71"/>
        <v>0</v>
      </c>
      <c r="T147" s="145"/>
    </row>
    <row r="148" spans="1:20" ht="15" thickBot="1">
      <c r="A148" s="50">
        <v>44706</v>
      </c>
      <c r="D148" s="128">
        <v>0.14199999999999999</v>
      </c>
      <c r="E148" s="129">
        <v>2694.7649999999999</v>
      </c>
      <c r="F148" s="130">
        <v>77.465000000000003</v>
      </c>
      <c r="G148" s="53"/>
      <c r="H148" s="53">
        <v>4140</v>
      </c>
      <c r="I148" s="53">
        <f t="shared" si="75"/>
        <v>29915.639999998584</v>
      </c>
      <c r="J148" s="53">
        <f t="shared" si="75"/>
        <v>451.26000000003671</v>
      </c>
      <c r="K148" s="54">
        <f t="shared" si="72"/>
        <v>1.5084417381679217E-2</v>
      </c>
      <c r="L148" s="53">
        <f t="shared" si="73"/>
        <v>451.26000000003671</v>
      </c>
      <c r="M148" s="54">
        <f t="shared" si="74"/>
        <v>1.5084417381679217E-2</v>
      </c>
      <c r="N148" s="55">
        <v>66068309</v>
      </c>
      <c r="O148" s="55">
        <f t="shared" si="70"/>
        <v>0</v>
      </c>
      <c r="P148" s="67">
        <f>IF(N123="",0,+(LOOKUP(9.99999999999999E+307,N123:N154)-N123))</f>
        <v>0</v>
      </c>
      <c r="Q148" s="68">
        <f>IF(P148="",0,+P148/SUM(R124:R154))</f>
        <v>0</v>
      </c>
      <c r="R148" s="19">
        <f t="shared" si="61"/>
        <v>1</v>
      </c>
      <c r="S148" s="19">
        <f t="shared" si="71"/>
        <v>0</v>
      </c>
      <c r="T148" s="145"/>
    </row>
    <row r="149" spans="1:20" ht="15" thickBot="1">
      <c r="A149" s="50">
        <v>44707</v>
      </c>
      <c r="D149" s="128">
        <v>0.14199999999999999</v>
      </c>
      <c r="E149" s="129">
        <v>2702.692</v>
      </c>
      <c r="F149" s="130">
        <v>77.692999999999998</v>
      </c>
      <c r="G149" s="53"/>
      <c r="H149" s="53">
        <v>4140</v>
      </c>
      <c r="I149" s="53">
        <f t="shared" si="75"/>
        <v>32817.780000000559</v>
      </c>
      <c r="J149" s="53">
        <f t="shared" si="75"/>
        <v>943.91999999997688</v>
      </c>
      <c r="K149" s="54">
        <f t="shared" si="72"/>
        <v>2.8762457423992749E-2</v>
      </c>
      <c r="L149" s="53">
        <f t="shared" si="73"/>
        <v>943.91999999997688</v>
      </c>
      <c r="M149" s="54">
        <f t="shared" si="74"/>
        <v>2.8762457423992749E-2</v>
      </c>
      <c r="N149" s="55">
        <v>66068309</v>
      </c>
      <c r="O149" s="55">
        <f t="shared" si="70"/>
        <v>0</v>
      </c>
      <c r="P149" s="69" t="s">
        <v>35</v>
      </c>
      <c r="Q149" s="70" t="s">
        <v>43</v>
      </c>
      <c r="R149" s="19">
        <f t="shared" si="61"/>
        <v>1</v>
      </c>
      <c r="S149" s="19">
        <f t="shared" si="71"/>
        <v>0</v>
      </c>
      <c r="T149" s="144"/>
    </row>
    <row r="150" spans="1:20" ht="15" thickBot="1">
      <c r="A150" s="50">
        <v>44708</v>
      </c>
      <c r="D150" s="128">
        <v>0.14199999999999999</v>
      </c>
      <c r="E150" s="129">
        <v>2710.3879999999999</v>
      </c>
      <c r="F150" s="130">
        <v>77.92</v>
      </c>
      <c r="G150" s="53"/>
      <c r="H150" s="53">
        <v>4140</v>
      </c>
      <c r="I150" s="53">
        <f t="shared" si="75"/>
        <v>31861.439999999639</v>
      </c>
      <c r="J150" s="53">
        <f t="shared" si="75"/>
        <v>939.780000000016</v>
      </c>
      <c r="K150" s="54">
        <f t="shared" si="72"/>
        <v>2.9495841995842834E-2</v>
      </c>
      <c r="L150" s="53">
        <f t="shared" si="73"/>
        <v>939.780000000016</v>
      </c>
      <c r="M150" s="54">
        <f t="shared" si="74"/>
        <v>2.9495841995842834E-2</v>
      </c>
      <c r="N150" s="55">
        <v>66068309</v>
      </c>
      <c r="O150" s="55">
        <f t="shared" si="70"/>
        <v>0</v>
      </c>
      <c r="P150" s="71">
        <f>IF(D123="",0,+(LOOKUP(9.99999999999999E+307,D123:D154)-D123))*4140</f>
        <v>0</v>
      </c>
      <c r="Q150" s="72">
        <f>IF(P150="",0,+P150/SUM(R124:R154))</f>
        <v>0</v>
      </c>
      <c r="R150" s="19">
        <f t="shared" si="61"/>
        <v>1</v>
      </c>
      <c r="S150" s="19">
        <f t="shared" si="71"/>
        <v>0</v>
      </c>
      <c r="T150" s="144"/>
    </row>
    <row r="151" spans="1:20" ht="15" thickBot="1">
      <c r="A151" s="50">
        <v>44709</v>
      </c>
      <c r="D151" s="128">
        <v>0.14199999999999999</v>
      </c>
      <c r="E151" s="129">
        <v>2717.9549999999999</v>
      </c>
      <c r="F151" s="130">
        <v>78.165999999999997</v>
      </c>
      <c r="G151" s="53"/>
      <c r="H151" s="53">
        <v>4140</v>
      </c>
      <c r="I151" s="53">
        <f t="shared" si="75"/>
        <v>31327.38000000003</v>
      </c>
      <c r="J151" s="53">
        <f t="shared" si="75"/>
        <v>1018.4399999999798</v>
      </c>
      <c r="K151" s="54">
        <f t="shared" si="72"/>
        <v>3.2509581075722861E-2</v>
      </c>
      <c r="L151" s="53">
        <f t="shared" si="73"/>
        <v>1018.4399999999798</v>
      </c>
      <c r="M151" s="54">
        <f t="shared" si="74"/>
        <v>3.2509581075722861E-2</v>
      </c>
      <c r="N151" s="55">
        <v>66068309</v>
      </c>
      <c r="O151" s="55">
        <f t="shared" si="70"/>
        <v>0</v>
      </c>
      <c r="P151" s="146" t="s">
        <v>37</v>
      </c>
      <c r="Q151" s="147" t="s">
        <v>44</v>
      </c>
      <c r="R151" s="19">
        <f t="shared" si="61"/>
        <v>1</v>
      </c>
      <c r="S151" s="19">
        <f t="shared" si="71"/>
        <v>0</v>
      </c>
      <c r="T151" s="144"/>
    </row>
    <row r="152" spans="1:20" ht="15" thickBot="1">
      <c r="A152" s="50">
        <v>44710</v>
      </c>
      <c r="D152" s="128">
        <v>0.14199999999999999</v>
      </c>
      <c r="E152" s="129">
        <v>2726.1669999999999</v>
      </c>
      <c r="F152" s="130">
        <v>78.474999999999994</v>
      </c>
      <c r="G152" s="53"/>
      <c r="H152" s="53">
        <v>4140</v>
      </c>
      <c r="I152" s="53">
        <f t="shared" si="75"/>
        <v>33997.679999999957</v>
      </c>
      <c r="J152" s="53">
        <f t="shared" si="75"/>
        <v>1279.2599999999898</v>
      </c>
      <c r="K152" s="54">
        <f t="shared" si="72"/>
        <v>3.7627861665854592E-2</v>
      </c>
      <c r="L152" s="53">
        <f t="shared" si="73"/>
        <v>1279.2599999999898</v>
      </c>
      <c r="M152" s="54">
        <f t="shared" si="74"/>
        <v>3.7627861665854592E-2</v>
      </c>
      <c r="N152" s="55">
        <v>66068309</v>
      </c>
      <c r="O152" s="55">
        <f t="shared" si="70"/>
        <v>0</v>
      </c>
      <c r="P152" s="73">
        <f>P150*Q155</f>
        <v>0</v>
      </c>
      <c r="Q152" s="74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44"/>
    </row>
    <row r="153" spans="1:20" ht="15" thickBot="1">
      <c r="A153" s="50">
        <v>44711</v>
      </c>
      <c r="D153" s="128">
        <v>0.14199999999999999</v>
      </c>
      <c r="E153" s="129">
        <v>2734.65</v>
      </c>
      <c r="F153" s="130">
        <v>78.778000000000006</v>
      </c>
      <c r="G153" s="53"/>
      <c r="H153" s="53">
        <v>4140</v>
      </c>
      <c r="I153" s="53">
        <f t="shared" si="75"/>
        <v>35119.620000000723</v>
      </c>
      <c r="J153" s="53">
        <f t="shared" si="75"/>
        <v>1254.4200000000476</v>
      </c>
      <c r="K153" s="54">
        <f t="shared" si="72"/>
        <v>3.5718495815160352E-2</v>
      </c>
      <c r="L153" s="53">
        <f t="shared" si="73"/>
        <v>1254.4200000000476</v>
      </c>
      <c r="M153" s="54">
        <f t="shared" si="74"/>
        <v>3.5718495815160352E-2</v>
      </c>
      <c r="N153" s="55">
        <v>66068309</v>
      </c>
      <c r="O153" s="55">
        <f t="shared" si="70"/>
        <v>0</v>
      </c>
      <c r="P153" s="148" t="s">
        <v>39</v>
      </c>
      <c r="Q153" s="149" t="s">
        <v>40</v>
      </c>
      <c r="R153" s="19">
        <f t="shared" si="61"/>
        <v>1</v>
      </c>
      <c r="S153" s="19">
        <f t="shared" si="71"/>
        <v>0</v>
      </c>
      <c r="T153" s="144"/>
    </row>
    <row r="154" spans="1:20" ht="15" thickBot="1">
      <c r="A154" s="50">
        <v>44712</v>
      </c>
      <c r="D154" s="153">
        <v>0.14199999999999999</v>
      </c>
      <c r="E154" s="153">
        <v>2743.3589999999999</v>
      </c>
      <c r="F154" s="153">
        <v>78.998000000000005</v>
      </c>
      <c r="G154" s="154"/>
      <c r="H154" s="155">
        <v>4140</v>
      </c>
      <c r="I154" s="155">
        <f t="shared" si="75"/>
        <v>36055.259999999311</v>
      </c>
      <c r="J154" s="155">
        <f t="shared" si="75"/>
        <v>910.79999999999529</v>
      </c>
      <c r="K154" s="156">
        <f t="shared" si="72"/>
        <v>2.5261224021127921E-2</v>
      </c>
      <c r="L154" s="155">
        <f t="shared" si="73"/>
        <v>910.79999999999529</v>
      </c>
      <c r="M154" s="156">
        <f t="shared" si="74"/>
        <v>2.5261224021127921E-2</v>
      </c>
      <c r="N154" s="157">
        <v>66068309</v>
      </c>
      <c r="O154" s="161">
        <f t="shared" si="70"/>
        <v>0</v>
      </c>
      <c r="P154" s="111">
        <f>(P152+Q150*SUM(S124:S154)*Q155)</f>
        <v>0</v>
      </c>
      <c r="Q154" s="79">
        <f>Q150*31</f>
        <v>0</v>
      </c>
      <c r="R154" s="19">
        <f t="shared" si="61"/>
        <v>1</v>
      </c>
      <c r="S154" s="19">
        <f t="shared" si="71"/>
        <v>0</v>
      </c>
      <c r="T154" s="144"/>
    </row>
    <row r="155" spans="1:20" ht="15" thickBot="1">
      <c r="A155" s="50">
        <v>44713</v>
      </c>
      <c r="D155" s="128">
        <v>0.14199999999999999</v>
      </c>
      <c r="E155" s="129">
        <v>2752.1060000000002</v>
      </c>
      <c r="F155" s="130">
        <v>79.328999999999994</v>
      </c>
      <c r="G155" s="53"/>
      <c r="H155" s="53">
        <v>4140</v>
      </c>
      <c r="I155" s="53">
        <f t="shared" si="75"/>
        <v>36212.580000001239</v>
      </c>
      <c r="J155" s="53">
        <f t="shared" si="75"/>
        <v>1370.3399999999538</v>
      </c>
      <c r="K155" s="54">
        <f t="shared" si="72"/>
        <v>3.7841545672799536E-2</v>
      </c>
      <c r="L155" s="53">
        <f t="shared" si="73"/>
        <v>1370.3399999999538</v>
      </c>
      <c r="M155" s="54">
        <f t="shared" si="74"/>
        <v>3.7841545672799536E-2</v>
      </c>
      <c r="N155" s="55">
        <v>66068309</v>
      </c>
      <c r="O155" s="55">
        <f t="shared" si="70"/>
        <v>0</v>
      </c>
      <c r="P155" s="80" t="s">
        <v>41</v>
      </c>
      <c r="Q155" s="81">
        <v>0.56999999999999995</v>
      </c>
      <c r="R155" s="19">
        <f t="shared" si="61"/>
        <v>1</v>
      </c>
      <c r="S155" s="19">
        <f t="shared" si="71"/>
        <v>0</v>
      </c>
      <c r="T155" s="144"/>
    </row>
    <row r="156" spans="1:20" ht="15" thickBot="1">
      <c r="A156" s="50">
        <v>44714</v>
      </c>
      <c r="D156" s="128">
        <v>0.14199999999999999</v>
      </c>
      <c r="E156" s="129">
        <v>2760.09</v>
      </c>
      <c r="F156" s="130">
        <v>79.616</v>
      </c>
      <c r="G156" s="53"/>
      <c r="H156" s="53">
        <v>4140</v>
      </c>
      <c r="I156" s="53">
        <f t="shared" si="75"/>
        <v>33053.759999999682</v>
      </c>
      <c r="J156" s="53">
        <f t="shared" si="75"/>
        <v>1188.1800000000253</v>
      </c>
      <c r="K156" s="54">
        <f t="shared" si="72"/>
        <v>3.5946893787576262E-2</v>
      </c>
      <c r="L156" s="53">
        <f t="shared" si="73"/>
        <v>1188.1800000000253</v>
      </c>
      <c r="M156" s="54">
        <f t="shared" si="74"/>
        <v>3.5946893787576262E-2</v>
      </c>
      <c r="N156" s="55">
        <v>66068309</v>
      </c>
      <c r="O156" s="55">
        <f t="shared" si="70"/>
        <v>0</v>
      </c>
      <c r="P156" s="56"/>
      <c r="Q156" s="88"/>
      <c r="R156" s="19">
        <f t="shared" si="61"/>
        <v>1</v>
      </c>
      <c r="S156" s="19">
        <f t="shared" si="71"/>
        <v>0</v>
      </c>
      <c r="T156" s="144"/>
    </row>
    <row r="157" spans="1:20" ht="15" thickBot="1">
      <c r="A157" s="50">
        <v>44715</v>
      </c>
      <c r="D157" s="128">
        <v>0.14199999999999999</v>
      </c>
      <c r="E157" s="129">
        <v>2769.1779999999999</v>
      </c>
      <c r="F157" s="130">
        <v>79.954999999999998</v>
      </c>
      <c r="G157" s="53"/>
      <c r="H157" s="53">
        <v>4140</v>
      </c>
      <c r="I157" s="53">
        <f t="shared" si="75"/>
        <v>37624.319999998916</v>
      </c>
      <c r="J157" s="53">
        <f t="shared" si="75"/>
        <v>1403.4599999999944</v>
      </c>
      <c r="K157" s="54">
        <f t="shared" si="72"/>
        <v>3.7301936619719235E-2</v>
      </c>
      <c r="L157" s="53">
        <f t="shared" si="73"/>
        <v>1403.4599999999944</v>
      </c>
      <c r="M157" s="54">
        <f t="shared" si="74"/>
        <v>3.7301936619719235E-2</v>
      </c>
      <c r="N157" s="55">
        <v>66068309</v>
      </c>
      <c r="O157" s="55">
        <f t="shared" si="70"/>
        <v>0</v>
      </c>
      <c r="P157" s="84"/>
      <c r="Q157" s="85"/>
      <c r="R157" s="19">
        <f t="shared" si="61"/>
        <v>1</v>
      </c>
      <c r="S157" s="19">
        <f t="shared" si="71"/>
        <v>0</v>
      </c>
      <c r="T157" s="145"/>
    </row>
    <row r="158" spans="1:20" ht="15" thickBot="1">
      <c r="A158" s="50">
        <v>44716</v>
      </c>
      <c r="D158" s="128">
        <v>0.14199999999999999</v>
      </c>
      <c r="E158" s="129">
        <v>2778.098</v>
      </c>
      <c r="F158" s="130">
        <v>80.293999999999997</v>
      </c>
      <c r="G158" s="53"/>
      <c r="H158" s="53">
        <v>4140</v>
      </c>
      <c r="I158" s="53">
        <f t="shared" si="75"/>
        <v>36928.800000000301</v>
      </c>
      <c r="J158" s="53">
        <f t="shared" si="75"/>
        <v>1403.4599999999944</v>
      </c>
      <c r="K158" s="54">
        <f t="shared" si="72"/>
        <v>3.8004484304932272E-2</v>
      </c>
      <c r="L158" s="53">
        <f t="shared" si="73"/>
        <v>1403.4599999999944</v>
      </c>
      <c r="M158" s="54">
        <f t="shared" si="74"/>
        <v>3.8004484304932272E-2</v>
      </c>
      <c r="N158" s="55">
        <v>66068309</v>
      </c>
      <c r="O158" s="55">
        <f t="shared" si="70"/>
        <v>0</v>
      </c>
      <c r="P158" s="86"/>
      <c r="Q158" s="87"/>
      <c r="R158" s="19">
        <f t="shared" si="61"/>
        <v>1</v>
      </c>
      <c r="S158" s="19">
        <f t="shared" si="71"/>
        <v>0</v>
      </c>
      <c r="T158" s="145"/>
    </row>
    <row r="159" spans="1:20" ht="15" thickBot="1">
      <c r="A159" s="50">
        <v>44717</v>
      </c>
      <c r="D159" s="128">
        <v>0.14199999999999999</v>
      </c>
      <c r="E159" s="129">
        <v>2786.1439999999998</v>
      </c>
      <c r="F159" s="130">
        <v>80.513999999999996</v>
      </c>
      <c r="G159" s="53"/>
      <c r="H159" s="53">
        <v>4140</v>
      </c>
      <c r="I159" s="53">
        <f t="shared" si="75"/>
        <v>33310.43999999926</v>
      </c>
      <c r="J159" s="53">
        <f t="shared" si="75"/>
        <v>910.79999999999529</v>
      </c>
      <c r="K159" s="54">
        <f t="shared" si="72"/>
        <v>2.7342779020631834E-2</v>
      </c>
      <c r="L159" s="53">
        <f t="shared" si="73"/>
        <v>910.79999999999529</v>
      </c>
      <c r="M159" s="54">
        <f t="shared" si="74"/>
        <v>2.7342779020631834E-2</v>
      </c>
      <c r="N159" s="55">
        <v>66068309</v>
      </c>
      <c r="O159" s="55">
        <f t="shared" si="70"/>
        <v>0</v>
      </c>
      <c r="P159" s="86"/>
      <c r="Q159" s="85"/>
      <c r="R159" s="19">
        <f t="shared" si="61"/>
        <v>1</v>
      </c>
      <c r="S159" s="19">
        <f t="shared" si="71"/>
        <v>0</v>
      </c>
      <c r="T159" s="144"/>
    </row>
    <row r="160" spans="1:20" ht="15" thickBot="1">
      <c r="A160" s="50">
        <v>44718</v>
      </c>
      <c r="D160" s="128">
        <v>0.14199999999999999</v>
      </c>
      <c r="E160" s="129">
        <v>2794.2750000000001</v>
      </c>
      <c r="F160" s="130">
        <v>80.811999999999998</v>
      </c>
      <c r="G160" s="53"/>
      <c r="H160" s="53">
        <v>4140</v>
      </c>
      <c r="I160" s="53">
        <f t="shared" ref="I160:I235" si="76">IF(D160="","",+(E160-E159)*4140)</f>
        <v>33662.340000001292</v>
      </c>
      <c r="J160" s="53">
        <f t="shared" ref="J160:J235" si="77">IF(E160="","",+(F160-F159)*4140)</f>
        <v>1233.7200000000075</v>
      </c>
      <c r="K160" s="54">
        <f t="shared" si="72"/>
        <v>3.664985856598086E-2</v>
      </c>
      <c r="L160" s="53">
        <f t="shared" si="73"/>
        <v>1233.7200000000075</v>
      </c>
      <c r="M160" s="54">
        <f t="shared" si="74"/>
        <v>3.664985856598086E-2</v>
      </c>
      <c r="N160" s="55">
        <v>66068309</v>
      </c>
      <c r="O160" s="55">
        <f t="shared" si="70"/>
        <v>0</v>
      </c>
      <c r="P160" s="56"/>
      <c r="Q160" s="57"/>
      <c r="R160" s="19">
        <f t="shared" si="61"/>
        <v>1</v>
      </c>
      <c r="S160" s="19">
        <f t="shared" si="71"/>
        <v>0</v>
      </c>
      <c r="T160" s="144"/>
    </row>
    <row r="161" spans="1:20" ht="15" thickBot="1">
      <c r="A161" s="50">
        <v>44719</v>
      </c>
      <c r="D161" s="128">
        <v>0.14199999999999999</v>
      </c>
      <c r="E161" s="129">
        <v>2802.1109999999999</v>
      </c>
      <c r="F161" s="130">
        <v>81.03</v>
      </c>
      <c r="G161" s="53"/>
      <c r="H161" s="53">
        <v>4140</v>
      </c>
      <c r="I161" s="53">
        <f t="shared" si="76"/>
        <v>32441.039999999113</v>
      </c>
      <c r="J161" s="53">
        <f t="shared" si="77"/>
        <v>902.52000000001453</v>
      </c>
      <c r="K161" s="54">
        <f t="shared" si="72"/>
        <v>2.7820316488005294E-2</v>
      </c>
      <c r="L161" s="53">
        <f t="shared" si="73"/>
        <v>902.52000000001453</v>
      </c>
      <c r="M161" s="54">
        <f t="shared" si="74"/>
        <v>2.7820316488005294E-2</v>
      </c>
      <c r="N161" s="55">
        <v>66068309</v>
      </c>
      <c r="O161" s="55">
        <f t="shared" si="70"/>
        <v>0</v>
      </c>
      <c r="P161" s="56"/>
      <c r="Q161" s="58"/>
      <c r="R161" s="19">
        <f t="shared" ref="R161:R224" si="78">IF(N161="",0,1)</f>
        <v>1</v>
      </c>
      <c r="S161" s="19">
        <f t="shared" si="71"/>
        <v>0</v>
      </c>
      <c r="T161" s="144"/>
    </row>
    <row r="162" spans="1:20" ht="15" thickBot="1">
      <c r="A162" s="50">
        <v>44720</v>
      </c>
      <c r="D162" s="128">
        <v>0.14199999999999999</v>
      </c>
      <c r="E162" s="129">
        <v>2809.7660000000001</v>
      </c>
      <c r="F162" s="130">
        <v>81.334000000000003</v>
      </c>
      <c r="G162" s="53"/>
      <c r="H162" s="53">
        <v>4140</v>
      </c>
      <c r="I162" s="53">
        <f t="shared" si="76"/>
        <v>31691.700000000827</v>
      </c>
      <c r="J162" s="53">
        <f t="shared" si="77"/>
        <v>1258.5600000000086</v>
      </c>
      <c r="K162" s="54">
        <f t="shared" si="72"/>
        <v>3.971260613977716E-2</v>
      </c>
      <c r="L162" s="53">
        <f t="shared" si="73"/>
        <v>1258.5600000000086</v>
      </c>
      <c r="M162" s="54">
        <f t="shared" si="74"/>
        <v>3.971260613977716E-2</v>
      </c>
      <c r="N162" s="55">
        <v>66068309</v>
      </c>
      <c r="O162" s="55">
        <f t="shared" si="70"/>
        <v>0</v>
      </c>
      <c r="P162" s="56"/>
      <c r="Q162" s="58"/>
      <c r="R162" s="19">
        <f t="shared" si="78"/>
        <v>1</v>
      </c>
      <c r="S162" s="19">
        <f t="shared" si="71"/>
        <v>0</v>
      </c>
      <c r="T162" s="145"/>
    </row>
    <row r="163" spans="1:20" ht="15" thickBot="1">
      <c r="A163" s="50">
        <v>44721</v>
      </c>
      <c r="D163" s="128">
        <v>0.14199999999999999</v>
      </c>
      <c r="E163" s="129">
        <v>2818.3829999999998</v>
      </c>
      <c r="F163" s="130">
        <v>81.548000000000002</v>
      </c>
      <c r="G163" s="53"/>
      <c r="H163" s="53">
        <v>4140</v>
      </c>
      <c r="I163" s="53">
        <f t="shared" si="76"/>
        <v>35674.379999998899</v>
      </c>
      <c r="J163" s="53">
        <f t="shared" si="77"/>
        <v>885.95999999999435</v>
      </c>
      <c r="K163" s="54">
        <f t="shared" si="72"/>
        <v>2.4834629221307327E-2</v>
      </c>
      <c r="L163" s="53">
        <f t="shared" si="73"/>
        <v>885.95999999999435</v>
      </c>
      <c r="M163" s="54">
        <f t="shared" si="74"/>
        <v>2.4834629221307327E-2</v>
      </c>
      <c r="N163" s="55">
        <v>66068309</v>
      </c>
      <c r="O163" s="55">
        <f t="shared" si="70"/>
        <v>0</v>
      </c>
      <c r="P163" s="56"/>
      <c r="Q163" s="58"/>
      <c r="R163" s="19">
        <f t="shared" si="78"/>
        <v>1</v>
      </c>
      <c r="S163" s="19">
        <f t="shared" si="71"/>
        <v>0</v>
      </c>
      <c r="T163" s="145"/>
    </row>
    <row r="164" spans="1:20" ht="15" thickBot="1">
      <c r="A164" s="50">
        <v>44722</v>
      </c>
      <c r="D164" s="128">
        <v>0.14199999999999999</v>
      </c>
      <c r="E164" s="129">
        <v>2826.4259999999999</v>
      </c>
      <c r="F164" s="130">
        <v>81.813999999999993</v>
      </c>
      <c r="G164" s="53"/>
      <c r="H164" s="53">
        <v>4140</v>
      </c>
      <c r="I164" s="53">
        <f t="shared" si="76"/>
        <v>33298.020000000499</v>
      </c>
      <c r="J164" s="53">
        <f t="shared" si="77"/>
        <v>1101.2399999999634</v>
      </c>
      <c r="K164" s="54">
        <f t="shared" si="72"/>
        <v>3.3072236727587613E-2</v>
      </c>
      <c r="L164" s="53">
        <f t="shared" si="73"/>
        <v>1101.2399999999634</v>
      </c>
      <c r="M164" s="54">
        <f t="shared" si="74"/>
        <v>3.3072236727587613E-2</v>
      </c>
      <c r="N164" s="55">
        <v>66068309</v>
      </c>
      <c r="O164" s="55">
        <f t="shared" si="70"/>
        <v>0</v>
      </c>
      <c r="P164" s="56"/>
      <c r="Q164" s="57"/>
      <c r="R164" s="19">
        <f t="shared" si="78"/>
        <v>1</v>
      </c>
      <c r="S164" s="19">
        <f t="shared" si="71"/>
        <v>0</v>
      </c>
      <c r="T164" s="144"/>
    </row>
    <row r="165" spans="1:20" ht="15" thickBot="1">
      <c r="A165" s="50">
        <v>44723</v>
      </c>
      <c r="D165" s="128">
        <v>0.14199999999999999</v>
      </c>
      <c r="E165" s="129">
        <v>2834.4360000000001</v>
      </c>
      <c r="F165" s="130">
        <v>82.046000000000006</v>
      </c>
      <c r="G165" s="53"/>
      <c r="H165" s="53">
        <v>4140</v>
      </c>
      <c r="I165" s="53">
        <f t="shared" si="76"/>
        <v>33161.400000000904</v>
      </c>
      <c r="J165" s="53">
        <f t="shared" si="77"/>
        <v>960.48000000005595</v>
      </c>
      <c r="K165" s="54">
        <f t="shared" si="72"/>
        <v>2.8963795255930985E-2</v>
      </c>
      <c r="L165" s="53">
        <f t="shared" si="73"/>
        <v>960.48000000005595</v>
      </c>
      <c r="M165" s="54">
        <f t="shared" si="74"/>
        <v>2.8963795255930985E-2</v>
      </c>
      <c r="N165" s="55">
        <v>66068309</v>
      </c>
      <c r="O165" s="55">
        <f t="shared" si="70"/>
        <v>0</v>
      </c>
      <c r="P165" s="56"/>
      <c r="Q165" s="57"/>
      <c r="R165" s="19">
        <f t="shared" si="78"/>
        <v>1</v>
      </c>
      <c r="S165" s="19">
        <f t="shared" si="71"/>
        <v>0</v>
      </c>
      <c r="T165" s="144"/>
    </row>
    <row r="166" spans="1:20" ht="15" thickBot="1">
      <c r="A166" s="50">
        <v>44724</v>
      </c>
      <c r="D166" s="128">
        <v>0.14199999999999999</v>
      </c>
      <c r="E166" s="129">
        <v>2842.1860000000001</v>
      </c>
      <c r="F166" s="130">
        <v>82.296000000000006</v>
      </c>
      <c r="G166" s="53"/>
      <c r="H166" s="53">
        <v>4140</v>
      </c>
      <c r="I166" s="53">
        <f t="shared" si="76"/>
        <v>32085</v>
      </c>
      <c r="J166" s="53">
        <f t="shared" si="77"/>
        <v>1035</v>
      </c>
      <c r="K166" s="54">
        <f t="shared" si="72"/>
        <v>3.2258064516129031E-2</v>
      </c>
      <c r="L166" s="53">
        <f t="shared" si="73"/>
        <v>1035</v>
      </c>
      <c r="M166" s="54">
        <f t="shared" si="74"/>
        <v>3.2258064516129031E-2</v>
      </c>
      <c r="N166" s="55">
        <v>66068309</v>
      </c>
      <c r="O166" s="55">
        <f t="shared" si="70"/>
        <v>0</v>
      </c>
      <c r="P166" s="56"/>
      <c r="Q166" s="58"/>
      <c r="R166" s="19">
        <f t="shared" si="78"/>
        <v>1</v>
      </c>
      <c r="S166" s="19">
        <f t="shared" si="71"/>
        <v>0</v>
      </c>
      <c r="T166" s="144"/>
    </row>
    <row r="167" spans="1:20" ht="15" thickBot="1">
      <c r="A167" s="50">
        <v>44725</v>
      </c>
      <c r="D167" s="128">
        <v>0.14199999999999999</v>
      </c>
      <c r="E167" s="129">
        <v>2850.9740000000002</v>
      </c>
      <c r="F167" s="130">
        <v>82.555000000000007</v>
      </c>
      <c r="G167" s="53"/>
      <c r="H167" s="53">
        <v>4140</v>
      </c>
      <c r="I167" s="53">
        <f t="shared" si="76"/>
        <v>36382.320000000043</v>
      </c>
      <c r="J167" s="53">
        <f t="shared" si="77"/>
        <v>1072.2600000000014</v>
      </c>
      <c r="K167" s="54">
        <f t="shared" si="72"/>
        <v>2.9472007282658173E-2</v>
      </c>
      <c r="L167" s="53">
        <f t="shared" si="73"/>
        <v>1072.2600000000014</v>
      </c>
      <c r="M167" s="54">
        <f t="shared" si="74"/>
        <v>2.9472007282658173E-2</v>
      </c>
      <c r="N167" s="55">
        <v>66068309</v>
      </c>
      <c r="O167" s="55">
        <f t="shared" si="70"/>
        <v>0</v>
      </c>
      <c r="P167" s="56"/>
      <c r="Q167" s="58"/>
      <c r="R167" s="19">
        <f t="shared" si="78"/>
        <v>1</v>
      </c>
      <c r="S167" s="19">
        <f t="shared" si="71"/>
        <v>0</v>
      </c>
      <c r="T167" s="145"/>
    </row>
    <row r="168" spans="1:20" ht="15" thickBot="1">
      <c r="A168" s="50">
        <v>44726</v>
      </c>
      <c r="D168" s="128">
        <v>0.14199999999999999</v>
      </c>
      <c r="E168" s="129">
        <v>2859.0430000000001</v>
      </c>
      <c r="F168" s="130">
        <v>82.807000000000002</v>
      </c>
      <c r="G168" s="53"/>
      <c r="H168" s="53">
        <v>4140</v>
      </c>
      <c r="I168" s="53">
        <f t="shared" si="76"/>
        <v>33405.659999999836</v>
      </c>
      <c r="J168" s="53">
        <f t="shared" si="77"/>
        <v>1043.2799999999806</v>
      </c>
      <c r="K168" s="54">
        <f t="shared" si="72"/>
        <v>3.1230635766513391E-2</v>
      </c>
      <c r="L168" s="53">
        <f t="shared" si="73"/>
        <v>1043.2799999999806</v>
      </c>
      <c r="M168" s="54">
        <f t="shared" si="74"/>
        <v>3.1230635766513391E-2</v>
      </c>
      <c r="N168" s="55">
        <v>66068309</v>
      </c>
      <c r="O168" s="55">
        <f t="shared" si="70"/>
        <v>0</v>
      </c>
      <c r="P168" s="56"/>
      <c r="Q168" s="57"/>
      <c r="R168" s="19">
        <f t="shared" si="78"/>
        <v>1</v>
      </c>
      <c r="S168" s="19">
        <f t="shared" si="71"/>
        <v>0</v>
      </c>
      <c r="T168" s="145"/>
    </row>
    <row r="169" spans="1:20" ht="15" thickBot="1">
      <c r="A169" s="50">
        <v>44727</v>
      </c>
      <c r="D169" s="128">
        <v>0.14199999999999999</v>
      </c>
      <c r="E169" s="129">
        <v>2866.732</v>
      </c>
      <c r="F169" s="130">
        <v>83.033000000000001</v>
      </c>
      <c r="G169" s="53"/>
      <c r="H169" s="53">
        <v>4140</v>
      </c>
      <c r="I169" s="53">
        <f t="shared" si="76"/>
        <v>31832.459999999381</v>
      </c>
      <c r="J169" s="53">
        <f t="shared" si="77"/>
        <v>935.63999999999623</v>
      </c>
      <c r="K169" s="54">
        <f t="shared" si="72"/>
        <v>2.9392638834699374E-2</v>
      </c>
      <c r="L169" s="53">
        <f t="shared" si="73"/>
        <v>935.63999999999623</v>
      </c>
      <c r="M169" s="54">
        <f t="shared" si="74"/>
        <v>2.9392638834699374E-2</v>
      </c>
      <c r="N169" s="55">
        <v>66068309</v>
      </c>
      <c r="O169" s="55">
        <f t="shared" si="70"/>
        <v>0</v>
      </c>
      <c r="P169" s="56"/>
      <c r="Q169" s="57"/>
      <c r="R169" s="19">
        <f t="shared" si="78"/>
        <v>1</v>
      </c>
      <c r="S169" s="19">
        <f t="shared" si="71"/>
        <v>0</v>
      </c>
      <c r="T169" s="144"/>
    </row>
    <row r="170" spans="1:20" ht="15" thickBot="1">
      <c r="A170" s="50">
        <v>44728</v>
      </c>
      <c r="D170" s="128">
        <v>0.14199999999999999</v>
      </c>
      <c r="E170" s="129">
        <v>2874.681</v>
      </c>
      <c r="F170" s="130">
        <v>83.248999999999995</v>
      </c>
      <c r="G170" s="53"/>
      <c r="H170" s="53">
        <v>4140</v>
      </c>
      <c r="I170" s="53">
        <f t="shared" si="76"/>
        <v>32908.860000000284</v>
      </c>
      <c r="J170" s="53">
        <f t="shared" si="77"/>
        <v>894.239999999975</v>
      </c>
      <c r="K170" s="54">
        <f t="shared" si="72"/>
        <v>2.7173229337022532E-2</v>
      </c>
      <c r="L170" s="53">
        <f t="shared" si="73"/>
        <v>894.239999999975</v>
      </c>
      <c r="M170" s="54">
        <f t="shared" si="74"/>
        <v>2.7173229337022532E-2</v>
      </c>
      <c r="N170" s="55">
        <v>66068309</v>
      </c>
      <c r="O170" s="55">
        <f>IF(N170="","",N170-N169)</f>
        <v>0</v>
      </c>
      <c r="P170" s="56"/>
      <c r="Q170" s="57"/>
      <c r="R170" s="19">
        <f t="shared" si="78"/>
        <v>1</v>
      </c>
      <c r="S170" s="19">
        <f t="shared" si="71"/>
        <v>0</v>
      </c>
      <c r="T170" s="144"/>
    </row>
    <row r="171" spans="1:20" ht="15" thickBot="1">
      <c r="A171" s="50">
        <v>44729</v>
      </c>
      <c r="D171" s="128">
        <v>0.14199999999999999</v>
      </c>
      <c r="E171" s="129">
        <v>2882.0630000000001</v>
      </c>
      <c r="F171" s="130">
        <v>83.548000000000002</v>
      </c>
      <c r="G171" s="53"/>
      <c r="H171" s="53">
        <v>4140</v>
      </c>
      <c r="I171" s="53">
        <f t="shared" si="76"/>
        <v>30561.480000000258</v>
      </c>
      <c r="J171" s="53">
        <f t="shared" si="77"/>
        <v>1237.8600000000274</v>
      </c>
      <c r="K171" s="54">
        <f t="shared" si="72"/>
        <v>4.0503928474668667E-2</v>
      </c>
      <c r="L171" s="53">
        <f t="shared" si="73"/>
        <v>1237.8600000000274</v>
      </c>
      <c r="M171" s="54">
        <f t="shared" si="74"/>
        <v>4.0503928474668667E-2</v>
      </c>
      <c r="N171" s="55">
        <v>66068309</v>
      </c>
      <c r="O171" s="55">
        <f t="shared" si="70"/>
        <v>0</v>
      </c>
      <c r="P171" s="56"/>
      <c r="Q171" s="88"/>
      <c r="R171" s="19">
        <f t="shared" si="78"/>
        <v>1</v>
      </c>
      <c r="S171" s="19">
        <f t="shared" si="71"/>
        <v>0</v>
      </c>
      <c r="T171" s="144"/>
    </row>
    <row r="172" spans="1:20" ht="15" thickBot="1">
      <c r="A172" s="50">
        <v>44730</v>
      </c>
      <c r="D172" s="128">
        <v>0.14199999999999999</v>
      </c>
      <c r="E172" s="129">
        <v>2890.6060000000002</v>
      </c>
      <c r="F172" s="130">
        <v>83.825000000000003</v>
      </c>
      <c r="G172" s="53"/>
      <c r="H172" s="53">
        <v>4140</v>
      </c>
      <c r="I172" s="53">
        <f t="shared" si="76"/>
        <v>35368.020000000499</v>
      </c>
      <c r="J172" s="53">
        <f t="shared" si="77"/>
        <v>1146.7800000000043</v>
      </c>
      <c r="K172" s="54">
        <f t="shared" si="72"/>
        <v>3.2424206953060648E-2</v>
      </c>
      <c r="L172" s="53">
        <f t="shared" si="73"/>
        <v>1146.7800000000043</v>
      </c>
      <c r="M172" s="54">
        <f t="shared" si="74"/>
        <v>3.2424206953060648E-2</v>
      </c>
      <c r="N172" s="55">
        <v>66068309</v>
      </c>
      <c r="O172" s="55">
        <f t="shared" si="70"/>
        <v>0</v>
      </c>
      <c r="P172" s="181" t="s">
        <v>48</v>
      </c>
      <c r="Q172" s="182"/>
      <c r="R172" s="19">
        <f t="shared" si="78"/>
        <v>1</v>
      </c>
      <c r="S172" s="19">
        <f t="shared" si="71"/>
        <v>0</v>
      </c>
      <c r="T172" s="145"/>
    </row>
    <row r="173" spans="1:20" ht="15" thickBot="1">
      <c r="A173" s="50">
        <v>44731</v>
      </c>
      <c r="D173" s="128">
        <v>0.14199999999999999</v>
      </c>
      <c r="E173" s="129">
        <v>2898.6410000000001</v>
      </c>
      <c r="F173" s="130">
        <v>84.055999999999997</v>
      </c>
      <c r="G173" s="53"/>
      <c r="H173" s="53">
        <v>4140</v>
      </c>
      <c r="I173" s="53">
        <f t="shared" si="76"/>
        <v>33264.899999999398</v>
      </c>
      <c r="J173" s="53">
        <f t="shared" si="77"/>
        <v>956.33999999997741</v>
      </c>
      <c r="K173" s="54">
        <f t="shared" si="72"/>
        <v>2.8749222153080116E-2</v>
      </c>
      <c r="L173" s="53">
        <f t="shared" si="73"/>
        <v>956.33999999997741</v>
      </c>
      <c r="M173" s="54">
        <f t="shared" si="74"/>
        <v>2.8749222153080116E-2</v>
      </c>
      <c r="N173" s="55">
        <v>66068309</v>
      </c>
      <c r="O173" s="55">
        <f t="shared" si="70"/>
        <v>0</v>
      </c>
      <c r="P173" s="183"/>
      <c r="Q173" s="184"/>
      <c r="R173" s="19">
        <f t="shared" si="78"/>
        <v>1</v>
      </c>
      <c r="S173" s="19">
        <f t="shared" si="71"/>
        <v>0</v>
      </c>
      <c r="T173" s="145"/>
    </row>
    <row r="174" spans="1:20" ht="15" thickBot="1">
      <c r="A174" s="50">
        <v>44732</v>
      </c>
      <c r="D174" s="128">
        <v>0.14199999999999999</v>
      </c>
      <c r="E174" s="129">
        <v>2906.7130000000002</v>
      </c>
      <c r="F174" s="130">
        <v>84.356999999999999</v>
      </c>
      <c r="G174" s="53"/>
      <c r="H174" s="53">
        <v>4140</v>
      </c>
      <c r="I174" s="53">
        <f t="shared" si="76"/>
        <v>33418.080000000482</v>
      </c>
      <c r="J174" s="53">
        <f t="shared" si="77"/>
        <v>1246.1400000000081</v>
      </c>
      <c r="K174" s="54">
        <f t="shared" si="72"/>
        <v>3.7289395441030423E-2</v>
      </c>
      <c r="L174" s="53">
        <f t="shared" si="73"/>
        <v>1246.1400000000081</v>
      </c>
      <c r="M174" s="54">
        <f t="shared" si="74"/>
        <v>3.7289395441030423E-2</v>
      </c>
      <c r="N174" s="55">
        <v>66068309</v>
      </c>
      <c r="O174" s="55">
        <f t="shared" si="70"/>
        <v>0</v>
      </c>
      <c r="P174" s="62" t="s">
        <v>31</v>
      </c>
      <c r="Q174" s="62" t="s">
        <v>32</v>
      </c>
      <c r="R174" s="19">
        <f t="shared" si="78"/>
        <v>1</v>
      </c>
      <c r="S174" s="19">
        <f t="shared" si="71"/>
        <v>0</v>
      </c>
      <c r="T174" s="144"/>
    </row>
    <row r="175" spans="1:20" ht="15" thickBot="1">
      <c r="A175" s="50">
        <v>44733</v>
      </c>
      <c r="D175" s="128">
        <v>0.14199999999999999</v>
      </c>
      <c r="E175" s="129">
        <v>2914.82</v>
      </c>
      <c r="F175" s="130">
        <v>84.641000000000005</v>
      </c>
      <c r="G175" s="53"/>
      <c r="H175" s="53">
        <v>4140</v>
      </c>
      <c r="I175" s="53">
        <f t="shared" si="76"/>
        <v>33562.97999999988</v>
      </c>
      <c r="J175" s="53">
        <f t="shared" si="77"/>
        <v>1175.760000000025</v>
      </c>
      <c r="K175" s="54">
        <f t="shared" si="72"/>
        <v>3.5031454298755031E-2</v>
      </c>
      <c r="L175" s="53">
        <f t="shared" si="73"/>
        <v>1175.760000000025</v>
      </c>
      <c r="M175" s="54">
        <f t="shared" si="74"/>
        <v>3.5031454298755031E-2</v>
      </c>
      <c r="N175" s="55">
        <v>66068309</v>
      </c>
      <c r="O175" s="55">
        <f t="shared" si="70"/>
        <v>0</v>
      </c>
      <c r="P175" s="63">
        <f>IF(J155="",0,+SUM(J155:J184)/SUM(I155:I184))</f>
        <v>3.1999116701698659E-2</v>
      </c>
      <c r="Q175" s="63">
        <f>IF(L155="",0,+SUM(L155:L184)/SUM(I155:I184))</f>
        <v>3.1999116701698659E-2</v>
      </c>
      <c r="R175" s="19">
        <f t="shared" si="78"/>
        <v>1</v>
      </c>
      <c r="S175" s="19">
        <f t="shared" si="71"/>
        <v>0</v>
      </c>
      <c r="T175" s="144"/>
    </row>
    <row r="176" spans="1:20" ht="15" thickBot="1">
      <c r="A176" s="50">
        <v>44734</v>
      </c>
      <c r="D176" s="128">
        <v>0.14199999999999999</v>
      </c>
      <c r="E176" s="129">
        <v>2923.3780000000002</v>
      </c>
      <c r="F176" s="130">
        <v>84.912999999999997</v>
      </c>
      <c r="G176" s="53"/>
      <c r="H176" s="53">
        <v>4140</v>
      </c>
      <c r="I176" s="53">
        <f t="shared" si="76"/>
        <v>35430.119999999966</v>
      </c>
      <c r="J176" s="53">
        <f t="shared" si="77"/>
        <v>1126.0799999999642</v>
      </c>
      <c r="K176" s="54">
        <f t="shared" si="72"/>
        <v>3.1783126898807156E-2</v>
      </c>
      <c r="L176" s="53">
        <f t="shared" si="73"/>
        <v>1126.0799999999642</v>
      </c>
      <c r="M176" s="54">
        <f t="shared" si="74"/>
        <v>3.1783126898807156E-2</v>
      </c>
      <c r="N176" s="55">
        <v>66068309</v>
      </c>
      <c r="O176" s="55">
        <f t="shared" si="70"/>
        <v>0</v>
      </c>
      <c r="P176" s="64" t="e">
        <f>IF(J155="",0,+(+(LOOKUP(9.99999999999999E+307,E155:E184)-E154))/(+(LOOKUP(9.99999999999999E+307,D155:D184)-D154)))</f>
        <v>#DIV/0!</v>
      </c>
      <c r="Q176" s="64" t="e">
        <f>IF(L155="",0,+(+(LOOKUP(9.99999999999999E+307,F155:F184)-F154))/(+(LOOKUP(9.99999999999999E+307,D155:D184)-D154)))</f>
        <v>#DIV/0!</v>
      </c>
      <c r="R176" s="19">
        <f t="shared" si="78"/>
        <v>1</v>
      </c>
      <c r="S176" s="19">
        <f t="shared" si="71"/>
        <v>0</v>
      </c>
      <c r="T176" s="145"/>
    </row>
    <row r="177" spans="1:20" ht="15" thickBot="1">
      <c r="A177" s="50">
        <v>44735</v>
      </c>
      <c r="D177" s="128">
        <v>0.14199999999999999</v>
      </c>
      <c r="E177" s="129">
        <v>2931.83</v>
      </c>
      <c r="F177" s="130">
        <v>85.177999999999997</v>
      </c>
      <c r="G177" s="53"/>
      <c r="H177" s="53">
        <v>4140</v>
      </c>
      <c r="I177" s="53">
        <f t="shared" si="76"/>
        <v>34991.279999999053</v>
      </c>
      <c r="J177" s="53">
        <f t="shared" si="77"/>
        <v>1097.1000000000024</v>
      </c>
      <c r="K177" s="54">
        <f t="shared" si="72"/>
        <v>3.1353525792712701E-2</v>
      </c>
      <c r="L177" s="53">
        <f t="shared" si="73"/>
        <v>1097.1000000000024</v>
      </c>
      <c r="M177" s="54">
        <f t="shared" si="74"/>
        <v>3.1353525792712701E-2</v>
      </c>
      <c r="N177" s="55">
        <v>66068309</v>
      </c>
      <c r="O177" s="55">
        <f t="shared" si="70"/>
        <v>0</v>
      </c>
      <c r="P177" s="65" t="s">
        <v>33</v>
      </c>
      <c r="Q177" s="66" t="s">
        <v>34</v>
      </c>
      <c r="R177" s="19">
        <f t="shared" si="78"/>
        <v>1</v>
      </c>
      <c r="S177" s="19">
        <f t="shared" si="71"/>
        <v>0</v>
      </c>
      <c r="T177" s="145"/>
    </row>
    <row r="178" spans="1:20">
      <c r="A178" s="50">
        <v>44736</v>
      </c>
      <c r="D178" s="128">
        <v>0.14199999999999999</v>
      </c>
      <c r="E178" s="129">
        <v>2939.4340000000002</v>
      </c>
      <c r="F178" s="130">
        <v>85.340999999999994</v>
      </c>
      <c r="G178" s="53"/>
      <c r="H178" s="53">
        <v>4140</v>
      </c>
      <c r="I178" s="53">
        <f t="shared" si="76"/>
        <v>31480.560000001115</v>
      </c>
      <c r="J178" s="53">
        <f t="shared" si="77"/>
        <v>674.81999999998629</v>
      </c>
      <c r="K178" s="54">
        <f t="shared" si="72"/>
        <v>2.1436086270382813E-2</v>
      </c>
      <c r="L178" s="53">
        <f t="shared" si="73"/>
        <v>674.81999999998629</v>
      </c>
      <c r="M178" s="54">
        <f t="shared" si="74"/>
        <v>2.1436086270382813E-2</v>
      </c>
      <c r="N178" s="55">
        <v>66068309</v>
      </c>
      <c r="O178" s="55">
        <f t="shared" si="70"/>
        <v>0</v>
      </c>
      <c r="P178" s="67">
        <f>IF(D155="",0,+(LOOKUP(9.99999999999999E+307,N154:N184)-N154))</f>
        <v>3710</v>
      </c>
      <c r="Q178" s="68">
        <f>IF(P178="",0,+P178/SUM(R155:R184))</f>
        <v>123.66666666666667</v>
      </c>
      <c r="R178" s="19">
        <f t="shared" si="78"/>
        <v>1</v>
      </c>
      <c r="S178" s="19">
        <f t="shared" si="71"/>
        <v>0</v>
      </c>
      <c r="T178" s="145"/>
    </row>
    <row r="179" spans="1:20">
      <c r="A179" s="50">
        <v>44737</v>
      </c>
      <c r="D179" s="128">
        <v>0.14199999999999999</v>
      </c>
      <c r="E179" s="129">
        <v>2947.41</v>
      </c>
      <c r="F179" s="130">
        <v>85.587000000000003</v>
      </c>
      <c r="G179" s="53"/>
      <c r="H179" s="53">
        <v>4140</v>
      </c>
      <c r="I179" s="53">
        <f t="shared" si="76"/>
        <v>33020.639999998588</v>
      </c>
      <c r="J179" s="53">
        <f t="shared" si="77"/>
        <v>1018.4400000000386</v>
      </c>
      <c r="K179" s="54">
        <f t="shared" si="72"/>
        <v>3.0842527582750731E-2</v>
      </c>
      <c r="L179" s="53">
        <f t="shared" si="73"/>
        <v>1018.4400000000386</v>
      </c>
      <c r="M179" s="54">
        <f t="shared" si="74"/>
        <v>3.0842527582750731E-2</v>
      </c>
      <c r="N179" s="55">
        <v>66068309</v>
      </c>
      <c r="O179" s="55">
        <f t="shared" si="70"/>
        <v>0</v>
      </c>
      <c r="P179" s="69" t="s">
        <v>35</v>
      </c>
      <c r="Q179" s="70" t="s">
        <v>43</v>
      </c>
      <c r="R179" s="19">
        <f t="shared" si="78"/>
        <v>1</v>
      </c>
      <c r="S179" s="19">
        <f t="shared" si="71"/>
        <v>0</v>
      </c>
      <c r="T179" s="145"/>
    </row>
    <row r="180" spans="1:20">
      <c r="A180" s="50">
        <v>44738</v>
      </c>
      <c r="D180" s="128">
        <v>0.14199999999999999</v>
      </c>
      <c r="E180" s="129">
        <v>2954.7359999999999</v>
      </c>
      <c r="F180" s="130">
        <v>85.847999999999999</v>
      </c>
      <c r="G180" s="53"/>
      <c r="H180" s="53">
        <v>4140</v>
      </c>
      <c r="I180" s="53">
        <f t="shared" si="76"/>
        <v>30329.64000000009</v>
      </c>
      <c r="J180" s="53">
        <f t="shared" si="77"/>
        <v>1080.5399999999822</v>
      </c>
      <c r="K180" s="54">
        <f t="shared" si="72"/>
        <v>3.5626535626534936E-2</v>
      </c>
      <c r="L180" s="53">
        <f t="shared" si="73"/>
        <v>1080.5399999999822</v>
      </c>
      <c r="M180" s="54">
        <f t="shared" si="74"/>
        <v>3.5626535626534936E-2</v>
      </c>
      <c r="N180" s="55">
        <v>66068309</v>
      </c>
      <c r="O180" s="55">
        <f t="shared" si="70"/>
        <v>0</v>
      </c>
      <c r="P180" s="71">
        <f>IF(D154="",0,+(LOOKUP(9.99999999999999E+307,D154:D184)-D154))*4140</f>
        <v>0</v>
      </c>
      <c r="Q180" s="72">
        <f>IF(P180="",0,+P180/SUM(R155:R184))</f>
        <v>0</v>
      </c>
      <c r="R180" s="19">
        <f t="shared" si="78"/>
        <v>1</v>
      </c>
      <c r="S180" s="19">
        <f t="shared" si="71"/>
        <v>0</v>
      </c>
      <c r="T180" s="144"/>
    </row>
    <row r="181" spans="1:20">
      <c r="A181" s="50">
        <v>44739</v>
      </c>
      <c r="D181" s="128">
        <v>0.14199999999999999</v>
      </c>
      <c r="E181" s="129">
        <v>2962.9270000000001</v>
      </c>
      <c r="F181" s="130">
        <v>86.031000000000006</v>
      </c>
      <c r="G181" s="53"/>
      <c r="H181" s="53">
        <v>4140</v>
      </c>
      <c r="I181" s="53">
        <f t="shared" si="76"/>
        <v>33910.740000001068</v>
      </c>
      <c r="J181" s="53">
        <f t="shared" si="77"/>
        <v>757.62000000002877</v>
      </c>
      <c r="K181" s="54">
        <f t="shared" si="72"/>
        <v>2.2341594432914318E-2</v>
      </c>
      <c r="L181" s="53">
        <f t="shared" si="73"/>
        <v>757.62000000002877</v>
      </c>
      <c r="M181" s="54">
        <f t="shared" si="74"/>
        <v>2.2341594432914318E-2</v>
      </c>
      <c r="N181" s="55">
        <v>66068309</v>
      </c>
      <c r="O181" s="55">
        <f t="shared" si="70"/>
        <v>0</v>
      </c>
      <c r="P181" s="146" t="s">
        <v>37</v>
      </c>
      <c r="Q181" s="147" t="s">
        <v>44</v>
      </c>
      <c r="R181" s="19">
        <f t="shared" si="78"/>
        <v>1</v>
      </c>
      <c r="S181" s="19">
        <f t="shared" si="71"/>
        <v>0</v>
      </c>
      <c r="T181" s="144"/>
    </row>
    <row r="182" spans="1:20">
      <c r="A182" s="50">
        <v>44740</v>
      </c>
      <c r="D182" s="128">
        <v>0.14199999999999999</v>
      </c>
      <c r="E182" s="129">
        <v>2970.87</v>
      </c>
      <c r="F182" s="130">
        <v>86.284999999999997</v>
      </c>
      <c r="G182" s="53"/>
      <c r="H182" s="53">
        <v>4140</v>
      </c>
      <c r="I182" s="53">
        <f t="shared" si="76"/>
        <v>32884.019999998993</v>
      </c>
      <c r="J182" s="53">
        <f t="shared" si="77"/>
        <v>1051.5599999999613</v>
      </c>
      <c r="K182" s="54">
        <f t="shared" si="72"/>
        <v>3.1977842125141438E-2</v>
      </c>
      <c r="L182" s="53">
        <f t="shared" si="73"/>
        <v>1051.5599999999613</v>
      </c>
      <c r="M182" s="54">
        <f t="shared" si="74"/>
        <v>3.1977842125141438E-2</v>
      </c>
      <c r="N182" s="55">
        <v>66072019</v>
      </c>
      <c r="O182" s="55">
        <f t="shared" si="70"/>
        <v>3710</v>
      </c>
      <c r="P182" s="73">
        <f>P180*Q185</f>
        <v>0</v>
      </c>
      <c r="Q182" s="74">
        <f>IF(Q34="",0,(SUM('[1]Günlük Tüketim'!H155:H184)*1.62)/SUM(O155:O184))</f>
        <v>0</v>
      </c>
      <c r="R182" s="19">
        <f t="shared" si="78"/>
        <v>1</v>
      </c>
      <c r="S182" s="19">
        <f t="shared" si="71"/>
        <v>0</v>
      </c>
      <c r="T182" s="144"/>
    </row>
    <row r="183" spans="1:20">
      <c r="A183" s="50">
        <v>44741</v>
      </c>
      <c r="D183" s="128">
        <v>0.14199999999999999</v>
      </c>
      <c r="E183" s="129">
        <v>2979.3980000000001</v>
      </c>
      <c r="F183" s="130">
        <v>86.554000000000002</v>
      </c>
      <c r="G183" s="53"/>
      <c r="H183" s="53">
        <v>4140</v>
      </c>
      <c r="I183" s="53">
        <f t="shared" si="76"/>
        <v>35305.920000001024</v>
      </c>
      <c r="J183" s="53">
        <f t="shared" si="77"/>
        <v>1113.6600000000226</v>
      </c>
      <c r="K183" s="54">
        <f t="shared" si="72"/>
        <v>3.1543151969980962E-2</v>
      </c>
      <c r="L183" s="53">
        <f t="shared" si="73"/>
        <v>1113.6600000000226</v>
      </c>
      <c r="M183" s="54">
        <f t="shared" si="74"/>
        <v>3.1543151969980962E-2</v>
      </c>
      <c r="N183" s="55">
        <v>66072019</v>
      </c>
      <c r="O183" s="55">
        <f t="shared" si="70"/>
        <v>0</v>
      </c>
      <c r="P183" s="148" t="s">
        <v>39</v>
      </c>
      <c r="Q183" s="149" t="s">
        <v>40</v>
      </c>
      <c r="R183" s="19">
        <f t="shared" si="78"/>
        <v>1</v>
      </c>
      <c r="S183" s="19">
        <f t="shared" si="71"/>
        <v>0</v>
      </c>
      <c r="T183" s="144"/>
    </row>
    <row r="184" spans="1:20">
      <c r="A184" s="50">
        <v>44742</v>
      </c>
      <c r="D184" s="153">
        <v>0.14199999999999999</v>
      </c>
      <c r="E184" s="153">
        <v>2987.8969999999999</v>
      </c>
      <c r="F184" s="153">
        <v>86.822999999999993</v>
      </c>
      <c r="G184" s="154"/>
      <c r="H184" s="155">
        <v>4140</v>
      </c>
      <c r="I184" s="155">
        <f t="shared" si="76"/>
        <v>35185.859999999157</v>
      </c>
      <c r="J184" s="155">
        <f t="shared" si="77"/>
        <v>1113.6599999999637</v>
      </c>
      <c r="K184" s="156">
        <f t="shared" si="72"/>
        <v>3.1650782444993253E-2</v>
      </c>
      <c r="L184" s="155">
        <f t="shared" si="73"/>
        <v>1113.6599999999637</v>
      </c>
      <c r="M184" s="156">
        <f t="shared" si="74"/>
        <v>3.1650782444993253E-2</v>
      </c>
      <c r="N184" s="157">
        <v>66072019</v>
      </c>
      <c r="O184" s="161">
        <f>IF(N184="","",N184-N183)</f>
        <v>0</v>
      </c>
      <c r="P184" s="111">
        <f>(P182+Q180*SUM(S155:S184)*Q185)</f>
        <v>0</v>
      </c>
      <c r="Q184" s="79">
        <f>Q180*30</f>
        <v>0</v>
      </c>
      <c r="R184" s="19">
        <f t="shared" si="78"/>
        <v>1</v>
      </c>
      <c r="S184" s="19">
        <f t="shared" si="71"/>
        <v>0</v>
      </c>
      <c r="T184" s="144"/>
    </row>
    <row r="185" spans="1:20">
      <c r="A185" s="50">
        <v>44743</v>
      </c>
      <c r="D185" s="128">
        <v>0.14199999999999999</v>
      </c>
      <c r="E185" s="129">
        <v>2997.36</v>
      </c>
      <c r="F185" s="130">
        <v>87.146000000000001</v>
      </c>
      <c r="G185" s="53"/>
      <c r="H185" s="53">
        <v>4140</v>
      </c>
      <c r="I185" s="53">
        <f t="shared" si="76"/>
        <v>39176.8200000008</v>
      </c>
      <c r="J185" s="53">
        <f t="shared" si="77"/>
        <v>1337.2200000000312</v>
      </c>
      <c r="K185" s="54">
        <f t="shared" si="72"/>
        <v>3.4132938814329591E-2</v>
      </c>
      <c r="L185" s="53">
        <f t="shared" si="73"/>
        <v>1337.2200000000312</v>
      </c>
      <c r="M185" s="54">
        <f t="shared" si="74"/>
        <v>3.4132938814329591E-2</v>
      </c>
      <c r="N185" s="55">
        <v>66072019</v>
      </c>
      <c r="O185" s="55">
        <f t="shared" si="70"/>
        <v>0</v>
      </c>
      <c r="P185" s="95" t="s">
        <v>41</v>
      </c>
      <c r="Q185" s="96">
        <v>0.56999999999999995</v>
      </c>
      <c r="R185" s="19">
        <f t="shared" si="78"/>
        <v>1</v>
      </c>
      <c r="S185" s="19">
        <f t="shared" si="71"/>
        <v>0</v>
      </c>
      <c r="T185" s="144"/>
    </row>
    <row r="186" spans="1:20">
      <c r="A186" s="50">
        <v>44744</v>
      </c>
      <c r="D186" s="128">
        <v>0.14199999999999999</v>
      </c>
      <c r="E186" s="129">
        <v>3006.6170000000002</v>
      </c>
      <c r="F186" s="130">
        <v>87.447999999999993</v>
      </c>
      <c r="G186" s="53"/>
      <c r="H186" s="53">
        <v>4140</v>
      </c>
      <c r="I186" s="53">
        <f t="shared" si="76"/>
        <v>38323.980000000258</v>
      </c>
      <c r="J186" s="53">
        <f t="shared" si="77"/>
        <v>1250.2799999999688</v>
      </c>
      <c r="K186" s="54">
        <f t="shared" si="72"/>
        <v>3.2623960246299065E-2</v>
      </c>
      <c r="L186" s="53">
        <f t="shared" si="73"/>
        <v>1250.2799999999688</v>
      </c>
      <c r="M186" s="54">
        <f t="shared" si="74"/>
        <v>3.2623960246299065E-2</v>
      </c>
      <c r="N186" s="55">
        <v>66072019</v>
      </c>
      <c r="O186" s="55">
        <f t="shared" si="70"/>
        <v>0</v>
      </c>
      <c r="P186" s="97"/>
      <c r="Q186" s="98"/>
      <c r="R186" s="19">
        <f t="shared" si="78"/>
        <v>1</v>
      </c>
      <c r="S186" s="19">
        <f t="shared" si="71"/>
        <v>0</v>
      </c>
      <c r="T186" s="144"/>
    </row>
    <row r="187" spans="1:20">
      <c r="A187" s="50">
        <v>44745</v>
      </c>
      <c r="D187" s="128">
        <v>0.14199999999999999</v>
      </c>
      <c r="E187" s="129">
        <v>3015.116</v>
      </c>
      <c r="F187" s="130">
        <v>87.731999999999999</v>
      </c>
      <c r="G187" s="53"/>
      <c r="H187" s="53">
        <v>4140</v>
      </c>
      <c r="I187" s="53">
        <f t="shared" si="76"/>
        <v>35185.859999999157</v>
      </c>
      <c r="J187" s="53">
        <f t="shared" si="77"/>
        <v>1175.760000000025</v>
      </c>
      <c r="K187" s="54">
        <f t="shared" si="72"/>
        <v>3.3415695964232599E-2</v>
      </c>
      <c r="L187" s="53">
        <f t="shared" si="73"/>
        <v>1175.760000000025</v>
      </c>
      <c r="M187" s="54">
        <f t="shared" si="74"/>
        <v>3.3415695964232599E-2</v>
      </c>
      <c r="N187" s="55">
        <v>66072019</v>
      </c>
      <c r="O187" s="55">
        <f t="shared" si="70"/>
        <v>0</v>
      </c>
      <c r="P187" s="99"/>
      <c r="Q187" s="100"/>
      <c r="R187" s="19">
        <f t="shared" si="78"/>
        <v>1</v>
      </c>
      <c r="S187" s="19">
        <f t="shared" si="71"/>
        <v>0</v>
      </c>
      <c r="T187" s="145"/>
    </row>
    <row r="188" spans="1:20">
      <c r="A188" s="50">
        <v>44746</v>
      </c>
      <c r="D188" s="128">
        <v>0.14199999999999999</v>
      </c>
      <c r="E188" s="129">
        <v>3023.663</v>
      </c>
      <c r="F188" s="130">
        <v>88.006</v>
      </c>
      <c r="G188" s="53"/>
      <c r="H188" s="53">
        <v>4140</v>
      </c>
      <c r="I188" s="53">
        <f t="shared" si="76"/>
        <v>35384.580000000104</v>
      </c>
      <c r="J188" s="53">
        <f t="shared" si="77"/>
        <v>1134.3600000000038</v>
      </c>
      <c r="K188" s="54">
        <f t="shared" si="72"/>
        <v>3.2058032058032072E-2</v>
      </c>
      <c r="L188" s="53">
        <f t="shared" si="73"/>
        <v>1134.3600000000038</v>
      </c>
      <c r="M188" s="54">
        <f t="shared" si="74"/>
        <v>3.2058032058032072E-2</v>
      </c>
      <c r="N188" s="55">
        <v>66072019</v>
      </c>
      <c r="O188" s="55">
        <f t="shared" si="70"/>
        <v>0</v>
      </c>
      <c r="P188" s="99"/>
      <c r="Q188" s="100"/>
      <c r="R188" s="19">
        <f t="shared" si="78"/>
        <v>1</v>
      </c>
      <c r="S188" s="19">
        <f t="shared" si="71"/>
        <v>0</v>
      </c>
      <c r="T188" s="145"/>
    </row>
    <row r="189" spans="1:20">
      <c r="A189" s="50">
        <v>44747</v>
      </c>
      <c r="D189" s="128">
        <v>0.14199999999999999</v>
      </c>
      <c r="E189" s="129">
        <v>3032.8440000000001</v>
      </c>
      <c r="F189" s="130">
        <v>88.366</v>
      </c>
      <c r="G189" s="53"/>
      <c r="H189" s="53">
        <v>4140</v>
      </c>
      <c r="I189" s="53">
        <f t="shared" si="76"/>
        <v>38009.340000000164</v>
      </c>
      <c r="J189" s="53">
        <f t="shared" si="77"/>
        <v>1490.3999999999976</v>
      </c>
      <c r="K189" s="54">
        <f t="shared" si="72"/>
        <v>3.92114148785533E-2</v>
      </c>
      <c r="L189" s="53">
        <f t="shared" si="73"/>
        <v>1490.3999999999976</v>
      </c>
      <c r="M189" s="54">
        <f t="shared" si="74"/>
        <v>3.92114148785533E-2</v>
      </c>
      <c r="N189" s="55">
        <v>66072019</v>
      </c>
      <c r="O189" s="55">
        <f t="shared" si="70"/>
        <v>0</v>
      </c>
      <c r="P189" s="99"/>
      <c r="Q189" s="100"/>
      <c r="R189" s="19">
        <f t="shared" si="78"/>
        <v>1</v>
      </c>
      <c r="S189" s="19">
        <f t="shared" si="71"/>
        <v>0</v>
      </c>
      <c r="T189" s="144"/>
    </row>
    <row r="190" spans="1:20">
      <c r="A190" s="50">
        <v>44748</v>
      </c>
      <c r="D190" s="128">
        <v>0.14199999999999999</v>
      </c>
      <c r="E190" s="129">
        <v>3041.8969999999999</v>
      </c>
      <c r="F190" s="130">
        <v>88.710999999999999</v>
      </c>
      <c r="G190" s="53"/>
      <c r="H190" s="53">
        <v>4140</v>
      </c>
      <c r="I190" s="53">
        <f t="shared" si="76"/>
        <v>37479.419999999518</v>
      </c>
      <c r="J190" s="53">
        <f t="shared" si="77"/>
        <v>1428.2999999999952</v>
      </c>
      <c r="K190" s="54">
        <f t="shared" si="72"/>
        <v>3.810891417209801E-2</v>
      </c>
      <c r="L190" s="53">
        <f t="shared" si="73"/>
        <v>1428.2999999999952</v>
      </c>
      <c r="M190" s="54">
        <f t="shared" si="74"/>
        <v>3.810891417209801E-2</v>
      </c>
      <c r="N190" s="55">
        <v>66072019</v>
      </c>
      <c r="O190" s="55">
        <f t="shared" si="70"/>
        <v>0</v>
      </c>
      <c r="P190" s="84"/>
      <c r="Q190" s="85"/>
      <c r="R190" s="19">
        <f t="shared" si="78"/>
        <v>1</v>
      </c>
      <c r="S190" s="19">
        <f t="shared" si="71"/>
        <v>0</v>
      </c>
      <c r="T190" s="144"/>
    </row>
    <row r="191" spans="1:20">
      <c r="A191" s="50">
        <v>44749</v>
      </c>
      <c r="D191" s="128">
        <v>0.14199999999999999</v>
      </c>
      <c r="E191" s="129">
        <v>3051.6460000000002</v>
      </c>
      <c r="F191" s="130">
        <v>89.05</v>
      </c>
      <c r="G191" s="53"/>
      <c r="H191" s="53">
        <v>4140</v>
      </c>
      <c r="I191" s="53">
        <f t="shared" si="76"/>
        <v>40360.860000001041</v>
      </c>
      <c r="J191" s="53">
        <f t="shared" si="77"/>
        <v>1403.4599999999944</v>
      </c>
      <c r="K191" s="54">
        <f t="shared" si="72"/>
        <v>3.4772797209969217E-2</v>
      </c>
      <c r="L191" s="53">
        <f t="shared" si="73"/>
        <v>1403.4599999999944</v>
      </c>
      <c r="M191" s="54">
        <f t="shared" si="74"/>
        <v>3.4772797209969217E-2</v>
      </c>
      <c r="N191" s="55">
        <v>66072019</v>
      </c>
      <c r="O191" s="55">
        <f t="shared" si="70"/>
        <v>0</v>
      </c>
      <c r="P191" s="86"/>
      <c r="Q191" s="87"/>
      <c r="R191" s="19">
        <f t="shared" si="78"/>
        <v>1</v>
      </c>
      <c r="S191" s="19">
        <f t="shared" si="71"/>
        <v>0</v>
      </c>
      <c r="T191" s="144"/>
    </row>
    <row r="192" spans="1:20">
      <c r="A192" s="50">
        <v>44750</v>
      </c>
      <c r="D192" s="128">
        <v>0.14199999999999999</v>
      </c>
      <c r="E192" s="129">
        <v>3059.84</v>
      </c>
      <c r="F192" s="130">
        <v>89.347999999999999</v>
      </c>
      <c r="G192" s="53"/>
      <c r="H192" s="53">
        <v>4140</v>
      </c>
      <c r="I192" s="53">
        <f t="shared" si="76"/>
        <v>33923.159999999836</v>
      </c>
      <c r="J192" s="53">
        <f t="shared" si="77"/>
        <v>1233.7200000000075</v>
      </c>
      <c r="K192" s="54">
        <f t="shared" si="72"/>
        <v>3.6368074200635009E-2</v>
      </c>
      <c r="L192" s="53">
        <f t="shared" si="73"/>
        <v>1233.7200000000075</v>
      </c>
      <c r="M192" s="54">
        <f t="shared" si="74"/>
        <v>3.6368074200635009E-2</v>
      </c>
      <c r="N192" s="55">
        <v>66072019</v>
      </c>
      <c r="O192" s="55">
        <f t="shared" si="70"/>
        <v>0</v>
      </c>
      <c r="P192" s="86"/>
      <c r="Q192" s="85"/>
      <c r="R192" s="19">
        <f t="shared" si="78"/>
        <v>1</v>
      </c>
      <c r="S192" s="19">
        <f t="shared" si="71"/>
        <v>0</v>
      </c>
      <c r="T192" s="145"/>
    </row>
    <row r="193" spans="1:20">
      <c r="A193" s="50">
        <v>44751</v>
      </c>
      <c r="D193" s="128">
        <v>0.14199999999999999</v>
      </c>
      <c r="E193" s="129">
        <v>3068.49</v>
      </c>
      <c r="F193" s="130">
        <v>89.661000000000001</v>
      </c>
      <c r="G193" s="53"/>
      <c r="H193" s="53">
        <v>4140</v>
      </c>
      <c r="I193" s="53">
        <f t="shared" si="76"/>
        <v>35810.999999998494</v>
      </c>
      <c r="J193" s="53">
        <f t="shared" si="77"/>
        <v>1295.8200000000099</v>
      </c>
      <c r="K193" s="54">
        <f t="shared" si="72"/>
        <v>3.6184971098267696E-2</v>
      </c>
      <c r="L193" s="53">
        <f t="shared" si="73"/>
        <v>1295.8200000000099</v>
      </c>
      <c r="M193" s="54">
        <f t="shared" si="74"/>
        <v>3.6184971098267696E-2</v>
      </c>
      <c r="N193" s="55">
        <v>66072019</v>
      </c>
      <c r="O193" s="55">
        <f t="shared" si="70"/>
        <v>0</v>
      </c>
      <c r="P193" s="99"/>
      <c r="Q193" s="101"/>
      <c r="R193" s="19">
        <f t="shared" si="78"/>
        <v>1</v>
      </c>
      <c r="S193" s="19">
        <f t="shared" si="71"/>
        <v>0</v>
      </c>
      <c r="T193" s="145"/>
    </row>
    <row r="194" spans="1:20">
      <c r="A194" s="50">
        <v>44752</v>
      </c>
      <c r="D194" s="128">
        <v>0.14199999999999999</v>
      </c>
      <c r="E194" s="129">
        <v>3076.598</v>
      </c>
      <c r="F194" s="130">
        <v>89.864000000000004</v>
      </c>
      <c r="G194" s="53"/>
      <c r="H194" s="53">
        <v>4140</v>
      </c>
      <c r="I194" s="53">
        <f t="shared" si="76"/>
        <v>33567.120000000723</v>
      </c>
      <c r="J194" s="53">
        <f t="shared" si="77"/>
        <v>840.42000000001224</v>
      </c>
      <c r="K194" s="54">
        <f t="shared" si="72"/>
        <v>2.5037000493339737E-2</v>
      </c>
      <c r="L194" s="53">
        <f t="shared" si="73"/>
        <v>840.42000000001224</v>
      </c>
      <c r="M194" s="54">
        <f t="shared" si="74"/>
        <v>2.5037000493339737E-2</v>
      </c>
      <c r="N194" s="55">
        <v>66072019</v>
      </c>
      <c r="O194" s="55">
        <f t="shared" si="70"/>
        <v>0</v>
      </c>
      <c r="P194" s="99"/>
      <c r="Q194" s="102"/>
      <c r="R194" s="19">
        <f t="shared" si="78"/>
        <v>1</v>
      </c>
      <c r="S194" s="19">
        <f t="shared" si="71"/>
        <v>0</v>
      </c>
      <c r="T194" s="144"/>
    </row>
    <row r="195" spans="1:20">
      <c r="A195" s="50">
        <v>44753</v>
      </c>
      <c r="D195" s="128">
        <v>0.14199999999999999</v>
      </c>
      <c r="E195" s="129">
        <v>3084.5369999999998</v>
      </c>
      <c r="F195" s="130">
        <v>90.12</v>
      </c>
      <c r="G195" s="53"/>
      <c r="H195" s="53">
        <v>4140</v>
      </c>
      <c r="I195" s="53">
        <f t="shared" si="76"/>
        <v>32867.459999999381</v>
      </c>
      <c r="J195" s="53">
        <f t="shared" si="77"/>
        <v>1059.8400000000011</v>
      </c>
      <c r="K195" s="54">
        <f t="shared" si="72"/>
        <v>3.2245874795314912E-2</v>
      </c>
      <c r="L195" s="53">
        <f t="shared" si="73"/>
        <v>1059.8400000000011</v>
      </c>
      <c r="M195" s="54">
        <f t="shared" si="74"/>
        <v>3.2245874795314912E-2</v>
      </c>
      <c r="N195" s="55">
        <v>66072019</v>
      </c>
      <c r="O195" s="55">
        <f t="shared" si="70"/>
        <v>0</v>
      </c>
      <c r="P195" s="99"/>
      <c r="Q195" s="102"/>
      <c r="R195" s="19">
        <f t="shared" si="78"/>
        <v>1</v>
      </c>
      <c r="S195" s="19">
        <f t="shared" si="71"/>
        <v>0</v>
      </c>
      <c r="T195" s="144"/>
    </row>
    <row r="196" spans="1:20">
      <c r="A196" s="50">
        <v>44754</v>
      </c>
      <c r="D196" s="128">
        <v>0.14199999999999999</v>
      </c>
      <c r="E196" s="129">
        <v>3092.6619999999998</v>
      </c>
      <c r="F196" s="130">
        <v>90.462000000000003</v>
      </c>
      <c r="G196" s="53"/>
      <c r="H196" s="53">
        <v>4140</v>
      </c>
      <c r="I196" s="53">
        <f t="shared" si="76"/>
        <v>33637.5</v>
      </c>
      <c r="J196" s="53">
        <f t="shared" si="77"/>
        <v>1415.8799999999949</v>
      </c>
      <c r="K196" s="54">
        <f t="shared" si="72"/>
        <v>4.209230769230754E-2</v>
      </c>
      <c r="L196" s="53">
        <f t="shared" si="73"/>
        <v>1415.8799999999949</v>
      </c>
      <c r="M196" s="54">
        <f t="shared" si="74"/>
        <v>4.209230769230754E-2</v>
      </c>
      <c r="N196" s="55">
        <v>66072019</v>
      </c>
      <c r="O196" s="55">
        <f t="shared" si="70"/>
        <v>0</v>
      </c>
      <c r="P196" s="99"/>
      <c r="Q196" s="101"/>
      <c r="R196" s="19">
        <f t="shared" si="78"/>
        <v>1</v>
      </c>
      <c r="S196" s="19">
        <f t="shared" si="71"/>
        <v>0</v>
      </c>
      <c r="T196" s="144"/>
    </row>
    <row r="197" spans="1:20">
      <c r="A197" s="50">
        <v>44755</v>
      </c>
      <c r="D197" s="128">
        <v>0.14199999999999999</v>
      </c>
      <c r="E197" s="129">
        <v>3100.788</v>
      </c>
      <c r="F197" s="130">
        <v>90.685000000000002</v>
      </c>
      <c r="G197" s="53"/>
      <c r="H197" s="53">
        <v>4140</v>
      </c>
      <c r="I197" s="53">
        <f t="shared" si="76"/>
        <v>33641.640000000843</v>
      </c>
      <c r="J197" s="53">
        <f t="shared" si="77"/>
        <v>923.21999999999571</v>
      </c>
      <c r="K197" s="54">
        <f t="shared" si="72"/>
        <v>2.7442776273688577E-2</v>
      </c>
      <c r="L197" s="53">
        <f t="shared" si="73"/>
        <v>923.21999999999571</v>
      </c>
      <c r="M197" s="54">
        <f t="shared" si="74"/>
        <v>2.7442776273688577E-2</v>
      </c>
      <c r="N197" s="55">
        <v>66072019</v>
      </c>
      <c r="O197" s="55">
        <f t="shared" si="70"/>
        <v>0</v>
      </c>
      <c r="P197" s="99"/>
      <c r="Q197" s="101"/>
      <c r="R197" s="19">
        <f t="shared" si="78"/>
        <v>1</v>
      </c>
      <c r="S197" s="19">
        <f t="shared" si="71"/>
        <v>0</v>
      </c>
      <c r="T197" s="145"/>
    </row>
    <row r="198" spans="1:20">
      <c r="A198" s="50">
        <v>44756</v>
      </c>
      <c r="D198" s="128">
        <v>0.14199999999999999</v>
      </c>
      <c r="E198" s="129">
        <v>3109.0790000000002</v>
      </c>
      <c r="F198" s="130">
        <v>90.914000000000001</v>
      </c>
      <c r="G198" s="53"/>
      <c r="H198" s="53">
        <v>4140</v>
      </c>
      <c r="I198" s="53">
        <f t="shared" si="76"/>
        <v>34324.740000000689</v>
      </c>
      <c r="J198" s="53">
        <f t="shared" si="77"/>
        <v>948.05999999999676</v>
      </c>
      <c r="K198" s="54">
        <f t="shared" si="72"/>
        <v>2.7620311180797809E-2</v>
      </c>
      <c r="L198" s="53">
        <f t="shared" si="73"/>
        <v>948.05999999999676</v>
      </c>
      <c r="M198" s="54">
        <f t="shared" si="74"/>
        <v>2.7620311180797809E-2</v>
      </c>
      <c r="N198" s="55">
        <v>66072019</v>
      </c>
      <c r="O198" s="55">
        <f t="shared" ref="O198:O261" si="79">IF(N198="","",N198-N197)</f>
        <v>0</v>
      </c>
      <c r="P198" s="99"/>
      <c r="Q198" s="102"/>
      <c r="R198" s="19">
        <f t="shared" si="78"/>
        <v>1</v>
      </c>
      <c r="S198" s="19">
        <f t="shared" si="71"/>
        <v>0</v>
      </c>
      <c r="T198" s="145"/>
    </row>
    <row r="199" spans="1:20">
      <c r="A199" s="50">
        <v>44757</v>
      </c>
      <c r="D199" s="128">
        <v>0.14199999999999999</v>
      </c>
      <c r="E199" s="129">
        <v>3117.413</v>
      </c>
      <c r="F199" s="130">
        <v>91.177999999999997</v>
      </c>
      <c r="G199" s="53"/>
      <c r="H199" s="53">
        <v>4140</v>
      </c>
      <c r="I199" s="53">
        <f t="shared" si="76"/>
        <v>34502.759999999311</v>
      </c>
      <c r="J199" s="53">
        <f t="shared" si="77"/>
        <v>1092.9599999999825</v>
      </c>
      <c r="K199" s="54">
        <f t="shared" si="72"/>
        <v>3.1677465802735907E-2</v>
      </c>
      <c r="L199" s="53">
        <f t="shared" si="73"/>
        <v>1092.9599999999825</v>
      </c>
      <c r="M199" s="54">
        <f t="shared" si="74"/>
        <v>3.1677465802735907E-2</v>
      </c>
      <c r="N199" s="55">
        <v>66072019</v>
      </c>
      <c r="O199" s="55">
        <f t="shared" si="79"/>
        <v>0</v>
      </c>
      <c r="P199" s="99"/>
      <c r="Q199" s="102"/>
      <c r="R199" s="19">
        <f t="shared" si="78"/>
        <v>1</v>
      </c>
      <c r="S199" s="19">
        <f t="shared" si="71"/>
        <v>0</v>
      </c>
      <c r="T199" s="144"/>
    </row>
    <row r="200" spans="1:20">
      <c r="A200" s="50">
        <v>44758</v>
      </c>
      <c r="D200" s="128">
        <v>0.14199999999999999</v>
      </c>
      <c r="E200" s="129">
        <v>3125.893</v>
      </c>
      <c r="F200" s="130">
        <v>91.488</v>
      </c>
      <c r="G200" s="53"/>
      <c r="H200" s="53">
        <v>4140</v>
      </c>
      <c r="I200" s="53">
        <f t="shared" si="76"/>
        <v>35107.200000000077</v>
      </c>
      <c r="J200" s="53">
        <f t="shared" si="77"/>
        <v>1283.4000000000094</v>
      </c>
      <c r="K200" s="54">
        <f t="shared" si="72"/>
        <v>3.6556603773585092E-2</v>
      </c>
      <c r="L200" s="53">
        <f t="shared" si="73"/>
        <v>1283.4000000000094</v>
      </c>
      <c r="M200" s="54">
        <f t="shared" si="74"/>
        <v>3.6556603773585092E-2</v>
      </c>
      <c r="N200" s="55">
        <v>66072019</v>
      </c>
      <c r="O200" s="55">
        <f t="shared" si="79"/>
        <v>0</v>
      </c>
      <c r="P200" s="99"/>
      <c r="Q200" s="102"/>
      <c r="R200" s="19">
        <f t="shared" si="78"/>
        <v>1</v>
      </c>
      <c r="S200" s="19">
        <f t="shared" ref="S200:S263" si="80">IF(N200="",1,0)</f>
        <v>0</v>
      </c>
      <c r="T200" s="144"/>
    </row>
    <row r="201" spans="1:20">
      <c r="A201" s="50">
        <v>44759</v>
      </c>
      <c r="D201" s="128">
        <v>0.14199999999999999</v>
      </c>
      <c r="E201" s="129">
        <v>3134.2260000000001</v>
      </c>
      <c r="F201" s="130">
        <v>91.734999999999999</v>
      </c>
      <c r="G201" s="53"/>
      <c r="H201" s="53">
        <v>4140</v>
      </c>
      <c r="I201" s="53">
        <f t="shared" si="76"/>
        <v>34498.620000000345</v>
      </c>
      <c r="J201" s="53">
        <f t="shared" si="77"/>
        <v>1022.5799999999995</v>
      </c>
      <c r="K201" s="54">
        <f t="shared" si="72"/>
        <v>2.9641185647425586E-2</v>
      </c>
      <c r="L201" s="53">
        <f t="shared" si="73"/>
        <v>1022.5799999999995</v>
      </c>
      <c r="M201" s="54">
        <f t="shared" si="74"/>
        <v>2.9641185647425586E-2</v>
      </c>
      <c r="N201" s="55">
        <v>66072019</v>
      </c>
      <c r="O201" s="55">
        <f t="shared" si="79"/>
        <v>0</v>
      </c>
      <c r="P201" s="99"/>
      <c r="Q201" s="100"/>
      <c r="R201" s="19">
        <f t="shared" si="78"/>
        <v>1</v>
      </c>
      <c r="S201" s="19">
        <f t="shared" si="80"/>
        <v>0</v>
      </c>
      <c r="T201" s="144"/>
    </row>
    <row r="202" spans="1:20">
      <c r="A202" s="50">
        <v>44760</v>
      </c>
      <c r="D202" s="128">
        <v>0.14199999999999999</v>
      </c>
      <c r="E202" s="129">
        <v>3142.636</v>
      </c>
      <c r="F202" s="130">
        <v>92.018000000000001</v>
      </c>
      <c r="G202" s="53"/>
      <c r="H202" s="53">
        <v>4140</v>
      </c>
      <c r="I202" s="53">
        <f t="shared" si="76"/>
        <v>34817.399999999398</v>
      </c>
      <c r="J202" s="53">
        <f t="shared" si="77"/>
        <v>1171.6200000000051</v>
      </c>
      <c r="K202" s="54">
        <f t="shared" si="72"/>
        <v>3.365041617122546E-2</v>
      </c>
      <c r="L202" s="53">
        <f t="shared" si="73"/>
        <v>1171.6200000000051</v>
      </c>
      <c r="M202" s="54">
        <f t="shared" si="74"/>
        <v>3.365041617122546E-2</v>
      </c>
      <c r="N202" s="55">
        <v>66072019</v>
      </c>
      <c r="O202" s="55">
        <f t="shared" si="79"/>
        <v>0</v>
      </c>
      <c r="P202" s="103"/>
      <c r="Q202" s="104"/>
      <c r="R202" s="19">
        <f t="shared" si="78"/>
        <v>1</v>
      </c>
      <c r="S202" s="19">
        <f t="shared" si="80"/>
        <v>0</v>
      </c>
      <c r="T202" s="145"/>
    </row>
    <row r="203" spans="1:20">
      <c r="A203" s="50">
        <v>44761</v>
      </c>
      <c r="D203" s="128">
        <v>0.14199999999999999</v>
      </c>
      <c r="E203" s="129">
        <v>3150.5450000000001</v>
      </c>
      <c r="F203" s="130">
        <v>92.278000000000006</v>
      </c>
      <c r="G203" s="53"/>
      <c r="H203" s="53">
        <v>4140</v>
      </c>
      <c r="I203" s="53">
        <f t="shared" si="76"/>
        <v>32743.260000000439</v>
      </c>
      <c r="J203" s="53">
        <f t="shared" si="77"/>
        <v>1076.4000000000212</v>
      </c>
      <c r="K203" s="54">
        <f t="shared" si="72"/>
        <v>3.2873941079782733E-2</v>
      </c>
      <c r="L203" s="53">
        <f t="shared" si="73"/>
        <v>1076.4000000000212</v>
      </c>
      <c r="M203" s="54">
        <f t="shared" si="74"/>
        <v>3.2873941079782733E-2</v>
      </c>
      <c r="N203" s="55">
        <v>66072019</v>
      </c>
      <c r="O203" s="55">
        <f t="shared" si="79"/>
        <v>0</v>
      </c>
      <c r="P203" s="185" t="s">
        <v>49</v>
      </c>
      <c r="Q203" s="186"/>
      <c r="R203" s="19">
        <f t="shared" si="78"/>
        <v>1</v>
      </c>
      <c r="S203" s="19">
        <f t="shared" si="80"/>
        <v>0</v>
      </c>
      <c r="T203" s="145"/>
    </row>
    <row r="204" spans="1:20">
      <c r="A204" s="50">
        <v>44762</v>
      </c>
      <c r="D204" s="128">
        <v>0.14199999999999999</v>
      </c>
      <c r="E204" s="129">
        <v>3158.66</v>
      </c>
      <c r="F204" s="130">
        <v>92.594999999999999</v>
      </c>
      <c r="G204" s="53"/>
      <c r="H204" s="53">
        <v>4140</v>
      </c>
      <c r="I204" s="53">
        <f t="shared" si="76"/>
        <v>33596.099999999096</v>
      </c>
      <c r="J204" s="53">
        <f t="shared" si="77"/>
        <v>1312.3799999999712</v>
      </c>
      <c r="K204" s="54">
        <f t="shared" si="72"/>
        <v>3.906346272335201E-2</v>
      </c>
      <c r="L204" s="53">
        <f t="shared" si="73"/>
        <v>1312.3799999999712</v>
      </c>
      <c r="M204" s="54">
        <f t="shared" si="74"/>
        <v>3.906346272335201E-2</v>
      </c>
      <c r="N204" s="55">
        <v>66072019</v>
      </c>
      <c r="O204" s="55">
        <f t="shared" si="79"/>
        <v>0</v>
      </c>
      <c r="P204" s="183"/>
      <c r="Q204" s="184"/>
      <c r="R204" s="19">
        <f t="shared" si="78"/>
        <v>1</v>
      </c>
      <c r="S204" s="19">
        <f t="shared" si="80"/>
        <v>0</v>
      </c>
      <c r="T204" s="144"/>
    </row>
    <row r="205" spans="1:20">
      <c r="A205" s="50">
        <v>44763</v>
      </c>
      <c r="D205" s="128">
        <v>0.14199999999999999</v>
      </c>
      <c r="E205" s="129">
        <v>3166.922</v>
      </c>
      <c r="F205" s="130">
        <v>92.876999999999995</v>
      </c>
      <c r="G205" s="53"/>
      <c r="H205" s="53">
        <v>4140</v>
      </c>
      <c r="I205" s="53">
        <f t="shared" si="76"/>
        <v>34204.680000000706</v>
      </c>
      <c r="J205" s="53">
        <f t="shared" si="77"/>
        <v>1167.4799999999855</v>
      </c>
      <c r="K205" s="54">
        <f t="shared" ref="K205:K268" si="81">IF(J205="","",+(J205/I205))</f>
        <v>3.4132171387072217E-2</v>
      </c>
      <c r="L205" s="53">
        <f t="shared" ref="L205:L223" si="82">IF(F205="","",+(F205-F204)*4140)</f>
        <v>1167.4799999999855</v>
      </c>
      <c r="M205" s="54">
        <f t="shared" ref="M205:M268" si="83">IF(L205="","",(L205/I205))</f>
        <v>3.4132171387072217E-2</v>
      </c>
      <c r="N205" s="55">
        <v>66072019</v>
      </c>
      <c r="O205" s="55">
        <f t="shared" si="79"/>
        <v>0</v>
      </c>
      <c r="P205" s="62" t="s">
        <v>31</v>
      </c>
      <c r="Q205" s="62" t="s">
        <v>32</v>
      </c>
      <c r="R205" s="19">
        <f t="shared" si="78"/>
        <v>1</v>
      </c>
      <c r="S205" s="19">
        <f t="shared" si="80"/>
        <v>0</v>
      </c>
      <c r="T205" s="144"/>
    </row>
    <row r="206" spans="1:20">
      <c r="A206" s="50">
        <v>44764</v>
      </c>
      <c r="D206" s="128">
        <v>0.14199999999999999</v>
      </c>
      <c r="E206" s="129">
        <v>3174.9989999999998</v>
      </c>
      <c r="F206" s="130">
        <v>93.097999999999999</v>
      </c>
      <c r="G206" s="53"/>
      <c r="H206" s="53">
        <v>4140</v>
      </c>
      <c r="I206" s="53">
        <f t="shared" si="76"/>
        <v>33438.779999999053</v>
      </c>
      <c r="J206" s="53">
        <f t="shared" si="77"/>
        <v>914.94000000001506</v>
      </c>
      <c r="K206" s="54">
        <f t="shared" si="81"/>
        <v>2.7361644174818608E-2</v>
      </c>
      <c r="L206" s="53">
        <f t="shared" si="82"/>
        <v>914.94000000001506</v>
      </c>
      <c r="M206" s="54">
        <f t="shared" si="83"/>
        <v>2.7361644174818608E-2</v>
      </c>
      <c r="N206" s="55">
        <v>66072019</v>
      </c>
      <c r="O206" s="55">
        <f t="shared" si="79"/>
        <v>0</v>
      </c>
      <c r="P206" s="63">
        <f>IF(J185="",0,+SUM(J185:J215)/SUM(I185:I215))</f>
        <v>3.5962636808240717E-2</v>
      </c>
      <c r="Q206" s="63">
        <f>IF(L185="",0,+SUM(L185:L215)/SUM(I185:I215))</f>
        <v>3.5962636808240717E-2</v>
      </c>
      <c r="R206" s="19">
        <f t="shared" si="78"/>
        <v>1</v>
      </c>
      <c r="S206" s="19">
        <f t="shared" si="80"/>
        <v>0</v>
      </c>
      <c r="T206" s="145"/>
    </row>
    <row r="207" spans="1:20">
      <c r="A207" s="50">
        <v>44765</v>
      </c>
      <c r="D207" s="128">
        <v>0.14199999999999999</v>
      </c>
      <c r="E207" s="129">
        <v>3182.6990000000001</v>
      </c>
      <c r="F207" s="130">
        <v>93.364999999999995</v>
      </c>
      <c r="G207" s="53"/>
      <c r="H207" s="53">
        <v>4140</v>
      </c>
      <c r="I207" s="53">
        <f t="shared" si="76"/>
        <v>31878.000000001128</v>
      </c>
      <c r="J207" s="53">
        <f t="shared" si="77"/>
        <v>1105.3799999999831</v>
      </c>
      <c r="K207" s="54">
        <f t="shared" si="81"/>
        <v>3.4675324675322916E-2</v>
      </c>
      <c r="L207" s="53">
        <f t="shared" si="82"/>
        <v>1105.3799999999831</v>
      </c>
      <c r="M207" s="54">
        <f t="shared" si="83"/>
        <v>3.4675324675322916E-2</v>
      </c>
      <c r="N207" s="55">
        <v>66072019</v>
      </c>
      <c r="O207" s="55">
        <f t="shared" si="79"/>
        <v>0</v>
      </c>
      <c r="P207" s="64" t="e">
        <f>IF(J185="",0,+(+(LOOKUP(9.99999999999999E+307,E185:E215)-E184))/(+(LOOKUP(9.99999999999999E+307,D185:D215)-D184)))</f>
        <v>#DIV/0!</v>
      </c>
      <c r="Q207" s="64" t="e">
        <f>IF(L185="",0,+(+(LOOKUP(9.99999999999999E+307,F185:F215)-F184))/(+(LOOKUP(9.99999999999999E+307,D185:D215)-D184)))</f>
        <v>#DIV/0!</v>
      </c>
      <c r="R207" s="19">
        <f t="shared" si="78"/>
        <v>1</v>
      </c>
      <c r="S207" s="19">
        <f t="shared" si="80"/>
        <v>0</v>
      </c>
      <c r="T207" s="145"/>
    </row>
    <row r="208" spans="1:20">
      <c r="A208" s="50">
        <v>44766</v>
      </c>
      <c r="D208" s="128">
        <v>0.14199999999999999</v>
      </c>
      <c r="E208" s="129">
        <v>3190.43</v>
      </c>
      <c r="F208" s="130">
        <v>93.66</v>
      </c>
      <c r="G208" s="53"/>
      <c r="H208" s="53">
        <v>4140</v>
      </c>
      <c r="I208" s="53">
        <f t="shared" si="76"/>
        <v>32006.339999999036</v>
      </c>
      <c r="J208" s="53">
        <f t="shared" si="77"/>
        <v>1221.300000000007</v>
      </c>
      <c r="K208" s="54">
        <f t="shared" si="81"/>
        <v>3.8158064933386443E-2</v>
      </c>
      <c r="L208" s="53">
        <f t="shared" si="82"/>
        <v>1221.300000000007</v>
      </c>
      <c r="M208" s="54">
        <f t="shared" si="83"/>
        <v>3.8158064933386443E-2</v>
      </c>
      <c r="N208" s="55">
        <v>66072019</v>
      </c>
      <c r="O208" s="55">
        <f t="shared" si="79"/>
        <v>0</v>
      </c>
      <c r="P208" s="65" t="s">
        <v>33</v>
      </c>
      <c r="Q208" s="66" t="s">
        <v>34</v>
      </c>
      <c r="R208" s="19">
        <f t="shared" si="78"/>
        <v>1</v>
      </c>
      <c r="S208" s="19">
        <f t="shared" si="80"/>
        <v>0</v>
      </c>
      <c r="T208" s="145"/>
    </row>
    <row r="209" spans="1:20">
      <c r="A209" s="50">
        <v>44767</v>
      </c>
      <c r="D209" s="128">
        <v>0.14199999999999999</v>
      </c>
      <c r="E209" s="129">
        <v>3198.4830000000002</v>
      </c>
      <c r="F209" s="130">
        <v>93.950999999999993</v>
      </c>
      <c r="G209" s="53"/>
      <c r="H209" s="53">
        <v>4140</v>
      </c>
      <c r="I209" s="53">
        <f t="shared" si="76"/>
        <v>33339.420000001403</v>
      </c>
      <c r="J209" s="53">
        <f t="shared" si="77"/>
        <v>1204.7399999999868</v>
      </c>
      <c r="K209" s="54">
        <f t="shared" si="81"/>
        <v>3.613560163913878E-2</v>
      </c>
      <c r="L209" s="53">
        <f t="shared" si="82"/>
        <v>1204.7399999999868</v>
      </c>
      <c r="M209" s="54">
        <f t="shared" si="83"/>
        <v>3.613560163913878E-2</v>
      </c>
      <c r="N209" s="55">
        <v>66072019</v>
      </c>
      <c r="O209" s="55">
        <f t="shared" si="79"/>
        <v>0</v>
      </c>
      <c r="P209" s="67">
        <f>IF(N184="",0,+(LOOKUP(9.99999999999999E+307,N184:N215)-N184))</f>
        <v>0</v>
      </c>
      <c r="Q209" s="68">
        <f>IF(P209="",0,+P209/SUM(R185:R215))</f>
        <v>0</v>
      </c>
      <c r="R209" s="19">
        <f t="shared" si="78"/>
        <v>1</v>
      </c>
      <c r="S209" s="19">
        <f t="shared" si="80"/>
        <v>0</v>
      </c>
      <c r="T209" s="145"/>
    </row>
    <row r="210" spans="1:20">
      <c r="A210" s="50">
        <v>44768</v>
      </c>
      <c r="D210" s="128">
        <v>0.14199999999999999</v>
      </c>
      <c r="E210" s="129">
        <v>3207.1959999999999</v>
      </c>
      <c r="F210" s="130">
        <v>94.284999999999997</v>
      </c>
      <c r="G210" s="53"/>
      <c r="H210" s="53">
        <v>4140</v>
      </c>
      <c r="I210" s="53">
        <f t="shared" si="76"/>
        <v>36071.819999998916</v>
      </c>
      <c r="J210" s="53">
        <f t="shared" si="77"/>
        <v>1382.7600000000132</v>
      </c>
      <c r="K210" s="54">
        <f t="shared" si="81"/>
        <v>3.8333524618387835E-2</v>
      </c>
      <c r="L210" s="53">
        <f t="shared" si="82"/>
        <v>1382.7600000000132</v>
      </c>
      <c r="M210" s="54">
        <f t="shared" si="83"/>
        <v>3.8333524618387835E-2</v>
      </c>
      <c r="N210" s="55">
        <v>66072019</v>
      </c>
      <c r="O210" s="55">
        <f t="shared" si="79"/>
        <v>0</v>
      </c>
      <c r="P210" s="69" t="s">
        <v>35</v>
      </c>
      <c r="Q210" s="70" t="s">
        <v>43</v>
      </c>
      <c r="R210" s="19">
        <f t="shared" si="78"/>
        <v>1</v>
      </c>
      <c r="S210" s="19">
        <f t="shared" si="80"/>
        <v>0</v>
      </c>
      <c r="T210" s="144"/>
    </row>
    <row r="211" spans="1:20">
      <c r="A211" s="50">
        <v>44769</v>
      </c>
      <c r="D211" s="128">
        <v>0.14199999999999999</v>
      </c>
      <c r="E211" s="129">
        <v>3215.7330000000002</v>
      </c>
      <c r="F211" s="130">
        <v>94.632999999999996</v>
      </c>
      <c r="G211" s="53"/>
      <c r="H211" s="53">
        <v>4140</v>
      </c>
      <c r="I211" s="53">
        <f t="shared" si="76"/>
        <v>35343.180000001084</v>
      </c>
      <c r="J211" s="53">
        <f t="shared" si="77"/>
        <v>1440.7199999999957</v>
      </c>
      <c r="K211" s="54">
        <f t="shared" si="81"/>
        <v>4.0763734332902458E-2</v>
      </c>
      <c r="L211" s="53">
        <f t="shared" si="82"/>
        <v>1440.7199999999957</v>
      </c>
      <c r="M211" s="54">
        <f t="shared" si="83"/>
        <v>4.0763734332902458E-2</v>
      </c>
      <c r="N211" s="55">
        <v>66072019</v>
      </c>
      <c r="O211" s="55">
        <f t="shared" si="79"/>
        <v>0</v>
      </c>
      <c r="P211" s="71">
        <f>IF(D184="",0,+(LOOKUP(9.99999999999999E+307,D184:D215)-D184))*4140</f>
        <v>0</v>
      </c>
      <c r="Q211" s="72">
        <f>IF(P211="",0,+P211/SUM(R185:R215))</f>
        <v>0</v>
      </c>
      <c r="R211" s="19">
        <f t="shared" si="78"/>
        <v>1</v>
      </c>
      <c r="S211" s="19">
        <f t="shared" si="80"/>
        <v>0</v>
      </c>
      <c r="T211" s="144"/>
    </row>
    <row r="212" spans="1:20">
      <c r="A212" s="50">
        <v>44770</v>
      </c>
      <c r="D212" s="128">
        <v>0.14199999999999999</v>
      </c>
      <c r="E212" s="129">
        <v>3225.12</v>
      </c>
      <c r="F212" s="130">
        <v>95.063999999999993</v>
      </c>
      <c r="G212" s="53"/>
      <c r="H212" s="53">
        <v>4140</v>
      </c>
      <c r="I212" s="53">
        <f t="shared" si="76"/>
        <v>38862.179999998829</v>
      </c>
      <c r="J212" s="53">
        <f t="shared" si="77"/>
        <v>1784.3399999999892</v>
      </c>
      <c r="K212" s="54">
        <f t="shared" si="81"/>
        <v>4.5914562693087288E-2</v>
      </c>
      <c r="L212" s="53">
        <f t="shared" si="82"/>
        <v>1784.3399999999892</v>
      </c>
      <c r="M212" s="54">
        <f t="shared" si="83"/>
        <v>4.5914562693087288E-2</v>
      </c>
      <c r="N212" s="55">
        <v>66072019</v>
      </c>
      <c r="O212" s="55">
        <f t="shared" si="79"/>
        <v>0</v>
      </c>
      <c r="P212" s="146" t="s">
        <v>37</v>
      </c>
      <c r="Q212" s="147" t="s">
        <v>44</v>
      </c>
      <c r="R212" s="19">
        <f t="shared" si="78"/>
        <v>1</v>
      </c>
      <c r="S212" s="19">
        <f t="shared" si="80"/>
        <v>0</v>
      </c>
      <c r="T212" s="144"/>
    </row>
    <row r="213" spans="1:20">
      <c r="A213" s="50">
        <v>44771</v>
      </c>
      <c r="D213" s="128">
        <v>0.14199999999999999</v>
      </c>
      <c r="E213" s="129">
        <v>3234.7449999999999</v>
      </c>
      <c r="F213" s="130">
        <v>95.510999999999996</v>
      </c>
      <c r="G213" s="53"/>
      <c r="H213" s="53">
        <v>4140</v>
      </c>
      <c r="I213" s="53">
        <f t="shared" si="76"/>
        <v>39847.5</v>
      </c>
      <c r="J213" s="53">
        <f t="shared" si="77"/>
        <v>1850.5800000000113</v>
      </c>
      <c r="K213" s="54">
        <f t="shared" si="81"/>
        <v>4.6441558441558728E-2</v>
      </c>
      <c r="L213" s="53">
        <f t="shared" si="82"/>
        <v>1850.5800000000113</v>
      </c>
      <c r="M213" s="54">
        <f t="shared" si="83"/>
        <v>4.6441558441558728E-2</v>
      </c>
      <c r="N213" s="55">
        <v>66072019</v>
      </c>
      <c r="O213" s="55">
        <f t="shared" si="79"/>
        <v>0</v>
      </c>
      <c r="P213" s="73">
        <f>P211*Q216</f>
        <v>0</v>
      </c>
      <c r="Q213" s="74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44"/>
    </row>
    <row r="214" spans="1:20">
      <c r="A214" s="50">
        <v>44772</v>
      </c>
      <c r="D214" s="128">
        <v>0.14199999999999999</v>
      </c>
      <c r="E214" s="129">
        <v>3244.221</v>
      </c>
      <c r="F214" s="130">
        <v>95.896000000000001</v>
      </c>
      <c r="G214" s="53"/>
      <c r="H214" s="53">
        <v>4140</v>
      </c>
      <c r="I214" s="53">
        <f t="shared" si="76"/>
        <v>39230.640000000465</v>
      </c>
      <c r="J214" s="53">
        <f t="shared" si="77"/>
        <v>1593.9000000000212</v>
      </c>
      <c r="K214" s="54">
        <f t="shared" si="81"/>
        <v>4.0628957365977263E-2</v>
      </c>
      <c r="L214" s="53">
        <f t="shared" si="82"/>
        <v>1593.9000000000212</v>
      </c>
      <c r="M214" s="54">
        <f t="shared" si="83"/>
        <v>4.0628957365977263E-2</v>
      </c>
      <c r="N214" s="55">
        <v>66072019</v>
      </c>
      <c r="O214" s="55">
        <f t="shared" si="79"/>
        <v>0</v>
      </c>
      <c r="P214" s="148" t="s">
        <v>39</v>
      </c>
      <c r="Q214" s="149" t="s">
        <v>40</v>
      </c>
      <c r="R214" s="19">
        <f t="shared" si="78"/>
        <v>1</v>
      </c>
      <c r="S214" s="19">
        <f t="shared" si="80"/>
        <v>0</v>
      </c>
      <c r="T214" s="144"/>
    </row>
    <row r="215" spans="1:20">
      <c r="A215" s="50">
        <v>44773</v>
      </c>
      <c r="D215" s="153">
        <v>0.14199999999999999</v>
      </c>
      <c r="E215" s="153">
        <v>3253.5059999999999</v>
      </c>
      <c r="F215" s="153">
        <v>96.375</v>
      </c>
      <c r="G215" s="154"/>
      <c r="H215" s="155">
        <v>4140</v>
      </c>
      <c r="I215" s="155">
        <f t="shared" si="76"/>
        <v>38439.899999999398</v>
      </c>
      <c r="J215" s="155">
        <f t="shared" si="77"/>
        <v>1983.0599999999968</v>
      </c>
      <c r="K215" s="156">
        <f t="shared" si="81"/>
        <v>5.1588583737211278E-2</v>
      </c>
      <c r="L215" s="155">
        <f t="shared" si="82"/>
        <v>1983.0599999999968</v>
      </c>
      <c r="M215" s="156">
        <f t="shared" si="83"/>
        <v>5.1588583737211278E-2</v>
      </c>
      <c r="N215" s="157">
        <v>66072019</v>
      </c>
      <c r="O215" s="161">
        <f t="shared" si="79"/>
        <v>0</v>
      </c>
      <c r="P215" s="111">
        <f>(P213+Q211*SUM(S185:S215)*Q216)</f>
        <v>0</v>
      </c>
      <c r="Q215" s="79">
        <f>Q211*31</f>
        <v>0</v>
      </c>
      <c r="R215" s="19">
        <f t="shared" si="78"/>
        <v>1</v>
      </c>
      <c r="S215" s="19">
        <f t="shared" si="80"/>
        <v>0</v>
      </c>
      <c r="T215" s="144"/>
    </row>
    <row r="216" spans="1:20">
      <c r="A216" s="50">
        <v>44774</v>
      </c>
      <c r="D216" s="128">
        <v>0.14199999999999999</v>
      </c>
      <c r="E216" s="129">
        <v>3262.2559999999999</v>
      </c>
      <c r="F216" s="130">
        <v>96.703000000000003</v>
      </c>
      <c r="G216" s="53"/>
      <c r="H216" s="53">
        <v>4140</v>
      </c>
      <c r="I216" s="53">
        <f t="shared" si="76"/>
        <v>36225</v>
      </c>
      <c r="J216" s="53">
        <f t="shared" si="77"/>
        <v>1357.9200000000124</v>
      </c>
      <c r="K216" s="54">
        <f t="shared" si="81"/>
        <v>3.7485714285714629E-2</v>
      </c>
      <c r="L216" s="53">
        <f t="shared" si="82"/>
        <v>1357.9200000000124</v>
      </c>
      <c r="M216" s="54">
        <f t="shared" si="83"/>
        <v>3.7485714285714629E-2</v>
      </c>
      <c r="N216" s="55">
        <v>66072019</v>
      </c>
      <c r="O216" s="55">
        <f t="shared" si="79"/>
        <v>0</v>
      </c>
      <c r="P216" s="95" t="s">
        <v>41</v>
      </c>
      <c r="Q216" s="96">
        <v>0.56999999999999995</v>
      </c>
      <c r="R216" s="19">
        <f t="shared" si="78"/>
        <v>1</v>
      </c>
      <c r="S216" s="19">
        <f t="shared" si="80"/>
        <v>0</v>
      </c>
      <c r="T216" s="144"/>
    </row>
    <row r="217" spans="1:20">
      <c r="A217" s="50">
        <v>44775</v>
      </c>
      <c r="D217" s="128">
        <v>0.14199999999999999</v>
      </c>
      <c r="E217" s="129">
        <v>3271.4070000000002</v>
      </c>
      <c r="F217" s="130">
        <v>97.078000000000003</v>
      </c>
      <c r="G217" s="53"/>
      <c r="H217" s="53">
        <v>4140</v>
      </c>
      <c r="I217" s="53">
        <f t="shared" si="76"/>
        <v>37885.140000001222</v>
      </c>
      <c r="J217" s="53">
        <f t="shared" si="77"/>
        <v>1552.5</v>
      </c>
      <c r="K217" s="54">
        <f t="shared" si="81"/>
        <v>4.09791279641556E-2</v>
      </c>
      <c r="L217" s="53">
        <f>IF(F217="","",+(F217-F216)*4140)</f>
        <v>1552.5</v>
      </c>
      <c r="M217" s="54">
        <f t="shared" si="83"/>
        <v>4.09791279641556E-2</v>
      </c>
      <c r="N217" s="55">
        <v>66072019</v>
      </c>
      <c r="O217" s="55">
        <f t="shared" si="79"/>
        <v>0</v>
      </c>
      <c r="P217" s="97"/>
      <c r="Q217" s="98"/>
      <c r="R217" s="19">
        <f t="shared" si="78"/>
        <v>1</v>
      </c>
      <c r="S217" s="19">
        <f t="shared" si="80"/>
        <v>0</v>
      </c>
      <c r="T217" s="144"/>
    </row>
    <row r="218" spans="1:20">
      <c r="A218" s="50">
        <v>44776</v>
      </c>
      <c r="D218" s="128">
        <v>0.14199999999999999</v>
      </c>
      <c r="E218" s="129">
        <v>3280.846</v>
      </c>
      <c r="F218" s="130">
        <v>97.513999999999996</v>
      </c>
      <c r="G218" s="53"/>
      <c r="H218" s="53">
        <v>4140</v>
      </c>
      <c r="I218" s="53">
        <f t="shared" si="76"/>
        <v>39077.459999999381</v>
      </c>
      <c r="J218" s="53">
        <f t="shared" si="77"/>
        <v>1805.0399999999704</v>
      </c>
      <c r="K218" s="54">
        <f t="shared" si="81"/>
        <v>4.6191333827735964E-2</v>
      </c>
      <c r="L218" s="53">
        <f>IF(F218="","",+(F218-F217)*4140)</f>
        <v>1805.0399999999704</v>
      </c>
      <c r="M218" s="54">
        <f t="shared" si="83"/>
        <v>4.6191333827735964E-2</v>
      </c>
      <c r="N218" s="55">
        <v>66072019</v>
      </c>
      <c r="O218" s="55">
        <f t="shared" si="79"/>
        <v>0</v>
      </c>
      <c r="P218" s="99"/>
      <c r="Q218" s="100"/>
      <c r="R218" s="19">
        <f t="shared" si="78"/>
        <v>1</v>
      </c>
      <c r="S218" s="19">
        <f t="shared" si="80"/>
        <v>0</v>
      </c>
      <c r="T218" s="145"/>
    </row>
    <row r="219" spans="1:20">
      <c r="A219" s="50">
        <v>44777</v>
      </c>
      <c r="D219" s="128">
        <v>0.14199999999999999</v>
      </c>
      <c r="E219" s="129">
        <v>3290.37</v>
      </c>
      <c r="F219" s="130">
        <v>97.888000000000005</v>
      </c>
      <c r="G219" s="53"/>
      <c r="H219" s="53">
        <v>4140</v>
      </c>
      <c r="I219" s="53">
        <f t="shared" si="76"/>
        <v>39429.359999999535</v>
      </c>
      <c r="J219" s="53">
        <f t="shared" si="77"/>
        <v>1548.360000000039</v>
      </c>
      <c r="K219" s="54">
        <f t="shared" si="81"/>
        <v>3.926921461570914E-2</v>
      </c>
      <c r="L219" s="53">
        <f>IF(F219="","",+(F219-F218)*4140)</f>
        <v>1548.360000000039</v>
      </c>
      <c r="M219" s="54">
        <f t="shared" si="83"/>
        <v>3.926921461570914E-2</v>
      </c>
      <c r="N219" s="55">
        <v>66072019</v>
      </c>
      <c r="O219" s="55">
        <f t="shared" si="79"/>
        <v>0</v>
      </c>
      <c r="P219" s="99"/>
      <c r="Q219" s="100"/>
      <c r="R219" s="19">
        <f t="shared" si="78"/>
        <v>1</v>
      </c>
      <c r="S219" s="19">
        <f t="shared" si="80"/>
        <v>0</v>
      </c>
      <c r="T219" s="145"/>
    </row>
    <row r="220" spans="1:20">
      <c r="A220" s="50">
        <v>44778</v>
      </c>
      <c r="D220" s="128">
        <v>0.14199999999999999</v>
      </c>
      <c r="E220" s="129">
        <v>3300.3490000000002</v>
      </c>
      <c r="F220" s="130">
        <v>98.31</v>
      </c>
      <c r="G220" s="53"/>
      <c r="H220" s="53">
        <v>4140</v>
      </c>
      <c r="I220" s="53">
        <f t="shared" si="76"/>
        <v>41313.060000001118</v>
      </c>
      <c r="J220" s="53">
        <f t="shared" si="77"/>
        <v>1747.0799999999876</v>
      </c>
      <c r="K220" s="54">
        <f t="shared" si="81"/>
        <v>4.2288806493635193E-2</v>
      </c>
      <c r="L220" s="53">
        <f t="shared" si="82"/>
        <v>1747.0799999999876</v>
      </c>
      <c r="M220" s="54">
        <f t="shared" si="83"/>
        <v>4.2288806493635193E-2</v>
      </c>
      <c r="N220" s="55">
        <v>66072055</v>
      </c>
      <c r="O220" s="55">
        <f t="shared" si="79"/>
        <v>36</v>
      </c>
      <c r="P220" s="99"/>
      <c r="Q220" s="100"/>
      <c r="R220" s="19">
        <f t="shared" si="78"/>
        <v>1</v>
      </c>
      <c r="S220" s="19">
        <f t="shared" si="80"/>
        <v>0</v>
      </c>
      <c r="T220" s="144"/>
    </row>
    <row r="221" spans="1:20">
      <c r="A221" s="50">
        <v>44779</v>
      </c>
      <c r="D221" s="128">
        <v>0.14199999999999999</v>
      </c>
      <c r="E221" s="129">
        <v>3308.366</v>
      </c>
      <c r="F221" s="130">
        <v>99.131</v>
      </c>
      <c r="G221" s="53"/>
      <c r="H221" s="53">
        <v>4140</v>
      </c>
      <c r="I221" s="53">
        <f t="shared" si="76"/>
        <v>33190.379999999277</v>
      </c>
      <c r="J221" s="53">
        <f t="shared" si="77"/>
        <v>3398.9399999999914</v>
      </c>
      <c r="K221" s="54">
        <f t="shared" si="81"/>
        <v>0.10240738430834674</v>
      </c>
      <c r="L221" s="53">
        <f t="shared" si="82"/>
        <v>3398.9399999999914</v>
      </c>
      <c r="M221" s="54">
        <f t="shared" si="83"/>
        <v>0.10240738430834674</v>
      </c>
      <c r="N221" s="55">
        <v>66078331</v>
      </c>
      <c r="O221" s="55">
        <f t="shared" si="79"/>
        <v>6276</v>
      </c>
      <c r="P221" s="84"/>
      <c r="Q221" s="85"/>
      <c r="R221" s="19">
        <f t="shared" si="78"/>
        <v>1</v>
      </c>
      <c r="S221" s="19">
        <f t="shared" si="80"/>
        <v>0</v>
      </c>
      <c r="T221" s="144"/>
    </row>
    <row r="222" spans="1:20">
      <c r="A222" s="50">
        <v>44780</v>
      </c>
      <c r="D222" s="128">
        <v>0.14199999999999999</v>
      </c>
      <c r="E222" s="129">
        <v>3316.3040000000001</v>
      </c>
      <c r="F222" s="130">
        <v>100.003</v>
      </c>
      <c r="G222" s="53"/>
      <c r="H222" s="53">
        <v>4140</v>
      </c>
      <c r="I222" s="53">
        <f t="shared" si="76"/>
        <v>32863.320000000422</v>
      </c>
      <c r="J222" s="53">
        <f t="shared" si="77"/>
        <v>3610.0799999999995</v>
      </c>
      <c r="K222" s="54">
        <f t="shared" si="81"/>
        <v>0.10985134794658462</v>
      </c>
      <c r="L222" s="53">
        <f t="shared" si="82"/>
        <v>3610.0799999999995</v>
      </c>
      <c r="M222" s="54">
        <f t="shared" si="83"/>
        <v>0.10985134794658462</v>
      </c>
      <c r="N222" s="55">
        <v>66088085</v>
      </c>
      <c r="O222" s="55">
        <f t="shared" si="79"/>
        <v>9754</v>
      </c>
      <c r="P222" s="86"/>
      <c r="Q222" s="87"/>
      <c r="R222" s="19">
        <f t="shared" si="78"/>
        <v>1</v>
      </c>
      <c r="S222" s="19">
        <f t="shared" si="80"/>
        <v>0</v>
      </c>
      <c r="T222" s="144"/>
    </row>
    <row r="223" spans="1:20">
      <c r="A223" s="50">
        <v>44781</v>
      </c>
      <c r="D223" s="128">
        <v>0.14199999999999999</v>
      </c>
      <c r="E223" s="129">
        <v>3323.8420000000001</v>
      </c>
      <c r="F223" s="130">
        <v>101.14100000000001</v>
      </c>
      <c r="G223" s="53"/>
      <c r="H223" s="53">
        <v>4140</v>
      </c>
      <c r="I223" s="53">
        <f t="shared" si="76"/>
        <v>31207.320000000043</v>
      </c>
      <c r="J223" s="53">
        <f t="shared" si="77"/>
        <v>4711.3200000000215</v>
      </c>
      <c r="K223" s="54">
        <f t="shared" si="81"/>
        <v>0.1509684266383661</v>
      </c>
      <c r="L223" s="53">
        <f t="shared" si="82"/>
        <v>4711.3200000000215</v>
      </c>
      <c r="M223" s="54">
        <f t="shared" si="83"/>
        <v>0.1509684266383661</v>
      </c>
      <c r="N223" s="55">
        <v>66100202</v>
      </c>
      <c r="O223" s="55">
        <f t="shared" si="79"/>
        <v>12117</v>
      </c>
      <c r="P223" s="86"/>
      <c r="Q223" s="85"/>
      <c r="R223" s="19">
        <f t="shared" si="78"/>
        <v>1</v>
      </c>
      <c r="S223" s="19">
        <f t="shared" si="80"/>
        <v>0</v>
      </c>
      <c r="T223" s="145"/>
    </row>
    <row r="224" spans="1:20">
      <c r="A224" s="50">
        <v>44782</v>
      </c>
      <c r="D224" s="128">
        <v>0.14199999999999999</v>
      </c>
      <c r="E224" s="129">
        <v>3331.223</v>
      </c>
      <c r="F224" s="130">
        <v>101.9</v>
      </c>
      <c r="G224" s="53"/>
      <c r="H224" s="53">
        <v>4140</v>
      </c>
      <c r="I224" s="53">
        <f t="shared" si="76"/>
        <v>30557.339999999414</v>
      </c>
      <c r="J224" s="53">
        <f t="shared" si="77"/>
        <v>3142.2600000000016</v>
      </c>
      <c r="K224" s="54">
        <f t="shared" si="81"/>
        <v>0.10283159463487535</v>
      </c>
      <c r="L224" s="53">
        <f t="shared" ref="L224:L260" si="84">IF(F224="","",+(F224-F223)*4140)</f>
        <v>3142.2600000000016</v>
      </c>
      <c r="M224" s="54">
        <f t="shared" si="83"/>
        <v>0.10283159463487535</v>
      </c>
      <c r="N224" s="55">
        <v>66112156</v>
      </c>
      <c r="O224" s="55">
        <f t="shared" si="79"/>
        <v>11954</v>
      </c>
      <c r="P224" s="99"/>
      <c r="Q224" s="101"/>
      <c r="R224" s="19">
        <f t="shared" si="78"/>
        <v>1</v>
      </c>
      <c r="S224" s="19">
        <f t="shared" si="80"/>
        <v>0</v>
      </c>
      <c r="T224" s="145"/>
    </row>
    <row r="225" spans="1:20">
      <c r="A225" s="50">
        <v>44783</v>
      </c>
      <c r="D225" s="128">
        <v>0.14199999999999999</v>
      </c>
      <c r="E225" s="129">
        <v>3338.8229999999999</v>
      </c>
      <c r="F225" s="130">
        <v>102.43600000000001</v>
      </c>
      <c r="G225" s="53"/>
      <c r="H225" s="53">
        <v>4140</v>
      </c>
      <c r="I225" s="53">
        <f t="shared" si="76"/>
        <v>31463.999999999622</v>
      </c>
      <c r="J225" s="53">
        <f t="shared" si="77"/>
        <v>2219.0400000000054</v>
      </c>
      <c r="K225" s="54">
        <f t="shared" si="81"/>
        <v>7.05263157894747E-2</v>
      </c>
      <c r="L225" s="53">
        <f t="shared" si="84"/>
        <v>2219.0400000000054</v>
      </c>
      <c r="M225" s="54">
        <f t="shared" si="83"/>
        <v>7.05263157894747E-2</v>
      </c>
      <c r="N225" s="55">
        <v>66124327</v>
      </c>
      <c r="O225" s="55">
        <f t="shared" si="79"/>
        <v>12171</v>
      </c>
      <c r="P225" s="99"/>
      <c r="Q225" s="102"/>
      <c r="R225" s="19">
        <f t="shared" ref="R225:R249" si="85">IF(N225="",0,1)</f>
        <v>1</v>
      </c>
      <c r="S225" s="19">
        <f t="shared" si="80"/>
        <v>0</v>
      </c>
      <c r="T225" s="144"/>
    </row>
    <row r="226" spans="1:20">
      <c r="A226" s="50">
        <v>44784</v>
      </c>
      <c r="D226" s="128">
        <v>0.14199999999999999</v>
      </c>
      <c r="E226" s="129">
        <v>3346.047</v>
      </c>
      <c r="F226" s="130">
        <v>103.07</v>
      </c>
      <c r="G226" s="53"/>
      <c r="H226" s="53">
        <v>4140</v>
      </c>
      <c r="I226" s="53">
        <f t="shared" si="76"/>
        <v>29907.360000000663</v>
      </c>
      <c r="J226" s="53">
        <f t="shared" si="77"/>
        <v>2624.7599999999425</v>
      </c>
      <c r="K226" s="54">
        <f t="shared" si="81"/>
        <v>8.7763012181612962E-2</v>
      </c>
      <c r="L226" s="53">
        <f t="shared" si="84"/>
        <v>2624.7599999999425</v>
      </c>
      <c r="M226" s="54">
        <f t="shared" si="83"/>
        <v>8.7763012181612962E-2</v>
      </c>
      <c r="N226" s="55">
        <v>66136578</v>
      </c>
      <c r="O226" s="55">
        <f t="shared" si="79"/>
        <v>12251</v>
      </c>
      <c r="P226" s="99"/>
      <c r="Q226" s="102"/>
      <c r="R226" s="19">
        <f t="shared" si="85"/>
        <v>1</v>
      </c>
      <c r="S226" s="19">
        <f t="shared" si="80"/>
        <v>0</v>
      </c>
      <c r="T226" s="144"/>
    </row>
    <row r="227" spans="1:20">
      <c r="A227" s="50">
        <v>44785</v>
      </c>
      <c r="D227" s="128" t="s">
        <v>50</v>
      </c>
      <c r="E227" s="129">
        <v>3353.201</v>
      </c>
      <c r="F227" s="130">
        <v>103.518</v>
      </c>
      <c r="G227" s="53"/>
      <c r="H227" s="53">
        <v>4140</v>
      </c>
      <c r="I227" s="53">
        <f t="shared" si="76"/>
        <v>29617.559999999983</v>
      </c>
      <c r="J227" s="53">
        <f t="shared" si="77"/>
        <v>1854.7200000000312</v>
      </c>
      <c r="K227" s="54">
        <f t="shared" si="81"/>
        <v>6.2622309197652756E-2</v>
      </c>
      <c r="L227" s="53">
        <f t="shared" si="84"/>
        <v>1854.7200000000312</v>
      </c>
      <c r="M227" s="54">
        <f t="shared" si="83"/>
        <v>6.2622309197652756E-2</v>
      </c>
      <c r="N227" s="55">
        <v>66153251</v>
      </c>
      <c r="O227" s="55">
        <f t="shared" si="79"/>
        <v>16673</v>
      </c>
      <c r="P227" s="99"/>
      <c r="Q227" s="101"/>
      <c r="R227" s="19">
        <f t="shared" si="85"/>
        <v>1</v>
      </c>
      <c r="S227" s="19">
        <f t="shared" si="80"/>
        <v>0</v>
      </c>
      <c r="T227" s="144"/>
    </row>
    <row r="228" spans="1:20">
      <c r="A228" s="50">
        <v>44786</v>
      </c>
      <c r="D228" s="128" t="s">
        <v>50</v>
      </c>
      <c r="E228" s="129">
        <v>3359.181</v>
      </c>
      <c r="F228" s="130">
        <v>103.807</v>
      </c>
      <c r="G228" s="53"/>
      <c r="H228" s="53">
        <v>4140</v>
      </c>
      <c r="I228" s="53">
        <f t="shared" si="76"/>
        <v>24757.200000000077</v>
      </c>
      <c r="J228" s="53">
        <f t="shared" si="77"/>
        <v>1196.4600000000062</v>
      </c>
      <c r="K228" s="54">
        <f t="shared" si="81"/>
        <v>4.8327759197324516E-2</v>
      </c>
      <c r="L228" s="53">
        <f t="shared" si="84"/>
        <v>1196.4600000000062</v>
      </c>
      <c r="M228" s="54">
        <f t="shared" si="83"/>
        <v>4.8327759197324516E-2</v>
      </c>
      <c r="N228" s="55">
        <v>66171168</v>
      </c>
      <c r="O228" s="55">
        <f t="shared" si="79"/>
        <v>17917</v>
      </c>
      <c r="P228" s="99"/>
      <c r="Q228" s="101"/>
      <c r="R228" s="19">
        <f t="shared" si="85"/>
        <v>1</v>
      </c>
      <c r="S228" s="19">
        <f t="shared" si="80"/>
        <v>0</v>
      </c>
      <c r="T228" s="145"/>
    </row>
    <row r="229" spans="1:20">
      <c r="A229" s="50">
        <v>44787</v>
      </c>
      <c r="D229" s="128" t="s">
        <v>50</v>
      </c>
      <c r="E229" s="129">
        <v>3369.1759999999999</v>
      </c>
      <c r="F229" s="130">
        <v>104.31399999999999</v>
      </c>
      <c r="G229" s="53"/>
      <c r="H229" s="53">
        <v>4140</v>
      </c>
      <c r="I229" s="53">
        <f t="shared" si="76"/>
        <v>41379.299999999552</v>
      </c>
      <c r="J229" s="53">
        <f t="shared" si="77"/>
        <v>2098.9799999999618</v>
      </c>
      <c r="K229" s="54">
        <f t="shared" si="81"/>
        <v>5.07253626813403E-2</v>
      </c>
      <c r="L229" s="53">
        <f t="shared" si="84"/>
        <v>2098.9799999999618</v>
      </c>
      <c r="M229" s="54">
        <f t="shared" si="83"/>
        <v>5.07253626813403E-2</v>
      </c>
      <c r="N229" s="55">
        <v>66171188</v>
      </c>
      <c r="O229" s="55">
        <f t="shared" si="79"/>
        <v>20</v>
      </c>
      <c r="P229" s="99"/>
      <c r="Q229" s="102"/>
      <c r="R229" s="19">
        <f t="shared" si="85"/>
        <v>1</v>
      </c>
      <c r="S229" s="19">
        <f t="shared" si="80"/>
        <v>0</v>
      </c>
      <c r="T229" s="145"/>
    </row>
    <row r="230" spans="1:20">
      <c r="A230" s="50">
        <v>44788</v>
      </c>
      <c r="D230" s="128" t="s">
        <v>50</v>
      </c>
      <c r="E230" s="129">
        <v>3377.0070000000001</v>
      </c>
      <c r="F230" s="130">
        <v>104.73399999999999</v>
      </c>
      <c r="G230" s="53"/>
      <c r="H230" s="53">
        <v>4140</v>
      </c>
      <c r="I230" s="53">
        <f t="shared" si="76"/>
        <v>32420.340000000542</v>
      </c>
      <c r="J230" s="53">
        <f t="shared" si="77"/>
        <v>1738.800000000007</v>
      </c>
      <c r="K230" s="54">
        <f t="shared" si="81"/>
        <v>5.3632997062954241E-2</v>
      </c>
      <c r="L230" s="53">
        <f t="shared" si="84"/>
        <v>1738.800000000007</v>
      </c>
      <c r="M230" s="54">
        <f t="shared" si="83"/>
        <v>5.3632997062954241E-2</v>
      </c>
      <c r="N230" s="55">
        <v>66177427</v>
      </c>
      <c r="O230" s="55">
        <f t="shared" si="79"/>
        <v>6239</v>
      </c>
      <c r="P230" s="99"/>
      <c r="Q230" s="102"/>
      <c r="R230" s="19">
        <f t="shared" si="85"/>
        <v>1</v>
      </c>
      <c r="S230" s="19">
        <f t="shared" si="80"/>
        <v>0</v>
      </c>
      <c r="T230" s="144"/>
    </row>
    <row r="231" spans="1:20">
      <c r="A231" s="50">
        <v>44789</v>
      </c>
      <c r="D231" s="128" t="s">
        <v>50</v>
      </c>
      <c r="E231" s="129">
        <v>3382.0680000000002</v>
      </c>
      <c r="F231" s="130">
        <v>104.95099999999999</v>
      </c>
      <c r="G231" s="53"/>
      <c r="H231" s="53">
        <v>4140</v>
      </c>
      <c r="I231" s="55">
        <f t="shared" si="76"/>
        <v>20952.540000000619</v>
      </c>
      <c r="J231" s="53">
        <f t="shared" si="77"/>
        <v>898.37999999999488</v>
      </c>
      <c r="K231" s="54">
        <f t="shared" si="81"/>
        <v>4.2876901798062111E-2</v>
      </c>
      <c r="L231" s="53">
        <f t="shared" si="84"/>
        <v>898.37999999999488</v>
      </c>
      <c r="M231" s="54">
        <f t="shared" si="83"/>
        <v>4.2876901798062111E-2</v>
      </c>
      <c r="N231" s="55">
        <v>66197989</v>
      </c>
      <c r="O231" s="55">
        <f t="shared" si="79"/>
        <v>20562</v>
      </c>
      <c r="P231" s="99"/>
      <c r="Q231" s="102"/>
      <c r="R231" s="19">
        <f t="shared" si="85"/>
        <v>1</v>
      </c>
      <c r="S231" s="19">
        <f t="shared" si="80"/>
        <v>0</v>
      </c>
      <c r="T231" s="144"/>
    </row>
    <row r="232" spans="1:20">
      <c r="A232" s="50">
        <v>44790</v>
      </c>
      <c r="D232" s="128" t="s">
        <v>50</v>
      </c>
      <c r="E232" s="129">
        <v>3388.23</v>
      </c>
      <c r="F232" s="130">
        <v>105.227</v>
      </c>
      <c r="G232" s="53"/>
      <c r="H232" s="53">
        <v>4140</v>
      </c>
      <c r="I232" s="53">
        <f t="shared" si="76"/>
        <v>25510.6799999992</v>
      </c>
      <c r="J232" s="53">
        <f t="shared" si="77"/>
        <v>1142.6400000000433</v>
      </c>
      <c r="K232" s="54">
        <f t="shared" si="81"/>
        <v>4.4790652385592197E-2</v>
      </c>
      <c r="L232" s="53">
        <f t="shared" si="84"/>
        <v>1142.6400000000433</v>
      </c>
      <c r="M232" s="54">
        <f t="shared" si="83"/>
        <v>4.4790652385592197E-2</v>
      </c>
      <c r="N232" s="55">
        <v>66215842</v>
      </c>
      <c r="O232" s="55">
        <f t="shared" si="79"/>
        <v>17853</v>
      </c>
      <c r="P232" s="99"/>
      <c r="Q232" s="100"/>
      <c r="R232" s="19">
        <f t="shared" si="85"/>
        <v>1</v>
      </c>
      <c r="S232" s="19">
        <f t="shared" si="80"/>
        <v>0</v>
      </c>
      <c r="T232" s="144"/>
    </row>
    <row r="233" spans="1:20">
      <c r="A233" s="50">
        <v>44791</v>
      </c>
      <c r="D233" s="128" t="s">
        <v>50</v>
      </c>
      <c r="E233" s="129">
        <v>3394.9450000000002</v>
      </c>
      <c r="F233" s="130">
        <v>105.593</v>
      </c>
      <c r="G233" s="53"/>
      <c r="H233" s="53">
        <v>4140</v>
      </c>
      <c r="I233" s="53">
        <f t="shared" si="76"/>
        <v>27800.100000000602</v>
      </c>
      <c r="J233" s="53">
        <f t="shared" si="77"/>
        <v>1515.2399999999986</v>
      </c>
      <c r="K233" s="54">
        <f t="shared" si="81"/>
        <v>5.4504839910646571E-2</v>
      </c>
      <c r="L233" s="53">
        <f t="shared" si="84"/>
        <v>1515.2399999999986</v>
      </c>
      <c r="M233" s="54">
        <f t="shared" si="83"/>
        <v>5.4504839910646571E-2</v>
      </c>
      <c r="N233" s="55">
        <v>66234017</v>
      </c>
      <c r="O233" s="55">
        <f t="shared" si="79"/>
        <v>18175</v>
      </c>
      <c r="P233" s="103"/>
      <c r="Q233" s="104"/>
      <c r="R233" s="19">
        <f t="shared" si="85"/>
        <v>1</v>
      </c>
      <c r="S233" s="19">
        <f t="shared" si="80"/>
        <v>0</v>
      </c>
      <c r="T233" s="145"/>
    </row>
    <row r="234" spans="1:20">
      <c r="A234" s="50">
        <v>44792</v>
      </c>
      <c r="D234" s="128" t="s">
        <v>50</v>
      </c>
      <c r="E234" s="129">
        <v>3401.2310000000002</v>
      </c>
      <c r="F234" s="130">
        <v>105.90600000000001</v>
      </c>
      <c r="G234" s="53"/>
      <c r="H234" s="53">
        <v>4140</v>
      </c>
      <c r="I234" s="53">
        <f t="shared" si="76"/>
        <v>26024.040000000241</v>
      </c>
      <c r="J234" s="53">
        <f t="shared" si="77"/>
        <v>1295.8200000000099</v>
      </c>
      <c r="K234" s="54">
        <f t="shared" si="81"/>
        <v>4.9793191218580897E-2</v>
      </c>
      <c r="L234" s="53">
        <f t="shared" si="84"/>
        <v>1295.8200000000099</v>
      </c>
      <c r="M234" s="54">
        <f t="shared" si="83"/>
        <v>4.9793191218580897E-2</v>
      </c>
      <c r="N234" s="55">
        <v>66253540</v>
      </c>
      <c r="O234" s="55">
        <f t="shared" si="79"/>
        <v>19523</v>
      </c>
      <c r="P234" s="185" t="s">
        <v>51</v>
      </c>
      <c r="Q234" s="186"/>
      <c r="R234" s="19">
        <f t="shared" si="85"/>
        <v>1</v>
      </c>
      <c r="S234" s="19">
        <f t="shared" si="80"/>
        <v>0</v>
      </c>
      <c r="T234" s="145"/>
    </row>
    <row r="235" spans="1:20">
      <c r="A235" s="50">
        <v>44793</v>
      </c>
      <c r="D235" s="128" t="s">
        <v>50</v>
      </c>
      <c r="E235" s="129">
        <v>3407.5320000000002</v>
      </c>
      <c r="F235" s="130">
        <v>106.215</v>
      </c>
      <c r="G235" s="53"/>
      <c r="H235" s="53">
        <v>4140</v>
      </c>
      <c r="I235" s="53">
        <f t="shared" si="76"/>
        <v>26086.139999999716</v>
      </c>
      <c r="J235" s="53">
        <f t="shared" si="77"/>
        <v>1279.2599999999898</v>
      </c>
      <c r="K235" s="54">
        <f t="shared" si="81"/>
        <v>4.9039834946833977E-2</v>
      </c>
      <c r="L235" s="53">
        <f>IF(F235="","",+(F235-F234)*4140)</f>
        <v>1279.2599999999898</v>
      </c>
      <c r="M235" s="54">
        <f t="shared" si="83"/>
        <v>4.9039834946833977E-2</v>
      </c>
      <c r="N235" s="55">
        <v>66272650</v>
      </c>
      <c r="O235" s="55">
        <f t="shared" si="79"/>
        <v>19110</v>
      </c>
      <c r="P235" s="183"/>
      <c r="Q235" s="184"/>
      <c r="R235" s="19">
        <f t="shared" si="85"/>
        <v>1</v>
      </c>
      <c r="S235" s="19">
        <f t="shared" si="80"/>
        <v>0</v>
      </c>
      <c r="T235" s="144"/>
    </row>
    <row r="236" spans="1:20">
      <c r="A236" s="50">
        <v>44794</v>
      </c>
      <c r="D236" s="128" t="s">
        <v>50</v>
      </c>
      <c r="E236" s="129">
        <v>3414.3760000000002</v>
      </c>
      <c r="F236" s="130">
        <v>106.56</v>
      </c>
      <c r="G236" s="53"/>
      <c r="H236" s="53">
        <v>4140</v>
      </c>
      <c r="I236" s="53">
        <f t="shared" ref="I236:I299" si="86">IF(D236="","",+(E236-E235)*4140)</f>
        <v>28334.160000000211</v>
      </c>
      <c r="J236" s="53">
        <f t="shared" ref="J236:J299" si="87">IF(E236="","",+(F236-F235)*4140)</f>
        <v>1428.2999999999952</v>
      </c>
      <c r="K236" s="54">
        <f t="shared" si="81"/>
        <v>5.0409117475160178E-2</v>
      </c>
      <c r="L236" s="53">
        <f t="shared" si="84"/>
        <v>1428.2999999999952</v>
      </c>
      <c r="M236" s="54">
        <f t="shared" si="83"/>
        <v>5.0409117475160178E-2</v>
      </c>
      <c r="N236" s="55">
        <v>66288192</v>
      </c>
      <c r="O236" s="55">
        <f t="shared" si="79"/>
        <v>15542</v>
      </c>
      <c r="P236" s="62" t="s">
        <v>31</v>
      </c>
      <c r="Q236" s="62" t="s">
        <v>32</v>
      </c>
      <c r="R236" s="19">
        <f t="shared" si="85"/>
        <v>1</v>
      </c>
      <c r="S236" s="19">
        <f t="shared" si="80"/>
        <v>0</v>
      </c>
      <c r="T236" s="144"/>
    </row>
    <row r="237" spans="1:20">
      <c r="A237" s="50">
        <v>44795</v>
      </c>
      <c r="D237" s="128" t="s">
        <v>50</v>
      </c>
      <c r="E237" s="129">
        <v>3420.48</v>
      </c>
      <c r="F237" s="130">
        <v>106.892</v>
      </c>
      <c r="G237" s="53"/>
      <c r="H237" s="53">
        <v>4140</v>
      </c>
      <c r="I237" s="53">
        <f t="shared" si="86"/>
        <v>25270.559999999234</v>
      </c>
      <c r="J237" s="53">
        <f t="shared" si="87"/>
        <v>1374.4799999999736</v>
      </c>
      <c r="K237" s="54">
        <f t="shared" si="81"/>
        <v>5.43905635648761E-2</v>
      </c>
      <c r="L237" s="53">
        <f t="shared" si="84"/>
        <v>1374.4799999999736</v>
      </c>
      <c r="M237" s="54">
        <f t="shared" si="83"/>
        <v>5.43905635648761E-2</v>
      </c>
      <c r="N237" s="55">
        <v>66306976</v>
      </c>
      <c r="O237" s="55">
        <f t="shared" si="79"/>
        <v>18784</v>
      </c>
      <c r="P237" s="63">
        <f>IF(J216="",0,+SUM(J216:J246)/SUM(I216:I246))</f>
        <v>6.117268087232753E-2</v>
      </c>
      <c r="Q237" s="63">
        <f>IF(L216="",0,+SUM(L216:L246)/SUM(I216:I246))</f>
        <v>6.117268087232753E-2</v>
      </c>
      <c r="R237" s="19">
        <f t="shared" si="85"/>
        <v>1</v>
      </c>
      <c r="S237" s="19">
        <f t="shared" si="80"/>
        <v>0</v>
      </c>
      <c r="T237" s="145"/>
    </row>
    <row r="238" spans="1:20">
      <c r="A238" s="50">
        <v>44796</v>
      </c>
      <c r="D238" s="128" t="s">
        <v>50</v>
      </c>
      <c r="E238" s="129">
        <v>3427.0230000000001</v>
      </c>
      <c r="F238" s="130">
        <v>107.212</v>
      </c>
      <c r="G238" s="53"/>
      <c r="H238" s="53">
        <v>4140</v>
      </c>
      <c r="I238" s="53">
        <f t="shared" si="86"/>
        <v>27088.020000000499</v>
      </c>
      <c r="J238" s="53">
        <f t="shared" si="87"/>
        <v>1324.8000000000306</v>
      </c>
      <c r="K238" s="54">
        <f t="shared" si="81"/>
        <v>4.8907229099801545E-2</v>
      </c>
      <c r="L238" s="53">
        <f t="shared" si="84"/>
        <v>1324.8000000000306</v>
      </c>
      <c r="M238" s="54">
        <f t="shared" si="83"/>
        <v>4.8907229099801545E-2</v>
      </c>
      <c r="N238" s="55">
        <v>66325323</v>
      </c>
      <c r="O238" s="55">
        <f t="shared" si="79"/>
        <v>18347</v>
      </c>
      <c r="P238" s="64" t="e">
        <f>IF(J216="",0,+(+(LOOKUP(9.99999999999999E+307,E216:E246)-E215))/(+(LOOKUP(9.99999999999999E+307,D216:D246)-D215)))</f>
        <v>#DIV/0!</v>
      </c>
      <c r="Q238" s="64" t="e">
        <f>IF(L216="",0,+(+(LOOKUP(9.99999999999999E+307,F216:F246)-F215))/(+(LOOKUP(9.99999999999999E+307,D216:D246)-D215)))</f>
        <v>#DIV/0!</v>
      </c>
      <c r="R238" s="19">
        <f t="shared" si="85"/>
        <v>1</v>
      </c>
      <c r="S238" s="19">
        <f t="shared" si="80"/>
        <v>0</v>
      </c>
      <c r="T238" s="145"/>
    </row>
    <row r="239" spans="1:20">
      <c r="A239" s="50">
        <v>44797</v>
      </c>
      <c r="D239" s="128" t="s">
        <v>50</v>
      </c>
      <c r="E239" s="129">
        <v>3432.98</v>
      </c>
      <c r="F239" s="130">
        <v>107.494</v>
      </c>
      <c r="G239" s="53"/>
      <c r="H239" s="53">
        <v>4140</v>
      </c>
      <c r="I239" s="53">
        <f t="shared" si="86"/>
        <v>24661.979999999501</v>
      </c>
      <c r="J239" s="53">
        <f t="shared" si="87"/>
        <v>1167.4799999999855</v>
      </c>
      <c r="K239" s="54">
        <f t="shared" si="81"/>
        <v>4.7339264730569444E-2</v>
      </c>
      <c r="L239" s="53">
        <f t="shared" si="84"/>
        <v>1167.4799999999855</v>
      </c>
      <c r="M239" s="54">
        <f t="shared" si="83"/>
        <v>4.7339264730569444E-2</v>
      </c>
      <c r="N239" s="55">
        <v>66344231</v>
      </c>
      <c r="O239" s="55">
        <f t="shared" si="79"/>
        <v>18908</v>
      </c>
      <c r="P239" s="65" t="s">
        <v>33</v>
      </c>
      <c r="Q239" s="66" t="s">
        <v>34</v>
      </c>
      <c r="R239" s="19">
        <f t="shared" si="85"/>
        <v>1</v>
      </c>
      <c r="S239" s="19">
        <f t="shared" si="80"/>
        <v>0</v>
      </c>
      <c r="T239" s="145"/>
    </row>
    <row r="240" spans="1:20">
      <c r="A240" s="50">
        <v>44798</v>
      </c>
      <c r="D240" s="128" t="s">
        <v>50</v>
      </c>
      <c r="E240" s="129">
        <v>3438.6170000000002</v>
      </c>
      <c r="F240" s="130">
        <v>107.79300000000001</v>
      </c>
      <c r="G240" s="53"/>
      <c r="H240" s="53">
        <v>4140</v>
      </c>
      <c r="I240" s="53">
        <f t="shared" si="86"/>
        <v>23337.180000000706</v>
      </c>
      <c r="J240" s="53">
        <f t="shared" si="87"/>
        <v>1237.8600000000274</v>
      </c>
      <c r="K240" s="54">
        <f t="shared" si="81"/>
        <v>5.3042398438885502E-2</v>
      </c>
      <c r="L240" s="53">
        <f t="shared" si="84"/>
        <v>1237.8600000000274</v>
      </c>
      <c r="M240" s="54">
        <f t="shared" si="83"/>
        <v>5.3042398438885502E-2</v>
      </c>
      <c r="N240" s="55">
        <v>66363362</v>
      </c>
      <c r="O240" s="55">
        <f t="shared" si="79"/>
        <v>19131</v>
      </c>
      <c r="P240" s="67">
        <f>IF(N215="",0,+(LOOKUP(9.99999999999999E+307,N215:N246)-N215))</f>
        <v>406338</v>
      </c>
      <c r="Q240" s="67">
        <f>IF(P240="",0,+P240/SUM(R216:R246))</f>
        <v>13107.677419354839</v>
      </c>
      <c r="R240" s="19">
        <f t="shared" si="85"/>
        <v>1</v>
      </c>
      <c r="S240" s="19">
        <f t="shared" si="80"/>
        <v>0</v>
      </c>
      <c r="T240" s="145"/>
    </row>
    <row r="241" spans="1:20">
      <c r="A241" s="50">
        <v>44799</v>
      </c>
      <c r="D241" s="128" t="s">
        <v>50</v>
      </c>
      <c r="E241" s="129">
        <v>3444.9160000000002</v>
      </c>
      <c r="F241" s="130">
        <v>108.119</v>
      </c>
      <c r="G241" s="53"/>
      <c r="H241" s="53">
        <v>4140</v>
      </c>
      <c r="I241" s="53">
        <f t="shared" si="86"/>
        <v>26077.85999999991</v>
      </c>
      <c r="J241" s="53">
        <f t="shared" si="87"/>
        <v>1349.6399999999726</v>
      </c>
      <c r="K241" s="54">
        <f t="shared" si="81"/>
        <v>5.175424670582545E-2</v>
      </c>
      <c r="L241" s="53">
        <f t="shared" si="84"/>
        <v>1349.6399999999726</v>
      </c>
      <c r="M241" s="54">
        <f t="shared" si="83"/>
        <v>5.175424670582545E-2</v>
      </c>
      <c r="N241" s="55">
        <v>66382530</v>
      </c>
      <c r="O241" s="55">
        <f t="shared" si="79"/>
        <v>19168</v>
      </c>
      <c r="P241" s="69" t="s">
        <v>35</v>
      </c>
      <c r="Q241" s="70" t="s">
        <v>43</v>
      </c>
      <c r="R241" s="19">
        <f t="shared" si="85"/>
        <v>1</v>
      </c>
      <c r="S241" s="19">
        <f t="shared" si="80"/>
        <v>0</v>
      </c>
      <c r="T241" s="144"/>
    </row>
    <row r="242" spans="1:20">
      <c r="A242" s="50">
        <v>44800</v>
      </c>
      <c r="D242" s="128" t="s">
        <v>50</v>
      </c>
      <c r="E242" s="129">
        <v>3451.8119999999999</v>
      </c>
      <c r="F242" s="130">
        <v>108.58199999999999</v>
      </c>
      <c r="G242" s="53"/>
      <c r="H242" s="53">
        <v>4140</v>
      </c>
      <c r="I242" s="53">
        <f t="shared" si="86"/>
        <v>28549.439999998885</v>
      </c>
      <c r="J242" s="53">
        <f t="shared" si="87"/>
        <v>1916.8199999999747</v>
      </c>
      <c r="K242" s="54">
        <f t="shared" si="81"/>
        <v>6.714037122970011E-2</v>
      </c>
      <c r="L242" s="53">
        <f t="shared" si="84"/>
        <v>1916.8199999999747</v>
      </c>
      <c r="M242" s="54">
        <f t="shared" si="83"/>
        <v>6.714037122970011E-2</v>
      </c>
      <c r="N242" s="55">
        <v>66401559</v>
      </c>
      <c r="O242" s="55">
        <f t="shared" si="79"/>
        <v>19029</v>
      </c>
      <c r="P242" s="71">
        <f>IF(D215="",0,+(LOOKUP(9.99999999999999E+307,D215:D246)-D215))*4140</f>
        <v>0</v>
      </c>
      <c r="Q242" s="72">
        <f>IF(P242="",0,+P242/SUM(R216:R246))</f>
        <v>0</v>
      </c>
      <c r="R242" s="19">
        <f t="shared" si="85"/>
        <v>1</v>
      </c>
      <c r="S242" s="19">
        <f t="shared" si="80"/>
        <v>0</v>
      </c>
      <c r="T242" s="144"/>
    </row>
    <row r="243" spans="1:20">
      <c r="A243" s="50">
        <v>44801</v>
      </c>
      <c r="D243" s="128" t="s">
        <v>50</v>
      </c>
      <c r="E243" s="129">
        <v>3458.3339999999998</v>
      </c>
      <c r="F243" s="130">
        <v>109.002</v>
      </c>
      <c r="G243" s="53"/>
      <c r="H243" s="53">
        <v>4140</v>
      </c>
      <c r="I243" s="53">
        <f t="shared" si="86"/>
        <v>27001.079999999729</v>
      </c>
      <c r="J243" s="53">
        <f t="shared" si="87"/>
        <v>1738.800000000007</v>
      </c>
      <c r="K243" s="54">
        <f t="shared" si="81"/>
        <v>6.4397424103036782E-2</v>
      </c>
      <c r="L243" s="53">
        <f t="shared" si="84"/>
        <v>1738.800000000007</v>
      </c>
      <c r="M243" s="54">
        <f t="shared" si="83"/>
        <v>6.4397424103036782E-2</v>
      </c>
      <c r="N243" s="55">
        <v>66420800</v>
      </c>
      <c r="O243" s="55">
        <f t="shared" si="79"/>
        <v>19241</v>
      </c>
      <c r="P243" s="146" t="s">
        <v>37</v>
      </c>
      <c r="Q243" s="147" t="s">
        <v>44</v>
      </c>
      <c r="R243" s="19">
        <f t="shared" si="85"/>
        <v>1</v>
      </c>
      <c r="S243" s="19">
        <f t="shared" si="80"/>
        <v>0</v>
      </c>
      <c r="T243" s="144"/>
    </row>
    <row r="244" spans="1:20">
      <c r="A244" s="50">
        <v>44802</v>
      </c>
      <c r="D244" s="128" t="s">
        <v>50</v>
      </c>
      <c r="E244" s="129">
        <v>3464.866</v>
      </c>
      <c r="F244" s="130">
        <v>109.38800000000001</v>
      </c>
      <c r="G244" s="53"/>
      <c r="H244" s="53">
        <v>4140</v>
      </c>
      <c r="I244" s="53">
        <f t="shared" si="86"/>
        <v>27042.480000000633</v>
      </c>
      <c r="J244" s="53">
        <f t="shared" si="87"/>
        <v>1598.0400000000409</v>
      </c>
      <c r="K244" s="54">
        <f t="shared" si="81"/>
        <v>5.9093692590324688E-2</v>
      </c>
      <c r="L244" s="53">
        <f t="shared" si="84"/>
        <v>1598.0400000000409</v>
      </c>
      <c r="M244" s="54">
        <f t="shared" si="83"/>
        <v>5.9093692590324688E-2</v>
      </c>
      <c r="N244" s="55">
        <v>66439800</v>
      </c>
      <c r="O244" s="55">
        <f t="shared" si="79"/>
        <v>19000</v>
      </c>
      <c r="P244" s="73">
        <f>P242*Q247</f>
        <v>0</v>
      </c>
      <c r="Q244" s="74">
        <f>IF(Q34="",0,(SUM('[1]Günlük Tüketim'!H216:H246)*1.62)/SUM(O216:O246))</f>
        <v>0</v>
      </c>
      <c r="R244" s="19">
        <f t="shared" si="85"/>
        <v>1</v>
      </c>
      <c r="S244" s="19">
        <f t="shared" si="80"/>
        <v>0</v>
      </c>
      <c r="T244" s="144"/>
    </row>
    <row r="245" spans="1:20">
      <c r="A245" s="50">
        <v>44803</v>
      </c>
      <c r="D245" s="128" t="s">
        <v>50</v>
      </c>
      <c r="E245" s="129">
        <v>3471.8629999999998</v>
      </c>
      <c r="F245" s="130">
        <v>109.745</v>
      </c>
      <c r="G245" s="53"/>
      <c r="H245" s="53">
        <v>4140</v>
      </c>
      <c r="I245" s="53">
        <f t="shared" si="86"/>
        <v>28967.579999999354</v>
      </c>
      <c r="J245" s="53">
        <f t="shared" si="87"/>
        <v>1477.9799999999973</v>
      </c>
      <c r="K245" s="54">
        <f t="shared" si="81"/>
        <v>5.1021866514221421E-2</v>
      </c>
      <c r="L245" s="53">
        <f t="shared" si="84"/>
        <v>1477.9799999999973</v>
      </c>
      <c r="M245" s="54">
        <f t="shared" si="83"/>
        <v>5.1021866514221421E-2</v>
      </c>
      <c r="N245" s="55">
        <v>66458870</v>
      </c>
      <c r="O245" s="55">
        <f t="shared" si="79"/>
        <v>19070</v>
      </c>
      <c r="P245" s="148" t="s">
        <v>39</v>
      </c>
      <c r="Q245" s="149" t="s">
        <v>40</v>
      </c>
      <c r="R245" s="19">
        <f t="shared" si="85"/>
        <v>1</v>
      </c>
      <c r="S245" s="19">
        <f t="shared" si="80"/>
        <v>0</v>
      </c>
      <c r="T245" s="144"/>
    </row>
    <row r="246" spans="1:20">
      <c r="A246" s="50">
        <v>44804</v>
      </c>
      <c r="D246" s="153" t="s">
        <v>50</v>
      </c>
      <c r="E246" s="153">
        <v>3477.6419999999998</v>
      </c>
      <c r="F246" s="153">
        <v>110.086</v>
      </c>
      <c r="G246" s="154"/>
      <c r="H246" s="155">
        <v>4140</v>
      </c>
      <c r="I246" s="155">
        <f t="shared" si="86"/>
        <v>23925.059999999983</v>
      </c>
      <c r="J246" s="155">
        <f t="shared" si="87"/>
        <v>1411.739999999975</v>
      </c>
      <c r="K246" s="156">
        <f t="shared" si="81"/>
        <v>5.9006748572416369E-2</v>
      </c>
      <c r="L246" s="155">
        <f t="shared" si="84"/>
        <v>1411.739999999975</v>
      </c>
      <c r="M246" s="156">
        <f t="shared" si="83"/>
        <v>5.9006748572416369E-2</v>
      </c>
      <c r="N246" s="157">
        <v>66478357</v>
      </c>
      <c r="O246" s="161">
        <f t="shared" si="79"/>
        <v>19487</v>
      </c>
      <c r="P246" s="111">
        <f>(P244+Q242*SUM(S216:S246)*Q247)</f>
        <v>0</v>
      </c>
      <c r="Q246" s="79">
        <f>Q242*31</f>
        <v>0</v>
      </c>
      <c r="R246" s="19">
        <f t="shared" si="85"/>
        <v>1</v>
      </c>
      <c r="S246" s="19">
        <f t="shared" si="80"/>
        <v>0</v>
      </c>
      <c r="T246" s="144"/>
    </row>
    <row r="247" spans="1:20" ht="12.75" customHeight="1">
      <c r="A247" s="50">
        <v>44805</v>
      </c>
      <c r="D247" s="128" t="s">
        <v>50</v>
      </c>
      <c r="E247" s="129">
        <v>3485.7080000000001</v>
      </c>
      <c r="F247" s="130">
        <v>110.565</v>
      </c>
      <c r="G247" s="53"/>
      <c r="H247" s="53">
        <v>4140</v>
      </c>
      <c r="I247" s="53">
        <f t="shared" si="86"/>
        <v>33393.240000001068</v>
      </c>
      <c r="J247" s="53">
        <f t="shared" si="87"/>
        <v>1983.0599999999968</v>
      </c>
      <c r="K247" s="54">
        <f t="shared" si="81"/>
        <v>5.9385073146539041E-2</v>
      </c>
      <c r="L247" s="53">
        <f t="shared" si="84"/>
        <v>1983.0599999999968</v>
      </c>
      <c r="M247" s="54">
        <f t="shared" si="83"/>
        <v>5.9385073146539041E-2</v>
      </c>
      <c r="N247" s="55">
        <v>66490779</v>
      </c>
      <c r="O247" s="55">
        <f t="shared" si="79"/>
        <v>12422</v>
      </c>
      <c r="P247" s="80" t="s">
        <v>41</v>
      </c>
      <c r="Q247" s="81">
        <v>0.56999999999999995</v>
      </c>
      <c r="R247" s="19">
        <f t="shared" si="85"/>
        <v>1</v>
      </c>
      <c r="S247" s="19">
        <f t="shared" si="80"/>
        <v>0</v>
      </c>
      <c r="T247" s="144"/>
    </row>
    <row r="248" spans="1:20" ht="12.75" customHeight="1">
      <c r="A248" s="50">
        <v>44806</v>
      </c>
      <c r="D248" s="128" t="s">
        <v>50</v>
      </c>
      <c r="E248" s="129">
        <v>3495.9850000000001</v>
      </c>
      <c r="F248" s="130">
        <v>111.15900000000001</v>
      </c>
      <c r="G248" s="53"/>
      <c r="H248" s="53">
        <v>4140</v>
      </c>
      <c r="I248" s="53">
        <f t="shared" si="86"/>
        <v>42546.780000000181</v>
      </c>
      <c r="J248" s="53">
        <f t="shared" si="87"/>
        <v>2459.1600000000344</v>
      </c>
      <c r="K248" s="54">
        <f t="shared" si="81"/>
        <v>5.7798968570595098E-2</v>
      </c>
      <c r="L248" s="53">
        <f t="shared" si="84"/>
        <v>2459.1600000000344</v>
      </c>
      <c r="M248" s="54">
        <f t="shared" si="83"/>
        <v>5.7798968570595098E-2</v>
      </c>
      <c r="N248" s="55">
        <v>66490779</v>
      </c>
      <c r="O248" s="55">
        <f t="shared" si="79"/>
        <v>0</v>
      </c>
      <c r="P248" s="56"/>
      <c r="Q248" s="88"/>
      <c r="R248" s="19">
        <f t="shared" si="85"/>
        <v>1</v>
      </c>
      <c r="S248" s="19">
        <f t="shared" si="80"/>
        <v>0</v>
      </c>
      <c r="T248" s="144"/>
    </row>
    <row r="249" spans="1:20" ht="12.75" customHeight="1">
      <c r="A249" s="50">
        <v>44807</v>
      </c>
      <c r="D249" s="128" t="s">
        <v>50</v>
      </c>
      <c r="E249" s="129">
        <v>3505.49</v>
      </c>
      <c r="F249" s="130">
        <v>111.696</v>
      </c>
      <c r="G249" s="53"/>
      <c r="H249" s="53">
        <v>4140</v>
      </c>
      <c r="I249" s="53">
        <f t="shared" si="86"/>
        <v>39350.699999998571</v>
      </c>
      <c r="J249" s="53">
        <f t="shared" si="87"/>
        <v>2223.1799999999666</v>
      </c>
      <c r="K249" s="54">
        <f t="shared" si="81"/>
        <v>5.6496580746976478E-2</v>
      </c>
      <c r="L249" s="53">
        <f t="shared" si="84"/>
        <v>2223.1799999999666</v>
      </c>
      <c r="M249" s="54">
        <f t="shared" si="83"/>
        <v>5.6496580746976478E-2</v>
      </c>
      <c r="N249" s="55">
        <v>66490779</v>
      </c>
      <c r="O249" s="55">
        <f t="shared" si="79"/>
        <v>0</v>
      </c>
      <c r="P249" s="56"/>
      <c r="Q249" s="88"/>
      <c r="R249" s="19">
        <f t="shared" si="85"/>
        <v>1</v>
      </c>
      <c r="S249" s="19">
        <f t="shared" si="80"/>
        <v>0</v>
      </c>
      <c r="T249" s="145"/>
    </row>
    <row r="250" spans="1:20" ht="12.75" customHeight="1">
      <c r="A250" s="50">
        <v>44808</v>
      </c>
      <c r="D250" s="128" t="s">
        <v>50</v>
      </c>
      <c r="E250" s="129">
        <v>3510.6350000000002</v>
      </c>
      <c r="F250" s="130">
        <v>111.985</v>
      </c>
      <c r="G250" s="53"/>
      <c r="H250" s="53">
        <v>4140</v>
      </c>
      <c r="I250" s="53">
        <f t="shared" si="86"/>
        <v>21300.300000001807</v>
      </c>
      <c r="J250" s="53">
        <f t="shared" si="87"/>
        <v>1196.4600000000062</v>
      </c>
      <c r="K250" s="54">
        <f t="shared" si="81"/>
        <v>5.6171039844504757E-2</v>
      </c>
      <c r="L250" s="53">
        <f t="shared" si="84"/>
        <v>1196.4600000000062</v>
      </c>
      <c r="M250" s="54">
        <f t="shared" si="83"/>
        <v>5.6171039844504757E-2</v>
      </c>
      <c r="N250" s="55">
        <v>66506650</v>
      </c>
      <c r="O250" s="55">
        <f t="shared" si="79"/>
        <v>15871</v>
      </c>
      <c r="P250" s="56"/>
      <c r="Q250" s="88"/>
      <c r="R250" s="19">
        <f>IF(N250="",0,1)</f>
        <v>1</v>
      </c>
      <c r="S250" s="19">
        <f t="shared" si="80"/>
        <v>0</v>
      </c>
      <c r="T250" s="145"/>
    </row>
    <row r="251" spans="1:20" ht="12.75" customHeight="1">
      <c r="A251" s="50">
        <v>44809</v>
      </c>
      <c r="D251" s="128" t="s">
        <v>50</v>
      </c>
      <c r="E251" s="129">
        <v>3514.4940000000001</v>
      </c>
      <c r="F251" s="130">
        <v>112.182</v>
      </c>
      <c r="G251" s="53"/>
      <c r="H251" s="53">
        <v>4140</v>
      </c>
      <c r="I251" s="53">
        <f t="shared" si="86"/>
        <v>15976.259999999684</v>
      </c>
      <c r="J251" s="53">
        <f t="shared" si="87"/>
        <v>815.5800000000113</v>
      </c>
      <c r="K251" s="54">
        <f t="shared" si="81"/>
        <v>5.1049494687744654E-2</v>
      </c>
      <c r="L251" s="53">
        <f t="shared" si="84"/>
        <v>815.5800000000113</v>
      </c>
      <c r="M251" s="54">
        <f t="shared" si="83"/>
        <v>5.1049494687744654E-2</v>
      </c>
      <c r="N251" s="55">
        <v>66527690</v>
      </c>
      <c r="O251" s="55">
        <f t="shared" si="79"/>
        <v>21040</v>
      </c>
      <c r="P251" s="105"/>
      <c r="Q251" s="106"/>
      <c r="R251" s="19">
        <f>IF(N251="",0,1)</f>
        <v>1</v>
      </c>
      <c r="S251" s="19">
        <f t="shared" si="80"/>
        <v>0</v>
      </c>
      <c r="T251" s="144"/>
    </row>
    <row r="252" spans="1:20" ht="12.75" customHeight="1">
      <c r="A252" s="50">
        <v>44810</v>
      </c>
      <c r="D252" s="128" t="s">
        <v>50</v>
      </c>
      <c r="E252" s="129">
        <v>3518.3359999999998</v>
      </c>
      <c r="F252" s="130">
        <v>112.393</v>
      </c>
      <c r="G252" s="53"/>
      <c r="H252" s="53">
        <v>4140</v>
      </c>
      <c r="I252" s="53">
        <f t="shared" si="86"/>
        <v>15905.879999998524</v>
      </c>
      <c r="J252" s="53">
        <f t="shared" si="87"/>
        <v>873.53999999999382</v>
      </c>
      <c r="K252" s="54">
        <f t="shared" si="81"/>
        <v>5.4919312857891228E-2</v>
      </c>
      <c r="L252" s="53">
        <f t="shared" si="84"/>
        <v>873.53999999999382</v>
      </c>
      <c r="M252" s="54">
        <f t="shared" si="83"/>
        <v>5.4919312857891228E-2</v>
      </c>
      <c r="N252" s="55">
        <v>66544970</v>
      </c>
      <c r="O252" s="55">
        <f t="shared" si="79"/>
        <v>17280</v>
      </c>
      <c r="P252" s="107"/>
      <c r="Q252" s="108"/>
      <c r="R252" s="19">
        <f>IF(N252="",0,1)</f>
        <v>1</v>
      </c>
      <c r="S252" s="19">
        <f t="shared" si="80"/>
        <v>0</v>
      </c>
      <c r="T252" s="144"/>
    </row>
    <row r="253" spans="1:20" ht="12.75" customHeight="1">
      <c r="A253" s="50">
        <v>44811</v>
      </c>
      <c r="D253" s="128" t="s">
        <v>50</v>
      </c>
      <c r="E253" s="129">
        <v>3522.02</v>
      </c>
      <c r="F253" s="130">
        <v>112.58</v>
      </c>
      <c r="G253" s="53"/>
      <c r="H253" s="53">
        <v>4140</v>
      </c>
      <c r="I253" s="53">
        <f t="shared" si="86"/>
        <v>15251.760000000813</v>
      </c>
      <c r="J253" s="53">
        <f t="shared" si="87"/>
        <v>774.17999999999006</v>
      </c>
      <c r="K253" s="54">
        <f t="shared" si="81"/>
        <v>5.0760043431049846E-2</v>
      </c>
      <c r="L253" s="53">
        <f t="shared" si="84"/>
        <v>774.17999999999006</v>
      </c>
      <c r="M253" s="54">
        <f t="shared" si="83"/>
        <v>5.0760043431049846E-2</v>
      </c>
      <c r="N253" s="55">
        <v>66564457</v>
      </c>
      <c r="O253" s="55">
        <f t="shared" si="79"/>
        <v>19487</v>
      </c>
      <c r="P253" s="109"/>
      <c r="Q253" s="110"/>
      <c r="R253" s="19">
        <f t="shared" ref="R253:R316" si="88">IF(N253="",0,1)</f>
        <v>1</v>
      </c>
      <c r="S253" s="19">
        <f t="shared" si="80"/>
        <v>0</v>
      </c>
      <c r="T253" s="144"/>
    </row>
    <row r="254" spans="1:20" ht="12.75" customHeight="1">
      <c r="A254" s="50">
        <v>44812</v>
      </c>
      <c r="D254" s="128" t="s">
        <v>50</v>
      </c>
      <c r="E254" s="129">
        <v>3525.8580000000002</v>
      </c>
      <c r="F254" s="130">
        <v>112.806</v>
      </c>
      <c r="G254" s="53"/>
      <c r="H254" s="53">
        <v>4140</v>
      </c>
      <c r="I254" s="55">
        <f t="shared" si="86"/>
        <v>15889.320000000798</v>
      </c>
      <c r="J254" s="53">
        <f t="shared" si="87"/>
        <v>935.63999999999623</v>
      </c>
      <c r="K254" s="54">
        <f t="shared" si="81"/>
        <v>5.8884835852003055E-2</v>
      </c>
      <c r="L254" s="53">
        <f t="shared" si="84"/>
        <v>935.63999999999623</v>
      </c>
      <c r="M254" s="54">
        <f t="shared" si="83"/>
        <v>5.8884835852003055E-2</v>
      </c>
      <c r="N254" s="55">
        <v>66582835</v>
      </c>
      <c r="O254" s="55">
        <f t="shared" si="79"/>
        <v>18378</v>
      </c>
      <c r="P254" s="56"/>
      <c r="Q254" s="58"/>
      <c r="R254" s="19">
        <f t="shared" si="88"/>
        <v>1</v>
      </c>
      <c r="S254" s="19">
        <f t="shared" si="80"/>
        <v>0</v>
      </c>
      <c r="T254" s="145"/>
    </row>
    <row r="255" spans="1:20" ht="12.75" customHeight="1">
      <c r="A255" s="50">
        <v>44813</v>
      </c>
      <c r="D255" s="128" t="s">
        <v>50</v>
      </c>
      <c r="E255" s="129">
        <v>3530.0210000000002</v>
      </c>
      <c r="F255" s="130">
        <v>113.039</v>
      </c>
      <c r="G255" s="53"/>
      <c r="H255" s="53">
        <v>4140</v>
      </c>
      <c r="I255" s="53">
        <f t="shared" si="86"/>
        <v>17234.820000000043</v>
      </c>
      <c r="J255" s="53">
        <f t="shared" si="87"/>
        <v>964.62000000001694</v>
      </c>
      <c r="K255" s="54">
        <f t="shared" si="81"/>
        <v>5.5969252942590322E-2</v>
      </c>
      <c r="L255" s="53">
        <f t="shared" si="84"/>
        <v>964.62000000001694</v>
      </c>
      <c r="M255" s="54">
        <f t="shared" si="83"/>
        <v>5.5969252942590322E-2</v>
      </c>
      <c r="N255" s="55">
        <v>66601900</v>
      </c>
      <c r="O255" s="55">
        <f t="shared" si="79"/>
        <v>19065</v>
      </c>
      <c r="P255" s="56"/>
      <c r="Q255" s="58"/>
      <c r="R255" s="19">
        <f t="shared" si="88"/>
        <v>1</v>
      </c>
      <c r="S255" s="19">
        <f t="shared" si="80"/>
        <v>0</v>
      </c>
      <c r="T255" s="145"/>
    </row>
    <row r="256" spans="1:20" ht="12.75" customHeight="1">
      <c r="A256" s="50">
        <v>44814</v>
      </c>
      <c r="D256" s="128" t="s">
        <v>50</v>
      </c>
      <c r="E256" s="129">
        <v>3534.076</v>
      </c>
      <c r="F256" s="130">
        <v>113.227</v>
      </c>
      <c r="G256" s="53"/>
      <c r="H256" s="53">
        <v>4140</v>
      </c>
      <c r="I256" s="53">
        <f t="shared" si="86"/>
        <v>16787.69999999932</v>
      </c>
      <c r="J256" s="53">
        <f t="shared" si="87"/>
        <v>778.32000000000994</v>
      </c>
      <c r="K256" s="54">
        <f t="shared" si="81"/>
        <v>4.636251541307275E-2</v>
      </c>
      <c r="L256" s="53">
        <f t="shared" si="84"/>
        <v>778.32000000000994</v>
      </c>
      <c r="M256" s="54">
        <f t="shared" si="83"/>
        <v>4.636251541307275E-2</v>
      </c>
      <c r="N256" s="55">
        <v>66620860</v>
      </c>
      <c r="O256" s="55">
        <f t="shared" si="79"/>
        <v>18960</v>
      </c>
      <c r="P256" s="56"/>
      <c r="Q256" s="57"/>
      <c r="R256" s="19">
        <f t="shared" si="88"/>
        <v>1</v>
      </c>
      <c r="S256" s="19">
        <f t="shared" si="80"/>
        <v>0</v>
      </c>
      <c r="T256" s="144"/>
    </row>
    <row r="257" spans="1:20" ht="12.75" customHeight="1">
      <c r="A257" s="50">
        <v>44815</v>
      </c>
      <c r="D257" s="128" t="s">
        <v>50</v>
      </c>
      <c r="E257" s="129">
        <v>3538.317</v>
      </c>
      <c r="F257" s="130">
        <v>113.435</v>
      </c>
      <c r="G257" s="53"/>
      <c r="H257" s="53">
        <v>4140</v>
      </c>
      <c r="I257" s="53">
        <f t="shared" si="86"/>
        <v>17557.73999999994</v>
      </c>
      <c r="J257" s="53">
        <f t="shared" si="87"/>
        <v>861.11999999999341</v>
      </c>
      <c r="K257" s="54">
        <f t="shared" si="81"/>
        <v>4.9045036547983756E-2</v>
      </c>
      <c r="L257" s="53">
        <f>IF(F257="","",+(F257-F256)*4140)</f>
        <v>861.11999999999341</v>
      </c>
      <c r="M257" s="54">
        <f t="shared" si="83"/>
        <v>4.9045036547983756E-2</v>
      </c>
      <c r="N257" s="55">
        <v>66640523</v>
      </c>
      <c r="O257" s="55">
        <f t="shared" si="79"/>
        <v>19663</v>
      </c>
      <c r="P257" s="56"/>
      <c r="Q257" s="57"/>
      <c r="R257" s="19">
        <f t="shared" si="88"/>
        <v>1</v>
      </c>
      <c r="S257" s="19">
        <f t="shared" si="80"/>
        <v>0</v>
      </c>
      <c r="T257" s="144"/>
    </row>
    <row r="258" spans="1:20" ht="12.75" customHeight="1">
      <c r="A258" s="50">
        <v>44816</v>
      </c>
      <c r="D258" s="128" t="s">
        <v>50</v>
      </c>
      <c r="E258" s="129">
        <v>3542.3820000000001</v>
      </c>
      <c r="F258" s="130">
        <v>113.63500000000001</v>
      </c>
      <c r="G258" s="53"/>
      <c r="H258" s="53">
        <v>4140</v>
      </c>
      <c r="I258" s="53">
        <f t="shared" si="86"/>
        <v>16829.100000000224</v>
      </c>
      <c r="J258" s="53">
        <f t="shared" si="87"/>
        <v>828.00000000001182</v>
      </c>
      <c r="K258" s="54">
        <f t="shared" si="81"/>
        <v>4.9200492004920097E-2</v>
      </c>
      <c r="L258" s="53">
        <f t="shared" si="84"/>
        <v>828.00000000001182</v>
      </c>
      <c r="M258" s="54">
        <f t="shared" si="83"/>
        <v>4.9200492004920097E-2</v>
      </c>
      <c r="N258" s="55">
        <v>66663303</v>
      </c>
      <c r="O258" s="55">
        <f t="shared" si="79"/>
        <v>22780</v>
      </c>
      <c r="P258" s="56"/>
      <c r="Q258" s="58"/>
      <c r="R258" s="19">
        <f t="shared" si="88"/>
        <v>1</v>
      </c>
      <c r="S258" s="19">
        <f t="shared" si="80"/>
        <v>0</v>
      </c>
      <c r="T258" s="144"/>
    </row>
    <row r="259" spans="1:20" ht="12.75" customHeight="1">
      <c r="A259" s="50">
        <v>44817</v>
      </c>
      <c r="D259" s="128" t="s">
        <v>50</v>
      </c>
      <c r="E259" s="129">
        <v>3547.6080000000002</v>
      </c>
      <c r="F259" s="130">
        <v>113.88800000000001</v>
      </c>
      <c r="G259" s="53"/>
      <c r="H259" s="53">
        <v>4140</v>
      </c>
      <c r="I259" s="53">
        <f t="shared" si="86"/>
        <v>21635.640000000465</v>
      </c>
      <c r="J259" s="53">
        <f t="shared" si="87"/>
        <v>1047.4200000000005</v>
      </c>
      <c r="K259" s="54">
        <f t="shared" si="81"/>
        <v>4.8411787217756352E-2</v>
      </c>
      <c r="L259" s="53">
        <f t="shared" si="84"/>
        <v>1047.4200000000005</v>
      </c>
      <c r="M259" s="54">
        <f t="shared" si="83"/>
        <v>4.8411787217756352E-2</v>
      </c>
      <c r="N259" s="55">
        <v>66675202</v>
      </c>
      <c r="O259" s="55">
        <f t="shared" si="79"/>
        <v>11899</v>
      </c>
      <c r="P259" s="56"/>
      <c r="Q259" s="58"/>
      <c r="R259" s="19">
        <f t="shared" si="88"/>
        <v>1</v>
      </c>
      <c r="S259" s="19">
        <f t="shared" si="80"/>
        <v>0</v>
      </c>
      <c r="T259" s="145"/>
    </row>
    <row r="260" spans="1:20" ht="12.75" customHeight="1">
      <c r="A260" s="50">
        <v>44818</v>
      </c>
      <c r="D260" s="128" t="s">
        <v>50</v>
      </c>
      <c r="E260" s="129">
        <v>3552.4250000000002</v>
      </c>
      <c r="F260" s="130">
        <v>114.126</v>
      </c>
      <c r="G260" s="53"/>
      <c r="H260" s="53">
        <v>4140</v>
      </c>
      <c r="I260" s="53">
        <f t="shared" si="86"/>
        <v>19942.38000000003</v>
      </c>
      <c r="J260" s="53">
        <f t="shared" si="87"/>
        <v>985.31999999999812</v>
      </c>
      <c r="K260" s="54">
        <f t="shared" si="81"/>
        <v>4.940834544322175E-2</v>
      </c>
      <c r="L260" s="53">
        <f t="shared" si="84"/>
        <v>985.31999999999812</v>
      </c>
      <c r="M260" s="54">
        <f t="shared" si="83"/>
        <v>4.940834544322175E-2</v>
      </c>
      <c r="N260" s="55">
        <v>66693542</v>
      </c>
      <c r="O260" s="55">
        <f t="shared" si="79"/>
        <v>18340</v>
      </c>
      <c r="P260" s="56"/>
      <c r="Q260" s="57"/>
      <c r="R260" s="19">
        <f t="shared" si="88"/>
        <v>1</v>
      </c>
      <c r="S260" s="19">
        <f t="shared" si="80"/>
        <v>0</v>
      </c>
      <c r="T260" s="145"/>
    </row>
    <row r="261" spans="1:20" ht="12.75" customHeight="1">
      <c r="A261" s="50">
        <v>44819</v>
      </c>
      <c r="D261" s="128" t="s">
        <v>50</v>
      </c>
      <c r="E261" s="129">
        <v>3557.817</v>
      </c>
      <c r="F261" s="130">
        <v>114.387</v>
      </c>
      <c r="G261" s="53"/>
      <c r="H261" s="53">
        <v>4140</v>
      </c>
      <c r="I261" s="53">
        <f t="shared" si="86"/>
        <v>22322.879999999277</v>
      </c>
      <c r="J261" s="53">
        <f t="shared" si="87"/>
        <v>1080.5399999999822</v>
      </c>
      <c r="K261" s="54">
        <f t="shared" si="81"/>
        <v>4.8405044510386526E-2</v>
      </c>
      <c r="L261" s="53">
        <f t="shared" ref="L261:L324" si="89">IF(F261="","",+(F261-F260)*4140)</f>
        <v>1080.5399999999822</v>
      </c>
      <c r="M261" s="54">
        <f t="shared" si="83"/>
        <v>4.8405044510386526E-2</v>
      </c>
      <c r="N261" s="55">
        <v>66710195</v>
      </c>
      <c r="O261" s="55">
        <f t="shared" si="79"/>
        <v>16653</v>
      </c>
      <c r="P261" s="56"/>
      <c r="Q261" s="57"/>
      <c r="R261" s="19">
        <f t="shared" si="88"/>
        <v>1</v>
      </c>
      <c r="S261" s="19">
        <f t="shared" si="80"/>
        <v>0</v>
      </c>
      <c r="T261" s="144"/>
    </row>
    <row r="262" spans="1:20" ht="12.75" customHeight="1">
      <c r="A262" s="50">
        <v>44820</v>
      </c>
      <c r="D262" s="128" t="s">
        <v>50</v>
      </c>
      <c r="E262" s="129">
        <v>3564.3330000000001</v>
      </c>
      <c r="F262" s="130">
        <v>114.45699999999999</v>
      </c>
      <c r="G262" s="53"/>
      <c r="H262" s="53">
        <v>4140</v>
      </c>
      <c r="I262" s="53">
        <f t="shared" si="86"/>
        <v>26976.240000000318</v>
      </c>
      <c r="J262" s="53">
        <f t="shared" si="87"/>
        <v>289.79999999997176</v>
      </c>
      <c r="K262" s="54">
        <f t="shared" si="81"/>
        <v>1.0742786985879734E-2</v>
      </c>
      <c r="L262" s="53">
        <f t="shared" si="89"/>
        <v>289.79999999997176</v>
      </c>
      <c r="M262" s="54">
        <f t="shared" si="83"/>
        <v>1.0742786985879734E-2</v>
      </c>
      <c r="N262" s="55">
        <v>66725663</v>
      </c>
      <c r="O262" s="55">
        <f t="shared" ref="O262:O314" si="90">IF(N262="","",N262-N261)</f>
        <v>15468</v>
      </c>
      <c r="P262" s="56"/>
      <c r="Q262" s="57"/>
      <c r="R262" s="19">
        <f t="shared" si="88"/>
        <v>1</v>
      </c>
      <c r="S262" s="19">
        <f t="shared" si="80"/>
        <v>0</v>
      </c>
      <c r="T262" s="144"/>
    </row>
    <row r="263" spans="1:20" ht="12.75" customHeight="1">
      <c r="A263" s="50">
        <v>44821</v>
      </c>
      <c r="D263" s="128" t="s">
        <v>50</v>
      </c>
      <c r="E263" s="129">
        <v>3570.0189999999998</v>
      </c>
      <c r="F263" s="130">
        <v>115.063</v>
      </c>
      <c r="G263" s="53"/>
      <c r="H263" s="53">
        <v>4140</v>
      </c>
      <c r="I263" s="53">
        <f t="shared" si="86"/>
        <v>23540.039999998735</v>
      </c>
      <c r="J263" s="53">
        <f t="shared" si="87"/>
        <v>2508.8400000000361</v>
      </c>
      <c r="K263" s="54">
        <f t="shared" si="81"/>
        <v>0.10657755891664461</v>
      </c>
      <c r="L263" s="53">
        <f t="shared" si="89"/>
        <v>2508.8400000000361</v>
      </c>
      <c r="M263" s="54">
        <f t="shared" si="83"/>
        <v>0.10657755891664461</v>
      </c>
      <c r="N263" s="55">
        <v>66742679</v>
      </c>
      <c r="O263" s="55">
        <f t="shared" si="90"/>
        <v>17016</v>
      </c>
      <c r="P263" s="56"/>
      <c r="Q263" s="88"/>
      <c r="R263" s="19">
        <f t="shared" si="88"/>
        <v>1</v>
      </c>
      <c r="S263" s="19">
        <f t="shared" si="80"/>
        <v>0</v>
      </c>
      <c r="T263" s="144"/>
    </row>
    <row r="264" spans="1:20" ht="12.75" customHeight="1">
      <c r="A264" s="50">
        <v>44822</v>
      </c>
      <c r="D264" s="128" t="s">
        <v>50</v>
      </c>
      <c r="E264" s="129">
        <v>3578.14</v>
      </c>
      <c r="F264" s="130">
        <v>115.429</v>
      </c>
      <c r="G264" s="53"/>
      <c r="H264" s="53">
        <v>4140</v>
      </c>
      <c r="I264" s="53">
        <f t="shared" si="86"/>
        <v>33620.940000000395</v>
      </c>
      <c r="J264" s="53">
        <f t="shared" si="87"/>
        <v>1515.2399999999986</v>
      </c>
      <c r="K264" s="54">
        <f t="shared" si="81"/>
        <v>4.5068341337273166E-2</v>
      </c>
      <c r="L264" s="53">
        <f t="shared" si="89"/>
        <v>1515.2399999999986</v>
      </c>
      <c r="M264" s="54">
        <f t="shared" si="83"/>
        <v>4.5068341337273166E-2</v>
      </c>
      <c r="N264" s="55">
        <v>66742679</v>
      </c>
      <c r="O264" s="55">
        <f t="shared" si="90"/>
        <v>0</v>
      </c>
      <c r="P264" s="181" t="s">
        <v>52</v>
      </c>
      <c r="Q264" s="182"/>
      <c r="R264" s="19">
        <f t="shared" si="88"/>
        <v>1</v>
      </c>
      <c r="S264" s="19">
        <f t="shared" ref="S264:S327" si="91">IF(N264="",1,0)</f>
        <v>0</v>
      </c>
      <c r="T264" s="145"/>
    </row>
    <row r="265" spans="1:20" ht="12.75" customHeight="1">
      <c r="A265" s="50">
        <v>44823</v>
      </c>
      <c r="D265" s="128" t="s">
        <v>50</v>
      </c>
      <c r="E265" s="129">
        <v>3586.027</v>
      </c>
      <c r="F265" s="130">
        <v>115.795</v>
      </c>
      <c r="G265" s="53"/>
      <c r="H265" s="53">
        <v>4140</v>
      </c>
      <c r="I265" s="53">
        <f t="shared" si="86"/>
        <v>32652.180000000706</v>
      </c>
      <c r="J265" s="53">
        <f t="shared" si="87"/>
        <v>1515.2399999999986</v>
      </c>
      <c r="K265" s="54">
        <f t="shared" si="81"/>
        <v>4.6405477367819421E-2</v>
      </c>
      <c r="L265" s="53">
        <f t="shared" si="89"/>
        <v>1515.2399999999986</v>
      </c>
      <c r="M265" s="54">
        <f t="shared" si="83"/>
        <v>4.6405477367819421E-2</v>
      </c>
      <c r="N265" s="55">
        <v>66742679</v>
      </c>
      <c r="O265" s="55">
        <f t="shared" si="90"/>
        <v>0</v>
      </c>
      <c r="P265" s="183"/>
      <c r="Q265" s="184"/>
      <c r="R265" s="19">
        <f t="shared" si="88"/>
        <v>1</v>
      </c>
      <c r="S265" s="19">
        <f t="shared" si="91"/>
        <v>0</v>
      </c>
      <c r="T265" s="145"/>
    </row>
    <row r="266" spans="1:20" ht="12.75" customHeight="1">
      <c r="A266" s="50">
        <v>44824</v>
      </c>
      <c r="D266" s="128" t="s">
        <v>50</v>
      </c>
      <c r="E266" s="129">
        <v>3595.03</v>
      </c>
      <c r="F266" s="130">
        <v>116.19499999999999</v>
      </c>
      <c r="G266" s="53"/>
      <c r="H266" s="53">
        <v>4140</v>
      </c>
      <c r="I266" s="53">
        <f t="shared" si="86"/>
        <v>37272.420000000646</v>
      </c>
      <c r="J266" s="53">
        <f t="shared" si="87"/>
        <v>1655.9999999999648</v>
      </c>
      <c r="K266" s="54">
        <f t="shared" si="81"/>
        <v>4.4429634566253977E-2</v>
      </c>
      <c r="L266" s="53">
        <f t="shared" si="89"/>
        <v>1655.9999999999648</v>
      </c>
      <c r="M266" s="54">
        <f t="shared" si="83"/>
        <v>4.4429634566253977E-2</v>
      </c>
      <c r="N266" s="55">
        <v>66742679</v>
      </c>
      <c r="O266" s="55">
        <f t="shared" si="90"/>
        <v>0</v>
      </c>
      <c r="P266" s="62" t="s">
        <v>31</v>
      </c>
      <c r="Q266" s="62" t="s">
        <v>32</v>
      </c>
      <c r="R266" s="19">
        <f t="shared" si="88"/>
        <v>1</v>
      </c>
      <c r="S266" s="19">
        <f t="shared" si="91"/>
        <v>0</v>
      </c>
      <c r="T266" s="144"/>
    </row>
    <row r="267" spans="1:20" ht="12.75" customHeight="1">
      <c r="A267" s="50">
        <v>44825</v>
      </c>
      <c r="D267" s="128" t="s">
        <v>50</v>
      </c>
      <c r="E267" s="129">
        <v>3602.1959999999999</v>
      </c>
      <c r="F267" s="130">
        <v>116.583</v>
      </c>
      <c r="G267" s="53"/>
      <c r="H267" s="53">
        <v>4140</v>
      </c>
      <c r="I267" s="53">
        <f t="shared" si="86"/>
        <v>29667.239999998812</v>
      </c>
      <c r="J267" s="53">
        <f t="shared" si="87"/>
        <v>1606.3200000000215</v>
      </c>
      <c r="K267" s="54">
        <f t="shared" si="81"/>
        <v>5.4144571588057598E-2</v>
      </c>
      <c r="L267" s="53">
        <f t="shared" si="89"/>
        <v>1606.3200000000215</v>
      </c>
      <c r="M267" s="54">
        <f t="shared" si="83"/>
        <v>5.4144571588057598E-2</v>
      </c>
      <c r="N267" s="55">
        <v>66742679</v>
      </c>
      <c r="O267" s="55">
        <f t="shared" si="90"/>
        <v>0</v>
      </c>
      <c r="P267" s="63">
        <f>IF(J247="",0,+SUM(J247:J276)/SUM(I247:I276))</f>
        <v>5.0273191590450163E-2</v>
      </c>
      <c r="Q267" s="63">
        <f>IF(L247="",0,+SUM(L247:L276)/SUM(I247:I276))</f>
        <v>5.0273191590450163E-2</v>
      </c>
      <c r="R267" s="19">
        <f t="shared" si="88"/>
        <v>1</v>
      </c>
      <c r="S267" s="19">
        <f t="shared" si="91"/>
        <v>0</v>
      </c>
      <c r="T267" s="144"/>
    </row>
    <row r="268" spans="1:20" ht="12.75" customHeight="1">
      <c r="A268" s="50">
        <v>44826</v>
      </c>
      <c r="D268" s="128" t="s">
        <v>50</v>
      </c>
      <c r="E268" s="129">
        <v>3609.835</v>
      </c>
      <c r="F268" s="130">
        <v>116.92700000000001</v>
      </c>
      <c r="G268" s="53"/>
      <c r="H268" s="53">
        <v>4140</v>
      </c>
      <c r="I268" s="53">
        <f t="shared" si="86"/>
        <v>31625.460000000512</v>
      </c>
      <c r="J268" s="53">
        <f t="shared" si="87"/>
        <v>1424.1600000000344</v>
      </c>
      <c r="K268" s="54">
        <f t="shared" si="81"/>
        <v>4.5032072260767476E-2</v>
      </c>
      <c r="L268" s="53">
        <f t="shared" si="89"/>
        <v>1424.1600000000344</v>
      </c>
      <c r="M268" s="54">
        <f t="shared" si="83"/>
        <v>4.5032072260767476E-2</v>
      </c>
      <c r="N268" s="55">
        <v>66742679</v>
      </c>
      <c r="O268" s="55">
        <f t="shared" si="90"/>
        <v>0</v>
      </c>
      <c r="P268" s="64" t="e">
        <f>IF(J247="",0,+(+(LOOKUP(9.99999999999999E+307,E247:E276)-E246))/(+(LOOKUP(9.99999999999999E+307,D247:D276)-D246)))</f>
        <v>#VALUE!</v>
      </c>
      <c r="Q268" s="64" t="e">
        <f>IF(L247="",0,+(+(LOOKUP(9.99999999999999E+307,F247:F276)-F246))/(+(LOOKUP(9.99999999999999E+307,D247:D276)-D246)))</f>
        <v>#VALUE!</v>
      </c>
      <c r="R268" s="19">
        <f t="shared" si="88"/>
        <v>1</v>
      </c>
      <c r="S268" s="19">
        <f t="shared" si="91"/>
        <v>0</v>
      </c>
      <c r="T268" s="145"/>
    </row>
    <row r="269" spans="1:20" ht="12.75" customHeight="1">
      <c r="A269" s="50">
        <v>44827</v>
      </c>
      <c r="D269" s="128" t="s">
        <v>50</v>
      </c>
      <c r="E269" s="129">
        <v>3616.91</v>
      </c>
      <c r="F269" s="130">
        <v>117.221</v>
      </c>
      <c r="G269" s="53"/>
      <c r="H269" s="53">
        <v>4140</v>
      </c>
      <c r="I269" s="53">
        <f t="shared" si="86"/>
        <v>29290.499999999247</v>
      </c>
      <c r="J269" s="53">
        <f t="shared" si="87"/>
        <v>1217.1599999999873</v>
      </c>
      <c r="K269" s="54">
        <f t="shared" ref="K269:K332" si="92">IF(J269="","",+(J269/I269))</f>
        <v>4.1554770318021836E-2</v>
      </c>
      <c r="L269" s="53">
        <f t="shared" si="89"/>
        <v>1217.1599999999873</v>
      </c>
      <c r="M269" s="54">
        <f t="shared" ref="M269:M332" si="93">IF(L269="","",(L269/I269))</f>
        <v>4.1554770318021836E-2</v>
      </c>
      <c r="N269" s="55">
        <v>66742679</v>
      </c>
      <c r="O269" s="55">
        <f t="shared" si="90"/>
        <v>0</v>
      </c>
      <c r="P269" s="65" t="s">
        <v>33</v>
      </c>
      <c r="Q269" s="66" t="s">
        <v>34</v>
      </c>
      <c r="R269" s="19">
        <f t="shared" si="88"/>
        <v>1</v>
      </c>
      <c r="S269" s="19">
        <f t="shared" si="91"/>
        <v>0</v>
      </c>
      <c r="T269" s="145"/>
    </row>
    <row r="270" spans="1:20" ht="12.75" customHeight="1">
      <c r="A270" s="50">
        <v>44828</v>
      </c>
      <c r="D270" s="128" t="s">
        <v>50</v>
      </c>
      <c r="E270" s="129">
        <v>3623.942</v>
      </c>
      <c r="F270" s="130">
        <v>117.523</v>
      </c>
      <c r="G270" s="53"/>
      <c r="H270" s="53">
        <v>4140</v>
      </c>
      <c r="I270" s="53">
        <f t="shared" si="86"/>
        <v>29112.480000000633</v>
      </c>
      <c r="J270" s="53">
        <f t="shared" si="87"/>
        <v>1250.2799999999688</v>
      </c>
      <c r="K270" s="54">
        <f t="shared" si="92"/>
        <v>4.2946530147893333E-2</v>
      </c>
      <c r="L270" s="53">
        <f t="shared" si="89"/>
        <v>1250.2799999999688</v>
      </c>
      <c r="M270" s="54">
        <f t="shared" si="93"/>
        <v>4.2946530147893333E-2</v>
      </c>
      <c r="N270" s="55">
        <v>66742679</v>
      </c>
      <c r="O270" s="55">
        <f t="shared" si="90"/>
        <v>0</v>
      </c>
      <c r="P270" s="67">
        <f>IF(N246="",0,+(LOOKUP(9.99999999999999E+307,N246:N276)-N246))</f>
        <v>264959</v>
      </c>
      <c r="Q270" s="68">
        <f>IF(P270="",0,+P270/SUM(R247:R276))</f>
        <v>9813.2962962962956</v>
      </c>
      <c r="R270" s="19">
        <f t="shared" si="88"/>
        <v>1</v>
      </c>
      <c r="S270" s="19">
        <f t="shared" si="91"/>
        <v>0</v>
      </c>
      <c r="T270" s="145"/>
    </row>
    <row r="271" spans="1:20" ht="12.75" customHeight="1">
      <c r="A271" s="50">
        <v>44829</v>
      </c>
      <c r="D271" s="128" t="s">
        <v>50</v>
      </c>
      <c r="E271" s="129">
        <v>3630.9250000000002</v>
      </c>
      <c r="F271" s="130">
        <v>117.81699999999999</v>
      </c>
      <c r="G271" s="53"/>
      <c r="H271" s="53">
        <v>4140</v>
      </c>
      <c r="I271" s="53">
        <f t="shared" si="86"/>
        <v>28909.620000000723</v>
      </c>
      <c r="J271" s="53">
        <f t="shared" si="87"/>
        <v>1217.1599999999873</v>
      </c>
      <c r="K271" s="54">
        <f t="shared" si="92"/>
        <v>4.2102248317340628E-2</v>
      </c>
      <c r="L271" s="53">
        <f t="shared" si="89"/>
        <v>1217.1599999999873</v>
      </c>
      <c r="M271" s="54">
        <f t="shared" si="93"/>
        <v>4.2102248317340628E-2</v>
      </c>
      <c r="N271" s="55">
        <v>66742679</v>
      </c>
      <c r="O271" s="55">
        <f t="shared" si="90"/>
        <v>0</v>
      </c>
      <c r="P271" s="69" t="s">
        <v>35</v>
      </c>
      <c r="Q271" s="70" t="s">
        <v>43</v>
      </c>
      <c r="R271" s="19">
        <f t="shared" si="88"/>
        <v>1</v>
      </c>
      <c r="S271" s="19">
        <f t="shared" si="91"/>
        <v>0</v>
      </c>
      <c r="T271" s="145"/>
    </row>
    <row r="272" spans="1:20" ht="12.75" customHeight="1">
      <c r="A272" s="50">
        <v>44830</v>
      </c>
      <c r="D272" s="128" t="s">
        <v>50</v>
      </c>
      <c r="E272" s="129">
        <v>3638.3879999999999</v>
      </c>
      <c r="F272" s="130">
        <v>118.17100000000001</v>
      </c>
      <c r="G272" s="53"/>
      <c r="H272" s="53">
        <v>4140</v>
      </c>
      <c r="I272" s="53">
        <f t="shared" si="86"/>
        <v>30896.819999998916</v>
      </c>
      <c r="J272" s="53">
        <f t="shared" si="87"/>
        <v>1465.5600000000554</v>
      </c>
      <c r="K272" s="54">
        <f t="shared" si="92"/>
        <v>4.7434007771677049E-2</v>
      </c>
      <c r="L272" s="53">
        <f t="shared" si="89"/>
        <v>1465.5600000000554</v>
      </c>
      <c r="M272" s="54">
        <f t="shared" si="93"/>
        <v>4.7434007771677049E-2</v>
      </c>
      <c r="N272" s="55">
        <v>66743316</v>
      </c>
      <c r="O272" s="55">
        <f t="shared" si="90"/>
        <v>637</v>
      </c>
      <c r="P272" s="71" t="e">
        <f>IF(D246="",0,+(LOOKUP(9.99999999999999E+307,D246:D276)-D246))*4140</f>
        <v>#VALUE!</v>
      </c>
      <c r="Q272" s="72" t="e">
        <f>IF(P272="",0,+P272/SUM(R247:R276))</f>
        <v>#VALUE!</v>
      </c>
      <c r="R272" s="19">
        <f t="shared" si="88"/>
        <v>1</v>
      </c>
      <c r="S272" s="19">
        <f t="shared" si="91"/>
        <v>0</v>
      </c>
      <c r="T272" s="144"/>
    </row>
    <row r="273" spans="1:23" ht="12.75" customHeight="1">
      <c r="A273" s="50">
        <v>44831</v>
      </c>
      <c r="D273" s="128">
        <v>0.14199999999999999</v>
      </c>
      <c r="E273" s="129">
        <v>3646.0219999999999</v>
      </c>
      <c r="F273" s="130">
        <v>118.551</v>
      </c>
      <c r="G273" s="53"/>
      <c r="H273" s="53">
        <v>4140</v>
      </c>
      <c r="I273" s="53">
        <f t="shared" si="86"/>
        <v>31604.76000000006</v>
      </c>
      <c r="J273" s="53">
        <f t="shared" si="87"/>
        <v>1573.1999999999812</v>
      </c>
      <c r="K273" s="54">
        <f t="shared" si="92"/>
        <v>4.9777312025149949E-2</v>
      </c>
      <c r="L273" s="53">
        <f t="shared" si="89"/>
        <v>1573.1999999999812</v>
      </c>
      <c r="M273" s="54">
        <f t="shared" si="93"/>
        <v>4.9777312025149949E-2</v>
      </c>
      <c r="N273" s="55">
        <v>66743316</v>
      </c>
      <c r="O273" s="55">
        <f t="shared" si="90"/>
        <v>0</v>
      </c>
      <c r="P273" s="146" t="s">
        <v>37</v>
      </c>
      <c r="Q273" s="147" t="s">
        <v>44</v>
      </c>
      <c r="R273" s="19">
        <f t="shared" si="88"/>
        <v>1</v>
      </c>
      <c r="S273" s="19">
        <f t="shared" si="91"/>
        <v>0</v>
      </c>
      <c r="T273" s="144"/>
    </row>
    <row r="274" spans="1:23" ht="12.75" customHeight="1">
      <c r="A274" s="50">
        <v>44832</v>
      </c>
      <c r="D274" s="128"/>
      <c r="E274" s="129"/>
      <c r="F274" s="130"/>
      <c r="G274" s="53"/>
      <c r="H274" s="53">
        <v>4140</v>
      </c>
      <c r="I274" s="53" t="str">
        <f t="shared" si="86"/>
        <v/>
      </c>
      <c r="J274" s="53" t="str">
        <f t="shared" si="87"/>
        <v/>
      </c>
      <c r="K274" s="54" t="str">
        <f t="shared" si="92"/>
        <v/>
      </c>
      <c r="L274" s="53" t="str">
        <f t="shared" si="89"/>
        <v/>
      </c>
      <c r="M274" s="54" t="str">
        <f t="shared" si="93"/>
        <v/>
      </c>
      <c r="N274" s="55"/>
      <c r="O274" s="55" t="str">
        <f t="shared" si="90"/>
        <v/>
      </c>
      <c r="P274" s="73" t="e">
        <f>P272*Q277</f>
        <v>#VALUE!</v>
      </c>
      <c r="Q274" s="74">
        <f>IF(Q34="",0,(SUM('[1]Günlük Tüketim'!H247:H276)*1.62)/SUM(O247:O276))</f>
        <v>0</v>
      </c>
      <c r="R274" s="19">
        <f t="shared" si="88"/>
        <v>0</v>
      </c>
      <c r="S274" s="19">
        <f t="shared" si="91"/>
        <v>1</v>
      </c>
      <c r="T274" s="144"/>
    </row>
    <row r="275" spans="1:23" ht="12.75" customHeight="1">
      <c r="A275" s="50">
        <v>44833</v>
      </c>
      <c r="D275" s="128"/>
      <c r="E275" s="129"/>
      <c r="F275" s="130"/>
      <c r="G275" s="53"/>
      <c r="H275" s="53">
        <v>4140</v>
      </c>
      <c r="I275" s="53" t="str">
        <f t="shared" si="86"/>
        <v/>
      </c>
      <c r="J275" s="53" t="str">
        <f t="shared" si="87"/>
        <v/>
      </c>
      <c r="K275" s="54" t="str">
        <f t="shared" si="92"/>
        <v/>
      </c>
      <c r="L275" s="53" t="str">
        <f t="shared" si="89"/>
        <v/>
      </c>
      <c r="M275" s="54" t="str">
        <f t="shared" si="93"/>
        <v/>
      </c>
      <c r="N275" s="55"/>
      <c r="O275" s="55" t="str">
        <f t="shared" si="90"/>
        <v/>
      </c>
      <c r="P275" s="148" t="s">
        <v>39</v>
      </c>
      <c r="Q275" s="149" t="s">
        <v>40</v>
      </c>
      <c r="R275" s="19">
        <f t="shared" si="88"/>
        <v>0</v>
      </c>
      <c r="S275" s="19">
        <f t="shared" si="91"/>
        <v>1</v>
      </c>
      <c r="T275" s="144"/>
    </row>
    <row r="276" spans="1:23" ht="12.75" customHeight="1">
      <c r="A276" s="50">
        <v>44834</v>
      </c>
      <c r="D276" s="153"/>
      <c r="E276" s="153"/>
      <c r="F276" s="153"/>
      <c r="G276" s="154"/>
      <c r="H276" s="155">
        <v>4140</v>
      </c>
      <c r="I276" s="155" t="str">
        <f t="shared" si="86"/>
        <v/>
      </c>
      <c r="J276" s="155" t="str">
        <f t="shared" si="87"/>
        <v/>
      </c>
      <c r="K276" s="156" t="str">
        <f t="shared" si="92"/>
        <v/>
      </c>
      <c r="L276" s="155" t="str">
        <f t="shared" si="89"/>
        <v/>
      </c>
      <c r="M276" s="156" t="str">
        <f t="shared" si="93"/>
        <v/>
      </c>
      <c r="N276" s="157"/>
      <c r="O276" s="161" t="str">
        <f t="shared" si="90"/>
        <v/>
      </c>
      <c r="P276" s="111" t="e">
        <f>(P274+Q272*SUM(S247:S276)*Q277)</f>
        <v>#VALUE!</v>
      </c>
      <c r="Q276" s="79" t="e">
        <f>Q272*30</f>
        <v>#VALUE!</v>
      </c>
      <c r="R276" s="19">
        <f t="shared" si="88"/>
        <v>0</v>
      </c>
      <c r="S276" s="19">
        <f t="shared" si="91"/>
        <v>1</v>
      </c>
      <c r="T276" s="144"/>
    </row>
    <row r="277" spans="1:23">
      <c r="A277" s="50">
        <v>44835</v>
      </c>
      <c r="D277" s="128"/>
      <c r="E277" s="129"/>
      <c r="F277" s="130"/>
      <c r="G277" s="53"/>
      <c r="H277" s="53">
        <v>4140</v>
      </c>
      <c r="I277" s="53" t="str">
        <f t="shared" si="86"/>
        <v/>
      </c>
      <c r="J277" s="53" t="str">
        <f t="shared" si="87"/>
        <v/>
      </c>
      <c r="K277" s="54" t="str">
        <f t="shared" si="92"/>
        <v/>
      </c>
      <c r="L277" s="53" t="str">
        <f t="shared" si="89"/>
        <v/>
      </c>
      <c r="M277" s="54" t="str">
        <f t="shared" si="93"/>
        <v/>
      </c>
      <c r="N277" s="55"/>
      <c r="O277" s="55" t="str">
        <f t="shared" si="90"/>
        <v/>
      </c>
      <c r="P277" s="80" t="s">
        <v>41</v>
      </c>
      <c r="Q277" s="81">
        <v>0.56999999999999995</v>
      </c>
      <c r="R277" s="19">
        <f t="shared" si="88"/>
        <v>0</v>
      </c>
      <c r="S277" s="19">
        <f t="shared" si="91"/>
        <v>1</v>
      </c>
      <c r="T277" s="144"/>
    </row>
    <row r="278" spans="1:23">
      <c r="A278" s="50">
        <v>44836</v>
      </c>
      <c r="D278" s="128"/>
      <c r="E278" s="129"/>
      <c r="F278" s="130"/>
      <c r="G278" s="53"/>
      <c r="H278" s="53">
        <v>4140</v>
      </c>
      <c r="I278" s="53" t="str">
        <f t="shared" si="86"/>
        <v/>
      </c>
      <c r="J278" s="53" t="str">
        <f t="shared" si="87"/>
        <v/>
      </c>
      <c r="K278" s="54" t="str">
        <f t="shared" si="92"/>
        <v/>
      </c>
      <c r="L278" s="53" t="str">
        <f t="shared" si="89"/>
        <v/>
      </c>
      <c r="M278" s="54" t="str">
        <f t="shared" si="93"/>
        <v/>
      </c>
      <c r="N278" s="55"/>
      <c r="O278" s="55" t="str">
        <f t="shared" si="90"/>
        <v/>
      </c>
      <c r="P278" s="56"/>
      <c r="Q278" s="88"/>
      <c r="R278" s="19">
        <f t="shared" si="88"/>
        <v>0</v>
      </c>
      <c r="S278" s="19">
        <f t="shared" si="91"/>
        <v>1</v>
      </c>
      <c r="T278" s="144"/>
      <c r="W278" s="1" t="s">
        <v>53</v>
      </c>
    </row>
    <row r="279" spans="1:23">
      <c r="A279" s="50">
        <v>44837</v>
      </c>
      <c r="D279" s="128"/>
      <c r="E279" s="129"/>
      <c r="F279" s="130"/>
      <c r="G279" s="53"/>
      <c r="H279" s="53">
        <v>4140</v>
      </c>
      <c r="I279" s="53" t="str">
        <f t="shared" si="86"/>
        <v/>
      </c>
      <c r="J279" s="53" t="str">
        <f t="shared" si="87"/>
        <v/>
      </c>
      <c r="K279" s="54" t="str">
        <f t="shared" si="92"/>
        <v/>
      </c>
      <c r="L279" s="53" t="str">
        <f t="shared" si="89"/>
        <v/>
      </c>
      <c r="M279" s="54" t="str">
        <f t="shared" si="93"/>
        <v/>
      </c>
      <c r="N279" s="55"/>
      <c r="O279" s="55" t="str">
        <f t="shared" si="90"/>
        <v/>
      </c>
      <c r="P279" s="84"/>
      <c r="Q279" s="85"/>
      <c r="R279" s="19">
        <f t="shared" si="88"/>
        <v>0</v>
      </c>
      <c r="S279" s="19">
        <f t="shared" si="91"/>
        <v>1</v>
      </c>
      <c r="T279" s="145"/>
    </row>
    <row r="280" spans="1:23">
      <c r="A280" s="50">
        <v>44838</v>
      </c>
      <c r="D280" s="128"/>
      <c r="E280" s="129"/>
      <c r="F280" s="130"/>
      <c r="G280" s="53"/>
      <c r="H280" s="53">
        <v>4140</v>
      </c>
      <c r="I280" s="53" t="str">
        <f t="shared" si="86"/>
        <v/>
      </c>
      <c r="J280" s="53" t="str">
        <f t="shared" si="87"/>
        <v/>
      </c>
      <c r="K280" s="54" t="str">
        <f t="shared" si="92"/>
        <v/>
      </c>
      <c r="L280" s="53" t="str">
        <f t="shared" si="89"/>
        <v/>
      </c>
      <c r="M280" s="54" t="str">
        <f t="shared" si="93"/>
        <v/>
      </c>
      <c r="N280" s="55"/>
      <c r="O280" s="55" t="str">
        <f t="shared" si="90"/>
        <v/>
      </c>
      <c r="P280" s="86"/>
      <c r="Q280" s="87"/>
      <c r="R280" s="19">
        <f t="shared" si="88"/>
        <v>0</v>
      </c>
      <c r="S280" s="19">
        <f t="shared" si="91"/>
        <v>1</v>
      </c>
      <c r="T280" s="145"/>
    </row>
    <row r="281" spans="1:23">
      <c r="A281" s="50">
        <v>44839</v>
      </c>
      <c r="D281" s="128"/>
      <c r="E281" s="129"/>
      <c r="F281" s="130"/>
      <c r="G281" s="53"/>
      <c r="H281" s="53">
        <v>4140</v>
      </c>
      <c r="I281" s="53" t="str">
        <f t="shared" si="86"/>
        <v/>
      </c>
      <c r="J281" s="53" t="str">
        <f t="shared" si="87"/>
        <v/>
      </c>
      <c r="K281" s="54" t="str">
        <f t="shared" si="92"/>
        <v/>
      </c>
      <c r="L281" s="53" t="str">
        <f t="shared" si="89"/>
        <v/>
      </c>
      <c r="M281" s="54" t="str">
        <f t="shared" si="93"/>
        <v/>
      </c>
      <c r="N281" s="55"/>
      <c r="O281" s="55" t="str">
        <f t="shared" si="90"/>
        <v/>
      </c>
      <c r="P281" s="86"/>
      <c r="Q281" s="85"/>
      <c r="R281" s="19">
        <f t="shared" si="88"/>
        <v>0</v>
      </c>
      <c r="S281" s="19">
        <f t="shared" si="91"/>
        <v>1</v>
      </c>
      <c r="T281" s="144"/>
    </row>
    <row r="282" spans="1:23">
      <c r="A282" s="50">
        <v>44840</v>
      </c>
      <c r="D282" s="128"/>
      <c r="E282" s="129"/>
      <c r="F282" s="130"/>
      <c r="G282" s="53"/>
      <c r="H282" s="53">
        <v>4140</v>
      </c>
      <c r="I282" s="53" t="str">
        <f t="shared" si="86"/>
        <v/>
      </c>
      <c r="J282" s="53" t="str">
        <f t="shared" si="87"/>
        <v/>
      </c>
      <c r="K282" s="54" t="str">
        <f t="shared" si="92"/>
        <v/>
      </c>
      <c r="L282" s="53" t="str">
        <f t="shared" si="89"/>
        <v/>
      </c>
      <c r="M282" s="54" t="str">
        <f t="shared" si="93"/>
        <v/>
      </c>
      <c r="N282" s="55"/>
      <c r="O282" s="55" t="str">
        <f t="shared" si="90"/>
        <v/>
      </c>
      <c r="P282" s="56"/>
      <c r="Q282" s="57"/>
      <c r="R282" s="19">
        <f t="shared" si="88"/>
        <v>0</v>
      </c>
      <c r="S282" s="19">
        <f t="shared" si="91"/>
        <v>1</v>
      </c>
      <c r="T282" s="144"/>
    </row>
    <row r="283" spans="1:23">
      <c r="A283" s="50">
        <v>44841</v>
      </c>
      <c r="D283" s="128"/>
      <c r="E283" s="129"/>
      <c r="F283" s="130"/>
      <c r="G283" s="53"/>
      <c r="H283" s="53">
        <v>4140</v>
      </c>
      <c r="I283" s="53" t="str">
        <f t="shared" si="86"/>
        <v/>
      </c>
      <c r="J283" s="53" t="str">
        <f t="shared" si="87"/>
        <v/>
      </c>
      <c r="K283" s="54" t="str">
        <f t="shared" si="92"/>
        <v/>
      </c>
      <c r="L283" s="53" t="str">
        <f t="shared" si="89"/>
        <v/>
      </c>
      <c r="M283" s="54" t="str">
        <f t="shared" si="93"/>
        <v/>
      </c>
      <c r="N283" s="55"/>
      <c r="O283" s="55" t="str">
        <f t="shared" si="90"/>
        <v/>
      </c>
      <c r="P283" s="56"/>
      <c r="Q283" s="58"/>
      <c r="R283" s="19">
        <f t="shared" si="88"/>
        <v>0</v>
      </c>
      <c r="S283" s="19">
        <f t="shared" si="91"/>
        <v>1</v>
      </c>
      <c r="T283" s="144"/>
    </row>
    <row r="284" spans="1:23">
      <c r="A284" s="50">
        <v>44842</v>
      </c>
      <c r="D284" s="128"/>
      <c r="E284" s="129"/>
      <c r="F284" s="130"/>
      <c r="G284" s="53"/>
      <c r="H284" s="53">
        <v>4140</v>
      </c>
      <c r="I284" s="53" t="str">
        <f t="shared" si="86"/>
        <v/>
      </c>
      <c r="J284" s="53" t="str">
        <f t="shared" si="87"/>
        <v/>
      </c>
      <c r="K284" s="54" t="str">
        <f t="shared" si="92"/>
        <v/>
      </c>
      <c r="L284" s="53" t="str">
        <f t="shared" si="89"/>
        <v/>
      </c>
      <c r="M284" s="54" t="str">
        <f t="shared" si="93"/>
        <v/>
      </c>
      <c r="N284" s="55"/>
      <c r="O284" s="55" t="str">
        <f t="shared" si="90"/>
        <v/>
      </c>
      <c r="P284" s="56"/>
      <c r="Q284" s="58"/>
      <c r="R284" s="19">
        <f t="shared" si="88"/>
        <v>0</v>
      </c>
      <c r="S284" s="19">
        <f t="shared" si="91"/>
        <v>1</v>
      </c>
      <c r="T284" s="145"/>
    </row>
    <row r="285" spans="1:23">
      <c r="A285" s="50">
        <v>44843</v>
      </c>
      <c r="D285" s="128"/>
      <c r="E285" s="129"/>
      <c r="F285" s="130"/>
      <c r="G285" s="53"/>
      <c r="H285" s="53">
        <v>4140</v>
      </c>
      <c r="I285" s="53" t="str">
        <f t="shared" si="86"/>
        <v/>
      </c>
      <c r="J285" s="53" t="str">
        <f t="shared" si="87"/>
        <v/>
      </c>
      <c r="K285" s="54" t="str">
        <f t="shared" si="92"/>
        <v/>
      </c>
      <c r="L285" s="53" t="str">
        <f t="shared" si="89"/>
        <v/>
      </c>
      <c r="M285" s="54" t="str">
        <f t="shared" si="93"/>
        <v/>
      </c>
      <c r="N285" s="55"/>
      <c r="O285" s="55" t="str">
        <f t="shared" si="90"/>
        <v/>
      </c>
      <c r="P285" s="56"/>
      <c r="Q285" s="58"/>
      <c r="R285" s="19">
        <f t="shared" si="88"/>
        <v>0</v>
      </c>
      <c r="S285" s="19">
        <f t="shared" si="91"/>
        <v>1</v>
      </c>
      <c r="T285" s="145"/>
    </row>
    <row r="286" spans="1:23">
      <c r="A286" s="50">
        <v>44844</v>
      </c>
      <c r="D286" s="128"/>
      <c r="E286" s="129"/>
      <c r="F286" s="130"/>
      <c r="G286" s="53"/>
      <c r="H286" s="53">
        <v>4140</v>
      </c>
      <c r="I286" s="53" t="str">
        <f t="shared" si="86"/>
        <v/>
      </c>
      <c r="J286" s="53" t="str">
        <f t="shared" si="87"/>
        <v/>
      </c>
      <c r="K286" s="54" t="str">
        <f t="shared" si="92"/>
        <v/>
      </c>
      <c r="L286" s="53" t="str">
        <f t="shared" si="89"/>
        <v/>
      </c>
      <c r="M286" s="54" t="str">
        <f t="shared" si="93"/>
        <v/>
      </c>
      <c r="N286" s="55"/>
      <c r="O286" s="55" t="str">
        <f t="shared" si="90"/>
        <v/>
      </c>
      <c r="P286" s="56"/>
      <c r="Q286" s="57"/>
      <c r="R286" s="19">
        <f t="shared" si="88"/>
        <v>0</v>
      </c>
      <c r="S286" s="19">
        <f t="shared" si="91"/>
        <v>1</v>
      </c>
      <c r="T286" s="144"/>
    </row>
    <row r="287" spans="1:23">
      <c r="A287" s="50">
        <v>44845</v>
      </c>
      <c r="D287" s="128"/>
      <c r="E287" s="129"/>
      <c r="F287" s="130"/>
      <c r="G287" s="53"/>
      <c r="H287" s="53">
        <v>4140</v>
      </c>
      <c r="I287" s="53" t="str">
        <f t="shared" si="86"/>
        <v/>
      </c>
      <c r="J287" s="53" t="str">
        <f t="shared" si="87"/>
        <v/>
      </c>
      <c r="K287" s="54" t="str">
        <f t="shared" si="92"/>
        <v/>
      </c>
      <c r="L287" s="53" t="str">
        <f t="shared" si="89"/>
        <v/>
      </c>
      <c r="M287" s="54" t="str">
        <f t="shared" si="93"/>
        <v/>
      </c>
      <c r="N287" s="55"/>
      <c r="O287" s="55" t="str">
        <f t="shared" si="90"/>
        <v/>
      </c>
      <c r="P287" s="56"/>
      <c r="Q287" s="57"/>
      <c r="R287" s="19">
        <f t="shared" si="88"/>
        <v>0</v>
      </c>
      <c r="S287" s="19">
        <f t="shared" si="91"/>
        <v>1</v>
      </c>
      <c r="T287" s="144"/>
    </row>
    <row r="288" spans="1:23">
      <c r="A288" s="50">
        <v>44846</v>
      </c>
      <c r="D288" s="128"/>
      <c r="E288" s="129"/>
      <c r="F288" s="130"/>
      <c r="G288" s="53"/>
      <c r="H288" s="53">
        <v>4140</v>
      </c>
      <c r="I288" s="53" t="str">
        <f t="shared" si="86"/>
        <v/>
      </c>
      <c r="J288" s="53" t="str">
        <f t="shared" si="87"/>
        <v/>
      </c>
      <c r="K288" s="54" t="str">
        <f t="shared" si="92"/>
        <v/>
      </c>
      <c r="L288" s="53" t="str">
        <f t="shared" si="89"/>
        <v/>
      </c>
      <c r="M288" s="54" t="str">
        <f t="shared" si="93"/>
        <v/>
      </c>
      <c r="N288" s="55"/>
      <c r="O288" s="55" t="str">
        <f t="shared" si="90"/>
        <v/>
      </c>
      <c r="P288" s="56"/>
      <c r="Q288" s="58"/>
      <c r="R288" s="19">
        <f t="shared" si="88"/>
        <v>0</v>
      </c>
      <c r="S288" s="19">
        <f t="shared" si="91"/>
        <v>1</v>
      </c>
      <c r="T288" s="144"/>
    </row>
    <row r="289" spans="1:20">
      <c r="A289" s="50">
        <v>44847</v>
      </c>
      <c r="D289" s="128"/>
      <c r="E289" s="129"/>
      <c r="F289" s="130"/>
      <c r="G289" s="53"/>
      <c r="H289" s="53">
        <v>4140</v>
      </c>
      <c r="I289" s="53" t="str">
        <f t="shared" si="86"/>
        <v/>
      </c>
      <c r="J289" s="53" t="str">
        <f t="shared" si="87"/>
        <v/>
      </c>
      <c r="K289" s="54" t="str">
        <f t="shared" si="92"/>
        <v/>
      </c>
      <c r="L289" s="53" t="str">
        <f t="shared" si="89"/>
        <v/>
      </c>
      <c r="M289" s="54" t="str">
        <f t="shared" si="93"/>
        <v/>
      </c>
      <c r="N289" s="55"/>
      <c r="O289" s="55" t="str">
        <f t="shared" si="90"/>
        <v/>
      </c>
      <c r="P289" s="56"/>
      <c r="Q289" s="58"/>
      <c r="R289" s="19">
        <f t="shared" si="88"/>
        <v>0</v>
      </c>
      <c r="S289" s="19">
        <f t="shared" si="91"/>
        <v>1</v>
      </c>
      <c r="T289" s="145"/>
    </row>
    <row r="290" spans="1:20">
      <c r="A290" s="50">
        <v>44848</v>
      </c>
      <c r="D290" s="128"/>
      <c r="E290" s="129"/>
      <c r="F290" s="130"/>
      <c r="G290" s="53"/>
      <c r="H290" s="53">
        <v>4140</v>
      </c>
      <c r="I290" s="53" t="str">
        <f t="shared" si="86"/>
        <v/>
      </c>
      <c r="J290" s="53" t="str">
        <f t="shared" si="87"/>
        <v/>
      </c>
      <c r="K290" s="54" t="str">
        <f t="shared" si="92"/>
        <v/>
      </c>
      <c r="L290" s="53" t="str">
        <f t="shared" si="89"/>
        <v/>
      </c>
      <c r="M290" s="54" t="str">
        <f t="shared" si="93"/>
        <v/>
      </c>
      <c r="N290" s="55"/>
      <c r="O290" s="55" t="str">
        <f t="shared" si="90"/>
        <v/>
      </c>
      <c r="P290" s="56"/>
      <c r="Q290" s="57"/>
      <c r="R290" s="19">
        <f t="shared" si="88"/>
        <v>0</v>
      </c>
      <c r="S290" s="19">
        <f t="shared" si="91"/>
        <v>1</v>
      </c>
      <c r="T290" s="145"/>
    </row>
    <row r="291" spans="1:20">
      <c r="A291" s="50">
        <v>44849</v>
      </c>
      <c r="D291" s="128"/>
      <c r="E291" s="129"/>
      <c r="F291" s="130"/>
      <c r="G291" s="53"/>
      <c r="H291" s="53">
        <v>4140</v>
      </c>
      <c r="I291" s="53" t="str">
        <f t="shared" si="86"/>
        <v/>
      </c>
      <c r="J291" s="53" t="str">
        <f t="shared" si="87"/>
        <v/>
      </c>
      <c r="K291" s="54" t="str">
        <f t="shared" si="92"/>
        <v/>
      </c>
      <c r="L291" s="53" t="str">
        <f t="shared" si="89"/>
        <v/>
      </c>
      <c r="M291" s="54" t="str">
        <f t="shared" si="93"/>
        <v/>
      </c>
      <c r="N291" s="55"/>
      <c r="O291" s="55" t="str">
        <f t="shared" si="90"/>
        <v/>
      </c>
      <c r="P291" s="56"/>
      <c r="Q291" s="57"/>
      <c r="R291" s="19">
        <f t="shared" si="88"/>
        <v>0</v>
      </c>
      <c r="S291" s="19">
        <f t="shared" si="91"/>
        <v>1</v>
      </c>
      <c r="T291" s="144"/>
    </row>
    <row r="292" spans="1:20">
      <c r="A292" s="50">
        <v>44850</v>
      </c>
      <c r="D292" s="128"/>
      <c r="E292" s="129"/>
      <c r="F292" s="130"/>
      <c r="G292" s="53"/>
      <c r="H292" s="53">
        <v>4140</v>
      </c>
      <c r="I292" s="53" t="str">
        <f t="shared" si="86"/>
        <v/>
      </c>
      <c r="J292" s="53" t="str">
        <f t="shared" si="87"/>
        <v/>
      </c>
      <c r="K292" s="54" t="str">
        <f t="shared" si="92"/>
        <v/>
      </c>
      <c r="L292" s="53" t="str">
        <f t="shared" si="89"/>
        <v/>
      </c>
      <c r="M292" s="54" t="str">
        <f t="shared" si="93"/>
        <v/>
      </c>
      <c r="N292" s="55"/>
      <c r="O292" s="55" t="str">
        <f t="shared" si="90"/>
        <v/>
      </c>
      <c r="P292" s="56"/>
      <c r="Q292" s="57"/>
      <c r="R292" s="19">
        <f t="shared" si="88"/>
        <v>0</v>
      </c>
      <c r="S292" s="19">
        <f t="shared" si="91"/>
        <v>1</v>
      </c>
      <c r="T292" s="144"/>
    </row>
    <row r="293" spans="1:20">
      <c r="A293" s="50">
        <v>44851</v>
      </c>
      <c r="D293" s="128"/>
      <c r="E293" s="129"/>
      <c r="F293" s="130"/>
      <c r="G293" s="53"/>
      <c r="H293" s="53">
        <v>4140</v>
      </c>
      <c r="I293" s="53" t="str">
        <f t="shared" si="86"/>
        <v/>
      </c>
      <c r="J293" s="53" t="str">
        <f t="shared" si="87"/>
        <v/>
      </c>
      <c r="K293" s="54" t="str">
        <f t="shared" si="92"/>
        <v/>
      </c>
      <c r="L293" s="53" t="str">
        <f t="shared" si="89"/>
        <v/>
      </c>
      <c r="M293" s="54" t="str">
        <f t="shared" si="93"/>
        <v/>
      </c>
      <c r="N293" s="55"/>
      <c r="O293" s="55" t="str">
        <f>IF(N293="","",N293-N292)</f>
        <v/>
      </c>
      <c r="P293" s="56"/>
      <c r="Q293" s="88"/>
      <c r="R293" s="19">
        <f t="shared" si="88"/>
        <v>0</v>
      </c>
      <c r="S293" s="19">
        <f t="shared" si="91"/>
        <v>1</v>
      </c>
      <c r="T293" s="144"/>
    </row>
    <row r="294" spans="1:20">
      <c r="A294" s="50">
        <v>44852</v>
      </c>
      <c r="D294" s="128"/>
      <c r="E294" s="129"/>
      <c r="F294" s="130"/>
      <c r="G294" s="53"/>
      <c r="H294" s="53">
        <v>4140</v>
      </c>
      <c r="I294" s="53" t="str">
        <f t="shared" si="86"/>
        <v/>
      </c>
      <c r="J294" s="53" t="str">
        <f t="shared" si="87"/>
        <v/>
      </c>
      <c r="K294" s="54" t="str">
        <f t="shared" si="92"/>
        <v/>
      </c>
      <c r="L294" s="53" t="str">
        <f t="shared" si="89"/>
        <v/>
      </c>
      <c r="M294" s="54" t="str">
        <f t="shared" si="93"/>
        <v/>
      </c>
      <c r="N294" s="55"/>
      <c r="O294" s="55" t="str">
        <f>IF(N294="","",N294-N293)</f>
        <v/>
      </c>
      <c r="P294" s="56"/>
      <c r="Q294" s="88"/>
      <c r="R294" s="19">
        <f t="shared" si="88"/>
        <v>0</v>
      </c>
      <c r="S294" s="19">
        <f t="shared" si="91"/>
        <v>1</v>
      </c>
      <c r="T294" s="145"/>
    </row>
    <row r="295" spans="1:20">
      <c r="A295" s="50">
        <v>44853</v>
      </c>
      <c r="D295" s="128"/>
      <c r="E295" s="129"/>
      <c r="F295" s="130"/>
      <c r="G295" s="53"/>
      <c r="H295" s="53">
        <v>4140</v>
      </c>
      <c r="I295" s="53" t="str">
        <f t="shared" si="86"/>
        <v/>
      </c>
      <c r="J295" s="53" t="str">
        <f t="shared" si="87"/>
        <v/>
      </c>
      <c r="K295" s="54" t="str">
        <f t="shared" si="92"/>
        <v/>
      </c>
      <c r="L295" s="53" t="str">
        <f t="shared" si="89"/>
        <v/>
      </c>
      <c r="M295" s="54" t="str">
        <f t="shared" si="93"/>
        <v/>
      </c>
      <c r="N295" s="55"/>
      <c r="O295" s="55" t="str">
        <f t="shared" si="90"/>
        <v/>
      </c>
      <c r="P295" s="181" t="s">
        <v>54</v>
      </c>
      <c r="Q295" s="182"/>
      <c r="R295" s="19">
        <f t="shared" si="88"/>
        <v>0</v>
      </c>
      <c r="S295" s="19">
        <f t="shared" si="91"/>
        <v>1</v>
      </c>
      <c r="T295" s="145"/>
    </row>
    <row r="296" spans="1:20">
      <c r="A296" s="50">
        <v>44854</v>
      </c>
      <c r="D296" s="128"/>
      <c r="E296" s="129"/>
      <c r="F296" s="130"/>
      <c r="G296" s="53"/>
      <c r="H296" s="53">
        <v>4140</v>
      </c>
      <c r="I296" s="53" t="str">
        <f t="shared" si="86"/>
        <v/>
      </c>
      <c r="J296" s="53" t="str">
        <f t="shared" si="87"/>
        <v/>
      </c>
      <c r="K296" s="54" t="str">
        <f t="shared" si="92"/>
        <v/>
      </c>
      <c r="L296" s="53" t="str">
        <f t="shared" si="89"/>
        <v/>
      </c>
      <c r="M296" s="54" t="str">
        <f t="shared" si="93"/>
        <v/>
      </c>
      <c r="N296" s="55"/>
      <c r="O296" s="55" t="str">
        <f t="shared" si="90"/>
        <v/>
      </c>
      <c r="P296" s="183"/>
      <c r="Q296" s="184"/>
      <c r="R296" s="19">
        <f t="shared" si="88"/>
        <v>0</v>
      </c>
      <c r="S296" s="19">
        <f t="shared" si="91"/>
        <v>1</v>
      </c>
      <c r="T296" s="144"/>
    </row>
    <row r="297" spans="1:20">
      <c r="A297" s="50">
        <v>44855</v>
      </c>
      <c r="D297" s="128"/>
      <c r="E297" s="129"/>
      <c r="F297" s="130"/>
      <c r="G297" s="53"/>
      <c r="H297" s="53">
        <v>4140</v>
      </c>
      <c r="I297" s="53" t="str">
        <f t="shared" si="86"/>
        <v/>
      </c>
      <c r="J297" s="53" t="str">
        <f t="shared" si="87"/>
        <v/>
      </c>
      <c r="K297" s="54" t="str">
        <f t="shared" si="92"/>
        <v/>
      </c>
      <c r="L297" s="53" t="str">
        <f t="shared" si="89"/>
        <v/>
      </c>
      <c r="M297" s="54" t="str">
        <f t="shared" si="93"/>
        <v/>
      </c>
      <c r="N297" s="55"/>
      <c r="O297" s="55" t="str">
        <f t="shared" si="90"/>
        <v/>
      </c>
      <c r="P297" s="62" t="s">
        <v>31</v>
      </c>
      <c r="Q297" s="62" t="s">
        <v>32</v>
      </c>
      <c r="R297" s="19">
        <f t="shared" si="88"/>
        <v>0</v>
      </c>
      <c r="S297" s="19">
        <f t="shared" si="91"/>
        <v>1</v>
      </c>
      <c r="T297" s="144"/>
    </row>
    <row r="298" spans="1:20">
      <c r="A298" s="50">
        <v>44856</v>
      </c>
      <c r="D298" s="128"/>
      <c r="E298" s="129"/>
      <c r="F298" s="130"/>
      <c r="G298" s="53"/>
      <c r="H298" s="53">
        <v>4140</v>
      </c>
      <c r="I298" s="53" t="str">
        <f t="shared" si="86"/>
        <v/>
      </c>
      <c r="J298" s="53" t="str">
        <f t="shared" si="87"/>
        <v/>
      </c>
      <c r="K298" s="54" t="str">
        <f t="shared" si="92"/>
        <v/>
      </c>
      <c r="L298" s="53" t="str">
        <f t="shared" si="89"/>
        <v/>
      </c>
      <c r="M298" s="54" t="str">
        <f t="shared" si="93"/>
        <v/>
      </c>
      <c r="N298" s="55"/>
      <c r="O298" s="55" t="str">
        <f t="shared" si="90"/>
        <v/>
      </c>
      <c r="P298" s="63">
        <f>IF(J277="",0,+SUM(J277:J307)/SUM(I277:I307))</f>
        <v>0</v>
      </c>
      <c r="Q298" s="63">
        <f>IF(L277="",0,+SUM(L277:L307)/SUM(I277:I307))</f>
        <v>0</v>
      </c>
      <c r="R298" s="19">
        <f t="shared" si="88"/>
        <v>0</v>
      </c>
      <c r="S298" s="19">
        <f t="shared" si="91"/>
        <v>1</v>
      </c>
      <c r="T298" s="145"/>
    </row>
    <row r="299" spans="1:20">
      <c r="A299" s="50">
        <v>44857</v>
      </c>
      <c r="D299" s="128"/>
      <c r="E299" s="129"/>
      <c r="F299" s="130"/>
      <c r="G299" s="53"/>
      <c r="H299" s="53">
        <v>4140</v>
      </c>
      <c r="I299" s="53" t="str">
        <f t="shared" si="86"/>
        <v/>
      </c>
      <c r="J299" s="53" t="str">
        <f t="shared" si="87"/>
        <v/>
      </c>
      <c r="K299" s="54" t="str">
        <f t="shared" si="92"/>
        <v/>
      </c>
      <c r="L299" s="53" t="str">
        <f t="shared" si="89"/>
        <v/>
      </c>
      <c r="M299" s="54" t="str">
        <f t="shared" si="93"/>
        <v/>
      </c>
      <c r="N299" s="55"/>
      <c r="O299" s="55" t="str">
        <f t="shared" si="90"/>
        <v/>
      </c>
      <c r="P299" s="64">
        <f>IF(J277="",0,+(+(LOOKUP(9.99999999999999E+307,E277:E307)-E276))/(+(LOOKUP(9.99999999999999E+307,D277:D307)-D276)))</f>
        <v>0</v>
      </c>
      <c r="Q299" s="64">
        <f>IF(L277="",0,+(+(LOOKUP(9.99999999999999E+307,F277:F307)-F276))/(+(LOOKUP(9.99999999999999E+307,D277:D307)-D276)))</f>
        <v>0</v>
      </c>
      <c r="R299" s="19">
        <f t="shared" si="88"/>
        <v>0</v>
      </c>
      <c r="S299" s="19">
        <f t="shared" si="91"/>
        <v>1</v>
      </c>
      <c r="T299" s="145"/>
    </row>
    <row r="300" spans="1:20">
      <c r="A300" s="50">
        <v>44858</v>
      </c>
      <c r="D300" s="128"/>
      <c r="E300" s="129"/>
      <c r="F300" s="130"/>
      <c r="G300" s="53"/>
      <c r="H300" s="53">
        <v>4140</v>
      </c>
      <c r="I300" s="53" t="str">
        <f t="shared" ref="I300:J315" si="94">IF(D300="","",+(E300-E299)*4140)</f>
        <v/>
      </c>
      <c r="J300" s="53" t="str">
        <f t="shared" si="94"/>
        <v/>
      </c>
      <c r="K300" s="54" t="str">
        <f t="shared" si="92"/>
        <v/>
      </c>
      <c r="L300" s="53" t="str">
        <f t="shared" si="89"/>
        <v/>
      </c>
      <c r="M300" s="54" t="str">
        <f t="shared" si="93"/>
        <v/>
      </c>
      <c r="N300" s="55"/>
      <c r="O300" s="55" t="str">
        <f t="shared" si="90"/>
        <v/>
      </c>
      <c r="P300" s="65" t="s">
        <v>33</v>
      </c>
      <c r="Q300" s="66" t="s">
        <v>34</v>
      </c>
      <c r="R300" s="19">
        <f t="shared" si="88"/>
        <v>0</v>
      </c>
      <c r="S300" s="19">
        <f t="shared" si="91"/>
        <v>1</v>
      </c>
      <c r="T300" s="145"/>
    </row>
    <row r="301" spans="1:20">
      <c r="A301" s="50">
        <v>44859</v>
      </c>
      <c r="D301" s="128"/>
      <c r="E301" s="129"/>
      <c r="F301" s="130"/>
      <c r="G301" s="53"/>
      <c r="H301" s="53">
        <v>4140</v>
      </c>
      <c r="I301" s="53" t="str">
        <f t="shared" si="94"/>
        <v/>
      </c>
      <c r="J301" s="53" t="str">
        <f t="shared" si="94"/>
        <v/>
      </c>
      <c r="K301" s="54" t="str">
        <f t="shared" si="92"/>
        <v/>
      </c>
      <c r="L301" s="53" t="str">
        <f t="shared" si="89"/>
        <v/>
      </c>
      <c r="M301" s="54" t="str">
        <f t="shared" si="93"/>
        <v/>
      </c>
      <c r="N301" s="55"/>
      <c r="O301" s="55" t="str">
        <f t="shared" si="90"/>
        <v/>
      </c>
      <c r="P301" s="67">
        <f>IF(N276="",0,+(LOOKUP(9.99999999999999E+307,N276:N307)-N276))</f>
        <v>0</v>
      </c>
      <c r="Q301" s="68" t="e">
        <f>IF(P301="",0,+P301/SUM(R277:R307))</f>
        <v>#DIV/0!</v>
      </c>
      <c r="R301" s="19">
        <f t="shared" si="88"/>
        <v>0</v>
      </c>
      <c r="S301" s="19">
        <f t="shared" si="91"/>
        <v>1</v>
      </c>
      <c r="T301" s="145"/>
    </row>
    <row r="302" spans="1:20">
      <c r="A302" s="50">
        <v>44860</v>
      </c>
      <c r="D302" s="128"/>
      <c r="E302" s="129"/>
      <c r="F302" s="130"/>
      <c r="G302" s="53"/>
      <c r="H302" s="53">
        <v>4140</v>
      </c>
      <c r="I302" s="53" t="str">
        <f t="shared" si="94"/>
        <v/>
      </c>
      <c r="J302" s="53" t="str">
        <f t="shared" si="94"/>
        <v/>
      </c>
      <c r="K302" s="54" t="str">
        <f t="shared" si="92"/>
        <v/>
      </c>
      <c r="L302" s="53" t="str">
        <f t="shared" si="89"/>
        <v/>
      </c>
      <c r="M302" s="54" t="str">
        <f t="shared" si="93"/>
        <v/>
      </c>
      <c r="N302" s="55"/>
      <c r="O302" s="55" t="str">
        <f t="shared" si="90"/>
        <v/>
      </c>
      <c r="P302" s="69" t="s">
        <v>35</v>
      </c>
      <c r="Q302" s="70" t="s">
        <v>43</v>
      </c>
      <c r="R302" s="19">
        <f t="shared" si="88"/>
        <v>0</v>
      </c>
      <c r="S302" s="19">
        <f t="shared" si="91"/>
        <v>1</v>
      </c>
      <c r="T302" s="144"/>
    </row>
    <row r="303" spans="1:20">
      <c r="A303" s="50">
        <v>44861</v>
      </c>
      <c r="D303" s="128"/>
      <c r="E303" s="129"/>
      <c r="F303" s="130"/>
      <c r="G303" s="53"/>
      <c r="H303" s="53">
        <v>4140</v>
      </c>
      <c r="I303" s="53" t="str">
        <f t="shared" si="94"/>
        <v/>
      </c>
      <c r="J303" s="53" t="str">
        <f t="shared" si="94"/>
        <v/>
      </c>
      <c r="K303" s="54" t="str">
        <f t="shared" si="92"/>
        <v/>
      </c>
      <c r="L303" s="53" t="str">
        <f t="shared" si="89"/>
        <v/>
      </c>
      <c r="M303" s="54" t="str">
        <f t="shared" si="93"/>
        <v/>
      </c>
      <c r="N303" s="55"/>
      <c r="O303" s="55" t="str">
        <f t="shared" si="90"/>
        <v/>
      </c>
      <c r="P303" s="71">
        <f>IF(D276="",0,+(LOOKUP(9.99999999999999E+307,D276:D307)-D276))*4140</f>
        <v>0</v>
      </c>
      <c r="Q303" s="72" t="e">
        <f>IF(P303="",0,+P303/SUM(R277:R307))</f>
        <v>#DIV/0!</v>
      </c>
      <c r="R303" s="19">
        <f t="shared" si="88"/>
        <v>0</v>
      </c>
      <c r="S303" s="19">
        <f t="shared" si="91"/>
        <v>1</v>
      </c>
      <c r="T303" s="144"/>
    </row>
    <row r="304" spans="1:20">
      <c r="A304" s="50">
        <v>44862</v>
      </c>
      <c r="D304" s="128"/>
      <c r="E304" s="129"/>
      <c r="F304" s="130"/>
      <c r="G304" s="53"/>
      <c r="H304" s="53">
        <v>4140</v>
      </c>
      <c r="I304" s="53" t="str">
        <f t="shared" si="94"/>
        <v/>
      </c>
      <c r="J304" s="53" t="str">
        <f t="shared" si="94"/>
        <v/>
      </c>
      <c r="K304" s="54" t="str">
        <f t="shared" si="92"/>
        <v/>
      </c>
      <c r="L304" s="53" t="str">
        <f t="shared" si="89"/>
        <v/>
      </c>
      <c r="M304" s="54" t="str">
        <f t="shared" si="93"/>
        <v/>
      </c>
      <c r="N304" s="55"/>
      <c r="O304" s="55" t="str">
        <f t="shared" si="90"/>
        <v/>
      </c>
      <c r="P304" s="146" t="s">
        <v>37</v>
      </c>
      <c r="Q304" s="147" t="s">
        <v>44</v>
      </c>
      <c r="R304" s="19">
        <f t="shared" si="88"/>
        <v>0</v>
      </c>
      <c r="S304" s="19">
        <f t="shared" si="91"/>
        <v>1</v>
      </c>
      <c r="T304" s="144"/>
    </row>
    <row r="305" spans="1:20">
      <c r="A305" s="50">
        <v>44863</v>
      </c>
      <c r="D305" s="128"/>
      <c r="E305" s="129"/>
      <c r="F305" s="130"/>
      <c r="G305" s="53"/>
      <c r="H305" s="53">
        <v>4140</v>
      </c>
      <c r="I305" s="53" t="str">
        <f t="shared" si="94"/>
        <v/>
      </c>
      <c r="J305" s="53" t="str">
        <f t="shared" si="94"/>
        <v/>
      </c>
      <c r="K305" s="54" t="str">
        <f t="shared" si="92"/>
        <v/>
      </c>
      <c r="L305" s="53" t="str">
        <f t="shared" si="89"/>
        <v/>
      </c>
      <c r="M305" s="54" t="str">
        <f t="shared" si="93"/>
        <v/>
      </c>
      <c r="N305" s="55"/>
      <c r="O305" s="55" t="str">
        <f t="shared" si="90"/>
        <v/>
      </c>
      <c r="P305" s="73">
        <f>P303*Q308</f>
        <v>0</v>
      </c>
      <c r="Q305" s="74" t="e">
        <f>IF(Q34="",0,(SUM('[1]Günlük Tüketim'!H277:H307)*1.62)/SUM(O277:O307))</f>
        <v>#DIV/0!</v>
      </c>
      <c r="R305" s="19">
        <f t="shared" si="88"/>
        <v>0</v>
      </c>
      <c r="S305" s="19">
        <f t="shared" si="91"/>
        <v>1</v>
      </c>
      <c r="T305" s="144"/>
    </row>
    <row r="306" spans="1:20">
      <c r="A306" s="50">
        <v>44864</v>
      </c>
      <c r="D306" s="163"/>
      <c r="E306" s="164"/>
      <c r="F306" s="165"/>
      <c r="G306" s="53"/>
      <c r="H306" s="53">
        <v>4140</v>
      </c>
      <c r="I306" s="53" t="str">
        <f t="shared" si="94"/>
        <v/>
      </c>
      <c r="J306" s="53" t="str">
        <f t="shared" si="94"/>
        <v/>
      </c>
      <c r="K306" s="54" t="str">
        <f t="shared" si="92"/>
        <v/>
      </c>
      <c r="L306" s="53" t="str">
        <f t="shared" si="89"/>
        <v/>
      </c>
      <c r="M306" s="54" t="str">
        <f t="shared" si="93"/>
        <v/>
      </c>
      <c r="N306" s="55"/>
      <c r="O306" s="55" t="str">
        <f t="shared" si="90"/>
        <v/>
      </c>
      <c r="P306" s="148" t="s">
        <v>39</v>
      </c>
      <c r="Q306" s="149" t="s">
        <v>40</v>
      </c>
      <c r="R306" s="19">
        <f t="shared" si="88"/>
        <v>0</v>
      </c>
      <c r="S306" s="19">
        <f t="shared" si="91"/>
        <v>1</v>
      </c>
      <c r="T306" s="144"/>
    </row>
    <row r="307" spans="1:20">
      <c r="A307" s="50">
        <v>44865</v>
      </c>
      <c r="D307" s="166"/>
      <c r="E307" s="166"/>
      <c r="F307" s="166"/>
      <c r="G307" s="167"/>
      <c r="H307" s="167">
        <v>4140</v>
      </c>
      <c r="I307" s="167" t="str">
        <f t="shared" si="94"/>
        <v/>
      </c>
      <c r="J307" s="167" t="str">
        <f t="shared" si="94"/>
        <v/>
      </c>
      <c r="K307" s="168" t="str">
        <f t="shared" si="92"/>
        <v/>
      </c>
      <c r="L307" s="167" t="str">
        <f t="shared" si="89"/>
        <v/>
      </c>
      <c r="M307" s="168" t="str">
        <f t="shared" si="93"/>
        <v/>
      </c>
      <c r="N307" s="169"/>
      <c r="O307" s="170" t="str">
        <f t="shared" si="90"/>
        <v/>
      </c>
      <c r="P307" s="162" t="e">
        <f>(P305+Q303*SUM(S277:S307)*Q308)</f>
        <v>#DIV/0!</v>
      </c>
      <c r="Q307" s="112" t="e">
        <f>Q303*31</f>
        <v>#DIV/0!</v>
      </c>
      <c r="R307" s="19">
        <f t="shared" si="88"/>
        <v>0</v>
      </c>
      <c r="S307" s="19">
        <f t="shared" si="91"/>
        <v>1</v>
      </c>
      <c r="T307" s="144"/>
    </row>
    <row r="308" spans="1:20">
      <c r="A308" s="50">
        <v>44866</v>
      </c>
      <c r="D308" s="128"/>
      <c r="E308" s="129"/>
      <c r="F308" s="130"/>
      <c r="G308" s="53"/>
      <c r="H308" s="53">
        <v>4140</v>
      </c>
      <c r="I308" s="53" t="str">
        <f t="shared" si="94"/>
        <v/>
      </c>
      <c r="J308" s="53" t="str">
        <f t="shared" si="94"/>
        <v/>
      </c>
      <c r="K308" s="54" t="str">
        <f t="shared" si="92"/>
        <v/>
      </c>
      <c r="L308" s="53" t="str">
        <f t="shared" si="89"/>
        <v/>
      </c>
      <c r="M308" s="54" t="str">
        <f t="shared" si="93"/>
        <v/>
      </c>
      <c r="N308" s="55"/>
      <c r="O308" s="55" t="str">
        <f t="shared" si="90"/>
        <v/>
      </c>
      <c r="P308" s="95" t="s">
        <v>41</v>
      </c>
      <c r="Q308" s="96">
        <v>0.56999999999999995</v>
      </c>
      <c r="R308" s="19">
        <f t="shared" si="88"/>
        <v>0</v>
      </c>
      <c r="S308" s="19">
        <f t="shared" si="91"/>
        <v>1</v>
      </c>
      <c r="T308" s="144"/>
    </row>
    <row r="309" spans="1:20">
      <c r="A309" s="50">
        <v>44867</v>
      </c>
      <c r="D309" s="128"/>
      <c r="E309" s="129"/>
      <c r="F309" s="130"/>
      <c r="G309" s="53"/>
      <c r="H309" s="53">
        <v>4140</v>
      </c>
      <c r="I309" s="53" t="str">
        <f t="shared" si="94"/>
        <v/>
      </c>
      <c r="J309" s="53" t="str">
        <f t="shared" si="94"/>
        <v/>
      </c>
      <c r="K309" s="54" t="str">
        <f t="shared" si="92"/>
        <v/>
      </c>
      <c r="L309" s="53" t="str">
        <f t="shared" si="89"/>
        <v/>
      </c>
      <c r="M309" s="54" t="str">
        <f t="shared" si="93"/>
        <v/>
      </c>
      <c r="N309" s="55"/>
      <c r="O309" s="55" t="str">
        <f t="shared" si="90"/>
        <v/>
      </c>
      <c r="P309" s="113"/>
      <c r="Q309" s="113"/>
      <c r="R309" s="19">
        <f t="shared" si="88"/>
        <v>0</v>
      </c>
      <c r="S309" s="19">
        <f t="shared" si="91"/>
        <v>1</v>
      </c>
      <c r="T309" s="144"/>
    </row>
    <row r="310" spans="1:20">
      <c r="A310" s="50">
        <v>44868</v>
      </c>
      <c r="D310" s="128"/>
      <c r="E310" s="129"/>
      <c r="F310" s="130"/>
      <c r="G310" s="53"/>
      <c r="H310" s="53">
        <v>4140</v>
      </c>
      <c r="I310" s="53" t="str">
        <f t="shared" si="94"/>
        <v/>
      </c>
      <c r="J310" s="53" t="str">
        <f t="shared" si="94"/>
        <v/>
      </c>
      <c r="K310" s="54" t="str">
        <f t="shared" si="92"/>
        <v/>
      </c>
      <c r="L310" s="53" t="str">
        <f t="shared" si="89"/>
        <v/>
      </c>
      <c r="M310" s="54" t="str">
        <f t="shared" si="93"/>
        <v/>
      </c>
      <c r="N310" s="55"/>
      <c r="O310" s="55" t="str">
        <f t="shared" si="90"/>
        <v/>
      </c>
      <c r="P310" s="84"/>
      <c r="Q310" s="85"/>
      <c r="R310" s="19">
        <f>IF(N310="",0,1)</f>
        <v>0</v>
      </c>
      <c r="S310" s="19">
        <f t="shared" si="91"/>
        <v>1</v>
      </c>
      <c r="T310" s="145"/>
    </row>
    <row r="311" spans="1:20">
      <c r="A311" s="50">
        <v>44869</v>
      </c>
      <c r="D311" s="128"/>
      <c r="E311" s="129"/>
      <c r="F311" s="130"/>
      <c r="G311" s="53"/>
      <c r="H311" s="53">
        <v>4140</v>
      </c>
      <c r="I311" s="53" t="str">
        <f t="shared" si="94"/>
        <v/>
      </c>
      <c r="J311" s="53" t="str">
        <f t="shared" si="94"/>
        <v/>
      </c>
      <c r="K311" s="54" t="str">
        <f t="shared" si="92"/>
        <v/>
      </c>
      <c r="L311" s="53" t="str">
        <f t="shared" si="89"/>
        <v/>
      </c>
      <c r="M311" s="54" t="str">
        <f t="shared" si="93"/>
        <v/>
      </c>
      <c r="N311" s="55"/>
      <c r="O311" s="55" t="str">
        <f t="shared" si="90"/>
        <v/>
      </c>
      <c r="P311" s="86"/>
      <c r="Q311" s="87"/>
      <c r="R311" s="19">
        <f>IF(N311="",0,1)</f>
        <v>0</v>
      </c>
      <c r="S311" s="19">
        <f>IF(N312="",1,0)</f>
        <v>1</v>
      </c>
      <c r="T311" s="145"/>
    </row>
    <row r="312" spans="1:20">
      <c r="A312" s="50">
        <v>44870</v>
      </c>
      <c r="D312" s="128"/>
      <c r="E312" s="129"/>
      <c r="F312" s="130"/>
      <c r="G312" s="53"/>
      <c r="H312" s="53">
        <v>4140</v>
      </c>
      <c r="I312" s="53" t="str">
        <f t="shared" si="94"/>
        <v/>
      </c>
      <c r="J312" s="53" t="str">
        <f t="shared" si="94"/>
        <v/>
      </c>
      <c r="K312" s="54" t="str">
        <f t="shared" si="92"/>
        <v/>
      </c>
      <c r="L312" s="53" t="str">
        <f t="shared" si="89"/>
        <v/>
      </c>
      <c r="M312" s="54" t="str">
        <f t="shared" si="93"/>
        <v/>
      </c>
      <c r="N312" s="55"/>
      <c r="O312" s="55" t="str">
        <f t="shared" si="90"/>
        <v/>
      </c>
      <c r="P312" s="86"/>
      <c r="Q312" s="85"/>
      <c r="R312" s="19">
        <f>IF(N312="",0,1)</f>
        <v>0</v>
      </c>
      <c r="S312" s="19">
        <f>IF(N313="",1,0)</f>
        <v>1</v>
      </c>
      <c r="T312" s="144"/>
    </row>
    <row r="313" spans="1:20">
      <c r="A313" s="50">
        <v>44871</v>
      </c>
      <c r="D313" s="128"/>
      <c r="E313" s="129"/>
      <c r="F313" s="130"/>
      <c r="G313" s="53"/>
      <c r="H313" s="53">
        <v>4140</v>
      </c>
      <c r="I313" s="53" t="str">
        <f t="shared" si="94"/>
        <v/>
      </c>
      <c r="J313" s="53" t="str">
        <f t="shared" si="94"/>
        <v/>
      </c>
      <c r="K313" s="54" t="str">
        <f t="shared" si="92"/>
        <v/>
      </c>
      <c r="L313" s="53" t="str">
        <f t="shared" si="89"/>
        <v/>
      </c>
      <c r="M313" s="54" t="str">
        <f t="shared" si="93"/>
        <v/>
      </c>
      <c r="N313" s="55"/>
      <c r="O313" s="55" t="str">
        <f t="shared" si="90"/>
        <v/>
      </c>
      <c r="P313" s="56"/>
      <c r="Q313" s="58"/>
      <c r="R313" s="19">
        <f t="shared" si="88"/>
        <v>0</v>
      </c>
      <c r="S313" s="19">
        <f t="shared" si="91"/>
        <v>1</v>
      </c>
      <c r="T313" s="144"/>
    </row>
    <row r="314" spans="1:20">
      <c r="A314" s="50">
        <v>44872</v>
      </c>
      <c r="D314" s="128"/>
      <c r="E314" s="129"/>
      <c r="F314" s="130"/>
      <c r="G314" s="53"/>
      <c r="H314" s="53">
        <v>4140</v>
      </c>
      <c r="I314" s="53" t="str">
        <f t="shared" si="94"/>
        <v/>
      </c>
      <c r="J314" s="53" t="str">
        <f t="shared" si="94"/>
        <v/>
      </c>
      <c r="K314" s="54" t="str">
        <f t="shared" si="92"/>
        <v/>
      </c>
      <c r="L314" s="53" t="str">
        <f t="shared" si="89"/>
        <v/>
      </c>
      <c r="M314" s="54" t="str">
        <f t="shared" si="93"/>
        <v/>
      </c>
      <c r="N314" s="55"/>
      <c r="O314" s="55" t="str">
        <f t="shared" si="90"/>
        <v/>
      </c>
      <c r="P314" s="56"/>
      <c r="Q314" s="58"/>
      <c r="R314" s="19">
        <f t="shared" si="88"/>
        <v>0</v>
      </c>
      <c r="S314" s="19">
        <f t="shared" si="91"/>
        <v>1</v>
      </c>
      <c r="T314" s="144"/>
    </row>
    <row r="315" spans="1:20">
      <c r="A315" s="50">
        <v>44873</v>
      </c>
      <c r="D315" s="128"/>
      <c r="E315" s="129"/>
      <c r="F315" s="130"/>
      <c r="G315" s="53"/>
      <c r="H315" s="53">
        <v>4140</v>
      </c>
      <c r="I315" s="53" t="str">
        <f t="shared" si="94"/>
        <v/>
      </c>
      <c r="J315" s="53" t="str">
        <f t="shared" si="94"/>
        <v/>
      </c>
      <c r="K315" s="54" t="str">
        <f t="shared" si="92"/>
        <v/>
      </c>
      <c r="L315" s="53" t="str">
        <f t="shared" si="89"/>
        <v/>
      </c>
      <c r="M315" s="54" t="str">
        <f t="shared" si="93"/>
        <v/>
      </c>
      <c r="N315" s="55"/>
      <c r="O315" s="55" t="str">
        <f>IF(N315="","",N315-N314)</f>
        <v/>
      </c>
      <c r="P315" s="56"/>
      <c r="Q315" s="58"/>
      <c r="R315" s="19">
        <f t="shared" si="88"/>
        <v>0</v>
      </c>
      <c r="S315" s="19">
        <f t="shared" si="91"/>
        <v>1</v>
      </c>
      <c r="T315" s="145"/>
    </row>
    <row r="316" spans="1:20">
      <c r="A316" s="50">
        <v>44874</v>
      </c>
      <c r="D316" s="128"/>
      <c r="E316" s="129"/>
      <c r="F316" s="130"/>
      <c r="G316" s="53"/>
      <c r="H316" s="53">
        <v>4140</v>
      </c>
      <c r="I316" s="53" t="str">
        <f t="shared" ref="I316:I369" si="95">IF(D316="","",+(E316-E315)*4140)</f>
        <v/>
      </c>
      <c r="J316" s="53" t="str">
        <f t="shared" ref="J316:J367" si="96">IF(E316="","",+(F316-F315)*4140)</f>
        <v/>
      </c>
      <c r="K316" s="54" t="str">
        <f t="shared" si="92"/>
        <v/>
      </c>
      <c r="L316" s="53" t="str">
        <f t="shared" si="89"/>
        <v/>
      </c>
      <c r="M316" s="54" t="str">
        <f t="shared" si="93"/>
        <v/>
      </c>
      <c r="N316" s="55"/>
      <c r="O316" s="55" t="str">
        <f t="shared" ref="O316:O369" si="97">IF(N316="","",N316-N315)</f>
        <v/>
      </c>
      <c r="P316" s="56"/>
      <c r="Q316" s="57"/>
      <c r="R316" s="19">
        <f t="shared" si="88"/>
        <v>0</v>
      </c>
      <c r="S316" s="19">
        <f t="shared" si="91"/>
        <v>1</v>
      </c>
      <c r="T316" s="145"/>
    </row>
    <row r="317" spans="1:20">
      <c r="A317" s="50">
        <v>44875</v>
      </c>
      <c r="D317" s="128"/>
      <c r="E317" s="129"/>
      <c r="F317" s="130"/>
      <c r="G317" s="53"/>
      <c r="H317" s="53">
        <v>4140</v>
      </c>
      <c r="I317" s="53" t="str">
        <f t="shared" si="95"/>
        <v/>
      </c>
      <c r="J317" s="53" t="str">
        <f t="shared" si="96"/>
        <v/>
      </c>
      <c r="K317" s="54" t="str">
        <f t="shared" si="92"/>
        <v/>
      </c>
      <c r="L317" s="53" t="str">
        <f t="shared" si="89"/>
        <v/>
      </c>
      <c r="M317" s="54" t="str">
        <f t="shared" si="93"/>
        <v/>
      </c>
      <c r="N317" s="55"/>
      <c r="O317" s="55" t="str">
        <f t="shared" si="97"/>
        <v/>
      </c>
      <c r="P317" s="56"/>
      <c r="Q317" s="57"/>
      <c r="R317" s="19">
        <f t="shared" ref="R317:R368" si="98">IF(N317="",0,1)</f>
        <v>0</v>
      </c>
      <c r="S317" s="19">
        <f t="shared" si="91"/>
        <v>1</v>
      </c>
      <c r="T317" s="144"/>
    </row>
    <row r="318" spans="1:20">
      <c r="A318" s="50">
        <v>44876</v>
      </c>
      <c r="D318" s="128"/>
      <c r="E318" s="129"/>
      <c r="F318" s="130"/>
      <c r="G318" s="53"/>
      <c r="H318" s="53">
        <v>4140</v>
      </c>
      <c r="I318" s="53" t="str">
        <f t="shared" si="95"/>
        <v/>
      </c>
      <c r="J318" s="53" t="str">
        <f t="shared" si="96"/>
        <v/>
      </c>
      <c r="K318" s="54" t="str">
        <f t="shared" si="92"/>
        <v/>
      </c>
      <c r="L318" s="53" t="str">
        <f t="shared" si="89"/>
        <v/>
      </c>
      <c r="M318" s="54" t="str">
        <f t="shared" si="93"/>
        <v/>
      </c>
      <c r="N318" s="55"/>
      <c r="O318" s="55" t="str">
        <f t="shared" si="97"/>
        <v/>
      </c>
      <c r="P318" s="56"/>
      <c r="Q318" s="58"/>
      <c r="R318" s="19">
        <f t="shared" si="98"/>
        <v>0</v>
      </c>
      <c r="S318" s="19">
        <f t="shared" si="91"/>
        <v>1</v>
      </c>
      <c r="T318" s="144"/>
    </row>
    <row r="319" spans="1:20">
      <c r="A319" s="50">
        <v>44877</v>
      </c>
      <c r="D319" s="128"/>
      <c r="E319" s="129"/>
      <c r="F319" s="130"/>
      <c r="G319" s="53"/>
      <c r="H319" s="53">
        <v>4140</v>
      </c>
      <c r="I319" s="53" t="str">
        <f t="shared" si="95"/>
        <v/>
      </c>
      <c r="J319" s="53" t="str">
        <f t="shared" si="96"/>
        <v/>
      </c>
      <c r="K319" s="54" t="str">
        <f t="shared" si="92"/>
        <v/>
      </c>
      <c r="L319" s="53" t="str">
        <f t="shared" si="89"/>
        <v/>
      </c>
      <c r="M319" s="54" t="str">
        <f t="shared" si="93"/>
        <v/>
      </c>
      <c r="N319" s="55"/>
      <c r="O319" s="55" t="str">
        <f>IF(N319="","",N319-N318)</f>
        <v/>
      </c>
      <c r="P319" s="56"/>
      <c r="Q319" s="58"/>
      <c r="R319" s="19">
        <f t="shared" si="98"/>
        <v>0</v>
      </c>
      <c r="S319" s="19">
        <f t="shared" si="91"/>
        <v>1</v>
      </c>
      <c r="T319" s="144"/>
    </row>
    <row r="320" spans="1:20">
      <c r="A320" s="50">
        <v>44878</v>
      </c>
      <c r="D320" s="128"/>
      <c r="E320" s="129"/>
      <c r="F320" s="130"/>
      <c r="G320" s="53"/>
      <c r="H320" s="53">
        <v>4140</v>
      </c>
      <c r="I320" s="53" t="str">
        <f t="shared" si="95"/>
        <v/>
      </c>
      <c r="J320" s="53" t="str">
        <f t="shared" si="96"/>
        <v/>
      </c>
      <c r="K320" s="54" t="str">
        <f t="shared" si="92"/>
        <v/>
      </c>
      <c r="L320" s="53" t="str">
        <f t="shared" si="89"/>
        <v/>
      </c>
      <c r="M320" s="54" t="str">
        <f t="shared" si="93"/>
        <v/>
      </c>
      <c r="N320" s="55"/>
      <c r="O320" s="55" t="str">
        <f t="shared" si="97"/>
        <v/>
      </c>
      <c r="P320" s="56"/>
      <c r="Q320" s="57"/>
      <c r="R320" s="19">
        <f t="shared" si="98"/>
        <v>0</v>
      </c>
      <c r="S320" s="19">
        <f t="shared" si="91"/>
        <v>1</v>
      </c>
      <c r="T320" s="145"/>
    </row>
    <row r="321" spans="1:20">
      <c r="A321" s="50">
        <v>44879</v>
      </c>
      <c r="D321" s="128"/>
      <c r="E321" s="129"/>
      <c r="F321" s="130"/>
      <c r="G321" s="53"/>
      <c r="H321" s="53">
        <v>4140</v>
      </c>
      <c r="I321" s="53" t="str">
        <f t="shared" si="95"/>
        <v/>
      </c>
      <c r="J321" s="53" t="str">
        <f t="shared" si="96"/>
        <v/>
      </c>
      <c r="K321" s="54" t="str">
        <f t="shared" si="92"/>
        <v/>
      </c>
      <c r="L321" s="53" t="str">
        <f t="shared" si="89"/>
        <v/>
      </c>
      <c r="M321" s="54" t="str">
        <f t="shared" si="93"/>
        <v/>
      </c>
      <c r="N321" s="55"/>
      <c r="O321" s="55" t="str">
        <f t="shared" si="97"/>
        <v/>
      </c>
      <c r="P321" s="56"/>
      <c r="Q321" s="114"/>
      <c r="R321" s="19">
        <f t="shared" si="98"/>
        <v>0</v>
      </c>
      <c r="S321" s="19">
        <f t="shared" si="91"/>
        <v>1</v>
      </c>
      <c r="T321" s="145"/>
    </row>
    <row r="322" spans="1:20">
      <c r="A322" s="50">
        <v>44880</v>
      </c>
      <c r="D322" s="128"/>
      <c r="E322" s="129"/>
      <c r="F322" s="130"/>
      <c r="G322" s="53"/>
      <c r="H322" s="53">
        <v>4140</v>
      </c>
      <c r="I322" s="53" t="str">
        <f t="shared" si="95"/>
        <v/>
      </c>
      <c r="J322" s="53" t="str">
        <f t="shared" si="96"/>
        <v/>
      </c>
      <c r="K322" s="54" t="str">
        <f t="shared" si="92"/>
        <v/>
      </c>
      <c r="L322" s="53" t="str">
        <f t="shared" si="89"/>
        <v/>
      </c>
      <c r="M322" s="54" t="str">
        <f t="shared" si="93"/>
        <v/>
      </c>
      <c r="N322" s="55"/>
      <c r="O322" s="55" t="str">
        <f t="shared" si="97"/>
        <v/>
      </c>
      <c r="P322" s="56"/>
      <c r="Q322" s="57"/>
      <c r="R322" s="19">
        <f t="shared" si="98"/>
        <v>0</v>
      </c>
      <c r="S322" s="19">
        <f t="shared" si="91"/>
        <v>1</v>
      </c>
      <c r="T322" s="144"/>
    </row>
    <row r="323" spans="1:20">
      <c r="A323" s="50">
        <v>44881</v>
      </c>
      <c r="D323" s="128"/>
      <c r="E323" s="129"/>
      <c r="F323" s="130"/>
      <c r="G323" s="53"/>
      <c r="H323" s="53">
        <v>4140</v>
      </c>
      <c r="I323" s="53" t="str">
        <f t="shared" si="95"/>
        <v/>
      </c>
      <c r="J323" s="53" t="str">
        <f t="shared" si="96"/>
        <v/>
      </c>
      <c r="K323" s="54" t="str">
        <f t="shared" si="92"/>
        <v/>
      </c>
      <c r="L323" s="53" t="str">
        <f t="shared" si="89"/>
        <v/>
      </c>
      <c r="M323" s="54" t="str">
        <f t="shared" si="93"/>
        <v/>
      </c>
      <c r="N323" s="55"/>
      <c r="O323" s="55" t="str">
        <f t="shared" si="97"/>
        <v/>
      </c>
      <c r="P323" s="56"/>
      <c r="Q323" s="88"/>
      <c r="R323" s="19">
        <f t="shared" si="98"/>
        <v>0</v>
      </c>
      <c r="S323" s="19">
        <f t="shared" si="91"/>
        <v>1</v>
      </c>
      <c r="T323" s="144"/>
    </row>
    <row r="324" spans="1:20">
      <c r="A324" s="50">
        <v>44882</v>
      </c>
      <c r="D324" s="128"/>
      <c r="E324" s="129"/>
      <c r="F324" s="130"/>
      <c r="G324" s="53"/>
      <c r="H324" s="53">
        <v>4140</v>
      </c>
      <c r="I324" s="53" t="str">
        <f t="shared" si="95"/>
        <v/>
      </c>
      <c r="J324" s="53" t="str">
        <f t="shared" si="96"/>
        <v/>
      </c>
      <c r="K324" s="54" t="str">
        <f t="shared" si="92"/>
        <v/>
      </c>
      <c r="L324" s="53" t="str">
        <f t="shared" si="89"/>
        <v/>
      </c>
      <c r="M324" s="54" t="str">
        <f t="shared" si="93"/>
        <v/>
      </c>
      <c r="N324" s="55"/>
      <c r="O324" s="55" t="str">
        <f t="shared" si="97"/>
        <v/>
      </c>
      <c r="P324" s="56"/>
      <c r="Q324" s="88"/>
      <c r="R324" s="19">
        <f t="shared" si="98"/>
        <v>0</v>
      </c>
      <c r="S324" s="19">
        <f t="shared" si="91"/>
        <v>1</v>
      </c>
      <c r="T324" s="144"/>
    </row>
    <row r="325" spans="1:20">
      <c r="A325" s="50">
        <v>44883</v>
      </c>
      <c r="D325" s="128"/>
      <c r="E325" s="129"/>
      <c r="F325" s="130"/>
      <c r="G325" s="53"/>
      <c r="H325" s="53">
        <v>4140</v>
      </c>
      <c r="I325" s="53" t="str">
        <f t="shared" si="95"/>
        <v/>
      </c>
      <c r="J325" s="53" t="str">
        <f t="shared" si="96"/>
        <v/>
      </c>
      <c r="K325" s="54" t="str">
        <f t="shared" si="92"/>
        <v/>
      </c>
      <c r="L325" s="53" t="str">
        <f t="shared" ref="L325:L367" si="99">IF(F325="","",+(F325-F324)*4140)</f>
        <v/>
      </c>
      <c r="M325" s="54" t="str">
        <f t="shared" si="93"/>
        <v/>
      </c>
      <c r="N325" s="55"/>
      <c r="O325" s="55" t="str">
        <f t="shared" si="97"/>
        <v/>
      </c>
      <c r="P325" s="181" t="s">
        <v>55</v>
      </c>
      <c r="Q325" s="182"/>
      <c r="R325" s="19">
        <f t="shared" si="98"/>
        <v>0</v>
      </c>
      <c r="S325" s="19">
        <f t="shared" si="91"/>
        <v>1</v>
      </c>
      <c r="T325" s="145"/>
    </row>
    <row r="326" spans="1:20">
      <c r="A326" s="50">
        <v>44884</v>
      </c>
      <c r="D326" s="128"/>
      <c r="E326" s="129"/>
      <c r="F326" s="130"/>
      <c r="G326" s="53"/>
      <c r="H326" s="53">
        <v>4140</v>
      </c>
      <c r="I326" s="53" t="str">
        <f t="shared" ref="I326:J328" si="100">IF(D326="","",+(E326-E325)*4140)</f>
        <v/>
      </c>
      <c r="J326" s="53" t="str">
        <f t="shared" si="100"/>
        <v/>
      </c>
      <c r="K326" s="54" t="str">
        <f t="shared" si="92"/>
        <v/>
      </c>
      <c r="L326" s="53" t="str">
        <f>IF(F326="","",+(F326-F325)*4140)</f>
        <v/>
      </c>
      <c r="M326" s="54" t="str">
        <f t="shared" si="93"/>
        <v/>
      </c>
      <c r="N326" s="55"/>
      <c r="O326" s="55" t="str">
        <f t="shared" si="97"/>
        <v/>
      </c>
      <c r="P326" s="183"/>
      <c r="Q326" s="184"/>
      <c r="R326" s="19">
        <f t="shared" si="98"/>
        <v>0</v>
      </c>
      <c r="S326" s="19">
        <f t="shared" si="91"/>
        <v>1</v>
      </c>
      <c r="T326" s="145"/>
    </row>
    <row r="327" spans="1:20">
      <c r="A327" s="50">
        <v>44885</v>
      </c>
      <c r="D327" s="128"/>
      <c r="E327" s="129"/>
      <c r="F327" s="130"/>
      <c r="G327" s="53"/>
      <c r="H327" s="53">
        <v>4140</v>
      </c>
      <c r="I327" s="53" t="str">
        <f t="shared" si="100"/>
        <v/>
      </c>
      <c r="J327" s="53" t="str">
        <f t="shared" si="100"/>
        <v/>
      </c>
      <c r="K327" s="54" t="str">
        <f t="shared" si="92"/>
        <v/>
      </c>
      <c r="L327" s="53" t="str">
        <f>IF(F327="","",+(F327-F326)*4140)</f>
        <v/>
      </c>
      <c r="M327" s="54" t="str">
        <f t="shared" si="93"/>
        <v/>
      </c>
      <c r="N327" s="55"/>
      <c r="O327" s="55" t="str">
        <f t="shared" si="97"/>
        <v/>
      </c>
      <c r="P327" s="62" t="s">
        <v>31</v>
      </c>
      <c r="Q327" s="62" t="s">
        <v>32</v>
      </c>
      <c r="R327" s="19">
        <f t="shared" si="98"/>
        <v>0</v>
      </c>
      <c r="S327" s="19">
        <f t="shared" si="91"/>
        <v>1</v>
      </c>
      <c r="T327" s="144"/>
    </row>
    <row r="328" spans="1:20">
      <c r="A328" s="50">
        <v>44886</v>
      </c>
      <c r="D328" s="128"/>
      <c r="E328" s="129"/>
      <c r="F328" s="130"/>
      <c r="G328" s="53"/>
      <c r="H328" s="53">
        <v>4140</v>
      </c>
      <c r="I328" s="53" t="str">
        <f t="shared" si="100"/>
        <v/>
      </c>
      <c r="J328" s="53" t="str">
        <f t="shared" si="100"/>
        <v/>
      </c>
      <c r="K328" s="54" t="str">
        <f t="shared" si="92"/>
        <v/>
      </c>
      <c r="L328" s="53" t="str">
        <f>IF(F328="","",+(F328-F327)*4140)</f>
        <v/>
      </c>
      <c r="M328" s="54" t="str">
        <f t="shared" si="93"/>
        <v/>
      </c>
      <c r="N328" s="55"/>
      <c r="O328" s="55" t="str">
        <f>IF(N328="","",N328-N327)</f>
        <v/>
      </c>
      <c r="P328" s="63">
        <f>IF(J308="",0,+SUM(J308:J337)/SUM(I308:I337))</f>
        <v>0</v>
      </c>
      <c r="Q328" s="63">
        <f>IF(L308="",0,+SUM(L308:L337)/SUM(I308:I337))</f>
        <v>0</v>
      </c>
      <c r="R328" s="19">
        <f t="shared" si="98"/>
        <v>0</v>
      </c>
      <c r="S328" s="19">
        <f t="shared" ref="S328:S368" si="101">IF(N328="",1,0)</f>
        <v>1</v>
      </c>
      <c r="T328" s="144"/>
    </row>
    <row r="329" spans="1:20">
      <c r="A329" s="50">
        <v>44887</v>
      </c>
      <c r="D329" s="128"/>
      <c r="E329" s="129"/>
      <c r="F329" s="130"/>
      <c r="G329" s="53"/>
      <c r="H329" s="53">
        <v>4140</v>
      </c>
      <c r="I329" s="53" t="str">
        <f t="shared" si="95"/>
        <v/>
      </c>
      <c r="J329" s="53" t="str">
        <f t="shared" si="96"/>
        <v/>
      </c>
      <c r="K329" s="54" t="str">
        <f t="shared" si="92"/>
        <v/>
      </c>
      <c r="L329" s="53" t="str">
        <f t="shared" si="99"/>
        <v/>
      </c>
      <c r="M329" s="54" t="str">
        <f t="shared" si="93"/>
        <v/>
      </c>
      <c r="N329" s="55"/>
      <c r="O329" s="55" t="str">
        <f t="shared" si="97"/>
        <v/>
      </c>
      <c r="P329" s="64">
        <f>IF(J308="",0,+(+(LOOKUP(9.99999999999999E+307,E308:E337)-E307))/(+(LOOKUP(9.99999999999999E+307,D308:D337)-D307)))</f>
        <v>0</v>
      </c>
      <c r="Q329" s="64">
        <f>IF(L308="",0,+(+(LOOKUP(9.99999999999999E+307,F308:F337)-F307))/(+(LOOKUP(9.99999999999999E+307,D308:D337)-D307)))</f>
        <v>0</v>
      </c>
      <c r="R329" s="19">
        <f t="shared" si="98"/>
        <v>0</v>
      </c>
      <c r="S329" s="19">
        <f t="shared" si="101"/>
        <v>1</v>
      </c>
      <c r="T329" s="145"/>
    </row>
    <row r="330" spans="1:20">
      <c r="A330" s="50">
        <v>44888</v>
      </c>
      <c r="D330" s="128"/>
      <c r="E330" s="129"/>
      <c r="F330" s="130"/>
      <c r="G330" s="53"/>
      <c r="H330" s="53">
        <v>4140</v>
      </c>
      <c r="I330" s="53" t="str">
        <f t="shared" si="95"/>
        <v/>
      </c>
      <c r="J330" s="53" t="str">
        <f t="shared" si="96"/>
        <v/>
      </c>
      <c r="K330" s="54" t="str">
        <f t="shared" si="92"/>
        <v/>
      </c>
      <c r="L330" s="53" t="str">
        <f t="shared" si="99"/>
        <v/>
      </c>
      <c r="M330" s="54" t="str">
        <f t="shared" si="93"/>
        <v/>
      </c>
      <c r="N330" s="55"/>
      <c r="O330" s="55" t="str">
        <f t="shared" si="97"/>
        <v/>
      </c>
      <c r="P330" s="65" t="s">
        <v>33</v>
      </c>
      <c r="Q330" s="66" t="s">
        <v>34</v>
      </c>
      <c r="R330" s="19">
        <f t="shared" si="98"/>
        <v>0</v>
      </c>
      <c r="S330" s="19">
        <f t="shared" si="101"/>
        <v>1</v>
      </c>
      <c r="T330" s="145"/>
    </row>
    <row r="331" spans="1:20">
      <c r="A331" s="50">
        <v>44889</v>
      </c>
      <c r="D331" s="128"/>
      <c r="E331" s="129"/>
      <c r="F331" s="130"/>
      <c r="G331" s="53"/>
      <c r="H331" s="53">
        <v>4140</v>
      </c>
      <c r="I331" s="53" t="str">
        <f t="shared" si="95"/>
        <v/>
      </c>
      <c r="J331" s="53" t="str">
        <f t="shared" si="96"/>
        <v/>
      </c>
      <c r="K331" s="54" t="str">
        <f t="shared" si="92"/>
        <v/>
      </c>
      <c r="L331" s="53" t="str">
        <f t="shared" si="99"/>
        <v/>
      </c>
      <c r="M331" s="54" t="str">
        <f t="shared" si="93"/>
        <v/>
      </c>
      <c r="N331" s="55"/>
      <c r="O331" s="55" t="str">
        <f t="shared" si="97"/>
        <v/>
      </c>
      <c r="P331" s="67">
        <f>IF(N307="",0,+(LOOKUP(9.99999999999999E+307,N307:N337)-N307))</f>
        <v>0</v>
      </c>
      <c r="Q331" s="68" t="e">
        <f>IF(P331="",0,+P331/SUM(R308:R337))</f>
        <v>#DIV/0!</v>
      </c>
      <c r="R331" s="19">
        <f t="shared" si="98"/>
        <v>0</v>
      </c>
      <c r="S331" s="19">
        <f t="shared" si="101"/>
        <v>1</v>
      </c>
      <c r="T331" s="145"/>
    </row>
    <row r="332" spans="1:20">
      <c r="A332" s="50">
        <v>44890</v>
      </c>
      <c r="D332" s="128"/>
      <c r="E332" s="129"/>
      <c r="F332" s="130"/>
      <c r="G332" s="53"/>
      <c r="H332" s="53">
        <v>4140</v>
      </c>
      <c r="I332" s="53" t="str">
        <f t="shared" si="95"/>
        <v/>
      </c>
      <c r="J332" s="53" t="str">
        <f t="shared" si="96"/>
        <v/>
      </c>
      <c r="K332" s="54" t="str">
        <f t="shared" si="92"/>
        <v/>
      </c>
      <c r="L332" s="53" t="str">
        <f t="shared" si="99"/>
        <v/>
      </c>
      <c r="M332" s="54" t="str">
        <f t="shared" si="93"/>
        <v/>
      </c>
      <c r="N332" s="55"/>
      <c r="O332" s="55" t="str">
        <f t="shared" si="97"/>
        <v/>
      </c>
      <c r="P332" s="69" t="s">
        <v>35</v>
      </c>
      <c r="Q332" s="70" t="s">
        <v>43</v>
      </c>
      <c r="R332" s="19">
        <f t="shared" si="98"/>
        <v>0</v>
      </c>
      <c r="S332" s="19">
        <f t="shared" si="101"/>
        <v>1</v>
      </c>
      <c r="T332" s="145"/>
    </row>
    <row r="333" spans="1:20">
      <c r="A333" s="50">
        <v>44891</v>
      </c>
      <c r="D333" s="128"/>
      <c r="E333" s="129"/>
      <c r="F333" s="130"/>
      <c r="G333" s="53"/>
      <c r="H333" s="53">
        <v>4140</v>
      </c>
      <c r="I333" s="53" t="str">
        <f t="shared" si="95"/>
        <v/>
      </c>
      <c r="J333" s="53" t="str">
        <f t="shared" si="96"/>
        <v/>
      </c>
      <c r="K333" s="54" t="str">
        <f t="shared" ref="K333:K337" si="102">IF(J333="","",+(J333/I333))</f>
        <v/>
      </c>
      <c r="L333" s="53" t="str">
        <f t="shared" si="99"/>
        <v/>
      </c>
      <c r="M333" s="54" t="str">
        <f t="shared" ref="M333:M362" si="103">IF(L333="","",(L333/I333))</f>
        <v/>
      </c>
      <c r="N333" s="55"/>
      <c r="O333" s="55" t="str">
        <f t="shared" si="97"/>
        <v/>
      </c>
      <c r="P333" s="71">
        <f>IF(D307="",0,+(LOOKUP(9.99999999999999E+307,D307:D337)-D307))*4140</f>
        <v>0</v>
      </c>
      <c r="Q333" s="72" t="e">
        <f>IF(P333="",0,+P333/SUM(R308:R337))</f>
        <v>#DIV/0!</v>
      </c>
      <c r="R333" s="19">
        <f t="shared" si="98"/>
        <v>0</v>
      </c>
      <c r="S333" s="19">
        <f t="shared" si="101"/>
        <v>1</v>
      </c>
      <c r="T333" s="144"/>
    </row>
    <row r="334" spans="1:20">
      <c r="A334" s="50">
        <v>44892</v>
      </c>
      <c r="D334" s="128"/>
      <c r="E334" s="129"/>
      <c r="F334" s="130"/>
      <c r="G334" s="53"/>
      <c r="H334" s="53">
        <v>4140</v>
      </c>
      <c r="I334" s="53" t="str">
        <f t="shared" si="95"/>
        <v/>
      </c>
      <c r="J334" s="53" t="str">
        <f t="shared" si="96"/>
        <v/>
      </c>
      <c r="K334" s="54" t="str">
        <f t="shared" si="102"/>
        <v/>
      </c>
      <c r="L334" s="53" t="str">
        <f t="shared" si="99"/>
        <v/>
      </c>
      <c r="M334" s="54" t="str">
        <f t="shared" si="103"/>
        <v/>
      </c>
      <c r="N334" s="55"/>
      <c r="O334" s="55" t="str">
        <f t="shared" si="97"/>
        <v/>
      </c>
      <c r="P334" s="146" t="s">
        <v>37</v>
      </c>
      <c r="Q334" s="147" t="s">
        <v>44</v>
      </c>
      <c r="R334" s="19">
        <f t="shared" si="98"/>
        <v>0</v>
      </c>
      <c r="S334" s="19">
        <f t="shared" si="101"/>
        <v>1</v>
      </c>
      <c r="T334" s="144"/>
    </row>
    <row r="335" spans="1:20">
      <c r="A335" s="50">
        <v>44893</v>
      </c>
      <c r="D335" s="128"/>
      <c r="E335" s="129"/>
      <c r="F335" s="130"/>
      <c r="G335" s="53"/>
      <c r="H335" s="53">
        <v>4140</v>
      </c>
      <c r="I335" s="53" t="str">
        <f t="shared" si="95"/>
        <v/>
      </c>
      <c r="J335" s="53" t="str">
        <f t="shared" si="96"/>
        <v/>
      </c>
      <c r="K335" s="54" t="str">
        <f t="shared" si="102"/>
        <v/>
      </c>
      <c r="L335" s="53" t="str">
        <f t="shared" si="99"/>
        <v/>
      </c>
      <c r="M335" s="54" t="str">
        <f t="shared" si="103"/>
        <v/>
      </c>
      <c r="N335" s="55"/>
      <c r="O335" s="55" t="str">
        <f t="shared" si="97"/>
        <v/>
      </c>
      <c r="P335" s="115">
        <f>P333*Q338</f>
        <v>0</v>
      </c>
      <c r="Q335" s="116" t="e">
        <f>IF(Q34="",0,(SUM('[1]Günlük Tüketim'!H308:H337)*1.62)/SUM(O308:O337))</f>
        <v>#DIV/0!</v>
      </c>
      <c r="R335" s="19">
        <f t="shared" si="98"/>
        <v>0</v>
      </c>
      <c r="S335" s="19">
        <f t="shared" si="101"/>
        <v>1</v>
      </c>
      <c r="T335" s="144"/>
    </row>
    <row r="336" spans="1:20">
      <c r="A336" s="50">
        <v>44894</v>
      </c>
      <c r="D336" s="128"/>
      <c r="E336" s="129"/>
      <c r="F336" s="130"/>
      <c r="G336" s="53"/>
      <c r="H336" s="53">
        <v>4140</v>
      </c>
      <c r="I336" s="53" t="str">
        <f t="shared" si="95"/>
        <v/>
      </c>
      <c r="J336" s="53" t="str">
        <f t="shared" si="96"/>
        <v/>
      </c>
      <c r="K336" s="54" t="str">
        <f t="shared" si="102"/>
        <v/>
      </c>
      <c r="L336" s="53" t="str">
        <f t="shared" si="99"/>
        <v/>
      </c>
      <c r="M336" s="54" t="str">
        <f t="shared" si="103"/>
        <v/>
      </c>
      <c r="N336" s="55"/>
      <c r="O336" s="55" t="str">
        <f t="shared" si="97"/>
        <v/>
      </c>
      <c r="P336" s="150" t="s">
        <v>39</v>
      </c>
      <c r="Q336" s="150" t="s">
        <v>40</v>
      </c>
      <c r="R336" s="19">
        <f t="shared" si="98"/>
        <v>0</v>
      </c>
      <c r="S336" s="19">
        <f t="shared" si="101"/>
        <v>1</v>
      </c>
      <c r="T336" s="144"/>
    </row>
    <row r="337" spans="1:20">
      <c r="A337" s="50">
        <v>44895</v>
      </c>
      <c r="D337" s="153"/>
      <c r="E337" s="153"/>
      <c r="F337" s="153"/>
      <c r="G337" s="154"/>
      <c r="H337" s="155">
        <v>4140</v>
      </c>
      <c r="I337" s="155" t="str">
        <f t="shared" si="95"/>
        <v/>
      </c>
      <c r="J337" s="155" t="str">
        <f t="shared" si="96"/>
        <v/>
      </c>
      <c r="K337" s="156" t="str">
        <f t="shared" si="102"/>
        <v/>
      </c>
      <c r="L337" s="155" t="str">
        <f t="shared" si="99"/>
        <v/>
      </c>
      <c r="M337" s="156" t="str">
        <f t="shared" si="103"/>
        <v/>
      </c>
      <c r="N337" s="157"/>
      <c r="O337" s="171" t="str">
        <f t="shared" si="97"/>
        <v/>
      </c>
      <c r="P337" s="117" t="e">
        <f>(P335+Q333*SUM(S308:S337)*Q338)</f>
        <v>#DIV/0!</v>
      </c>
      <c r="Q337" s="118" t="e">
        <f>Q333*30</f>
        <v>#DIV/0!</v>
      </c>
      <c r="R337" s="19">
        <f t="shared" si="98"/>
        <v>0</v>
      </c>
      <c r="S337" s="19">
        <f t="shared" si="101"/>
        <v>1</v>
      </c>
      <c r="T337" s="144"/>
    </row>
    <row r="338" spans="1:20">
      <c r="A338" s="50">
        <v>44896</v>
      </c>
      <c r="D338" s="128"/>
      <c r="E338" s="129"/>
      <c r="F338" s="130"/>
      <c r="G338" s="53"/>
      <c r="H338" s="53">
        <v>4140</v>
      </c>
      <c r="I338" s="53" t="str">
        <f t="shared" si="95"/>
        <v/>
      </c>
      <c r="J338" s="53" t="str">
        <f t="shared" si="96"/>
        <v/>
      </c>
      <c r="K338" s="54" t="str">
        <f t="shared" ref="K338:K367" si="104">IF(J338="","",+(J338/I338))</f>
        <v/>
      </c>
      <c r="L338" s="53" t="str">
        <f t="shared" si="99"/>
        <v/>
      </c>
      <c r="M338" s="54" t="str">
        <f t="shared" si="103"/>
        <v/>
      </c>
      <c r="N338" s="55"/>
      <c r="O338" s="55" t="str">
        <f t="shared" si="97"/>
        <v/>
      </c>
      <c r="P338" s="119" t="s">
        <v>41</v>
      </c>
      <c r="Q338" s="120">
        <v>0.56999999999999995</v>
      </c>
      <c r="R338" s="19">
        <f t="shared" si="98"/>
        <v>0</v>
      </c>
      <c r="S338" s="19">
        <f t="shared" si="101"/>
        <v>1</v>
      </c>
      <c r="T338" s="144"/>
    </row>
    <row r="339" spans="1:20">
      <c r="A339" s="50">
        <v>44897</v>
      </c>
      <c r="D339" s="128"/>
      <c r="E339" s="129"/>
      <c r="F339" s="130"/>
      <c r="G339" s="53"/>
      <c r="H339" s="53">
        <v>4140</v>
      </c>
      <c r="I339" s="53" t="str">
        <f t="shared" si="95"/>
        <v/>
      </c>
      <c r="J339" s="53" t="str">
        <f t="shared" si="96"/>
        <v/>
      </c>
      <c r="K339" s="54" t="str">
        <f t="shared" si="104"/>
        <v/>
      </c>
      <c r="L339" s="53" t="str">
        <f t="shared" si="99"/>
        <v/>
      </c>
      <c r="M339" s="54" t="str">
        <f t="shared" si="103"/>
        <v/>
      </c>
      <c r="N339" s="55"/>
      <c r="O339" s="55" t="str">
        <f t="shared" si="97"/>
        <v/>
      </c>
      <c r="P339" s="113"/>
      <c r="Q339" s="113"/>
      <c r="R339" s="19">
        <f t="shared" si="98"/>
        <v>0</v>
      </c>
      <c r="S339" s="19">
        <f t="shared" si="101"/>
        <v>1</v>
      </c>
      <c r="T339" s="144"/>
    </row>
    <row r="340" spans="1:20">
      <c r="A340" s="50">
        <v>44898</v>
      </c>
      <c r="D340" s="128"/>
      <c r="E340" s="129"/>
      <c r="F340" s="130"/>
      <c r="G340" s="53"/>
      <c r="H340" s="53">
        <v>4140</v>
      </c>
      <c r="I340" s="53" t="str">
        <f t="shared" si="95"/>
        <v/>
      </c>
      <c r="J340" s="53" t="str">
        <f t="shared" si="96"/>
        <v/>
      </c>
      <c r="K340" s="54" t="str">
        <f t="shared" si="104"/>
        <v/>
      </c>
      <c r="L340" s="53" t="str">
        <f t="shared" si="99"/>
        <v/>
      </c>
      <c r="M340" s="54" t="str">
        <f t="shared" si="103"/>
        <v/>
      </c>
      <c r="N340" s="55"/>
      <c r="O340" s="55" t="str">
        <f t="shared" si="97"/>
        <v/>
      </c>
      <c r="P340" s="84"/>
      <c r="Q340" s="85"/>
      <c r="R340" s="19">
        <f t="shared" si="98"/>
        <v>0</v>
      </c>
      <c r="S340" s="19">
        <f t="shared" si="101"/>
        <v>1</v>
      </c>
      <c r="T340" s="145"/>
    </row>
    <row r="341" spans="1:20">
      <c r="A341" s="50">
        <v>44899</v>
      </c>
      <c r="D341" s="128"/>
      <c r="E341" s="129"/>
      <c r="F341" s="130"/>
      <c r="G341" s="53"/>
      <c r="H341" s="53">
        <v>4140</v>
      </c>
      <c r="I341" s="53" t="str">
        <f t="shared" si="95"/>
        <v/>
      </c>
      <c r="J341" s="53" t="str">
        <f t="shared" si="96"/>
        <v/>
      </c>
      <c r="K341" s="54" t="str">
        <f t="shared" si="104"/>
        <v/>
      </c>
      <c r="L341" s="53" t="str">
        <f t="shared" si="99"/>
        <v/>
      </c>
      <c r="M341" s="54" t="str">
        <f t="shared" si="103"/>
        <v/>
      </c>
      <c r="N341" s="55"/>
      <c r="O341" s="55" t="str">
        <f t="shared" si="97"/>
        <v/>
      </c>
      <c r="P341" s="86"/>
      <c r="Q341" s="87"/>
      <c r="R341" s="19">
        <f t="shared" si="98"/>
        <v>0</v>
      </c>
      <c r="S341" s="19">
        <f t="shared" si="101"/>
        <v>1</v>
      </c>
      <c r="T341" s="145"/>
    </row>
    <row r="342" spans="1:20">
      <c r="A342" s="50">
        <v>44900</v>
      </c>
      <c r="D342" s="128"/>
      <c r="E342" s="129"/>
      <c r="F342" s="130"/>
      <c r="G342" s="53"/>
      <c r="H342" s="53">
        <v>4140</v>
      </c>
      <c r="I342" s="53" t="str">
        <f t="shared" si="95"/>
        <v/>
      </c>
      <c r="J342" s="53" t="str">
        <f t="shared" si="96"/>
        <v/>
      </c>
      <c r="K342" s="54" t="str">
        <f t="shared" si="104"/>
        <v/>
      </c>
      <c r="L342" s="53" t="str">
        <f t="shared" si="99"/>
        <v/>
      </c>
      <c r="M342" s="54" t="str">
        <f t="shared" si="103"/>
        <v/>
      </c>
      <c r="N342" s="55"/>
      <c r="O342" s="55" t="str">
        <f t="shared" si="97"/>
        <v/>
      </c>
      <c r="P342" s="86"/>
      <c r="Q342" s="85"/>
      <c r="R342" s="19">
        <f t="shared" si="98"/>
        <v>0</v>
      </c>
      <c r="S342" s="19">
        <f t="shared" si="101"/>
        <v>1</v>
      </c>
      <c r="T342" s="144"/>
    </row>
    <row r="343" spans="1:20">
      <c r="A343" s="50">
        <v>44901</v>
      </c>
      <c r="D343" s="128"/>
      <c r="E343" s="129"/>
      <c r="F343" s="130"/>
      <c r="G343" s="53"/>
      <c r="H343" s="53">
        <v>4140</v>
      </c>
      <c r="I343" s="53" t="str">
        <f t="shared" si="95"/>
        <v/>
      </c>
      <c r="J343" s="53" t="str">
        <f t="shared" si="96"/>
        <v/>
      </c>
      <c r="K343" s="54" t="str">
        <f t="shared" si="104"/>
        <v/>
      </c>
      <c r="L343" s="53" t="str">
        <f t="shared" si="99"/>
        <v/>
      </c>
      <c r="M343" s="54" t="str">
        <f t="shared" si="103"/>
        <v/>
      </c>
      <c r="N343" s="55"/>
      <c r="O343" s="55" t="str">
        <f t="shared" si="97"/>
        <v/>
      </c>
      <c r="P343" s="56"/>
      <c r="Q343" s="57"/>
      <c r="R343" s="19">
        <f t="shared" si="98"/>
        <v>0</v>
      </c>
      <c r="S343" s="19">
        <f t="shared" si="101"/>
        <v>1</v>
      </c>
      <c r="T343" s="144"/>
    </row>
    <row r="344" spans="1:20">
      <c r="A344" s="50">
        <v>44902</v>
      </c>
      <c r="D344" s="128"/>
      <c r="E344" s="129"/>
      <c r="F344" s="130"/>
      <c r="G344" s="53"/>
      <c r="H344" s="53">
        <v>4140</v>
      </c>
      <c r="I344" s="53" t="str">
        <f t="shared" si="95"/>
        <v/>
      </c>
      <c r="J344" s="53" t="str">
        <f t="shared" si="96"/>
        <v/>
      </c>
      <c r="K344" s="54" t="str">
        <f t="shared" si="104"/>
        <v/>
      </c>
      <c r="L344" s="53" t="str">
        <f t="shared" si="99"/>
        <v/>
      </c>
      <c r="M344" s="54" t="str">
        <f t="shared" si="103"/>
        <v/>
      </c>
      <c r="N344" s="55"/>
      <c r="O344" s="55" t="str">
        <f>IF(N344="","",N344-N343)</f>
        <v/>
      </c>
      <c r="P344" s="56"/>
      <c r="Q344" s="58"/>
      <c r="R344" s="19">
        <f t="shared" si="98"/>
        <v>0</v>
      </c>
      <c r="S344" s="19">
        <f t="shared" si="101"/>
        <v>1</v>
      </c>
      <c r="T344" s="144"/>
    </row>
    <row r="345" spans="1:20">
      <c r="A345" s="50">
        <v>44903</v>
      </c>
      <c r="D345" s="128"/>
      <c r="E345" s="129"/>
      <c r="F345" s="130"/>
      <c r="G345" s="53"/>
      <c r="H345" s="53">
        <v>4140</v>
      </c>
      <c r="I345" s="53" t="str">
        <f t="shared" si="95"/>
        <v/>
      </c>
      <c r="J345" s="53" t="str">
        <f t="shared" si="96"/>
        <v/>
      </c>
      <c r="K345" s="54" t="str">
        <f t="shared" si="104"/>
        <v/>
      </c>
      <c r="L345" s="53" t="str">
        <f t="shared" si="99"/>
        <v/>
      </c>
      <c r="M345" s="54" t="str">
        <f t="shared" si="103"/>
        <v/>
      </c>
      <c r="N345" s="55"/>
      <c r="O345" s="55" t="str">
        <f t="shared" si="97"/>
        <v/>
      </c>
      <c r="P345" s="56"/>
      <c r="Q345" s="58"/>
      <c r="R345" s="19">
        <f t="shared" si="98"/>
        <v>0</v>
      </c>
      <c r="S345" s="19">
        <f t="shared" si="101"/>
        <v>1</v>
      </c>
      <c r="T345" s="145"/>
    </row>
    <row r="346" spans="1:20">
      <c r="A346" s="50">
        <v>44904</v>
      </c>
      <c r="D346" s="128"/>
      <c r="E346" s="129"/>
      <c r="F346" s="130"/>
      <c r="G346" s="53"/>
      <c r="H346" s="53">
        <v>4140</v>
      </c>
      <c r="I346" s="53" t="str">
        <f t="shared" si="95"/>
        <v/>
      </c>
      <c r="J346" s="53" t="str">
        <f t="shared" si="96"/>
        <v/>
      </c>
      <c r="K346" s="54" t="str">
        <f t="shared" si="104"/>
        <v/>
      </c>
      <c r="L346" s="53" t="str">
        <f t="shared" si="99"/>
        <v/>
      </c>
      <c r="M346" s="54" t="str">
        <f t="shared" si="103"/>
        <v/>
      </c>
      <c r="N346" s="55"/>
      <c r="O346" s="55" t="str">
        <f t="shared" si="97"/>
        <v/>
      </c>
      <c r="P346" s="56"/>
      <c r="Q346" s="58"/>
      <c r="R346" s="19">
        <f t="shared" si="98"/>
        <v>0</v>
      </c>
      <c r="S346" s="19">
        <f t="shared" si="101"/>
        <v>1</v>
      </c>
      <c r="T346" s="145"/>
    </row>
    <row r="347" spans="1:20">
      <c r="A347" s="50">
        <v>44905</v>
      </c>
      <c r="D347" s="128"/>
      <c r="E347" s="129"/>
      <c r="F347" s="130"/>
      <c r="G347" s="53"/>
      <c r="H347" s="53">
        <v>4140</v>
      </c>
      <c r="I347" s="53" t="str">
        <f t="shared" si="95"/>
        <v/>
      </c>
      <c r="J347" s="53" t="str">
        <f t="shared" si="96"/>
        <v/>
      </c>
      <c r="K347" s="54" t="str">
        <f t="shared" si="104"/>
        <v/>
      </c>
      <c r="L347" s="53" t="str">
        <f t="shared" si="99"/>
        <v/>
      </c>
      <c r="M347" s="54" t="str">
        <f t="shared" si="103"/>
        <v/>
      </c>
      <c r="N347" s="55"/>
      <c r="O347" s="55" t="str">
        <f t="shared" si="97"/>
        <v/>
      </c>
      <c r="P347" s="56"/>
      <c r="Q347" s="57"/>
      <c r="R347" s="19">
        <f t="shared" si="98"/>
        <v>0</v>
      </c>
      <c r="S347" s="19">
        <f t="shared" si="101"/>
        <v>1</v>
      </c>
      <c r="T347" s="144"/>
    </row>
    <row r="348" spans="1:20">
      <c r="A348" s="50">
        <v>44906</v>
      </c>
      <c r="D348" s="128"/>
      <c r="E348" s="129"/>
      <c r="F348" s="130"/>
      <c r="G348" s="53"/>
      <c r="H348" s="53">
        <v>4140</v>
      </c>
      <c r="I348" s="53" t="str">
        <f t="shared" si="95"/>
        <v/>
      </c>
      <c r="J348" s="53" t="str">
        <f t="shared" si="96"/>
        <v/>
      </c>
      <c r="K348" s="54" t="str">
        <f t="shared" si="104"/>
        <v/>
      </c>
      <c r="L348" s="53" t="str">
        <f t="shared" si="99"/>
        <v/>
      </c>
      <c r="M348" s="54" t="str">
        <f t="shared" si="103"/>
        <v/>
      </c>
      <c r="N348" s="55"/>
      <c r="O348" s="55" t="str">
        <f t="shared" si="97"/>
        <v/>
      </c>
      <c r="P348" s="56"/>
      <c r="Q348" s="57"/>
      <c r="R348" s="19">
        <f t="shared" si="98"/>
        <v>0</v>
      </c>
      <c r="S348" s="19">
        <f t="shared" si="101"/>
        <v>1</v>
      </c>
      <c r="T348" s="144"/>
    </row>
    <row r="349" spans="1:20">
      <c r="A349" s="50">
        <v>44907</v>
      </c>
      <c r="D349" s="128"/>
      <c r="E349" s="129"/>
      <c r="F349" s="130"/>
      <c r="G349" s="53"/>
      <c r="H349" s="53">
        <v>4140</v>
      </c>
      <c r="I349" s="53" t="str">
        <f t="shared" si="95"/>
        <v/>
      </c>
      <c r="J349" s="53" t="str">
        <f t="shared" si="96"/>
        <v/>
      </c>
      <c r="K349" s="54" t="str">
        <f t="shared" si="104"/>
        <v/>
      </c>
      <c r="L349" s="53" t="str">
        <f t="shared" si="99"/>
        <v/>
      </c>
      <c r="M349" s="54" t="str">
        <f t="shared" si="103"/>
        <v/>
      </c>
      <c r="N349" s="55"/>
      <c r="O349" s="55" t="str">
        <f t="shared" si="97"/>
        <v/>
      </c>
      <c r="P349" s="56"/>
      <c r="Q349" s="58"/>
      <c r="R349" s="19">
        <f t="shared" si="98"/>
        <v>0</v>
      </c>
      <c r="S349" s="19">
        <f t="shared" si="101"/>
        <v>1</v>
      </c>
      <c r="T349" s="144"/>
    </row>
    <row r="350" spans="1:20">
      <c r="A350" s="50">
        <v>44908</v>
      </c>
      <c r="D350" s="128"/>
      <c r="E350" s="129"/>
      <c r="F350" s="130"/>
      <c r="G350" s="53"/>
      <c r="H350" s="53">
        <v>4140</v>
      </c>
      <c r="I350" s="53" t="str">
        <f t="shared" si="95"/>
        <v/>
      </c>
      <c r="J350" s="53" t="str">
        <f t="shared" si="96"/>
        <v/>
      </c>
      <c r="K350" s="54" t="str">
        <f t="shared" si="104"/>
        <v/>
      </c>
      <c r="L350" s="53" t="str">
        <f t="shared" si="99"/>
        <v/>
      </c>
      <c r="M350" s="54" t="str">
        <f t="shared" si="103"/>
        <v/>
      </c>
      <c r="N350" s="55"/>
      <c r="O350" s="55" t="str">
        <f t="shared" si="97"/>
        <v/>
      </c>
      <c r="P350" s="56"/>
      <c r="Q350" s="58"/>
      <c r="R350" s="19">
        <f t="shared" si="98"/>
        <v>0</v>
      </c>
      <c r="S350" s="19">
        <f t="shared" si="101"/>
        <v>1</v>
      </c>
      <c r="T350" s="145"/>
    </row>
    <row r="351" spans="1:20">
      <c r="A351" s="50">
        <v>44909</v>
      </c>
      <c r="D351" s="128"/>
      <c r="E351" s="129"/>
      <c r="F351" s="130"/>
      <c r="G351" s="53"/>
      <c r="H351" s="53">
        <v>4140</v>
      </c>
      <c r="I351" s="53" t="str">
        <f t="shared" si="95"/>
        <v/>
      </c>
      <c r="J351" s="53" t="str">
        <f t="shared" si="96"/>
        <v/>
      </c>
      <c r="K351" s="54" t="str">
        <f t="shared" si="104"/>
        <v/>
      </c>
      <c r="L351" s="53" t="str">
        <f t="shared" si="99"/>
        <v/>
      </c>
      <c r="M351" s="54" t="str">
        <f t="shared" si="103"/>
        <v/>
      </c>
      <c r="N351" s="55"/>
      <c r="O351" s="55" t="str">
        <f t="shared" si="97"/>
        <v/>
      </c>
      <c r="P351" s="56"/>
      <c r="Q351" s="57"/>
      <c r="R351" s="19">
        <f t="shared" si="98"/>
        <v>0</v>
      </c>
      <c r="S351" s="19">
        <f t="shared" si="101"/>
        <v>1</v>
      </c>
      <c r="T351" s="145"/>
    </row>
    <row r="352" spans="1:20">
      <c r="A352" s="50">
        <v>44910</v>
      </c>
      <c r="D352" s="128"/>
      <c r="E352" s="129"/>
      <c r="F352" s="130"/>
      <c r="G352" s="53"/>
      <c r="H352" s="53">
        <v>4140</v>
      </c>
      <c r="I352" s="53" t="str">
        <f t="shared" si="95"/>
        <v/>
      </c>
      <c r="J352" s="53" t="str">
        <f t="shared" si="96"/>
        <v/>
      </c>
      <c r="K352" s="54" t="str">
        <f t="shared" si="104"/>
        <v/>
      </c>
      <c r="L352" s="53" t="str">
        <f t="shared" si="99"/>
        <v/>
      </c>
      <c r="M352" s="54" t="str">
        <f t="shared" si="103"/>
        <v/>
      </c>
      <c r="N352" s="55"/>
      <c r="O352" s="55" t="str">
        <f t="shared" si="97"/>
        <v/>
      </c>
      <c r="P352" s="56"/>
      <c r="Q352" s="57"/>
      <c r="R352" s="19">
        <f t="shared" si="98"/>
        <v>0</v>
      </c>
      <c r="S352" s="19">
        <f t="shared" si="101"/>
        <v>1</v>
      </c>
      <c r="T352" s="144"/>
    </row>
    <row r="353" spans="1:20">
      <c r="A353" s="50">
        <v>44911</v>
      </c>
      <c r="D353" s="128"/>
      <c r="E353" s="129"/>
      <c r="F353" s="130"/>
      <c r="G353" s="53"/>
      <c r="H353" s="53">
        <v>4140</v>
      </c>
      <c r="I353" s="53" t="str">
        <f t="shared" si="95"/>
        <v/>
      </c>
      <c r="J353" s="53" t="str">
        <f t="shared" si="96"/>
        <v/>
      </c>
      <c r="K353" s="54" t="str">
        <f t="shared" si="104"/>
        <v/>
      </c>
      <c r="L353" s="53" t="str">
        <f t="shared" si="99"/>
        <v/>
      </c>
      <c r="M353" s="54" t="str">
        <f t="shared" si="103"/>
        <v/>
      </c>
      <c r="N353" s="55"/>
      <c r="O353" s="55" t="str">
        <f t="shared" si="97"/>
        <v/>
      </c>
      <c r="P353" s="56"/>
      <c r="Q353" s="57"/>
      <c r="R353" s="19">
        <f t="shared" si="98"/>
        <v>0</v>
      </c>
      <c r="S353" s="19">
        <f t="shared" si="101"/>
        <v>1</v>
      </c>
      <c r="T353" s="144"/>
    </row>
    <row r="354" spans="1:20">
      <c r="A354" s="50">
        <v>44912</v>
      </c>
      <c r="D354" s="128"/>
      <c r="E354" s="129"/>
      <c r="F354" s="130"/>
      <c r="G354" s="53"/>
      <c r="H354" s="53">
        <v>4140</v>
      </c>
      <c r="I354" s="53" t="str">
        <f t="shared" si="95"/>
        <v/>
      </c>
      <c r="J354" s="53" t="str">
        <f t="shared" si="96"/>
        <v/>
      </c>
      <c r="K354" s="54" t="str">
        <f t="shared" si="104"/>
        <v/>
      </c>
      <c r="L354" s="53" t="str">
        <f t="shared" si="99"/>
        <v/>
      </c>
      <c r="M354" s="54" t="str">
        <f t="shared" si="103"/>
        <v/>
      </c>
      <c r="N354" s="55"/>
      <c r="O354" s="55" t="str">
        <f t="shared" si="97"/>
        <v/>
      </c>
      <c r="P354" s="56"/>
      <c r="Q354" s="88"/>
      <c r="R354" s="19">
        <f t="shared" si="98"/>
        <v>0</v>
      </c>
      <c r="S354" s="19">
        <f t="shared" si="101"/>
        <v>1</v>
      </c>
      <c r="T354" s="144"/>
    </row>
    <row r="355" spans="1:20">
      <c r="A355" s="50">
        <v>44913</v>
      </c>
      <c r="D355" s="128"/>
      <c r="E355" s="129"/>
      <c r="F355" s="130"/>
      <c r="G355" s="53"/>
      <c r="H355" s="53">
        <v>4140</v>
      </c>
      <c r="I355" s="53" t="str">
        <f t="shared" si="95"/>
        <v/>
      </c>
      <c r="J355" s="53" t="str">
        <f t="shared" si="96"/>
        <v/>
      </c>
      <c r="K355" s="54" t="str">
        <f t="shared" si="104"/>
        <v/>
      </c>
      <c r="L355" s="53" t="str">
        <f t="shared" si="99"/>
        <v/>
      </c>
      <c r="M355" s="54" t="str">
        <f t="shared" si="103"/>
        <v/>
      </c>
      <c r="N355" s="55"/>
      <c r="O355" s="55" t="str">
        <f t="shared" si="97"/>
        <v/>
      </c>
      <c r="P355" s="56"/>
      <c r="Q355" s="88"/>
      <c r="R355" s="19">
        <f t="shared" si="98"/>
        <v>0</v>
      </c>
      <c r="S355" s="19">
        <f t="shared" si="101"/>
        <v>1</v>
      </c>
      <c r="T355" s="145"/>
    </row>
    <row r="356" spans="1:20">
      <c r="A356" s="50">
        <v>44914</v>
      </c>
      <c r="D356" s="128"/>
      <c r="E356" s="129"/>
      <c r="F356" s="130"/>
      <c r="G356" s="53"/>
      <c r="H356" s="53">
        <v>4140</v>
      </c>
      <c r="I356" s="53" t="str">
        <f t="shared" si="95"/>
        <v/>
      </c>
      <c r="J356" s="53" t="str">
        <f t="shared" si="96"/>
        <v/>
      </c>
      <c r="K356" s="54" t="str">
        <f t="shared" si="104"/>
        <v/>
      </c>
      <c r="L356" s="53" t="str">
        <f t="shared" si="99"/>
        <v/>
      </c>
      <c r="M356" s="54" t="str">
        <f t="shared" si="103"/>
        <v/>
      </c>
      <c r="N356" s="55"/>
      <c r="O356" s="55" t="str">
        <f t="shared" si="97"/>
        <v/>
      </c>
      <c r="P356" s="181" t="s">
        <v>56</v>
      </c>
      <c r="Q356" s="182"/>
      <c r="R356" s="19">
        <f t="shared" si="98"/>
        <v>0</v>
      </c>
      <c r="S356" s="19">
        <f t="shared" si="101"/>
        <v>1</v>
      </c>
      <c r="T356" s="145"/>
    </row>
    <row r="357" spans="1:20">
      <c r="A357" s="50">
        <v>44915</v>
      </c>
      <c r="D357" s="128"/>
      <c r="E357" s="129"/>
      <c r="F357" s="130"/>
      <c r="G357" s="53"/>
      <c r="H357" s="53">
        <v>4140</v>
      </c>
      <c r="I357" s="53" t="str">
        <f t="shared" si="95"/>
        <v/>
      </c>
      <c r="J357" s="53" t="str">
        <f t="shared" si="96"/>
        <v/>
      </c>
      <c r="K357" s="54" t="str">
        <f t="shared" si="104"/>
        <v/>
      </c>
      <c r="L357" s="53" t="str">
        <f t="shared" si="99"/>
        <v/>
      </c>
      <c r="M357" s="54" t="str">
        <f t="shared" si="103"/>
        <v/>
      </c>
      <c r="N357" s="55"/>
      <c r="O357" s="55" t="str">
        <f t="shared" si="97"/>
        <v/>
      </c>
      <c r="P357" s="183"/>
      <c r="Q357" s="184"/>
      <c r="R357" s="19">
        <f t="shared" si="98"/>
        <v>0</v>
      </c>
      <c r="S357" s="19">
        <f t="shared" si="101"/>
        <v>1</v>
      </c>
      <c r="T357" s="144"/>
    </row>
    <row r="358" spans="1:20">
      <c r="A358" s="50">
        <v>44916</v>
      </c>
      <c r="D358" s="128"/>
      <c r="E358" s="129"/>
      <c r="F358" s="130"/>
      <c r="G358" s="53"/>
      <c r="H358" s="53">
        <v>4140</v>
      </c>
      <c r="I358" s="53" t="str">
        <f t="shared" si="95"/>
        <v/>
      </c>
      <c r="J358" s="53" t="str">
        <f t="shared" si="96"/>
        <v/>
      </c>
      <c r="K358" s="54" t="str">
        <f t="shared" si="104"/>
        <v/>
      </c>
      <c r="L358" s="53" t="str">
        <f t="shared" si="99"/>
        <v/>
      </c>
      <c r="M358" s="54" t="str">
        <f t="shared" si="103"/>
        <v/>
      </c>
      <c r="N358" s="55"/>
      <c r="O358" s="55" t="str">
        <f t="shared" si="97"/>
        <v/>
      </c>
      <c r="P358" s="62" t="s">
        <v>31</v>
      </c>
      <c r="Q358" s="62" t="s">
        <v>32</v>
      </c>
      <c r="R358" s="19">
        <f t="shared" si="98"/>
        <v>0</v>
      </c>
      <c r="S358" s="19">
        <f t="shared" si="101"/>
        <v>1</v>
      </c>
      <c r="T358" s="144"/>
    </row>
    <row r="359" spans="1:20">
      <c r="A359" s="50">
        <v>44917</v>
      </c>
      <c r="D359" s="128"/>
      <c r="E359" s="129"/>
      <c r="F359" s="130"/>
      <c r="G359" s="53"/>
      <c r="H359" s="53">
        <v>4140</v>
      </c>
      <c r="I359" s="53" t="str">
        <f t="shared" si="95"/>
        <v/>
      </c>
      <c r="J359" s="53" t="str">
        <f t="shared" si="96"/>
        <v/>
      </c>
      <c r="K359" s="54" t="str">
        <f t="shared" si="104"/>
        <v/>
      </c>
      <c r="L359" s="53" t="str">
        <f t="shared" si="99"/>
        <v/>
      </c>
      <c r="M359" s="54" t="str">
        <f t="shared" si="103"/>
        <v/>
      </c>
      <c r="N359" s="55"/>
      <c r="O359" s="55" t="str">
        <f t="shared" si="97"/>
        <v/>
      </c>
      <c r="P359" s="63">
        <f>IF(J338="",0,+SUM(J338:J368)/SUM(I338:I368))</f>
        <v>0</v>
      </c>
      <c r="Q359" s="63">
        <f>IF(L338="",0,+SUM(L338:L368)/SUM(I338:I368))</f>
        <v>0</v>
      </c>
      <c r="R359" s="19">
        <f t="shared" si="98"/>
        <v>0</v>
      </c>
      <c r="S359" s="19">
        <f t="shared" si="101"/>
        <v>1</v>
      </c>
      <c r="T359" s="145"/>
    </row>
    <row r="360" spans="1:20">
      <c r="A360" s="50">
        <v>44918</v>
      </c>
      <c r="D360" s="128"/>
      <c r="E360" s="129"/>
      <c r="F360" s="130"/>
      <c r="G360" s="53"/>
      <c r="H360" s="53">
        <v>4140</v>
      </c>
      <c r="I360" s="53" t="str">
        <f t="shared" si="95"/>
        <v/>
      </c>
      <c r="J360" s="53" t="str">
        <f t="shared" si="96"/>
        <v/>
      </c>
      <c r="K360" s="54" t="str">
        <f t="shared" si="104"/>
        <v/>
      </c>
      <c r="L360" s="53" t="str">
        <f t="shared" si="99"/>
        <v/>
      </c>
      <c r="M360" s="54" t="str">
        <f t="shared" si="103"/>
        <v/>
      </c>
      <c r="N360" s="55"/>
      <c r="O360" s="55" t="str">
        <f t="shared" si="97"/>
        <v/>
      </c>
      <c r="P360" s="64">
        <f>IF(J338="",0,+(+(LOOKUP(9.99999999999999E+307,E338:E368)-E337))/(+(LOOKUP(9.99999999999999E+307,D338:D368)-D337)))</f>
        <v>0</v>
      </c>
      <c r="Q360" s="64">
        <f>IF(L338="",0,+(+(LOOKUP(9.99999999999999E+307,F338:F368)-F337))/(+(LOOKUP(9.99999999999999E+307,D338:D368)-D337)))</f>
        <v>0</v>
      </c>
      <c r="R360" s="19">
        <f t="shared" si="98"/>
        <v>0</v>
      </c>
      <c r="S360" s="19">
        <f t="shared" si="101"/>
        <v>1</v>
      </c>
      <c r="T360" s="145"/>
    </row>
    <row r="361" spans="1:20">
      <c r="A361" s="50">
        <v>44919</v>
      </c>
      <c r="D361" s="128"/>
      <c r="E361" s="129"/>
      <c r="F361" s="130"/>
      <c r="G361" s="53"/>
      <c r="H361" s="53">
        <v>4140</v>
      </c>
      <c r="I361" s="53" t="str">
        <f t="shared" si="95"/>
        <v/>
      </c>
      <c r="J361" s="53" t="str">
        <f t="shared" si="96"/>
        <v/>
      </c>
      <c r="K361" s="54" t="str">
        <f t="shared" si="104"/>
        <v/>
      </c>
      <c r="L361" s="53" t="str">
        <f t="shared" si="99"/>
        <v/>
      </c>
      <c r="M361" s="54" t="str">
        <f t="shared" si="103"/>
        <v/>
      </c>
      <c r="N361" s="55"/>
      <c r="O361" s="55" t="str">
        <f t="shared" si="97"/>
        <v/>
      </c>
      <c r="P361" s="65" t="s">
        <v>33</v>
      </c>
      <c r="Q361" s="66" t="s">
        <v>34</v>
      </c>
      <c r="R361" s="19">
        <f t="shared" si="98"/>
        <v>0</v>
      </c>
      <c r="S361" s="19">
        <f t="shared" si="101"/>
        <v>1</v>
      </c>
      <c r="T361" s="145"/>
    </row>
    <row r="362" spans="1:20">
      <c r="A362" s="50">
        <v>44920</v>
      </c>
      <c r="D362" s="128"/>
      <c r="E362" s="129"/>
      <c r="F362" s="130"/>
      <c r="G362" s="53"/>
      <c r="H362" s="53">
        <v>4140</v>
      </c>
      <c r="I362" s="53" t="str">
        <f t="shared" si="95"/>
        <v/>
      </c>
      <c r="J362" s="53" t="str">
        <f t="shared" si="96"/>
        <v/>
      </c>
      <c r="K362" s="54" t="str">
        <f t="shared" si="104"/>
        <v/>
      </c>
      <c r="L362" s="53" t="str">
        <f t="shared" si="99"/>
        <v/>
      </c>
      <c r="M362" s="54" t="str">
        <f t="shared" si="103"/>
        <v/>
      </c>
      <c r="N362" s="55"/>
      <c r="O362" s="55" t="str">
        <f t="shared" si="97"/>
        <v/>
      </c>
      <c r="P362" s="67">
        <f>IF(N337="",0,+(LOOKUP(9.99999999999999E+307,N337:N368)-N337))</f>
        <v>0</v>
      </c>
      <c r="Q362" s="68" t="e">
        <f>IF(P362="",0,+P362/SUM(R338:R368))</f>
        <v>#DIV/0!</v>
      </c>
      <c r="R362" s="19">
        <f t="shared" si="98"/>
        <v>0</v>
      </c>
      <c r="S362" s="19">
        <f t="shared" si="101"/>
        <v>1</v>
      </c>
      <c r="T362" s="145"/>
    </row>
    <row r="363" spans="1:20">
      <c r="A363" s="50">
        <v>44921</v>
      </c>
      <c r="D363" s="128"/>
      <c r="E363" s="129"/>
      <c r="F363" s="130"/>
      <c r="G363" s="53"/>
      <c r="H363" s="53">
        <v>4140</v>
      </c>
      <c r="I363" s="53" t="str">
        <f t="shared" si="95"/>
        <v/>
      </c>
      <c r="J363" s="53" t="str">
        <f t="shared" si="96"/>
        <v/>
      </c>
      <c r="K363" s="54" t="str">
        <f t="shared" si="104"/>
        <v/>
      </c>
      <c r="L363" s="53" t="str">
        <f t="shared" si="99"/>
        <v/>
      </c>
      <c r="M363" s="54" t="str">
        <f t="shared" ref="M363:M367" si="105">IF(L363="","",(L363/I363))</f>
        <v/>
      </c>
      <c r="N363" s="55"/>
      <c r="O363" s="55" t="str">
        <f t="shared" si="97"/>
        <v/>
      </c>
      <c r="P363" s="69" t="s">
        <v>35</v>
      </c>
      <c r="Q363" s="70" t="s">
        <v>43</v>
      </c>
      <c r="R363" s="19">
        <f t="shared" si="98"/>
        <v>0</v>
      </c>
      <c r="S363" s="19">
        <f t="shared" si="101"/>
        <v>1</v>
      </c>
      <c r="T363" s="144"/>
    </row>
    <row r="364" spans="1:20">
      <c r="A364" s="50">
        <v>44922</v>
      </c>
      <c r="D364" s="128"/>
      <c r="E364" s="129"/>
      <c r="F364" s="130"/>
      <c r="G364" s="53"/>
      <c r="H364" s="53">
        <v>4140</v>
      </c>
      <c r="I364" s="53" t="str">
        <f t="shared" si="95"/>
        <v/>
      </c>
      <c r="J364" s="53" t="str">
        <f t="shared" si="96"/>
        <v/>
      </c>
      <c r="K364" s="54" t="str">
        <f t="shared" si="104"/>
        <v/>
      </c>
      <c r="L364" s="53" t="str">
        <f t="shared" si="99"/>
        <v/>
      </c>
      <c r="M364" s="54" t="str">
        <f t="shared" si="105"/>
        <v/>
      </c>
      <c r="N364" s="55"/>
      <c r="O364" s="55" t="str">
        <f t="shared" si="97"/>
        <v/>
      </c>
      <c r="P364" s="71">
        <f>IF(D337="",0,+(LOOKUP(9.99999999999999E+307,D337:D368)-D337))*4140</f>
        <v>0</v>
      </c>
      <c r="Q364" s="72" t="e">
        <f>IF(P364="",0,+P364/SUM(R338:R368))</f>
        <v>#DIV/0!</v>
      </c>
      <c r="R364" s="19">
        <f t="shared" si="98"/>
        <v>0</v>
      </c>
      <c r="S364" s="19">
        <f t="shared" si="101"/>
        <v>1</v>
      </c>
      <c r="T364" s="144"/>
    </row>
    <row r="365" spans="1:20">
      <c r="A365" s="50">
        <v>44923</v>
      </c>
      <c r="D365" s="128"/>
      <c r="E365" s="129"/>
      <c r="F365" s="130"/>
      <c r="G365" s="53"/>
      <c r="H365" s="53">
        <v>4140</v>
      </c>
      <c r="I365" s="53" t="str">
        <f t="shared" si="95"/>
        <v/>
      </c>
      <c r="J365" s="53" t="str">
        <f t="shared" si="96"/>
        <v/>
      </c>
      <c r="K365" s="54" t="str">
        <f t="shared" si="104"/>
        <v/>
      </c>
      <c r="L365" s="53" t="str">
        <f t="shared" si="99"/>
        <v/>
      </c>
      <c r="M365" s="54" t="str">
        <f t="shared" si="105"/>
        <v/>
      </c>
      <c r="N365" s="55"/>
      <c r="O365" s="55" t="str">
        <f t="shared" si="97"/>
        <v/>
      </c>
      <c r="P365" s="146" t="s">
        <v>37</v>
      </c>
      <c r="Q365" s="147" t="s">
        <v>44</v>
      </c>
      <c r="R365" s="19">
        <f t="shared" si="98"/>
        <v>0</v>
      </c>
      <c r="S365" s="19">
        <f t="shared" si="101"/>
        <v>1</v>
      </c>
      <c r="T365" s="144"/>
    </row>
    <row r="366" spans="1:20">
      <c r="A366" s="50">
        <v>44924</v>
      </c>
      <c r="D366" s="128"/>
      <c r="E366" s="129"/>
      <c r="F366" s="130"/>
      <c r="G366" s="53"/>
      <c r="H366" s="53">
        <v>4140</v>
      </c>
      <c r="I366" s="53" t="str">
        <f t="shared" si="95"/>
        <v/>
      </c>
      <c r="J366" s="53" t="str">
        <f t="shared" si="96"/>
        <v/>
      </c>
      <c r="K366" s="54" t="str">
        <f t="shared" si="104"/>
        <v/>
      </c>
      <c r="L366" s="53" t="str">
        <f t="shared" si="99"/>
        <v/>
      </c>
      <c r="M366" s="54" t="str">
        <f t="shared" si="105"/>
        <v/>
      </c>
      <c r="N366" s="55"/>
      <c r="O366" s="55" t="str">
        <f t="shared" si="97"/>
        <v/>
      </c>
      <c r="P366" s="73">
        <f>P364*Q369</f>
        <v>0</v>
      </c>
      <c r="Q366" s="74" t="e">
        <f>IF(Q34="",0,(SUM('[1]Günlük Tüketim'!H338:H368)*1.62)/SUM(O338:O368))</f>
        <v>#DIV/0!</v>
      </c>
      <c r="R366" s="19">
        <f t="shared" si="98"/>
        <v>0</v>
      </c>
      <c r="S366" s="19">
        <f t="shared" si="101"/>
        <v>1</v>
      </c>
      <c r="T366" s="144"/>
    </row>
    <row r="367" spans="1:20">
      <c r="A367" s="50">
        <v>44925</v>
      </c>
      <c r="D367" s="128"/>
      <c r="E367" s="129"/>
      <c r="F367" s="130"/>
      <c r="G367" s="53"/>
      <c r="H367" s="53">
        <v>4140</v>
      </c>
      <c r="I367" s="53" t="str">
        <f t="shared" si="95"/>
        <v/>
      </c>
      <c r="J367" s="53" t="str">
        <f t="shared" si="96"/>
        <v/>
      </c>
      <c r="K367" s="54" t="str">
        <f t="shared" si="104"/>
        <v/>
      </c>
      <c r="L367" s="53" t="str">
        <f t="shared" si="99"/>
        <v/>
      </c>
      <c r="M367" s="54" t="str">
        <f t="shared" si="105"/>
        <v/>
      </c>
      <c r="N367" s="55"/>
      <c r="O367" s="55" t="str">
        <f t="shared" si="97"/>
        <v/>
      </c>
      <c r="P367" s="148" t="s">
        <v>39</v>
      </c>
      <c r="Q367" s="149" t="s">
        <v>40</v>
      </c>
      <c r="R367" s="19">
        <f t="shared" si="98"/>
        <v>0</v>
      </c>
      <c r="S367" s="19">
        <f t="shared" si="101"/>
        <v>1</v>
      </c>
      <c r="T367" s="144"/>
    </row>
    <row r="368" spans="1:20">
      <c r="A368" s="50">
        <v>44926</v>
      </c>
      <c r="D368" s="153"/>
      <c r="E368" s="153"/>
      <c r="F368" s="153"/>
      <c r="G368" s="155"/>
      <c r="H368" s="155">
        <v>4140</v>
      </c>
      <c r="I368" s="155" t="str">
        <f t="shared" si="95"/>
        <v/>
      </c>
      <c r="J368" s="155" t="str">
        <f t="shared" ref="J368:J369" si="106">IF(E368="","",+(F368-F367)*4140)</f>
        <v/>
      </c>
      <c r="K368" s="156" t="str">
        <f t="shared" ref="K368:K369" si="107">IF(J368="","",+(J368/I368))</f>
        <v/>
      </c>
      <c r="L368" s="155" t="str">
        <f t="shared" ref="L368:L369" si="108">IF(F368="","",+(F368-F367)*4140)</f>
        <v/>
      </c>
      <c r="M368" s="156" t="str">
        <f t="shared" ref="M368:M369" si="109">IF(L368="","",(L368/I368))</f>
        <v/>
      </c>
      <c r="N368" s="157"/>
      <c r="O368" s="55" t="str">
        <f t="shared" si="97"/>
        <v/>
      </c>
      <c r="P368" s="78" t="e">
        <f>(P366+Q364*SUM(S338:S368)*Q369)</f>
        <v>#DIV/0!</v>
      </c>
      <c r="Q368" s="79" t="e">
        <f>Q364*31</f>
        <v>#DIV/0!</v>
      </c>
      <c r="R368" s="19">
        <f t="shared" si="98"/>
        <v>0</v>
      </c>
      <c r="S368" s="19">
        <f t="shared" si="101"/>
        <v>1</v>
      </c>
      <c r="T368" s="144"/>
    </row>
    <row r="369" spans="1:19" ht="18" customHeight="1">
      <c r="A369" s="50">
        <v>44927</v>
      </c>
      <c r="D369" s="128"/>
      <c r="E369" s="129"/>
      <c r="F369" s="130"/>
      <c r="G369" s="53"/>
      <c r="H369" s="53">
        <v>4140</v>
      </c>
      <c r="I369" s="53" t="str">
        <f t="shared" si="95"/>
        <v/>
      </c>
      <c r="J369" s="53" t="str">
        <f t="shared" si="106"/>
        <v/>
      </c>
      <c r="K369" s="54" t="str">
        <f t="shared" si="107"/>
        <v/>
      </c>
      <c r="L369" s="53" t="str">
        <f t="shared" si="108"/>
        <v/>
      </c>
      <c r="M369" s="54" t="str">
        <f t="shared" si="109"/>
        <v/>
      </c>
      <c r="N369" s="55"/>
      <c r="O369" s="55" t="str">
        <f t="shared" si="97"/>
        <v/>
      </c>
      <c r="P369" s="80" t="s">
        <v>41</v>
      </c>
      <c r="Q369" s="81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10" priority="11" stopIfTrue="1" operator="greaterThan">
      <formula>0.15</formula>
    </cfRule>
  </conditionalFormatting>
  <conditionalFormatting sqref="K2 K97:K230 K234:K65173">
    <cfRule type="cellIs" dxfId="9" priority="12" stopIfTrue="1" operator="between">
      <formula>0.2</formula>
      <formula>100</formula>
    </cfRule>
  </conditionalFormatting>
  <conditionalFormatting sqref="M2 M97:M230 M234:M65173">
    <cfRule type="cellIs" dxfId="8" priority="13" stopIfTrue="1" operator="between">
      <formula>0.15</formula>
      <formula>100</formula>
    </cfRule>
  </conditionalFormatting>
  <conditionalFormatting sqref="K3">
    <cfRule type="cellIs" dxfId="7" priority="5" stopIfTrue="1" operator="between">
      <formula>0.2</formula>
      <formula>100</formula>
    </cfRule>
  </conditionalFormatting>
  <conditionalFormatting sqref="M3">
    <cfRule type="cellIs" dxfId="6" priority="6" stopIfTrue="1" operator="between">
      <formula>0.15</formula>
      <formula>100</formula>
    </cfRule>
  </conditionalFormatting>
  <conditionalFormatting sqref="K4:K96">
    <cfRule type="cellIs" dxfId="5" priority="3" stopIfTrue="1" operator="between">
      <formula>0.2</formula>
      <formula>100</formula>
    </cfRule>
  </conditionalFormatting>
  <conditionalFormatting sqref="M4:M96">
    <cfRule type="cellIs" dxfId="4" priority="4" stopIfTrue="1" operator="between">
      <formula>0.15</formula>
      <formula>100</formula>
    </cfRule>
  </conditionalFormatting>
  <conditionalFormatting sqref="K231:K233">
    <cfRule type="cellIs" dxfId="3" priority="1" stopIfTrue="1" operator="between">
      <formula>0.2</formula>
      <formula>100</formula>
    </cfRule>
  </conditionalFormatting>
  <conditionalFormatting sqref="M231:M233">
    <cfRule type="cellIs" dxfId="2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395"/>
  <sheetViews>
    <sheetView topLeftCell="A263" workbookViewId="0">
      <selection activeCell="G275" sqref="G275"/>
    </sheetView>
  </sheetViews>
  <sheetFormatPr defaultColWidth="9.140625" defaultRowHeight="13.1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9" thickBot="1">
      <c r="B1" s="190"/>
      <c r="C1" s="190"/>
      <c r="D1" s="190"/>
      <c r="E1" s="190"/>
      <c r="F1" s="190"/>
    </row>
    <row r="2" spans="1:23" s="9" customFormat="1" ht="39.950000000000003" customHeight="1" thickBot="1">
      <c r="B2" s="10" t="s">
        <v>15</v>
      </c>
      <c r="C2" s="11" t="s">
        <v>57</v>
      </c>
      <c r="D2" s="11" t="s">
        <v>58</v>
      </c>
      <c r="E2" s="11" t="s">
        <v>59</v>
      </c>
      <c r="F2" s="11" t="s">
        <v>60</v>
      </c>
      <c r="G2" s="11" t="s">
        <v>61</v>
      </c>
      <c r="H2" s="11" t="s">
        <v>62</v>
      </c>
      <c r="I2" s="11" t="s">
        <v>63</v>
      </c>
      <c r="J2" s="11" t="s">
        <v>64</v>
      </c>
      <c r="K2" s="11" t="s">
        <v>65</v>
      </c>
      <c r="L2" s="11" t="s">
        <v>66</v>
      </c>
      <c r="M2" s="12" t="s">
        <v>67</v>
      </c>
    </row>
    <row r="3" spans="1:23" s="1" customFormat="1" ht="15" thickBot="1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44"/>
      <c r="W3"/>
    </row>
    <row r="4" spans="1:23" ht="12.95" customHeight="1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>
      <c r="B5" s="21">
        <v>44197</v>
      </c>
      <c r="C5" s="39">
        <v>16228335</v>
      </c>
      <c r="D5" s="136">
        <v>5101985</v>
      </c>
      <c r="E5" s="137">
        <v>244004</v>
      </c>
      <c r="F5" s="138">
        <v>639192</v>
      </c>
      <c r="G5" s="139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>
      <c r="B6" s="21">
        <v>44198</v>
      </c>
      <c r="C6" s="39">
        <v>16228335</v>
      </c>
      <c r="D6" s="136">
        <v>5104352</v>
      </c>
      <c r="E6" s="137">
        <v>244192</v>
      </c>
      <c r="F6" s="138">
        <v>639424</v>
      </c>
      <c r="G6" s="139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>
      <c r="B7" s="21">
        <v>44199</v>
      </c>
      <c r="C7" s="39">
        <v>16228335</v>
      </c>
      <c r="D7" s="136">
        <v>5106445</v>
      </c>
      <c r="E7" s="137">
        <v>244348</v>
      </c>
      <c r="F7" s="138">
        <v>639645</v>
      </c>
      <c r="G7" s="139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>
      <c r="B8" s="21">
        <v>44200</v>
      </c>
      <c r="C8" s="39">
        <v>16228335</v>
      </c>
      <c r="D8" s="136">
        <v>5108382</v>
      </c>
      <c r="E8" s="137">
        <v>244496</v>
      </c>
      <c r="F8" s="138">
        <v>639843</v>
      </c>
      <c r="G8" s="139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>
      <c r="B9" s="21">
        <v>44201</v>
      </c>
      <c r="C9" s="39">
        <v>16228335</v>
      </c>
      <c r="D9" s="136">
        <v>5110087</v>
      </c>
      <c r="E9" s="137">
        <v>244679</v>
      </c>
      <c r="F9" s="138">
        <v>640032</v>
      </c>
      <c r="G9" s="139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>
      <c r="B10" s="21">
        <v>44202</v>
      </c>
      <c r="C10" s="39">
        <v>16228335</v>
      </c>
      <c r="D10" s="136">
        <v>5111788</v>
      </c>
      <c r="E10" s="137">
        <v>244873</v>
      </c>
      <c r="F10" s="138">
        <v>640235</v>
      </c>
      <c r="G10" s="139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>
      <c r="B11" s="21">
        <v>44203</v>
      </c>
      <c r="C11" s="39">
        <v>16228335</v>
      </c>
      <c r="D11" s="136">
        <v>5114024</v>
      </c>
      <c r="E11" s="137">
        <v>245070</v>
      </c>
      <c r="F11" s="138">
        <v>640436</v>
      </c>
      <c r="G11" s="139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>
      <c r="B12" s="21">
        <v>44204</v>
      </c>
      <c r="C12" s="39">
        <v>16228335</v>
      </c>
      <c r="D12" s="136">
        <v>5116326</v>
      </c>
      <c r="E12" s="137">
        <v>245248</v>
      </c>
      <c r="F12" s="138">
        <v>640667</v>
      </c>
      <c r="G12" s="139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>
      <c r="B13" s="21">
        <v>44205</v>
      </c>
      <c r="C13" s="39">
        <v>16228335</v>
      </c>
      <c r="D13" s="136">
        <v>5118633</v>
      </c>
      <c r="E13" s="137">
        <v>245416</v>
      </c>
      <c r="F13" s="138">
        <v>640864</v>
      </c>
      <c r="G13" s="139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>
      <c r="B14" s="21">
        <v>44206</v>
      </c>
      <c r="C14" s="39">
        <v>16228335</v>
      </c>
      <c r="D14" s="136">
        <v>5120934</v>
      </c>
      <c r="E14" s="137">
        <v>245586</v>
      </c>
      <c r="F14" s="138">
        <v>641063</v>
      </c>
      <c r="G14" s="139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>
      <c r="B15" s="21">
        <v>44207</v>
      </c>
      <c r="C15" s="39">
        <v>16228335</v>
      </c>
      <c r="D15" s="136">
        <v>5123728</v>
      </c>
      <c r="E15" s="137">
        <v>245785</v>
      </c>
      <c r="F15" s="138">
        <v>641234</v>
      </c>
      <c r="G15" s="139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>
      <c r="B16" s="21">
        <v>44208</v>
      </c>
      <c r="C16" s="39">
        <v>16228335</v>
      </c>
      <c r="D16" s="136">
        <v>5127388</v>
      </c>
      <c r="E16" s="137">
        <v>245930</v>
      </c>
      <c r="F16" s="138">
        <v>641420</v>
      </c>
      <c r="G16" s="139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>
      <c r="B17" s="21">
        <v>44209</v>
      </c>
      <c r="C17" s="39">
        <v>16228335</v>
      </c>
      <c r="D17" s="136">
        <v>5131328</v>
      </c>
      <c r="E17" s="137">
        <v>246054</v>
      </c>
      <c r="F17" s="138">
        <v>641420</v>
      </c>
      <c r="G17" s="139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>
      <c r="B18" s="21">
        <v>44210</v>
      </c>
      <c r="C18" s="39">
        <v>16228335</v>
      </c>
      <c r="D18" s="136">
        <v>5134834</v>
      </c>
      <c r="E18" s="137">
        <v>246173</v>
      </c>
      <c r="F18" s="138">
        <v>641741</v>
      </c>
      <c r="G18" s="139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>
      <c r="B19" s="21">
        <v>44211</v>
      </c>
      <c r="C19" s="39">
        <v>16228335</v>
      </c>
      <c r="D19" s="136">
        <v>5138157</v>
      </c>
      <c r="E19" s="137">
        <v>246321</v>
      </c>
      <c r="F19" s="138">
        <v>641909</v>
      </c>
      <c r="G19" s="139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>
      <c r="B20" s="21">
        <v>44212</v>
      </c>
      <c r="C20" s="39">
        <v>16228335</v>
      </c>
      <c r="D20" s="136">
        <v>5141532</v>
      </c>
      <c r="E20" s="137">
        <v>246442</v>
      </c>
      <c r="F20" s="138">
        <v>642082</v>
      </c>
      <c r="G20" s="139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>
      <c r="B21" s="21">
        <v>44213</v>
      </c>
      <c r="C21" s="135">
        <v>16228335</v>
      </c>
      <c r="D21" s="136">
        <v>5144650</v>
      </c>
      <c r="E21" s="137">
        <v>246575</v>
      </c>
      <c r="F21" s="138">
        <v>642240</v>
      </c>
      <c r="G21" s="139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>
      <c r="B22" s="21">
        <v>44214</v>
      </c>
      <c r="C22" s="135">
        <v>16228335</v>
      </c>
      <c r="D22" s="136">
        <v>5148176</v>
      </c>
      <c r="E22" s="137">
        <v>246722</v>
      </c>
      <c r="F22" s="138">
        <v>642384</v>
      </c>
      <c r="G22" s="139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>
      <c r="B23" s="21">
        <v>44215</v>
      </c>
      <c r="C23" s="135">
        <v>16228335</v>
      </c>
      <c r="D23" s="136">
        <v>5151980</v>
      </c>
      <c r="E23" s="137">
        <v>246886</v>
      </c>
      <c r="F23" s="138">
        <v>642514</v>
      </c>
      <c r="G23" s="139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>
      <c r="B24" s="21">
        <v>44216</v>
      </c>
      <c r="C24" s="135">
        <v>16228335</v>
      </c>
      <c r="D24" s="136">
        <v>5155253</v>
      </c>
      <c r="E24" s="137">
        <v>247040</v>
      </c>
      <c r="F24" s="138">
        <v>642655</v>
      </c>
      <c r="G24" s="139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>
      <c r="B25" s="21">
        <v>44217</v>
      </c>
      <c r="C25" s="135">
        <v>16228335</v>
      </c>
      <c r="D25" s="136">
        <v>5157034</v>
      </c>
      <c r="E25" s="137">
        <v>247218</v>
      </c>
      <c r="F25" s="138">
        <v>642813</v>
      </c>
      <c r="G25" s="139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87" t="s">
        <v>68</v>
      </c>
      <c r="O25" s="187" t="s">
        <v>69</v>
      </c>
      <c r="Q25" s="19">
        <f t="shared" si="5"/>
        <v>0</v>
      </c>
    </row>
    <row r="26" spans="2:17" s="9" customFormat="1" ht="12.95" customHeight="1">
      <c r="B26" s="21">
        <v>44218</v>
      </c>
      <c r="C26" s="135">
        <v>16228335</v>
      </c>
      <c r="D26" s="136">
        <v>5158429</v>
      </c>
      <c r="E26" s="137">
        <v>247407</v>
      </c>
      <c r="F26" s="138">
        <v>642960</v>
      </c>
      <c r="G26" s="139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88"/>
      <c r="O26" s="188"/>
      <c r="Q26" s="19">
        <f t="shared" si="5"/>
        <v>0</v>
      </c>
    </row>
    <row r="27" spans="2:17" s="9" customFormat="1" ht="12.95" customHeight="1" thickBot="1">
      <c r="B27" s="21">
        <v>44219</v>
      </c>
      <c r="C27" s="135">
        <v>16228335</v>
      </c>
      <c r="D27" s="136">
        <v>5162376</v>
      </c>
      <c r="E27" s="137">
        <v>247548</v>
      </c>
      <c r="F27" s="138">
        <v>643154</v>
      </c>
      <c r="G27" s="139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89"/>
      <c r="O27" s="189"/>
      <c r="Q27" s="19">
        <f t="shared" si="5"/>
        <v>0</v>
      </c>
    </row>
    <row r="28" spans="2:17" s="9" customFormat="1" ht="12.95" customHeight="1" thickBot="1">
      <c r="B28" s="21">
        <v>44220</v>
      </c>
      <c r="C28" s="135">
        <v>16228335</v>
      </c>
      <c r="D28" s="136">
        <v>5166409</v>
      </c>
      <c r="E28" s="137">
        <v>247685</v>
      </c>
      <c r="F28" s="138">
        <v>643312</v>
      </c>
      <c r="G28" s="139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>
      <c r="B29" s="21">
        <v>44221</v>
      </c>
      <c r="C29" s="135">
        <v>16228335</v>
      </c>
      <c r="D29" s="136">
        <v>5170609</v>
      </c>
      <c r="E29" s="137">
        <v>247833</v>
      </c>
      <c r="F29" s="138">
        <v>643454</v>
      </c>
      <c r="G29" s="139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87" t="s">
        <v>70</v>
      </c>
      <c r="O29" s="187" t="s">
        <v>71</v>
      </c>
      <c r="Q29" s="19">
        <f t="shared" si="5"/>
        <v>0</v>
      </c>
    </row>
    <row r="30" spans="2:17" s="9" customFormat="1" ht="12.95" customHeight="1" thickBot="1">
      <c r="B30" s="21">
        <v>44222</v>
      </c>
      <c r="C30" s="135">
        <v>16228335</v>
      </c>
      <c r="D30" s="136">
        <v>5174551</v>
      </c>
      <c r="E30" s="137">
        <v>247969</v>
      </c>
      <c r="F30" s="138">
        <v>643609</v>
      </c>
      <c r="G30" s="139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89"/>
      <c r="O30" s="189"/>
      <c r="Q30" s="19">
        <f t="shared" si="5"/>
        <v>0</v>
      </c>
    </row>
    <row r="31" spans="2:17" s="9" customFormat="1" ht="12.95" customHeight="1" thickBot="1">
      <c r="B31" s="21">
        <v>44223</v>
      </c>
      <c r="C31" s="135">
        <v>16228335</v>
      </c>
      <c r="D31" s="136">
        <v>5178140</v>
      </c>
      <c r="E31" s="137">
        <v>248102</v>
      </c>
      <c r="F31" s="138">
        <v>643755</v>
      </c>
      <c r="G31" s="139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>
      <c r="B32" s="21">
        <v>44224</v>
      </c>
      <c r="C32" s="135">
        <v>16228335</v>
      </c>
      <c r="D32" s="136">
        <v>5181505</v>
      </c>
      <c r="E32" s="137">
        <v>248257</v>
      </c>
      <c r="F32" s="138">
        <v>643888</v>
      </c>
      <c r="G32" s="139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>
      <c r="B33" s="21">
        <v>44225</v>
      </c>
      <c r="C33" s="135">
        <v>16228335</v>
      </c>
      <c r="D33" s="136">
        <v>5184790</v>
      </c>
      <c r="E33" s="137">
        <v>248400</v>
      </c>
      <c r="F33" s="138">
        <v>644027</v>
      </c>
      <c r="G33" s="139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>
      <c r="B34" s="21">
        <v>44226</v>
      </c>
      <c r="C34" s="135">
        <v>16228335</v>
      </c>
      <c r="D34" s="136">
        <v>5188004</v>
      </c>
      <c r="E34" s="137">
        <v>248559</v>
      </c>
      <c r="F34" s="138">
        <v>644177</v>
      </c>
      <c r="G34" s="139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>
      <c r="B35" s="178">
        <v>44227</v>
      </c>
      <c r="C35" s="173">
        <v>16228335</v>
      </c>
      <c r="D35" s="173">
        <v>5191070</v>
      </c>
      <c r="E35" s="173">
        <v>248709</v>
      </c>
      <c r="F35" s="173">
        <v>644320</v>
      </c>
      <c r="G35" s="173">
        <v>298833</v>
      </c>
      <c r="H35" s="174">
        <f t="shared" si="1"/>
        <v>0</v>
      </c>
      <c r="I35" s="174">
        <f t="shared" si="6"/>
        <v>3066</v>
      </c>
      <c r="J35" s="174">
        <f t="shared" si="2"/>
        <v>150</v>
      </c>
      <c r="K35" s="174">
        <f t="shared" si="7"/>
        <v>143</v>
      </c>
      <c r="L35" s="175">
        <f t="shared" si="4"/>
        <v>124</v>
      </c>
      <c r="M35" s="176">
        <f t="shared" si="0"/>
        <v>3359</v>
      </c>
      <c r="N35" s="8"/>
      <c r="O35" s="8"/>
      <c r="Q35" s="19"/>
    </row>
    <row r="36" spans="2:17" ht="12.95" customHeight="1">
      <c r="B36" s="21">
        <v>44228</v>
      </c>
      <c r="C36" s="135">
        <v>16228335</v>
      </c>
      <c r="D36" s="136">
        <v>5194059</v>
      </c>
      <c r="E36" s="137">
        <v>248868</v>
      </c>
      <c r="F36" s="138">
        <v>644457</v>
      </c>
      <c r="G36" s="139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>
      <c r="B37" s="21">
        <v>44229</v>
      </c>
      <c r="C37" s="135">
        <v>16228335</v>
      </c>
      <c r="D37" s="136">
        <v>5197173</v>
      </c>
      <c r="E37" s="137">
        <v>249031</v>
      </c>
      <c r="F37" s="138">
        <v>644591</v>
      </c>
      <c r="G37" s="139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>
      <c r="B38" s="21">
        <v>44230</v>
      </c>
      <c r="C38" s="135">
        <v>16228335</v>
      </c>
      <c r="D38" s="136">
        <v>5200795</v>
      </c>
      <c r="E38" s="137">
        <v>249172</v>
      </c>
      <c r="F38" s="138">
        <v>644739</v>
      </c>
      <c r="G38" s="139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>
      <c r="B39" s="21">
        <v>44231</v>
      </c>
      <c r="C39" s="135">
        <v>16228335</v>
      </c>
      <c r="D39" s="136">
        <v>5204301</v>
      </c>
      <c r="E39" s="137">
        <v>249325</v>
      </c>
      <c r="F39" s="138">
        <v>644892</v>
      </c>
      <c r="G39" s="139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>
      <c r="B40" s="21">
        <v>44232</v>
      </c>
      <c r="C40" s="135">
        <v>16228335</v>
      </c>
      <c r="D40" s="136">
        <v>5207432</v>
      </c>
      <c r="E40" s="137">
        <v>249489</v>
      </c>
      <c r="F40" s="138">
        <v>645038</v>
      </c>
      <c r="G40" s="139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>
      <c r="B41" s="21">
        <v>44233</v>
      </c>
      <c r="C41" s="135">
        <v>16228335</v>
      </c>
      <c r="D41" s="136">
        <v>5210303</v>
      </c>
      <c r="E41" s="137">
        <v>249650</v>
      </c>
      <c r="F41" s="138">
        <v>645209</v>
      </c>
      <c r="G41" s="139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>
      <c r="B42" s="21">
        <v>44234</v>
      </c>
      <c r="C42" s="135">
        <v>16228335</v>
      </c>
      <c r="D42" s="136">
        <v>5212954</v>
      </c>
      <c r="E42" s="137">
        <v>249794</v>
      </c>
      <c r="F42" s="138">
        <v>645375</v>
      </c>
      <c r="G42" s="139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>
      <c r="B43" s="21">
        <v>44235</v>
      </c>
      <c r="C43" s="135">
        <v>16228335</v>
      </c>
      <c r="D43" s="136">
        <v>5216476</v>
      </c>
      <c r="E43" s="137">
        <v>249954</v>
      </c>
      <c r="F43" s="138">
        <v>645507</v>
      </c>
      <c r="G43" s="139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>
      <c r="B44" s="21">
        <v>44236</v>
      </c>
      <c r="C44" s="135">
        <v>16228335</v>
      </c>
      <c r="D44" s="136">
        <v>5219875</v>
      </c>
      <c r="E44" s="137">
        <v>250132</v>
      </c>
      <c r="F44" s="138">
        <v>645675</v>
      </c>
      <c r="G44" s="139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>
      <c r="B45" s="21">
        <v>44237</v>
      </c>
      <c r="C45" s="135">
        <v>16228335</v>
      </c>
      <c r="D45" s="136">
        <v>5223086</v>
      </c>
      <c r="E45" s="137">
        <v>250333</v>
      </c>
      <c r="F45" s="138">
        <v>645842</v>
      </c>
      <c r="G45" s="139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>
      <c r="B46" s="21">
        <v>44238</v>
      </c>
      <c r="C46" s="135">
        <v>16228335</v>
      </c>
      <c r="D46" s="136">
        <v>5226127</v>
      </c>
      <c r="E46" s="137">
        <v>250532</v>
      </c>
      <c r="F46" s="138">
        <v>646045</v>
      </c>
      <c r="G46" s="139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>
      <c r="B47" s="21">
        <v>44239</v>
      </c>
      <c r="C47" s="135">
        <v>16228335</v>
      </c>
      <c r="D47" s="136">
        <v>5229020</v>
      </c>
      <c r="E47" s="137">
        <v>250734</v>
      </c>
      <c r="F47" s="138">
        <v>646259</v>
      </c>
      <c r="G47" s="139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>
      <c r="B48" s="21">
        <v>44240</v>
      </c>
      <c r="C48" s="135">
        <v>16228335</v>
      </c>
      <c r="D48" s="136">
        <v>5232161</v>
      </c>
      <c r="E48" s="137">
        <v>250970</v>
      </c>
      <c r="F48" s="138">
        <v>646470</v>
      </c>
      <c r="G48" s="139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>
      <c r="B49" s="21">
        <v>44241</v>
      </c>
      <c r="C49" s="135">
        <v>16228335</v>
      </c>
      <c r="D49" s="136">
        <v>5235459</v>
      </c>
      <c r="E49" s="137">
        <v>251144</v>
      </c>
      <c r="F49" s="138">
        <v>646677</v>
      </c>
      <c r="G49" s="139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>
      <c r="B50" s="21">
        <v>44242</v>
      </c>
      <c r="C50" s="135">
        <v>16228335</v>
      </c>
      <c r="D50" s="136">
        <v>5238745</v>
      </c>
      <c r="E50" s="137">
        <v>251341</v>
      </c>
      <c r="F50" s="138">
        <v>646879</v>
      </c>
      <c r="G50" s="139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>
      <c r="B51" s="21">
        <v>44243</v>
      </c>
      <c r="C51" s="135">
        <v>16228335</v>
      </c>
      <c r="D51" s="136">
        <v>5241662</v>
      </c>
      <c r="E51" s="137">
        <v>251492</v>
      </c>
      <c r="F51" s="138">
        <v>647066</v>
      </c>
      <c r="G51" s="139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>
      <c r="B52" s="21">
        <v>44244</v>
      </c>
      <c r="C52" s="135">
        <v>16228335</v>
      </c>
      <c r="D52" s="136">
        <v>5244248</v>
      </c>
      <c r="E52" s="137">
        <v>251661</v>
      </c>
      <c r="F52" s="138">
        <v>647234</v>
      </c>
      <c r="G52" s="139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>
      <c r="B53" s="21">
        <v>44245</v>
      </c>
      <c r="C53" s="135">
        <v>16228335</v>
      </c>
      <c r="D53" s="136">
        <v>5247251</v>
      </c>
      <c r="E53" s="137">
        <v>251803</v>
      </c>
      <c r="F53" s="138">
        <v>647409</v>
      </c>
      <c r="G53" s="139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87" t="s">
        <v>68</v>
      </c>
      <c r="O53" s="187" t="s">
        <v>69</v>
      </c>
      <c r="Q53" s="19">
        <f t="shared" si="5"/>
        <v>0</v>
      </c>
    </row>
    <row r="54" spans="2:17" ht="12.95" customHeight="1">
      <c r="B54" s="21">
        <v>44246</v>
      </c>
      <c r="C54" s="135">
        <v>16228335</v>
      </c>
      <c r="D54" s="136">
        <v>5250106</v>
      </c>
      <c r="E54" s="137">
        <v>251948</v>
      </c>
      <c r="F54" s="138">
        <v>647595</v>
      </c>
      <c r="G54" s="139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88"/>
      <c r="O54" s="188"/>
      <c r="Q54" s="19">
        <f t="shared" si="5"/>
        <v>0</v>
      </c>
    </row>
    <row r="55" spans="2:17" ht="12.95" customHeight="1" thickBot="1">
      <c r="B55" s="21">
        <v>44247</v>
      </c>
      <c r="C55" s="135">
        <v>16228335</v>
      </c>
      <c r="D55" s="136">
        <v>5252714</v>
      </c>
      <c r="E55" s="137">
        <v>252135</v>
      </c>
      <c r="F55" s="138">
        <v>647786</v>
      </c>
      <c r="G55" s="139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89"/>
      <c r="O55" s="189"/>
      <c r="Q55" s="19">
        <f t="shared" si="5"/>
        <v>0</v>
      </c>
    </row>
    <row r="56" spans="2:17" ht="12.95" customHeight="1" thickBot="1">
      <c r="B56" s="21">
        <v>44248</v>
      </c>
      <c r="C56" s="135">
        <v>16228335</v>
      </c>
      <c r="D56" s="136">
        <v>5254953</v>
      </c>
      <c r="E56" s="137">
        <v>252302</v>
      </c>
      <c r="F56" s="138">
        <v>647984</v>
      </c>
      <c r="G56" s="139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>
      <c r="B57" s="21">
        <v>44249</v>
      </c>
      <c r="C57" s="135">
        <v>16228335</v>
      </c>
      <c r="D57" s="136">
        <v>5257060</v>
      </c>
      <c r="E57" s="137">
        <v>252477</v>
      </c>
      <c r="F57" s="138">
        <v>648160</v>
      </c>
      <c r="G57" s="139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87" t="s">
        <v>70</v>
      </c>
      <c r="O57" s="187" t="s">
        <v>71</v>
      </c>
      <c r="Q57" s="19">
        <f t="shared" si="5"/>
        <v>0</v>
      </c>
    </row>
    <row r="58" spans="2:17" ht="12.95" customHeight="1" thickBot="1">
      <c r="B58" s="21">
        <v>44250</v>
      </c>
      <c r="C58" s="135">
        <v>16228335</v>
      </c>
      <c r="D58" s="136">
        <v>5259813</v>
      </c>
      <c r="E58" s="137">
        <v>252675</v>
      </c>
      <c r="F58" s="138">
        <v>648320</v>
      </c>
      <c r="G58" s="139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89"/>
      <c r="O58" s="189"/>
      <c r="Q58" s="19">
        <f t="shared" si="5"/>
        <v>0</v>
      </c>
    </row>
    <row r="59" spans="2:17" ht="12.95" customHeight="1" thickBot="1">
      <c r="B59" s="21">
        <v>44251</v>
      </c>
      <c r="C59" s="135">
        <v>16228335</v>
      </c>
      <c r="D59" s="136">
        <v>5262832</v>
      </c>
      <c r="E59" s="137">
        <v>252879</v>
      </c>
      <c r="F59" s="138">
        <v>648502</v>
      </c>
      <c r="G59" s="139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>
      <c r="B60" s="21">
        <v>44252</v>
      </c>
      <c r="C60" s="135">
        <v>16228335</v>
      </c>
      <c r="D60" s="136">
        <v>5265336</v>
      </c>
      <c r="E60" s="137">
        <v>253100</v>
      </c>
      <c r="F60" s="138">
        <v>648689</v>
      </c>
      <c r="G60" s="139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87" t="s">
        <v>72</v>
      </c>
      <c r="O60" s="187" t="s">
        <v>73</v>
      </c>
      <c r="Q60" s="19">
        <f t="shared" si="5"/>
        <v>0</v>
      </c>
    </row>
    <row r="61" spans="2:17" ht="12.95" customHeight="1" thickBot="1">
      <c r="B61" s="21">
        <v>44253</v>
      </c>
      <c r="C61" s="135">
        <v>16228335</v>
      </c>
      <c r="D61" s="136">
        <v>5267877</v>
      </c>
      <c r="E61" s="137">
        <v>253284</v>
      </c>
      <c r="F61" s="138">
        <v>648871</v>
      </c>
      <c r="G61" s="139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89"/>
      <c r="O61" s="189"/>
      <c r="Q61" s="19">
        <f t="shared" si="5"/>
        <v>0</v>
      </c>
    </row>
    <row r="62" spans="2:17" ht="12.95" customHeight="1" thickBot="1">
      <c r="B62" s="21">
        <v>44254</v>
      </c>
      <c r="C62" s="173">
        <v>16228335</v>
      </c>
      <c r="D62" s="177">
        <v>5270544</v>
      </c>
      <c r="E62" s="177">
        <v>253486</v>
      </c>
      <c r="F62" s="177">
        <v>649063</v>
      </c>
      <c r="G62" s="177">
        <v>303745</v>
      </c>
      <c r="H62" s="174">
        <f t="shared" ref="H62" si="21">IF(C62="","",+(C62-C61))</f>
        <v>0</v>
      </c>
      <c r="I62" s="174">
        <f t="shared" si="18"/>
        <v>2667</v>
      </c>
      <c r="J62" s="174">
        <f t="shared" si="18"/>
        <v>202</v>
      </c>
      <c r="K62" s="174">
        <f t="shared" si="18"/>
        <v>192</v>
      </c>
      <c r="L62" s="175">
        <f t="shared" si="18"/>
        <v>207</v>
      </c>
      <c r="M62" s="176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>
      <c r="B63" s="21">
        <v>44255</v>
      </c>
      <c r="C63" s="135">
        <v>16228335</v>
      </c>
      <c r="D63" s="140">
        <v>5273561</v>
      </c>
      <c r="E63" s="141">
        <v>253663</v>
      </c>
      <c r="F63" s="142">
        <v>649271</v>
      </c>
      <c r="G63" s="143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>
      <c r="B64" s="21">
        <v>44256</v>
      </c>
      <c r="C64" s="135">
        <v>16228335</v>
      </c>
      <c r="D64" s="140">
        <v>5277147</v>
      </c>
      <c r="E64" s="141">
        <v>253884</v>
      </c>
      <c r="F64" s="142">
        <v>649471</v>
      </c>
      <c r="G64" s="143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>
      <c r="B65" s="21">
        <v>44257</v>
      </c>
      <c r="C65" s="135">
        <v>16228335</v>
      </c>
      <c r="D65" s="140">
        <v>5280549</v>
      </c>
      <c r="E65" s="141">
        <v>254100</v>
      </c>
      <c r="F65" s="142">
        <v>649666</v>
      </c>
      <c r="G65" s="143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>
      <c r="B66" s="21">
        <v>44258</v>
      </c>
      <c r="C66" s="135">
        <v>16228335</v>
      </c>
      <c r="D66" s="140">
        <v>5283844</v>
      </c>
      <c r="E66" s="141">
        <v>254290</v>
      </c>
      <c r="F66" s="142">
        <v>649835</v>
      </c>
      <c r="G66" s="143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>
      <c r="B67" s="21">
        <v>44259</v>
      </c>
      <c r="C67" s="135">
        <v>16228335</v>
      </c>
      <c r="D67" s="140">
        <v>5286823</v>
      </c>
      <c r="E67" s="141">
        <v>254478</v>
      </c>
      <c r="F67" s="142">
        <v>650024</v>
      </c>
      <c r="G67" s="143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>
      <c r="B68" s="21">
        <v>44260</v>
      </c>
      <c r="C68" s="135">
        <v>16228335</v>
      </c>
      <c r="D68" s="140">
        <v>5289470</v>
      </c>
      <c r="E68" s="141">
        <v>254645</v>
      </c>
      <c r="F68" s="142">
        <v>650207</v>
      </c>
      <c r="G68" s="143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>
      <c r="B69" s="21">
        <v>44261</v>
      </c>
      <c r="C69" s="135">
        <v>16228335</v>
      </c>
      <c r="D69" s="140">
        <v>5292302</v>
      </c>
      <c r="E69" s="141">
        <v>254823</v>
      </c>
      <c r="F69" s="142">
        <v>650404</v>
      </c>
      <c r="G69" s="143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>
      <c r="B70" s="21">
        <v>44262</v>
      </c>
      <c r="C70" s="135">
        <v>16228335</v>
      </c>
      <c r="D70" s="140">
        <v>5295626</v>
      </c>
      <c r="E70" s="141">
        <v>255018</v>
      </c>
      <c r="F70" s="142">
        <v>650604</v>
      </c>
      <c r="G70" s="143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>
      <c r="B71" s="21">
        <v>44263</v>
      </c>
      <c r="C71" s="135">
        <v>16228335</v>
      </c>
      <c r="D71" s="140">
        <v>5298256</v>
      </c>
      <c r="E71" s="141">
        <v>255203</v>
      </c>
      <c r="F71" s="142">
        <v>650787</v>
      </c>
      <c r="G71" s="143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74</v>
      </c>
      <c r="Q71" s="19">
        <f t="shared" si="35"/>
        <v>0</v>
      </c>
    </row>
    <row r="72" spans="2:17" ht="12.95" customHeight="1">
      <c r="B72" s="21">
        <v>44264</v>
      </c>
      <c r="C72" s="135">
        <v>16228335</v>
      </c>
      <c r="D72" s="140">
        <v>5302354</v>
      </c>
      <c r="E72" s="141">
        <v>255404</v>
      </c>
      <c r="F72" s="142">
        <v>650960</v>
      </c>
      <c r="G72" s="143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>
      <c r="B73" s="21">
        <v>44265</v>
      </c>
      <c r="C73" s="135">
        <v>16228335</v>
      </c>
      <c r="D73" s="140">
        <v>5306084</v>
      </c>
      <c r="E73" s="141">
        <v>255619</v>
      </c>
      <c r="F73" s="142">
        <v>651148</v>
      </c>
      <c r="G73" s="143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>
      <c r="B74" s="21">
        <v>44266</v>
      </c>
      <c r="C74" s="135">
        <v>16228335</v>
      </c>
      <c r="D74" s="140">
        <v>5309836</v>
      </c>
      <c r="E74" s="141">
        <v>255779</v>
      </c>
      <c r="F74" s="142">
        <v>651321</v>
      </c>
      <c r="G74" s="143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>
      <c r="B75" s="21">
        <v>44267</v>
      </c>
      <c r="C75" s="135">
        <v>16228335</v>
      </c>
      <c r="D75" s="140">
        <v>5313658</v>
      </c>
      <c r="E75" s="141">
        <v>255955</v>
      </c>
      <c r="F75" s="142">
        <v>651490</v>
      </c>
      <c r="G75" s="143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>
      <c r="B76" s="21">
        <v>44268</v>
      </c>
      <c r="C76" s="135">
        <v>16228335</v>
      </c>
      <c r="D76" s="140">
        <v>5317251</v>
      </c>
      <c r="E76" s="141">
        <v>256138</v>
      </c>
      <c r="F76" s="142">
        <v>651678</v>
      </c>
      <c r="G76" s="143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>
      <c r="B77" s="21">
        <v>44269</v>
      </c>
      <c r="C77" s="135">
        <v>16228335</v>
      </c>
      <c r="D77" s="140">
        <v>5321043</v>
      </c>
      <c r="E77" s="141">
        <v>256312</v>
      </c>
      <c r="F77" s="142">
        <v>651826</v>
      </c>
      <c r="G77" s="143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>
      <c r="B78" s="21">
        <v>44270</v>
      </c>
      <c r="C78" s="135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>
      <c r="B79" s="21">
        <v>44271</v>
      </c>
      <c r="C79" s="135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>
      <c r="B80" s="21">
        <v>44272</v>
      </c>
      <c r="C80" s="135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>
      <c r="B81" s="21">
        <v>44273</v>
      </c>
      <c r="C81" s="135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>
      <c r="B82" s="21">
        <v>44274</v>
      </c>
      <c r="C82" s="135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>
      <c r="B83" s="21">
        <v>44275</v>
      </c>
      <c r="C83" s="135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>
      <c r="B84" s="21">
        <v>44276</v>
      </c>
      <c r="C84" s="135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87" t="s">
        <v>68</v>
      </c>
      <c r="O84" s="187" t="s">
        <v>69</v>
      </c>
      <c r="Q84" s="19">
        <f t="shared" si="35"/>
        <v>0</v>
      </c>
    </row>
    <row r="85" spans="2:18" ht="12.95" customHeight="1">
      <c r="B85" s="21">
        <v>44277</v>
      </c>
      <c r="C85" s="135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88"/>
      <c r="O85" s="188"/>
      <c r="Q85" s="19">
        <f t="shared" si="35"/>
        <v>0</v>
      </c>
    </row>
    <row r="86" spans="2:18" ht="12.95" customHeight="1" thickBot="1">
      <c r="B86" s="21">
        <v>44278</v>
      </c>
      <c r="C86" s="135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89"/>
      <c r="O86" s="189"/>
      <c r="Q86" s="19">
        <f t="shared" si="35"/>
        <v>0</v>
      </c>
    </row>
    <row r="87" spans="2:18" ht="12.95" customHeight="1" thickBot="1">
      <c r="B87" s="21">
        <v>44279</v>
      </c>
      <c r="C87" s="135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>
      <c r="B88" s="21">
        <v>44280</v>
      </c>
      <c r="C88" s="135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87" t="s">
        <v>70</v>
      </c>
      <c r="O88" s="187" t="s">
        <v>71</v>
      </c>
      <c r="Q88" s="19">
        <f t="shared" si="35"/>
        <v>0</v>
      </c>
    </row>
    <row r="89" spans="2:18" ht="12.95" customHeight="1" thickBot="1">
      <c r="B89" s="21">
        <v>44281</v>
      </c>
      <c r="C89" s="135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89"/>
      <c r="O89" s="189"/>
      <c r="Q89" s="19">
        <f t="shared" si="35"/>
        <v>0</v>
      </c>
    </row>
    <row r="90" spans="2:18" ht="12.95" customHeight="1" thickBot="1">
      <c r="B90" s="21">
        <v>44282</v>
      </c>
      <c r="C90" s="135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>
      <c r="B91" s="21">
        <v>44283</v>
      </c>
      <c r="C91" s="135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87" t="s">
        <v>72</v>
      </c>
      <c r="O91" s="187" t="s">
        <v>73</v>
      </c>
      <c r="Q91" s="19">
        <f t="shared" si="35"/>
        <v>0</v>
      </c>
    </row>
    <row r="92" spans="2:18" ht="12.95" customHeight="1" thickBot="1">
      <c r="B92" s="21">
        <v>44284</v>
      </c>
      <c r="C92" s="135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89"/>
      <c r="O92" s="189"/>
      <c r="Q92" s="19">
        <f t="shared" si="35"/>
        <v>0</v>
      </c>
    </row>
    <row r="93" spans="2:18" ht="12.95" customHeight="1" thickBot="1">
      <c r="B93" s="21">
        <v>44285</v>
      </c>
      <c r="C93" s="135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>
      <c r="B94" s="21">
        <v>44286</v>
      </c>
      <c r="C94" s="173">
        <v>16228335</v>
      </c>
      <c r="D94" s="179">
        <v>5371841</v>
      </c>
      <c r="E94" s="179">
        <v>259360</v>
      </c>
      <c r="F94" s="179">
        <v>655111</v>
      </c>
      <c r="G94" s="179">
        <v>310452</v>
      </c>
      <c r="H94" s="174">
        <f t="shared" ref="H94" si="72">IF(C94="","",+(C94-C93))</f>
        <v>0</v>
      </c>
      <c r="I94" s="174">
        <f t="shared" si="71"/>
        <v>1868</v>
      </c>
      <c r="J94" s="174">
        <f t="shared" si="71"/>
        <v>206</v>
      </c>
      <c r="K94" s="174">
        <f t="shared" si="71"/>
        <v>205</v>
      </c>
      <c r="L94" s="175">
        <f t="shared" si="71"/>
        <v>255</v>
      </c>
      <c r="M94" s="176">
        <f t="shared" si="68"/>
        <v>2279</v>
      </c>
      <c r="Q94" s="19">
        <f t="shared" si="35"/>
        <v>0</v>
      </c>
    </row>
    <row r="95" spans="2:18" ht="12.95" customHeight="1">
      <c r="B95" s="21">
        <v>44287</v>
      </c>
      <c r="C95" s="135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>
      <c r="B96" s="21">
        <v>44288</v>
      </c>
      <c r="C96" s="135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>
      <c r="B97" s="21">
        <v>44289</v>
      </c>
      <c r="C97" s="135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>
      <c r="B98" s="21">
        <v>44290</v>
      </c>
      <c r="C98" s="135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>
      <c r="B99" s="21">
        <v>44291</v>
      </c>
      <c r="C99" s="135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>
      <c r="B100" s="21">
        <v>44292</v>
      </c>
      <c r="C100" s="135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>
      <c r="B101" s="21">
        <v>44293</v>
      </c>
      <c r="C101" s="135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>
      <c r="B102" s="21">
        <v>44294</v>
      </c>
      <c r="C102" s="135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>
      <c r="B103" s="21">
        <v>44295</v>
      </c>
      <c r="C103" s="135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>
      <c r="B104" s="21">
        <v>44296</v>
      </c>
      <c r="C104" s="135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>
      <c r="B105" s="21">
        <v>44297</v>
      </c>
      <c r="C105" s="135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>
      <c r="B106" s="21">
        <v>44298</v>
      </c>
      <c r="C106" s="135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>
      <c r="B107" s="21">
        <v>44299</v>
      </c>
      <c r="C107" s="135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>
      <c r="B108" s="21">
        <v>44300</v>
      </c>
      <c r="C108" s="135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>
      <c r="B109" s="21">
        <v>44301</v>
      </c>
      <c r="C109" s="135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>
      <c r="B110" s="21">
        <v>44302</v>
      </c>
      <c r="C110" s="135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>
      <c r="B111" s="21">
        <v>44303</v>
      </c>
      <c r="C111" s="135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>
      <c r="B112" s="21">
        <v>44304</v>
      </c>
      <c r="C112" s="135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>
      <c r="B113" s="21">
        <v>44305</v>
      </c>
      <c r="C113" s="135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>
      <c r="B114" s="21">
        <v>44306</v>
      </c>
      <c r="C114" s="135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87" t="s">
        <v>68</v>
      </c>
      <c r="O114" s="187" t="s">
        <v>69</v>
      </c>
      <c r="Q114" s="19">
        <f t="shared" si="35"/>
        <v>0</v>
      </c>
    </row>
    <row r="115" spans="2:17" ht="13.9">
      <c r="B115" s="21">
        <v>44307</v>
      </c>
      <c r="C115" s="135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88"/>
      <c r="O115" s="188"/>
      <c r="Q115" s="19">
        <f t="shared" si="35"/>
        <v>0</v>
      </c>
    </row>
    <row r="116" spans="2:17" ht="12.95" customHeight="1" thickBot="1">
      <c r="B116" s="21">
        <v>44308</v>
      </c>
      <c r="C116" s="135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89"/>
      <c r="O116" s="189"/>
      <c r="Q116" s="19">
        <f t="shared" si="35"/>
        <v>0</v>
      </c>
    </row>
    <row r="117" spans="2:17" ht="12.95" customHeight="1" thickBot="1">
      <c r="B117" s="21">
        <v>44309</v>
      </c>
      <c r="C117" s="135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>
      <c r="B118" s="21">
        <v>44310</v>
      </c>
      <c r="C118" s="135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87" t="s">
        <v>70</v>
      </c>
      <c r="O118" s="187" t="s">
        <v>71</v>
      </c>
      <c r="Q118" s="19">
        <f t="shared" si="35"/>
        <v>0</v>
      </c>
    </row>
    <row r="119" spans="2:17" ht="12.95" customHeight="1" thickBot="1">
      <c r="B119" s="21">
        <v>44311</v>
      </c>
      <c r="C119" s="135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89"/>
      <c r="O119" s="189"/>
      <c r="Q119" s="19">
        <f t="shared" si="35"/>
        <v>0</v>
      </c>
    </row>
    <row r="120" spans="2:17" ht="12.95" customHeight="1" thickBot="1">
      <c r="B120" s="21">
        <v>44312</v>
      </c>
      <c r="C120" s="135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>
      <c r="B121" s="21">
        <v>44313</v>
      </c>
      <c r="C121" s="135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>
      <c r="B122" s="21">
        <v>44314</v>
      </c>
      <c r="C122" s="135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>
      <c r="B123" s="21">
        <v>44315</v>
      </c>
      <c r="C123" s="135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>
      <c r="B124" s="21">
        <v>44316</v>
      </c>
      <c r="C124" s="173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175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>
      <c r="B125" s="21">
        <v>44317</v>
      </c>
      <c r="C125" s="135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>
      <c r="B126" s="21">
        <v>44318</v>
      </c>
      <c r="C126" s="135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>
      <c r="B127" s="21">
        <v>44319</v>
      </c>
      <c r="C127" s="135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>
      <c r="B128" s="21">
        <v>44320</v>
      </c>
      <c r="C128" s="135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>
      <c r="B129" s="21">
        <v>44321</v>
      </c>
      <c r="C129" s="135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>
      <c r="B130" s="21">
        <v>44322</v>
      </c>
      <c r="C130" s="135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>
      <c r="B131" s="21">
        <v>44323</v>
      </c>
      <c r="C131" s="135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>
      <c r="B132" s="21">
        <v>44324</v>
      </c>
      <c r="C132" s="135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>
      <c r="B133" s="21">
        <v>44325</v>
      </c>
      <c r="C133" s="135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>
      <c r="B134" s="21">
        <v>44326</v>
      </c>
      <c r="C134" s="135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>
      <c r="B135" s="21">
        <v>44327</v>
      </c>
      <c r="C135" s="135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>
      <c r="B136" s="21">
        <v>44328</v>
      </c>
      <c r="C136" s="135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>
      <c r="B137" s="21">
        <v>44329</v>
      </c>
      <c r="C137" s="135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>
      <c r="B138" s="21">
        <v>44330</v>
      </c>
      <c r="C138" s="135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>
      <c r="B139" s="21">
        <v>44331</v>
      </c>
      <c r="C139" s="135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>
      <c r="B140" s="21">
        <v>44332</v>
      </c>
      <c r="C140" s="135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>
      <c r="B141" s="21">
        <v>44333</v>
      </c>
      <c r="C141" s="135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>
      <c r="B142" s="21">
        <v>44334</v>
      </c>
      <c r="C142" s="135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>
      <c r="B143" s="21">
        <v>44335</v>
      </c>
      <c r="C143" s="135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75</v>
      </c>
      <c r="Q143" s="19">
        <f t="shared" si="90"/>
        <v>0</v>
      </c>
    </row>
    <row r="144" spans="2:17" ht="12.95" customHeight="1" thickBot="1">
      <c r="B144" s="21">
        <v>44336</v>
      </c>
      <c r="C144" s="135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>
      <c r="B145" s="21">
        <v>44337</v>
      </c>
      <c r="C145" s="135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87" t="s">
        <v>68</v>
      </c>
      <c r="O145" s="187" t="s">
        <v>69</v>
      </c>
      <c r="Q145" s="19">
        <f t="shared" si="90"/>
        <v>0</v>
      </c>
    </row>
    <row r="146" spans="2:18" ht="12.95" customHeight="1">
      <c r="B146" s="21">
        <v>44338</v>
      </c>
      <c r="C146" s="135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88"/>
      <c r="O146" s="188"/>
      <c r="Q146" s="19">
        <f t="shared" si="90"/>
        <v>0</v>
      </c>
    </row>
    <row r="147" spans="2:18" ht="12.95" customHeight="1" thickBot="1">
      <c r="B147" s="21">
        <v>44339</v>
      </c>
      <c r="C147" s="135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89"/>
      <c r="O147" s="189"/>
      <c r="Q147" s="19">
        <f>IF(L147="",1,0)</f>
        <v>0</v>
      </c>
    </row>
    <row r="148" spans="2:18" ht="12.95" customHeight="1" thickBot="1">
      <c r="B148" s="21">
        <v>44340</v>
      </c>
      <c r="C148" s="135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9313</v>
      </c>
      <c r="O148" s="30">
        <f>SUM(M12:M155)</f>
        <v>426309</v>
      </c>
      <c r="Q148" s="19">
        <f>IF(L148="",1,0)</f>
        <v>0</v>
      </c>
    </row>
    <row r="149" spans="2:18" ht="12.95" customHeight="1">
      <c r="B149" s="21">
        <v>44341</v>
      </c>
      <c r="C149" s="135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87" t="s">
        <v>70</v>
      </c>
      <c r="O149" s="187" t="s">
        <v>71</v>
      </c>
      <c r="Q149" s="19">
        <f>IF(L149="",1,0)</f>
        <v>0</v>
      </c>
    </row>
    <row r="150" spans="2:18" ht="12.95" customHeight="1" thickBot="1">
      <c r="B150" s="21">
        <v>44342</v>
      </c>
      <c r="C150" s="135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89"/>
      <c r="O150" s="189"/>
      <c r="Q150" s="19">
        <f>IF(L150="",1,0)</f>
        <v>0</v>
      </c>
    </row>
    <row r="151" spans="2:18" ht="12.95" customHeight="1" thickBot="1">
      <c r="B151" s="21">
        <v>44343</v>
      </c>
      <c r="C151" s="135">
        <v>16228335</v>
      </c>
      <c r="D151" s="22">
        <v>5479509</v>
      </c>
      <c r="E151" s="23">
        <v>270464</v>
      </c>
      <c r="F151" s="24">
        <v>667542</v>
      </c>
      <c r="G151" s="25">
        <v>326517</v>
      </c>
      <c r="H151" s="26">
        <f t="shared" si="88"/>
        <v>0</v>
      </c>
      <c r="I151" s="26">
        <f t="shared" si="88"/>
        <v>1605</v>
      </c>
      <c r="J151" s="26">
        <f t="shared" si="88"/>
        <v>283</v>
      </c>
      <c r="K151" s="26">
        <f t="shared" si="88"/>
        <v>253</v>
      </c>
      <c r="L151" s="27">
        <f t="shared" si="91"/>
        <v>354</v>
      </c>
      <c r="M151" s="28">
        <f>IF(H151="","",+(H151+I151+J151+K151))</f>
        <v>2141</v>
      </c>
      <c r="N151" s="30">
        <f>AVERAGE(L125:L155)</f>
        <v>300.41935483870969</v>
      </c>
      <c r="O151" s="30">
        <f>AVERAGE(M125:M155)</f>
        <v>2207.1612903225805</v>
      </c>
      <c r="Q151" s="19">
        <f>IF(L151="",1,0)</f>
        <v>0</v>
      </c>
    </row>
    <row r="152" spans="2:18" ht="12.95" customHeight="1">
      <c r="B152" s="21">
        <v>44344</v>
      </c>
      <c r="C152" s="135">
        <v>16228335</v>
      </c>
      <c r="D152" s="22">
        <v>5481124</v>
      </c>
      <c r="E152" s="23">
        <v>270749</v>
      </c>
      <c r="F152" s="24">
        <v>667807</v>
      </c>
      <c r="G152" s="25">
        <v>326818</v>
      </c>
      <c r="H152" s="26">
        <f t="shared" si="88"/>
        <v>0</v>
      </c>
      <c r="I152" s="26">
        <f t="shared" si="88"/>
        <v>1615</v>
      </c>
      <c r="J152" s="26">
        <f t="shared" si="88"/>
        <v>285</v>
      </c>
      <c r="K152" s="26">
        <f t="shared" si="88"/>
        <v>265</v>
      </c>
      <c r="L152" s="27">
        <f t="shared" si="91"/>
        <v>301</v>
      </c>
      <c r="M152" s="28">
        <f t="shared" si="89"/>
        <v>2165</v>
      </c>
      <c r="O152" s="19">
        <f>IF(L152="",1,0)</f>
        <v>0</v>
      </c>
    </row>
    <row r="153" spans="2:18" ht="12.95" customHeight="1">
      <c r="B153" s="21">
        <v>44345</v>
      </c>
      <c r="C153" s="135">
        <v>16228335</v>
      </c>
      <c r="D153" s="22">
        <v>5482632</v>
      </c>
      <c r="E153" s="23">
        <v>271020</v>
      </c>
      <c r="F153" s="24">
        <v>668066</v>
      </c>
      <c r="G153" s="25">
        <v>327116</v>
      </c>
      <c r="H153" s="26">
        <f t="shared" si="88"/>
        <v>0</v>
      </c>
      <c r="I153" s="26">
        <f t="shared" si="88"/>
        <v>1508</v>
      </c>
      <c r="J153" s="26">
        <f t="shared" si="88"/>
        <v>271</v>
      </c>
      <c r="K153" s="26">
        <f t="shared" si="88"/>
        <v>259</v>
      </c>
      <c r="L153" s="27">
        <f t="shared" si="91"/>
        <v>298</v>
      </c>
      <c r="M153" s="28">
        <f t="shared" si="89"/>
        <v>2038</v>
      </c>
      <c r="O153" s="19">
        <f>IF(L153="",1,0)</f>
        <v>0</v>
      </c>
    </row>
    <row r="154" spans="2:18" ht="12.95" customHeight="1">
      <c r="B154" s="21">
        <v>44346</v>
      </c>
      <c r="C154" s="135">
        <v>16228335</v>
      </c>
      <c r="D154" s="22">
        <v>5484177</v>
      </c>
      <c r="E154" s="23">
        <v>271292</v>
      </c>
      <c r="F154" s="24">
        <v>668314</v>
      </c>
      <c r="G154" s="25">
        <v>327415</v>
      </c>
      <c r="H154" s="26">
        <f t="shared" si="88"/>
        <v>0</v>
      </c>
      <c r="I154" s="26">
        <f t="shared" si="88"/>
        <v>1545</v>
      </c>
      <c r="J154" s="26">
        <f t="shared" si="88"/>
        <v>272</v>
      </c>
      <c r="K154" s="26">
        <f t="shared" si="88"/>
        <v>248</v>
      </c>
      <c r="L154" s="27">
        <f t="shared" si="91"/>
        <v>299</v>
      </c>
      <c r="M154" s="28">
        <f>IF(H154="","",+(H154+I154+J154+K154))</f>
        <v>2065</v>
      </c>
      <c r="O154" s="19">
        <f>IF(L154="",1,0)</f>
        <v>0</v>
      </c>
      <c r="P154" s="38"/>
    </row>
    <row r="155" spans="2:18" ht="12.95" customHeight="1">
      <c r="B155" s="21">
        <v>44347</v>
      </c>
      <c r="C155" s="173">
        <v>16228335</v>
      </c>
      <c r="D155" s="31">
        <v>5485766</v>
      </c>
      <c r="E155" s="31">
        <v>271523</v>
      </c>
      <c r="F155" s="31">
        <v>668550</v>
      </c>
      <c r="G155" s="31">
        <v>327790</v>
      </c>
      <c r="H155" s="31">
        <f t="shared" si="88"/>
        <v>0</v>
      </c>
      <c r="I155" s="31">
        <f t="shared" si="88"/>
        <v>1589</v>
      </c>
      <c r="J155" s="31">
        <f t="shared" si="88"/>
        <v>231</v>
      </c>
      <c r="K155" s="31">
        <f t="shared" si="88"/>
        <v>236</v>
      </c>
      <c r="L155" s="40">
        <f>IF(G155="","",+(G155-G154))</f>
        <v>375</v>
      </c>
      <c r="M155" s="31">
        <f t="shared" si="89"/>
        <v>2056</v>
      </c>
      <c r="Q155" s="19">
        <f t="shared" si="90"/>
        <v>0</v>
      </c>
    </row>
    <row r="156" spans="2:18" ht="12.95" customHeight="1">
      <c r="B156" s="21">
        <v>44348</v>
      </c>
      <c r="C156" s="135">
        <v>16228335</v>
      </c>
      <c r="D156" s="22">
        <v>5487405</v>
      </c>
      <c r="E156" s="23">
        <v>271752</v>
      </c>
      <c r="F156" s="24">
        <v>668786</v>
      </c>
      <c r="G156" s="25">
        <v>328147</v>
      </c>
      <c r="H156" s="26">
        <f t="shared" si="88"/>
        <v>0</v>
      </c>
      <c r="I156" s="26">
        <f t="shared" si="88"/>
        <v>1639</v>
      </c>
      <c r="J156" s="26">
        <f t="shared" si="88"/>
        <v>229</v>
      </c>
      <c r="K156" s="26">
        <f t="shared" si="88"/>
        <v>236</v>
      </c>
      <c r="L156" s="27">
        <f>IF(G156="","",+(G156-G155))</f>
        <v>357</v>
      </c>
      <c r="M156" s="28">
        <f t="shared" si="89"/>
        <v>2104</v>
      </c>
      <c r="Q156" s="19">
        <f t="shared" si="90"/>
        <v>0</v>
      </c>
    </row>
    <row r="157" spans="2:18" ht="12.95" customHeight="1">
      <c r="B157" s="21">
        <v>44349</v>
      </c>
      <c r="C157" s="39">
        <v>16228452</v>
      </c>
      <c r="D157" s="22">
        <v>5488911</v>
      </c>
      <c r="E157" s="23">
        <v>271969</v>
      </c>
      <c r="F157" s="24">
        <v>669036</v>
      </c>
      <c r="G157" s="25">
        <v>328481</v>
      </c>
      <c r="H157" s="26">
        <f t="shared" si="88"/>
        <v>117</v>
      </c>
      <c r="I157" s="26">
        <f t="shared" si="88"/>
        <v>1506</v>
      </c>
      <c r="J157" s="26">
        <f t="shared" si="88"/>
        <v>217</v>
      </c>
      <c r="K157" s="26">
        <f t="shared" si="88"/>
        <v>250</v>
      </c>
      <c r="L157" s="27">
        <f t="shared" ref="L157:L195" si="92">IF(G157="","",+(G157-G156))</f>
        <v>334</v>
      </c>
      <c r="M157" s="28">
        <f t="shared" si="89"/>
        <v>2090</v>
      </c>
      <c r="Q157" s="19">
        <f t="shared" si="90"/>
        <v>0</v>
      </c>
    </row>
    <row r="158" spans="2:18" ht="12.95" customHeight="1">
      <c r="B158" s="21">
        <v>44350</v>
      </c>
      <c r="C158" s="39">
        <v>16228649</v>
      </c>
      <c r="D158" s="22">
        <v>5490455</v>
      </c>
      <c r="E158" s="23">
        <v>272210</v>
      </c>
      <c r="F158" s="24">
        <v>669253</v>
      </c>
      <c r="G158" s="25">
        <v>328838</v>
      </c>
      <c r="H158" s="26">
        <f t="shared" si="88"/>
        <v>197</v>
      </c>
      <c r="I158" s="26">
        <f t="shared" si="88"/>
        <v>1544</v>
      </c>
      <c r="J158" s="26">
        <f t="shared" si="88"/>
        <v>241</v>
      </c>
      <c r="K158" s="26">
        <f t="shared" si="88"/>
        <v>217</v>
      </c>
      <c r="L158" s="27">
        <f t="shared" si="92"/>
        <v>357</v>
      </c>
      <c r="M158" s="28">
        <f t="shared" si="89"/>
        <v>2199</v>
      </c>
      <c r="Q158" s="19">
        <f t="shared" si="90"/>
        <v>0</v>
      </c>
    </row>
    <row r="159" spans="2:18" ht="12.95" customHeight="1">
      <c r="B159" s="21">
        <v>44351</v>
      </c>
      <c r="C159" s="39">
        <v>16228661</v>
      </c>
      <c r="D159" s="22">
        <v>5491942</v>
      </c>
      <c r="E159" s="23">
        <v>272441</v>
      </c>
      <c r="F159" s="24">
        <v>669512</v>
      </c>
      <c r="G159" s="25">
        <v>329148</v>
      </c>
      <c r="H159" s="26">
        <f t="shared" si="88"/>
        <v>12</v>
      </c>
      <c r="I159" s="26">
        <f t="shared" si="88"/>
        <v>1487</v>
      </c>
      <c r="J159" s="26">
        <f t="shared" si="88"/>
        <v>231</v>
      </c>
      <c r="K159" s="26">
        <f t="shared" si="88"/>
        <v>259</v>
      </c>
      <c r="L159" s="27">
        <f t="shared" si="92"/>
        <v>310</v>
      </c>
      <c r="M159" s="28">
        <f t="shared" si="89"/>
        <v>1989</v>
      </c>
      <c r="Q159" s="19">
        <f t="shared" si="90"/>
        <v>0</v>
      </c>
    </row>
    <row r="160" spans="2:18" ht="12.95" customHeight="1">
      <c r="B160" s="21">
        <v>44352</v>
      </c>
      <c r="C160" s="39">
        <v>16228670</v>
      </c>
      <c r="D160" s="22">
        <v>5493329</v>
      </c>
      <c r="E160" s="23">
        <v>272680</v>
      </c>
      <c r="F160" s="24">
        <v>669760</v>
      </c>
      <c r="G160" s="25">
        <v>329473</v>
      </c>
      <c r="H160" s="26">
        <f t="shared" si="88"/>
        <v>9</v>
      </c>
      <c r="I160" s="26">
        <f t="shared" si="88"/>
        <v>1387</v>
      </c>
      <c r="J160" s="26">
        <f t="shared" si="88"/>
        <v>239</v>
      </c>
      <c r="K160" s="26">
        <f t="shared" si="88"/>
        <v>248</v>
      </c>
      <c r="L160" s="27">
        <f t="shared" si="92"/>
        <v>325</v>
      </c>
      <c r="M160" s="28">
        <f t="shared" si="89"/>
        <v>1883</v>
      </c>
      <c r="Q160" s="19">
        <f t="shared" si="90"/>
        <v>0</v>
      </c>
      <c r="R160" s="41"/>
    </row>
    <row r="161" spans="2:20" ht="12.95" customHeight="1">
      <c r="B161" s="21">
        <v>44353</v>
      </c>
      <c r="C161" s="39">
        <v>16228829</v>
      </c>
      <c r="D161" s="22">
        <v>5494900</v>
      </c>
      <c r="E161" s="23">
        <v>272919</v>
      </c>
      <c r="F161" s="24">
        <v>669998</v>
      </c>
      <c r="G161" s="25">
        <v>329832</v>
      </c>
      <c r="H161" s="26">
        <f t="shared" si="88"/>
        <v>159</v>
      </c>
      <c r="I161" s="26">
        <f t="shared" si="88"/>
        <v>1571</v>
      </c>
      <c r="J161" s="26">
        <f t="shared" si="88"/>
        <v>239</v>
      </c>
      <c r="K161" s="26">
        <f t="shared" si="88"/>
        <v>238</v>
      </c>
      <c r="L161" s="27">
        <f t="shared" si="92"/>
        <v>359</v>
      </c>
      <c r="M161" s="28">
        <f t="shared" si="89"/>
        <v>2207</v>
      </c>
      <c r="Q161" s="19">
        <f t="shared" si="90"/>
        <v>0</v>
      </c>
      <c r="R161" s="41"/>
      <c r="S161" s="42"/>
      <c r="T161" s="42"/>
    </row>
    <row r="162" spans="2:20" ht="12.95" customHeight="1">
      <c r="B162" s="21">
        <v>44354</v>
      </c>
      <c r="C162" s="39">
        <v>16228887</v>
      </c>
      <c r="D162" s="22">
        <v>5496543</v>
      </c>
      <c r="E162" s="23">
        <v>273196</v>
      </c>
      <c r="F162" s="24">
        <v>670231</v>
      </c>
      <c r="G162" s="25">
        <v>330180</v>
      </c>
      <c r="H162" s="26">
        <f t="shared" si="88"/>
        <v>58</v>
      </c>
      <c r="I162" s="26">
        <f t="shared" si="88"/>
        <v>1643</v>
      </c>
      <c r="J162" s="26">
        <f t="shared" si="88"/>
        <v>277</v>
      </c>
      <c r="K162" s="26">
        <f t="shared" si="88"/>
        <v>233</v>
      </c>
      <c r="L162" s="27">
        <f t="shared" si="92"/>
        <v>348</v>
      </c>
      <c r="M162" s="28">
        <f t="shared" si="89"/>
        <v>2211</v>
      </c>
      <c r="Q162" s="19">
        <f t="shared" si="90"/>
        <v>0</v>
      </c>
      <c r="R162" s="41"/>
      <c r="S162" s="42"/>
      <c r="T162" s="42"/>
    </row>
    <row r="163" spans="2:20" ht="12.95" customHeight="1">
      <c r="B163" s="21">
        <v>44355</v>
      </c>
      <c r="C163" s="39">
        <v>16228887</v>
      </c>
      <c r="D163" s="22">
        <v>5498035</v>
      </c>
      <c r="E163" s="23">
        <v>273430</v>
      </c>
      <c r="F163" s="24">
        <v>670477</v>
      </c>
      <c r="G163" s="25">
        <v>330492</v>
      </c>
      <c r="H163" s="26">
        <f t="shared" si="88"/>
        <v>0</v>
      </c>
      <c r="I163" s="26">
        <f t="shared" si="88"/>
        <v>1492</v>
      </c>
      <c r="J163" s="26">
        <f t="shared" si="88"/>
        <v>234</v>
      </c>
      <c r="K163" s="26">
        <f t="shared" si="88"/>
        <v>246</v>
      </c>
      <c r="L163" s="27">
        <f t="shared" si="92"/>
        <v>312</v>
      </c>
      <c r="M163" s="28">
        <f t="shared" si="89"/>
        <v>1972</v>
      </c>
      <c r="Q163" s="19">
        <f t="shared" si="90"/>
        <v>0</v>
      </c>
      <c r="R163" s="41"/>
      <c r="S163" s="42"/>
      <c r="T163" s="42"/>
    </row>
    <row r="164" spans="2:20" ht="12.95" customHeight="1">
      <c r="B164" s="21">
        <v>44356</v>
      </c>
      <c r="C164" s="39">
        <v>16229120</v>
      </c>
      <c r="D164" s="22">
        <v>5499492</v>
      </c>
      <c r="E164" s="23">
        <v>273676</v>
      </c>
      <c r="F164" s="24">
        <v>670708</v>
      </c>
      <c r="G164" s="25">
        <v>330832</v>
      </c>
      <c r="H164" s="26">
        <f t="shared" si="88"/>
        <v>233</v>
      </c>
      <c r="I164" s="26">
        <f t="shared" si="88"/>
        <v>1457</v>
      </c>
      <c r="J164" s="26">
        <f t="shared" si="88"/>
        <v>246</v>
      </c>
      <c r="K164" s="26">
        <f t="shared" si="88"/>
        <v>231</v>
      </c>
      <c r="L164" s="27">
        <f t="shared" si="92"/>
        <v>340</v>
      </c>
      <c r="M164" s="28">
        <f t="shared" si="89"/>
        <v>2167</v>
      </c>
      <c r="Q164" s="19">
        <f t="shared" si="90"/>
        <v>0</v>
      </c>
      <c r="R164" s="41"/>
      <c r="S164" s="42"/>
      <c r="T164" s="42"/>
    </row>
    <row r="165" spans="2:20" ht="12.95" customHeight="1">
      <c r="B165" s="21">
        <v>44357</v>
      </c>
      <c r="C165" s="39">
        <v>16229122</v>
      </c>
      <c r="D165" s="22">
        <v>5500853</v>
      </c>
      <c r="E165" s="23">
        <v>273857</v>
      </c>
      <c r="F165" s="24">
        <v>670955</v>
      </c>
      <c r="G165" s="25">
        <v>331137</v>
      </c>
      <c r="H165" s="26">
        <f t="shared" si="88"/>
        <v>2</v>
      </c>
      <c r="I165" s="26">
        <f t="shared" si="88"/>
        <v>1361</v>
      </c>
      <c r="J165" s="26">
        <f t="shared" si="88"/>
        <v>181</v>
      </c>
      <c r="K165" s="26">
        <f t="shared" si="88"/>
        <v>247</v>
      </c>
      <c r="L165" s="27">
        <f t="shared" si="92"/>
        <v>305</v>
      </c>
      <c r="M165" s="28">
        <f t="shared" si="89"/>
        <v>1791</v>
      </c>
      <c r="Q165" s="19">
        <f t="shared" si="90"/>
        <v>0</v>
      </c>
      <c r="R165" s="41"/>
      <c r="S165" s="42"/>
      <c r="T165" s="42"/>
    </row>
    <row r="166" spans="2:20" ht="12.95" customHeight="1">
      <c r="B166" s="21">
        <v>44358</v>
      </c>
      <c r="C166" s="39">
        <v>16229122</v>
      </c>
      <c r="D166" s="22">
        <v>5502443</v>
      </c>
      <c r="E166" s="23">
        <v>274053</v>
      </c>
      <c r="F166" s="24">
        <v>671187</v>
      </c>
      <c r="G166" s="25">
        <v>331416</v>
      </c>
      <c r="H166" s="26">
        <f t="shared" si="88"/>
        <v>0</v>
      </c>
      <c r="I166" s="26">
        <f t="shared" si="88"/>
        <v>1590</v>
      </c>
      <c r="J166" s="26">
        <f t="shared" si="88"/>
        <v>196</v>
      </c>
      <c r="K166" s="26">
        <f t="shared" si="88"/>
        <v>232</v>
      </c>
      <c r="L166" s="27">
        <f t="shared" si="92"/>
        <v>279</v>
      </c>
      <c r="M166" s="28">
        <f t="shared" si="89"/>
        <v>2018</v>
      </c>
      <c r="Q166" s="19">
        <f t="shared" si="90"/>
        <v>0</v>
      </c>
    </row>
    <row r="167" spans="2:20" ht="12.95" customHeight="1">
      <c r="B167" s="21">
        <v>44359</v>
      </c>
      <c r="C167" s="39">
        <v>16229122</v>
      </c>
      <c r="D167" s="22">
        <v>5503882</v>
      </c>
      <c r="E167" s="23">
        <v>274267</v>
      </c>
      <c r="F167" s="24">
        <v>671409</v>
      </c>
      <c r="G167" s="25">
        <v>331710</v>
      </c>
      <c r="H167" s="26">
        <f t="shared" si="88"/>
        <v>0</v>
      </c>
      <c r="I167" s="26">
        <f t="shared" si="88"/>
        <v>1439</v>
      </c>
      <c r="J167" s="26">
        <f t="shared" si="88"/>
        <v>214</v>
      </c>
      <c r="K167" s="26">
        <f t="shared" si="88"/>
        <v>222</v>
      </c>
      <c r="L167" s="27">
        <f t="shared" si="92"/>
        <v>294</v>
      </c>
      <c r="M167" s="28">
        <f t="shared" si="89"/>
        <v>1875</v>
      </c>
      <c r="Q167" s="19">
        <f t="shared" si="90"/>
        <v>0</v>
      </c>
    </row>
    <row r="168" spans="2:20" ht="12.95" customHeight="1">
      <c r="B168" s="21">
        <v>44360</v>
      </c>
      <c r="C168" s="39">
        <v>16229122</v>
      </c>
      <c r="D168" s="22">
        <v>5505388</v>
      </c>
      <c r="E168" s="23">
        <v>274508</v>
      </c>
      <c r="F168" s="24">
        <v>152</v>
      </c>
      <c r="G168" s="25">
        <v>331981</v>
      </c>
      <c r="H168" s="26">
        <f t="shared" si="88"/>
        <v>0</v>
      </c>
      <c r="I168" s="26">
        <f t="shared" si="88"/>
        <v>1506</v>
      </c>
      <c r="J168" s="26">
        <f t="shared" si="88"/>
        <v>241</v>
      </c>
      <c r="K168" s="151">
        <f>IF(F168="","",+(F168-F167))+671477</f>
        <v>220</v>
      </c>
      <c r="L168" s="27">
        <f t="shared" si="92"/>
        <v>271</v>
      </c>
      <c r="M168" s="28">
        <f t="shared" si="89"/>
        <v>1967</v>
      </c>
      <c r="Q168" s="19">
        <f t="shared" si="90"/>
        <v>0</v>
      </c>
    </row>
    <row r="169" spans="2:20" ht="12.95" customHeight="1">
      <c r="B169" s="21">
        <v>44361</v>
      </c>
      <c r="C169" s="39">
        <v>16229122</v>
      </c>
      <c r="D169" s="22">
        <v>5506684</v>
      </c>
      <c r="E169" s="23">
        <v>274679</v>
      </c>
      <c r="F169" s="24">
        <v>389</v>
      </c>
      <c r="G169" s="25">
        <v>332252</v>
      </c>
      <c r="H169" s="26">
        <f t="shared" si="88"/>
        <v>0</v>
      </c>
      <c r="I169" s="26">
        <f t="shared" si="88"/>
        <v>1296</v>
      </c>
      <c r="J169" s="26">
        <f t="shared" si="88"/>
        <v>171</v>
      </c>
      <c r="K169" s="26">
        <f t="shared" si="88"/>
        <v>237</v>
      </c>
      <c r="L169" s="27">
        <f t="shared" si="92"/>
        <v>271</v>
      </c>
      <c r="M169" s="28">
        <f t="shared" si="89"/>
        <v>1704</v>
      </c>
      <c r="Q169" s="19">
        <f t="shared" si="90"/>
        <v>0</v>
      </c>
    </row>
    <row r="170" spans="2:20" ht="12.95" customHeight="1">
      <c r="B170" s="21">
        <v>44362</v>
      </c>
      <c r="C170" s="39">
        <v>16229122</v>
      </c>
      <c r="D170" s="22">
        <v>5508236</v>
      </c>
      <c r="E170" s="23">
        <v>274889</v>
      </c>
      <c r="F170" s="24">
        <v>615</v>
      </c>
      <c r="G170" s="25">
        <v>332559</v>
      </c>
      <c r="H170" s="26">
        <f t="shared" si="88"/>
        <v>0</v>
      </c>
      <c r="I170" s="26">
        <f t="shared" si="88"/>
        <v>1552</v>
      </c>
      <c r="J170" s="26">
        <f t="shared" si="88"/>
        <v>210</v>
      </c>
      <c r="K170" s="26">
        <f t="shared" si="88"/>
        <v>226</v>
      </c>
      <c r="L170" s="27">
        <f t="shared" si="92"/>
        <v>307</v>
      </c>
      <c r="M170" s="28">
        <f t="shared" si="89"/>
        <v>1988</v>
      </c>
      <c r="Q170" s="19">
        <f t="shared" si="90"/>
        <v>0</v>
      </c>
    </row>
    <row r="171" spans="2:20" ht="12.95" customHeight="1">
      <c r="B171" s="21">
        <v>44363</v>
      </c>
      <c r="C171" s="39">
        <v>16229122</v>
      </c>
      <c r="D171" s="22">
        <v>5509688</v>
      </c>
      <c r="E171" s="23">
        <v>275106</v>
      </c>
      <c r="F171" s="24">
        <v>835</v>
      </c>
      <c r="G171" s="25">
        <v>332886</v>
      </c>
      <c r="H171" s="26">
        <f t="shared" si="88"/>
        <v>0</v>
      </c>
      <c r="I171" s="26">
        <f t="shared" si="88"/>
        <v>1452</v>
      </c>
      <c r="J171" s="26">
        <f t="shared" si="88"/>
        <v>217</v>
      </c>
      <c r="K171" s="26">
        <f t="shared" si="88"/>
        <v>220</v>
      </c>
      <c r="L171" s="27">
        <f t="shared" si="92"/>
        <v>327</v>
      </c>
      <c r="M171" s="28">
        <f t="shared" si="89"/>
        <v>1889</v>
      </c>
      <c r="Q171" s="19">
        <f t="shared" si="90"/>
        <v>0</v>
      </c>
    </row>
    <row r="172" spans="2:20" ht="12.95" customHeight="1">
      <c r="B172" s="21">
        <v>44364</v>
      </c>
      <c r="C172" s="39">
        <v>16229702</v>
      </c>
      <c r="D172" s="22">
        <v>5511153</v>
      </c>
      <c r="E172" s="23">
        <v>275316</v>
      </c>
      <c r="F172" s="24">
        <v>1041</v>
      </c>
      <c r="G172" s="25">
        <v>333264</v>
      </c>
      <c r="H172" s="26">
        <f t="shared" si="88"/>
        <v>580</v>
      </c>
      <c r="I172" s="26">
        <f t="shared" si="88"/>
        <v>1465</v>
      </c>
      <c r="J172" s="26">
        <f t="shared" si="88"/>
        <v>210</v>
      </c>
      <c r="K172" s="26">
        <f t="shared" si="88"/>
        <v>206</v>
      </c>
      <c r="L172" s="27">
        <f t="shared" si="92"/>
        <v>378</v>
      </c>
      <c r="M172" s="28">
        <f t="shared" si="89"/>
        <v>2461</v>
      </c>
      <c r="Q172" s="19">
        <f t="shared" si="90"/>
        <v>0</v>
      </c>
    </row>
    <row r="173" spans="2:20" ht="12.95" customHeight="1">
      <c r="B173" s="21">
        <v>44365</v>
      </c>
      <c r="C173" s="39">
        <v>16229702</v>
      </c>
      <c r="D173" s="22">
        <v>5512597</v>
      </c>
      <c r="E173" s="23">
        <v>275544</v>
      </c>
      <c r="F173" s="24">
        <v>1262</v>
      </c>
      <c r="G173" s="25">
        <v>333577</v>
      </c>
      <c r="H173" s="26">
        <f t="shared" si="88"/>
        <v>0</v>
      </c>
      <c r="I173" s="26">
        <f t="shared" si="88"/>
        <v>1444</v>
      </c>
      <c r="J173" s="26">
        <f t="shared" si="88"/>
        <v>228</v>
      </c>
      <c r="K173" s="26">
        <f t="shared" si="88"/>
        <v>221</v>
      </c>
      <c r="L173" s="27">
        <f t="shared" si="92"/>
        <v>313</v>
      </c>
      <c r="M173" s="28">
        <f t="shared" si="89"/>
        <v>1893</v>
      </c>
      <c r="Q173" s="19">
        <f t="shared" si="90"/>
        <v>0</v>
      </c>
    </row>
    <row r="174" spans="2:20" ht="12.95" customHeight="1" thickBot="1">
      <c r="B174" s="21">
        <v>44366</v>
      </c>
      <c r="C174" s="39">
        <v>16229702</v>
      </c>
      <c r="D174" s="22">
        <v>5514100</v>
      </c>
      <c r="E174" s="23">
        <v>275780</v>
      </c>
      <c r="F174" s="24">
        <v>1506</v>
      </c>
      <c r="G174" s="25">
        <v>333896</v>
      </c>
      <c r="H174" s="26">
        <f t="shared" si="88"/>
        <v>0</v>
      </c>
      <c r="I174" s="26">
        <f t="shared" si="88"/>
        <v>1503</v>
      </c>
      <c r="J174" s="26">
        <f t="shared" si="88"/>
        <v>236</v>
      </c>
      <c r="K174" s="26">
        <f t="shared" si="88"/>
        <v>244</v>
      </c>
      <c r="L174" s="27">
        <f t="shared" si="92"/>
        <v>319</v>
      </c>
      <c r="M174" s="28">
        <f t="shared" si="89"/>
        <v>1983</v>
      </c>
      <c r="Q174" s="19">
        <f t="shared" si="90"/>
        <v>0</v>
      </c>
    </row>
    <row r="175" spans="2:20" ht="12.95" customHeight="1">
      <c r="B175" s="21">
        <v>44367</v>
      </c>
      <c r="C175" s="39">
        <v>16229702</v>
      </c>
      <c r="D175" s="22">
        <v>5515455</v>
      </c>
      <c r="E175" s="23">
        <v>275994</v>
      </c>
      <c r="F175" s="24">
        <v>1751</v>
      </c>
      <c r="G175" s="25">
        <v>334190</v>
      </c>
      <c r="H175" s="26">
        <f t="shared" si="88"/>
        <v>0</v>
      </c>
      <c r="I175" s="26">
        <f t="shared" si="88"/>
        <v>1355</v>
      </c>
      <c r="J175" s="26">
        <f t="shared" si="88"/>
        <v>214</v>
      </c>
      <c r="K175" s="26">
        <f t="shared" si="88"/>
        <v>245</v>
      </c>
      <c r="L175" s="27">
        <f t="shared" si="92"/>
        <v>294</v>
      </c>
      <c r="M175" s="28">
        <f t="shared" si="89"/>
        <v>1814</v>
      </c>
      <c r="N175" s="187" t="s">
        <v>68</v>
      </c>
      <c r="O175" s="187" t="s">
        <v>69</v>
      </c>
      <c r="Q175" s="19">
        <f t="shared" si="90"/>
        <v>0</v>
      </c>
    </row>
    <row r="176" spans="2:20" ht="12.95" customHeight="1">
      <c r="B176" s="21">
        <v>44368</v>
      </c>
      <c r="C176" s="39">
        <v>16229702</v>
      </c>
      <c r="D176" s="22">
        <v>5516877</v>
      </c>
      <c r="E176" s="23">
        <v>276234</v>
      </c>
      <c r="F176" s="24">
        <v>2004</v>
      </c>
      <c r="G176" s="25">
        <v>334477</v>
      </c>
      <c r="H176" s="26">
        <f t="shared" si="88"/>
        <v>0</v>
      </c>
      <c r="I176" s="26">
        <f t="shared" si="88"/>
        <v>1422</v>
      </c>
      <c r="J176" s="26">
        <f t="shared" si="88"/>
        <v>240</v>
      </c>
      <c r="K176" s="26">
        <f t="shared" si="88"/>
        <v>253</v>
      </c>
      <c r="L176" s="27">
        <f t="shared" si="92"/>
        <v>287</v>
      </c>
      <c r="M176" s="28">
        <f t="shared" si="89"/>
        <v>1915</v>
      </c>
      <c r="N176" s="188"/>
      <c r="O176" s="188"/>
      <c r="Q176" s="19">
        <f t="shared" si="90"/>
        <v>0</v>
      </c>
    </row>
    <row r="177" spans="2:17" ht="12.95" customHeight="1" thickBot="1">
      <c r="B177" s="21">
        <v>44369</v>
      </c>
      <c r="C177" s="39">
        <v>16229702</v>
      </c>
      <c r="D177" s="22">
        <v>5518172</v>
      </c>
      <c r="E177" s="23">
        <v>276490</v>
      </c>
      <c r="F177" s="24">
        <v>2258</v>
      </c>
      <c r="G177" s="25">
        <v>334801</v>
      </c>
      <c r="H177" s="26">
        <f t="shared" si="88"/>
        <v>0</v>
      </c>
      <c r="I177" s="26">
        <f>IF(D177="","",+(D177-D176))+20926</f>
        <v>22221</v>
      </c>
      <c r="J177" s="26">
        <f t="shared" si="88"/>
        <v>256</v>
      </c>
      <c r="K177" s="26">
        <f t="shared" si="88"/>
        <v>254</v>
      </c>
      <c r="L177" s="27">
        <f t="shared" si="92"/>
        <v>324</v>
      </c>
      <c r="M177" s="28">
        <f t="shared" si="89"/>
        <v>22731</v>
      </c>
      <c r="N177" s="189"/>
      <c r="O177" s="189"/>
      <c r="Q177" s="19">
        <f t="shared" si="90"/>
        <v>0</v>
      </c>
    </row>
    <row r="178" spans="2:17" ht="12.95" customHeight="1" thickBot="1">
      <c r="B178" s="21">
        <v>44370</v>
      </c>
      <c r="C178" s="39">
        <v>16229702</v>
      </c>
      <c r="D178" s="22">
        <v>5519601</v>
      </c>
      <c r="E178" s="23">
        <v>276719</v>
      </c>
      <c r="F178" s="24">
        <v>2490</v>
      </c>
      <c r="G178" s="25">
        <v>335125</v>
      </c>
      <c r="H178" s="26">
        <f t="shared" si="88"/>
        <v>0</v>
      </c>
      <c r="I178" s="26">
        <f t="shared" si="88"/>
        <v>1429</v>
      </c>
      <c r="J178" s="26">
        <f t="shared" si="88"/>
        <v>229</v>
      </c>
      <c r="K178" s="26">
        <f t="shared" si="88"/>
        <v>232</v>
      </c>
      <c r="L178" s="27">
        <f t="shared" si="92"/>
        <v>324</v>
      </c>
      <c r="M178" s="28">
        <f t="shared" si="89"/>
        <v>1890</v>
      </c>
      <c r="N178" s="30">
        <f>SUM(L156:L185)</f>
        <v>9378</v>
      </c>
      <c r="O178" s="30">
        <f>SUM(M156:M185)</f>
        <v>79737</v>
      </c>
      <c r="Q178" s="19">
        <f t="shared" si="90"/>
        <v>0</v>
      </c>
    </row>
    <row r="179" spans="2:17" ht="12.95" customHeight="1">
      <c r="B179" s="21">
        <v>44371</v>
      </c>
      <c r="C179" s="39">
        <v>16229702</v>
      </c>
      <c r="D179" s="22">
        <v>5520886</v>
      </c>
      <c r="E179" s="23">
        <v>276935</v>
      </c>
      <c r="F179" s="24">
        <v>2749</v>
      </c>
      <c r="G179" s="25">
        <v>335411</v>
      </c>
      <c r="H179" s="26">
        <f t="shared" si="88"/>
        <v>0</v>
      </c>
      <c r="I179" s="26">
        <f t="shared" si="88"/>
        <v>1285</v>
      </c>
      <c r="J179" s="26">
        <f t="shared" si="88"/>
        <v>216</v>
      </c>
      <c r="K179" s="26">
        <f t="shared" si="88"/>
        <v>259</v>
      </c>
      <c r="L179" s="27">
        <f t="shared" si="92"/>
        <v>286</v>
      </c>
      <c r="M179" s="28">
        <f t="shared" si="89"/>
        <v>1760</v>
      </c>
      <c r="N179" s="187" t="s">
        <v>70</v>
      </c>
      <c r="O179" s="187" t="s">
        <v>71</v>
      </c>
      <c r="Q179" s="19">
        <f t="shared" si="90"/>
        <v>0</v>
      </c>
    </row>
    <row r="180" spans="2:17" ht="14.45" thickBot="1">
      <c r="B180" s="21">
        <v>44372</v>
      </c>
      <c r="C180" s="39">
        <v>16229702</v>
      </c>
      <c r="D180" s="22">
        <v>5522311</v>
      </c>
      <c r="E180" s="23">
        <v>277188</v>
      </c>
      <c r="F180" s="24">
        <v>3022</v>
      </c>
      <c r="G180" s="25">
        <v>335692</v>
      </c>
      <c r="H180" s="26">
        <f t="shared" si="88"/>
        <v>0</v>
      </c>
      <c r="I180" s="26">
        <f t="shared" si="88"/>
        <v>1425</v>
      </c>
      <c r="J180" s="26">
        <f t="shared" si="88"/>
        <v>253</v>
      </c>
      <c r="K180" s="26">
        <f t="shared" si="88"/>
        <v>273</v>
      </c>
      <c r="L180" s="27">
        <f t="shared" si="92"/>
        <v>281</v>
      </c>
      <c r="M180" s="28">
        <f t="shared" si="89"/>
        <v>1951</v>
      </c>
      <c r="N180" s="189"/>
      <c r="O180" s="189"/>
      <c r="Q180" s="19">
        <f t="shared" si="90"/>
        <v>0</v>
      </c>
    </row>
    <row r="181" spans="2:17" ht="12.95" customHeight="1" thickBot="1">
      <c r="B181" s="21">
        <v>44373</v>
      </c>
      <c r="C181" s="39">
        <v>16229702</v>
      </c>
      <c r="D181" s="22">
        <v>5523635</v>
      </c>
      <c r="E181" s="23">
        <v>277396</v>
      </c>
      <c r="F181" s="24">
        <v>3292</v>
      </c>
      <c r="G181" s="25">
        <v>336003</v>
      </c>
      <c r="H181" s="26">
        <f t="shared" si="88"/>
        <v>0</v>
      </c>
      <c r="I181" s="26">
        <f t="shared" si="88"/>
        <v>1324</v>
      </c>
      <c r="J181" s="26">
        <f t="shared" si="88"/>
        <v>208</v>
      </c>
      <c r="K181" s="26">
        <f t="shared" si="88"/>
        <v>270</v>
      </c>
      <c r="L181" s="27">
        <f t="shared" si="92"/>
        <v>311</v>
      </c>
      <c r="M181" s="28">
        <f t="shared" si="89"/>
        <v>1802</v>
      </c>
      <c r="N181" s="30">
        <f>AVERAGE(L156:L185)</f>
        <v>312.60000000000002</v>
      </c>
      <c r="O181" s="30">
        <f>AVERAGE(M156:M185)</f>
        <v>2657.9</v>
      </c>
      <c r="Q181" s="19">
        <f t="shared" si="90"/>
        <v>0</v>
      </c>
    </row>
    <row r="182" spans="2:17" ht="12.95" customHeight="1">
      <c r="B182" s="21">
        <v>44374</v>
      </c>
      <c r="C182" s="39">
        <v>16229702</v>
      </c>
      <c r="D182" s="22">
        <v>5524999</v>
      </c>
      <c r="E182" s="23">
        <v>277600</v>
      </c>
      <c r="F182" s="24">
        <v>3550</v>
      </c>
      <c r="G182" s="25">
        <v>336327</v>
      </c>
      <c r="H182" s="26">
        <f t="shared" si="88"/>
        <v>0</v>
      </c>
      <c r="I182" s="26">
        <f t="shared" si="88"/>
        <v>1364</v>
      </c>
      <c r="J182" s="26">
        <f t="shared" si="88"/>
        <v>204</v>
      </c>
      <c r="K182" s="26">
        <f t="shared" si="88"/>
        <v>258</v>
      </c>
      <c r="L182" s="27">
        <f t="shared" si="92"/>
        <v>324</v>
      </c>
      <c r="M182" s="28">
        <f t="shared" si="89"/>
        <v>1826</v>
      </c>
      <c r="O182" s="19">
        <f>IF(L182="",1,0)</f>
        <v>0</v>
      </c>
    </row>
    <row r="183" spans="2:17" ht="12.95" customHeight="1">
      <c r="B183" s="21">
        <v>44375</v>
      </c>
      <c r="C183" s="39">
        <v>16229831</v>
      </c>
      <c r="D183" s="22">
        <v>5526431</v>
      </c>
      <c r="E183" s="23">
        <v>277796</v>
      </c>
      <c r="F183" s="24">
        <v>3780</v>
      </c>
      <c r="G183" s="25">
        <v>336595</v>
      </c>
      <c r="H183" s="26">
        <f t="shared" si="88"/>
        <v>129</v>
      </c>
      <c r="I183" s="26">
        <f t="shared" si="88"/>
        <v>1432</v>
      </c>
      <c r="J183" s="26">
        <f t="shared" si="88"/>
        <v>196</v>
      </c>
      <c r="K183" s="26">
        <f t="shared" si="88"/>
        <v>230</v>
      </c>
      <c r="L183" s="27">
        <f t="shared" si="92"/>
        <v>268</v>
      </c>
      <c r="M183" s="28">
        <f t="shared" si="89"/>
        <v>1987</v>
      </c>
      <c r="O183" s="19">
        <f>IF(L183="",1,0)</f>
        <v>0</v>
      </c>
    </row>
    <row r="184" spans="2:17" ht="12.95" customHeight="1">
      <c r="B184" s="21">
        <v>44376</v>
      </c>
      <c r="C184" s="39">
        <v>16229831</v>
      </c>
      <c r="D184" s="22">
        <v>5527845</v>
      </c>
      <c r="E184" s="23">
        <v>278056</v>
      </c>
      <c r="F184" s="24">
        <v>4027</v>
      </c>
      <c r="G184" s="25">
        <v>336887</v>
      </c>
      <c r="H184" s="26">
        <f t="shared" si="88"/>
        <v>0</v>
      </c>
      <c r="I184" s="26">
        <f t="shared" si="88"/>
        <v>1414</v>
      </c>
      <c r="J184" s="26">
        <f t="shared" si="88"/>
        <v>260</v>
      </c>
      <c r="K184" s="26">
        <f t="shared" si="88"/>
        <v>247</v>
      </c>
      <c r="L184" s="27">
        <f t="shared" si="92"/>
        <v>292</v>
      </c>
      <c r="M184" s="28">
        <f>IF(H184="","",+(H184+I184+J184+K184))</f>
        <v>1921</v>
      </c>
      <c r="O184" s="19">
        <f>IF(L184="",1,0)</f>
        <v>0</v>
      </c>
      <c r="P184" s="38"/>
    </row>
    <row r="185" spans="2:17" ht="12.95" customHeight="1">
      <c r="B185" s="21">
        <v>44377</v>
      </c>
      <c r="C185" s="172">
        <v>16229831</v>
      </c>
      <c r="D185" s="32">
        <v>5529100</v>
      </c>
      <c r="E185" s="32">
        <v>278285</v>
      </c>
      <c r="F185" s="32">
        <v>4292</v>
      </c>
      <c r="G185" s="32">
        <v>337168</v>
      </c>
      <c r="H185" s="33">
        <f t="shared" si="88"/>
        <v>0</v>
      </c>
      <c r="I185" s="33">
        <f t="shared" si="88"/>
        <v>1255</v>
      </c>
      <c r="J185" s="33">
        <f t="shared" si="88"/>
        <v>229</v>
      </c>
      <c r="K185" s="180">
        <f t="shared" si="88"/>
        <v>265</v>
      </c>
      <c r="L185" s="175">
        <f t="shared" si="92"/>
        <v>281</v>
      </c>
      <c r="M185" s="180">
        <f t="shared" si="89"/>
        <v>1749</v>
      </c>
      <c r="Q185" s="19">
        <f t="shared" si="90"/>
        <v>0</v>
      </c>
    </row>
    <row r="186" spans="2:17" ht="12.95" customHeight="1">
      <c r="B186" s="21">
        <v>44378</v>
      </c>
      <c r="C186" s="39">
        <v>16229831</v>
      </c>
      <c r="D186" s="22">
        <v>5530323</v>
      </c>
      <c r="E186" s="23">
        <v>278545</v>
      </c>
      <c r="F186" s="24">
        <v>4544</v>
      </c>
      <c r="G186" s="25">
        <v>337476</v>
      </c>
      <c r="H186" s="26">
        <f t="shared" ref="H186:K201" si="93">IF(C186="","",+(C186-C185))</f>
        <v>0</v>
      </c>
      <c r="I186" s="26">
        <f t="shared" si="93"/>
        <v>1223</v>
      </c>
      <c r="J186" s="26">
        <f t="shared" si="93"/>
        <v>260</v>
      </c>
      <c r="K186" s="26">
        <f t="shared" si="93"/>
        <v>252</v>
      </c>
      <c r="L186" s="27">
        <f t="shared" si="92"/>
        <v>308</v>
      </c>
      <c r="M186" s="28">
        <f t="shared" si="89"/>
        <v>1735</v>
      </c>
      <c r="Q186" s="19">
        <f t="shared" si="90"/>
        <v>0</v>
      </c>
    </row>
    <row r="187" spans="2:17" ht="12.95" customHeight="1">
      <c r="B187" s="21">
        <v>44379</v>
      </c>
      <c r="C187" s="39">
        <v>16229831</v>
      </c>
      <c r="D187" s="22">
        <v>5531591</v>
      </c>
      <c r="E187" s="23">
        <v>278768</v>
      </c>
      <c r="F187" s="24">
        <v>4818</v>
      </c>
      <c r="G187" s="25">
        <v>337777</v>
      </c>
      <c r="H187" s="26">
        <f t="shared" si="93"/>
        <v>0</v>
      </c>
      <c r="I187" s="26">
        <f t="shared" si="93"/>
        <v>1268</v>
      </c>
      <c r="J187" s="26">
        <f t="shared" si="93"/>
        <v>223</v>
      </c>
      <c r="K187" s="26">
        <f t="shared" si="93"/>
        <v>274</v>
      </c>
      <c r="L187" s="27">
        <f t="shared" si="92"/>
        <v>301</v>
      </c>
      <c r="M187" s="28">
        <f t="shared" si="89"/>
        <v>1765</v>
      </c>
      <c r="Q187" s="19">
        <f t="shared" si="90"/>
        <v>0</v>
      </c>
    </row>
    <row r="188" spans="2:17" ht="12.95" customHeight="1">
      <c r="B188" s="21">
        <v>44380</v>
      </c>
      <c r="C188" s="39">
        <v>16229831</v>
      </c>
      <c r="D188" s="22">
        <v>5533071</v>
      </c>
      <c r="E188" s="23">
        <v>278990</v>
      </c>
      <c r="F188" s="24">
        <v>5071</v>
      </c>
      <c r="G188" s="25">
        <v>338100</v>
      </c>
      <c r="H188" s="26">
        <f t="shared" si="93"/>
        <v>0</v>
      </c>
      <c r="I188" s="26">
        <f t="shared" si="93"/>
        <v>1480</v>
      </c>
      <c r="J188" s="26">
        <f t="shared" si="93"/>
        <v>222</v>
      </c>
      <c r="K188" s="26">
        <f t="shared" si="93"/>
        <v>253</v>
      </c>
      <c r="L188" s="27">
        <f t="shared" si="92"/>
        <v>323</v>
      </c>
      <c r="M188" s="28">
        <f t="shared" si="89"/>
        <v>1955</v>
      </c>
      <c r="Q188" s="19">
        <f t="shared" si="90"/>
        <v>0</v>
      </c>
    </row>
    <row r="189" spans="2:17" ht="12.95" customHeight="1">
      <c r="B189" s="21">
        <v>44381</v>
      </c>
      <c r="C189" s="39">
        <v>16229831</v>
      </c>
      <c r="D189" s="22">
        <v>5534360</v>
      </c>
      <c r="E189" s="23">
        <v>279172</v>
      </c>
      <c r="F189" s="24">
        <v>5331</v>
      </c>
      <c r="G189" s="25">
        <v>338373</v>
      </c>
      <c r="H189" s="26">
        <f t="shared" si="93"/>
        <v>0</v>
      </c>
      <c r="I189" s="26">
        <f t="shared" si="93"/>
        <v>1289</v>
      </c>
      <c r="J189" s="26">
        <f t="shared" si="93"/>
        <v>182</v>
      </c>
      <c r="K189" s="26">
        <f t="shared" si="93"/>
        <v>260</v>
      </c>
      <c r="L189" s="27">
        <f t="shared" si="92"/>
        <v>273</v>
      </c>
      <c r="M189" s="28">
        <f t="shared" si="89"/>
        <v>1731</v>
      </c>
      <c r="Q189" s="19">
        <f t="shared" si="90"/>
        <v>0</v>
      </c>
    </row>
    <row r="190" spans="2:17" ht="12.95" customHeight="1">
      <c r="B190" s="21">
        <v>44382</v>
      </c>
      <c r="C190" s="39">
        <v>16229831</v>
      </c>
      <c r="D190" s="22">
        <v>5535718</v>
      </c>
      <c r="E190" s="23">
        <v>279426</v>
      </c>
      <c r="F190" s="24">
        <v>5582</v>
      </c>
      <c r="G190" s="25">
        <v>338747</v>
      </c>
      <c r="H190" s="26">
        <f t="shared" si="93"/>
        <v>0</v>
      </c>
      <c r="I190" s="26">
        <f t="shared" si="93"/>
        <v>1358</v>
      </c>
      <c r="J190" s="26">
        <f t="shared" si="93"/>
        <v>254</v>
      </c>
      <c r="K190" s="26">
        <f t="shared" si="93"/>
        <v>251</v>
      </c>
      <c r="L190" s="27">
        <f t="shared" si="92"/>
        <v>374</v>
      </c>
      <c r="M190" s="28">
        <f t="shared" si="89"/>
        <v>1863</v>
      </c>
      <c r="Q190" s="19">
        <f t="shared" si="90"/>
        <v>0</v>
      </c>
    </row>
    <row r="191" spans="2:17" ht="12.95" customHeight="1">
      <c r="B191" s="21">
        <v>44383</v>
      </c>
      <c r="C191" s="39">
        <v>16229831</v>
      </c>
      <c r="D191" s="22">
        <v>5537038</v>
      </c>
      <c r="E191" s="23">
        <v>279644</v>
      </c>
      <c r="F191" s="24">
        <v>5849</v>
      </c>
      <c r="G191" s="25">
        <v>339162</v>
      </c>
      <c r="H191" s="26">
        <f t="shared" si="93"/>
        <v>0</v>
      </c>
      <c r="I191" s="26">
        <f t="shared" si="93"/>
        <v>1320</v>
      </c>
      <c r="J191" s="26">
        <f t="shared" si="93"/>
        <v>218</v>
      </c>
      <c r="K191" s="26">
        <f t="shared" si="93"/>
        <v>267</v>
      </c>
      <c r="L191" s="27">
        <f t="shared" si="92"/>
        <v>415</v>
      </c>
      <c r="M191" s="28">
        <f t="shared" si="89"/>
        <v>1805</v>
      </c>
      <c r="Q191" s="19">
        <f t="shared" si="90"/>
        <v>0</v>
      </c>
    </row>
    <row r="192" spans="2:17" ht="12.95" customHeight="1">
      <c r="B192" s="21">
        <v>44384</v>
      </c>
      <c r="C192" s="39">
        <v>16229831</v>
      </c>
      <c r="D192" s="22">
        <v>5538292</v>
      </c>
      <c r="E192" s="23">
        <v>279847</v>
      </c>
      <c r="F192" s="24">
        <v>6105</v>
      </c>
      <c r="G192" s="25">
        <v>339446</v>
      </c>
      <c r="H192" s="26">
        <f t="shared" si="93"/>
        <v>0</v>
      </c>
      <c r="I192" s="26">
        <f t="shared" si="93"/>
        <v>1254</v>
      </c>
      <c r="J192" s="26">
        <f>IF(E192="","",+(E192-E191))</f>
        <v>203</v>
      </c>
      <c r="K192" s="26">
        <f t="shared" si="93"/>
        <v>256</v>
      </c>
      <c r="L192" s="27">
        <f t="shared" si="92"/>
        <v>284</v>
      </c>
      <c r="M192" s="28">
        <f t="shared" si="89"/>
        <v>1713</v>
      </c>
      <c r="Q192" s="19">
        <f t="shared" si="90"/>
        <v>0</v>
      </c>
    </row>
    <row r="193" spans="2:17" ht="12.95" customHeight="1">
      <c r="B193" s="21">
        <v>44385</v>
      </c>
      <c r="C193" s="39">
        <v>16229831</v>
      </c>
      <c r="D193" s="22">
        <v>5539559</v>
      </c>
      <c r="E193" s="23">
        <v>280026</v>
      </c>
      <c r="F193" s="24">
        <v>6372</v>
      </c>
      <c r="G193" s="25">
        <v>339747</v>
      </c>
      <c r="H193" s="26">
        <f t="shared" si="93"/>
        <v>0</v>
      </c>
      <c r="I193" s="26">
        <f t="shared" si="93"/>
        <v>1267</v>
      </c>
      <c r="J193" s="152">
        <f>IF(E193="","",+(E193-E192))</f>
        <v>179</v>
      </c>
      <c r="K193" s="26">
        <f t="shared" si="93"/>
        <v>267</v>
      </c>
      <c r="L193" s="27">
        <f t="shared" si="92"/>
        <v>301</v>
      </c>
      <c r="M193" s="28">
        <f t="shared" si="89"/>
        <v>1713</v>
      </c>
      <c r="Q193" s="19">
        <f t="shared" si="90"/>
        <v>0</v>
      </c>
    </row>
    <row r="194" spans="2:17" ht="12.95" customHeight="1">
      <c r="B194" s="21">
        <v>44386</v>
      </c>
      <c r="C194" s="39">
        <v>16229831</v>
      </c>
      <c r="D194" s="22">
        <v>5540812</v>
      </c>
      <c r="E194" s="23">
        <v>280207</v>
      </c>
      <c r="F194" s="24">
        <v>6639</v>
      </c>
      <c r="G194" s="25">
        <v>340056</v>
      </c>
      <c r="H194" s="26">
        <f t="shared" si="93"/>
        <v>0</v>
      </c>
      <c r="I194" s="26">
        <f t="shared" si="93"/>
        <v>1253</v>
      </c>
      <c r="J194" s="26">
        <f t="shared" si="93"/>
        <v>181</v>
      </c>
      <c r="K194" s="26">
        <f t="shared" si="93"/>
        <v>267</v>
      </c>
      <c r="L194" s="27">
        <f t="shared" si="92"/>
        <v>309</v>
      </c>
      <c r="M194" s="28">
        <f t="shared" si="89"/>
        <v>1701</v>
      </c>
      <c r="Q194" s="19">
        <f t="shared" si="90"/>
        <v>0</v>
      </c>
    </row>
    <row r="195" spans="2:17" ht="12.95" customHeight="1">
      <c r="B195" s="21">
        <v>44387</v>
      </c>
      <c r="C195" s="39">
        <v>16229831</v>
      </c>
      <c r="D195" s="22">
        <v>5542205</v>
      </c>
      <c r="E195" s="23">
        <v>280387</v>
      </c>
      <c r="F195" s="24">
        <v>6884</v>
      </c>
      <c r="G195" s="25">
        <v>340284</v>
      </c>
      <c r="H195" s="26">
        <f t="shared" si="93"/>
        <v>0</v>
      </c>
      <c r="I195" s="26">
        <f t="shared" si="93"/>
        <v>1393</v>
      </c>
      <c r="J195" s="26">
        <f t="shared" si="93"/>
        <v>180</v>
      </c>
      <c r="K195" s="26">
        <f t="shared" si="93"/>
        <v>245</v>
      </c>
      <c r="L195" s="27">
        <f t="shared" si="92"/>
        <v>228</v>
      </c>
      <c r="M195" s="28">
        <f t="shared" si="89"/>
        <v>1818</v>
      </c>
      <c r="Q195" s="19">
        <f t="shared" si="90"/>
        <v>0</v>
      </c>
    </row>
    <row r="196" spans="2:17" ht="12.95" customHeight="1">
      <c r="B196" s="21">
        <v>44388</v>
      </c>
      <c r="C196" s="39">
        <v>16229831</v>
      </c>
      <c r="D196" s="22">
        <v>5543571</v>
      </c>
      <c r="E196" s="23">
        <v>280561</v>
      </c>
      <c r="F196" s="24">
        <v>7149</v>
      </c>
      <c r="G196" s="25">
        <v>340539</v>
      </c>
      <c r="H196" s="26">
        <f t="shared" si="93"/>
        <v>0</v>
      </c>
      <c r="I196" s="26">
        <f t="shared" si="93"/>
        <v>1366</v>
      </c>
      <c r="J196" s="26">
        <f t="shared" si="93"/>
        <v>174</v>
      </c>
      <c r="K196" s="26">
        <f t="shared" si="93"/>
        <v>265</v>
      </c>
      <c r="L196" s="27">
        <f>IF(G196="","",+(G196-G195))</f>
        <v>255</v>
      </c>
      <c r="M196" s="28">
        <f t="shared" si="89"/>
        <v>1805</v>
      </c>
      <c r="Q196" s="19">
        <f t="shared" si="90"/>
        <v>0</v>
      </c>
    </row>
    <row r="197" spans="2:17" ht="12.95" customHeight="1">
      <c r="B197" s="21">
        <v>44389</v>
      </c>
      <c r="C197" s="39">
        <v>16229831</v>
      </c>
      <c r="D197" s="22">
        <v>5544857</v>
      </c>
      <c r="E197" s="23">
        <v>280759</v>
      </c>
      <c r="F197" s="24">
        <v>7404</v>
      </c>
      <c r="G197" s="25">
        <v>340802</v>
      </c>
      <c r="H197" s="26">
        <f t="shared" si="93"/>
        <v>0</v>
      </c>
      <c r="I197" s="26">
        <f t="shared" si="93"/>
        <v>1286</v>
      </c>
      <c r="J197" s="26">
        <f t="shared" si="93"/>
        <v>198</v>
      </c>
      <c r="K197" s="26">
        <f t="shared" si="93"/>
        <v>255</v>
      </c>
      <c r="L197" s="27">
        <f t="shared" ref="L197:L200" si="94">IF(G197="","",+(G197-G196))</f>
        <v>263</v>
      </c>
      <c r="M197" s="28">
        <f t="shared" si="89"/>
        <v>1739</v>
      </c>
      <c r="Q197" s="19">
        <f t="shared" si="90"/>
        <v>0</v>
      </c>
    </row>
    <row r="198" spans="2:17" ht="12.95" customHeight="1">
      <c r="B198" s="21">
        <v>44390</v>
      </c>
      <c r="C198" s="39">
        <v>16229831</v>
      </c>
      <c r="D198" s="22">
        <v>5546186</v>
      </c>
      <c r="E198" s="23">
        <v>280942</v>
      </c>
      <c r="F198" s="24">
        <v>7661</v>
      </c>
      <c r="G198" s="25">
        <v>341077</v>
      </c>
      <c r="H198" s="26">
        <f t="shared" si="93"/>
        <v>0</v>
      </c>
      <c r="I198" s="26">
        <f t="shared" si="93"/>
        <v>1329</v>
      </c>
      <c r="J198" s="26">
        <f t="shared" si="93"/>
        <v>183</v>
      </c>
      <c r="K198" s="26">
        <f t="shared" si="93"/>
        <v>257</v>
      </c>
      <c r="L198" s="27">
        <f t="shared" si="94"/>
        <v>275</v>
      </c>
      <c r="M198" s="28">
        <f t="shared" ref="M198:M261" si="95">IF(H198="","",+(H198+I198+J198+K198))</f>
        <v>1769</v>
      </c>
      <c r="Q198" s="19">
        <f t="shared" ref="Q198:Q212" si="96">IF(L198="",1,0)</f>
        <v>0</v>
      </c>
    </row>
    <row r="199" spans="2:17" ht="12.95" customHeight="1">
      <c r="B199" s="21">
        <v>44391</v>
      </c>
      <c r="C199" s="39">
        <v>16229831</v>
      </c>
      <c r="D199" s="22">
        <v>5547592</v>
      </c>
      <c r="E199" s="23">
        <v>281166</v>
      </c>
      <c r="F199" s="24">
        <v>7902</v>
      </c>
      <c r="G199" s="25">
        <v>341375</v>
      </c>
      <c r="H199" s="26">
        <f t="shared" si="93"/>
        <v>0</v>
      </c>
      <c r="I199" s="26">
        <f t="shared" si="93"/>
        <v>1406</v>
      </c>
      <c r="J199" s="26">
        <f t="shared" si="93"/>
        <v>224</v>
      </c>
      <c r="K199" s="26">
        <f t="shared" si="93"/>
        <v>241</v>
      </c>
      <c r="L199" s="27">
        <f t="shared" si="94"/>
        <v>298</v>
      </c>
      <c r="M199" s="28">
        <f t="shared" si="95"/>
        <v>1871</v>
      </c>
      <c r="Q199" s="19">
        <f t="shared" si="96"/>
        <v>0</v>
      </c>
    </row>
    <row r="200" spans="2:17" ht="12.95" customHeight="1">
      <c r="B200" s="21">
        <v>44392</v>
      </c>
      <c r="C200" s="39">
        <v>16229831</v>
      </c>
      <c r="D200" s="22">
        <v>5548775</v>
      </c>
      <c r="E200" s="23">
        <v>281347</v>
      </c>
      <c r="F200" s="24">
        <v>8160</v>
      </c>
      <c r="G200" s="25">
        <v>341657</v>
      </c>
      <c r="H200" s="26">
        <f t="shared" si="93"/>
        <v>0</v>
      </c>
      <c r="I200" s="26">
        <f t="shared" si="93"/>
        <v>1183</v>
      </c>
      <c r="J200" s="26">
        <f t="shared" si="93"/>
        <v>181</v>
      </c>
      <c r="K200" s="26">
        <f t="shared" si="93"/>
        <v>258</v>
      </c>
      <c r="L200" s="27">
        <f t="shared" si="94"/>
        <v>282</v>
      </c>
      <c r="M200" s="28">
        <f t="shared" si="95"/>
        <v>1622</v>
      </c>
      <c r="Q200" s="19">
        <f t="shared" si="96"/>
        <v>0</v>
      </c>
    </row>
    <row r="201" spans="2:17" ht="12.95" customHeight="1">
      <c r="B201" s="21">
        <v>44393</v>
      </c>
      <c r="C201" s="39">
        <v>16229831</v>
      </c>
      <c r="D201" s="22">
        <v>5549883</v>
      </c>
      <c r="E201" s="23">
        <v>281511</v>
      </c>
      <c r="F201" s="24">
        <v>8420</v>
      </c>
      <c r="G201" s="25">
        <v>341999</v>
      </c>
      <c r="H201" s="26">
        <f t="shared" si="93"/>
        <v>0</v>
      </c>
      <c r="I201" s="26">
        <f t="shared" si="93"/>
        <v>1108</v>
      </c>
      <c r="J201" s="26">
        <f t="shared" si="93"/>
        <v>164</v>
      </c>
      <c r="K201" s="26">
        <f t="shared" si="93"/>
        <v>260</v>
      </c>
      <c r="L201" s="27">
        <f>IF(G201="","",+(G201-G200))</f>
        <v>342</v>
      </c>
      <c r="M201" s="28">
        <f t="shared" si="95"/>
        <v>1532</v>
      </c>
      <c r="Q201" s="19">
        <f t="shared" si="96"/>
        <v>0</v>
      </c>
    </row>
    <row r="202" spans="2:17" ht="12.95" customHeight="1">
      <c r="B202" s="21">
        <v>44394</v>
      </c>
      <c r="C202" s="39">
        <v>16229831</v>
      </c>
      <c r="D202" s="22">
        <v>5550957</v>
      </c>
      <c r="E202" s="23">
        <v>281690</v>
      </c>
      <c r="F202" s="24">
        <v>8680</v>
      </c>
      <c r="G202" s="25">
        <v>342314</v>
      </c>
      <c r="H202" s="26">
        <f t="shared" ref="H202:L219" si="97">IF(C202="","",+(C202-C201))</f>
        <v>0</v>
      </c>
      <c r="I202" s="26">
        <f t="shared" si="97"/>
        <v>1074</v>
      </c>
      <c r="J202" s="26">
        <f t="shared" si="97"/>
        <v>179</v>
      </c>
      <c r="K202" s="26">
        <f t="shared" si="97"/>
        <v>260</v>
      </c>
      <c r="L202" s="27">
        <f t="shared" si="97"/>
        <v>315</v>
      </c>
      <c r="M202" s="28">
        <f t="shared" si="95"/>
        <v>1513</v>
      </c>
      <c r="Q202" s="19">
        <f t="shared" si="96"/>
        <v>0</v>
      </c>
    </row>
    <row r="203" spans="2:17" ht="12.95" customHeight="1">
      <c r="B203" s="21">
        <v>44395</v>
      </c>
      <c r="C203" s="39">
        <v>16229831</v>
      </c>
      <c r="D203" s="22">
        <v>5552227</v>
      </c>
      <c r="E203" s="23">
        <v>281890</v>
      </c>
      <c r="F203" s="24">
        <v>8962</v>
      </c>
      <c r="G203" s="25">
        <v>342648</v>
      </c>
      <c r="H203" s="26">
        <f t="shared" si="97"/>
        <v>0</v>
      </c>
      <c r="I203" s="26">
        <f t="shared" si="97"/>
        <v>1270</v>
      </c>
      <c r="J203" s="26">
        <f t="shared" si="97"/>
        <v>200</v>
      </c>
      <c r="K203" s="26">
        <f t="shared" si="97"/>
        <v>282</v>
      </c>
      <c r="L203" s="27">
        <f t="shared" si="97"/>
        <v>334</v>
      </c>
      <c r="M203" s="28">
        <f t="shared" si="95"/>
        <v>1752</v>
      </c>
      <c r="Q203" s="19">
        <f t="shared" si="96"/>
        <v>0</v>
      </c>
    </row>
    <row r="204" spans="2:17" ht="12.95" customHeight="1">
      <c r="B204" s="21">
        <v>44396</v>
      </c>
      <c r="C204" s="39">
        <v>16229831</v>
      </c>
      <c r="D204" s="22">
        <v>5553528</v>
      </c>
      <c r="E204" s="23">
        <v>282096</v>
      </c>
      <c r="F204" s="24">
        <v>9216</v>
      </c>
      <c r="G204" s="25">
        <v>343032</v>
      </c>
      <c r="H204" s="26">
        <f t="shared" si="97"/>
        <v>0</v>
      </c>
      <c r="I204" s="26">
        <f t="shared" si="97"/>
        <v>1301</v>
      </c>
      <c r="J204" s="26">
        <f t="shared" si="97"/>
        <v>206</v>
      </c>
      <c r="K204" s="26">
        <f t="shared" si="97"/>
        <v>254</v>
      </c>
      <c r="L204" s="27">
        <f t="shared" si="97"/>
        <v>384</v>
      </c>
      <c r="M204" s="28">
        <f t="shared" si="95"/>
        <v>1761</v>
      </c>
      <c r="Q204" s="19">
        <f t="shared" si="96"/>
        <v>0</v>
      </c>
    </row>
    <row r="205" spans="2:17" ht="12.95" customHeight="1" thickBot="1">
      <c r="B205" s="21">
        <v>44397</v>
      </c>
      <c r="C205" s="39">
        <v>16229831</v>
      </c>
      <c r="D205" s="22">
        <v>5554887</v>
      </c>
      <c r="E205" s="23">
        <v>282300</v>
      </c>
      <c r="F205" s="24">
        <v>9490</v>
      </c>
      <c r="G205" s="25">
        <v>343386</v>
      </c>
      <c r="H205" s="26">
        <f t="shared" si="97"/>
        <v>0</v>
      </c>
      <c r="I205" s="26">
        <f t="shared" si="97"/>
        <v>1359</v>
      </c>
      <c r="J205" s="26">
        <f t="shared" si="97"/>
        <v>204</v>
      </c>
      <c r="K205" s="26">
        <f t="shared" si="97"/>
        <v>274</v>
      </c>
      <c r="L205" s="27">
        <f t="shared" si="97"/>
        <v>354</v>
      </c>
      <c r="M205" s="28">
        <f t="shared" si="95"/>
        <v>1837</v>
      </c>
      <c r="Q205" s="19">
        <f t="shared" si="96"/>
        <v>0</v>
      </c>
    </row>
    <row r="206" spans="2:17" ht="12.95" customHeight="1">
      <c r="B206" s="21">
        <v>44398</v>
      </c>
      <c r="C206" s="39">
        <v>16229831</v>
      </c>
      <c r="D206" s="22">
        <v>5556072</v>
      </c>
      <c r="E206" s="23">
        <v>282482</v>
      </c>
      <c r="F206" s="24">
        <v>9746</v>
      </c>
      <c r="G206" s="25">
        <v>343719</v>
      </c>
      <c r="H206" s="26">
        <f t="shared" si="97"/>
        <v>0</v>
      </c>
      <c r="I206" s="26">
        <f t="shared" si="97"/>
        <v>1185</v>
      </c>
      <c r="J206" s="26">
        <f t="shared" si="97"/>
        <v>182</v>
      </c>
      <c r="K206" s="26">
        <f t="shared" si="97"/>
        <v>256</v>
      </c>
      <c r="L206" s="27">
        <f t="shared" si="97"/>
        <v>333</v>
      </c>
      <c r="M206" s="28">
        <f t="shared" si="95"/>
        <v>1623</v>
      </c>
      <c r="N206" s="187" t="s">
        <v>68</v>
      </c>
      <c r="O206" s="187" t="s">
        <v>69</v>
      </c>
      <c r="Q206" s="19">
        <f t="shared" si="96"/>
        <v>0</v>
      </c>
    </row>
    <row r="207" spans="2:17" ht="12.95" customHeight="1">
      <c r="B207" s="21">
        <v>44399</v>
      </c>
      <c r="C207" s="39">
        <v>16229831</v>
      </c>
      <c r="D207" s="22">
        <v>5557205</v>
      </c>
      <c r="E207" s="23">
        <v>282690</v>
      </c>
      <c r="F207" s="24">
        <v>10026</v>
      </c>
      <c r="G207" s="25">
        <v>344073</v>
      </c>
      <c r="H207" s="26">
        <f t="shared" si="97"/>
        <v>0</v>
      </c>
      <c r="I207" s="26">
        <f t="shared" si="97"/>
        <v>1133</v>
      </c>
      <c r="J207" s="26">
        <f t="shared" si="97"/>
        <v>208</v>
      </c>
      <c r="K207" s="26">
        <f t="shared" si="97"/>
        <v>280</v>
      </c>
      <c r="L207" s="27">
        <f t="shared" si="97"/>
        <v>354</v>
      </c>
      <c r="M207" s="28">
        <f t="shared" si="95"/>
        <v>1621</v>
      </c>
      <c r="N207" s="188"/>
      <c r="O207" s="188"/>
      <c r="Q207" s="19">
        <f t="shared" si="96"/>
        <v>0</v>
      </c>
    </row>
    <row r="208" spans="2:17" ht="12.95" customHeight="1" thickBot="1">
      <c r="B208" s="21">
        <v>44400</v>
      </c>
      <c r="C208" s="39">
        <v>16229831</v>
      </c>
      <c r="D208" s="22">
        <v>5558295</v>
      </c>
      <c r="E208" s="23">
        <v>282890</v>
      </c>
      <c r="F208" s="24">
        <v>10272</v>
      </c>
      <c r="G208" s="25">
        <v>344370</v>
      </c>
      <c r="H208" s="26">
        <f t="shared" si="97"/>
        <v>0</v>
      </c>
      <c r="I208" s="26">
        <f t="shared" si="97"/>
        <v>1090</v>
      </c>
      <c r="J208" s="26">
        <f t="shared" si="97"/>
        <v>200</v>
      </c>
      <c r="K208" s="26">
        <f t="shared" si="97"/>
        <v>246</v>
      </c>
      <c r="L208" s="27">
        <f t="shared" si="97"/>
        <v>297</v>
      </c>
      <c r="M208" s="28">
        <f t="shared" si="95"/>
        <v>1536</v>
      </c>
      <c r="N208" s="189"/>
      <c r="O208" s="189"/>
      <c r="Q208" s="19">
        <f t="shared" si="96"/>
        <v>0</v>
      </c>
    </row>
    <row r="209" spans="2:17" ht="12.95" customHeight="1" thickBot="1">
      <c r="B209" s="21">
        <v>44401</v>
      </c>
      <c r="C209" s="39">
        <v>16229831</v>
      </c>
      <c r="D209" s="22">
        <v>5559355</v>
      </c>
      <c r="E209" s="23">
        <v>283090</v>
      </c>
      <c r="F209" s="24">
        <v>10527</v>
      </c>
      <c r="G209" s="25">
        <v>344641</v>
      </c>
      <c r="H209" s="26">
        <f t="shared" si="97"/>
        <v>0</v>
      </c>
      <c r="I209" s="26">
        <f t="shared" si="97"/>
        <v>1060</v>
      </c>
      <c r="J209" s="26">
        <f t="shared" si="97"/>
        <v>200</v>
      </c>
      <c r="K209" s="26">
        <f t="shared" si="97"/>
        <v>255</v>
      </c>
      <c r="L209" s="27">
        <f t="shared" si="97"/>
        <v>271</v>
      </c>
      <c r="M209" s="28">
        <f t="shared" si="95"/>
        <v>1515</v>
      </c>
      <c r="N209" s="30">
        <f>SUM(L186:L216)</f>
        <v>9720</v>
      </c>
      <c r="O209" s="30">
        <f>SUM(M186:M216)</f>
        <v>51737</v>
      </c>
      <c r="Q209" s="19">
        <f t="shared" si="96"/>
        <v>0</v>
      </c>
    </row>
    <row r="210" spans="2:17" ht="12.95" customHeight="1">
      <c r="B210" s="21">
        <v>44402</v>
      </c>
      <c r="C210" s="39">
        <v>16229831</v>
      </c>
      <c r="D210" s="22">
        <v>5560343</v>
      </c>
      <c r="E210" s="23">
        <v>283271</v>
      </c>
      <c r="F210" s="24">
        <v>10793</v>
      </c>
      <c r="G210" s="25">
        <v>344937</v>
      </c>
      <c r="H210" s="26">
        <f t="shared" si="97"/>
        <v>0</v>
      </c>
      <c r="I210" s="26">
        <f t="shared" si="97"/>
        <v>988</v>
      </c>
      <c r="J210" s="26">
        <f t="shared" si="97"/>
        <v>181</v>
      </c>
      <c r="K210" s="26">
        <f t="shared" si="97"/>
        <v>266</v>
      </c>
      <c r="L210" s="27">
        <f t="shared" si="97"/>
        <v>296</v>
      </c>
      <c r="M210" s="28">
        <f t="shared" si="95"/>
        <v>1435</v>
      </c>
      <c r="N210" s="187" t="s">
        <v>70</v>
      </c>
      <c r="O210" s="187" t="s">
        <v>71</v>
      </c>
      <c r="Q210" s="19">
        <f t="shared" si="96"/>
        <v>0</v>
      </c>
    </row>
    <row r="211" spans="2:17" ht="12.95" customHeight="1" thickBot="1">
      <c r="B211" s="21">
        <v>44403</v>
      </c>
      <c r="C211" s="39">
        <v>16229831</v>
      </c>
      <c r="D211" s="22">
        <v>5561398</v>
      </c>
      <c r="E211" s="23">
        <v>283497</v>
      </c>
      <c r="F211" s="24">
        <v>11066</v>
      </c>
      <c r="G211" s="25">
        <v>345258</v>
      </c>
      <c r="H211" s="26">
        <f>IF(C211="","",+(C211-C210))</f>
        <v>0</v>
      </c>
      <c r="I211" s="26">
        <f t="shared" si="97"/>
        <v>1055</v>
      </c>
      <c r="J211" s="26">
        <f>IF(E211="","",+(E211-E210))</f>
        <v>226</v>
      </c>
      <c r="K211" s="26">
        <f>IF(F211="","",+(F211-F210))</f>
        <v>273</v>
      </c>
      <c r="L211" s="27">
        <f t="shared" si="97"/>
        <v>321</v>
      </c>
      <c r="M211" s="28">
        <f t="shared" si="95"/>
        <v>1554</v>
      </c>
      <c r="N211" s="189"/>
      <c r="O211" s="189"/>
      <c r="Q211" s="19">
        <f t="shared" si="96"/>
        <v>0</v>
      </c>
    </row>
    <row r="212" spans="2:17" ht="12.95" customHeight="1" thickBot="1">
      <c r="B212" s="21">
        <v>44404</v>
      </c>
      <c r="C212" s="39">
        <v>16229831</v>
      </c>
      <c r="D212" s="22">
        <v>5562465</v>
      </c>
      <c r="E212" s="23">
        <v>283717</v>
      </c>
      <c r="F212" s="24">
        <v>11329</v>
      </c>
      <c r="G212" s="25">
        <v>345582</v>
      </c>
      <c r="H212" s="26">
        <f t="shared" si="97"/>
        <v>0</v>
      </c>
      <c r="I212" s="26">
        <f t="shared" si="97"/>
        <v>1067</v>
      </c>
      <c r="J212" s="26">
        <f t="shared" si="97"/>
        <v>220</v>
      </c>
      <c r="K212" s="26">
        <f t="shared" si="97"/>
        <v>263</v>
      </c>
      <c r="L212" s="27">
        <f t="shared" si="97"/>
        <v>324</v>
      </c>
      <c r="M212" s="28">
        <f t="shared" si="95"/>
        <v>1550</v>
      </c>
      <c r="N212" s="30">
        <f>AVERAGE(L186:L216)</f>
        <v>313.54838709677421</v>
      </c>
      <c r="O212" s="30">
        <f>AVERAGE(M186:M216)</f>
        <v>1668.9354838709678</v>
      </c>
      <c r="Q212" s="19">
        <f t="shared" si="96"/>
        <v>0</v>
      </c>
    </row>
    <row r="213" spans="2:17" ht="12.95" customHeight="1">
      <c r="B213" s="21">
        <v>44405</v>
      </c>
      <c r="C213" s="39">
        <v>16229831</v>
      </c>
      <c r="D213" s="22">
        <v>5563486</v>
      </c>
      <c r="E213" s="23">
        <v>283951</v>
      </c>
      <c r="F213" s="24">
        <v>11597</v>
      </c>
      <c r="G213" s="25">
        <v>345887</v>
      </c>
      <c r="H213" s="26">
        <f t="shared" si="97"/>
        <v>0</v>
      </c>
      <c r="I213" s="26">
        <f t="shared" si="97"/>
        <v>1021</v>
      </c>
      <c r="J213" s="26">
        <f t="shared" si="97"/>
        <v>234</v>
      </c>
      <c r="K213" s="26">
        <f t="shared" si="97"/>
        <v>268</v>
      </c>
      <c r="L213" s="27">
        <f t="shared" si="97"/>
        <v>305</v>
      </c>
      <c r="M213" s="28">
        <f t="shared" si="95"/>
        <v>1523</v>
      </c>
      <c r="O213" s="19">
        <f>IF(L213="",1,0)</f>
        <v>0</v>
      </c>
    </row>
    <row r="214" spans="2:17" ht="12.95" customHeight="1">
      <c r="B214" s="21">
        <v>44406</v>
      </c>
      <c r="C214" s="39">
        <v>16229831</v>
      </c>
      <c r="D214" s="22">
        <v>5564463</v>
      </c>
      <c r="E214" s="23">
        <v>284180</v>
      </c>
      <c r="F214" s="24">
        <v>11850</v>
      </c>
      <c r="G214" s="25">
        <v>346258</v>
      </c>
      <c r="H214" s="26">
        <f t="shared" si="97"/>
        <v>0</v>
      </c>
      <c r="I214" s="26">
        <f t="shared" si="97"/>
        <v>977</v>
      </c>
      <c r="J214" s="26">
        <f t="shared" si="97"/>
        <v>229</v>
      </c>
      <c r="K214" s="26">
        <f t="shared" si="97"/>
        <v>253</v>
      </c>
      <c r="L214" s="27">
        <f t="shared" si="97"/>
        <v>371</v>
      </c>
      <c r="M214" s="28">
        <f t="shared" si="95"/>
        <v>1459</v>
      </c>
      <c r="O214" s="19">
        <f>IF(L214="",1,0)</f>
        <v>0</v>
      </c>
    </row>
    <row r="215" spans="2:17" ht="12.95" customHeight="1">
      <c r="B215" s="21">
        <v>44407</v>
      </c>
      <c r="C215" s="39">
        <v>16229831</v>
      </c>
      <c r="D215" s="22">
        <v>5565463</v>
      </c>
      <c r="E215" s="23">
        <v>284386</v>
      </c>
      <c r="F215" s="24">
        <v>12105</v>
      </c>
      <c r="G215" s="25">
        <v>346561</v>
      </c>
      <c r="H215" s="26">
        <f t="shared" si="97"/>
        <v>0</v>
      </c>
      <c r="I215" s="26">
        <f t="shared" si="97"/>
        <v>1000</v>
      </c>
      <c r="J215" s="26">
        <f t="shared" si="97"/>
        <v>206</v>
      </c>
      <c r="K215" s="26">
        <f t="shared" si="97"/>
        <v>255</v>
      </c>
      <c r="L215" s="27">
        <f t="shared" si="97"/>
        <v>303</v>
      </c>
      <c r="M215" s="28">
        <f t="shared" si="95"/>
        <v>1461</v>
      </c>
      <c r="O215" s="19">
        <f>IF(L215="",1,0)</f>
        <v>0</v>
      </c>
    </row>
    <row r="216" spans="2:17" ht="12.95" customHeight="1">
      <c r="B216" s="21">
        <v>44408</v>
      </c>
      <c r="C216" s="172">
        <v>16229831</v>
      </c>
      <c r="D216" s="31">
        <v>5566460</v>
      </c>
      <c r="E216" s="31">
        <v>284593</v>
      </c>
      <c r="F216" s="31">
        <v>12361</v>
      </c>
      <c r="G216" s="31">
        <v>346888</v>
      </c>
      <c r="H216" s="37">
        <f t="shared" si="97"/>
        <v>0</v>
      </c>
      <c r="I216" s="37">
        <f t="shared" si="97"/>
        <v>997</v>
      </c>
      <c r="J216" s="37">
        <f>IF(E216="","",+(E216-E215))</f>
        <v>207</v>
      </c>
      <c r="K216" s="37">
        <f>IF(F216="","",+(F216-F215))</f>
        <v>256</v>
      </c>
      <c r="L216" s="34">
        <f t="shared" si="97"/>
        <v>327</v>
      </c>
      <c r="M216" s="35">
        <f>IF(H216="","",+(H216+I216+J216+K216))</f>
        <v>1460</v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0</v>
      </c>
    </row>
    <row r="217" spans="2:17" ht="12.95" customHeight="1">
      <c r="B217" s="21">
        <v>44409</v>
      </c>
      <c r="C217" s="39">
        <v>16229831</v>
      </c>
      <c r="D217" s="22">
        <v>5567645</v>
      </c>
      <c r="E217" s="23">
        <v>284785</v>
      </c>
      <c r="F217" s="24">
        <v>12652</v>
      </c>
      <c r="G217" s="25">
        <v>347232</v>
      </c>
      <c r="H217" s="26">
        <f t="shared" si="97"/>
        <v>0</v>
      </c>
      <c r="I217" s="26">
        <f t="shared" si="97"/>
        <v>1185</v>
      </c>
      <c r="J217" s="26">
        <f>IF(E217="","",+(E217-E216))</f>
        <v>192</v>
      </c>
      <c r="K217" s="26">
        <f>IF(F217="","",+(F217-F216))</f>
        <v>291</v>
      </c>
      <c r="L217" s="27">
        <f t="shared" si="97"/>
        <v>344</v>
      </c>
      <c r="M217" s="28">
        <f>IF(H217="","",+(H217+I217+J217+K217))</f>
        <v>1668</v>
      </c>
      <c r="Q217" s="19">
        <f t="shared" si="98"/>
        <v>0</v>
      </c>
    </row>
    <row r="218" spans="2:17" ht="12.95" customHeight="1">
      <c r="B218" s="21">
        <v>44410</v>
      </c>
      <c r="C218" s="39">
        <v>16229831</v>
      </c>
      <c r="D218" s="22">
        <v>5568604</v>
      </c>
      <c r="E218" s="23">
        <v>284991</v>
      </c>
      <c r="F218" s="24">
        <v>12942</v>
      </c>
      <c r="G218" s="25">
        <v>347553</v>
      </c>
      <c r="H218" s="26">
        <f t="shared" si="97"/>
        <v>0</v>
      </c>
      <c r="I218" s="26">
        <f t="shared" si="97"/>
        <v>959</v>
      </c>
      <c r="J218" s="26">
        <f t="shared" si="97"/>
        <v>206</v>
      </c>
      <c r="K218" s="26">
        <f t="shared" si="97"/>
        <v>290</v>
      </c>
      <c r="L218" s="27">
        <f t="shared" si="97"/>
        <v>321</v>
      </c>
      <c r="M218" s="28">
        <f t="shared" si="95"/>
        <v>1455</v>
      </c>
      <c r="Q218" s="19">
        <f t="shared" si="98"/>
        <v>0</v>
      </c>
    </row>
    <row r="219" spans="2:17" ht="12.95" customHeight="1">
      <c r="B219" s="21">
        <v>44411</v>
      </c>
      <c r="C219" s="39">
        <v>16229831</v>
      </c>
      <c r="D219" s="22">
        <v>5569637</v>
      </c>
      <c r="E219" s="23">
        <v>285189</v>
      </c>
      <c r="F219" s="24">
        <v>13212</v>
      </c>
      <c r="G219" s="25">
        <v>347908</v>
      </c>
      <c r="H219" s="26">
        <f t="shared" si="97"/>
        <v>0</v>
      </c>
      <c r="I219" s="26">
        <f t="shared" si="97"/>
        <v>1033</v>
      </c>
      <c r="J219" s="26">
        <f t="shared" si="97"/>
        <v>198</v>
      </c>
      <c r="K219" s="26">
        <f t="shared" si="97"/>
        <v>270</v>
      </c>
      <c r="L219" s="27">
        <f t="shared" si="97"/>
        <v>355</v>
      </c>
      <c r="M219" s="28">
        <f t="shared" si="95"/>
        <v>1501</v>
      </c>
      <c r="Q219" s="19">
        <f t="shared" si="98"/>
        <v>0</v>
      </c>
    </row>
    <row r="220" spans="2:17" ht="12.95" customHeight="1">
      <c r="B220" s="21">
        <v>44412</v>
      </c>
      <c r="C220" s="39">
        <v>16229831</v>
      </c>
      <c r="D220" s="22">
        <v>5570652</v>
      </c>
      <c r="E220" s="23">
        <v>285407</v>
      </c>
      <c r="F220" s="24">
        <v>13486</v>
      </c>
      <c r="G220" s="25">
        <v>348221</v>
      </c>
      <c r="H220" s="26">
        <f t="shared" ref="H220:L248" si="99">IF(C220="","",+(C220-C219))</f>
        <v>0</v>
      </c>
      <c r="I220" s="26">
        <f t="shared" si="99"/>
        <v>1015</v>
      </c>
      <c r="J220" s="26">
        <f t="shared" si="99"/>
        <v>218</v>
      </c>
      <c r="K220" s="26">
        <f t="shared" si="99"/>
        <v>274</v>
      </c>
      <c r="L220" s="27">
        <f t="shared" si="99"/>
        <v>313</v>
      </c>
      <c r="M220" s="28">
        <f t="shared" si="95"/>
        <v>1507</v>
      </c>
      <c r="Q220" s="19">
        <f t="shared" si="98"/>
        <v>0</v>
      </c>
    </row>
    <row r="221" spans="2:17" ht="12.95" customHeight="1">
      <c r="B221" s="21">
        <v>44413</v>
      </c>
      <c r="C221" s="39">
        <v>16229840</v>
      </c>
      <c r="D221" s="22">
        <v>5571680</v>
      </c>
      <c r="E221" s="23">
        <v>285661</v>
      </c>
      <c r="F221" s="24">
        <v>13755</v>
      </c>
      <c r="G221" s="25">
        <v>348564</v>
      </c>
      <c r="H221" s="26">
        <f t="shared" si="99"/>
        <v>9</v>
      </c>
      <c r="I221" s="26">
        <f t="shared" si="99"/>
        <v>1028</v>
      </c>
      <c r="J221" s="26">
        <f t="shared" si="99"/>
        <v>254</v>
      </c>
      <c r="K221" s="26">
        <f t="shared" si="99"/>
        <v>269</v>
      </c>
      <c r="L221" s="27">
        <f t="shared" si="99"/>
        <v>343</v>
      </c>
      <c r="M221" s="28">
        <f t="shared" si="95"/>
        <v>1560</v>
      </c>
      <c r="Q221" s="19">
        <f t="shared" si="98"/>
        <v>0</v>
      </c>
    </row>
    <row r="222" spans="2:17" ht="12.95" customHeight="1">
      <c r="B222" s="21">
        <v>44414</v>
      </c>
      <c r="C222" s="39">
        <v>16231668</v>
      </c>
      <c r="D222" s="22">
        <v>5572523</v>
      </c>
      <c r="E222" s="23">
        <v>285871</v>
      </c>
      <c r="F222" s="24">
        <v>14038</v>
      </c>
      <c r="G222" s="25">
        <v>348895</v>
      </c>
      <c r="H222" s="26">
        <f t="shared" si="99"/>
        <v>1828</v>
      </c>
      <c r="I222" s="26">
        <f t="shared" si="99"/>
        <v>843</v>
      </c>
      <c r="J222" s="26">
        <f t="shared" si="99"/>
        <v>210</v>
      </c>
      <c r="K222" s="26">
        <f t="shared" si="99"/>
        <v>283</v>
      </c>
      <c r="L222" s="27">
        <f t="shared" si="99"/>
        <v>331</v>
      </c>
      <c r="M222" s="28">
        <f t="shared" si="95"/>
        <v>3164</v>
      </c>
      <c r="Q222" s="19">
        <f t="shared" si="98"/>
        <v>0</v>
      </c>
    </row>
    <row r="223" spans="2:17" ht="12.95" customHeight="1">
      <c r="B223" s="21">
        <v>44415</v>
      </c>
      <c r="C223" s="39">
        <v>16234996</v>
      </c>
      <c r="D223" s="22">
        <v>5573028</v>
      </c>
      <c r="E223" s="23">
        <v>286088</v>
      </c>
      <c r="F223" s="24">
        <v>14320</v>
      </c>
      <c r="G223" s="25">
        <v>349210</v>
      </c>
      <c r="H223" s="26">
        <f t="shared" si="99"/>
        <v>3328</v>
      </c>
      <c r="I223" s="26">
        <f t="shared" si="99"/>
        <v>505</v>
      </c>
      <c r="J223" s="26">
        <f t="shared" si="99"/>
        <v>217</v>
      </c>
      <c r="K223" s="26">
        <f t="shared" si="99"/>
        <v>282</v>
      </c>
      <c r="L223" s="27">
        <f t="shared" si="99"/>
        <v>315</v>
      </c>
      <c r="M223" s="28">
        <f t="shared" si="95"/>
        <v>4332</v>
      </c>
      <c r="Q223" s="19">
        <f t="shared" si="98"/>
        <v>0</v>
      </c>
    </row>
    <row r="224" spans="2:17" ht="12.95" customHeight="1">
      <c r="B224" s="21">
        <v>44416</v>
      </c>
      <c r="C224" s="39">
        <v>16238524</v>
      </c>
      <c r="D224" s="22">
        <v>5573454</v>
      </c>
      <c r="E224" s="23">
        <v>286295</v>
      </c>
      <c r="F224" s="24">
        <v>14643</v>
      </c>
      <c r="G224" s="25">
        <v>349501</v>
      </c>
      <c r="H224" s="26">
        <f t="shared" si="99"/>
        <v>3528</v>
      </c>
      <c r="I224" s="26">
        <f t="shared" si="99"/>
        <v>426</v>
      </c>
      <c r="J224" s="26">
        <f t="shared" si="99"/>
        <v>207</v>
      </c>
      <c r="K224" s="26">
        <f t="shared" si="99"/>
        <v>323</v>
      </c>
      <c r="L224" s="27">
        <f t="shared" si="99"/>
        <v>291</v>
      </c>
      <c r="M224" s="28">
        <f t="shared" si="95"/>
        <v>4484</v>
      </c>
      <c r="Q224" s="19">
        <f t="shared" si="98"/>
        <v>0</v>
      </c>
    </row>
    <row r="225" spans="2:17" ht="12.95" customHeight="1">
      <c r="B225" s="21">
        <v>44417</v>
      </c>
      <c r="C225" s="39">
        <v>16242033</v>
      </c>
      <c r="D225" s="22">
        <v>5574015</v>
      </c>
      <c r="E225" s="23">
        <v>286505</v>
      </c>
      <c r="F225" s="24">
        <v>14942</v>
      </c>
      <c r="G225" s="25">
        <v>349803</v>
      </c>
      <c r="H225" s="26">
        <f t="shared" si="99"/>
        <v>3509</v>
      </c>
      <c r="I225" s="26">
        <f t="shared" si="99"/>
        <v>561</v>
      </c>
      <c r="J225" s="26">
        <f t="shared" si="99"/>
        <v>210</v>
      </c>
      <c r="K225" s="26">
        <f t="shared" si="99"/>
        <v>299</v>
      </c>
      <c r="L225" s="27">
        <f t="shared" si="99"/>
        <v>302</v>
      </c>
      <c r="M225" s="28">
        <f t="shared" si="95"/>
        <v>4579</v>
      </c>
      <c r="Q225" s="19">
        <f t="shared" si="98"/>
        <v>0</v>
      </c>
    </row>
    <row r="226" spans="2:17" ht="12.95" customHeight="1">
      <c r="B226" s="21">
        <v>44418</v>
      </c>
      <c r="C226" s="39">
        <v>16245574</v>
      </c>
      <c r="D226" s="22">
        <v>5574458</v>
      </c>
      <c r="E226" s="23">
        <v>286700</v>
      </c>
      <c r="F226" s="24">
        <v>15215</v>
      </c>
      <c r="G226" s="25">
        <v>350109</v>
      </c>
      <c r="H226" s="26">
        <f t="shared" si="99"/>
        <v>3541</v>
      </c>
      <c r="I226" s="26">
        <f t="shared" si="99"/>
        <v>443</v>
      </c>
      <c r="J226" s="26">
        <f t="shared" si="99"/>
        <v>195</v>
      </c>
      <c r="K226" s="26">
        <f t="shared" si="99"/>
        <v>273</v>
      </c>
      <c r="L226" s="27">
        <f t="shared" si="99"/>
        <v>306</v>
      </c>
      <c r="M226" s="28">
        <f t="shared" si="95"/>
        <v>4452</v>
      </c>
      <c r="Q226" s="19">
        <f t="shared" si="98"/>
        <v>0</v>
      </c>
    </row>
    <row r="227" spans="2:17" ht="12.95" customHeight="1">
      <c r="B227" s="21">
        <v>44419</v>
      </c>
      <c r="C227" s="39">
        <v>16249168</v>
      </c>
      <c r="D227" s="22">
        <v>5575045</v>
      </c>
      <c r="E227" s="23">
        <v>286918</v>
      </c>
      <c r="F227" s="24">
        <v>15496</v>
      </c>
      <c r="G227" s="25">
        <v>350438</v>
      </c>
      <c r="H227" s="26">
        <f t="shared" si="99"/>
        <v>3594</v>
      </c>
      <c r="I227" s="26">
        <f t="shared" si="99"/>
        <v>587</v>
      </c>
      <c r="J227" s="26">
        <f t="shared" si="99"/>
        <v>218</v>
      </c>
      <c r="K227" s="26">
        <f t="shared" si="99"/>
        <v>281</v>
      </c>
      <c r="L227" s="27">
        <f t="shared" si="99"/>
        <v>329</v>
      </c>
      <c r="M227" s="28">
        <f t="shared" si="95"/>
        <v>4680</v>
      </c>
      <c r="Q227" s="19">
        <f t="shared" si="98"/>
        <v>0</v>
      </c>
    </row>
    <row r="228" spans="2:17" ht="12.95" customHeight="1">
      <c r="B228" s="21">
        <v>44420</v>
      </c>
      <c r="C228" s="39">
        <v>16253819</v>
      </c>
      <c r="D228" s="22">
        <v>5575665</v>
      </c>
      <c r="E228" s="23">
        <v>287118</v>
      </c>
      <c r="F228" s="24">
        <v>15799</v>
      </c>
      <c r="G228" s="25">
        <v>350751</v>
      </c>
      <c r="H228" s="26">
        <f t="shared" si="99"/>
        <v>4651</v>
      </c>
      <c r="I228" s="26">
        <f t="shared" si="99"/>
        <v>620</v>
      </c>
      <c r="J228" s="26">
        <f t="shared" si="99"/>
        <v>200</v>
      </c>
      <c r="K228" s="26">
        <f t="shared" si="99"/>
        <v>303</v>
      </c>
      <c r="L228" s="27">
        <f t="shared" si="99"/>
        <v>313</v>
      </c>
      <c r="M228" s="28">
        <f t="shared" si="95"/>
        <v>5774</v>
      </c>
      <c r="Q228" s="19">
        <f t="shared" si="98"/>
        <v>0</v>
      </c>
    </row>
    <row r="229" spans="2:17" ht="12.95" customHeight="1">
      <c r="B229" s="21">
        <v>44421</v>
      </c>
      <c r="C229" s="39">
        <v>16258144</v>
      </c>
      <c r="D229" s="22">
        <v>5576136</v>
      </c>
      <c r="E229" s="23">
        <v>287327</v>
      </c>
      <c r="F229" s="24">
        <v>16065</v>
      </c>
      <c r="G229" s="25">
        <v>351129</v>
      </c>
      <c r="H229" s="26">
        <f t="shared" si="99"/>
        <v>4325</v>
      </c>
      <c r="I229" s="26">
        <f t="shared" si="99"/>
        <v>471</v>
      </c>
      <c r="J229" s="26">
        <f t="shared" si="99"/>
        <v>209</v>
      </c>
      <c r="K229" s="26">
        <f t="shared" si="99"/>
        <v>266</v>
      </c>
      <c r="L229" s="27">
        <f t="shared" si="99"/>
        <v>378</v>
      </c>
      <c r="M229" s="28">
        <f t="shared" si="95"/>
        <v>5271</v>
      </c>
      <c r="Q229" s="19">
        <f t="shared" si="98"/>
        <v>0</v>
      </c>
    </row>
    <row r="230" spans="2:17" ht="12.95" customHeight="1">
      <c r="B230" s="21">
        <v>44422</v>
      </c>
      <c r="C230" s="39">
        <v>16258154</v>
      </c>
      <c r="D230" s="22">
        <v>5577020</v>
      </c>
      <c r="E230" s="23">
        <v>287504</v>
      </c>
      <c r="F230" s="24">
        <v>16357</v>
      </c>
      <c r="G230" s="25">
        <v>351447</v>
      </c>
      <c r="H230" s="26">
        <f t="shared" si="99"/>
        <v>10</v>
      </c>
      <c r="I230" s="26">
        <f t="shared" si="99"/>
        <v>884</v>
      </c>
      <c r="J230" s="26">
        <f t="shared" si="99"/>
        <v>177</v>
      </c>
      <c r="K230" s="26">
        <f t="shared" si="99"/>
        <v>292</v>
      </c>
      <c r="L230" s="27">
        <f t="shared" si="99"/>
        <v>318</v>
      </c>
      <c r="M230" s="28">
        <f t="shared" si="95"/>
        <v>1363</v>
      </c>
      <c r="Q230" s="19">
        <f t="shared" si="98"/>
        <v>0</v>
      </c>
    </row>
    <row r="231" spans="2:17" ht="12.95" customHeight="1">
      <c r="B231" s="21">
        <v>44423</v>
      </c>
      <c r="C231" s="39">
        <v>16260508</v>
      </c>
      <c r="D231" s="22">
        <v>5578061</v>
      </c>
      <c r="E231" s="23">
        <v>287704</v>
      </c>
      <c r="F231" s="24">
        <v>16640</v>
      </c>
      <c r="G231" s="25">
        <v>351727</v>
      </c>
      <c r="H231" s="26">
        <f t="shared" si="99"/>
        <v>2354</v>
      </c>
      <c r="I231" s="26">
        <f t="shared" si="99"/>
        <v>1041</v>
      </c>
      <c r="J231" s="26">
        <f t="shared" si="99"/>
        <v>200</v>
      </c>
      <c r="K231" s="26">
        <f>IF(F231="","",+(F231-F230))</f>
        <v>283</v>
      </c>
      <c r="L231" s="27">
        <f t="shared" si="99"/>
        <v>280</v>
      </c>
      <c r="M231" s="28">
        <f t="shared" si="95"/>
        <v>3878</v>
      </c>
      <c r="Q231" s="19">
        <f t="shared" si="98"/>
        <v>0</v>
      </c>
    </row>
    <row r="232" spans="2:17" ht="12.95" customHeight="1">
      <c r="B232" s="21">
        <v>44424</v>
      </c>
      <c r="C232" s="39">
        <v>16266186</v>
      </c>
      <c r="D232" s="22">
        <v>5578447</v>
      </c>
      <c r="E232" s="23">
        <v>287906</v>
      </c>
      <c r="F232" s="24">
        <v>16950</v>
      </c>
      <c r="G232" s="25">
        <v>351995</v>
      </c>
      <c r="H232" s="26">
        <f t="shared" si="99"/>
        <v>5678</v>
      </c>
      <c r="I232" s="26">
        <f t="shared" si="99"/>
        <v>386</v>
      </c>
      <c r="J232" s="26">
        <f t="shared" si="99"/>
        <v>202</v>
      </c>
      <c r="K232" s="26">
        <f t="shared" si="99"/>
        <v>310</v>
      </c>
      <c r="L232" s="27">
        <f t="shared" si="99"/>
        <v>268</v>
      </c>
      <c r="M232" s="28">
        <f t="shared" si="95"/>
        <v>6576</v>
      </c>
      <c r="Q232" s="19">
        <f t="shared" si="98"/>
        <v>0</v>
      </c>
    </row>
    <row r="233" spans="2:17" ht="12.95" customHeight="1">
      <c r="B233" s="21">
        <v>44425</v>
      </c>
      <c r="C233" s="39">
        <v>16271206</v>
      </c>
      <c r="D233" s="22">
        <v>5578974</v>
      </c>
      <c r="E233" s="23">
        <v>288100</v>
      </c>
      <c r="F233" s="24">
        <v>17244</v>
      </c>
      <c r="G233" s="25">
        <v>352293</v>
      </c>
      <c r="H233" s="26">
        <f t="shared" si="99"/>
        <v>5020</v>
      </c>
      <c r="I233" s="26">
        <f t="shared" si="99"/>
        <v>527</v>
      </c>
      <c r="J233" s="26">
        <f t="shared" si="99"/>
        <v>194</v>
      </c>
      <c r="K233" s="26">
        <f t="shared" si="99"/>
        <v>294</v>
      </c>
      <c r="L233" s="27">
        <f t="shared" si="99"/>
        <v>298</v>
      </c>
      <c r="M233" s="28">
        <f t="shared" si="95"/>
        <v>6035</v>
      </c>
      <c r="Q233" s="19">
        <f t="shared" si="98"/>
        <v>0</v>
      </c>
    </row>
    <row r="234" spans="2:17" ht="12.95" customHeight="1">
      <c r="B234" s="21">
        <v>44426</v>
      </c>
      <c r="C234" s="39">
        <v>16276311</v>
      </c>
      <c r="D234" s="22">
        <v>5579403</v>
      </c>
      <c r="E234" s="23">
        <v>288329</v>
      </c>
      <c r="F234" s="24">
        <v>17518</v>
      </c>
      <c r="G234" s="25">
        <v>352581</v>
      </c>
      <c r="H234" s="26">
        <f t="shared" si="99"/>
        <v>5105</v>
      </c>
      <c r="I234" s="26">
        <f t="shared" si="99"/>
        <v>429</v>
      </c>
      <c r="J234" s="26">
        <f t="shared" si="99"/>
        <v>229</v>
      </c>
      <c r="K234" s="26">
        <f t="shared" si="99"/>
        <v>274</v>
      </c>
      <c r="L234" s="27">
        <f t="shared" si="99"/>
        <v>288</v>
      </c>
      <c r="M234" s="28">
        <f t="shared" si="95"/>
        <v>6037</v>
      </c>
      <c r="Q234" s="19">
        <f t="shared" si="98"/>
        <v>0</v>
      </c>
    </row>
    <row r="235" spans="2:17" ht="12.95" customHeight="1">
      <c r="B235" s="21">
        <v>44427</v>
      </c>
      <c r="C235" s="39">
        <v>16281725</v>
      </c>
      <c r="D235" s="22">
        <v>5579742</v>
      </c>
      <c r="E235" s="23">
        <v>288507</v>
      </c>
      <c r="F235" s="24">
        <v>17776</v>
      </c>
      <c r="G235" s="25">
        <v>352885</v>
      </c>
      <c r="H235" s="26">
        <f t="shared" si="99"/>
        <v>5414</v>
      </c>
      <c r="I235" s="26">
        <f t="shared" si="99"/>
        <v>339</v>
      </c>
      <c r="J235" s="26">
        <f t="shared" si="99"/>
        <v>178</v>
      </c>
      <c r="K235" s="26">
        <f t="shared" si="99"/>
        <v>258</v>
      </c>
      <c r="L235" s="27">
        <f t="shared" si="99"/>
        <v>304</v>
      </c>
      <c r="M235" s="28">
        <f t="shared" si="95"/>
        <v>6189</v>
      </c>
      <c r="Q235" s="19">
        <f t="shared" si="98"/>
        <v>0</v>
      </c>
    </row>
    <row r="236" spans="2:17" ht="12.95" customHeight="1" thickBot="1">
      <c r="B236" s="21">
        <v>44428</v>
      </c>
      <c r="C236" s="39">
        <v>16286833</v>
      </c>
      <c r="D236" s="22">
        <v>5580150</v>
      </c>
      <c r="E236" s="23">
        <v>288665</v>
      </c>
      <c r="F236" s="24">
        <v>18077</v>
      </c>
      <c r="G236" s="25">
        <v>353190</v>
      </c>
      <c r="H236" s="26">
        <f t="shared" si="99"/>
        <v>5108</v>
      </c>
      <c r="I236" s="26">
        <f t="shared" si="99"/>
        <v>408</v>
      </c>
      <c r="J236" s="26">
        <f t="shared" si="99"/>
        <v>158</v>
      </c>
      <c r="K236" s="26">
        <f t="shared" si="99"/>
        <v>301</v>
      </c>
      <c r="L236" s="27">
        <f t="shared" si="99"/>
        <v>305</v>
      </c>
      <c r="M236" s="28">
        <f t="shared" si="95"/>
        <v>5975</v>
      </c>
      <c r="Q236" s="19">
        <f t="shared" si="98"/>
        <v>0</v>
      </c>
    </row>
    <row r="237" spans="2:17" ht="12.95" customHeight="1">
      <c r="B237" s="21">
        <v>44429</v>
      </c>
      <c r="C237" s="39">
        <v>16291250</v>
      </c>
      <c r="D237" s="22">
        <v>5580600</v>
      </c>
      <c r="E237" s="23">
        <v>288828</v>
      </c>
      <c r="F237" s="24">
        <v>18380</v>
      </c>
      <c r="G237" s="25">
        <v>353498</v>
      </c>
      <c r="H237" s="26">
        <f t="shared" si="99"/>
        <v>4417</v>
      </c>
      <c r="I237" s="26">
        <f t="shared" si="99"/>
        <v>450</v>
      </c>
      <c r="J237" s="26">
        <f t="shared" si="99"/>
        <v>163</v>
      </c>
      <c r="K237" s="26">
        <f t="shared" si="99"/>
        <v>303</v>
      </c>
      <c r="L237" s="27">
        <f t="shared" si="99"/>
        <v>308</v>
      </c>
      <c r="M237" s="28">
        <f t="shared" si="95"/>
        <v>5333</v>
      </c>
      <c r="N237" s="187" t="s">
        <v>68</v>
      </c>
      <c r="O237" s="187" t="s">
        <v>69</v>
      </c>
      <c r="Q237" s="19">
        <f t="shared" si="98"/>
        <v>0</v>
      </c>
    </row>
    <row r="238" spans="2:17" ht="12.95" customHeight="1">
      <c r="B238" s="21">
        <v>44430</v>
      </c>
      <c r="C238" s="39">
        <v>16296432</v>
      </c>
      <c r="D238" s="22">
        <v>5580913</v>
      </c>
      <c r="E238" s="23">
        <v>288987</v>
      </c>
      <c r="F238" s="24">
        <v>18648</v>
      </c>
      <c r="G238" s="25">
        <v>353856</v>
      </c>
      <c r="H238" s="26">
        <f t="shared" si="99"/>
        <v>5182</v>
      </c>
      <c r="I238" s="26">
        <f t="shared" si="99"/>
        <v>313</v>
      </c>
      <c r="J238" s="26">
        <f t="shared" si="99"/>
        <v>159</v>
      </c>
      <c r="K238" s="26">
        <f t="shared" si="99"/>
        <v>268</v>
      </c>
      <c r="L238" s="27">
        <f t="shared" si="99"/>
        <v>358</v>
      </c>
      <c r="M238" s="28">
        <f t="shared" si="95"/>
        <v>5922</v>
      </c>
      <c r="N238" s="188"/>
      <c r="O238" s="188"/>
      <c r="Q238" s="19">
        <f t="shared" si="98"/>
        <v>0</v>
      </c>
    </row>
    <row r="239" spans="2:17" ht="12.95" customHeight="1" thickBot="1">
      <c r="B239" s="21">
        <v>44431</v>
      </c>
      <c r="C239" s="39">
        <v>16301689</v>
      </c>
      <c r="D239" s="22">
        <v>5581261</v>
      </c>
      <c r="E239" s="23">
        <v>289154</v>
      </c>
      <c r="F239" s="24">
        <v>18923</v>
      </c>
      <c r="G239" s="25">
        <v>354162</v>
      </c>
      <c r="H239" s="26">
        <f t="shared" si="99"/>
        <v>5257</v>
      </c>
      <c r="I239" s="26">
        <f t="shared" si="99"/>
        <v>348</v>
      </c>
      <c r="J239" s="26">
        <f>IF(E239="","",+(E239-E238))</f>
        <v>167</v>
      </c>
      <c r="K239" s="26">
        <f>IF(F239="","",+(F239-F238))</f>
        <v>275</v>
      </c>
      <c r="L239" s="27">
        <f t="shared" si="99"/>
        <v>306</v>
      </c>
      <c r="M239" s="28">
        <f t="shared" si="95"/>
        <v>6047</v>
      </c>
      <c r="N239" s="189"/>
      <c r="O239" s="189"/>
      <c r="Q239" s="19">
        <f t="shared" si="98"/>
        <v>0</v>
      </c>
    </row>
    <row r="240" spans="2:17" ht="12.95" customHeight="1" thickBot="1">
      <c r="B240" s="21">
        <v>44432</v>
      </c>
      <c r="C240" s="39">
        <v>16306942</v>
      </c>
      <c r="D240" s="22">
        <v>5581618</v>
      </c>
      <c r="E240" s="23">
        <v>289369</v>
      </c>
      <c r="F240" s="24">
        <v>19204</v>
      </c>
      <c r="G240" s="25">
        <v>354438</v>
      </c>
      <c r="H240" s="26">
        <f t="shared" si="99"/>
        <v>5253</v>
      </c>
      <c r="I240" s="26">
        <f t="shared" si="99"/>
        <v>357</v>
      </c>
      <c r="J240" s="26">
        <f t="shared" si="99"/>
        <v>215</v>
      </c>
      <c r="K240" s="26">
        <f t="shared" si="99"/>
        <v>281</v>
      </c>
      <c r="L240" s="27">
        <f t="shared" si="99"/>
        <v>276</v>
      </c>
      <c r="M240" s="28">
        <f t="shared" si="95"/>
        <v>6106</v>
      </c>
      <c r="N240" s="30">
        <f>SUM(L217:L247)</f>
        <v>9778</v>
      </c>
      <c r="O240" s="30">
        <f>SUM(M217:M247)</f>
        <v>147053</v>
      </c>
      <c r="Q240" s="19">
        <f t="shared" si="98"/>
        <v>0</v>
      </c>
    </row>
    <row r="241" spans="2:17" ht="12.95" customHeight="1">
      <c r="B241" s="21">
        <v>44433</v>
      </c>
      <c r="C241" s="39">
        <v>16312272</v>
      </c>
      <c r="D241" s="22">
        <v>5581961</v>
      </c>
      <c r="E241" s="23">
        <v>289582</v>
      </c>
      <c r="F241" s="24">
        <v>19481</v>
      </c>
      <c r="G241" s="25">
        <v>354722</v>
      </c>
      <c r="H241" s="26">
        <f t="shared" si="99"/>
        <v>5330</v>
      </c>
      <c r="I241" s="26">
        <f t="shared" si="99"/>
        <v>343</v>
      </c>
      <c r="J241" s="26">
        <f t="shared" si="99"/>
        <v>213</v>
      </c>
      <c r="K241" s="26">
        <f t="shared" si="99"/>
        <v>277</v>
      </c>
      <c r="L241" s="27">
        <f t="shared" si="99"/>
        <v>284</v>
      </c>
      <c r="M241" s="28">
        <f t="shared" si="95"/>
        <v>6163</v>
      </c>
      <c r="N241" s="187" t="s">
        <v>70</v>
      </c>
      <c r="O241" s="187" t="s">
        <v>71</v>
      </c>
      <c r="Q241" s="19">
        <f t="shared" si="98"/>
        <v>0</v>
      </c>
    </row>
    <row r="242" spans="2:17" ht="12.95" customHeight="1" thickBot="1">
      <c r="B242" s="21">
        <v>44434</v>
      </c>
      <c r="C242" s="39">
        <v>16317412</v>
      </c>
      <c r="D242" s="22">
        <v>5582392</v>
      </c>
      <c r="E242" s="23">
        <v>289804</v>
      </c>
      <c r="F242" s="24">
        <v>19738</v>
      </c>
      <c r="G242" s="25">
        <v>354996</v>
      </c>
      <c r="H242" s="26">
        <f t="shared" si="99"/>
        <v>5140</v>
      </c>
      <c r="I242" s="26">
        <f t="shared" si="99"/>
        <v>431</v>
      </c>
      <c r="J242" s="26">
        <f t="shared" si="99"/>
        <v>222</v>
      </c>
      <c r="K242" s="26">
        <f t="shared" si="99"/>
        <v>257</v>
      </c>
      <c r="L242" s="27">
        <f t="shared" si="99"/>
        <v>274</v>
      </c>
      <c r="M242" s="28">
        <f t="shared" si="95"/>
        <v>6050</v>
      </c>
      <c r="N242" s="189"/>
      <c r="O242" s="189"/>
      <c r="Q242" s="19">
        <f t="shared" si="98"/>
        <v>0</v>
      </c>
    </row>
    <row r="243" spans="2:17" ht="12.95" customHeight="1" thickBot="1">
      <c r="B243" s="21">
        <v>44435</v>
      </c>
      <c r="C243" s="39">
        <v>16322663</v>
      </c>
      <c r="D243" s="22">
        <v>5582856</v>
      </c>
      <c r="E243" s="23">
        <v>290017</v>
      </c>
      <c r="F243" s="24">
        <v>20014</v>
      </c>
      <c r="G243" s="25">
        <v>355726</v>
      </c>
      <c r="H243" s="26">
        <f t="shared" si="99"/>
        <v>5251</v>
      </c>
      <c r="I243" s="26">
        <f t="shared" si="99"/>
        <v>464</v>
      </c>
      <c r="J243" s="26">
        <f t="shared" si="99"/>
        <v>213</v>
      </c>
      <c r="K243" s="26">
        <f t="shared" si="99"/>
        <v>276</v>
      </c>
      <c r="L243" s="27">
        <v>340</v>
      </c>
      <c r="M243" s="28">
        <f t="shared" si="95"/>
        <v>6204</v>
      </c>
      <c r="N243" s="30">
        <f>AVERAGE(L217:L247)</f>
        <v>315.41935483870969</v>
      </c>
      <c r="O243" s="30">
        <f>AVERAGE(M217:M247)</f>
        <v>4743.6451612903229</v>
      </c>
      <c r="Q243" s="19">
        <f t="shared" si="98"/>
        <v>0</v>
      </c>
    </row>
    <row r="244" spans="2:17" ht="12.95" customHeight="1">
      <c r="B244" s="21">
        <v>44436</v>
      </c>
      <c r="C244" s="39">
        <v>16327968</v>
      </c>
      <c r="D244" s="22">
        <v>5583300</v>
      </c>
      <c r="E244" s="23">
        <v>290217</v>
      </c>
      <c r="F244" s="24">
        <v>20347</v>
      </c>
      <c r="G244" s="25">
        <v>355726</v>
      </c>
      <c r="H244" s="26">
        <f t="shared" si="99"/>
        <v>5305</v>
      </c>
      <c r="I244" s="26">
        <f t="shared" si="99"/>
        <v>444</v>
      </c>
      <c r="J244" s="26">
        <f t="shared" si="99"/>
        <v>200</v>
      </c>
      <c r="K244" s="26">
        <f t="shared" si="99"/>
        <v>333</v>
      </c>
      <c r="L244" s="27">
        <v>390</v>
      </c>
      <c r="M244" s="28">
        <f t="shared" si="95"/>
        <v>6282</v>
      </c>
      <c r="O244" s="19">
        <f>IF(L244="",1,0)</f>
        <v>0</v>
      </c>
    </row>
    <row r="245" spans="2:17" ht="12.95" customHeight="1">
      <c r="B245" s="21">
        <v>44437</v>
      </c>
      <c r="C245" s="39">
        <v>16333178</v>
      </c>
      <c r="D245" s="22">
        <v>5583688</v>
      </c>
      <c r="E245" s="23">
        <v>290422</v>
      </c>
      <c r="F245" s="24">
        <v>20864</v>
      </c>
      <c r="G245" s="25">
        <v>356030</v>
      </c>
      <c r="H245" s="26">
        <f t="shared" si="99"/>
        <v>5210</v>
      </c>
      <c r="I245" s="26">
        <f t="shared" si="99"/>
        <v>388</v>
      </c>
      <c r="J245" s="26">
        <f t="shared" si="99"/>
        <v>205</v>
      </c>
      <c r="K245" s="26">
        <f t="shared" si="99"/>
        <v>517</v>
      </c>
      <c r="L245" s="27">
        <f t="shared" si="99"/>
        <v>304</v>
      </c>
      <c r="M245" s="28">
        <f t="shared" si="95"/>
        <v>6320</v>
      </c>
      <c r="O245" s="19">
        <f>IF(L245="",1,0)</f>
        <v>0</v>
      </c>
    </row>
    <row r="246" spans="2:17" ht="12.95" customHeight="1">
      <c r="B246" s="21">
        <v>44438</v>
      </c>
      <c r="C246" s="39">
        <v>16338456</v>
      </c>
      <c r="D246" s="22">
        <v>5584068</v>
      </c>
      <c r="E246" s="23">
        <v>290643</v>
      </c>
      <c r="F246" s="24">
        <v>20965</v>
      </c>
      <c r="G246" s="25">
        <v>356365</v>
      </c>
      <c r="H246" s="26">
        <f t="shared" si="99"/>
        <v>5278</v>
      </c>
      <c r="I246" s="26">
        <f t="shared" si="99"/>
        <v>380</v>
      </c>
      <c r="J246" s="26">
        <f t="shared" si="99"/>
        <v>221</v>
      </c>
      <c r="K246" s="26">
        <f t="shared" si="99"/>
        <v>101</v>
      </c>
      <c r="L246" s="27">
        <f t="shared" si="99"/>
        <v>335</v>
      </c>
      <c r="M246" s="28">
        <f t="shared" si="95"/>
        <v>5980</v>
      </c>
      <c r="O246" s="19">
        <f>IF(L246="",1,0)</f>
        <v>0</v>
      </c>
    </row>
    <row r="247" spans="2:17" ht="12.95" customHeight="1">
      <c r="B247" s="21">
        <v>44439</v>
      </c>
      <c r="C247" s="172">
        <v>16343779</v>
      </c>
      <c r="D247" s="32">
        <v>5584452</v>
      </c>
      <c r="E247" s="32">
        <v>290821</v>
      </c>
      <c r="F247" s="32">
        <v>21246</v>
      </c>
      <c r="G247" s="32">
        <v>356666</v>
      </c>
      <c r="H247" s="33">
        <f t="shared" si="99"/>
        <v>5323</v>
      </c>
      <c r="I247" s="37">
        <f t="shared" si="99"/>
        <v>384</v>
      </c>
      <c r="J247" s="33">
        <f t="shared" si="99"/>
        <v>178</v>
      </c>
      <c r="K247" s="33">
        <f t="shared" si="99"/>
        <v>281</v>
      </c>
      <c r="L247" s="34">
        <f t="shared" si="99"/>
        <v>301</v>
      </c>
      <c r="M247" s="33">
        <f t="shared" si="95"/>
        <v>6166</v>
      </c>
      <c r="Q247" s="19">
        <f t="shared" si="98"/>
        <v>0</v>
      </c>
    </row>
    <row r="248" spans="2:17" ht="12.95" customHeight="1">
      <c r="B248" s="21">
        <v>44440</v>
      </c>
      <c r="C248" s="39">
        <v>16346431</v>
      </c>
      <c r="D248" s="22">
        <v>5585081</v>
      </c>
      <c r="E248" s="23">
        <v>291032</v>
      </c>
      <c r="F248" s="24">
        <v>21514</v>
      </c>
      <c r="G248" s="25">
        <v>356928</v>
      </c>
      <c r="H248" s="36">
        <f t="shared" si="99"/>
        <v>2652</v>
      </c>
      <c r="I248" s="26">
        <f t="shared" si="99"/>
        <v>629</v>
      </c>
      <c r="J248" s="26">
        <f t="shared" si="99"/>
        <v>211</v>
      </c>
      <c r="K248" s="26">
        <f t="shared" si="99"/>
        <v>268</v>
      </c>
      <c r="L248" s="27">
        <f t="shared" si="99"/>
        <v>262</v>
      </c>
      <c r="M248" s="28">
        <f t="shared" si="95"/>
        <v>3760</v>
      </c>
      <c r="Q248" s="19">
        <f t="shared" si="98"/>
        <v>0</v>
      </c>
    </row>
    <row r="249" spans="2:17" ht="12.95" customHeight="1">
      <c r="B249" s="21">
        <v>44441</v>
      </c>
      <c r="C249" s="39">
        <v>16346431</v>
      </c>
      <c r="D249" s="22">
        <v>5586013</v>
      </c>
      <c r="E249" s="23">
        <v>291215</v>
      </c>
      <c r="F249" s="24">
        <v>21792</v>
      </c>
      <c r="G249" s="25">
        <v>357182</v>
      </c>
      <c r="H249" s="26">
        <f t="shared" ref="H249:L264" si="100">IF(C249="","",+(C249-C248))</f>
        <v>0</v>
      </c>
      <c r="I249" s="26">
        <f t="shared" si="100"/>
        <v>932</v>
      </c>
      <c r="J249" s="26">
        <f t="shared" si="100"/>
        <v>183</v>
      </c>
      <c r="K249" s="26">
        <f t="shared" si="100"/>
        <v>278</v>
      </c>
      <c r="L249" s="27">
        <f t="shared" si="100"/>
        <v>254</v>
      </c>
      <c r="M249" s="28">
        <f t="shared" si="95"/>
        <v>1393</v>
      </c>
      <c r="Q249" s="19">
        <f t="shared" si="98"/>
        <v>0</v>
      </c>
    </row>
    <row r="250" spans="2:17" ht="12.95" customHeight="1">
      <c r="B250" s="21">
        <v>44442</v>
      </c>
      <c r="C250" s="39">
        <v>16346431</v>
      </c>
      <c r="D250" s="22">
        <v>5587065</v>
      </c>
      <c r="E250" s="23">
        <v>291376</v>
      </c>
      <c r="F250" s="24">
        <v>22090</v>
      </c>
      <c r="G250" s="25">
        <v>357469</v>
      </c>
      <c r="H250" s="26">
        <f t="shared" si="100"/>
        <v>0</v>
      </c>
      <c r="I250" s="26">
        <f t="shared" si="100"/>
        <v>1052</v>
      </c>
      <c r="J250" s="26">
        <f t="shared" si="100"/>
        <v>161</v>
      </c>
      <c r="K250" s="26">
        <f t="shared" si="100"/>
        <v>298</v>
      </c>
      <c r="L250" s="27">
        <f t="shared" si="100"/>
        <v>287</v>
      </c>
      <c r="M250" s="28">
        <f t="shared" si="95"/>
        <v>1511</v>
      </c>
      <c r="Q250" s="19">
        <f t="shared" si="98"/>
        <v>0</v>
      </c>
    </row>
    <row r="251" spans="2:17" ht="12.95" customHeight="1">
      <c r="B251" s="21">
        <v>44443</v>
      </c>
      <c r="C251" s="39">
        <v>16351658</v>
      </c>
      <c r="D251" s="22">
        <v>5587764</v>
      </c>
      <c r="E251" s="23">
        <v>291542</v>
      </c>
      <c r="F251" s="24">
        <v>22369</v>
      </c>
      <c r="G251" s="25">
        <v>357788</v>
      </c>
      <c r="H251" s="26">
        <f t="shared" si="100"/>
        <v>5227</v>
      </c>
      <c r="I251" s="26">
        <f t="shared" si="100"/>
        <v>699</v>
      </c>
      <c r="J251" s="26">
        <f t="shared" si="100"/>
        <v>166</v>
      </c>
      <c r="K251" s="26">
        <f t="shared" si="100"/>
        <v>279</v>
      </c>
      <c r="L251" s="27">
        <f t="shared" si="100"/>
        <v>319</v>
      </c>
      <c r="M251" s="28">
        <f t="shared" si="95"/>
        <v>6371</v>
      </c>
      <c r="Q251" s="19">
        <f t="shared" si="98"/>
        <v>0</v>
      </c>
    </row>
    <row r="252" spans="2:17" ht="12.95" customHeight="1">
      <c r="B252" s="21">
        <v>44444</v>
      </c>
      <c r="C252" s="39">
        <v>16356954</v>
      </c>
      <c r="D252" s="22">
        <v>5588256</v>
      </c>
      <c r="E252" s="23">
        <v>291725</v>
      </c>
      <c r="F252" s="24">
        <v>22655</v>
      </c>
      <c r="G252" s="25">
        <v>358123</v>
      </c>
      <c r="H252" s="26">
        <f t="shared" si="100"/>
        <v>5296</v>
      </c>
      <c r="I252" s="26">
        <f t="shared" si="100"/>
        <v>492</v>
      </c>
      <c r="J252" s="26">
        <f t="shared" si="100"/>
        <v>183</v>
      </c>
      <c r="K252" s="26">
        <f t="shared" si="100"/>
        <v>286</v>
      </c>
      <c r="L252" s="27">
        <f t="shared" si="100"/>
        <v>335</v>
      </c>
      <c r="M252" s="28">
        <f t="shared" si="95"/>
        <v>6257</v>
      </c>
      <c r="Q252" s="19">
        <f t="shared" si="98"/>
        <v>0</v>
      </c>
    </row>
    <row r="253" spans="2:17" ht="12.95" customHeight="1">
      <c r="B253" s="21">
        <v>44445</v>
      </c>
      <c r="C253" s="39">
        <v>16362211</v>
      </c>
      <c r="D253" s="22">
        <v>5588690</v>
      </c>
      <c r="E253" s="23">
        <v>291911</v>
      </c>
      <c r="F253" s="24">
        <v>22942</v>
      </c>
      <c r="G253" s="25">
        <v>358438</v>
      </c>
      <c r="H253" s="26">
        <f t="shared" si="100"/>
        <v>5257</v>
      </c>
      <c r="I253" s="26">
        <f t="shared" si="100"/>
        <v>434</v>
      </c>
      <c r="J253" s="26">
        <f t="shared" si="100"/>
        <v>186</v>
      </c>
      <c r="K253" s="26">
        <f t="shared" si="100"/>
        <v>287</v>
      </c>
      <c r="L253" s="27">
        <f t="shared" si="100"/>
        <v>315</v>
      </c>
      <c r="M253" s="28">
        <f t="shared" si="95"/>
        <v>6164</v>
      </c>
      <c r="Q253" s="19">
        <f t="shared" si="98"/>
        <v>0</v>
      </c>
    </row>
    <row r="254" spans="2:17" ht="12.95" customHeight="1">
      <c r="B254" s="21">
        <v>44446</v>
      </c>
      <c r="C254" s="39">
        <v>16367501</v>
      </c>
      <c r="D254" s="22">
        <v>5589153</v>
      </c>
      <c r="E254" s="23">
        <v>292065</v>
      </c>
      <c r="F254" s="24">
        <v>23228</v>
      </c>
      <c r="G254" s="25">
        <v>358737</v>
      </c>
      <c r="H254" s="26">
        <f t="shared" si="100"/>
        <v>5290</v>
      </c>
      <c r="I254" s="26">
        <f t="shared" si="100"/>
        <v>463</v>
      </c>
      <c r="J254" s="26">
        <f t="shared" si="100"/>
        <v>154</v>
      </c>
      <c r="K254" s="26">
        <f t="shared" si="100"/>
        <v>286</v>
      </c>
      <c r="L254" s="27">
        <f t="shared" si="100"/>
        <v>299</v>
      </c>
      <c r="M254" s="28">
        <f t="shared" si="95"/>
        <v>6193</v>
      </c>
      <c r="Q254" s="19">
        <f t="shared" si="98"/>
        <v>0</v>
      </c>
    </row>
    <row r="255" spans="2:17" ht="12.95" customHeight="1">
      <c r="B255" s="21">
        <v>44447</v>
      </c>
      <c r="C255" s="39">
        <v>16372670</v>
      </c>
      <c r="D255" s="22">
        <v>5590175</v>
      </c>
      <c r="E255" s="23">
        <v>292235</v>
      </c>
      <c r="F255" s="24">
        <v>23490</v>
      </c>
      <c r="G255" s="25">
        <v>359058</v>
      </c>
      <c r="H255" s="26">
        <f t="shared" si="100"/>
        <v>5169</v>
      </c>
      <c r="I255" s="26">
        <f t="shared" si="100"/>
        <v>1022</v>
      </c>
      <c r="J255" s="26">
        <f t="shared" si="100"/>
        <v>170</v>
      </c>
      <c r="K255" s="26">
        <f t="shared" si="100"/>
        <v>262</v>
      </c>
      <c r="L255" s="27">
        <f t="shared" si="100"/>
        <v>321</v>
      </c>
      <c r="M255" s="28">
        <f t="shared" si="95"/>
        <v>6623</v>
      </c>
      <c r="Q255" s="19">
        <f t="shared" si="98"/>
        <v>0</v>
      </c>
    </row>
    <row r="256" spans="2:17" ht="12.95" customHeight="1">
      <c r="B256" s="21">
        <v>44448</v>
      </c>
      <c r="C256" s="39">
        <v>16377840</v>
      </c>
      <c r="D256" s="22">
        <v>5591309</v>
      </c>
      <c r="E256" s="23">
        <v>292393</v>
      </c>
      <c r="F256" s="24">
        <v>23762</v>
      </c>
      <c r="G256" s="25">
        <v>359357</v>
      </c>
      <c r="H256" s="26">
        <f t="shared" si="100"/>
        <v>5170</v>
      </c>
      <c r="I256" s="26">
        <f t="shared" si="100"/>
        <v>1134</v>
      </c>
      <c r="J256" s="26">
        <f t="shared" si="100"/>
        <v>158</v>
      </c>
      <c r="K256" s="26">
        <f t="shared" si="100"/>
        <v>272</v>
      </c>
      <c r="L256" s="27">
        <f t="shared" si="100"/>
        <v>299</v>
      </c>
      <c r="M256" s="28">
        <f t="shared" si="95"/>
        <v>6734</v>
      </c>
      <c r="Q256" s="19">
        <f t="shared" si="98"/>
        <v>0</v>
      </c>
    </row>
    <row r="257" spans="2:17" ht="12.95" customHeight="1">
      <c r="B257" s="21">
        <v>44449</v>
      </c>
      <c r="C257" s="39">
        <v>16383004</v>
      </c>
      <c r="D257" s="22">
        <v>5591798</v>
      </c>
      <c r="E257" s="23">
        <v>292569</v>
      </c>
      <c r="F257" s="24">
        <v>24031</v>
      </c>
      <c r="G257" s="25">
        <v>359696</v>
      </c>
      <c r="H257" s="26">
        <f t="shared" si="100"/>
        <v>5164</v>
      </c>
      <c r="I257" s="26">
        <f t="shared" si="100"/>
        <v>489</v>
      </c>
      <c r="J257" s="26">
        <f t="shared" si="100"/>
        <v>176</v>
      </c>
      <c r="K257" s="26">
        <f t="shared" si="100"/>
        <v>269</v>
      </c>
      <c r="L257" s="27">
        <f t="shared" si="100"/>
        <v>339</v>
      </c>
      <c r="M257" s="28">
        <f t="shared" si="95"/>
        <v>6098</v>
      </c>
      <c r="Q257" s="19">
        <f t="shared" si="98"/>
        <v>0</v>
      </c>
    </row>
    <row r="258" spans="2:17" ht="12.95" customHeight="1">
      <c r="B258" s="21">
        <v>44450</v>
      </c>
      <c r="C258" s="39">
        <v>16388388</v>
      </c>
      <c r="D258" s="22">
        <v>5592280</v>
      </c>
      <c r="E258" s="23">
        <v>292752</v>
      </c>
      <c r="F258" s="24">
        <v>24307</v>
      </c>
      <c r="G258" s="25">
        <v>360108</v>
      </c>
      <c r="H258" s="26">
        <f t="shared" si="100"/>
        <v>5384</v>
      </c>
      <c r="I258" s="26">
        <f t="shared" si="100"/>
        <v>482</v>
      </c>
      <c r="J258" s="26">
        <f t="shared" si="100"/>
        <v>183</v>
      </c>
      <c r="K258" s="26">
        <f t="shared" si="100"/>
        <v>276</v>
      </c>
      <c r="L258" s="27">
        <f t="shared" si="100"/>
        <v>412</v>
      </c>
      <c r="M258" s="28">
        <f t="shared" si="95"/>
        <v>6325</v>
      </c>
      <c r="Q258" s="19">
        <f t="shared" si="98"/>
        <v>0</v>
      </c>
    </row>
    <row r="259" spans="2:17" ht="12.95" customHeight="1">
      <c r="B259" s="21">
        <v>44451</v>
      </c>
      <c r="C259" s="39">
        <v>16392876</v>
      </c>
      <c r="D259" s="22">
        <v>5592956</v>
      </c>
      <c r="E259" s="23">
        <v>292930</v>
      </c>
      <c r="F259" s="24">
        <v>24590</v>
      </c>
      <c r="G259" s="25">
        <v>360423</v>
      </c>
      <c r="H259" s="26">
        <f t="shared" si="100"/>
        <v>4488</v>
      </c>
      <c r="I259" s="26">
        <f t="shared" si="100"/>
        <v>676</v>
      </c>
      <c r="J259" s="26">
        <f t="shared" si="100"/>
        <v>178</v>
      </c>
      <c r="K259" s="26">
        <f t="shared" si="100"/>
        <v>283</v>
      </c>
      <c r="L259" s="27">
        <f t="shared" si="100"/>
        <v>315</v>
      </c>
      <c r="M259" s="28">
        <f t="shared" si="95"/>
        <v>5625</v>
      </c>
      <c r="Q259" s="19">
        <f t="shared" si="98"/>
        <v>0</v>
      </c>
    </row>
    <row r="260" spans="2:17" ht="12.95" customHeight="1">
      <c r="B260" s="21">
        <v>44452</v>
      </c>
      <c r="C260" s="39">
        <v>16397966</v>
      </c>
      <c r="D260" s="22">
        <v>5593700</v>
      </c>
      <c r="E260" s="23">
        <v>293157</v>
      </c>
      <c r="F260" s="24">
        <v>24847</v>
      </c>
      <c r="G260" s="25">
        <v>360706</v>
      </c>
      <c r="H260" s="26">
        <f t="shared" si="100"/>
        <v>5090</v>
      </c>
      <c r="I260" s="26">
        <f t="shared" si="100"/>
        <v>744</v>
      </c>
      <c r="J260" s="26">
        <f t="shared" si="100"/>
        <v>227</v>
      </c>
      <c r="K260" s="26">
        <f t="shared" si="100"/>
        <v>257</v>
      </c>
      <c r="L260" s="27">
        <f t="shared" si="100"/>
        <v>283</v>
      </c>
      <c r="M260" s="28">
        <f t="shared" si="95"/>
        <v>6318</v>
      </c>
      <c r="Q260" s="19">
        <f t="shared" si="98"/>
        <v>0</v>
      </c>
    </row>
    <row r="261" spans="2:17" ht="12.95" customHeight="1">
      <c r="B261" s="21">
        <v>44453</v>
      </c>
      <c r="C261" s="39">
        <v>16402873</v>
      </c>
      <c r="D261" s="22">
        <v>5594637</v>
      </c>
      <c r="E261" s="23">
        <v>293341</v>
      </c>
      <c r="F261" s="24">
        <v>25123</v>
      </c>
      <c r="G261" s="25">
        <v>361029</v>
      </c>
      <c r="H261" s="26">
        <f>IF(C261="","",+(C261-C260))</f>
        <v>4907</v>
      </c>
      <c r="I261" s="26">
        <f t="shared" si="100"/>
        <v>937</v>
      </c>
      <c r="J261" s="26">
        <f t="shared" si="100"/>
        <v>184</v>
      </c>
      <c r="K261" s="26">
        <f t="shared" si="100"/>
        <v>276</v>
      </c>
      <c r="L261" s="27">
        <f t="shared" si="100"/>
        <v>323</v>
      </c>
      <c r="M261" s="28">
        <f t="shared" si="95"/>
        <v>6304</v>
      </c>
      <c r="Q261" s="19">
        <f t="shared" si="98"/>
        <v>0</v>
      </c>
    </row>
    <row r="262" spans="2:17" ht="12.95" customHeight="1">
      <c r="B262" s="21">
        <v>44454</v>
      </c>
      <c r="C262" s="39">
        <v>16407397</v>
      </c>
      <c r="D262" s="22">
        <v>5595384</v>
      </c>
      <c r="E262" s="23">
        <v>293550</v>
      </c>
      <c r="F262" s="24">
        <v>25396</v>
      </c>
      <c r="G262" s="25">
        <v>361320</v>
      </c>
      <c r="H262" s="26">
        <f t="shared" ref="H262:L315" si="101">IF(C262="","",+(C262-C261))</f>
        <v>4524</v>
      </c>
      <c r="I262" s="26">
        <f t="shared" si="100"/>
        <v>747</v>
      </c>
      <c r="J262" s="26">
        <f t="shared" si="100"/>
        <v>209</v>
      </c>
      <c r="K262" s="26">
        <f t="shared" si="100"/>
        <v>273</v>
      </c>
      <c r="L262" s="27">
        <f t="shared" si="100"/>
        <v>291</v>
      </c>
      <c r="M262" s="28">
        <f t="shared" ref="M262:M325" si="102">IF(H262="","",+(H262+I262+J262+K262))</f>
        <v>5753</v>
      </c>
      <c r="Q262" s="19">
        <f t="shared" si="98"/>
        <v>0</v>
      </c>
    </row>
    <row r="263" spans="2:17" ht="12.95" customHeight="1">
      <c r="B263" s="21">
        <v>44455</v>
      </c>
      <c r="C263" s="39">
        <v>16411766</v>
      </c>
      <c r="D263" s="22">
        <v>5596358</v>
      </c>
      <c r="E263" s="23">
        <v>293745</v>
      </c>
      <c r="F263" s="24">
        <v>25673</v>
      </c>
      <c r="G263" s="25">
        <v>361696</v>
      </c>
      <c r="H263" s="26">
        <f t="shared" si="101"/>
        <v>4369</v>
      </c>
      <c r="I263" s="26">
        <f t="shared" si="100"/>
        <v>974</v>
      </c>
      <c r="J263" s="26">
        <f t="shared" si="100"/>
        <v>195</v>
      </c>
      <c r="K263" s="26">
        <f t="shared" si="100"/>
        <v>277</v>
      </c>
      <c r="L263" s="27">
        <f t="shared" si="100"/>
        <v>376</v>
      </c>
      <c r="M263" s="28">
        <f t="shared" si="102"/>
        <v>5815</v>
      </c>
      <c r="Q263" s="19">
        <f t="shared" si="98"/>
        <v>0</v>
      </c>
    </row>
    <row r="264" spans="2:17" ht="12.95" customHeight="1">
      <c r="B264" s="21">
        <v>44456</v>
      </c>
      <c r="C264" s="39">
        <v>16415519</v>
      </c>
      <c r="D264" s="22">
        <v>5597103</v>
      </c>
      <c r="E264" s="23">
        <v>293924</v>
      </c>
      <c r="F264" s="24">
        <v>25970</v>
      </c>
      <c r="G264" s="25">
        <v>362017</v>
      </c>
      <c r="H264" s="26">
        <f t="shared" si="101"/>
        <v>3753</v>
      </c>
      <c r="I264" s="26">
        <f t="shared" si="100"/>
        <v>745</v>
      </c>
      <c r="J264" s="26">
        <f t="shared" si="100"/>
        <v>179</v>
      </c>
      <c r="K264" s="26">
        <f t="shared" si="100"/>
        <v>297</v>
      </c>
      <c r="L264" s="27">
        <f t="shared" si="100"/>
        <v>321</v>
      </c>
      <c r="M264" s="28">
        <f t="shared" si="102"/>
        <v>4974</v>
      </c>
      <c r="Q264" s="19">
        <f t="shared" si="98"/>
        <v>0</v>
      </c>
    </row>
    <row r="265" spans="2:17" ht="12.95" customHeight="1">
      <c r="B265" s="21">
        <v>44457</v>
      </c>
      <c r="C265" s="39">
        <v>16415519</v>
      </c>
      <c r="D265" s="22">
        <v>5598455</v>
      </c>
      <c r="E265" s="23">
        <v>294143</v>
      </c>
      <c r="F265" s="24">
        <v>26268</v>
      </c>
      <c r="G265" s="25">
        <v>362312</v>
      </c>
      <c r="H265" s="26">
        <f t="shared" si="101"/>
        <v>0</v>
      </c>
      <c r="I265" s="26">
        <f t="shared" si="101"/>
        <v>1352</v>
      </c>
      <c r="J265" s="26">
        <f t="shared" si="101"/>
        <v>219</v>
      </c>
      <c r="K265" s="26">
        <f t="shared" si="101"/>
        <v>298</v>
      </c>
      <c r="L265" s="27">
        <f t="shared" si="101"/>
        <v>295</v>
      </c>
      <c r="M265" s="28">
        <f t="shared" si="102"/>
        <v>1869</v>
      </c>
      <c r="Q265" s="19">
        <f t="shared" si="98"/>
        <v>0</v>
      </c>
    </row>
    <row r="266" spans="2:17" ht="12.95" customHeight="1" thickBot="1">
      <c r="B266" s="21">
        <v>44458</v>
      </c>
      <c r="C266" s="39">
        <v>16415519</v>
      </c>
      <c r="D266" s="22">
        <v>5600141</v>
      </c>
      <c r="E266" s="23">
        <v>294340</v>
      </c>
      <c r="F266" s="24">
        <v>26557</v>
      </c>
      <c r="G266" s="25">
        <v>362626</v>
      </c>
      <c r="H266" s="26">
        <f t="shared" si="101"/>
        <v>0</v>
      </c>
      <c r="I266" s="26">
        <f t="shared" si="101"/>
        <v>1686</v>
      </c>
      <c r="J266" s="26">
        <f t="shared" si="101"/>
        <v>197</v>
      </c>
      <c r="K266" s="26">
        <f t="shared" si="101"/>
        <v>289</v>
      </c>
      <c r="L266" s="27">
        <f t="shared" si="101"/>
        <v>314</v>
      </c>
      <c r="M266" s="28">
        <f t="shared" si="102"/>
        <v>2172</v>
      </c>
      <c r="Q266" s="19">
        <f t="shared" si="98"/>
        <v>0</v>
      </c>
    </row>
    <row r="267" spans="2:17" ht="12.95" customHeight="1">
      <c r="B267" s="21">
        <v>44459</v>
      </c>
      <c r="C267" s="39">
        <v>16415519</v>
      </c>
      <c r="D267" s="22">
        <v>5601964</v>
      </c>
      <c r="E267" s="23">
        <v>294565</v>
      </c>
      <c r="F267" s="24">
        <v>26823</v>
      </c>
      <c r="G267" s="25">
        <v>362939</v>
      </c>
      <c r="H267" s="26">
        <f t="shared" si="101"/>
        <v>0</v>
      </c>
      <c r="I267" s="26">
        <f t="shared" si="101"/>
        <v>1823</v>
      </c>
      <c r="J267" s="26">
        <f t="shared" si="101"/>
        <v>225</v>
      </c>
      <c r="K267" s="26">
        <f t="shared" si="101"/>
        <v>266</v>
      </c>
      <c r="L267" s="27">
        <f t="shared" si="101"/>
        <v>313</v>
      </c>
      <c r="M267" s="28">
        <f t="shared" si="102"/>
        <v>2314</v>
      </c>
      <c r="N267" s="187" t="s">
        <v>68</v>
      </c>
      <c r="O267" s="187" t="s">
        <v>69</v>
      </c>
      <c r="Q267" s="19">
        <f t="shared" si="98"/>
        <v>0</v>
      </c>
    </row>
    <row r="268" spans="2:17" ht="12.95" customHeight="1">
      <c r="B268" s="21">
        <v>44460</v>
      </c>
      <c r="C268" s="39">
        <v>16415519</v>
      </c>
      <c r="D268" s="22">
        <v>5603760</v>
      </c>
      <c r="E268" s="23">
        <v>294801</v>
      </c>
      <c r="F268" s="24">
        <v>27124</v>
      </c>
      <c r="G268" s="25">
        <v>363224</v>
      </c>
      <c r="H268" s="26">
        <f t="shared" si="101"/>
        <v>0</v>
      </c>
      <c r="I268" s="26">
        <f t="shared" si="101"/>
        <v>1796</v>
      </c>
      <c r="J268" s="26">
        <f t="shared" si="101"/>
        <v>236</v>
      </c>
      <c r="K268" s="26">
        <f t="shared" si="101"/>
        <v>301</v>
      </c>
      <c r="L268" s="27">
        <f t="shared" si="101"/>
        <v>285</v>
      </c>
      <c r="M268" s="28">
        <f t="shared" si="102"/>
        <v>2333</v>
      </c>
      <c r="N268" s="188"/>
      <c r="O268" s="188"/>
      <c r="Q268" s="19">
        <f t="shared" si="98"/>
        <v>0</v>
      </c>
    </row>
    <row r="269" spans="2:17" ht="12.95" customHeight="1" thickBot="1">
      <c r="B269" s="21">
        <v>44461</v>
      </c>
      <c r="C269" s="39">
        <v>16415519</v>
      </c>
      <c r="D269" s="22">
        <v>5605714</v>
      </c>
      <c r="E269" s="23">
        <v>294989</v>
      </c>
      <c r="F269" s="24">
        <v>27372</v>
      </c>
      <c r="G269" s="25">
        <v>363476</v>
      </c>
      <c r="H269" s="26">
        <f t="shared" si="101"/>
        <v>0</v>
      </c>
      <c r="I269" s="26">
        <f t="shared" si="101"/>
        <v>1954</v>
      </c>
      <c r="J269" s="26">
        <f t="shared" si="101"/>
        <v>188</v>
      </c>
      <c r="K269" s="26">
        <f t="shared" si="101"/>
        <v>248</v>
      </c>
      <c r="L269" s="27">
        <f t="shared" si="101"/>
        <v>252</v>
      </c>
      <c r="M269" s="28">
        <f t="shared" si="102"/>
        <v>2390</v>
      </c>
      <c r="N269" s="189"/>
      <c r="O269" s="189"/>
      <c r="Q269" s="19">
        <f t="shared" si="98"/>
        <v>0</v>
      </c>
    </row>
    <row r="270" spans="2:17" ht="12.95" customHeight="1" thickBot="1">
      <c r="B270" s="21">
        <v>44462</v>
      </c>
      <c r="C270" s="39">
        <v>16415519</v>
      </c>
      <c r="D270" s="22">
        <v>5607752</v>
      </c>
      <c r="E270" s="23">
        <v>295189</v>
      </c>
      <c r="F270" s="24">
        <v>27665</v>
      </c>
      <c r="G270" s="25">
        <v>363731</v>
      </c>
      <c r="H270" s="26">
        <f t="shared" si="101"/>
        <v>0</v>
      </c>
      <c r="I270" s="26">
        <f t="shared" si="101"/>
        <v>2038</v>
      </c>
      <c r="J270" s="26">
        <f t="shared" ref="J270:J272" si="103">IF(E270="","",+(E270-E269))</f>
        <v>200</v>
      </c>
      <c r="K270" s="26">
        <f t="shared" si="101"/>
        <v>293</v>
      </c>
      <c r="L270" s="27">
        <f t="shared" si="101"/>
        <v>255</v>
      </c>
      <c r="M270" s="28">
        <f t="shared" si="102"/>
        <v>2531</v>
      </c>
      <c r="N270" s="30">
        <f>SUM(L248:L277)</f>
        <v>8184</v>
      </c>
      <c r="O270" s="30">
        <f>SUM(M248:M277)</f>
        <v>115378</v>
      </c>
      <c r="Q270" s="19">
        <f t="shared" si="98"/>
        <v>0</v>
      </c>
    </row>
    <row r="271" spans="2:17" ht="12.95" customHeight="1">
      <c r="B271" s="21">
        <v>44463</v>
      </c>
      <c r="C271" s="39">
        <v>16415519</v>
      </c>
      <c r="D271" s="22">
        <v>5609761</v>
      </c>
      <c r="E271" s="23">
        <v>295356</v>
      </c>
      <c r="F271" s="24">
        <v>27932</v>
      </c>
      <c r="G271" s="25">
        <v>363962</v>
      </c>
      <c r="H271" s="26">
        <f t="shared" si="101"/>
        <v>0</v>
      </c>
      <c r="I271" s="26">
        <f>IF(D271="","",+(D271-D270))</f>
        <v>2009</v>
      </c>
      <c r="J271" s="26">
        <f t="shared" si="103"/>
        <v>167</v>
      </c>
      <c r="K271" s="26">
        <f t="shared" si="101"/>
        <v>267</v>
      </c>
      <c r="L271" s="27">
        <f t="shared" si="101"/>
        <v>231</v>
      </c>
      <c r="M271" s="28">
        <f t="shared" si="102"/>
        <v>2443</v>
      </c>
      <c r="N271" s="187" t="s">
        <v>70</v>
      </c>
      <c r="O271" s="187" t="s">
        <v>71</v>
      </c>
      <c r="Q271" s="19">
        <f t="shared" si="98"/>
        <v>0</v>
      </c>
    </row>
    <row r="272" spans="2:17" ht="12.95" customHeight="1" thickBot="1">
      <c r="B272" s="21">
        <v>44464</v>
      </c>
      <c r="C272" s="39">
        <v>16415519</v>
      </c>
      <c r="D272" s="22">
        <v>5611716</v>
      </c>
      <c r="E272" s="23">
        <v>295586</v>
      </c>
      <c r="F272" s="24">
        <v>28202</v>
      </c>
      <c r="G272" s="25">
        <v>364248</v>
      </c>
      <c r="H272" s="26">
        <f t="shared" si="101"/>
        <v>0</v>
      </c>
      <c r="I272" s="26">
        <f t="shared" si="101"/>
        <v>1955</v>
      </c>
      <c r="J272" s="26">
        <f t="shared" si="103"/>
        <v>230</v>
      </c>
      <c r="K272" s="26">
        <f t="shared" si="101"/>
        <v>270</v>
      </c>
      <c r="L272" s="27">
        <f t="shared" si="101"/>
        <v>286</v>
      </c>
      <c r="M272" s="28">
        <f t="shared" si="102"/>
        <v>2455</v>
      </c>
      <c r="N272" s="189"/>
      <c r="O272" s="189"/>
      <c r="Q272" s="19">
        <f t="shared" si="98"/>
        <v>0</v>
      </c>
    </row>
    <row r="273" spans="2:17" ht="12.95" customHeight="1" thickBot="1">
      <c r="B273" s="21">
        <v>44465</v>
      </c>
      <c r="C273" s="39">
        <v>16415695</v>
      </c>
      <c r="D273" s="22">
        <v>5613495</v>
      </c>
      <c r="E273" s="23">
        <v>295826</v>
      </c>
      <c r="F273" s="24">
        <v>28469</v>
      </c>
      <c r="G273" s="25">
        <v>364558</v>
      </c>
      <c r="H273" s="26">
        <f t="shared" si="101"/>
        <v>176</v>
      </c>
      <c r="I273" s="26">
        <f t="shared" si="101"/>
        <v>1779</v>
      </c>
      <c r="J273" s="26">
        <f t="shared" si="101"/>
        <v>240</v>
      </c>
      <c r="K273" s="26">
        <f t="shared" si="101"/>
        <v>267</v>
      </c>
      <c r="L273" s="27">
        <f t="shared" si="101"/>
        <v>310</v>
      </c>
      <c r="M273" s="28">
        <f t="shared" si="102"/>
        <v>2462</v>
      </c>
      <c r="N273" s="30">
        <f>AVERAGE(L248:L277)</f>
        <v>303.11111111111109</v>
      </c>
      <c r="O273" s="30">
        <f>AVERAGE(M248:M277)</f>
        <v>4273.2592592592591</v>
      </c>
      <c r="Q273" s="19">
        <f t="shared" si="98"/>
        <v>0</v>
      </c>
    </row>
    <row r="274" spans="2:17" ht="12.95" customHeight="1">
      <c r="B274" s="21">
        <v>44466</v>
      </c>
      <c r="C274" s="39">
        <v>16415695</v>
      </c>
      <c r="D274" s="22">
        <v>5615194</v>
      </c>
      <c r="E274" s="23">
        <v>296059</v>
      </c>
      <c r="F274" s="24">
        <v>28728</v>
      </c>
      <c r="G274" s="25">
        <v>364850</v>
      </c>
      <c r="H274" s="26">
        <f t="shared" si="101"/>
        <v>0</v>
      </c>
      <c r="I274" s="26">
        <f t="shared" si="101"/>
        <v>1699</v>
      </c>
      <c r="J274" s="26">
        <f t="shared" si="101"/>
        <v>233</v>
      </c>
      <c r="K274" s="26">
        <f t="shared" si="101"/>
        <v>259</v>
      </c>
      <c r="L274" s="27">
        <f t="shared" si="101"/>
        <v>292</v>
      </c>
      <c r="M274" s="28">
        <f t="shared" si="102"/>
        <v>2191</v>
      </c>
      <c r="O274" s="19">
        <f>IF(L274="",1,0)</f>
        <v>0</v>
      </c>
    </row>
    <row r="275" spans="2:17" ht="12.95" customHeight="1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>
      <c r="B277" s="21">
        <v>44469</v>
      </c>
      <c r="C277" s="32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4">IF(L280="",1,0)</f>
        <v>1</v>
      </c>
    </row>
    <row r="281" spans="2:17" ht="12.95" customHeight="1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4"/>
        <v>1</v>
      </c>
    </row>
    <row r="282" spans="2:17" ht="12.95" customHeight="1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4"/>
        <v>1</v>
      </c>
    </row>
    <row r="283" spans="2:17" ht="12.95" customHeight="1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4"/>
        <v>1</v>
      </c>
    </row>
    <row r="284" spans="2:17" ht="12.95" customHeight="1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4"/>
        <v>1</v>
      </c>
    </row>
    <row r="285" spans="2:17" ht="12.95" customHeight="1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4"/>
        <v>1</v>
      </c>
    </row>
    <row r="286" spans="2:17" ht="12.95" customHeight="1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4"/>
        <v>1</v>
      </c>
    </row>
    <row r="287" spans="2:17" ht="12.95" customHeight="1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4"/>
        <v>1</v>
      </c>
    </row>
    <row r="288" spans="2:17" ht="12.95" customHeight="1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4"/>
        <v>1</v>
      </c>
    </row>
    <row r="289" spans="2:17" ht="12.95" customHeight="1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4"/>
        <v>1</v>
      </c>
    </row>
    <row r="290" spans="2:17" ht="12.95" customHeight="1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4"/>
        <v>1</v>
      </c>
    </row>
    <row r="291" spans="2:17" ht="12.95" customHeight="1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4"/>
        <v>1</v>
      </c>
    </row>
    <row r="292" spans="2:17" ht="12.95" customHeight="1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4"/>
        <v>1</v>
      </c>
    </row>
    <row r="293" spans="2:17" ht="12.95" customHeight="1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4"/>
        <v>1</v>
      </c>
    </row>
    <row r="294" spans="2:17" ht="12.95" customHeight="1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4"/>
        <v>1</v>
      </c>
    </row>
    <row r="295" spans="2:17" ht="12.95" customHeight="1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4"/>
        <v>1</v>
      </c>
    </row>
    <row r="296" spans="2:17" ht="12.95" customHeight="1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4"/>
        <v>1</v>
      </c>
    </row>
    <row r="297" spans="2:17" ht="12.95" customHeight="1" thickBot="1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4"/>
        <v>1</v>
      </c>
    </row>
    <row r="298" spans="2:17" ht="12.95" customHeight="1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87" t="s">
        <v>68</v>
      </c>
      <c r="O298" s="187" t="s">
        <v>69</v>
      </c>
      <c r="Q298" s="19">
        <f t="shared" si="104"/>
        <v>1</v>
      </c>
    </row>
    <row r="299" spans="2:17" ht="12.95" customHeight="1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88"/>
      <c r="O299" s="188"/>
      <c r="Q299" s="19">
        <f t="shared" si="104"/>
        <v>1</v>
      </c>
    </row>
    <row r="300" spans="2:17" ht="12.95" customHeight="1" thickBot="1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89"/>
      <c r="O300" s="189"/>
      <c r="Q300" s="19">
        <f t="shared" si="104"/>
        <v>1</v>
      </c>
    </row>
    <row r="301" spans="2:17" ht="12.95" customHeight="1" thickBot="1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4"/>
        <v>1</v>
      </c>
    </row>
    <row r="302" spans="2:17" ht="12.95" customHeight="1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87" t="s">
        <v>70</v>
      </c>
      <c r="O302" s="187" t="s">
        <v>71</v>
      </c>
      <c r="Q302" s="19">
        <f t="shared" si="104"/>
        <v>1</v>
      </c>
    </row>
    <row r="303" spans="2:17" ht="12.95" customHeight="1" thickBot="1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89"/>
      <c r="O303" s="189"/>
      <c r="Q303" s="19">
        <f t="shared" si="104"/>
        <v>1</v>
      </c>
    </row>
    <row r="304" spans="2:17" ht="12.95" customHeight="1" thickBot="1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4"/>
        <v>1</v>
      </c>
    </row>
    <row r="305" spans="1:17" ht="12.95" customHeight="1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>
      <c r="B308" s="21">
        <v>44500</v>
      </c>
      <c r="C308" s="32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4"/>
        <v>1</v>
      </c>
    </row>
    <row r="309" spans="1:17" ht="12.95" customHeight="1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4"/>
        <v>1</v>
      </c>
    </row>
    <row r="310" spans="1:17" ht="12.95" customHeight="1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4"/>
        <v>1</v>
      </c>
    </row>
    <row r="311" spans="1:17" ht="12.95" customHeight="1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4"/>
        <v>1</v>
      </c>
    </row>
    <row r="312" spans="1:17" ht="12.95" customHeight="1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4"/>
        <v>1</v>
      </c>
    </row>
    <row r="313" spans="1:17" ht="12.95" customHeight="1">
      <c r="A313" s="8" t="s">
        <v>76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4"/>
        <v>1</v>
      </c>
    </row>
    <row r="314" spans="1:17" ht="12.95" customHeight="1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4"/>
        <v>1</v>
      </c>
    </row>
    <row r="315" spans="1:17" ht="12.95" customHeight="1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4"/>
        <v>1</v>
      </c>
    </row>
    <row r="316" spans="1:17" ht="12.95" customHeight="1">
      <c r="B316" s="21">
        <v>44508</v>
      </c>
      <c r="C316" s="39"/>
      <c r="D316" s="22"/>
      <c r="E316" s="23"/>
      <c r="F316" s="24"/>
      <c r="G316" s="25"/>
      <c r="H316" s="26" t="str">
        <f t="shared" ref="H316:L367" si="105">IF(C316="","",+(C316-C315))</f>
        <v/>
      </c>
      <c r="I316" s="26" t="str">
        <f t="shared" si="105"/>
        <v/>
      </c>
      <c r="J316" s="26" t="str">
        <f t="shared" si="105"/>
        <v/>
      </c>
      <c r="K316" s="26" t="str">
        <f t="shared" si="105"/>
        <v/>
      </c>
      <c r="L316" s="27" t="str">
        <f t="shared" si="105"/>
        <v/>
      </c>
      <c r="M316" s="28" t="str">
        <f t="shared" si="102"/>
        <v/>
      </c>
      <c r="Q316" s="19">
        <f t="shared" si="104"/>
        <v>1</v>
      </c>
    </row>
    <row r="317" spans="1:17" ht="12.95" customHeight="1">
      <c r="B317" s="21">
        <v>44509</v>
      </c>
      <c r="C317" s="39"/>
      <c r="D317" s="22"/>
      <c r="E317" s="23"/>
      <c r="F317" s="24"/>
      <c r="G317" s="25"/>
      <c r="H317" s="26" t="str">
        <f t="shared" si="105"/>
        <v/>
      </c>
      <c r="I317" s="26" t="str">
        <f t="shared" si="105"/>
        <v/>
      </c>
      <c r="J317" s="26" t="str">
        <f t="shared" si="105"/>
        <v/>
      </c>
      <c r="K317" s="26" t="str">
        <f t="shared" si="105"/>
        <v/>
      </c>
      <c r="L317" s="27" t="str">
        <f t="shared" si="105"/>
        <v/>
      </c>
      <c r="M317" s="28" t="str">
        <f t="shared" si="102"/>
        <v/>
      </c>
      <c r="Q317" s="19">
        <f t="shared" si="104"/>
        <v>1</v>
      </c>
    </row>
    <row r="318" spans="1:17" ht="12.95" customHeight="1">
      <c r="B318" s="21">
        <v>44510</v>
      </c>
      <c r="C318" s="39"/>
      <c r="D318" s="22"/>
      <c r="E318" s="23"/>
      <c r="F318" s="24"/>
      <c r="G318" s="25"/>
      <c r="H318" s="26" t="str">
        <f t="shared" si="105"/>
        <v/>
      </c>
      <c r="I318" s="26" t="str">
        <f t="shared" si="105"/>
        <v/>
      </c>
      <c r="J318" s="26" t="str">
        <f t="shared" si="105"/>
        <v/>
      </c>
      <c r="K318" s="26" t="str">
        <f t="shared" si="105"/>
        <v/>
      </c>
      <c r="L318" s="27" t="str">
        <f t="shared" si="105"/>
        <v/>
      </c>
      <c r="M318" s="28" t="str">
        <f t="shared" si="102"/>
        <v/>
      </c>
      <c r="Q318" s="19">
        <f t="shared" si="104"/>
        <v>1</v>
      </c>
    </row>
    <row r="319" spans="1:17" ht="12.95" customHeight="1">
      <c r="B319" s="21">
        <v>44511</v>
      </c>
      <c r="C319" s="39"/>
      <c r="D319" s="22"/>
      <c r="E319" s="23"/>
      <c r="F319" s="24"/>
      <c r="G319" s="25"/>
      <c r="H319" s="26" t="str">
        <f t="shared" si="105"/>
        <v/>
      </c>
      <c r="I319" s="26" t="str">
        <f t="shared" si="105"/>
        <v/>
      </c>
      <c r="J319" s="26" t="str">
        <f t="shared" si="105"/>
        <v/>
      </c>
      <c r="K319" s="26" t="str">
        <f t="shared" si="105"/>
        <v/>
      </c>
      <c r="L319" s="27" t="str">
        <f t="shared" si="105"/>
        <v/>
      </c>
      <c r="M319" s="28" t="str">
        <f t="shared" si="102"/>
        <v/>
      </c>
      <c r="Q319" s="19">
        <f t="shared" si="104"/>
        <v>1</v>
      </c>
    </row>
    <row r="320" spans="1:17" ht="12.95" customHeight="1">
      <c r="B320" s="21">
        <v>44512</v>
      </c>
      <c r="C320" s="39"/>
      <c r="D320" s="22"/>
      <c r="E320" s="23"/>
      <c r="F320" s="24"/>
      <c r="G320" s="25"/>
      <c r="H320" s="26" t="str">
        <f t="shared" si="105"/>
        <v/>
      </c>
      <c r="I320" s="26" t="str">
        <f t="shared" si="105"/>
        <v/>
      </c>
      <c r="J320" s="26" t="str">
        <f t="shared" si="105"/>
        <v/>
      </c>
      <c r="K320" s="26" t="str">
        <f t="shared" si="105"/>
        <v/>
      </c>
      <c r="L320" s="27" t="str">
        <f t="shared" si="105"/>
        <v/>
      </c>
      <c r="M320" s="28" t="str">
        <f t="shared" si="102"/>
        <v/>
      </c>
      <c r="Q320" s="19">
        <f t="shared" si="104"/>
        <v>1</v>
      </c>
    </row>
    <row r="321" spans="1:17" ht="12.95" customHeight="1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5"/>
        <v/>
      </c>
      <c r="J321" s="26" t="str">
        <f t="shared" si="105"/>
        <v/>
      </c>
      <c r="K321" s="26" t="str">
        <f t="shared" si="105"/>
        <v/>
      </c>
      <c r="L321" s="27" t="str">
        <f t="shared" si="105"/>
        <v/>
      </c>
      <c r="M321" s="28" t="str">
        <f t="shared" si="102"/>
        <v/>
      </c>
      <c r="Q321" s="19">
        <f t="shared" si="104"/>
        <v>1</v>
      </c>
    </row>
    <row r="322" spans="1:17" ht="12.95" customHeight="1">
      <c r="B322" s="21">
        <v>44514</v>
      </c>
      <c r="C322" s="39"/>
      <c r="D322" s="22"/>
      <c r="E322" s="23"/>
      <c r="F322" s="24"/>
      <c r="G322" s="25"/>
      <c r="H322" s="26" t="str">
        <f t="shared" si="105"/>
        <v/>
      </c>
      <c r="I322" s="26" t="str">
        <f t="shared" si="105"/>
        <v/>
      </c>
      <c r="J322" s="26" t="str">
        <f t="shared" si="105"/>
        <v/>
      </c>
      <c r="K322" s="26" t="str">
        <f t="shared" si="105"/>
        <v/>
      </c>
      <c r="L322" s="27" t="str">
        <f t="shared" si="105"/>
        <v/>
      </c>
      <c r="M322" s="28" t="str">
        <f t="shared" si="102"/>
        <v/>
      </c>
      <c r="Q322" s="19">
        <f t="shared" si="104"/>
        <v>1</v>
      </c>
    </row>
    <row r="323" spans="1:17" ht="12.95" customHeight="1">
      <c r="B323" s="21">
        <v>44515</v>
      </c>
      <c r="C323" s="39"/>
      <c r="D323" s="22"/>
      <c r="E323" s="23"/>
      <c r="F323" s="24"/>
      <c r="G323" s="25"/>
      <c r="H323" s="26" t="str">
        <f t="shared" si="105"/>
        <v/>
      </c>
      <c r="I323" s="26" t="str">
        <f t="shared" si="105"/>
        <v/>
      </c>
      <c r="J323" s="26" t="str">
        <f t="shared" si="105"/>
        <v/>
      </c>
      <c r="K323" s="26" t="str">
        <f t="shared" si="105"/>
        <v/>
      </c>
      <c r="L323" s="27" t="str">
        <f t="shared" si="105"/>
        <v/>
      </c>
      <c r="M323" s="28" t="str">
        <f t="shared" si="102"/>
        <v/>
      </c>
      <c r="Q323" s="19">
        <f t="shared" si="104"/>
        <v>1</v>
      </c>
    </row>
    <row r="324" spans="1:17" ht="12.95" customHeight="1">
      <c r="A324" s="8" t="s">
        <v>77</v>
      </c>
      <c r="B324" s="21">
        <v>44516</v>
      </c>
      <c r="C324" s="39"/>
      <c r="D324" s="22"/>
      <c r="E324" s="23"/>
      <c r="F324" s="24"/>
      <c r="G324" s="25"/>
      <c r="H324" s="26" t="str">
        <f t="shared" si="105"/>
        <v/>
      </c>
      <c r="I324" s="26" t="str">
        <f t="shared" si="105"/>
        <v/>
      </c>
      <c r="J324" s="26" t="str">
        <f t="shared" si="105"/>
        <v/>
      </c>
      <c r="K324" s="26" t="str">
        <f t="shared" si="105"/>
        <v/>
      </c>
      <c r="L324" s="27" t="str">
        <f t="shared" si="105"/>
        <v/>
      </c>
      <c r="M324" s="28" t="str">
        <f t="shared" si="102"/>
        <v/>
      </c>
      <c r="Q324" s="19">
        <f t="shared" si="104"/>
        <v>1</v>
      </c>
    </row>
    <row r="325" spans="1:17" ht="12.95" customHeight="1">
      <c r="B325" s="21">
        <v>44517</v>
      </c>
      <c r="C325" s="39"/>
      <c r="D325" s="22"/>
      <c r="E325" s="23"/>
      <c r="F325" s="24"/>
      <c r="G325" s="25"/>
      <c r="H325" s="26" t="str">
        <f t="shared" si="105"/>
        <v/>
      </c>
      <c r="I325" s="26" t="str">
        <f t="shared" si="105"/>
        <v/>
      </c>
      <c r="J325" s="26" t="str">
        <f t="shared" si="105"/>
        <v/>
      </c>
      <c r="K325" s="26" t="str">
        <f t="shared" si="105"/>
        <v/>
      </c>
      <c r="L325" s="27" t="str">
        <f t="shared" si="105"/>
        <v/>
      </c>
      <c r="M325" s="28" t="str">
        <f t="shared" si="102"/>
        <v/>
      </c>
      <c r="Q325" s="19">
        <f t="shared" si="104"/>
        <v>1</v>
      </c>
    </row>
    <row r="326" spans="1:17" ht="12.95" customHeight="1">
      <c r="B326" s="21">
        <v>44518</v>
      </c>
      <c r="C326" s="39"/>
      <c r="D326" s="22"/>
      <c r="E326" s="23"/>
      <c r="F326" s="24"/>
      <c r="G326" s="25"/>
      <c r="H326" s="26" t="str">
        <f t="shared" si="105"/>
        <v/>
      </c>
      <c r="I326" s="26" t="str">
        <f t="shared" si="105"/>
        <v/>
      </c>
      <c r="J326" s="26" t="str">
        <f t="shared" si="105"/>
        <v/>
      </c>
      <c r="K326" s="26" t="str">
        <f t="shared" si="105"/>
        <v/>
      </c>
      <c r="L326" s="27" t="str">
        <f t="shared" si="105"/>
        <v/>
      </c>
      <c r="M326" s="28" t="str">
        <f t="shared" ref="M326:M368" si="106">IF(H326="","",+(H326+I326+J326+K326))</f>
        <v/>
      </c>
      <c r="Q326" s="19">
        <f t="shared" si="104"/>
        <v>1</v>
      </c>
    </row>
    <row r="327" spans="1:17" ht="12.95" customHeight="1" thickBot="1">
      <c r="B327" s="21">
        <v>44519</v>
      </c>
      <c r="C327" s="39"/>
      <c r="D327" s="22"/>
      <c r="E327" s="23"/>
      <c r="F327" s="24"/>
      <c r="G327" s="25"/>
      <c r="H327" s="26" t="str">
        <f t="shared" si="105"/>
        <v/>
      </c>
      <c r="I327" s="26" t="str">
        <f t="shared" si="105"/>
        <v/>
      </c>
      <c r="J327" s="26" t="str">
        <f t="shared" si="105"/>
        <v/>
      </c>
      <c r="K327" s="26" t="str">
        <f t="shared" si="105"/>
        <v/>
      </c>
      <c r="L327" s="27" t="str">
        <f t="shared" si="105"/>
        <v/>
      </c>
      <c r="M327" s="28" t="str">
        <f t="shared" si="106"/>
        <v/>
      </c>
      <c r="Q327" s="19">
        <f t="shared" si="104"/>
        <v>1</v>
      </c>
    </row>
    <row r="328" spans="1:17" ht="12.95" customHeight="1">
      <c r="B328" s="21">
        <v>44520</v>
      </c>
      <c r="C328" s="39"/>
      <c r="D328" s="22"/>
      <c r="E328" s="23"/>
      <c r="F328" s="24"/>
      <c r="G328" s="25"/>
      <c r="H328" s="26" t="str">
        <f t="shared" si="105"/>
        <v/>
      </c>
      <c r="I328" s="26" t="str">
        <f t="shared" si="105"/>
        <v/>
      </c>
      <c r="J328" s="26" t="str">
        <f t="shared" si="105"/>
        <v/>
      </c>
      <c r="K328" s="26" t="str">
        <f t="shared" si="105"/>
        <v/>
      </c>
      <c r="L328" s="27" t="str">
        <f t="shared" si="105"/>
        <v/>
      </c>
      <c r="M328" s="28" t="str">
        <f t="shared" si="106"/>
        <v/>
      </c>
      <c r="N328" s="187" t="s">
        <v>68</v>
      </c>
      <c r="O328" s="187" t="s">
        <v>69</v>
      </c>
      <c r="Q328" s="19">
        <f t="shared" si="104"/>
        <v>1</v>
      </c>
    </row>
    <row r="329" spans="1:17" ht="12.95" customHeight="1">
      <c r="B329" s="21">
        <v>44521</v>
      </c>
      <c r="C329" s="39"/>
      <c r="D329" s="22"/>
      <c r="E329" s="23"/>
      <c r="F329" s="24"/>
      <c r="G329" s="25"/>
      <c r="H329" s="26" t="str">
        <f t="shared" si="105"/>
        <v/>
      </c>
      <c r="I329" s="26" t="str">
        <f t="shared" si="105"/>
        <v/>
      </c>
      <c r="J329" s="26" t="str">
        <f t="shared" si="105"/>
        <v/>
      </c>
      <c r="K329" s="26" t="str">
        <f t="shared" si="105"/>
        <v/>
      </c>
      <c r="L329" s="27" t="str">
        <f t="shared" si="105"/>
        <v/>
      </c>
      <c r="M329" s="28" t="str">
        <f t="shared" si="106"/>
        <v/>
      </c>
      <c r="N329" s="188"/>
      <c r="O329" s="188"/>
      <c r="Q329" s="19">
        <f t="shared" si="104"/>
        <v>1</v>
      </c>
    </row>
    <row r="330" spans="1:17" ht="12.95" customHeight="1" thickBot="1">
      <c r="B330" s="21">
        <v>44522</v>
      </c>
      <c r="C330" s="39"/>
      <c r="D330" s="22"/>
      <c r="E330" s="23"/>
      <c r="F330" s="24"/>
      <c r="G330" s="25"/>
      <c r="H330" s="26" t="str">
        <f t="shared" si="105"/>
        <v/>
      </c>
      <c r="I330" s="26" t="str">
        <f t="shared" si="105"/>
        <v/>
      </c>
      <c r="J330" s="26" t="str">
        <f t="shared" si="105"/>
        <v/>
      </c>
      <c r="K330" s="26" t="str">
        <f t="shared" si="105"/>
        <v/>
      </c>
      <c r="L330" s="27" t="str">
        <f t="shared" si="105"/>
        <v/>
      </c>
      <c r="M330" s="28" t="str">
        <f t="shared" si="106"/>
        <v/>
      </c>
      <c r="N330" s="189"/>
      <c r="O330" s="189"/>
      <c r="Q330" s="19">
        <f t="shared" si="104"/>
        <v>1</v>
      </c>
    </row>
    <row r="331" spans="1:17" ht="12.95" customHeight="1" thickBot="1">
      <c r="B331" s="21">
        <v>44523</v>
      </c>
      <c r="C331" s="39"/>
      <c r="D331" s="22"/>
      <c r="E331" s="23"/>
      <c r="F331" s="24"/>
      <c r="G331" s="25"/>
      <c r="H331" s="26" t="str">
        <f t="shared" si="105"/>
        <v/>
      </c>
      <c r="I331" s="26" t="str">
        <f t="shared" si="105"/>
        <v/>
      </c>
      <c r="J331" s="26" t="str">
        <f t="shared" si="105"/>
        <v/>
      </c>
      <c r="K331" s="26" t="str">
        <f t="shared" si="105"/>
        <v/>
      </c>
      <c r="L331" s="27" t="str">
        <f t="shared" si="105"/>
        <v/>
      </c>
      <c r="M331" s="28" t="str">
        <f t="shared" si="106"/>
        <v/>
      </c>
      <c r="N331" s="30">
        <f>SUM(L309:L338)</f>
        <v>0</v>
      </c>
      <c r="O331" s="30">
        <f>SUM(M309:M338)</f>
        <v>0</v>
      </c>
      <c r="Q331" s="19">
        <f t="shared" si="104"/>
        <v>1</v>
      </c>
    </row>
    <row r="332" spans="1:17" ht="12.95" customHeight="1">
      <c r="B332" s="21">
        <v>44524</v>
      </c>
      <c r="C332" s="39"/>
      <c r="D332" s="22"/>
      <c r="E332" s="23"/>
      <c r="F332" s="24"/>
      <c r="G332" s="25"/>
      <c r="H332" s="26" t="str">
        <f t="shared" si="105"/>
        <v/>
      </c>
      <c r="I332" s="26" t="str">
        <f t="shared" si="105"/>
        <v/>
      </c>
      <c r="J332" s="26" t="str">
        <f t="shared" si="105"/>
        <v/>
      </c>
      <c r="K332" s="26" t="str">
        <f t="shared" si="105"/>
        <v/>
      </c>
      <c r="L332" s="27" t="str">
        <f t="shared" si="105"/>
        <v/>
      </c>
      <c r="M332" s="28" t="str">
        <f t="shared" si="106"/>
        <v/>
      </c>
      <c r="N332" s="187" t="s">
        <v>70</v>
      </c>
      <c r="O332" s="187" t="s">
        <v>71</v>
      </c>
      <c r="Q332" s="19">
        <f t="shared" si="104"/>
        <v>1</v>
      </c>
    </row>
    <row r="333" spans="1:17" ht="12.95" customHeight="1" thickBot="1">
      <c r="B333" s="21">
        <v>44525</v>
      </c>
      <c r="C333" s="39"/>
      <c r="D333" s="22"/>
      <c r="E333" s="23"/>
      <c r="F333" s="24"/>
      <c r="G333" s="25"/>
      <c r="H333" s="26" t="str">
        <f t="shared" si="105"/>
        <v/>
      </c>
      <c r="I333" s="26" t="str">
        <f t="shared" si="105"/>
        <v/>
      </c>
      <c r="J333" s="26" t="str">
        <f t="shared" si="105"/>
        <v/>
      </c>
      <c r="K333" s="26" t="str">
        <f t="shared" si="105"/>
        <v/>
      </c>
      <c r="L333" s="27" t="str">
        <f t="shared" si="105"/>
        <v/>
      </c>
      <c r="M333" s="28" t="str">
        <f t="shared" si="106"/>
        <v/>
      </c>
      <c r="N333" s="189"/>
      <c r="O333" s="189"/>
      <c r="Q333" s="19">
        <f t="shared" si="104"/>
        <v>1</v>
      </c>
    </row>
    <row r="334" spans="1:17" ht="12.95" customHeight="1" thickBot="1">
      <c r="B334" s="21">
        <v>44526</v>
      </c>
      <c r="C334" s="39"/>
      <c r="D334" s="22"/>
      <c r="E334" s="23"/>
      <c r="F334" s="24"/>
      <c r="G334" s="25"/>
      <c r="H334" s="26" t="str">
        <f t="shared" si="105"/>
        <v/>
      </c>
      <c r="I334" s="26" t="str">
        <f t="shared" si="105"/>
        <v/>
      </c>
      <c r="J334" s="26" t="str">
        <f t="shared" si="105"/>
        <v/>
      </c>
      <c r="K334" s="26" t="str">
        <f t="shared" si="105"/>
        <v/>
      </c>
      <c r="L334" s="27" t="str">
        <f t="shared" si="105"/>
        <v/>
      </c>
      <c r="M334" s="28" t="str">
        <f t="shared" si="106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4"/>
        <v>1</v>
      </c>
    </row>
    <row r="335" spans="1:17" ht="12.95" customHeight="1">
      <c r="B335" s="21">
        <v>44527</v>
      </c>
      <c r="C335" s="39"/>
      <c r="D335" s="22"/>
      <c r="E335" s="23"/>
      <c r="F335" s="24"/>
      <c r="G335" s="25"/>
      <c r="H335" s="26" t="str">
        <f t="shared" si="105"/>
        <v/>
      </c>
      <c r="I335" s="26" t="str">
        <f t="shared" si="105"/>
        <v/>
      </c>
      <c r="J335" s="26" t="str">
        <f t="shared" si="105"/>
        <v/>
      </c>
      <c r="K335" s="26" t="str">
        <f t="shared" si="105"/>
        <v/>
      </c>
      <c r="L335" s="27" t="str">
        <f t="shared" si="105"/>
        <v/>
      </c>
      <c r="M335" s="28" t="str">
        <f t="shared" si="106"/>
        <v/>
      </c>
      <c r="O335" s="19">
        <f>IF(L335="",1,0)</f>
        <v>1</v>
      </c>
    </row>
    <row r="336" spans="1:17" ht="12.95" customHeight="1">
      <c r="B336" s="21">
        <v>44528</v>
      </c>
      <c r="C336" s="39"/>
      <c r="D336" s="22"/>
      <c r="E336" s="23"/>
      <c r="F336" s="24"/>
      <c r="G336" s="25"/>
      <c r="H336" s="26" t="str">
        <f t="shared" si="105"/>
        <v/>
      </c>
      <c r="I336" s="26" t="str">
        <f t="shared" si="105"/>
        <v/>
      </c>
      <c r="J336" s="26" t="str">
        <f>IF(E336="","",+(E336-E335))</f>
        <v/>
      </c>
      <c r="K336" s="26" t="str">
        <f t="shared" si="105"/>
        <v/>
      </c>
      <c r="L336" s="27" t="str">
        <f t="shared" si="105"/>
        <v/>
      </c>
      <c r="M336" s="28" t="str">
        <f t="shared" si="106"/>
        <v/>
      </c>
      <c r="O336" s="19">
        <f>IF(L336="",1,0)</f>
        <v>1</v>
      </c>
    </row>
    <row r="337" spans="2:17" ht="12.95" customHeight="1">
      <c r="B337" s="21">
        <v>44529</v>
      </c>
      <c r="C337" s="39"/>
      <c r="D337" s="22"/>
      <c r="E337" s="23"/>
      <c r="F337" s="24"/>
      <c r="G337" s="25"/>
      <c r="H337" s="26" t="str">
        <f t="shared" si="105"/>
        <v/>
      </c>
      <c r="I337" s="26" t="str">
        <f t="shared" si="105"/>
        <v/>
      </c>
      <c r="J337" s="26" t="str">
        <f>IF(E337="","",+(E337-E336))</f>
        <v/>
      </c>
      <c r="K337" s="26" t="str">
        <f t="shared" si="105"/>
        <v/>
      </c>
      <c r="L337" s="27" t="str">
        <f>IF(G337="","",+(G337-G336))</f>
        <v/>
      </c>
      <c r="M337" s="28" t="str">
        <f t="shared" si="106"/>
        <v/>
      </c>
      <c r="O337" s="19">
        <f>IF(L337="",1,0)</f>
        <v>1</v>
      </c>
    </row>
    <row r="338" spans="2:17" ht="12.95" customHeight="1">
      <c r="B338" s="21">
        <v>44530</v>
      </c>
      <c r="C338" s="32"/>
      <c r="D338" s="32"/>
      <c r="E338" s="32"/>
      <c r="F338" s="32"/>
      <c r="G338" s="32"/>
      <c r="H338" s="33" t="str">
        <f t="shared" si="105"/>
        <v/>
      </c>
      <c r="I338" s="37" t="str">
        <f t="shared" si="105"/>
        <v/>
      </c>
      <c r="J338" s="33" t="str">
        <f t="shared" si="105"/>
        <v/>
      </c>
      <c r="K338" s="33" t="str">
        <f t="shared" si="105"/>
        <v/>
      </c>
      <c r="L338" s="34" t="str">
        <f t="shared" si="105"/>
        <v/>
      </c>
      <c r="M338" s="33" t="str">
        <f t="shared" si="106"/>
        <v/>
      </c>
      <c r="Q338" s="19">
        <f t="shared" si="104"/>
        <v>1</v>
      </c>
    </row>
    <row r="339" spans="2:17" ht="12.95" customHeight="1">
      <c r="B339" s="21">
        <v>44531</v>
      </c>
      <c r="C339" s="39"/>
      <c r="D339" s="22"/>
      <c r="E339" s="23"/>
      <c r="F339" s="24"/>
      <c r="G339" s="25"/>
      <c r="H339" s="26" t="str">
        <f t="shared" si="105"/>
        <v/>
      </c>
      <c r="I339" s="26" t="str">
        <f t="shared" si="105"/>
        <v/>
      </c>
      <c r="J339" s="26" t="str">
        <f t="shared" si="105"/>
        <v/>
      </c>
      <c r="K339" s="26" t="str">
        <f t="shared" si="105"/>
        <v/>
      </c>
      <c r="L339" s="27" t="str">
        <f t="shared" si="105"/>
        <v/>
      </c>
      <c r="M339" s="28" t="str">
        <f t="shared" si="106"/>
        <v/>
      </c>
      <c r="Q339" s="19">
        <f t="shared" si="104"/>
        <v>1</v>
      </c>
    </row>
    <row r="340" spans="2:17" ht="12.95" customHeight="1">
      <c r="B340" s="21">
        <v>44532</v>
      </c>
      <c r="C340" s="39"/>
      <c r="D340" s="22"/>
      <c r="E340" s="23"/>
      <c r="F340" s="24"/>
      <c r="G340" s="25"/>
      <c r="H340" s="26" t="str">
        <f t="shared" si="105"/>
        <v/>
      </c>
      <c r="I340" s="26" t="str">
        <f t="shared" si="105"/>
        <v/>
      </c>
      <c r="J340" s="26" t="str">
        <f t="shared" si="105"/>
        <v/>
      </c>
      <c r="K340" s="26" t="str">
        <f t="shared" si="105"/>
        <v/>
      </c>
      <c r="L340" s="27" t="str">
        <f t="shared" si="105"/>
        <v/>
      </c>
      <c r="M340" s="28" t="str">
        <f t="shared" si="106"/>
        <v/>
      </c>
      <c r="Q340" s="19">
        <f t="shared" si="104"/>
        <v>1</v>
      </c>
    </row>
    <row r="341" spans="2:17" ht="12.95" customHeight="1">
      <c r="B341" s="21">
        <v>44533</v>
      </c>
      <c r="C341" s="39"/>
      <c r="D341" s="22"/>
      <c r="E341" s="23"/>
      <c r="F341" s="24"/>
      <c r="G341" s="25"/>
      <c r="H341" s="26" t="str">
        <f t="shared" si="105"/>
        <v/>
      </c>
      <c r="I341" s="26" t="str">
        <f t="shared" si="105"/>
        <v/>
      </c>
      <c r="J341" s="26" t="str">
        <f t="shared" si="105"/>
        <v/>
      </c>
      <c r="K341" s="26" t="str">
        <f t="shared" si="105"/>
        <v/>
      </c>
      <c r="L341" s="27" t="str">
        <f t="shared" si="105"/>
        <v/>
      </c>
      <c r="M341" s="28" t="str">
        <f t="shared" si="106"/>
        <v/>
      </c>
      <c r="Q341" s="19">
        <f t="shared" si="104"/>
        <v>1</v>
      </c>
    </row>
    <row r="342" spans="2:17" ht="12.95" customHeight="1">
      <c r="B342" s="21">
        <v>44534</v>
      </c>
      <c r="C342" s="39"/>
      <c r="D342" s="22"/>
      <c r="E342" s="23"/>
      <c r="F342" s="24"/>
      <c r="G342" s="25"/>
      <c r="H342" s="26" t="str">
        <f t="shared" si="105"/>
        <v/>
      </c>
      <c r="I342" s="26" t="str">
        <f t="shared" si="105"/>
        <v/>
      </c>
      <c r="J342" s="26" t="str">
        <f t="shared" si="105"/>
        <v/>
      </c>
      <c r="K342" s="26" t="str">
        <f t="shared" si="105"/>
        <v/>
      </c>
      <c r="L342" s="27" t="str">
        <f t="shared" si="105"/>
        <v/>
      </c>
      <c r="M342" s="28" t="str">
        <f t="shared" si="106"/>
        <v/>
      </c>
      <c r="Q342" s="19">
        <f t="shared" si="104"/>
        <v>1</v>
      </c>
    </row>
    <row r="343" spans="2:17" ht="12.95" customHeight="1">
      <c r="B343" s="21">
        <v>44535</v>
      </c>
      <c r="C343" s="39"/>
      <c r="D343" s="22"/>
      <c r="E343" s="23"/>
      <c r="F343" s="24"/>
      <c r="G343" s="25"/>
      <c r="H343" s="26" t="str">
        <f t="shared" si="105"/>
        <v/>
      </c>
      <c r="I343" s="26" t="str">
        <f t="shared" si="105"/>
        <v/>
      </c>
      <c r="J343" s="26" t="str">
        <f t="shared" si="105"/>
        <v/>
      </c>
      <c r="K343" s="26" t="str">
        <f t="shared" si="105"/>
        <v/>
      </c>
      <c r="L343" s="27" t="str">
        <f t="shared" si="105"/>
        <v/>
      </c>
      <c r="M343" s="28" t="str">
        <f t="shared" si="106"/>
        <v/>
      </c>
      <c r="Q343" s="19">
        <f t="shared" si="104"/>
        <v>1</v>
      </c>
    </row>
    <row r="344" spans="2:17" ht="12.95" customHeight="1">
      <c r="B344" s="21">
        <v>44536</v>
      </c>
      <c r="C344" s="39"/>
      <c r="D344" s="22"/>
      <c r="E344" s="23"/>
      <c r="F344" s="24"/>
      <c r="G344" s="25"/>
      <c r="H344" s="26" t="str">
        <f t="shared" si="105"/>
        <v/>
      </c>
      <c r="I344" s="26" t="str">
        <f t="shared" si="105"/>
        <v/>
      </c>
      <c r="J344" s="26" t="str">
        <f t="shared" ref="J344:J347" si="107">IF(E344="","",+(E344-E343))</f>
        <v/>
      </c>
      <c r="K344" s="26" t="str">
        <f t="shared" si="105"/>
        <v/>
      </c>
      <c r="L344" s="27" t="str">
        <f t="shared" si="105"/>
        <v/>
      </c>
      <c r="M344" s="28" t="str">
        <f t="shared" si="106"/>
        <v/>
      </c>
      <c r="Q344" s="19">
        <f t="shared" ref="Q344:Q369" si="108">IF(L344="",1,0)</f>
        <v>1</v>
      </c>
    </row>
    <row r="345" spans="2:17" ht="12.95" customHeight="1">
      <c r="B345" s="21">
        <v>44537</v>
      </c>
      <c r="C345" s="39"/>
      <c r="D345" s="22"/>
      <c r="E345" s="23"/>
      <c r="F345" s="24"/>
      <c r="G345" s="25"/>
      <c r="H345" s="26" t="str">
        <f t="shared" si="105"/>
        <v/>
      </c>
      <c r="I345" s="26" t="str">
        <f t="shared" si="105"/>
        <v/>
      </c>
      <c r="J345" s="26" t="str">
        <f t="shared" si="107"/>
        <v/>
      </c>
      <c r="K345" s="26" t="str">
        <f t="shared" si="105"/>
        <v/>
      </c>
      <c r="L345" s="27" t="str">
        <f t="shared" si="105"/>
        <v/>
      </c>
      <c r="M345" s="28" t="str">
        <f t="shared" si="106"/>
        <v/>
      </c>
      <c r="Q345" s="19">
        <f t="shared" si="108"/>
        <v>1</v>
      </c>
    </row>
    <row r="346" spans="2:17" ht="12.95" customHeight="1">
      <c r="B346" s="21">
        <v>44538</v>
      </c>
      <c r="C346" s="39"/>
      <c r="D346" s="22"/>
      <c r="E346" s="23"/>
      <c r="F346" s="24"/>
      <c r="G346" s="25"/>
      <c r="H346" s="26" t="str">
        <f t="shared" si="105"/>
        <v/>
      </c>
      <c r="I346" s="26" t="str">
        <f t="shared" si="105"/>
        <v/>
      </c>
      <c r="J346" s="26" t="str">
        <f t="shared" si="107"/>
        <v/>
      </c>
      <c r="K346" s="26" t="str">
        <f t="shared" si="105"/>
        <v/>
      </c>
      <c r="L346" s="27" t="str">
        <f t="shared" si="105"/>
        <v/>
      </c>
      <c r="M346" s="28" t="str">
        <f t="shared" si="106"/>
        <v/>
      </c>
      <c r="Q346" s="19">
        <f t="shared" si="108"/>
        <v>1</v>
      </c>
    </row>
    <row r="347" spans="2:17" ht="12.95" customHeight="1">
      <c r="B347" s="21">
        <v>44539</v>
      </c>
      <c r="C347" s="39"/>
      <c r="D347" s="22"/>
      <c r="E347" s="23"/>
      <c r="F347" s="24"/>
      <c r="G347" s="25"/>
      <c r="H347" s="26" t="str">
        <f t="shared" si="105"/>
        <v/>
      </c>
      <c r="I347" s="26" t="str">
        <f t="shared" si="105"/>
        <v/>
      </c>
      <c r="J347" s="26" t="str">
        <f t="shared" si="107"/>
        <v/>
      </c>
      <c r="K347" s="26" t="str">
        <f t="shared" si="105"/>
        <v/>
      </c>
      <c r="L347" s="27" t="str">
        <f t="shared" si="105"/>
        <v/>
      </c>
      <c r="M347" s="28" t="str">
        <f t="shared" si="106"/>
        <v/>
      </c>
      <c r="Q347" s="19">
        <f t="shared" si="108"/>
        <v>1</v>
      </c>
    </row>
    <row r="348" spans="2:17" ht="12.95" customHeight="1">
      <c r="B348" s="21">
        <v>44540</v>
      </c>
      <c r="C348" s="39"/>
      <c r="D348" s="22"/>
      <c r="E348" s="23"/>
      <c r="F348" s="24"/>
      <c r="G348" s="25"/>
      <c r="H348" s="26" t="str">
        <f t="shared" si="105"/>
        <v/>
      </c>
      <c r="I348" s="26" t="str">
        <f t="shared" si="105"/>
        <v/>
      </c>
      <c r="J348" s="26" t="str">
        <f t="shared" si="105"/>
        <v/>
      </c>
      <c r="K348" s="26" t="str">
        <f t="shared" si="105"/>
        <v/>
      </c>
      <c r="L348" s="27" t="str">
        <f t="shared" si="105"/>
        <v/>
      </c>
      <c r="M348" s="28" t="str">
        <f t="shared" si="106"/>
        <v/>
      </c>
      <c r="Q348" s="19">
        <f t="shared" si="108"/>
        <v>1</v>
      </c>
    </row>
    <row r="349" spans="2:17" ht="12.95" customHeight="1">
      <c r="B349" s="21">
        <v>44541</v>
      </c>
      <c r="C349" s="39"/>
      <c r="D349" s="22"/>
      <c r="E349" s="23"/>
      <c r="F349" s="24"/>
      <c r="G349" s="25"/>
      <c r="H349" s="26" t="str">
        <f t="shared" si="105"/>
        <v/>
      </c>
      <c r="I349" s="26" t="str">
        <f t="shared" si="105"/>
        <v/>
      </c>
      <c r="J349" s="26" t="str">
        <f t="shared" si="105"/>
        <v/>
      </c>
      <c r="K349" s="26" t="str">
        <f t="shared" si="105"/>
        <v/>
      </c>
      <c r="L349" s="27" t="str">
        <f t="shared" si="105"/>
        <v/>
      </c>
      <c r="M349" s="28" t="str">
        <f t="shared" si="106"/>
        <v/>
      </c>
      <c r="Q349" s="19">
        <f t="shared" si="108"/>
        <v>1</v>
      </c>
    </row>
    <row r="350" spans="2:17" ht="12.95" customHeight="1">
      <c r="B350" s="21">
        <v>44542</v>
      </c>
      <c r="C350" s="39"/>
      <c r="D350" s="22"/>
      <c r="E350" s="23"/>
      <c r="F350" s="24"/>
      <c r="G350" s="25"/>
      <c r="H350" s="26" t="str">
        <f t="shared" si="105"/>
        <v/>
      </c>
      <c r="I350" s="26" t="str">
        <f t="shared" si="105"/>
        <v/>
      </c>
      <c r="J350" s="26" t="str">
        <f t="shared" si="105"/>
        <v/>
      </c>
      <c r="K350" s="26" t="str">
        <f t="shared" si="105"/>
        <v/>
      </c>
      <c r="L350" s="27" t="str">
        <f t="shared" si="105"/>
        <v/>
      </c>
      <c r="M350" s="28" t="str">
        <f t="shared" si="106"/>
        <v/>
      </c>
      <c r="Q350" s="19">
        <f t="shared" si="108"/>
        <v>1</v>
      </c>
    </row>
    <row r="351" spans="2:17" ht="12.95" customHeight="1">
      <c r="B351" s="21">
        <v>44543</v>
      </c>
      <c r="C351" s="39"/>
      <c r="D351" s="22"/>
      <c r="E351" s="23"/>
      <c r="F351" s="24"/>
      <c r="G351" s="25"/>
      <c r="H351" s="26" t="str">
        <f t="shared" si="105"/>
        <v/>
      </c>
      <c r="I351" s="26" t="str">
        <f t="shared" si="105"/>
        <v/>
      </c>
      <c r="J351" s="26" t="str">
        <f t="shared" si="105"/>
        <v/>
      </c>
      <c r="K351" s="26" t="str">
        <f t="shared" si="105"/>
        <v/>
      </c>
      <c r="L351" s="27" t="str">
        <f t="shared" si="105"/>
        <v/>
      </c>
      <c r="M351" s="28" t="str">
        <f t="shared" si="106"/>
        <v/>
      </c>
      <c r="Q351" s="19">
        <f t="shared" si="108"/>
        <v>1</v>
      </c>
    </row>
    <row r="352" spans="2:17" ht="12.95" customHeight="1">
      <c r="B352" s="21">
        <v>44544</v>
      </c>
      <c r="C352" s="39"/>
      <c r="D352" s="22"/>
      <c r="E352" s="23"/>
      <c r="F352" s="24"/>
      <c r="G352" s="25"/>
      <c r="H352" s="26" t="str">
        <f t="shared" si="105"/>
        <v/>
      </c>
      <c r="I352" s="26" t="str">
        <f t="shared" si="105"/>
        <v/>
      </c>
      <c r="J352" s="26" t="str">
        <f t="shared" si="105"/>
        <v/>
      </c>
      <c r="K352" s="26" t="str">
        <f t="shared" si="105"/>
        <v/>
      </c>
      <c r="L352" s="27" t="str">
        <f t="shared" si="105"/>
        <v/>
      </c>
      <c r="M352" s="28" t="str">
        <f t="shared" si="106"/>
        <v/>
      </c>
      <c r="Q352" s="19">
        <f t="shared" si="108"/>
        <v>1</v>
      </c>
    </row>
    <row r="353" spans="2:17" ht="12.95" customHeight="1">
      <c r="B353" s="21">
        <v>44545</v>
      </c>
      <c r="C353" s="39"/>
      <c r="D353" s="22"/>
      <c r="E353" s="23"/>
      <c r="F353" s="24"/>
      <c r="G353" s="25"/>
      <c r="H353" s="26" t="str">
        <f t="shared" si="105"/>
        <v/>
      </c>
      <c r="I353" s="26" t="str">
        <f t="shared" si="105"/>
        <v/>
      </c>
      <c r="J353" s="26" t="str">
        <f t="shared" si="105"/>
        <v/>
      </c>
      <c r="K353" s="26" t="str">
        <f>IF(F353="","",+(F353-F352))</f>
        <v/>
      </c>
      <c r="L353" s="27" t="str">
        <f t="shared" si="105"/>
        <v/>
      </c>
      <c r="M353" s="28" t="str">
        <f t="shared" si="106"/>
        <v/>
      </c>
      <c r="Q353" s="19">
        <f t="shared" si="108"/>
        <v>1</v>
      </c>
    </row>
    <row r="354" spans="2:17" ht="12.95" customHeight="1">
      <c r="B354" s="21">
        <v>44546</v>
      </c>
      <c r="C354" s="39"/>
      <c r="D354" s="22"/>
      <c r="E354" s="23"/>
      <c r="F354" s="24"/>
      <c r="G354" s="25"/>
      <c r="H354" s="26" t="str">
        <f t="shared" si="105"/>
        <v/>
      </c>
      <c r="I354" s="26" t="str">
        <f t="shared" si="105"/>
        <v/>
      </c>
      <c r="J354" s="26" t="str">
        <f t="shared" si="105"/>
        <v/>
      </c>
      <c r="K354" s="26" t="str">
        <f t="shared" si="105"/>
        <v/>
      </c>
      <c r="L354" s="27" t="str">
        <f t="shared" si="105"/>
        <v/>
      </c>
      <c r="M354" s="28" t="str">
        <f t="shared" si="106"/>
        <v/>
      </c>
      <c r="Q354" s="19">
        <f t="shared" si="108"/>
        <v>1</v>
      </c>
    </row>
    <row r="355" spans="2:17" ht="12.95" customHeight="1">
      <c r="B355" s="21">
        <v>44547</v>
      </c>
      <c r="C355" s="39"/>
      <c r="D355" s="22"/>
      <c r="E355" s="23"/>
      <c r="F355" s="24"/>
      <c r="G355" s="25"/>
      <c r="H355" s="26" t="str">
        <f t="shared" si="105"/>
        <v/>
      </c>
      <c r="I355" s="26" t="str">
        <f t="shared" si="105"/>
        <v/>
      </c>
      <c r="J355" s="26" t="str">
        <f t="shared" si="105"/>
        <v/>
      </c>
      <c r="K355" s="26" t="str">
        <f t="shared" si="105"/>
        <v/>
      </c>
      <c r="L355" s="27" t="str">
        <f t="shared" si="105"/>
        <v/>
      </c>
      <c r="M355" s="28" t="str">
        <f t="shared" si="106"/>
        <v/>
      </c>
      <c r="Q355" s="19">
        <f t="shared" si="108"/>
        <v>1</v>
      </c>
    </row>
    <row r="356" spans="2:17" ht="12.95" customHeight="1">
      <c r="B356" s="21">
        <v>44548</v>
      </c>
      <c r="C356" s="39"/>
      <c r="D356" s="22"/>
      <c r="E356" s="23"/>
      <c r="F356" s="24"/>
      <c r="G356" s="25"/>
      <c r="H356" s="26" t="str">
        <f t="shared" si="105"/>
        <v/>
      </c>
      <c r="I356" s="26" t="str">
        <f t="shared" si="105"/>
        <v/>
      </c>
      <c r="J356" s="26" t="str">
        <f t="shared" si="105"/>
        <v/>
      </c>
      <c r="K356" s="26" t="str">
        <f t="shared" si="105"/>
        <v/>
      </c>
      <c r="L356" s="27" t="str">
        <f t="shared" si="105"/>
        <v/>
      </c>
      <c r="M356" s="28" t="str">
        <f t="shared" si="106"/>
        <v/>
      </c>
      <c r="Q356" s="19">
        <f t="shared" si="108"/>
        <v>1</v>
      </c>
    </row>
    <row r="357" spans="2:17" ht="12.95" customHeight="1">
      <c r="B357" s="21">
        <v>44549</v>
      </c>
      <c r="C357" s="39"/>
      <c r="D357" s="22"/>
      <c r="E357" s="23"/>
      <c r="F357" s="24"/>
      <c r="G357" s="25"/>
      <c r="H357" s="26" t="str">
        <f t="shared" si="105"/>
        <v/>
      </c>
      <c r="I357" s="26" t="str">
        <f t="shared" si="105"/>
        <v/>
      </c>
      <c r="J357" s="26" t="str">
        <f t="shared" si="105"/>
        <v/>
      </c>
      <c r="K357" s="26" t="str">
        <f t="shared" si="105"/>
        <v/>
      </c>
      <c r="L357" s="27" t="str">
        <f t="shared" si="105"/>
        <v/>
      </c>
      <c r="M357" s="28" t="str">
        <f t="shared" si="106"/>
        <v/>
      </c>
      <c r="Q357" s="19">
        <f t="shared" si="108"/>
        <v>1</v>
      </c>
    </row>
    <row r="358" spans="2:17" ht="12.95" customHeight="1" thickBot="1">
      <c r="B358" s="21">
        <v>44550</v>
      </c>
      <c r="C358" s="39"/>
      <c r="D358" s="22"/>
      <c r="E358" s="23"/>
      <c r="F358" s="24"/>
      <c r="G358" s="25"/>
      <c r="H358" s="26" t="str">
        <f t="shared" si="105"/>
        <v/>
      </c>
      <c r="I358" s="26" t="str">
        <f t="shared" si="105"/>
        <v/>
      </c>
      <c r="J358" s="26" t="str">
        <f t="shared" si="105"/>
        <v/>
      </c>
      <c r="K358" s="26" t="str">
        <f t="shared" si="105"/>
        <v/>
      </c>
      <c r="L358" s="27" t="str">
        <f t="shared" si="105"/>
        <v/>
      </c>
      <c r="M358" s="28" t="str">
        <f t="shared" si="106"/>
        <v/>
      </c>
      <c r="Q358" s="19">
        <f t="shared" si="108"/>
        <v>1</v>
      </c>
    </row>
    <row r="359" spans="2:17" ht="12.95" customHeight="1">
      <c r="B359" s="21">
        <v>44551</v>
      </c>
      <c r="C359" s="39"/>
      <c r="D359" s="22"/>
      <c r="E359" s="23"/>
      <c r="F359" s="24"/>
      <c r="G359" s="25"/>
      <c r="H359" s="26" t="str">
        <f t="shared" si="105"/>
        <v/>
      </c>
      <c r="I359" s="26" t="str">
        <f t="shared" si="105"/>
        <v/>
      </c>
      <c r="J359" s="26" t="str">
        <f t="shared" si="105"/>
        <v/>
      </c>
      <c r="K359" s="26" t="str">
        <f t="shared" si="105"/>
        <v/>
      </c>
      <c r="L359" s="27" t="str">
        <f t="shared" si="105"/>
        <v/>
      </c>
      <c r="M359" s="28" t="str">
        <f t="shared" si="106"/>
        <v/>
      </c>
      <c r="N359" s="187" t="s">
        <v>68</v>
      </c>
      <c r="O359" s="187" t="s">
        <v>69</v>
      </c>
      <c r="Q359" s="19">
        <f t="shared" si="108"/>
        <v>1</v>
      </c>
    </row>
    <row r="360" spans="2:17" ht="12.95" customHeight="1">
      <c r="B360" s="21">
        <v>44552</v>
      </c>
      <c r="C360" s="39"/>
      <c r="D360" s="22"/>
      <c r="E360" s="23"/>
      <c r="F360" s="24"/>
      <c r="G360" s="25"/>
      <c r="H360" s="26" t="str">
        <f t="shared" si="105"/>
        <v/>
      </c>
      <c r="I360" s="26" t="str">
        <f t="shared" si="105"/>
        <v/>
      </c>
      <c r="J360" s="26" t="str">
        <f t="shared" si="105"/>
        <v/>
      </c>
      <c r="K360" s="26" t="str">
        <f t="shared" si="105"/>
        <v/>
      </c>
      <c r="L360" s="27" t="str">
        <f t="shared" si="105"/>
        <v/>
      </c>
      <c r="M360" s="28" t="str">
        <f t="shared" si="106"/>
        <v/>
      </c>
      <c r="N360" s="188"/>
      <c r="O360" s="188"/>
      <c r="Q360" s="19">
        <f t="shared" si="108"/>
        <v>1</v>
      </c>
    </row>
    <row r="361" spans="2:17" ht="12.95" customHeight="1" thickBot="1">
      <c r="B361" s="21">
        <v>44553</v>
      </c>
      <c r="C361" s="39"/>
      <c r="D361" s="22"/>
      <c r="E361" s="23"/>
      <c r="F361" s="24"/>
      <c r="G361" s="25"/>
      <c r="H361" s="26" t="str">
        <f t="shared" si="105"/>
        <v/>
      </c>
      <c r="I361" s="26" t="str">
        <f t="shared" si="105"/>
        <v/>
      </c>
      <c r="J361" s="26" t="str">
        <f t="shared" si="105"/>
        <v/>
      </c>
      <c r="K361" s="26" t="str">
        <f t="shared" si="105"/>
        <v/>
      </c>
      <c r="L361" s="27" t="str">
        <f t="shared" si="105"/>
        <v/>
      </c>
      <c r="M361" s="28" t="str">
        <f t="shared" si="106"/>
        <v/>
      </c>
      <c r="N361" s="189"/>
      <c r="O361" s="189"/>
      <c r="Q361" s="19">
        <f t="shared" si="108"/>
        <v>1</v>
      </c>
    </row>
    <row r="362" spans="2:17" ht="12.95" customHeight="1" thickBot="1">
      <c r="B362" s="21">
        <v>44554</v>
      </c>
      <c r="C362" s="39"/>
      <c r="D362" s="22"/>
      <c r="E362" s="23"/>
      <c r="F362" s="24"/>
      <c r="G362" s="25"/>
      <c r="H362" s="26" t="str">
        <f t="shared" si="105"/>
        <v/>
      </c>
      <c r="I362" s="26" t="str">
        <f t="shared" si="105"/>
        <v/>
      </c>
      <c r="J362" s="26" t="str">
        <f t="shared" si="105"/>
        <v/>
      </c>
      <c r="K362" s="26" t="str">
        <f t="shared" si="105"/>
        <v/>
      </c>
      <c r="L362" s="27" t="str">
        <f t="shared" si="105"/>
        <v/>
      </c>
      <c r="M362" s="28" t="str">
        <f t="shared" si="106"/>
        <v/>
      </c>
      <c r="N362" s="30">
        <f>SUM(L339:L369)</f>
        <v>0</v>
      </c>
      <c r="O362" s="30">
        <f>SUM(M339:M369)</f>
        <v>0</v>
      </c>
      <c r="Q362" s="19">
        <f t="shared" si="108"/>
        <v>1</v>
      </c>
    </row>
    <row r="363" spans="2:17" ht="12.95" customHeight="1">
      <c r="B363" s="21">
        <v>44555</v>
      </c>
      <c r="C363" s="39"/>
      <c r="D363" s="22"/>
      <c r="E363" s="23"/>
      <c r="F363" s="24"/>
      <c r="G363" s="25"/>
      <c r="H363" s="26" t="str">
        <f t="shared" si="105"/>
        <v/>
      </c>
      <c r="I363" s="26" t="str">
        <f t="shared" si="105"/>
        <v/>
      </c>
      <c r="J363" s="26" t="str">
        <f t="shared" si="105"/>
        <v/>
      </c>
      <c r="K363" s="26" t="str">
        <f t="shared" si="105"/>
        <v/>
      </c>
      <c r="L363" s="27" t="str">
        <f t="shared" si="105"/>
        <v/>
      </c>
      <c r="M363" s="28" t="str">
        <f t="shared" si="106"/>
        <v/>
      </c>
      <c r="N363" s="187" t="s">
        <v>70</v>
      </c>
      <c r="O363" s="187" t="s">
        <v>71</v>
      </c>
      <c r="Q363" s="19">
        <f t="shared" si="108"/>
        <v>1</v>
      </c>
    </row>
    <row r="364" spans="2:17" ht="12.95" customHeight="1" thickBot="1">
      <c r="B364" s="21">
        <v>44556</v>
      </c>
      <c r="C364" s="39"/>
      <c r="D364" s="22"/>
      <c r="E364" s="23"/>
      <c r="F364" s="24"/>
      <c r="G364" s="25"/>
      <c r="H364" s="26" t="str">
        <f t="shared" si="105"/>
        <v/>
      </c>
      <c r="I364" s="26" t="str">
        <f t="shared" si="105"/>
        <v/>
      </c>
      <c r="J364" s="26" t="str">
        <f t="shared" si="105"/>
        <v/>
      </c>
      <c r="K364" s="26" t="str">
        <f t="shared" si="105"/>
        <v/>
      </c>
      <c r="L364" s="27" t="str">
        <f t="shared" si="105"/>
        <v/>
      </c>
      <c r="M364" s="28" t="str">
        <f t="shared" si="106"/>
        <v/>
      </c>
      <c r="N364" s="189"/>
      <c r="O364" s="189"/>
      <c r="Q364" s="19">
        <f t="shared" si="108"/>
        <v>1</v>
      </c>
    </row>
    <row r="365" spans="2:17" ht="12.95" customHeight="1" thickBot="1">
      <c r="B365" s="21">
        <v>44557</v>
      </c>
      <c r="C365" s="39"/>
      <c r="D365" s="22"/>
      <c r="E365" s="23"/>
      <c r="F365" s="24"/>
      <c r="G365" s="25"/>
      <c r="H365" s="26" t="str">
        <f t="shared" si="105"/>
        <v/>
      </c>
      <c r="I365" s="26" t="str">
        <f t="shared" si="105"/>
        <v/>
      </c>
      <c r="J365" s="26" t="str">
        <f t="shared" si="105"/>
        <v/>
      </c>
      <c r="K365" s="26" t="str">
        <f t="shared" si="105"/>
        <v/>
      </c>
      <c r="L365" s="27" t="str">
        <f t="shared" si="105"/>
        <v/>
      </c>
      <c r="M365" s="28" t="str">
        <f t="shared" si="106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8"/>
        <v>1</v>
      </c>
    </row>
    <row r="366" spans="2:17" ht="12.95" customHeight="1">
      <c r="B366" s="21">
        <v>44558</v>
      </c>
      <c r="C366" s="39"/>
      <c r="D366" s="22"/>
      <c r="E366" s="23"/>
      <c r="F366" s="24"/>
      <c r="G366" s="25"/>
      <c r="H366" s="26" t="str">
        <f t="shared" si="105"/>
        <v/>
      </c>
      <c r="I366" s="26" t="str">
        <f t="shared" si="105"/>
        <v/>
      </c>
      <c r="J366" s="26" t="str">
        <f t="shared" si="105"/>
        <v/>
      </c>
      <c r="K366" s="26" t="str">
        <f t="shared" si="105"/>
        <v/>
      </c>
      <c r="L366" s="27" t="str">
        <f t="shared" si="105"/>
        <v/>
      </c>
      <c r="M366" s="28" t="str">
        <f t="shared" si="106"/>
        <v/>
      </c>
      <c r="O366" s="19">
        <f>IF(L366="",1,0)</f>
        <v>1</v>
      </c>
    </row>
    <row r="367" spans="2:17" ht="12.95" customHeight="1">
      <c r="B367" s="21">
        <v>44559</v>
      </c>
      <c r="C367" s="39"/>
      <c r="D367" s="22"/>
      <c r="E367" s="23"/>
      <c r="F367" s="24"/>
      <c r="G367" s="25"/>
      <c r="H367" s="26" t="str">
        <f t="shared" si="105"/>
        <v/>
      </c>
      <c r="I367" s="26" t="str">
        <f t="shared" si="105"/>
        <v/>
      </c>
      <c r="J367" s="26" t="str">
        <f t="shared" si="105"/>
        <v/>
      </c>
      <c r="K367" s="26" t="str">
        <f t="shared" si="105"/>
        <v/>
      </c>
      <c r="L367" s="27" t="str">
        <f t="shared" si="105"/>
        <v/>
      </c>
      <c r="M367" s="28" t="str">
        <f t="shared" si="106"/>
        <v/>
      </c>
      <c r="O367" s="19">
        <f>IF(L367="",1,0)</f>
        <v>1</v>
      </c>
    </row>
    <row r="368" spans="2:17" ht="12.95" customHeight="1">
      <c r="B368" s="21">
        <v>44560</v>
      </c>
      <c r="C368" s="39"/>
      <c r="D368" s="22"/>
      <c r="E368" s="23"/>
      <c r="F368" s="24"/>
      <c r="G368" s="25"/>
      <c r="H368" s="26" t="str">
        <f t="shared" ref="H368:L368" si="109">IF(C368="","",+(C368-C367))</f>
        <v/>
      </c>
      <c r="I368" s="26" t="str">
        <f t="shared" si="109"/>
        <v/>
      </c>
      <c r="J368" s="26" t="str">
        <f t="shared" si="109"/>
        <v/>
      </c>
      <c r="K368" s="26" t="str">
        <f t="shared" si="109"/>
        <v/>
      </c>
      <c r="L368" s="27" t="str">
        <f t="shared" si="109"/>
        <v/>
      </c>
      <c r="M368" s="28" t="str">
        <f t="shared" si="106"/>
        <v/>
      </c>
      <c r="O368" s="19">
        <f>IF(L368="",1,0)</f>
        <v>1</v>
      </c>
    </row>
    <row r="369" spans="2:17" ht="12.95" customHeight="1">
      <c r="B369" s="21">
        <v>44561</v>
      </c>
      <c r="C369" s="172"/>
      <c r="D369" s="179"/>
      <c r="E369" s="179"/>
      <c r="F369" s="179"/>
      <c r="G369" s="179"/>
      <c r="H369" s="174"/>
      <c r="I369" s="174"/>
      <c r="J369" s="174"/>
      <c r="K369" s="174"/>
      <c r="L369" s="175"/>
      <c r="M369" s="176"/>
      <c r="Q369" s="19">
        <f t="shared" si="108"/>
        <v>1</v>
      </c>
    </row>
    <row r="391" ht="12.75" customHeight="1"/>
    <row r="395" ht="12.75" customHeight="1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" priority="1" stopIfTrue="1" operator="between">
      <formula>0.2</formula>
      <formula>100</formula>
    </cfRule>
  </conditionalFormatting>
  <conditionalFormatting sqref="M3">
    <cfRule type="cellIs" dxfId="0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398:G1048576 G1:G390" xr:uid="{00000000-0002-0000-0200-000000000000}">
      <formula1>1000</formula1>
      <formula2>99999</formula2>
    </dataValidation>
  </dataValidation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6" ma:contentTypeDescription="Create a new document." ma:contentTypeScope="" ma:versionID="e4c2354abdc01512e7c3340053afae7f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dcb1bcf36dd3c7e4a039286b440cf96a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BED28E-7EB1-4939-B257-E9DD061D19FE}"/>
</file>

<file path=customXml/itemProps2.xml><?xml version="1.0" encoding="utf-8"?>
<ds:datastoreItem xmlns:ds="http://schemas.openxmlformats.org/officeDocument/2006/customXml" ds:itemID="{5E56A291-D7F4-414F-BBBF-0EF57D90586D}"/>
</file>

<file path=customXml/itemProps3.xml><?xml version="1.0" encoding="utf-8"?>
<ds:datastoreItem xmlns:ds="http://schemas.openxmlformats.org/officeDocument/2006/customXml" ds:itemID="{BC3EB6BD-495D-4F4B-BF33-ED3526A0B5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Four Seasons Hotel Istanbul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Engin Yıldızlı</cp:lastModifiedBy>
  <cp:revision/>
  <dcterms:created xsi:type="dcterms:W3CDTF">2021-02-26T04:38:42Z</dcterms:created>
  <dcterms:modified xsi:type="dcterms:W3CDTF">2022-09-28T06:57:18Z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