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firstSheet="2"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L39" i="3" l="1"/>
  <c r="AK39" i="3"/>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I3" i="8" l="1"/>
  <c r="D41" i="9" l="1"/>
  <c r="C41" i="9"/>
  <c r="F41" i="9"/>
  <c r="E41" i="9"/>
  <c r="Y38" i="3" l="1"/>
  <c r="U38" i="3"/>
  <c r="V38" i="3"/>
  <c r="R38" i="3"/>
  <c r="S38" i="3" s="1"/>
  <c r="O38" i="3"/>
  <c r="P38" i="3"/>
  <c r="F33" i="8" s="1"/>
  <c r="M38" i="3"/>
  <c r="K38" i="3"/>
  <c r="H38" i="3"/>
  <c r="I38" i="3"/>
  <c r="F38" i="3"/>
  <c r="D38" i="3"/>
  <c r="N37" i="4"/>
  <c r="S37" i="4" s="1"/>
  <c r="I33" i="8" s="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BI39" i="5" s="1"/>
  <c r="L33" i="8" s="1"/>
  <c r="BC36" i="5"/>
  <c r="AK38" i="3" l="1"/>
  <c r="M37" i="4"/>
  <c r="R37" i="4" s="1"/>
  <c r="BH39" i="5"/>
  <c r="BC18" i="5" l="1"/>
  <c r="BC19" i="5" s="1"/>
  <c r="BC20" i="5" s="1"/>
  <c r="BC21" i="5" s="1"/>
  <c r="BC22" i="5" s="1"/>
  <c r="I7" i="4" l="1"/>
  <c r="I8" i="4" s="1"/>
  <c r="G7" i="4"/>
  <c r="G8" i="4" s="1"/>
  <c r="G10" i="9"/>
  <c r="H10" i="9"/>
  <c r="G11" i="9"/>
  <c r="H11" i="9"/>
  <c r="G12" i="9"/>
  <c r="H12"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G35" i="9"/>
  <c r="H35" i="9"/>
  <c r="G36" i="9"/>
  <c r="H36" i="9"/>
  <c r="G37" i="9"/>
  <c r="H37" i="9"/>
  <c r="G38" i="9"/>
  <c r="H38" i="9"/>
  <c r="G39" i="9"/>
  <c r="H39" i="9"/>
  <c r="H37" i="5" l="1"/>
  <c r="L37" i="5"/>
  <c r="R37" i="5"/>
  <c r="T37" i="5"/>
  <c r="X37" i="5"/>
  <c r="AB37" i="5"/>
  <c r="AF37" i="5"/>
  <c r="AN37" i="5"/>
  <c r="AP37" i="5"/>
  <c r="AV37" i="5"/>
  <c r="AZ37" i="5"/>
  <c r="BD37" i="5"/>
  <c r="BF37" i="5"/>
  <c r="BB37" i="5"/>
  <c r="AX37" i="5"/>
  <c r="AT37" i="5"/>
  <c r="AR37" i="5"/>
  <c r="AL37" i="5"/>
  <c r="AJ37" i="5"/>
  <c r="AH37" i="5"/>
  <c r="AD37" i="5"/>
  <c r="Z37" i="5"/>
  <c r="V37" i="5"/>
  <c r="P37" i="5"/>
  <c r="N37" i="5"/>
  <c r="J37" i="5"/>
  <c r="D37" i="5"/>
  <c r="V18" i="5" l="1"/>
  <c r="H11" i="3" l="1"/>
  <c r="AJ14" i="5" l="1"/>
  <c r="D8" i="3" l="1"/>
  <c r="F8" i="3"/>
  <c r="H8" i="3"/>
  <c r="I8" i="3"/>
  <c r="K8" i="3"/>
  <c r="M8" i="3"/>
  <c r="O8" i="3"/>
  <c r="P8" i="3"/>
  <c r="R8" i="3"/>
  <c r="S8" i="3" s="1"/>
  <c r="U8" i="3"/>
  <c r="V8" i="3" s="1"/>
  <c r="Y8" i="3"/>
  <c r="D9" i="3"/>
  <c r="F9" i="3"/>
  <c r="H9" i="3"/>
  <c r="I9" i="3" s="1"/>
  <c r="K9" i="3"/>
  <c r="M9" i="3"/>
  <c r="O9" i="3"/>
  <c r="P9" i="3" s="1"/>
  <c r="R9" i="3"/>
  <c r="S9" i="3" s="1"/>
  <c r="U9" i="3"/>
  <c r="V9" i="3" s="1"/>
  <c r="Y9" i="3"/>
  <c r="D10" i="3"/>
  <c r="F10" i="3"/>
  <c r="H10" i="3"/>
  <c r="I10" i="3" s="1"/>
  <c r="K10" i="3"/>
  <c r="M10" i="3"/>
  <c r="O10" i="3"/>
  <c r="P10" i="3" s="1"/>
  <c r="R10" i="3"/>
  <c r="S10" i="3" s="1"/>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O27" i="3"/>
  <c r="P27" i="3" s="1"/>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F11" i="8" s="1"/>
  <c r="D16" i="3"/>
  <c r="H16" i="3"/>
  <c r="I16" i="3" s="1"/>
  <c r="AK16" i="3" l="1"/>
  <c r="BF38" i="5"/>
  <c r="BD38" i="5"/>
  <c r="BB38" i="5"/>
  <c r="AZ38" i="5"/>
  <c r="AX38" i="5"/>
  <c r="AV38" i="5"/>
  <c r="AT38" i="5"/>
  <c r="AP38" i="5"/>
  <c r="AR38" i="5"/>
  <c r="AN38" i="5"/>
  <c r="AL38" i="5"/>
  <c r="AJ38" i="5"/>
  <c r="AH38" i="5"/>
  <c r="AF38" i="5"/>
  <c r="AD38" i="5"/>
  <c r="AB38" i="5"/>
  <c r="AB36" i="5"/>
  <c r="Z38" i="5"/>
  <c r="X38" i="5"/>
  <c r="V38" i="5"/>
  <c r="T38" i="5"/>
  <c r="R38" i="5"/>
  <c r="P38" i="5"/>
  <c r="N38" i="5"/>
  <c r="L38" i="5"/>
  <c r="J38" i="5"/>
  <c r="H38" i="5"/>
  <c r="D38" i="5"/>
  <c r="N36" i="4"/>
  <c r="N35" i="4"/>
  <c r="S36" i="4" l="1"/>
  <c r="I32" i="8" s="1"/>
  <c r="M36" i="4"/>
  <c r="R36" i="4" s="1"/>
  <c r="S35" i="4"/>
  <c r="I31" i="8" s="1"/>
  <c r="BH37" i="5"/>
  <c r="BI37" i="5"/>
  <c r="L31" i="8" s="1"/>
  <c r="BH38" i="5"/>
  <c r="BI38" i="5"/>
  <c r="L32" i="8" s="1"/>
  <c r="M35" i="4"/>
  <c r="R35" i="4" s="1"/>
  <c r="H31" i="8" l="1"/>
  <c r="H32" i="8"/>
  <c r="H33" i="8"/>
  <c r="BB27" i="5" l="1"/>
  <c r="P7" i="4" l="1"/>
  <c r="L7" i="4"/>
  <c r="J7" i="4"/>
  <c r="H7" i="4"/>
  <c r="F7" i="4"/>
  <c r="D7" i="4"/>
  <c r="BB25" i="5" l="1"/>
  <c r="BB24" i="5"/>
  <c r="BB23" i="5"/>
  <c r="BB26" i="5"/>
  <c r="AZ26" i="5"/>
  <c r="G40" i="9" l="1"/>
  <c r="G41" i="9" s="1"/>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E34" i="5" l="1"/>
  <c r="F34" i="5"/>
  <c r="F35" i="5"/>
  <c r="E35" i="5"/>
  <c r="N22" i="4"/>
  <c r="M16" i="4"/>
  <c r="R16" i="4" s="1"/>
  <c r="M7" i="4"/>
  <c r="E32" i="1"/>
  <c r="BH14" i="5"/>
  <c r="BI14" i="5"/>
  <c r="L8" i="8" s="1"/>
  <c r="BH22" i="5"/>
  <c r="BI30" i="5"/>
  <c r="L24" i="8" s="1"/>
  <c r="BH30" i="5"/>
  <c r="M21" i="4"/>
  <c r="R21" i="4" s="1"/>
  <c r="BH11" i="5"/>
  <c r="BI15" i="5"/>
  <c r="L9" i="8" s="1"/>
  <c r="BH15" i="5"/>
  <c r="BH19" i="5"/>
  <c r="BI27" i="5"/>
  <c r="L21" i="8" s="1"/>
  <c r="BH27" i="5"/>
  <c r="BI31" i="5"/>
  <c r="L25" i="8" s="1"/>
  <c r="BH31" i="5"/>
  <c r="BH35" i="5"/>
  <c r="BH18" i="5"/>
  <c r="BI26" i="5"/>
  <c r="L20" i="8" s="1"/>
  <c r="BH26" i="5"/>
  <c r="M15" i="4"/>
  <c r="R15" i="4" s="1"/>
  <c r="N17" i="4"/>
  <c r="S17" i="4" s="1"/>
  <c r="I13" i="8" s="1"/>
  <c r="BH12" i="5"/>
  <c r="BH16" i="5"/>
  <c r="BI16" i="5"/>
  <c r="L10" i="8" s="1"/>
  <c r="BH20" i="5"/>
  <c r="BH24" i="5"/>
  <c r="BI24" i="5"/>
  <c r="L18" i="8" s="1"/>
  <c r="BH28" i="5"/>
  <c r="BI28" i="5"/>
  <c r="L22" i="8" s="1"/>
  <c r="BH32" i="5"/>
  <c r="BI32" i="5"/>
  <c r="L26" i="8" s="1"/>
  <c r="BH36" i="5"/>
  <c r="H11" i="8"/>
  <c r="BH13" i="5"/>
  <c r="BI13" i="5"/>
  <c r="L7" i="8" s="1"/>
  <c r="BH17" i="5"/>
  <c r="BH21" i="5"/>
  <c r="BH25" i="5"/>
  <c r="BI25" i="5"/>
  <c r="L19" i="8" s="1"/>
  <c r="BH29" i="5"/>
  <c r="BI29" i="5"/>
  <c r="L23" i="8" s="1"/>
  <c r="BH33" i="5"/>
  <c r="J30" i="1"/>
  <c r="M8" i="4"/>
  <c r="R8" i="4" s="1"/>
  <c r="N32" i="4"/>
  <c r="S32" i="4" s="1"/>
  <c r="I28" i="8" s="1"/>
  <c r="H30" i="8"/>
  <c r="H16" i="8"/>
  <c r="S8" i="4"/>
  <c r="I4" i="8" s="1"/>
  <c r="M23" i="4"/>
  <c r="R23" i="4" s="1"/>
  <c r="H19" i="8" s="1"/>
  <c r="M28" i="4"/>
  <c r="R28" i="4" s="1"/>
  <c r="N31" i="4"/>
  <c r="S31" i="4" s="1"/>
  <c r="I27" i="8" s="1"/>
  <c r="N24" i="4"/>
  <c r="S24" i="4" s="1"/>
  <c r="I20" i="8" s="1"/>
  <c r="M27" i="4"/>
  <c r="R27" i="4" s="1"/>
  <c r="H23" i="8" s="1"/>
  <c r="H8" i="8"/>
  <c r="BH10" i="5"/>
  <c r="BH34" i="5"/>
  <c r="H4" i="8"/>
  <c r="N14" i="4"/>
  <c r="S14" i="4" s="1"/>
  <c r="I10" i="8" s="1"/>
  <c r="M13" i="4"/>
  <c r="R13" i="4" s="1"/>
  <c r="N9" i="4"/>
  <c r="S9" i="4" s="1"/>
  <c r="I5" i="8" s="1"/>
  <c r="S15" i="4"/>
  <c r="I11" i="8" s="1"/>
  <c r="S16" i="4"/>
  <c r="I12" i="8" s="1"/>
  <c r="N29" i="4"/>
  <c r="S29" i="4" s="1"/>
  <c r="I25" i="8" s="1"/>
  <c r="S23" i="4"/>
  <c r="I19" i="8" s="1"/>
  <c r="S22" i="4"/>
  <c r="I18" i="8" s="1"/>
  <c r="H12" i="8"/>
  <c r="H13" i="8"/>
  <c r="H10" i="8"/>
  <c r="H18" i="8"/>
  <c r="S7" i="4"/>
  <c r="S28" i="4"/>
  <c r="I24" i="8" s="1"/>
  <c r="I31" i="6"/>
  <c r="M34" i="4"/>
  <c r="R34" i="4" s="1"/>
  <c r="N30" i="4"/>
  <c r="S30" i="4" s="1"/>
  <c r="I26" i="8" s="1"/>
  <c r="H25" i="8"/>
  <c r="H29" i="8"/>
  <c r="H27" i="8"/>
  <c r="H26" i="8"/>
  <c r="H28" i="8"/>
  <c r="J31" i="1"/>
  <c r="S27" i="4"/>
  <c r="I23" i="8" s="1"/>
  <c r="N26" i="4"/>
  <c r="S26" i="4" s="1"/>
  <c r="I22" i="8" s="1"/>
  <c r="H21" i="8"/>
  <c r="H22" i="8"/>
  <c r="S11" i="4"/>
  <c r="I7" i="8" s="1"/>
  <c r="G31" i="1"/>
  <c r="H31" i="1" s="1"/>
  <c r="G30" i="1"/>
  <c r="H30" i="1" s="1"/>
  <c r="G31" i="6"/>
  <c r="BH23" i="5"/>
  <c r="BH9" i="5"/>
  <c r="J38" i="4"/>
  <c r="H38" i="4"/>
  <c r="D38" i="4"/>
  <c r="I30" i="6"/>
  <c r="S34" i="4"/>
  <c r="I30" i="8" s="1"/>
  <c r="N33" i="4"/>
  <c r="S33" i="4" s="1"/>
  <c r="I29" i="8" s="1"/>
  <c r="P38" i="4"/>
  <c r="S13" i="4"/>
  <c r="I9" i="8" s="1"/>
  <c r="S19" i="4"/>
  <c r="I15" i="8" s="1"/>
  <c r="S21" i="4"/>
  <c r="I17" i="8" s="1"/>
  <c r="M19" i="4"/>
  <c r="R19" i="4" s="1"/>
  <c r="H15" i="8" s="1"/>
  <c r="M11" i="4"/>
  <c r="R11" i="4" s="1"/>
  <c r="H7" i="8" s="1"/>
  <c r="N20" i="4"/>
  <c r="S20" i="4" s="1"/>
  <c r="I16" i="8" s="1"/>
  <c r="N18" i="4"/>
  <c r="S18" i="4" s="1"/>
  <c r="I14" i="8" s="1"/>
  <c r="N12" i="4"/>
  <c r="S12" i="4" s="1"/>
  <c r="I8" i="8" s="1"/>
  <c r="N10" i="4"/>
  <c r="S10" i="4" s="1"/>
  <c r="I6" i="8" s="1"/>
  <c r="N25" i="4"/>
  <c r="S25" i="4" s="1"/>
  <c r="I21" i="8" s="1"/>
  <c r="H5" i="8"/>
  <c r="H9" i="8"/>
  <c r="H17" i="8"/>
  <c r="H6" i="8"/>
  <c r="H14" i="8"/>
  <c r="H3" i="8"/>
  <c r="F38" i="4"/>
  <c r="L38" i="4"/>
  <c r="E31" i="1"/>
  <c r="E31" i="6"/>
  <c r="E30" i="6"/>
  <c r="E30" i="1"/>
  <c r="J18" i="1" l="1"/>
  <c r="J23" i="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L27" i="8" s="1"/>
  <c r="AN34" i="5"/>
  <c r="BI34" i="5"/>
  <c r="L28" i="8"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G29" i="6" l="1"/>
  <c r="M30" i="8"/>
  <c r="G29" i="10" s="1"/>
  <c r="G28" i="6"/>
  <c r="M29" i="8"/>
  <c r="G28" i="10" s="1"/>
  <c r="AZ9" i="5"/>
  <c r="BI9" i="5" s="1"/>
  <c r="L3" i="8" s="1"/>
  <c r="M3" i="8" l="1"/>
  <c r="G2" i="10" s="1"/>
  <c r="G2" i="6"/>
  <c r="AZ12" i="5"/>
  <c r="BI12" i="5" s="1"/>
  <c r="L6" i="8" s="1"/>
  <c r="AZ11" i="5"/>
  <c r="BI11" i="5" s="1"/>
  <c r="L5" i="8" s="1"/>
  <c r="AZ10" i="5"/>
  <c r="BI10" i="5" s="1"/>
  <c r="L4" i="8" s="1"/>
  <c r="G4" i="6" l="1"/>
  <c r="M5" i="8"/>
  <c r="G4" i="10" s="1"/>
  <c r="G5" i="6"/>
  <c r="M6" i="8"/>
  <c r="G5" i="10" s="1"/>
  <c r="M4" i="8"/>
  <c r="G3" i="10" s="1"/>
  <c r="G3" i="6"/>
  <c r="AN17" i="5" l="1"/>
  <c r="BI17" i="5"/>
  <c r="AN18" i="5"/>
  <c r="BI18" i="5" s="1"/>
  <c r="G11" i="6" l="1"/>
  <c r="L12" i="8"/>
  <c r="G10" i="6"/>
  <c r="L11" i="8"/>
  <c r="AN19" i="5"/>
  <c r="BI19" i="5" s="1"/>
  <c r="AN20" i="5"/>
  <c r="BI20" i="5" s="1"/>
  <c r="L14" i="8" s="1"/>
  <c r="M12" i="8"/>
  <c r="G11" i="10" s="1"/>
  <c r="M11" i="8"/>
  <c r="G10" i="10" s="1"/>
  <c r="L13" i="8" l="1"/>
  <c r="M13" i="8" s="1"/>
  <c r="G12" i="10" s="1"/>
  <c r="G12" i="6"/>
  <c r="AN21" i="5"/>
  <c r="BI21" i="5" s="1"/>
  <c r="L15" i="8" s="1"/>
  <c r="M14" i="8"/>
  <c r="G13" i="10" s="1"/>
  <c r="G13" i="6"/>
  <c r="AN23" i="5" l="1"/>
  <c r="BI23" i="5" s="1"/>
  <c r="L17" i="8" s="1"/>
  <c r="AN22" i="5"/>
  <c r="BI22" i="5" s="1"/>
  <c r="L16" i="8"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<sst xmlns="http://schemas.openxmlformats.org/spreadsheetml/2006/main" count="1420" uniqueCount="404">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</sst>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8">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1" fontId="0" fillId="0" borderId="0" xfId="0" applyNumberFormat="1"/>
    <xf numFmtId="1" fontId="8" fillId="0" borderId="0" xfId="0" applyNumberFormat="1" applyFont="1" applyAlignment="1">
      <alignment vertical="center"/>
    </xf>
    <xf numFmtId="167" fontId="8" fillId="0" borderId="0" xfId="1"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3"/>
  <sheetViews>
    <sheetView workbookViewId="0">
      <selection activeCell="T29" sqref="T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0" t="s">
        <v>3</v>
      </c>
      <c r="B1" s="180" t="s">
        <v>4</v>
      </c>
      <c r="C1" s="181" t="s">
        <v>5</v>
      </c>
      <c r="D1" s="180" t="s">
        <v>64</v>
      </c>
      <c r="E1" s="182" t="s">
        <v>395</v>
      </c>
      <c r="F1" s="183" t="s">
        <v>396</v>
      </c>
      <c r="G1" s="182" t="s">
        <v>402</v>
      </c>
      <c r="H1" s="183" t="s">
        <v>397</v>
      </c>
      <c r="I1" s="182" t="s">
        <v>398</v>
      </c>
      <c r="J1" s="184" t="s">
        <v>399</v>
      </c>
      <c r="K1" s="182" t="s">
        <v>400</v>
      </c>
      <c r="L1" s="182" t="s">
        <v>63</v>
      </c>
    </row>
    <row r="2" spans="1:12">
      <c r="A2" s="185" t="s">
        <v>401</v>
      </c>
      <c r="B2" s="186">
        <v>1</v>
      </c>
      <c r="C2" s="187">
        <v>7</v>
      </c>
      <c r="D2" s="186">
        <v>2021</v>
      </c>
      <c r="E2" s="122">
        <f>Combine!G3</f>
        <v>93020</v>
      </c>
      <c r="F2" s="188">
        <v>1.28</v>
      </c>
      <c r="G2" s="122">
        <f>Combine!M3</f>
        <v>4400.5209013209023</v>
      </c>
      <c r="H2" s="189">
        <v>8.7759999999999998</v>
      </c>
      <c r="I2" s="122">
        <f>Combine!J3</f>
        <v>719.05000000000018</v>
      </c>
      <c r="J2" s="188">
        <v>8.1300000000000008</v>
      </c>
      <c r="K2" s="122">
        <f>Combine!N3</f>
        <v>420</v>
      </c>
      <c r="L2" s="122">
        <f>Combine!O3</f>
        <v>977</v>
      </c>
    </row>
    <row r="3" spans="1:12">
      <c r="A3" s="185" t="s">
        <v>401</v>
      </c>
      <c r="B3" s="186">
        <v>2</v>
      </c>
      <c r="C3" s="187">
        <v>7</v>
      </c>
      <c r="D3" s="186">
        <v>2021</v>
      </c>
      <c r="E3" s="122">
        <f>Combine!G4</f>
        <v>87020</v>
      </c>
      <c r="F3" s="188">
        <v>1.28</v>
      </c>
      <c r="G3" s="122">
        <f>Combine!M4</f>
        <v>4415.3796425796436</v>
      </c>
      <c r="H3" s="189">
        <v>8.7759999999999998</v>
      </c>
      <c r="I3" s="122">
        <f>Combine!J4</f>
        <v>739.05000000000018</v>
      </c>
      <c r="J3" s="188">
        <v>8.1300000000000008</v>
      </c>
      <c r="K3" s="122">
        <f>Combine!N4</f>
        <v>434</v>
      </c>
      <c r="L3" s="122">
        <f>Combine!O4</f>
        <v>999</v>
      </c>
    </row>
    <row r="4" spans="1:12">
      <c r="A4" s="185" t="s">
        <v>401</v>
      </c>
      <c r="B4" s="186">
        <v>3</v>
      </c>
      <c r="C4" s="187">
        <v>7</v>
      </c>
      <c r="D4" s="186">
        <v>2021</v>
      </c>
      <c r="E4" s="122">
        <f>Combine!G5</f>
        <v>92320</v>
      </c>
      <c r="F4" s="188">
        <v>1.28</v>
      </c>
      <c r="G4" s="122">
        <f>Combine!M5</f>
        <v>4485.4228438228438</v>
      </c>
      <c r="H4" s="189">
        <v>8.7759999999999998</v>
      </c>
      <c r="I4" s="122">
        <f>Combine!J5</f>
        <v>711.04999999999927</v>
      </c>
      <c r="J4" s="188">
        <v>8.1300000000000008</v>
      </c>
      <c r="K4" s="122">
        <f>Combine!N5</f>
        <v>437</v>
      </c>
      <c r="L4" s="122">
        <f>Combine!O5</f>
        <v>997</v>
      </c>
    </row>
    <row r="5" spans="1:12">
      <c r="A5" s="185" t="s">
        <v>401</v>
      </c>
      <c r="B5" s="186">
        <v>4</v>
      </c>
      <c r="C5" s="187">
        <v>7</v>
      </c>
      <c r="D5" s="186">
        <v>2021</v>
      </c>
      <c r="E5" s="122">
        <f>Combine!G6</f>
        <v>90990</v>
      </c>
      <c r="F5" s="188">
        <v>1.28</v>
      </c>
      <c r="G5" s="122">
        <f>Combine!M6</f>
        <v>4395.4809634809644</v>
      </c>
      <c r="H5" s="189">
        <v>8.7759999999999998</v>
      </c>
      <c r="I5" s="122">
        <f>Combine!J6</f>
        <v>799.75740000000042</v>
      </c>
      <c r="J5" s="188">
        <v>8.1300000000000008</v>
      </c>
      <c r="K5" s="122">
        <f>Combine!N6</f>
        <v>403</v>
      </c>
      <c r="L5" s="122">
        <f>Combine!O6</f>
        <v>932</v>
      </c>
    </row>
    <row r="6" spans="1:12">
      <c r="A6" s="185" t="s">
        <v>401</v>
      </c>
      <c r="B6" s="186">
        <v>5</v>
      </c>
      <c r="C6" s="187">
        <v>7</v>
      </c>
      <c r="D6" s="186">
        <v>2021</v>
      </c>
      <c r="E6" s="122">
        <f>Combine!G7</f>
        <v>87610</v>
      </c>
      <c r="F6" s="188">
        <v>1.28</v>
      </c>
      <c r="G6" s="122">
        <f>Combine!M7</f>
        <v>4532.3213675213683</v>
      </c>
      <c r="H6" s="189">
        <v>8.7759999999999998</v>
      </c>
      <c r="I6" s="122">
        <f>Combine!J7</f>
        <v>702.09259999999995</v>
      </c>
      <c r="J6" s="188">
        <v>8.1300000000000008</v>
      </c>
      <c r="K6" s="122">
        <f>Combine!N7</f>
        <v>429</v>
      </c>
      <c r="L6" s="122">
        <f>Combine!O7</f>
        <v>973</v>
      </c>
    </row>
    <row r="7" spans="1:12">
      <c r="A7" s="185" t="s">
        <v>401</v>
      </c>
      <c r="B7" s="186">
        <v>6</v>
      </c>
      <c r="C7" s="187">
        <v>7</v>
      </c>
      <c r="D7" s="186">
        <v>2021</v>
      </c>
      <c r="E7" s="122">
        <f>Combine!G8</f>
        <v>89140</v>
      </c>
      <c r="F7" s="188">
        <v>1.28</v>
      </c>
      <c r="G7" s="122">
        <f>Combine!M8</f>
        <v>4442.6790986790984</v>
      </c>
      <c r="H7" s="189">
        <v>8.7759999999999998</v>
      </c>
      <c r="I7" s="122">
        <f>Combine!J8</f>
        <v>703.59159999999974</v>
      </c>
      <c r="J7" s="188">
        <v>8.1300000000000008</v>
      </c>
      <c r="K7" s="122">
        <f>Combine!N8</f>
        <v>375</v>
      </c>
      <c r="L7" s="122">
        <f>Combine!O8</f>
        <v>846</v>
      </c>
    </row>
    <row r="8" spans="1:12">
      <c r="A8" s="185" t="s">
        <v>401</v>
      </c>
      <c r="B8" s="186">
        <v>7</v>
      </c>
      <c r="C8" s="187">
        <v>7</v>
      </c>
      <c r="D8" s="186">
        <v>2021</v>
      </c>
      <c r="E8" s="122">
        <f>Combine!G9</f>
        <v>84150</v>
      </c>
      <c r="F8" s="188">
        <v>1.28</v>
      </c>
      <c r="G8" s="122">
        <f>Combine!M9</f>
        <v>4298.936441336441</v>
      </c>
      <c r="H8" s="189">
        <v>8.7759999999999998</v>
      </c>
      <c r="I8" s="122">
        <f>Combine!J9</f>
        <v>660.57130000000052</v>
      </c>
      <c r="J8" s="188">
        <v>8.1300000000000008</v>
      </c>
      <c r="K8" s="122">
        <f>Combine!N9</f>
        <v>404</v>
      </c>
      <c r="L8" s="122">
        <f>Combine!O9</f>
        <v>910</v>
      </c>
    </row>
    <row r="9" spans="1:12">
      <c r="A9" s="185" t="s">
        <v>401</v>
      </c>
      <c r="B9" s="186">
        <v>8</v>
      </c>
      <c r="C9" s="187">
        <v>7</v>
      </c>
      <c r="D9" s="186">
        <v>2021</v>
      </c>
      <c r="E9" s="122">
        <f>Combine!G10</f>
        <v>89760</v>
      </c>
      <c r="F9" s="188">
        <v>1.28</v>
      </c>
      <c r="G9" s="122">
        <f>Combine!M10</f>
        <v>4292.8261072261075</v>
      </c>
      <c r="H9" s="189">
        <v>8.7759999999999998</v>
      </c>
      <c r="I9" s="122">
        <f>Combine!J10</f>
        <v>639.83709999999974</v>
      </c>
      <c r="J9" s="188">
        <v>8.1300000000000008</v>
      </c>
      <c r="K9" s="122">
        <f>Combine!N10</f>
        <v>399</v>
      </c>
      <c r="L9" s="122">
        <f>Combine!O10</f>
        <v>900</v>
      </c>
    </row>
    <row r="10" spans="1:12">
      <c r="A10" s="185" t="s">
        <v>401</v>
      </c>
      <c r="B10" s="186">
        <v>9</v>
      </c>
      <c r="C10" s="187">
        <v>7</v>
      </c>
      <c r="D10" s="186">
        <v>2021</v>
      </c>
      <c r="E10" s="122">
        <f>Combine!G11</f>
        <v>88930</v>
      </c>
      <c r="F10" s="188">
        <v>1.28</v>
      </c>
      <c r="G10" s="122">
        <f>Combine!M11</f>
        <v>4287.0377622377619</v>
      </c>
      <c r="H10" s="189">
        <v>8.7759999999999998</v>
      </c>
      <c r="I10" s="122">
        <f>Combine!J11</f>
        <v>703</v>
      </c>
      <c r="J10" s="188">
        <v>8.1300000000000008</v>
      </c>
      <c r="K10" s="122">
        <f>Combine!N11</f>
        <v>408</v>
      </c>
      <c r="L10" s="122">
        <f>Combine!O11</f>
        <v>934</v>
      </c>
    </row>
    <row r="11" spans="1:12">
      <c r="A11" s="185" t="s">
        <v>401</v>
      </c>
      <c r="B11" s="186">
        <v>10</v>
      </c>
      <c r="C11" s="187">
        <v>7</v>
      </c>
      <c r="D11" s="186">
        <v>2021</v>
      </c>
      <c r="E11" s="122">
        <f>Combine!G12</f>
        <v>90900</v>
      </c>
      <c r="F11" s="188">
        <v>1.28</v>
      </c>
      <c r="G11" s="122">
        <f>Combine!M12</f>
        <v>4227.8526806526806</v>
      </c>
      <c r="H11" s="189">
        <v>8.7759999999999998</v>
      </c>
      <c r="I11" s="122">
        <f>Combine!J12</f>
        <v>843</v>
      </c>
      <c r="J11" s="188">
        <v>8.1300000000000008</v>
      </c>
      <c r="K11" s="122">
        <f>Combine!N12</f>
        <v>437</v>
      </c>
      <c r="L11" s="122">
        <f>Combine!O12</f>
        <v>1026</v>
      </c>
    </row>
    <row r="12" spans="1:12">
      <c r="A12" s="185" t="s">
        <v>401</v>
      </c>
      <c r="B12" s="186">
        <v>11</v>
      </c>
      <c r="C12" s="187">
        <v>7</v>
      </c>
      <c r="D12" s="186">
        <v>2021</v>
      </c>
      <c r="E12" s="122">
        <f>Combine!G13</f>
        <v>89520</v>
      </c>
      <c r="F12" s="188">
        <v>1.28</v>
      </c>
      <c r="G12" s="122">
        <f>Combine!M13</f>
        <v>3990.6759906759908</v>
      </c>
      <c r="H12" s="189">
        <v>8.7759999999999998</v>
      </c>
      <c r="I12" s="122">
        <f>Combine!J13</f>
        <v>844</v>
      </c>
      <c r="J12" s="188">
        <v>8.1300000000000008</v>
      </c>
      <c r="K12" s="122">
        <f>Combine!N13</f>
        <v>416</v>
      </c>
      <c r="L12" s="122">
        <f>Combine!O13</f>
        <v>938</v>
      </c>
    </row>
    <row r="13" spans="1:12">
      <c r="A13" s="185" t="s">
        <v>401</v>
      </c>
      <c r="B13" s="186">
        <v>12</v>
      </c>
      <c r="C13" s="187">
        <v>7</v>
      </c>
      <c r="D13" s="186">
        <v>2021</v>
      </c>
      <c r="E13" s="122">
        <f>Combine!G14</f>
        <v>90380</v>
      </c>
      <c r="F13" s="188">
        <v>1.28</v>
      </c>
      <c r="G13" s="122">
        <f>Combine!M14</f>
        <v>4187.1017871017875</v>
      </c>
      <c r="H13" s="189">
        <v>8.7759999999999998</v>
      </c>
      <c r="I13" s="122">
        <f>Combine!J14</f>
        <v>845</v>
      </c>
      <c r="J13" s="188">
        <v>8.1300000000000008</v>
      </c>
      <c r="K13" s="122">
        <f>Combine!N14</f>
        <v>401</v>
      </c>
      <c r="L13" s="122">
        <f>Combine!O14</f>
        <v>905</v>
      </c>
    </row>
    <row r="14" spans="1:12">
      <c r="A14" s="185" t="s">
        <v>401</v>
      </c>
      <c r="B14" s="186">
        <v>13</v>
      </c>
      <c r="C14" s="187">
        <v>7</v>
      </c>
      <c r="D14" s="186">
        <v>2021</v>
      </c>
      <c r="E14" s="122">
        <f>Combine!G15</f>
        <v>90230</v>
      </c>
      <c r="F14" s="188">
        <v>1.28</v>
      </c>
      <c r="G14" s="122">
        <f>Combine!M15</f>
        <v>4234.3434343434346</v>
      </c>
      <c r="H14" s="189">
        <v>8.7759999999999998</v>
      </c>
      <c r="I14" s="122">
        <f>Combine!J15</f>
        <v>842</v>
      </c>
      <c r="J14" s="188">
        <v>8.1300000000000008</v>
      </c>
      <c r="K14" s="122">
        <f>Combine!N15</f>
        <v>415</v>
      </c>
      <c r="L14" s="122">
        <f>Combine!O15</f>
        <v>937</v>
      </c>
    </row>
    <row r="15" spans="1:12">
      <c r="A15" s="185" t="s">
        <v>401</v>
      </c>
      <c r="B15" s="186">
        <v>14</v>
      </c>
      <c r="C15" s="187">
        <v>7</v>
      </c>
      <c r="D15" s="186">
        <v>2021</v>
      </c>
      <c r="E15" s="122">
        <f>Combine!G16</f>
        <v>91570</v>
      </c>
      <c r="F15" s="188">
        <v>1.28</v>
      </c>
      <c r="G15" s="122">
        <f>Combine!M16</f>
        <v>4234.3434343434346</v>
      </c>
      <c r="H15" s="189">
        <v>8.7759999999999998</v>
      </c>
      <c r="I15" s="122">
        <f>Combine!J16</f>
        <v>842</v>
      </c>
      <c r="J15" s="188">
        <v>8.1300000000000008</v>
      </c>
      <c r="K15" s="122">
        <f>Combine!N16</f>
        <v>416</v>
      </c>
      <c r="L15" s="122">
        <f>Combine!O16</f>
        <v>949</v>
      </c>
    </row>
    <row r="16" spans="1:12">
      <c r="A16" s="185" t="s">
        <v>401</v>
      </c>
      <c r="B16" s="186">
        <v>15</v>
      </c>
      <c r="C16" s="187">
        <v>7</v>
      </c>
      <c r="D16" s="186">
        <v>2021</v>
      </c>
      <c r="E16" s="122">
        <f>Combine!G17</f>
        <v>90420</v>
      </c>
      <c r="F16" s="188">
        <v>1.28</v>
      </c>
      <c r="G16" s="122">
        <f>Combine!M17</f>
        <v>4685.7311577311584</v>
      </c>
      <c r="H16" s="189">
        <v>8.7759999999999998</v>
      </c>
      <c r="I16" s="122">
        <f>Combine!J17</f>
        <v>843</v>
      </c>
      <c r="J16" s="188">
        <v>8.1300000000000008</v>
      </c>
      <c r="K16" s="122">
        <f>Combine!N17</f>
        <v>409</v>
      </c>
      <c r="L16" s="122">
        <f>Combine!O17</f>
        <v>947</v>
      </c>
    </row>
    <row r="17" spans="1:12">
      <c r="A17" s="185" t="s">
        <v>401</v>
      </c>
      <c r="B17" s="186">
        <v>16</v>
      </c>
      <c r="C17" s="187">
        <v>7</v>
      </c>
      <c r="D17" s="186">
        <v>2021</v>
      </c>
      <c r="E17" s="122">
        <f>Combine!G18</f>
        <v>89810</v>
      </c>
      <c r="F17" s="188">
        <v>1.28</v>
      </c>
      <c r="G17" s="122">
        <f>Combine!M18</f>
        <v>4939.3342657342655</v>
      </c>
      <c r="H17" s="189">
        <v>8.7759999999999998</v>
      </c>
      <c r="I17" s="122">
        <f>Combine!J18</f>
        <v>856</v>
      </c>
      <c r="J17" s="188">
        <v>8.1300000000000008</v>
      </c>
      <c r="K17" s="122">
        <f>Combine!N18</f>
        <v>403</v>
      </c>
      <c r="L17" s="122">
        <f>Combine!O18</f>
        <v>933</v>
      </c>
    </row>
    <row r="18" spans="1:12">
      <c r="A18" s="185" t="s">
        <v>401</v>
      </c>
      <c r="B18" s="186">
        <v>17</v>
      </c>
      <c r="C18" s="187">
        <v>7</v>
      </c>
      <c r="D18" s="186">
        <v>2021</v>
      </c>
      <c r="E18" s="122">
        <f>Combine!G19</f>
        <v>88460</v>
      </c>
      <c r="F18" s="188">
        <v>1.28</v>
      </c>
      <c r="G18" s="122">
        <f>Combine!M19</f>
        <v>3928.9498057498054</v>
      </c>
      <c r="H18" s="189">
        <v>8.7759999999999998</v>
      </c>
      <c r="I18" s="122">
        <f>Combine!J19</f>
        <v>858.17314285714292</v>
      </c>
      <c r="J18" s="188">
        <v>8.1300000000000008</v>
      </c>
      <c r="K18" s="122">
        <f>Combine!N19</f>
        <v>441</v>
      </c>
      <c r="L18" s="122">
        <f>Combine!O19</f>
        <v>1023</v>
      </c>
    </row>
    <row r="19" spans="1:12">
      <c r="A19" s="185" t="s">
        <v>401</v>
      </c>
      <c r="B19" s="186">
        <v>18</v>
      </c>
      <c r="C19" s="187">
        <v>7</v>
      </c>
      <c r="D19" s="186">
        <v>2021</v>
      </c>
      <c r="E19" s="122">
        <f>Combine!G20</f>
        <v>84200</v>
      </c>
      <c r="F19" s="188">
        <v>1.28</v>
      </c>
      <c r="G19" s="122">
        <f>Combine!M20</f>
        <v>4513.1822843822847</v>
      </c>
      <c r="H19" s="189">
        <v>8.7759999999999998</v>
      </c>
      <c r="I19" s="122">
        <f>Combine!J20</f>
        <v>980.25169387755068</v>
      </c>
      <c r="J19" s="188">
        <v>8.1300000000000008</v>
      </c>
      <c r="K19" s="122">
        <f>Combine!N20</f>
        <v>432</v>
      </c>
      <c r="L19" s="122">
        <f>Combine!O20</f>
        <v>991</v>
      </c>
    </row>
    <row r="20" spans="1:12">
      <c r="A20" s="185" t="s">
        <v>401</v>
      </c>
      <c r="B20" s="186">
        <v>19</v>
      </c>
      <c r="C20" s="187">
        <v>7</v>
      </c>
      <c r="D20" s="186">
        <v>2021</v>
      </c>
      <c r="E20" s="122">
        <f>Combine!G21</f>
        <v>83850</v>
      </c>
      <c r="F20" s="188">
        <v>1.28</v>
      </c>
      <c r="G20" s="122">
        <f>Combine!M21</f>
        <v>4786.2352758352754</v>
      </c>
      <c r="H20" s="189">
        <v>8.7759999999999998</v>
      </c>
      <c r="I20" s="122">
        <f>Combine!J21</f>
        <v>1143.7395947521873</v>
      </c>
      <c r="J20" s="188">
        <v>8.1300000000000008</v>
      </c>
      <c r="K20" s="122">
        <f>Combine!N21</f>
        <v>417</v>
      </c>
      <c r="L20" s="122">
        <f>Combine!O21</f>
        <v>963</v>
      </c>
    </row>
    <row r="21" spans="1:12">
      <c r="A21" s="185" t="s">
        <v>401</v>
      </c>
      <c r="B21" s="186">
        <v>20</v>
      </c>
      <c r="C21" s="187">
        <v>7</v>
      </c>
      <c r="D21" s="186">
        <v>2021</v>
      </c>
      <c r="E21" s="122">
        <f>Combine!G22</f>
        <v>81230</v>
      </c>
      <c r="F21" s="188">
        <v>1.28</v>
      </c>
      <c r="G21" s="122">
        <f>Combine!M22</f>
        <v>4584.4003108003108</v>
      </c>
      <c r="H21" s="189">
        <v>8.7759999999999998</v>
      </c>
      <c r="I21" s="122">
        <f>Combine!J22</f>
        <v>1142.3000812161604</v>
      </c>
      <c r="J21" s="188">
        <v>8.1300000000000008</v>
      </c>
      <c r="K21" s="122">
        <f>Combine!N22</f>
        <v>398</v>
      </c>
      <c r="L21" s="122">
        <f>Combine!O22</f>
        <v>910</v>
      </c>
    </row>
    <row r="22" spans="1:12">
      <c r="A22" s="185" t="s">
        <v>401</v>
      </c>
      <c r="B22" s="186">
        <v>21</v>
      </c>
      <c r="C22" s="187">
        <v>7</v>
      </c>
      <c r="D22" s="186">
        <v>2021</v>
      </c>
      <c r="E22" s="122">
        <f>Combine!G23</f>
        <v>83760</v>
      </c>
      <c r="F22" s="188">
        <v>1.28</v>
      </c>
      <c r="G22" s="122">
        <f>Combine!M23</f>
        <v>4540.7751359751355</v>
      </c>
      <c r="H22" s="189">
        <v>8.7759999999999998</v>
      </c>
      <c r="I22" s="122">
        <f>Combine!J23</f>
        <v>720.39506961385132</v>
      </c>
      <c r="J22" s="188">
        <v>8.1300000000000008</v>
      </c>
      <c r="K22" s="122">
        <f>Combine!N23</f>
        <v>393</v>
      </c>
      <c r="L22" s="122">
        <f>Combine!O23</f>
        <v>888</v>
      </c>
    </row>
    <row r="23" spans="1:12">
      <c r="A23" s="185" t="s">
        <v>401</v>
      </c>
      <c r="B23" s="186">
        <v>22</v>
      </c>
      <c r="C23" s="187">
        <v>7</v>
      </c>
      <c r="D23" s="186">
        <v>2021</v>
      </c>
      <c r="E23" s="122">
        <f>Combine!G24</f>
        <v>80720</v>
      </c>
      <c r="F23" s="188">
        <v>1.28</v>
      </c>
      <c r="G23" s="122">
        <f>Combine!M24</f>
        <v>4066.8506604506601</v>
      </c>
      <c r="H23" s="189">
        <v>8.7759999999999998</v>
      </c>
      <c r="I23" s="122">
        <f>Combine!J24</f>
        <v>723.9165168118725</v>
      </c>
      <c r="J23" s="188">
        <v>8.1300000000000008</v>
      </c>
      <c r="K23" s="122">
        <f>Combine!N24</f>
        <v>403</v>
      </c>
      <c r="L23" s="122">
        <f>Combine!O24</f>
        <v>928</v>
      </c>
    </row>
    <row r="24" spans="1:12">
      <c r="A24" s="185" t="s">
        <v>401</v>
      </c>
      <c r="B24" s="186">
        <v>23</v>
      </c>
      <c r="C24" s="187">
        <v>7</v>
      </c>
      <c r="D24" s="186">
        <v>2021</v>
      </c>
      <c r="E24" s="122">
        <f>Combine!G25</f>
        <v>94880</v>
      </c>
      <c r="F24" s="188">
        <v>1.28</v>
      </c>
      <c r="G24" s="122">
        <f>Combine!M25</f>
        <v>4184.013675213675</v>
      </c>
      <c r="H24" s="189">
        <v>8.7759999999999998</v>
      </c>
      <c r="I24" s="122">
        <f>Combine!J25</f>
        <v>910.22390087123495</v>
      </c>
      <c r="J24" s="188">
        <v>8.1300000000000008</v>
      </c>
      <c r="K24" s="122">
        <f>Combine!N25</f>
        <v>412</v>
      </c>
      <c r="L24" s="122">
        <f>Combine!O25</f>
        <v>948</v>
      </c>
    </row>
    <row r="25" spans="1:12">
      <c r="A25" s="185" t="s">
        <v>401</v>
      </c>
      <c r="B25" s="186">
        <v>24</v>
      </c>
      <c r="C25" s="187">
        <v>7</v>
      </c>
      <c r="D25" s="186">
        <v>2021</v>
      </c>
      <c r="E25" s="122">
        <f>Combine!G26</f>
        <v>90120</v>
      </c>
      <c r="F25" s="188">
        <v>1.28</v>
      </c>
      <c r="G25" s="122">
        <f>Combine!M26</f>
        <v>4445.5944055944065</v>
      </c>
      <c r="H25" s="189">
        <v>8.7759999999999998</v>
      </c>
      <c r="I25" s="122">
        <f>Combine!J26</f>
        <v>926</v>
      </c>
      <c r="J25" s="188">
        <v>8.1300000000000008</v>
      </c>
      <c r="K25" s="122">
        <f>Combine!N26</f>
        <v>435</v>
      </c>
      <c r="L25" s="122">
        <f>Combine!O26</f>
        <v>1021</v>
      </c>
    </row>
    <row r="26" spans="1:12">
      <c r="A26" s="185" t="s">
        <v>401</v>
      </c>
      <c r="B26" s="186">
        <v>25</v>
      </c>
      <c r="C26" s="187">
        <v>7</v>
      </c>
      <c r="D26" s="186">
        <v>2021</v>
      </c>
      <c r="E26" s="122">
        <f>Combine!G27</f>
        <v>91450</v>
      </c>
      <c r="F26" s="188">
        <v>1.28</v>
      </c>
      <c r="G26" s="122">
        <f>Combine!M27</f>
        <v>4688.1951825951828</v>
      </c>
      <c r="H26" s="189">
        <v>8.7759999999999998</v>
      </c>
      <c r="I26" s="122">
        <f>Combine!J27</f>
        <v>816.54</v>
      </c>
      <c r="J26" s="188">
        <v>8.1300000000000008</v>
      </c>
      <c r="K26" s="122">
        <f>Combine!N27</f>
        <v>421</v>
      </c>
      <c r="L26" s="122">
        <f>Combine!O27</f>
        <v>964</v>
      </c>
    </row>
    <row r="27" spans="1:12">
      <c r="A27" s="185" t="s">
        <v>401</v>
      </c>
      <c r="B27" s="186">
        <v>26</v>
      </c>
      <c r="C27" s="187">
        <v>7</v>
      </c>
      <c r="D27" s="186">
        <v>2021</v>
      </c>
      <c r="E27" s="122">
        <f>Combine!G28</f>
        <v>90810</v>
      </c>
      <c r="F27" s="188">
        <v>1.28</v>
      </c>
      <c r="G27" s="122">
        <f>Combine!M28</f>
        <v>4582.0009324009316</v>
      </c>
      <c r="H27" s="189">
        <v>8.7759999999999998</v>
      </c>
      <c r="I27" s="122">
        <f>Combine!J28</f>
        <v>748.46</v>
      </c>
      <c r="J27" s="188">
        <v>8.1300000000000008</v>
      </c>
      <c r="K27" s="122">
        <f>Combine!N28</f>
        <v>411</v>
      </c>
      <c r="L27" s="122">
        <f>Combine!O28</f>
        <v>944</v>
      </c>
    </row>
    <row r="28" spans="1:12">
      <c r="A28" s="185" t="s">
        <v>401</v>
      </c>
      <c r="B28" s="186">
        <v>27</v>
      </c>
      <c r="C28" s="187">
        <v>7</v>
      </c>
      <c r="D28" s="186">
        <v>2021</v>
      </c>
      <c r="E28" s="122">
        <f>Combine!G29</f>
        <v>95120</v>
      </c>
      <c r="F28" s="188">
        <v>1.28</v>
      </c>
      <c r="G28" s="122">
        <f>Combine!M29</f>
        <v>4029.2935508935511</v>
      </c>
      <c r="H28" s="189">
        <v>8.7759999999999998</v>
      </c>
      <c r="I28" s="122">
        <f>Combine!J29</f>
        <v>732</v>
      </c>
      <c r="J28" s="188">
        <v>8.1300000000000008</v>
      </c>
      <c r="K28" s="122">
        <f>Combine!N29</f>
        <v>418</v>
      </c>
      <c r="L28" s="122">
        <f>Combine!O29</f>
        <v>960</v>
      </c>
    </row>
    <row r="29" spans="1:12">
      <c r="A29" s="185" t="s">
        <v>401</v>
      </c>
      <c r="B29" s="186">
        <v>28</v>
      </c>
      <c r="C29" s="187">
        <v>7</v>
      </c>
      <c r="D29" s="186">
        <v>2021</v>
      </c>
      <c r="E29" s="122">
        <f>Combine!G30</f>
        <v>93550</v>
      </c>
      <c r="F29" s="188">
        <v>1.28</v>
      </c>
      <c r="G29" s="122">
        <f>Combine!M30</f>
        <v>4140.7502719502727</v>
      </c>
      <c r="H29" s="189">
        <v>8.7759999999999998</v>
      </c>
      <c r="I29" s="122">
        <f>Combine!J30</f>
        <v>850.12299999999959</v>
      </c>
      <c r="J29" s="188">
        <v>8.1300000000000008</v>
      </c>
      <c r="K29" s="122">
        <f>Combine!N30</f>
        <v>395</v>
      </c>
      <c r="L29" s="122">
        <f>Combine!O30</f>
        <v>901</v>
      </c>
    </row>
    <row r="30" spans="1:12">
      <c r="A30" s="185" t="s">
        <v>401</v>
      </c>
      <c r="B30" s="186">
        <v>29</v>
      </c>
      <c r="C30" s="187">
        <v>7</v>
      </c>
      <c r="D30" s="186">
        <v>2021</v>
      </c>
      <c r="E30" s="122">
        <f>Combine!G31</f>
        <v>92520</v>
      </c>
      <c r="F30" s="188">
        <v>1.28</v>
      </c>
      <c r="G30" s="122">
        <f>Combine!M31</f>
        <v>4288.0522144522147</v>
      </c>
      <c r="H30" s="189">
        <v>8.7759999999999998</v>
      </c>
      <c r="I30" s="122">
        <f>Combine!J31</f>
        <v>837.87700000000041</v>
      </c>
      <c r="J30" s="188">
        <v>8.1300000000000008</v>
      </c>
      <c r="K30" s="122">
        <f>Combine!N31</f>
        <v>414</v>
      </c>
      <c r="L30" s="122">
        <f>Combine!O31</f>
        <v>959</v>
      </c>
    </row>
    <row r="31" spans="1:12">
      <c r="A31" s="185" t="s">
        <v>401</v>
      </c>
      <c r="B31" s="186">
        <v>30</v>
      </c>
      <c r="C31" s="187">
        <v>7</v>
      </c>
      <c r="D31" s="186">
        <v>2021</v>
      </c>
      <c r="E31" s="122">
        <f>Combine!G32</f>
        <v>91460</v>
      </c>
      <c r="F31" s="188">
        <v>1.28</v>
      </c>
      <c r="G31" s="122">
        <f>Combine!M32</f>
        <v>4360.1292929292931</v>
      </c>
      <c r="H31" s="189">
        <v>8.7759999999999998</v>
      </c>
      <c r="I31" s="122">
        <f>Combine!J32</f>
        <v>929</v>
      </c>
      <c r="J31" s="188">
        <v>8.1300000000000008</v>
      </c>
      <c r="K31" s="122">
        <f>Combine!N32</f>
        <v>420</v>
      </c>
      <c r="L31" s="122">
        <f>Combine!O32</f>
        <v>965</v>
      </c>
    </row>
    <row r="32" spans="1:12">
      <c r="A32" s="185" t="s">
        <v>401</v>
      </c>
      <c r="B32" s="186">
        <v>31</v>
      </c>
      <c r="C32" s="187">
        <v>7</v>
      </c>
      <c r="D32" s="186">
        <v>2021</v>
      </c>
      <c r="E32" s="122">
        <f>Combine!G33</f>
        <v>93400</v>
      </c>
      <c r="F32" s="188">
        <v>1.28</v>
      </c>
      <c r="G32" s="122">
        <f>Combine!M33</f>
        <v>4435.3255633255631</v>
      </c>
      <c r="H32" s="189">
        <v>8.7759999999999998</v>
      </c>
      <c r="I32" s="122">
        <f>Combine!J33</f>
        <v>897.15899999999965</v>
      </c>
      <c r="J32" s="188">
        <v>8.1300000000000008</v>
      </c>
      <c r="K32" s="122">
        <f>Combine!N33</f>
        <v>436</v>
      </c>
      <c r="L32" s="122">
        <f>Combine!O33</f>
        <v>1017</v>
      </c>
    </row>
    <row r="33" spans="5:5">
      <c r="E33" s="19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G3" activePane="bottomRight" state="frozen"/>
      <selection activeCell="B1" sqref="B1"/>
      <selection pane="topRight" activeCell="E1" sqref="E1"/>
      <selection pane="bottomLeft" activeCell="B3" sqref="B3"/>
      <selection pane="bottomRight" activeCell="K11" sqref="K1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6" t="s">
        <v>66</v>
      </c>
      <c r="O1" s="197"/>
      <c r="P1" s="198"/>
    </row>
    <row r="2" spans="1:17" s="2" customFormat="1" ht="60" customHeight="1">
      <c r="A2" s="4" t="s">
        <v>3</v>
      </c>
      <c r="B2" s="5" t="s">
        <v>4</v>
      </c>
      <c r="C2" s="5" t="s">
        <v>5</v>
      </c>
      <c r="D2" s="120"/>
      <c r="E2" s="125" t="s">
        <v>6</v>
      </c>
      <c r="F2" s="145" t="s">
        <v>6</v>
      </c>
      <c r="G2" s="153" t="s">
        <v>6</v>
      </c>
      <c r="H2" s="154" t="s">
        <v>9</v>
      </c>
      <c r="I2" s="146" t="s">
        <v>9</v>
      </c>
      <c r="J2" s="153" t="s">
        <v>9</v>
      </c>
      <c r="K2" s="125" t="s">
        <v>7</v>
      </c>
      <c r="L2" s="111">
        <v>335</v>
      </c>
      <c r="M2" s="130" t="s">
        <v>8</v>
      </c>
      <c r="N2" s="160" t="s">
        <v>10</v>
      </c>
      <c r="O2" s="5" t="s">
        <v>11</v>
      </c>
      <c r="P2" s="159" t="s">
        <v>12</v>
      </c>
      <c r="Q2" s="150" t="s">
        <v>394</v>
      </c>
    </row>
    <row r="3" spans="1:17" ht="15.75">
      <c r="A3" s="7" t="s">
        <v>14</v>
      </c>
      <c r="B3" s="7">
        <v>1</v>
      </c>
      <c r="C3" s="7">
        <v>7</v>
      </c>
      <c r="D3" s="121">
        <v>2021</v>
      </c>
      <c r="E3" s="151">
        <f>'Athens Daily - EL'!AK8</f>
        <v>50800</v>
      </c>
      <c r="F3" s="151">
        <f>'Athens Daily - EL'!AL8</f>
        <v>42220</v>
      </c>
      <c r="G3" s="131">
        <f>SUM(E3,F3)</f>
        <v>93020</v>
      </c>
      <c r="H3" s="151">
        <f>'Athens Daily - Water'!R7</f>
        <v>562.35000000000014</v>
      </c>
      <c r="I3" s="151">
        <f>'Athens Daily - Water'!S7</f>
        <v>156.69999999999999</v>
      </c>
      <c r="J3" s="127">
        <f t="shared" ref="J3:J33" si="0">SUM(H3,I3)</f>
        <v>719.05000000000018</v>
      </c>
      <c r="K3" s="151">
        <f>'Athens Daily - Gas'!BH9</f>
        <v>106131.31200000002</v>
      </c>
      <c r="L3" s="151">
        <f>'Athens Daily - Gas'!BI9</f>
        <v>63772.800000000003</v>
      </c>
      <c r="M3" s="131">
        <f>SUM(K3,L3)/38.61</f>
        <v>4400.5209013209023</v>
      </c>
      <c r="N3" s="158">
        <f>Occ!G10</f>
        <v>420</v>
      </c>
      <c r="O3" s="104">
        <f>Occ!H10</f>
        <v>977</v>
      </c>
      <c r="P3" s="157">
        <v>918</v>
      </c>
      <c r="Q3" s="166"/>
    </row>
    <row r="4" spans="1:17" ht="15.75">
      <c r="A4" s="7" t="s">
        <v>14</v>
      </c>
      <c r="B4" s="7">
        <v>2</v>
      </c>
      <c r="C4" s="7">
        <v>7</v>
      </c>
      <c r="D4" s="121">
        <v>2021</v>
      </c>
      <c r="E4" s="151">
        <f>'Athens Daily - EL'!AK9</f>
        <v>48310</v>
      </c>
      <c r="F4" s="151">
        <f>'Athens Daily - EL'!AL9</f>
        <v>38710</v>
      </c>
      <c r="G4" s="131">
        <f t="shared" ref="G4:G33" si="1">SUM(E4,F4)</f>
        <v>87020</v>
      </c>
      <c r="H4" s="151">
        <f>'Athens Daily - Water'!R8</f>
        <v>598.55000000000018</v>
      </c>
      <c r="I4" s="151">
        <f>'Athens Daily - Water'!S8</f>
        <v>140.5</v>
      </c>
      <c r="J4" s="127">
        <f t="shared" si="0"/>
        <v>739.05000000000018</v>
      </c>
      <c r="K4" s="151">
        <f>'Athens Daily - Gas'!BH10</f>
        <v>105627.40800000001</v>
      </c>
      <c r="L4" s="151">
        <f>'Athens Daily - Gas'!BI10</f>
        <v>64850.400000000001</v>
      </c>
      <c r="M4" s="131">
        <f t="shared" ref="M4:M33" si="2">SUM(K4,L4)/38.61</f>
        <v>4415.3796425796436</v>
      </c>
      <c r="N4" s="158">
        <f>Occ!G11</f>
        <v>434</v>
      </c>
      <c r="O4" s="104">
        <f>Occ!H11</f>
        <v>999</v>
      </c>
      <c r="P4" s="157">
        <v>918</v>
      </c>
      <c r="Q4" s="166"/>
    </row>
    <row r="5" spans="1:17" ht="15.75">
      <c r="A5" s="7" t="s">
        <v>14</v>
      </c>
      <c r="B5" s="7">
        <v>3</v>
      </c>
      <c r="C5" s="7">
        <v>7</v>
      </c>
      <c r="D5" s="121">
        <v>2021</v>
      </c>
      <c r="E5" s="151">
        <f>'Athens Daily - EL'!AK10</f>
        <v>50425</v>
      </c>
      <c r="F5" s="151">
        <f>'Athens Daily - EL'!AL10</f>
        <v>41895</v>
      </c>
      <c r="G5" s="131">
        <f t="shared" si="1"/>
        <v>92320</v>
      </c>
      <c r="H5" s="151">
        <f>'Athens Daily - Water'!R9</f>
        <v>603.84999999999923</v>
      </c>
      <c r="I5" s="151">
        <f>'Athens Daily - Water'!S9</f>
        <v>107.2</v>
      </c>
      <c r="J5" s="127">
        <f t="shared" si="0"/>
        <v>711.04999999999927</v>
      </c>
      <c r="K5" s="151">
        <f>'Athens Daily - Gas'!BH11</f>
        <v>105379.77600000001</v>
      </c>
      <c r="L5" s="151">
        <f>'Athens Daily - Gas'!BI11</f>
        <v>67802.399999999994</v>
      </c>
      <c r="M5" s="131">
        <f t="shared" si="2"/>
        <v>4485.4228438228438</v>
      </c>
      <c r="N5" s="158">
        <f>Occ!G12</f>
        <v>437</v>
      </c>
      <c r="O5" s="104">
        <f>Occ!H12</f>
        <v>997</v>
      </c>
      <c r="P5" s="157">
        <v>918</v>
      </c>
      <c r="Q5" s="166"/>
    </row>
    <row r="6" spans="1:17" ht="15.75">
      <c r="A6" s="7" t="s">
        <v>14</v>
      </c>
      <c r="B6" s="7">
        <v>4</v>
      </c>
      <c r="C6" s="7">
        <v>7</v>
      </c>
      <c r="D6" s="121">
        <v>2021</v>
      </c>
      <c r="E6" s="151">
        <f>'Athens Daily - EL'!AK11</f>
        <v>49940</v>
      </c>
      <c r="F6" s="151">
        <f>'Athens Daily - EL'!AL11</f>
        <v>41050</v>
      </c>
      <c r="G6" s="131">
        <f t="shared" si="1"/>
        <v>90990</v>
      </c>
      <c r="H6" s="151">
        <f>'Athens Daily - Water'!R10</f>
        <v>557.70740000000046</v>
      </c>
      <c r="I6" s="151">
        <f>'Athens Daily - Water'!S10</f>
        <v>242.05</v>
      </c>
      <c r="J6" s="127">
        <f t="shared" si="0"/>
        <v>799.75740000000042</v>
      </c>
      <c r="K6" s="151">
        <f>'Athens Daily - Gas'!BH12</f>
        <v>102353.52</v>
      </c>
      <c r="L6" s="151">
        <f>'Athens Daily - Gas'!BI12</f>
        <v>67356</v>
      </c>
      <c r="M6" s="131">
        <f t="shared" si="2"/>
        <v>4395.4809634809644</v>
      </c>
      <c r="N6" s="158">
        <f>Occ!G13</f>
        <v>403</v>
      </c>
      <c r="O6" s="104">
        <f>Occ!H13</f>
        <v>932</v>
      </c>
      <c r="P6" s="157">
        <v>918</v>
      </c>
      <c r="Q6" s="166"/>
    </row>
    <row r="7" spans="1:17" ht="15.75">
      <c r="A7" s="7" t="s">
        <v>14</v>
      </c>
      <c r="B7" s="7">
        <v>5</v>
      </c>
      <c r="C7" s="7">
        <v>7</v>
      </c>
      <c r="D7" s="121">
        <v>2021</v>
      </c>
      <c r="E7" s="151">
        <f>'Athens Daily - EL'!AK12</f>
        <v>47955</v>
      </c>
      <c r="F7" s="151">
        <f>'Athens Daily - EL'!AL12</f>
        <v>39655</v>
      </c>
      <c r="G7" s="131">
        <f t="shared" si="1"/>
        <v>87610</v>
      </c>
      <c r="H7" s="151">
        <f>'Athens Daily - Water'!R11</f>
        <v>562.44259999999997</v>
      </c>
      <c r="I7" s="151">
        <f>'Athens Daily - Water'!S11</f>
        <v>139.65</v>
      </c>
      <c r="J7" s="127">
        <f t="shared" si="0"/>
        <v>702.09259999999995</v>
      </c>
      <c r="K7" s="151">
        <f>'Athens Daily - Gas'!BH13</f>
        <v>107828.928</v>
      </c>
      <c r="L7" s="151">
        <f>'Athens Daily - Gas'!BI13</f>
        <v>67164</v>
      </c>
      <c r="M7" s="131">
        <f t="shared" si="2"/>
        <v>4532.3213675213683</v>
      </c>
      <c r="N7" s="158">
        <f>Occ!G14</f>
        <v>429</v>
      </c>
      <c r="O7" s="104">
        <f>Occ!H14</f>
        <v>973</v>
      </c>
      <c r="P7" s="157">
        <v>918</v>
      </c>
      <c r="Q7" s="166"/>
    </row>
    <row r="8" spans="1:17" ht="15.75">
      <c r="A8" s="7" t="s">
        <v>14</v>
      </c>
      <c r="B8" s="7">
        <v>6</v>
      </c>
      <c r="C8" s="7">
        <v>7</v>
      </c>
      <c r="D8" s="121">
        <v>2021</v>
      </c>
      <c r="E8" s="151">
        <f>'Athens Daily - EL'!AK13</f>
        <v>48630</v>
      </c>
      <c r="F8" s="151">
        <f>'Athens Daily - EL'!AL13</f>
        <v>40510</v>
      </c>
      <c r="G8" s="131">
        <f t="shared" si="1"/>
        <v>89140</v>
      </c>
      <c r="H8" s="151">
        <f>'Athens Daily - Water'!R12</f>
        <v>556.59159999999974</v>
      </c>
      <c r="I8" s="151">
        <f>'Athens Daily - Water'!S12</f>
        <v>147</v>
      </c>
      <c r="J8" s="127">
        <f t="shared" si="0"/>
        <v>703.59159999999974</v>
      </c>
      <c r="K8" s="151">
        <f>'Athens Daily - Gas'!BH14</f>
        <v>102927.84</v>
      </c>
      <c r="L8" s="151">
        <f>'Athens Daily - Gas'!BI14</f>
        <v>68604</v>
      </c>
      <c r="M8" s="131">
        <f t="shared" si="2"/>
        <v>4442.6790986790984</v>
      </c>
      <c r="N8" s="158">
        <f>Occ!G15</f>
        <v>375</v>
      </c>
      <c r="O8" s="104">
        <f>Occ!H15</f>
        <v>846</v>
      </c>
      <c r="P8" s="157">
        <v>918</v>
      </c>
      <c r="Q8" s="166"/>
    </row>
    <row r="9" spans="1:17" ht="15.75">
      <c r="A9" s="7" t="s">
        <v>14</v>
      </c>
      <c r="B9" s="7">
        <v>7</v>
      </c>
      <c r="C9" s="7">
        <v>7</v>
      </c>
      <c r="D9" s="121">
        <v>2021</v>
      </c>
      <c r="E9" s="151">
        <f>'Athens Daily - EL'!AK14</f>
        <v>45905</v>
      </c>
      <c r="F9" s="151">
        <f>'Athens Daily - EL'!AL14</f>
        <v>38245</v>
      </c>
      <c r="G9" s="131">
        <f t="shared" si="1"/>
        <v>84150</v>
      </c>
      <c r="H9" s="151">
        <f>'Athens Daily - Water'!R13</f>
        <v>512.17130000000054</v>
      </c>
      <c r="I9" s="151">
        <f>'Athens Daily - Water'!S13</f>
        <v>148.4</v>
      </c>
      <c r="J9" s="127">
        <f t="shared" si="0"/>
        <v>660.57130000000052</v>
      </c>
      <c r="K9" s="151">
        <f>'Athens Daily - Gas'!BH15</f>
        <v>100704.336</v>
      </c>
      <c r="L9" s="151">
        <f>'Athens Daily - Gas'!BI15</f>
        <v>65277.599999999999</v>
      </c>
      <c r="M9" s="131">
        <f t="shared" si="2"/>
        <v>4298.936441336441</v>
      </c>
      <c r="N9" s="158">
        <f>Occ!G16</f>
        <v>404</v>
      </c>
      <c r="O9" s="104">
        <f>Occ!H16</f>
        <v>910</v>
      </c>
      <c r="P9" s="157">
        <v>918</v>
      </c>
      <c r="Q9" s="166"/>
    </row>
    <row r="10" spans="1:17">
      <c r="A10" s="7" t="s">
        <v>14</v>
      </c>
      <c r="B10" s="7">
        <v>8</v>
      </c>
      <c r="C10" s="7">
        <v>7</v>
      </c>
      <c r="D10" s="121">
        <v>2021</v>
      </c>
      <c r="E10" s="151">
        <f>'Athens Daily - EL'!AK15</f>
        <v>48865</v>
      </c>
      <c r="F10" s="151">
        <f>'Athens Daily - EL'!AL15</f>
        <v>40895</v>
      </c>
      <c r="G10" s="131">
        <f t="shared" si="1"/>
        <v>89760</v>
      </c>
      <c r="H10" s="151">
        <f>'Athens Daily - Water'!R14</f>
        <v>495.73709999999971</v>
      </c>
      <c r="I10" s="151">
        <f>'Athens Daily - Water'!S14</f>
        <v>144.1</v>
      </c>
      <c r="J10" s="127">
        <f t="shared" si="0"/>
        <v>639.83709999999974</v>
      </c>
      <c r="K10" s="151">
        <f>'Athens Daily - Gas'!BH16</f>
        <v>100084.416</v>
      </c>
      <c r="L10" s="151">
        <f>'Athens Daily - Gas'!BI16</f>
        <v>65661.600000000006</v>
      </c>
      <c r="M10" s="131">
        <f t="shared" si="2"/>
        <v>4292.8261072261075</v>
      </c>
      <c r="N10" s="158">
        <f>Occ!G17</f>
        <v>399</v>
      </c>
      <c r="O10" s="104">
        <f>Occ!H17</f>
        <v>900</v>
      </c>
      <c r="P10" s="157">
        <v>918</v>
      </c>
      <c r="Q10" s="101"/>
    </row>
    <row r="11" spans="1:17">
      <c r="A11" s="7" t="s">
        <v>14</v>
      </c>
      <c r="B11" s="7">
        <v>9</v>
      </c>
      <c r="C11" s="7">
        <v>7</v>
      </c>
      <c r="D11" s="121">
        <v>2021</v>
      </c>
      <c r="E11" s="151">
        <f>'Athens Daily - EL'!AK16</f>
        <v>48495</v>
      </c>
      <c r="F11" s="151">
        <f>'Athens Daily - EL'!AL16</f>
        <v>40435</v>
      </c>
      <c r="G11" s="131">
        <f t="shared" si="1"/>
        <v>88930</v>
      </c>
      <c r="H11" s="151">
        <f>'Athens Daily - Water'!R15</f>
        <v>555.25</v>
      </c>
      <c r="I11" s="151">
        <f>'Athens Daily - Water'!S15</f>
        <v>147.75</v>
      </c>
      <c r="J11" s="127">
        <f t="shared" si="0"/>
        <v>703</v>
      </c>
      <c r="K11" s="151">
        <f>'Athens Daily - Gas'!BH17</f>
        <v>102121.728</v>
      </c>
      <c r="L11" s="151">
        <f>'Athens Daily - Gas'!BI17</f>
        <v>63400.800000000003</v>
      </c>
      <c r="M11" s="131">
        <f t="shared" si="2"/>
        <v>4287.0377622377619</v>
      </c>
      <c r="N11" s="158">
        <f>Occ!G18</f>
        <v>408</v>
      </c>
      <c r="O11" s="104">
        <f>Occ!H18</f>
        <v>934</v>
      </c>
      <c r="P11" s="157">
        <v>918</v>
      </c>
      <c r="Q11" s="101"/>
    </row>
    <row r="12" spans="1:17" ht="15.75">
      <c r="A12" s="7" t="s">
        <v>14</v>
      </c>
      <c r="B12" s="7">
        <v>10</v>
      </c>
      <c r="C12" s="7">
        <v>7</v>
      </c>
      <c r="D12" s="121">
        <v>2021</v>
      </c>
      <c r="E12" s="151">
        <f>'Athens Daily - EL'!AK17</f>
        <v>49460</v>
      </c>
      <c r="F12" s="151">
        <f>'Athens Daily - EL'!AL17</f>
        <v>41440</v>
      </c>
      <c r="G12" s="131">
        <f t="shared" si="1"/>
        <v>90900</v>
      </c>
      <c r="H12" s="151">
        <f>'Athens Daily - Water'!R16</f>
        <v>623.35</v>
      </c>
      <c r="I12" s="151">
        <f>'Athens Daily - Water'!S16</f>
        <v>219.65</v>
      </c>
      <c r="J12" s="127">
        <f t="shared" si="0"/>
        <v>843</v>
      </c>
      <c r="K12" s="151">
        <f>'Athens Daily - Gas'!BH18</f>
        <v>100621.39199999999</v>
      </c>
      <c r="L12" s="151">
        <f>'Athens Daily - Gas'!BI18</f>
        <v>62616</v>
      </c>
      <c r="M12" s="131">
        <f t="shared" si="2"/>
        <v>4227.8526806526806</v>
      </c>
      <c r="N12" s="158">
        <f>Occ!G19</f>
        <v>437</v>
      </c>
      <c r="O12" s="104">
        <f>Occ!H19</f>
        <v>1026</v>
      </c>
      <c r="P12" s="157">
        <v>918</v>
      </c>
      <c r="Q12" s="166"/>
    </row>
    <row r="13" spans="1:17" ht="15.75">
      <c r="A13" s="7" t="s">
        <v>14</v>
      </c>
      <c r="B13" s="7">
        <v>11</v>
      </c>
      <c r="C13" s="7">
        <v>7</v>
      </c>
      <c r="D13" s="121">
        <v>2021</v>
      </c>
      <c r="E13" s="151">
        <f>'Athens Daily - EL'!AK18</f>
        <v>48725</v>
      </c>
      <c r="F13" s="151">
        <f>'Athens Daily - EL'!AL18</f>
        <v>40795</v>
      </c>
      <c r="G13" s="131">
        <f t="shared" si="1"/>
        <v>89520</v>
      </c>
      <c r="H13" s="151">
        <f>'Athens Daily - Water'!R17</f>
        <v>624.35</v>
      </c>
      <c r="I13" s="151">
        <f>'Athens Daily - Water'!S17</f>
        <v>219.65</v>
      </c>
      <c r="J13" s="127">
        <f t="shared" si="0"/>
        <v>844</v>
      </c>
      <c r="K13" s="151">
        <f>'Athens Daily - Gas'!BH19</f>
        <v>90840</v>
      </c>
      <c r="L13" s="151">
        <f>'Athens Daily - Gas'!BI19</f>
        <v>63240</v>
      </c>
      <c r="M13" s="131">
        <f t="shared" si="2"/>
        <v>3990.6759906759908</v>
      </c>
      <c r="N13" s="158">
        <f>Occ!G20</f>
        <v>416</v>
      </c>
      <c r="O13" s="104">
        <f>Occ!H20</f>
        <v>938</v>
      </c>
      <c r="P13" s="157">
        <v>918</v>
      </c>
      <c r="Q13" s="166"/>
    </row>
    <row r="14" spans="1:17" ht="15.75">
      <c r="A14" s="7" t="s">
        <v>14</v>
      </c>
      <c r="B14" s="7">
        <v>12</v>
      </c>
      <c r="C14" s="7">
        <v>7</v>
      </c>
      <c r="D14" s="121">
        <v>2021</v>
      </c>
      <c r="E14" s="151">
        <f>'Athens Daily - EL'!AK19</f>
        <v>48885</v>
      </c>
      <c r="F14" s="151">
        <f>'Athens Daily - EL'!AL19</f>
        <v>41495</v>
      </c>
      <c r="G14" s="131">
        <f t="shared" si="1"/>
        <v>90380</v>
      </c>
      <c r="H14" s="151">
        <f>'Athens Daily - Water'!R18</f>
        <v>625.35</v>
      </c>
      <c r="I14" s="151">
        <f>'Athens Daily - Water'!S18</f>
        <v>219.65</v>
      </c>
      <c r="J14" s="127">
        <f t="shared" si="0"/>
        <v>845</v>
      </c>
      <c r="K14" s="151">
        <f>'Athens Daily - Gas'!BH20</f>
        <v>97960.8</v>
      </c>
      <c r="L14" s="151">
        <f>'Athens Daily - Gas'!BI20</f>
        <v>63703.200000000004</v>
      </c>
      <c r="M14" s="131">
        <f t="shared" si="2"/>
        <v>4187.1017871017875</v>
      </c>
      <c r="N14" s="158">
        <f>Occ!G21</f>
        <v>401</v>
      </c>
      <c r="O14" s="104">
        <f>Occ!H21</f>
        <v>905</v>
      </c>
      <c r="P14" s="157">
        <v>918</v>
      </c>
      <c r="Q14" s="166"/>
    </row>
    <row r="15" spans="1:17">
      <c r="A15" s="7" t="s">
        <v>14</v>
      </c>
      <c r="B15" s="7">
        <v>13</v>
      </c>
      <c r="C15" s="7">
        <v>7</v>
      </c>
      <c r="D15" s="121">
        <v>2021</v>
      </c>
      <c r="E15" s="151">
        <f>'Athens Daily - EL'!AK20</f>
        <v>48620</v>
      </c>
      <c r="F15" s="151">
        <f>'Athens Daily - EL'!AL20</f>
        <v>41610</v>
      </c>
      <c r="G15" s="131">
        <f t="shared" si="1"/>
        <v>90230</v>
      </c>
      <c r="H15" s="151">
        <f>'Athens Daily - Water'!R19</f>
        <v>622.35</v>
      </c>
      <c r="I15" s="151">
        <f>'Athens Daily - Water'!S19</f>
        <v>219.65</v>
      </c>
      <c r="J15" s="127">
        <f t="shared" si="0"/>
        <v>842</v>
      </c>
      <c r="K15" s="151">
        <f>'Athens Daily - Gas'!BH21</f>
        <v>100584</v>
      </c>
      <c r="L15" s="151">
        <f>'Athens Daily - Gas'!BI21</f>
        <v>62904</v>
      </c>
      <c r="M15" s="131">
        <f t="shared" si="2"/>
        <v>4234.3434343434346</v>
      </c>
      <c r="N15" s="158">
        <f>Occ!G22</f>
        <v>415</v>
      </c>
      <c r="O15" s="104">
        <f>Occ!H22</f>
        <v>937</v>
      </c>
      <c r="P15" s="157">
        <v>918</v>
      </c>
      <c r="Q15" s="163"/>
    </row>
    <row r="16" spans="1:17">
      <c r="A16" s="7" t="s">
        <v>14</v>
      </c>
      <c r="B16" s="7">
        <v>14</v>
      </c>
      <c r="C16" s="7">
        <v>7</v>
      </c>
      <c r="D16" s="121">
        <v>2021</v>
      </c>
      <c r="E16" s="151">
        <f>'Athens Daily - EL'!AK21</f>
        <v>49615</v>
      </c>
      <c r="F16" s="151">
        <f>'Athens Daily - EL'!AL21</f>
        <v>41955</v>
      </c>
      <c r="G16" s="131">
        <f t="shared" si="1"/>
        <v>91570</v>
      </c>
      <c r="H16" s="151">
        <f>'Athens Daily - Water'!R20</f>
        <v>621.9</v>
      </c>
      <c r="I16" s="151">
        <f>'Athens Daily - Water'!S20</f>
        <v>220.1</v>
      </c>
      <c r="J16" s="127">
        <f t="shared" si="0"/>
        <v>842</v>
      </c>
      <c r="K16" s="151">
        <f>'Athens Daily - Gas'!BH22</f>
        <v>100152</v>
      </c>
      <c r="L16" s="151">
        <f>'Athens Daily - Gas'!BI22</f>
        <v>63336</v>
      </c>
      <c r="M16" s="131">
        <f t="shared" si="2"/>
        <v>4234.3434343434346</v>
      </c>
      <c r="N16" s="158">
        <f>Occ!G23</f>
        <v>416</v>
      </c>
      <c r="O16" s="104">
        <f>Occ!H23</f>
        <v>949</v>
      </c>
      <c r="P16" s="157">
        <v>918</v>
      </c>
      <c r="Q16" s="163"/>
    </row>
    <row r="17" spans="1:17">
      <c r="A17" s="7" t="s">
        <v>14</v>
      </c>
      <c r="B17" s="7">
        <v>15</v>
      </c>
      <c r="C17" s="7">
        <v>7</v>
      </c>
      <c r="D17" s="121">
        <v>2021</v>
      </c>
      <c r="E17" s="151">
        <f>'Athens Daily - EL'!AK22</f>
        <v>48670</v>
      </c>
      <c r="F17" s="151">
        <f>'Athens Daily - EL'!AL22</f>
        <v>41750</v>
      </c>
      <c r="G17" s="131">
        <f t="shared" si="1"/>
        <v>90420</v>
      </c>
      <c r="H17" s="151">
        <f>'Athens Daily - Water'!R21</f>
        <v>622.35</v>
      </c>
      <c r="I17" s="151">
        <f>'Athens Daily - Water'!S21</f>
        <v>220.65</v>
      </c>
      <c r="J17" s="127">
        <f t="shared" si="0"/>
        <v>843</v>
      </c>
      <c r="K17" s="151">
        <f>'Athens Daily - Gas'!BH23</f>
        <v>116101.68000000001</v>
      </c>
      <c r="L17" s="151">
        <f>'Athens Daily - Gas'!BI23</f>
        <v>64814.400000000001</v>
      </c>
      <c r="M17" s="131">
        <f t="shared" si="2"/>
        <v>4685.7311577311584</v>
      </c>
      <c r="N17" s="158">
        <f>Occ!G24</f>
        <v>409</v>
      </c>
      <c r="O17" s="104">
        <f>Occ!H24</f>
        <v>947</v>
      </c>
      <c r="P17" s="157">
        <v>918</v>
      </c>
      <c r="Q17" s="163"/>
    </row>
    <row r="18" spans="1:17">
      <c r="A18" s="7" t="s">
        <v>14</v>
      </c>
      <c r="B18" s="7">
        <v>16</v>
      </c>
      <c r="C18" s="7">
        <v>7</v>
      </c>
      <c r="D18" s="121">
        <v>2021</v>
      </c>
      <c r="E18" s="151">
        <f>'Athens Daily - EL'!AK23</f>
        <v>48540</v>
      </c>
      <c r="F18" s="151">
        <f>'Athens Daily - EL'!AL23</f>
        <v>41270</v>
      </c>
      <c r="G18" s="131">
        <f t="shared" si="1"/>
        <v>89810</v>
      </c>
      <c r="H18" s="151">
        <f>'Athens Daily - Water'!R22</f>
        <v>629.85</v>
      </c>
      <c r="I18" s="151">
        <f>'Athens Daily - Water'!S22</f>
        <v>226.15</v>
      </c>
      <c r="J18" s="127">
        <f t="shared" si="0"/>
        <v>856</v>
      </c>
      <c r="K18" s="151">
        <f>'Athens Daily - Gas'!BH24</f>
        <v>120980.496</v>
      </c>
      <c r="L18" s="151">
        <f>'Athens Daily - Gas'!BI24</f>
        <v>69727.200000000012</v>
      </c>
      <c r="M18" s="131">
        <f t="shared" si="2"/>
        <v>4939.3342657342655</v>
      </c>
      <c r="N18" s="158">
        <f>Occ!G25</f>
        <v>403</v>
      </c>
      <c r="O18" s="104">
        <f>Occ!H25</f>
        <v>933</v>
      </c>
      <c r="P18" s="157">
        <v>918</v>
      </c>
      <c r="Q18" s="162"/>
    </row>
    <row r="19" spans="1:17">
      <c r="A19" s="7" t="s">
        <v>14</v>
      </c>
      <c r="B19" s="7">
        <v>17</v>
      </c>
      <c r="C19" s="7">
        <v>7</v>
      </c>
      <c r="D19" s="121">
        <v>2021</v>
      </c>
      <c r="E19" s="151">
        <f>'Athens Daily - EL'!AK24</f>
        <v>48155</v>
      </c>
      <c r="F19" s="151">
        <f>'Athens Daily - EL'!AL24</f>
        <v>40305</v>
      </c>
      <c r="G19" s="131">
        <f t="shared" si="1"/>
        <v>88460</v>
      </c>
      <c r="H19" s="151">
        <f>'Athens Daily - Water'!R23</f>
        <v>642.0731428571429</v>
      </c>
      <c r="I19" s="151">
        <f>'Athens Daily - Water'!S23</f>
        <v>216.1</v>
      </c>
      <c r="J19" s="127">
        <f t="shared" si="0"/>
        <v>858.17314285714292</v>
      </c>
      <c r="K19" s="151">
        <f>'Athens Daily - Gas'!BH25</f>
        <v>86080.751999999993</v>
      </c>
      <c r="L19" s="151">
        <f>'Athens Daily - Gas'!BI25</f>
        <v>65616</v>
      </c>
      <c r="M19" s="131">
        <f t="shared" si="2"/>
        <v>3928.9498057498054</v>
      </c>
      <c r="N19" s="158">
        <f>Occ!G26</f>
        <v>441</v>
      </c>
      <c r="O19" s="104">
        <f>Occ!H26</f>
        <v>1023</v>
      </c>
      <c r="P19" s="157">
        <v>918</v>
      </c>
      <c r="Q19" s="162"/>
    </row>
    <row r="20" spans="1:17">
      <c r="A20" s="7" t="s">
        <v>14</v>
      </c>
      <c r="B20" s="7">
        <v>18</v>
      </c>
      <c r="C20" s="7">
        <v>7</v>
      </c>
      <c r="D20" s="121">
        <v>2021</v>
      </c>
      <c r="E20" s="151">
        <f>'Athens Daily - EL'!AK25</f>
        <v>45905</v>
      </c>
      <c r="F20" s="151">
        <f>'Athens Daily - EL'!AL25</f>
        <v>38295</v>
      </c>
      <c r="G20" s="131">
        <f t="shared" si="1"/>
        <v>84200</v>
      </c>
      <c r="H20" s="151">
        <f>'Athens Daily - Water'!R24</f>
        <v>697.8516938775507</v>
      </c>
      <c r="I20" s="151">
        <f>'Athens Daily - Water'!S24</f>
        <v>282.39999999999998</v>
      </c>
      <c r="J20" s="127">
        <f t="shared" si="0"/>
        <v>980.25169387755068</v>
      </c>
      <c r="K20" s="151">
        <f>'Athens Daily - Gas'!BH26</f>
        <v>111525.16800000002</v>
      </c>
      <c r="L20" s="151">
        <f>'Athens Daily - Gas'!BI26</f>
        <v>62728.800000000003</v>
      </c>
      <c r="M20" s="131">
        <f t="shared" si="2"/>
        <v>4513.1822843822847</v>
      </c>
      <c r="N20" s="158">
        <f>Occ!G27</f>
        <v>432</v>
      </c>
      <c r="O20" s="104">
        <f>Occ!H27</f>
        <v>991</v>
      </c>
      <c r="P20" s="157">
        <v>918</v>
      </c>
      <c r="Q20" s="162"/>
    </row>
    <row r="21" spans="1:17">
      <c r="A21" s="7" t="s">
        <v>14</v>
      </c>
      <c r="B21" s="7">
        <v>19</v>
      </c>
      <c r="C21" s="7">
        <v>7</v>
      </c>
      <c r="D21" s="121">
        <v>2021</v>
      </c>
      <c r="E21" s="151">
        <f>'Athens Daily - EL'!AK26</f>
        <v>45740</v>
      </c>
      <c r="F21" s="151">
        <f>'Athens Daily - EL'!AL26</f>
        <v>38110</v>
      </c>
      <c r="G21" s="131">
        <f t="shared" si="1"/>
        <v>83850</v>
      </c>
      <c r="H21" s="151">
        <f>'Athens Daily - Water'!R25</f>
        <v>773.23959475218726</v>
      </c>
      <c r="I21" s="151">
        <f>'Athens Daily - Water'!S25</f>
        <v>370.5</v>
      </c>
      <c r="J21" s="127">
        <f t="shared" si="0"/>
        <v>1143.7395947521873</v>
      </c>
      <c r="K21" s="151">
        <f>'Athens Daily - Gas'!BH27</f>
        <v>112100.54399999999</v>
      </c>
      <c r="L21" s="151">
        <f>'Athens Daily - Gas'!BI27</f>
        <v>72696</v>
      </c>
      <c r="M21" s="131">
        <f t="shared" si="2"/>
        <v>4786.2352758352754</v>
      </c>
      <c r="N21" s="158">
        <f>Occ!G28</f>
        <v>417</v>
      </c>
      <c r="O21" s="104">
        <f>Occ!H28</f>
        <v>963</v>
      </c>
      <c r="P21" s="157">
        <v>918</v>
      </c>
      <c r="Q21" s="162"/>
    </row>
    <row r="22" spans="1:17">
      <c r="A22" s="7" t="s">
        <v>14</v>
      </c>
      <c r="B22" s="7">
        <v>20</v>
      </c>
      <c r="C22" s="7">
        <v>7</v>
      </c>
      <c r="D22" s="121">
        <v>2021</v>
      </c>
      <c r="E22" s="151">
        <f>'Athens Daily - EL'!AK27</f>
        <v>44410</v>
      </c>
      <c r="F22" s="151">
        <f>'Athens Daily - EL'!AL27</f>
        <v>36820</v>
      </c>
      <c r="G22" s="131">
        <f t="shared" si="1"/>
        <v>81230</v>
      </c>
      <c r="H22" s="151">
        <f>'Athens Daily - Water'!R26</f>
        <v>771.80008121616038</v>
      </c>
      <c r="I22" s="151">
        <f>'Athens Daily - Water'!S26</f>
        <v>370.5</v>
      </c>
      <c r="J22" s="127">
        <f t="shared" si="0"/>
        <v>1142.3000812161604</v>
      </c>
      <c r="K22" s="151">
        <f>'Athens Daily - Gas'!BH28</f>
        <v>107158.89600000001</v>
      </c>
      <c r="L22" s="151">
        <f>'Athens Daily - Gas'!BI28</f>
        <v>69844.800000000003</v>
      </c>
      <c r="M22" s="131">
        <f t="shared" si="2"/>
        <v>4584.4003108003108</v>
      </c>
      <c r="N22" s="158">
        <f>Occ!G29</f>
        <v>398</v>
      </c>
      <c r="O22" s="104">
        <f>Occ!H29</f>
        <v>910</v>
      </c>
      <c r="P22" s="157">
        <v>918</v>
      </c>
      <c r="Q22" s="163"/>
    </row>
    <row r="23" spans="1:17">
      <c r="A23" s="7" t="s">
        <v>14</v>
      </c>
      <c r="B23" s="7">
        <v>21</v>
      </c>
      <c r="C23" s="7">
        <v>7</v>
      </c>
      <c r="D23" s="121">
        <v>2021</v>
      </c>
      <c r="E23" s="151">
        <f>'Athens Daily - EL'!AK28</f>
        <v>45800</v>
      </c>
      <c r="F23" s="151">
        <f>'Athens Daily - EL'!AL28</f>
        <v>37960</v>
      </c>
      <c r="G23" s="131">
        <f t="shared" si="1"/>
        <v>83760</v>
      </c>
      <c r="H23" s="168">
        <f>'Athens Daily - Water'!R27</f>
        <v>589.2950696138513</v>
      </c>
      <c r="I23" s="151">
        <f>'Athens Daily - Water'!S27</f>
        <v>131.10000000000002</v>
      </c>
      <c r="J23" s="127">
        <f t="shared" si="0"/>
        <v>720.39506961385132</v>
      </c>
      <c r="K23" s="151">
        <f>'Athens Daily - Gas'!BH29</f>
        <v>106249.72799999999</v>
      </c>
      <c r="L23" s="151">
        <f>'Athens Daily - Gas'!BI29</f>
        <v>69069.600000000006</v>
      </c>
      <c r="M23" s="131">
        <f t="shared" si="2"/>
        <v>4540.7751359751355</v>
      </c>
      <c r="N23" s="158">
        <f>Occ!G30</f>
        <v>393</v>
      </c>
      <c r="O23" s="104">
        <f>Occ!H30</f>
        <v>888</v>
      </c>
      <c r="P23" s="157">
        <v>918</v>
      </c>
      <c r="Q23" s="163"/>
    </row>
    <row r="24" spans="1:17">
      <c r="A24" s="7" t="s">
        <v>14</v>
      </c>
      <c r="B24" s="7">
        <v>22</v>
      </c>
      <c r="C24" s="7">
        <v>7</v>
      </c>
      <c r="D24" s="121">
        <v>2021</v>
      </c>
      <c r="E24" s="151">
        <f>'Athens Daily - EL'!AK29</f>
        <v>44010</v>
      </c>
      <c r="F24" s="151">
        <f>'Athens Daily - EL'!AL29</f>
        <v>36710</v>
      </c>
      <c r="G24" s="131">
        <f t="shared" si="1"/>
        <v>80720</v>
      </c>
      <c r="H24" s="168">
        <f>'Athens Daily - Water'!R28</f>
        <v>589.31651681187248</v>
      </c>
      <c r="I24" s="151">
        <f>'Athens Daily - Water'!S28</f>
        <v>134.60000000000002</v>
      </c>
      <c r="J24" s="127">
        <f t="shared" si="0"/>
        <v>723.9165168118725</v>
      </c>
      <c r="K24" s="151">
        <f>'Athens Daily - Gas'!BH30</f>
        <v>95437.104000000007</v>
      </c>
      <c r="L24" s="151">
        <f>'Athens Daily - Gas'!BI30</f>
        <v>61584</v>
      </c>
      <c r="M24" s="131">
        <f t="shared" si="2"/>
        <v>4066.8506604506601</v>
      </c>
      <c r="N24" s="158">
        <f>Occ!G31</f>
        <v>403</v>
      </c>
      <c r="O24" s="104">
        <f>Occ!H31</f>
        <v>928</v>
      </c>
      <c r="P24" s="157">
        <v>918</v>
      </c>
      <c r="Q24" s="163"/>
    </row>
    <row r="25" spans="1:17">
      <c r="A25" s="7" t="s">
        <v>14</v>
      </c>
      <c r="B25" s="7">
        <v>23</v>
      </c>
      <c r="C25" s="7">
        <v>7</v>
      </c>
      <c r="D25" s="121">
        <v>2021</v>
      </c>
      <c r="E25" s="151">
        <f>'Athens Daily - EL'!AK30</f>
        <v>50900</v>
      </c>
      <c r="F25" s="151">
        <f>'Athens Daily - EL'!AL30</f>
        <v>43980</v>
      </c>
      <c r="G25" s="131">
        <f t="shared" si="1"/>
        <v>94880</v>
      </c>
      <c r="H25" s="168">
        <f>'Athens Daily - Water'!R29</f>
        <v>670.12390087123492</v>
      </c>
      <c r="I25" s="151">
        <f>'Athens Daily - Water'!S29</f>
        <v>240.1</v>
      </c>
      <c r="J25" s="127">
        <f t="shared" si="0"/>
        <v>910.22390087123495</v>
      </c>
      <c r="K25" s="168">
        <f>'Athens Daily - Gas'!BH31</f>
        <v>98376.767999999996</v>
      </c>
      <c r="L25" s="151">
        <f>'Athens Daily - Gas'!BI31</f>
        <v>63168</v>
      </c>
      <c r="M25" s="131">
        <f t="shared" si="2"/>
        <v>4184.013675213675</v>
      </c>
      <c r="N25" s="158">
        <f>Occ!G32</f>
        <v>412</v>
      </c>
      <c r="O25" s="104">
        <f>Occ!H32</f>
        <v>948</v>
      </c>
      <c r="P25" s="157">
        <v>918</v>
      </c>
      <c r="Q25" s="163"/>
    </row>
    <row r="26" spans="1:17">
      <c r="A26" s="7" t="s">
        <v>14</v>
      </c>
      <c r="B26" s="7">
        <v>24</v>
      </c>
      <c r="C26" s="7">
        <v>7</v>
      </c>
      <c r="D26" s="121">
        <v>2021</v>
      </c>
      <c r="E26" s="151">
        <f>'Athens Daily - EL'!AK31</f>
        <v>49095</v>
      </c>
      <c r="F26" s="151">
        <f>'Athens Daily - EL'!AL31</f>
        <v>41025</v>
      </c>
      <c r="G26" s="131">
        <f t="shared" si="1"/>
        <v>90120</v>
      </c>
      <c r="H26" s="168">
        <f>'Athens Daily - Water'!R30</f>
        <v>676.95</v>
      </c>
      <c r="I26" s="151">
        <f>'Athens Daily - Water'!S30</f>
        <v>249.05</v>
      </c>
      <c r="J26" s="127">
        <f t="shared" si="0"/>
        <v>926</v>
      </c>
      <c r="K26" s="151">
        <f>'Athens Daily - Gas'!BH32</f>
        <v>105795.6</v>
      </c>
      <c r="L26" s="151">
        <f>'Athens Daily - Gas'!BI32</f>
        <v>65848.800000000003</v>
      </c>
      <c r="M26" s="131">
        <f t="shared" si="2"/>
        <v>4445.5944055944065</v>
      </c>
      <c r="N26" s="158">
        <f>Occ!G33</f>
        <v>435</v>
      </c>
      <c r="O26" s="104">
        <f>Occ!H33</f>
        <v>1021</v>
      </c>
      <c r="P26" s="157">
        <v>918</v>
      </c>
      <c r="Q26" s="163"/>
    </row>
    <row r="27" spans="1:17">
      <c r="A27" s="7" t="s">
        <v>14</v>
      </c>
      <c r="B27" s="7">
        <v>25</v>
      </c>
      <c r="C27" s="7">
        <v>7</v>
      </c>
      <c r="D27" s="121">
        <v>2021</v>
      </c>
      <c r="E27" s="151">
        <f>'Athens Daily - EL'!AK32</f>
        <v>49780</v>
      </c>
      <c r="F27" s="151">
        <f>'Athens Daily - EL'!AL32</f>
        <v>41670</v>
      </c>
      <c r="G27" s="131">
        <f t="shared" si="1"/>
        <v>91450</v>
      </c>
      <c r="H27" s="168">
        <f>'Athens Daily - Water'!R31</f>
        <v>633.29</v>
      </c>
      <c r="I27" s="151">
        <f>'Athens Daily - Water'!S31</f>
        <v>183.25</v>
      </c>
      <c r="J27" s="127">
        <f t="shared" si="0"/>
        <v>816.54</v>
      </c>
      <c r="K27" s="151">
        <f>'Athens Daily - Gas'!BH33</f>
        <v>112779.216</v>
      </c>
      <c r="L27" s="151">
        <f>'Athens Daily - Gas'!BI33</f>
        <v>68232</v>
      </c>
      <c r="M27" s="131">
        <f t="shared" si="2"/>
        <v>4688.1951825951828</v>
      </c>
      <c r="N27" s="158">
        <f>Occ!G34</f>
        <v>421</v>
      </c>
      <c r="O27" s="104">
        <f>Occ!H34</f>
        <v>964</v>
      </c>
      <c r="P27" s="157">
        <v>918</v>
      </c>
      <c r="Q27" s="161"/>
    </row>
    <row r="28" spans="1:17">
      <c r="A28" s="7" t="s">
        <v>14</v>
      </c>
      <c r="B28" s="7">
        <v>26</v>
      </c>
      <c r="C28" s="7">
        <v>7</v>
      </c>
      <c r="D28" s="121">
        <v>2021</v>
      </c>
      <c r="E28" s="151">
        <f>'Athens Daily - EL'!AK33</f>
        <v>49245</v>
      </c>
      <c r="F28" s="151">
        <f>'Athens Daily - EL'!AL33</f>
        <v>41565</v>
      </c>
      <c r="G28" s="131">
        <f t="shared" si="1"/>
        <v>90810</v>
      </c>
      <c r="H28" s="151">
        <f>'Athens Daily - Water'!R32</f>
        <v>601.41000000000008</v>
      </c>
      <c r="I28" s="151">
        <f>'Athens Daily - Water'!S32</f>
        <v>147.05000000000001</v>
      </c>
      <c r="J28" s="127">
        <f t="shared" si="0"/>
        <v>748.46</v>
      </c>
      <c r="K28" s="151">
        <f>'Athens Daily - Gas'!BH34</f>
        <v>108787.056</v>
      </c>
      <c r="L28" s="151">
        <f>'Athens Daily - Gas'!BI34</f>
        <v>68124</v>
      </c>
      <c r="M28" s="131">
        <f t="shared" si="2"/>
        <v>4582.0009324009316</v>
      </c>
      <c r="N28" s="158">
        <f>Occ!G35</f>
        <v>411</v>
      </c>
      <c r="O28" s="104">
        <f>Occ!H35</f>
        <v>944</v>
      </c>
      <c r="P28" s="157">
        <v>918</v>
      </c>
      <c r="Q28" s="161"/>
    </row>
    <row r="29" spans="1:17">
      <c r="A29" s="7" t="s">
        <v>14</v>
      </c>
      <c r="B29" s="7">
        <v>27</v>
      </c>
      <c r="C29" s="7">
        <v>7</v>
      </c>
      <c r="D29" s="121">
        <v>2021</v>
      </c>
      <c r="E29" s="151">
        <f>'Athens Daily - EL'!AK34</f>
        <v>51095</v>
      </c>
      <c r="F29" s="151">
        <f>'Athens Daily - EL'!AL34</f>
        <v>44025</v>
      </c>
      <c r="G29" s="131">
        <f t="shared" si="1"/>
        <v>95120</v>
      </c>
      <c r="H29" s="151">
        <f>'Athens Daily - Water'!R33</f>
        <v>576.65</v>
      </c>
      <c r="I29" s="151">
        <f>'Athens Daily - Water'!S33</f>
        <v>155.35000000000002</v>
      </c>
      <c r="J29" s="127">
        <f t="shared" si="0"/>
        <v>732</v>
      </c>
      <c r="K29" s="151">
        <f>'Athens Daily - Gas'!BH35</f>
        <v>96864.624000000011</v>
      </c>
      <c r="L29" s="151">
        <f>'Athens Daily - Gas'!BI35</f>
        <v>58706.400000000001</v>
      </c>
      <c r="M29" s="131">
        <f t="shared" si="2"/>
        <v>4029.2935508935511</v>
      </c>
      <c r="N29" s="158">
        <f>Occ!G36</f>
        <v>418</v>
      </c>
      <c r="O29" s="104">
        <f>Occ!H36</f>
        <v>960</v>
      </c>
      <c r="P29" s="157">
        <v>918</v>
      </c>
      <c r="Q29" s="161"/>
    </row>
    <row r="30" spans="1:17">
      <c r="A30" s="7" t="s">
        <v>14</v>
      </c>
      <c r="B30" s="7">
        <v>28</v>
      </c>
      <c r="C30" s="7">
        <v>7</v>
      </c>
      <c r="D30" s="121">
        <v>2021</v>
      </c>
      <c r="E30" s="151">
        <f>'Athens Daily - EL'!AK35</f>
        <v>50445</v>
      </c>
      <c r="F30" s="151">
        <f>'Athens Daily - EL'!AL35</f>
        <v>43105</v>
      </c>
      <c r="G30" s="131">
        <f t="shared" si="1"/>
        <v>93550</v>
      </c>
      <c r="H30" s="151">
        <f>'Athens Daily - Water'!R34</f>
        <v>618.82299999999964</v>
      </c>
      <c r="I30" s="151">
        <f>'Athens Daily - Water'!S34</f>
        <v>231.3</v>
      </c>
      <c r="J30" s="127">
        <f t="shared" si="0"/>
        <v>850.12299999999959</v>
      </c>
      <c r="K30" s="151">
        <f>'Athens Daily - Gas'!BH36</f>
        <v>98974.368000000002</v>
      </c>
      <c r="L30" s="151">
        <f>'Athens Daily - Gas'!BI36</f>
        <v>60900</v>
      </c>
      <c r="M30" s="131">
        <f t="shared" si="2"/>
        <v>4140.7502719502727</v>
      </c>
      <c r="N30" s="158">
        <f>Occ!G37</f>
        <v>395</v>
      </c>
      <c r="O30" s="104">
        <f>Occ!H37</f>
        <v>901</v>
      </c>
      <c r="P30" s="157">
        <v>918</v>
      </c>
      <c r="Q30" s="161"/>
    </row>
    <row r="31" spans="1:17">
      <c r="A31" s="7" t="s">
        <v>14</v>
      </c>
      <c r="B31" s="7">
        <v>29</v>
      </c>
      <c r="C31" s="7">
        <v>7</v>
      </c>
      <c r="D31" s="121">
        <v>2021</v>
      </c>
      <c r="E31" s="151">
        <f>'Athens Daily - EL'!AK36</f>
        <v>49940</v>
      </c>
      <c r="F31" s="151">
        <f>'Athens Daily - EL'!AL36</f>
        <v>42580</v>
      </c>
      <c r="G31" s="131">
        <f t="shared" si="1"/>
        <v>92520</v>
      </c>
      <c r="H31" s="151">
        <f>'Athens Daily - Water'!R35</f>
        <v>622.67700000000036</v>
      </c>
      <c r="I31" s="151">
        <f>'Athens Daily - Water'!S35</f>
        <v>215.20000000000002</v>
      </c>
      <c r="J31" s="127">
        <f t="shared" si="0"/>
        <v>837.87700000000041</v>
      </c>
      <c r="K31" s="151">
        <f>'Athens Daily - Gas'!BH37</f>
        <v>102009.696</v>
      </c>
      <c r="L31" s="151">
        <f>'Athens Daily - Gas'!BI37</f>
        <v>63552</v>
      </c>
      <c r="M31" s="131">
        <f t="shared" si="2"/>
        <v>4288.0522144522147</v>
      </c>
      <c r="N31" s="158">
        <f>Occ!G38</f>
        <v>414</v>
      </c>
      <c r="O31" s="104">
        <f>Occ!H38</f>
        <v>959</v>
      </c>
      <c r="P31" s="157">
        <v>918</v>
      </c>
      <c r="Q31" s="161"/>
    </row>
    <row r="32" spans="1:17">
      <c r="A32" s="7" t="s">
        <v>14</v>
      </c>
      <c r="B32" s="7">
        <v>30</v>
      </c>
      <c r="C32" s="7">
        <v>7</v>
      </c>
      <c r="D32" s="121">
        <v>2021</v>
      </c>
      <c r="E32" s="151">
        <f>'Athens Daily - EL'!AK37</f>
        <v>50070</v>
      </c>
      <c r="F32" s="151">
        <f>'Athens Daily - EL'!AL37</f>
        <v>41390</v>
      </c>
      <c r="G32" s="131">
        <f t="shared" si="1"/>
        <v>91460</v>
      </c>
      <c r="H32" s="151">
        <f>'Athens Daily - Water'!R36</f>
        <v>672.85</v>
      </c>
      <c r="I32" s="151">
        <f>'Athens Daily - Water'!S36</f>
        <v>256.14999999999998</v>
      </c>
      <c r="J32" s="127">
        <f t="shared" si="0"/>
        <v>929</v>
      </c>
      <c r="K32" s="151">
        <f>'Athens Daily - Gas'!BH38</f>
        <v>104670.19200000001</v>
      </c>
      <c r="L32" s="151">
        <f>'Athens Daily - Gas'!BI38</f>
        <v>63674.400000000001</v>
      </c>
      <c r="M32" s="131">
        <f t="shared" si="2"/>
        <v>4360.1292929292931</v>
      </c>
      <c r="N32" s="158">
        <f>Occ!G39</f>
        <v>420</v>
      </c>
      <c r="O32" s="104">
        <f>Occ!H39</f>
        <v>965</v>
      </c>
      <c r="P32" s="157">
        <v>918</v>
      </c>
      <c r="Q32" s="161"/>
    </row>
    <row r="33" spans="1:17" ht="15.75" thickBot="1">
      <c r="A33" s="7" t="s">
        <v>14</v>
      </c>
      <c r="B33" s="7">
        <v>31</v>
      </c>
      <c r="C33" s="7">
        <v>7</v>
      </c>
      <c r="D33" s="121">
        <v>2021</v>
      </c>
      <c r="E33" s="152">
        <f>'Athens Daily - EL'!AK38</f>
        <v>50660</v>
      </c>
      <c r="F33" s="151">
        <f>'Athens Daily - EL'!AL38</f>
        <v>42740</v>
      </c>
      <c r="G33" s="132">
        <f t="shared" si="1"/>
        <v>93400</v>
      </c>
      <c r="H33" s="152">
        <f>'Athens Daily - Water'!R37</f>
        <v>670.15899999999965</v>
      </c>
      <c r="I33" s="151">
        <f>'Athens Daily - Water'!S37</f>
        <v>227</v>
      </c>
      <c r="J33" s="128">
        <f t="shared" si="0"/>
        <v>897.15899999999965</v>
      </c>
      <c r="K33" s="152">
        <f>'Athens Daily - Gas'!BH39</f>
        <v>106375.92</v>
      </c>
      <c r="L33" s="151">
        <f>'Athens Daily - Gas'!BI39</f>
        <v>64872</v>
      </c>
      <c r="M33" s="132">
        <f t="shared" si="2"/>
        <v>4435.3255633255631</v>
      </c>
      <c r="N33" s="165">
        <f>Occ!G40</f>
        <v>436</v>
      </c>
      <c r="O33" s="156">
        <f>Occ!H40</f>
        <v>1017</v>
      </c>
      <c r="P33" s="155">
        <v>918</v>
      </c>
      <c r="Q33" s="161"/>
    </row>
    <row r="35" spans="1:17">
      <c r="N35" s="191"/>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5" sqref="E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9" t="s">
        <v>22</v>
      </c>
      <c r="H8" s="200"/>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133</v>
      </c>
      <c r="D10" s="144">
        <v>318</v>
      </c>
      <c r="E10" s="143">
        <v>287</v>
      </c>
      <c r="F10" s="144">
        <v>659</v>
      </c>
      <c r="G10" s="164">
        <f>SUM(C10+E10)</f>
        <v>420</v>
      </c>
      <c r="H10" s="144">
        <f>D10+F10</f>
        <v>977</v>
      </c>
      <c r="I10" s="141">
        <v>918</v>
      </c>
      <c r="J10" s="133"/>
      <c r="K10" s="133"/>
      <c r="L10" s="133"/>
      <c r="M10" s="133"/>
      <c r="N10" s="133"/>
    </row>
    <row r="11" spans="1:14">
      <c r="A11" s="133"/>
      <c r="B11" s="142" t="s">
        <v>29</v>
      </c>
      <c r="C11" s="143">
        <v>146</v>
      </c>
      <c r="D11" s="144">
        <v>337</v>
      </c>
      <c r="E11" s="143">
        <v>288</v>
      </c>
      <c r="F11" s="144">
        <v>662</v>
      </c>
      <c r="G11" s="164">
        <f t="shared" ref="G11:G40" si="0">SUM(C11+E11)</f>
        <v>434</v>
      </c>
      <c r="H11" s="144">
        <f t="shared" ref="H11:H14" si="1">D11+F11</f>
        <v>999</v>
      </c>
      <c r="I11" s="141">
        <v>918</v>
      </c>
      <c r="J11" s="133"/>
      <c r="K11" s="133"/>
      <c r="L11" s="133"/>
      <c r="M11" s="133"/>
      <c r="N11" s="133"/>
    </row>
    <row r="12" spans="1:14">
      <c r="A12" s="133"/>
      <c r="B12" s="142" t="s">
        <v>30</v>
      </c>
      <c r="C12" s="143">
        <v>147</v>
      </c>
      <c r="D12" s="144">
        <v>333</v>
      </c>
      <c r="E12" s="143">
        <v>290</v>
      </c>
      <c r="F12" s="144">
        <v>664</v>
      </c>
      <c r="G12" s="164">
        <f t="shared" si="0"/>
        <v>437</v>
      </c>
      <c r="H12" s="144">
        <f t="shared" si="1"/>
        <v>997</v>
      </c>
      <c r="I12" s="141">
        <v>918</v>
      </c>
      <c r="J12" s="133"/>
      <c r="K12" s="133"/>
      <c r="L12" s="133"/>
      <c r="M12" s="133"/>
      <c r="N12" s="133"/>
    </row>
    <row r="13" spans="1:14">
      <c r="A13" s="133"/>
      <c r="B13" s="142" t="s">
        <v>31</v>
      </c>
      <c r="C13" s="143">
        <v>117</v>
      </c>
      <c r="D13" s="144">
        <v>276</v>
      </c>
      <c r="E13" s="143">
        <v>286</v>
      </c>
      <c r="F13" s="144">
        <v>656</v>
      </c>
      <c r="G13" s="164">
        <f t="shared" si="0"/>
        <v>403</v>
      </c>
      <c r="H13" s="144">
        <f t="shared" si="1"/>
        <v>932</v>
      </c>
      <c r="I13" s="141">
        <v>918</v>
      </c>
      <c r="J13" s="133"/>
      <c r="K13" s="133"/>
      <c r="L13" s="133"/>
      <c r="M13" s="133"/>
      <c r="N13" s="133"/>
    </row>
    <row r="14" spans="1:14">
      <c r="A14" s="133"/>
      <c r="B14" s="142" t="s">
        <v>32</v>
      </c>
      <c r="C14" s="143">
        <v>144</v>
      </c>
      <c r="D14" s="144">
        <v>321</v>
      </c>
      <c r="E14" s="143">
        <v>285</v>
      </c>
      <c r="F14" s="144">
        <v>652</v>
      </c>
      <c r="G14" s="164">
        <f t="shared" si="0"/>
        <v>429</v>
      </c>
      <c r="H14" s="144">
        <f t="shared" si="1"/>
        <v>973</v>
      </c>
      <c r="I14" s="141">
        <v>918</v>
      </c>
      <c r="J14" s="133"/>
      <c r="K14" s="133"/>
      <c r="L14" s="133"/>
      <c r="M14" s="133"/>
      <c r="N14" s="133"/>
    </row>
    <row r="15" spans="1:14">
      <c r="A15" s="133"/>
      <c r="B15" s="142" t="s">
        <v>33</v>
      </c>
      <c r="C15" s="143">
        <v>88</v>
      </c>
      <c r="D15" s="144">
        <v>192</v>
      </c>
      <c r="E15" s="143">
        <v>287</v>
      </c>
      <c r="F15" s="144">
        <v>654</v>
      </c>
      <c r="G15" s="164">
        <f t="shared" si="0"/>
        <v>375</v>
      </c>
      <c r="H15" s="144">
        <f t="shared" ref="H15:H40" si="2">D15+F15</f>
        <v>846</v>
      </c>
      <c r="I15" s="141">
        <v>918</v>
      </c>
      <c r="J15" s="133"/>
      <c r="K15" s="133"/>
      <c r="L15" s="133"/>
      <c r="M15" s="133"/>
      <c r="N15" s="133"/>
    </row>
    <row r="16" spans="1:14">
      <c r="A16" s="133"/>
      <c r="B16" s="142" t="s">
        <v>34</v>
      </c>
      <c r="C16" s="143">
        <v>115</v>
      </c>
      <c r="D16" s="144">
        <v>253</v>
      </c>
      <c r="E16" s="143">
        <v>289</v>
      </c>
      <c r="F16" s="144">
        <v>657</v>
      </c>
      <c r="G16" s="164">
        <f t="shared" si="0"/>
        <v>404</v>
      </c>
      <c r="H16" s="144">
        <f t="shared" si="2"/>
        <v>910</v>
      </c>
      <c r="I16" s="141">
        <v>918</v>
      </c>
      <c r="J16" s="133"/>
      <c r="K16" s="133"/>
      <c r="L16" s="133"/>
      <c r="M16" s="133"/>
      <c r="N16" s="133"/>
    </row>
    <row r="17" spans="1:14">
      <c r="A17" s="133"/>
      <c r="B17" s="142" t="s">
        <v>35</v>
      </c>
      <c r="C17" s="143">
        <v>111</v>
      </c>
      <c r="D17" s="144">
        <v>243</v>
      </c>
      <c r="E17" s="143">
        <v>288</v>
      </c>
      <c r="F17" s="144">
        <v>657</v>
      </c>
      <c r="G17" s="164">
        <f t="shared" si="0"/>
        <v>399</v>
      </c>
      <c r="H17" s="144">
        <f t="shared" si="2"/>
        <v>900</v>
      </c>
      <c r="I17" s="141">
        <v>918</v>
      </c>
      <c r="J17" s="133"/>
      <c r="K17" s="133"/>
      <c r="L17" s="133"/>
      <c r="M17" s="133"/>
      <c r="N17" s="133"/>
    </row>
    <row r="18" spans="1:14">
      <c r="A18" s="133"/>
      <c r="B18" s="142" t="s">
        <v>36</v>
      </c>
      <c r="C18" s="143">
        <v>120</v>
      </c>
      <c r="D18" s="144">
        <v>274</v>
      </c>
      <c r="E18" s="143">
        <v>288</v>
      </c>
      <c r="F18" s="144">
        <v>660</v>
      </c>
      <c r="G18" s="164">
        <f t="shared" si="0"/>
        <v>408</v>
      </c>
      <c r="H18" s="144">
        <f t="shared" si="2"/>
        <v>934</v>
      </c>
      <c r="I18" s="141">
        <v>918</v>
      </c>
      <c r="J18" s="133"/>
      <c r="K18" s="133"/>
      <c r="L18" s="133"/>
      <c r="M18" s="133"/>
      <c r="N18" s="133"/>
    </row>
    <row r="19" spans="1:14">
      <c r="A19" s="133"/>
      <c r="B19" s="142" t="s">
        <v>37</v>
      </c>
      <c r="C19" s="143">
        <v>147</v>
      </c>
      <c r="D19" s="144">
        <v>360</v>
      </c>
      <c r="E19" s="143">
        <v>290</v>
      </c>
      <c r="F19" s="144">
        <v>666</v>
      </c>
      <c r="G19" s="164">
        <f t="shared" si="0"/>
        <v>437</v>
      </c>
      <c r="H19" s="144">
        <f t="shared" si="2"/>
        <v>1026</v>
      </c>
      <c r="I19" s="141">
        <v>918</v>
      </c>
      <c r="J19" s="133"/>
      <c r="K19" s="133"/>
      <c r="L19" s="133"/>
      <c r="M19" s="133"/>
      <c r="N19" s="133"/>
    </row>
    <row r="20" spans="1:14">
      <c r="A20" s="133"/>
      <c r="B20" s="142" t="s">
        <v>38</v>
      </c>
      <c r="C20" s="143">
        <v>125</v>
      </c>
      <c r="D20" s="144">
        <v>267</v>
      </c>
      <c r="E20" s="143">
        <v>291</v>
      </c>
      <c r="F20" s="144">
        <v>671</v>
      </c>
      <c r="G20" s="164">
        <f t="shared" si="0"/>
        <v>416</v>
      </c>
      <c r="H20" s="144">
        <f t="shared" si="2"/>
        <v>938</v>
      </c>
      <c r="I20" s="141">
        <v>918</v>
      </c>
      <c r="J20" s="133"/>
      <c r="K20" s="133"/>
      <c r="L20" s="133"/>
      <c r="M20" s="133"/>
      <c r="N20" s="133"/>
    </row>
    <row r="21" spans="1:14">
      <c r="A21" s="133"/>
      <c r="B21" s="142" t="s">
        <v>39</v>
      </c>
      <c r="C21" s="143">
        <v>107</v>
      </c>
      <c r="D21" s="144">
        <v>231</v>
      </c>
      <c r="E21" s="164">
        <v>294</v>
      </c>
      <c r="F21" s="144">
        <v>674</v>
      </c>
      <c r="G21" s="164">
        <f t="shared" ref="G21:G34" si="3">SUM(C21+E21)</f>
        <v>401</v>
      </c>
      <c r="H21" s="144">
        <f t="shared" ref="H21:H34" si="4">D21+F21</f>
        <v>905</v>
      </c>
      <c r="I21" s="141">
        <v>918</v>
      </c>
      <c r="J21" s="133"/>
      <c r="K21" s="133"/>
      <c r="L21" s="133"/>
      <c r="M21" s="133"/>
      <c r="N21" s="133"/>
    </row>
    <row r="22" spans="1:14">
      <c r="A22" s="133"/>
      <c r="B22" s="142" t="s">
        <v>40</v>
      </c>
      <c r="C22" s="143">
        <v>120</v>
      </c>
      <c r="D22" s="144">
        <v>262</v>
      </c>
      <c r="E22" s="164">
        <v>295</v>
      </c>
      <c r="F22" s="144">
        <v>675</v>
      </c>
      <c r="G22" s="164">
        <f t="shared" si="3"/>
        <v>415</v>
      </c>
      <c r="H22" s="144">
        <f t="shared" si="4"/>
        <v>937</v>
      </c>
      <c r="I22" s="141">
        <v>918</v>
      </c>
      <c r="J22" s="133"/>
      <c r="K22" s="133"/>
      <c r="L22" s="133"/>
      <c r="M22" s="133"/>
      <c r="N22" s="133"/>
    </row>
    <row r="23" spans="1:14">
      <c r="A23" s="133"/>
      <c r="B23" s="142" t="s">
        <v>41</v>
      </c>
      <c r="C23" s="143">
        <v>122</v>
      </c>
      <c r="D23" s="144">
        <v>274</v>
      </c>
      <c r="E23" s="164">
        <v>294</v>
      </c>
      <c r="F23" s="144">
        <v>675</v>
      </c>
      <c r="G23" s="164">
        <f t="shared" si="3"/>
        <v>416</v>
      </c>
      <c r="H23" s="144">
        <f t="shared" si="4"/>
        <v>949</v>
      </c>
      <c r="I23" s="141">
        <v>918</v>
      </c>
      <c r="J23" s="133"/>
      <c r="K23" s="133"/>
      <c r="L23" s="133"/>
      <c r="M23" s="133"/>
      <c r="N23" s="133"/>
    </row>
    <row r="24" spans="1:14">
      <c r="A24" s="133"/>
      <c r="B24" s="142" t="s">
        <v>42</v>
      </c>
      <c r="C24" s="143">
        <v>118</v>
      </c>
      <c r="D24" s="144">
        <v>277</v>
      </c>
      <c r="E24" s="164">
        <v>291</v>
      </c>
      <c r="F24" s="144">
        <v>670</v>
      </c>
      <c r="G24" s="164">
        <f t="shared" si="3"/>
        <v>409</v>
      </c>
      <c r="H24" s="144">
        <f t="shared" si="4"/>
        <v>947</v>
      </c>
      <c r="I24" s="141">
        <v>918</v>
      </c>
      <c r="J24" s="133"/>
      <c r="K24" s="133"/>
      <c r="L24" s="133"/>
      <c r="M24" s="133"/>
      <c r="N24" s="133"/>
    </row>
    <row r="25" spans="1:14">
      <c r="A25" s="133"/>
      <c r="B25" s="142" t="s">
        <v>43</v>
      </c>
      <c r="C25" s="143">
        <v>112</v>
      </c>
      <c r="D25" s="144">
        <v>263</v>
      </c>
      <c r="E25" s="164">
        <v>291</v>
      </c>
      <c r="F25" s="144">
        <v>670</v>
      </c>
      <c r="G25" s="164">
        <f t="shared" si="3"/>
        <v>403</v>
      </c>
      <c r="H25" s="144">
        <f t="shared" si="4"/>
        <v>933</v>
      </c>
      <c r="I25" s="141">
        <v>918</v>
      </c>
      <c r="J25" s="133"/>
      <c r="K25" s="133"/>
      <c r="L25" s="133"/>
      <c r="M25" s="133"/>
      <c r="N25" s="133"/>
    </row>
    <row r="26" spans="1:14">
      <c r="A26" s="133"/>
      <c r="B26" s="142" t="s">
        <v>44</v>
      </c>
      <c r="C26" s="143">
        <v>150</v>
      </c>
      <c r="D26" s="144">
        <v>354</v>
      </c>
      <c r="E26" s="164">
        <v>291</v>
      </c>
      <c r="F26" s="144">
        <v>669</v>
      </c>
      <c r="G26" s="164">
        <f t="shared" si="3"/>
        <v>441</v>
      </c>
      <c r="H26" s="144">
        <f t="shared" si="4"/>
        <v>1023</v>
      </c>
      <c r="I26" s="141">
        <v>918</v>
      </c>
      <c r="J26" s="133"/>
      <c r="K26" s="133"/>
      <c r="L26" s="133"/>
      <c r="M26" s="133"/>
      <c r="N26" s="133"/>
    </row>
    <row r="27" spans="1:14">
      <c r="A27" s="133"/>
      <c r="B27" s="142" t="s">
        <v>45</v>
      </c>
      <c r="C27" s="143">
        <v>138</v>
      </c>
      <c r="D27" s="144">
        <v>318</v>
      </c>
      <c r="E27" s="164">
        <v>294</v>
      </c>
      <c r="F27" s="144">
        <v>673</v>
      </c>
      <c r="G27" s="164">
        <f t="shared" si="3"/>
        <v>432</v>
      </c>
      <c r="H27" s="144">
        <f t="shared" si="4"/>
        <v>991</v>
      </c>
      <c r="I27" s="141">
        <v>918</v>
      </c>
      <c r="J27" s="133"/>
      <c r="K27" s="133"/>
      <c r="L27" s="133"/>
      <c r="M27" s="133"/>
      <c r="N27" s="133"/>
    </row>
    <row r="28" spans="1:14">
      <c r="A28" s="133"/>
      <c r="B28" s="142" t="s">
        <v>46</v>
      </c>
      <c r="C28" s="143">
        <v>125</v>
      </c>
      <c r="D28" s="144">
        <v>299</v>
      </c>
      <c r="E28" s="164">
        <v>292</v>
      </c>
      <c r="F28" s="144">
        <v>664</v>
      </c>
      <c r="G28" s="164">
        <f t="shared" si="3"/>
        <v>417</v>
      </c>
      <c r="H28" s="144">
        <f t="shared" si="4"/>
        <v>963</v>
      </c>
      <c r="I28" s="141">
        <v>918</v>
      </c>
      <c r="J28" s="133"/>
      <c r="K28" s="133"/>
      <c r="L28" s="133"/>
      <c r="M28" s="133"/>
      <c r="N28" s="133"/>
    </row>
    <row r="29" spans="1:14">
      <c r="A29" s="133"/>
      <c r="B29" s="142" t="s">
        <v>47</v>
      </c>
      <c r="C29" s="143">
        <v>109</v>
      </c>
      <c r="D29" s="144">
        <v>252</v>
      </c>
      <c r="E29" s="164">
        <v>289</v>
      </c>
      <c r="F29" s="144">
        <v>658</v>
      </c>
      <c r="G29" s="164">
        <f t="shared" si="3"/>
        <v>398</v>
      </c>
      <c r="H29" s="144">
        <f t="shared" si="4"/>
        <v>910</v>
      </c>
      <c r="I29" s="141">
        <v>918</v>
      </c>
      <c r="J29" s="133"/>
      <c r="K29" s="133"/>
      <c r="L29" s="133"/>
      <c r="M29" s="133"/>
      <c r="N29" s="133"/>
    </row>
    <row r="30" spans="1:14">
      <c r="A30" s="133"/>
      <c r="B30" s="142" t="s">
        <v>48</v>
      </c>
      <c r="C30" s="143">
        <v>103</v>
      </c>
      <c r="D30" s="144">
        <v>227</v>
      </c>
      <c r="E30" s="164">
        <v>290</v>
      </c>
      <c r="F30" s="144">
        <v>661</v>
      </c>
      <c r="G30" s="164">
        <f t="shared" si="3"/>
        <v>393</v>
      </c>
      <c r="H30" s="144">
        <f t="shared" si="4"/>
        <v>888</v>
      </c>
      <c r="I30" s="141">
        <v>918</v>
      </c>
      <c r="J30" s="133"/>
      <c r="K30" s="133"/>
      <c r="L30" s="133"/>
      <c r="M30" s="133"/>
      <c r="N30" s="133"/>
    </row>
    <row r="31" spans="1:14">
      <c r="A31" s="133"/>
      <c r="B31" s="142" t="s">
        <v>49</v>
      </c>
      <c r="C31" s="143">
        <v>114</v>
      </c>
      <c r="D31" s="144">
        <v>268</v>
      </c>
      <c r="E31" s="164">
        <v>289</v>
      </c>
      <c r="F31" s="144">
        <v>660</v>
      </c>
      <c r="G31" s="164">
        <f t="shared" si="3"/>
        <v>403</v>
      </c>
      <c r="H31" s="144">
        <f t="shared" si="4"/>
        <v>928</v>
      </c>
      <c r="I31" s="141">
        <v>918</v>
      </c>
      <c r="J31" s="133"/>
      <c r="K31" s="133"/>
      <c r="L31" s="133"/>
      <c r="M31" s="133"/>
      <c r="N31" s="133"/>
    </row>
    <row r="32" spans="1:14">
      <c r="A32" s="133"/>
      <c r="B32" s="142" t="s">
        <v>50</v>
      </c>
      <c r="C32" s="143">
        <v>124</v>
      </c>
      <c r="D32" s="144">
        <v>290</v>
      </c>
      <c r="E32" s="164">
        <v>288</v>
      </c>
      <c r="F32" s="144">
        <v>658</v>
      </c>
      <c r="G32" s="164">
        <f t="shared" si="3"/>
        <v>412</v>
      </c>
      <c r="H32" s="144">
        <f t="shared" si="4"/>
        <v>948</v>
      </c>
      <c r="I32" s="141">
        <v>918</v>
      </c>
      <c r="J32" s="133"/>
      <c r="K32" s="133"/>
      <c r="L32" s="133"/>
      <c r="M32" s="133"/>
      <c r="N32" s="133"/>
    </row>
    <row r="33" spans="1:14">
      <c r="A33" s="133"/>
      <c r="B33" s="142" t="s">
        <v>51</v>
      </c>
      <c r="C33" s="143">
        <v>145</v>
      </c>
      <c r="D33" s="144">
        <v>359</v>
      </c>
      <c r="E33" s="164">
        <v>290</v>
      </c>
      <c r="F33" s="144">
        <v>662</v>
      </c>
      <c r="G33" s="164">
        <f t="shared" si="3"/>
        <v>435</v>
      </c>
      <c r="H33" s="144">
        <f t="shared" si="4"/>
        <v>1021</v>
      </c>
      <c r="I33" s="141">
        <v>918</v>
      </c>
      <c r="J33" s="133"/>
      <c r="K33" s="133"/>
      <c r="L33" s="133"/>
      <c r="M33" s="133"/>
      <c r="N33" s="133"/>
    </row>
    <row r="34" spans="1:14">
      <c r="A34" s="133"/>
      <c r="B34" s="142" t="s">
        <v>52</v>
      </c>
      <c r="C34" s="143">
        <v>133</v>
      </c>
      <c r="D34" s="144">
        <v>308</v>
      </c>
      <c r="E34" s="164">
        <v>288</v>
      </c>
      <c r="F34" s="144">
        <v>656</v>
      </c>
      <c r="G34" s="164">
        <f t="shared" si="3"/>
        <v>421</v>
      </c>
      <c r="H34" s="144">
        <f t="shared" si="4"/>
        <v>964</v>
      </c>
      <c r="I34" s="141">
        <v>918</v>
      </c>
      <c r="J34" s="133"/>
      <c r="K34" s="133"/>
      <c r="L34" s="133"/>
      <c r="M34" s="133"/>
      <c r="N34" s="133"/>
    </row>
    <row r="35" spans="1:14">
      <c r="A35" s="133"/>
      <c r="B35" s="142" t="s">
        <v>53</v>
      </c>
      <c r="C35" s="143">
        <v>127</v>
      </c>
      <c r="D35" s="144">
        <v>293</v>
      </c>
      <c r="E35" s="143">
        <v>284</v>
      </c>
      <c r="F35" s="144">
        <v>651</v>
      </c>
      <c r="G35" s="164">
        <f t="shared" si="0"/>
        <v>411</v>
      </c>
      <c r="H35" s="144">
        <f t="shared" si="2"/>
        <v>944</v>
      </c>
      <c r="I35" s="141">
        <v>918</v>
      </c>
      <c r="J35" s="133"/>
      <c r="K35" s="133"/>
      <c r="L35" s="133"/>
      <c r="M35" s="133"/>
      <c r="N35" s="133"/>
    </row>
    <row r="36" spans="1:14">
      <c r="A36" s="133"/>
      <c r="B36" s="142" t="s">
        <v>54</v>
      </c>
      <c r="C36" s="143">
        <v>133</v>
      </c>
      <c r="D36" s="144">
        <v>307</v>
      </c>
      <c r="E36" s="143">
        <v>285</v>
      </c>
      <c r="F36" s="144">
        <v>653</v>
      </c>
      <c r="G36" s="164">
        <f t="shared" si="0"/>
        <v>418</v>
      </c>
      <c r="H36" s="144">
        <f t="shared" si="2"/>
        <v>960</v>
      </c>
      <c r="I36" s="141">
        <v>918</v>
      </c>
      <c r="J36" s="133"/>
      <c r="K36" s="133"/>
      <c r="L36" s="133"/>
      <c r="M36" s="133"/>
      <c r="N36" s="133"/>
    </row>
    <row r="37" spans="1:14">
      <c r="A37" s="133"/>
      <c r="B37" s="142" t="s">
        <v>55</v>
      </c>
      <c r="C37" s="143">
        <v>110</v>
      </c>
      <c r="D37" s="144">
        <v>248</v>
      </c>
      <c r="E37" s="143">
        <v>285</v>
      </c>
      <c r="F37" s="144">
        <v>653</v>
      </c>
      <c r="G37" s="164">
        <f t="shared" si="0"/>
        <v>395</v>
      </c>
      <c r="H37" s="144">
        <f t="shared" si="2"/>
        <v>901</v>
      </c>
      <c r="I37" s="141">
        <v>918</v>
      </c>
      <c r="J37" s="133"/>
      <c r="K37" s="133"/>
      <c r="L37" s="133"/>
      <c r="M37" s="133"/>
      <c r="N37" s="133"/>
    </row>
    <row r="38" spans="1:14" s="175" customFormat="1">
      <c r="A38" s="169"/>
      <c r="B38" s="170" t="s">
        <v>56</v>
      </c>
      <c r="C38" s="171">
        <v>130</v>
      </c>
      <c r="D38" s="172">
        <v>308</v>
      </c>
      <c r="E38" s="171">
        <v>284</v>
      </c>
      <c r="F38" s="172">
        <v>651</v>
      </c>
      <c r="G38" s="173">
        <f t="shared" si="0"/>
        <v>414</v>
      </c>
      <c r="H38" s="172">
        <f t="shared" si="2"/>
        <v>959</v>
      </c>
      <c r="I38" s="174">
        <v>918</v>
      </c>
      <c r="J38" s="169"/>
      <c r="K38" s="169"/>
      <c r="L38" s="169"/>
      <c r="M38" s="169"/>
      <c r="N38" s="169"/>
    </row>
    <row r="39" spans="1:14" s="175" customFormat="1">
      <c r="A39" s="169"/>
      <c r="B39" s="170" t="s">
        <v>57</v>
      </c>
      <c r="C39" s="171">
        <v>133</v>
      </c>
      <c r="D39" s="172">
        <v>309</v>
      </c>
      <c r="E39" s="171">
        <v>287</v>
      </c>
      <c r="F39" s="172">
        <v>656</v>
      </c>
      <c r="G39" s="173">
        <f t="shared" si="0"/>
        <v>420</v>
      </c>
      <c r="H39" s="172">
        <f t="shared" si="2"/>
        <v>965</v>
      </c>
      <c r="I39" s="174">
        <v>918</v>
      </c>
      <c r="J39" s="169"/>
      <c r="K39" s="169"/>
      <c r="L39" s="169"/>
      <c r="M39" s="169"/>
      <c r="N39" s="169"/>
    </row>
    <row r="40" spans="1:14" s="175" customFormat="1" ht="15.75" thickBot="1">
      <c r="A40" s="169"/>
      <c r="B40" s="170" t="s">
        <v>58</v>
      </c>
      <c r="C40" s="176">
        <v>149</v>
      </c>
      <c r="D40" s="177">
        <v>361</v>
      </c>
      <c r="E40" s="176">
        <v>287</v>
      </c>
      <c r="F40" s="177">
        <v>656</v>
      </c>
      <c r="G40" s="178">
        <f t="shared" si="0"/>
        <v>436</v>
      </c>
      <c r="H40" s="177">
        <f t="shared" si="2"/>
        <v>1017</v>
      </c>
      <c r="I40" s="174">
        <v>918</v>
      </c>
      <c r="J40" s="169"/>
      <c r="K40" s="169"/>
      <c r="L40" s="169"/>
      <c r="M40" s="169"/>
      <c r="N40" s="169"/>
    </row>
    <row r="41" spans="1:14">
      <c r="C41" s="119">
        <f>SUM(C10:C40)</f>
        <v>3895</v>
      </c>
      <c r="D41" s="119">
        <f>SUM(D10:D40)</f>
        <v>8982</v>
      </c>
      <c r="E41" s="119">
        <f>SUM(E10:E40)</f>
        <v>8957</v>
      </c>
      <c r="F41" s="119">
        <f>SUM(F10:F40)</f>
        <v>20503</v>
      </c>
      <c r="G41" s="3">
        <f>SUM(G10:G40)</f>
        <v>12852</v>
      </c>
    </row>
    <row r="43" spans="1:14">
      <c r="F43" s="119"/>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50800</v>
      </c>
      <c r="F2" s="104"/>
      <c r="G2" s="104">
        <f>'Athens Daily - Gas'!BH9</f>
        <v>106131.31200000002</v>
      </c>
      <c r="H2" s="104">
        <f>G2/38.3</f>
        <v>2771.0525326370766</v>
      </c>
      <c r="I2" s="104"/>
      <c r="J2" s="104">
        <f>'Athens Daily - Water'!R7</f>
        <v>562.35000000000014</v>
      </c>
      <c r="K2" s="104"/>
      <c r="L2" s="105">
        <v>142</v>
      </c>
      <c r="M2" s="104">
        <f>L2*2</f>
        <v>284</v>
      </c>
      <c r="N2" s="101">
        <v>10</v>
      </c>
    </row>
    <row r="3" spans="1:14">
      <c r="A3" s="7" t="s">
        <v>14</v>
      </c>
      <c r="B3" s="7">
        <v>2</v>
      </c>
      <c r="C3" s="7">
        <v>1</v>
      </c>
      <c r="D3" s="7">
        <v>2021</v>
      </c>
      <c r="E3" s="104">
        <f>'Athens Daily - EL'!AK9</f>
        <v>48310</v>
      </c>
      <c r="F3" s="104"/>
      <c r="G3" s="104">
        <f>'Athens Daily - Gas'!BH10</f>
        <v>105627.40800000001</v>
      </c>
      <c r="H3" s="104">
        <f t="shared" ref="H3:H32" si="0">G3/38.3</f>
        <v>2757.8957702349876</v>
      </c>
      <c r="I3" s="104"/>
      <c r="J3" s="104">
        <f>'Athens Daily - Water'!R8</f>
        <v>598.55000000000018</v>
      </c>
      <c r="K3" s="104"/>
      <c r="L3" s="105">
        <v>102</v>
      </c>
      <c r="M3" s="104">
        <f t="shared" ref="M3:M32" si="1">L3*2</f>
        <v>204</v>
      </c>
      <c r="N3" s="101">
        <v>12</v>
      </c>
    </row>
    <row r="4" spans="1:14">
      <c r="A4" s="7" t="s">
        <v>14</v>
      </c>
      <c r="B4" s="7">
        <v>3</v>
      </c>
      <c r="C4" s="7">
        <v>1</v>
      </c>
      <c r="D4" s="7">
        <v>2021</v>
      </c>
      <c r="E4" s="104">
        <f>'Athens Daily - EL'!AK10</f>
        <v>50425</v>
      </c>
      <c r="F4" s="104"/>
      <c r="G4" s="104">
        <f>'Athens Daily - Gas'!BH11</f>
        <v>105379.77600000001</v>
      </c>
      <c r="H4" s="104">
        <f t="shared" si="0"/>
        <v>2751.4301827676245</v>
      </c>
      <c r="I4" s="104"/>
      <c r="J4" s="104">
        <f>'Athens Daily - Water'!R9</f>
        <v>603.84999999999923</v>
      </c>
      <c r="K4" s="104"/>
      <c r="L4" s="105">
        <v>55</v>
      </c>
      <c r="M4" s="104">
        <f t="shared" si="1"/>
        <v>110</v>
      </c>
      <c r="N4" s="101">
        <v>15</v>
      </c>
    </row>
    <row r="5" spans="1:14">
      <c r="A5" s="7" t="s">
        <v>14</v>
      </c>
      <c r="B5" s="7">
        <v>4</v>
      </c>
      <c r="C5" s="7">
        <v>1</v>
      </c>
      <c r="D5" s="7">
        <v>2021</v>
      </c>
      <c r="E5" s="104">
        <f>'Athens Daily - EL'!AK11</f>
        <v>49940</v>
      </c>
      <c r="F5" s="104"/>
      <c r="G5" s="104">
        <f>'Athens Daily - Gas'!BH12</f>
        <v>102353.52</v>
      </c>
      <c r="H5" s="104">
        <f t="shared" si="0"/>
        <v>2672.4156657963449</v>
      </c>
      <c r="I5" s="104"/>
      <c r="J5" s="104">
        <f>'Athens Daily - Water'!R10</f>
        <v>557.70740000000046</v>
      </c>
      <c r="K5" s="104"/>
      <c r="L5" s="105">
        <v>45</v>
      </c>
      <c r="M5" s="104">
        <f t="shared" si="1"/>
        <v>90</v>
      </c>
      <c r="N5" s="101">
        <v>17</v>
      </c>
    </row>
    <row r="6" spans="1:14">
      <c r="A6" s="7" t="s">
        <v>14</v>
      </c>
      <c r="B6" s="7">
        <v>5</v>
      </c>
      <c r="C6" s="7">
        <v>1</v>
      </c>
      <c r="D6" s="7">
        <v>2021</v>
      </c>
      <c r="E6" s="104">
        <f>'Athens Daily - EL'!AK12</f>
        <v>47955</v>
      </c>
      <c r="F6" s="104"/>
      <c r="G6" s="104">
        <f>'Athens Daily - Gas'!BH13</f>
        <v>107828.928</v>
      </c>
      <c r="H6" s="104">
        <f t="shared" si="0"/>
        <v>2815.376710182768</v>
      </c>
      <c r="I6" s="104"/>
      <c r="J6" s="104">
        <f>'Athens Daily - Water'!R11</f>
        <v>562.44259999999997</v>
      </c>
      <c r="K6" s="104"/>
      <c r="L6" s="105">
        <v>34</v>
      </c>
      <c r="M6" s="104">
        <f t="shared" si="1"/>
        <v>68</v>
      </c>
      <c r="N6" s="101">
        <v>15</v>
      </c>
    </row>
    <row r="7" spans="1:14">
      <c r="A7" s="7" t="s">
        <v>14</v>
      </c>
      <c r="B7" s="7">
        <v>6</v>
      </c>
      <c r="C7" s="7">
        <v>1</v>
      </c>
      <c r="D7" s="7">
        <v>2021</v>
      </c>
      <c r="E7" s="104">
        <f>'Athens Daily - EL'!AK13</f>
        <v>48630</v>
      </c>
      <c r="F7" s="104"/>
      <c r="G7" s="104">
        <f>'Athens Daily - Gas'!BH14</f>
        <v>102927.84</v>
      </c>
      <c r="H7" s="104">
        <f t="shared" si="0"/>
        <v>2687.4109660574413</v>
      </c>
      <c r="I7" s="104"/>
      <c r="J7" s="104">
        <f>'Athens Daily - Water'!R12</f>
        <v>556.59159999999974</v>
      </c>
      <c r="K7" s="104"/>
      <c r="L7" s="105">
        <v>36</v>
      </c>
      <c r="M7" s="104">
        <f t="shared" si="1"/>
        <v>72</v>
      </c>
      <c r="N7" s="101"/>
    </row>
    <row r="8" spans="1:14">
      <c r="A8" s="7" t="s">
        <v>14</v>
      </c>
      <c r="B8" s="7">
        <v>7</v>
      </c>
      <c r="C8" s="7">
        <v>1</v>
      </c>
      <c r="D8" s="7">
        <v>2021</v>
      </c>
      <c r="E8" s="104">
        <f>'Athens Daily - EL'!AK14</f>
        <v>45905</v>
      </c>
      <c r="F8" s="104"/>
      <c r="G8" s="104">
        <f>'Athens Daily - Gas'!BH15</f>
        <v>100704.336</v>
      </c>
      <c r="H8" s="104">
        <f t="shared" si="0"/>
        <v>2629.3560313315929</v>
      </c>
      <c r="I8" s="104"/>
      <c r="J8" s="104">
        <f>'Athens Daily - Water'!R13</f>
        <v>512.17130000000054</v>
      </c>
      <c r="K8" s="104"/>
      <c r="L8" s="105">
        <v>60</v>
      </c>
      <c r="M8" s="104">
        <f t="shared" si="1"/>
        <v>120</v>
      </c>
      <c r="N8" s="101"/>
    </row>
    <row r="9" spans="1:14">
      <c r="A9" s="7" t="s">
        <v>14</v>
      </c>
      <c r="B9" s="7">
        <v>8</v>
      </c>
      <c r="C9" s="7">
        <v>1</v>
      </c>
      <c r="D9" s="7">
        <v>2021</v>
      </c>
      <c r="E9" s="104">
        <f>'Athens Daily - EL'!AK15</f>
        <v>48865</v>
      </c>
      <c r="F9" s="104"/>
      <c r="G9" s="104">
        <f>'Athens Daily - Gas'!BH16</f>
        <v>100084.416</v>
      </c>
      <c r="H9" s="104">
        <f t="shared" si="0"/>
        <v>2613.170130548303</v>
      </c>
      <c r="I9" s="104"/>
      <c r="J9" s="104">
        <f>'Athens Daily - Water'!R14</f>
        <v>495.73709999999971</v>
      </c>
      <c r="K9" s="104"/>
      <c r="L9" s="105">
        <v>64</v>
      </c>
      <c r="M9" s="104">
        <f t="shared" si="1"/>
        <v>128</v>
      </c>
      <c r="N9" s="101"/>
    </row>
    <row r="10" spans="1:14">
      <c r="A10" s="7" t="s">
        <v>14</v>
      </c>
      <c r="B10" s="7">
        <v>9</v>
      </c>
      <c r="C10" s="7">
        <v>1</v>
      </c>
      <c r="D10" s="7">
        <v>2021</v>
      </c>
      <c r="E10" s="104">
        <f>'Athens Daily - EL'!AK16</f>
        <v>48495</v>
      </c>
      <c r="F10" s="104"/>
      <c r="G10" s="104">
        <f>'Athens Daily - Gas'!BH17</f>
        <v>102121.728</v>
      </c>
      <c r="H10" s="104">
        <f t="shared" si="0"/>
        <v>2666.3636553524807</v>
      </c>
      <c r="I10" s="104"/>
      <c r="J10" s="104">
        <f>'Athens Daily - Water'!R15</f>
        <v>555.25</v>
      </c>
      <c r="K10" s="104"/>
      <c r="L10" s="105">
        <v>100</v>
      </c>
      <c r="M10" s="104">
        <f t="shared" si="1"/>
        <v>200</v>
      </c>
      <c r="N10" s="101">
        <v>9</v>
      </c>
    </row>
    <row r="11" spans="1:14">
      <c r="A11" s="7" t="s">
        <v>14</v>
      </c>
      <c r="B11" s="7">
        <v>10</v>
      </c>
      <c r="C11" s="7">
        <v>1</v>
      </c>
      <c r="D11" s="7">
        <v>2021</v>
      </c>
      <c r="E11" s="104">
        <f>'Athens Daily - EL'!AK17</f>
        <v>49460</v>
      </c>
      <c r="F11" s="104"/>
      <c r="G11" s="104">
        <f>'Athens Daily - Gas'!BH18</f>
        <v>100621.39199999999</v>
      </c>
      <c r="H11" s="104">
        <f t="shared" si="0"/>
        <v>2627.1903916449087</v>
      </c>
      <c r="I11" s="104"/>
      <c r="J11" s="104">
        <f>'Athens Daily - Water'!R16</f>
        <v>623.35</v>
      </c>
      <c r="K11" s="104"/>
      <c r="L11" s="105">
        <v>63</v>
      </c>
      <c r="M11" s="104">
        <f t="shared" si="1"/>
        <v>126</v>
      </c>
      <c r="N11" s="101">
        <v>12</v>
      </c>
    </row>
    <row r="12" spans="1:14">
      <c r="A12" s="7" t="s">
        <v>14</v>
      </c>
      <c r="B12" s="7">
        <v>11</v>
      </c>
      <c r="C12" s="7">
        <v>1</v>
      </c>
      <c r="D12" s="7">
        <v>2021</v>
      </c>
      <c r="E12" s="104">
        <f>'Athens Daily - EL'!AK18</f>
        <v>48725</v>
      </c>
      <c r="F12" s="104"/>
      <c r="G12" s="104">
        <f>'Athens Daily - Gas'!BH19</f>
        <v>90840</v>
      </c>
      <c r="H12" s="104">
        <f t="shared" si="0"/>
        <v>2371.8015665796347</v>
      </c>
      <c r="I12" s="104"/>
      <c r="J12" s="104">
        <f>'Athens Daily - Water'!R17</f>
        <v>624.35</v>
      </c>
      <c r="K12" s="104"/>
      <c r="L12" s="105">
        <v>39</v>
      </c>
      <c r="M12" s="104">
        <f t="shared" si="1"/>
        <v>78</v>
      </c>
      <c r="N12" s="101">
        <v>12</v>
      </c>
    </row>
    <row r="13" spans="1:14">
      <c r="A13" s="7" t="s">
        <v>14</v>
      </c>
      <c r="B13" s="7">
        <v>12</v>
      </c>
      <c r="C13" s="7">
        <v>1</v>
      </c>
      <c r="D13" s="7">
        <v>2021</v>
      </c>
      <c r="E13" s="104">
        <f>'Athens Daily - EL'!AK19</f>
        <v>48885</v>
      </c>
      <c r="F13" s="104"/>
      <c r="G13" s="104">
        <f>'Athens Daily - Gas'!BH20</f>
        <v>97960.8</v>
      </c>
      <c r="H13" s="104">
        <f t="shared" si="0"/>
        <v>2557.7232375979115</v>
      </c>
      <c r="I13" s="104"/>
      <c r="J13" s="104">
        <f>'Athens Daily - Water'!R18</f>
        <v>625.35</v>
      </c>
      <c r="K13" s="104"/>
      <c r="L13" s="105">
        <v>43</v>
      </c>
      <c r="M13" s="104">
        <f t="shared" si="1"/>
        <v>86</v>
      </c>
      <c r="N13" s="101">
        <v>10</v>
      </c>
    </row>
    <row r="14" spans="1:14">
      <c r="A14" s="7" t="s">
        <v>14</v>
      </c>
      <c r="B14" s="7">
        <v>13</v>
      </c>
      <c r="C14" s="7">
        <v>1</v>
      </c>
      <c r="D14" s="7">
        <v>2021</v>
      </c>
      <c r="E14" s="104">
        <f>'Athens Daily - EL'!AK20</f>
        <v>48620</v>
      </c>
      <c r="F14" s="104"/>
      <c r="G14" s="104">
        <f>'Athens Daily - Gas'!BH21</f>
        <v>100584</v>
      </c>
      <c r="H14" s="104">
        <f t="shared" si="0"/>
        <v>2626.2140992167106</v>
      </c>
      <c r="I14" s="104"/>
      <c r="J14" s="104">
        <f>'Athens Daily - Water'!R19</f>
        <v>622.35</v>
      </c>
      <c r="K14" s="104"/>
      <c r="L14" s="105">
        <v>46</v>
      </c>
      <c r="M14" s="104">
        <f t="shared" si="1"/>
        <v>92</v>
      </c>
      <c r="N14" s="101">
        <v>12</v>
      </c>
    </row>
    <row r="15" spans="1:14">
      <c r="A15" s="7" t="s">
        <v>14</v>
      </c>
      <c r="B15" s="7">
        <v>14</v>
      </c>
      <c r="C15" s="7">
        <v>1</v>
      </c>
      <c r="D15" s="7">
        <v>2021</v>
      </c>
      <c r="E15" s="104">
        <f>'Athens Daily - EL'!AK21</f>
        <v>49615</v>
      </c>
      <c r="F15" s="104"/>
      <c r="G15" s="104">
        <f>'Athens Daily - Gas'!BH22</f>
        <v>100152</v>
      </c>
      <c r="H15" s="104">
        <f t="shared" si="0"/>
        <v>2614.9347258485641</v>
      </c>
      <c r="I15" s="104"/>
      <c r="J15" s="104">
        <f>'Athens Daily - Water'!R20</f>
        <v>621.9</v>
      </c>
      <c r="K15" s="104"/>
      <c r="L15" s="105">
        <v>55</v>
      </c>
      <c r="M15" s="104">
        <f t="shared" si="1"/>
        <v>110</v>
      </c>
      <c r="N15" s="101">
        <v>13</v>
      </c>
    </row>
    <row r="16" spans="1:14">
      <c r="A16" s="7" t="s">
        <v>14</v>
      </c>
      <c r="B16" s="7">
        <v>15</v>
      </c>
      <c r="C16" s="7">
        <v>1</v>
      </c>
      <c r="D16" s="7">
        <v>2021</v>
      </c>
      <c r="E16" s="104">
        <f>'Athens Daily - EL'!AK22</f>
        <v>48670</v>
      </c>
      <c r="F16" s="104"/>
      <c r="G16" s="104">
        <f>'Athens Daily - Gas'!BH23</f>
        <v>116101.68000000001</v>
      </c>
      <c r="H16" s="104">
        <f t="shared" si="0"/>
        <v>3031.3754569190605</v>
      </c>
      <c r="I16" s="104"/>
      <c r="J16" s="104">
        <f>'Athens Daily - Water'!R21</f>
        <v>622.35</v>
      </c>
      <c r="K16" s="104"/>
      <c r="L16" s="105">
        <v>74</v>
      </c>
      <c r="M16" s="104">
        <f t="shared" si="1"/>
        <v>148</v>
      </c>
      <c r="N16" s="101">
        <v>13</v>
      </c>
    </row>
    <row r="17" spans="1:14">
      <c r="A17" s="7" t="s">
        <v>14</v>
      </c>
      <c r="B17" s="7">
        <v>16</v>
      </c>
      <c r="C17" s="7">
        <v>1</v>
      </c>
      <c r="D17" s="7">
        <v>2021</v>
      </c>
      <c r="E17" s="104">
        <f>'Athens Daily - EL'!AK23</f>
        <v>48540</v>
      </c>
      <c r="F17" s="104"/>
      <c r="G17" s="104">
        <f>'Athens Daily - Gas'!BH24</f>
        <v>120980.496</v>
      </c>
      <c r="H17" s="104">
        <f t="shared" si="0"/>
        <v>3158.7596866840731</v>
      </c>
      <c r="I17" s="104"/>
      <c r="J17" s="104">
        <f>'Athens Daily - Water'!R22</f>
        <v>629.85</v>
      </c>
      <c r="K17" s="104"/>
      <c r="L17" s="105">
        <v>149</v>
      </c>
      <c r="M17" s="104">
        <f t="shared" si="1"/>
        <v>298</v>
      </c>
      <c r="N17" s="106"/>
    </row>
    <row r="18" spans="1:14">
      <c r="A18" s="7" t="s">
        <v>14</v>
      </c>
      <c r="B18" s="7">
        <v>17</v>
      </c>
      <c r="C18" s="7">
        <v>1</v>
      </c>
      <c r="D18" s="7">
        <v>2021</v>
      </c>
      <c r="E18" s="104">
        <f>'Athens Daily - EL'!AK24</f>
        <v>48155</v>
      </c>
      <c r="F18" s="104"/>
      <c r="G18" s="104">
        <f>'Athens Daily - Gas'!BH25</f>
        <v>86080.751999999993</v>
      </c>
      <c r="H18" s="104">
        <f t="shared" si="0"/>
        <v>2247.5392167101827</v>
      </c>
      <c r="I18" s="104"/>
      <c r="J18" s="104">
        <f>'Athens Daily - Water'!R23</f>
        <v>642.0731428571429</v>
      </c>
      <c r="K18" s="104"/>
      <c r="L18" s="105">
        <v>64</v>
      </c>
      <c r="M18" s="104">
        <f t="shared" si="1"/>
        <v>128</v>
      </c>
      <c r="N18" s="106"/>
    </row>
    <row r="19" spans="1:14">
      <c r="A19" s="7" t="s">
        <v>14</v>
      </c>
      <c r="B19" s="7">
        <v>18</v>
      </c>
      <c r="C19" s="7">
        <v>1</v>
      </c>
      <c r="D19" s="7">
        <v>2021</v>
      </c>
      <c r="E19" s="104">
        <f>'Athens Daily - EL'!AK25</f>
        <v>45905</v>
      </c>
      <c r="F19" s="104"/>
      <c r="G19" s="104">
        <f>'Athens Daily - Gas'!BH26</f>
        <v>111525.16800000002</v>
      </c>
      <c r="H19" s="104">
        <f t="shared" si="0"/>
        <v>2911.8842819843348</v>
      </c>
      <c r="I19" s="104"/>
      <c r="J19" s="104">
        <f>'Athens Daily - Water'!R24</f>
        <v>697.8516938775507</v>
      </c>
      <c r="K19" s="104"/>
      <c r="L19" s="105">
        <v>58</v>
      </c>
      <c r="M19" s="104">
        <f t="shared" si="1"/>
        <v>116</v>
      </c>
      <c r="N19" s="106"/>
    </row>
    <row r="20" spans="1:14">
      <c r="A20" s="7" t="s">
        <v>14</v>
      </c>
      <c r="B20" s="7">
        <v>19</v>
      </c>
      <c r="C20" s="7">
        <v>1</v>
      </c>
      <c r="D20" s="7">
        <v>2021</v>
      </c>
      <c r="E20" s="104">
        <f>'Athens Daily - EL'!AK26</f>
        <v>45740</v>
      </c>
      <c r="F20" s="104"/>
      <c r="G20" s="104">
        <f>'Athens Daily - Gas'!BH27</f>
        <v>112100.54399999999</v>
      </c>
      <c r="H20" s="104">
        <f t="shared" si="0"/>
        <v>2926.9071540469977</v>
      </c>
      <c r="I20" s="104"/>
      <c r="J20" s="104">
        <f>'Athens Daily - Water'!R25</f>
        <v>773.23959475218726</v>
      </c>
      <c r="K20" s="104"/>
      <c r="L20" s="105">
        <v>69</v>
      </c>
      <c r="M20" s="104">
        <f t="shared" si="1"/>
        <v>138</v>
      </c>
      <c r="N20" s="106"/>
    </row>
    <row r="21" spans="1:14">
      <c r="A21" s="7" t="s">
        <v>14</v>
      </c>
      <c r="B21" s="7">
        <v>20</v>
      </c>
      <c r="C21" s="7">
        <v>1</v>
      </c>
      <c r="D21" s="7">
        <v>2021</v>
      </c>
      <c r="E21" s="104">
        <f>'Athens Daily - EL'!AK27</f>
        <v>44410</v>
      </c>
      <c r="F21" s="104"/>
      <c r="G21" s="104">
        <f>'Athens Daily - Gas'!BH28</f>
        <v>107158.89600000001</v>
      </c>
      <c r="H21" s="104">
        <f t="shared" si="0"/>
        <v>2797.8824020887732</v>
      </c>
      <c r="I21" s="104"/>
      <c r="J21" s="104">
        <f>'Athens Daily - Water'!R26</f>
        <v>771.80008121616038</v>
      </c>
      <c r="K21" s="104"/>
      <c r="L21" s="105">
        <v>42</v>
      </c>
      <c r="M21" s="104">
        <f t="shared" si="1"/>
        <v>84</v>
      </c>
      <c r="N21" s="101"/>
    </row>
    <row r="22" spans="1:14">
      <c r="A22" s="7" t="s">
        <v>14</v>
      </c>
      <c r="B22" s="7">
        <v>21</v>
      </c>
      <c r="C22" s="7">
        <v>1</v>
      </c>
      <c r="D22" s="7">
        <v>2021</v>
      </c>
      <c r="E22" s="104">
        <f>'Athens Daily - EL'!AK28</f>
        <v>45800</v>
      </c>
      <c r="F22" s="104"/>
      <c r="G22" s="104">
        <f>'Athens Daily - Gas'!BH29</f>
        <v>106249.72799999999</v>
      </c>
      <c r="H22" s="104">
        <f t="shared" si="0"/>
        <v>2774.144334203655</v>
      </c>
      <c r="I22" s="104"/>
      <c r="J22" s="104">
        <f>'Athens Daily - Water'!R27</f>
        <v>589.2950696138513</v>
      </c>
      <c r="K22" s="104"/>
      <c r="L22" s="105">
        <v>45</v>
      </c>
      <c r="M22" s="104">
        <f t="shared" si="1"/>
        <v>90</v>
      </c>
      <c r="N22" s="101"/>
    </row>
    <row r="23" spans="1:14">
      <c r="A23" s="7" t="s">
        <v>14</v>
      </c>
      <c r="B23" s="7">
        <v>22</v>
      </c>
      <c r="C23" s="7">
        <v>1</v>
      </c>
      <c r="D23" s="7">
        <v>2021</v>
      </c>
      <c r="E23" s="104">
        <f>'Athens Daily - EL'!AK29</f>
        <v>44010</v>
      </c>
      <c r="F23" s="104"/>
      <c r="G23" s="104">
        <f>'Athens Daily - Gas'!BH30</f>
        <v>95437.104000000007</v>
      </c>
      <c r="H23" s="104">
        <f t="shared" si="0"/>
        <v>2491.830391644909</v>
      </c>
      <c r="I23" s="104"/>
      <c r="J23" s="104">
        <f>'Athens Daily - Water'!R28</f>
        <v>589.31651681187248</v>
      </c>
      <c r="K23" s="104"/>
      <c r="L23" s="105">
        <v>82</v>
      </c>
      <c r="M23" s="104">
        <f t="shared" si="1"/>
        <v>164</v>
      </c>
      <c r="N23" s="101">
        <v>19</v>
      </c>
    </row>
    <row r="24" spans="1:14">
      <c r="A24" s="7" t="s">
        <v>14</v>
      </c>
      <c r="B24" s="7">
        <v>23</v>
      </c>
      <c r="C24" s="7">
        <v>1</v>
      </c>
      <c r="D24" s="7">
        <v>2021</v>
      </c>
      <c r="E24" s="104">
        <f>'Athens Daily - EL'!AK30</f>
        <v>50900</v>
      </c>
      <c r="F24" s="104"/>
      <c r="G24" s="104">
        <f>'Athens Daily - Gas'!BH31</f>
        <v>98376.767999999996</v>
      </c>
      <c r="H24" s="104">
        <f t="shared" si="0"/>
        <v>2568.5840208877285</v>
      </c>
      <c r="I24" s="104"/>
      <c r="J24" s="104">
        <f>'Athens Daily - Water'!R29</f>
        <v>670.12390087123492</v>
      </c>
      <c r="K24" s="104"/>
      <c r="L24" s="105">
        <v>170</v>
      </c>
      <c r="M24" s="104">
        <f t="shared" si="1"/>
        <v>340</v>
      </c>
      <c r="N24" s="101">
        <v>20</v>
      </c>
    </row>
    <row r="25" spans="1:14">
      <c r="A25" s="7" t="s">
        <v>14</v>
      </c>
      <c r="B25" s="7">
        <v>24</v>
      </c>
      <c r="C25" s="7">
        <v>1</v>
      </c>
      <c r="D25" s="7">
        <v>2021</v>
      </c>
      <c r="E25" s="104">
        <f>'Athens Daily - EL'!AK31</f>
        <v>49095</v>
      </c>
      <c r="F25" s="104"/>
      <c r="G25" s="104">
        <f>'Athens Daily - Gas'!BH32</f>
        <v>105795.6</v>
      </c>
      <c r="H25" s="104">
        <f t="shared" si="0"/>
        <v>2762.2872062663191</v>
      </c>
      <c r="I25" s="104"/>
      <c r="J25" s="104">
        <f>'Athens Daily - Water'!R30</f>
        <v>676.95</v>
      </c>
      <c r="K25" s="104"/>
      <c r="L25" s="105">
        <v>91</v>
      </c>
      <c r="M25" s="104">
        <f t="shared" si="1"/>
        <v>182</v>
      </c>
      <c r="N25" s="101">
        <v>19</v>
      </c>
    </row>
    <row r="26" spans="1:14">
      <c r="A26" s="7" t="s">
        <v>14</v>
      </c>
      <c r="B26" s="7">
        <v>25</v>
      </c>
      <c r="C26" s="7">
        <v>1</v>
      </c>
      <c r="D26" s="7">
        <v>2021</v>
      </c>
      <c r="E26" s="104">
        <f>'Athens Daily - EL'!AK32</f>
        <v>49780</v>
      </c>
      <c r="F26" s="104"/>
      <c r="G26" s="104">
        <f>'Athens Daily - Gas'!BH33</f>
        <v>112779.216</v>
      </c>
      <c r="H26" s="104">
        <f t="shared" si="0"/>
        <v>2944.6270496083553</v>
      </c>
      <c r="I26" s="104"/>
      <c r="J26" s="104">
        <f>'Athens Daily - Water'!R31</f>
        <v>633.29</v>
      </c>
      <c r="K26" s="104"/>
      <c r="L26" s="105">
        <v>56</v>
      </c>
      <c r="M26" s="104">
        <f t="shared" si="1"/>
        <v>112</v>
      </c>
      <c r="N26" s="102"/>
    </row>
    <row r="27" spans="1:14">
      <c r="A27" s="7" t="s">
        <v>14</v>
      </c>
      <c r="B27" s="7">
        <v>26</v>
      </c>
      <c r="C27" s="7">
        <v>1</v>
      </c>
      <c r="D27" s="7">
        <v>2021</v>
      </c>
      <c r="E27" s="104">
        <f>'Athens Daily - EL'!AK33</f>
        <v>49245</v>
      </c>
      <c r="F27" s="104"/>
      <c r="G27" s="104">
        <f>'Athens Daily - Gas'!BH34</f>
        <v>108787.056</v>
      </c>
      <c r="H27" s="104">
        <f t="shared" si="0"/>
        <v>2840.3931070496083</v>
      </c>
      <c r="I27" s="104"/>
      <c r="J27" s="104">
        <f>'Athens Daily - Water'!R32</f>
        <v>601.41000000000008</v>
      </c>
      <c r="K27" s="104"/>
      <c r="L27" s="104"/>
      <c r="M27" s="104">
        <f t="shared" si="1"/>
        <v>0</v>
      </c>
      <c r="N27" s="102"/>
    </row>
    <row r="28" spans="1:14">
      <c r="A28" s="7" t="s">
        <v>14</v>
      </c>
      <c r="B28" s="7">
        <v>27</v>
      </c>
      <c r="C28" s="7">
        <v>1</v>
      </c>
      <c r="D28" s="7">
        <v>2021</v>
      </c>
      <c r="E28" s="104">
        <f>'Athens Daily - EL'!AK34</f>
        <v>51095</v>
      </c>
      <c r="F28" s="104"/>
      <c r="G28" s="104">
        <f>'Athens Daily - Gas'!BH35</f>
        <v>96864.624000000011</v>
      </c>
      <c r="H28" s="104">
        <f t="shared" si="0"/>
        <v>2529.1024543080944</v>
      </c>
      <c r="I28" s="104"/>
      <c r="J28" s="104">
        <f>'Athens Daily - Water'!R33</f>
        <v>576.65</v>
      </c>
      <c r="K28" s="104"/>
      <c r="L28" s="104"/>
      <c r="M28" s="104">
        <f t="shared" si="1"/>
        <v>0</v>
      </c>
      <c r="N28" s="102"/>
    </row>
    <row r="29" spans="1:14">
      <c r="A29" s="7" t="s">
        <v>14</v>
      </c>
      <c r="B29" s="7">
        <v>28</v>
      </c>
      <c r="C29" s="7">
        <v>1</v>
      </c>
      <c r="D29" s="7">
        <v>2021</v>
      </c>
      <c r="E29" s="104">
        <f>'Athens Daily - EL'!AK35</f>
        <v>50445</v>
      </c>
      <c r="F29" s="104"/>
      <c r="G29" s="104">
        <f>'Athens Daily - Gas'!BH36</f>
        <v>98974.368000000002</v>
      </c>
      <c r="H29" s="104">
        <f t="shared" si="0"/>
        <v>2584.1871540469974</v>
      </c>
      <c r="I29" s="104"/>
      <c r="J29" s="104">
        <f>'Athens Daily - Water'!R34</f>
        <v>618.82299999999964</v>
      </c>
      <c r="K29" s="104"/>
      <c r="L29" s="104"/>
      <c r="M29" s="104">
        <f t="shared" si="1"/>
        <v>0</v>
      </c>
      <c r="N29" s="102"/>
    </row>
    <row r="30" spans="1:14">
      <c r="A30" s="7" t="s">
        <v>14</v>
      </c>
      <c r="B30" s="7">
        <v>29</v>
      </c>
      <c r="C30" s="7">
        <v>1</v>
      </c>
      <c r="D30" s="7">
        <v>2021</v>
      </c>
      <c r="E30" s="104">
        <f>'Athens Daily - EL'!AK36</f>
        <v>49940</v>
      </c>
      <c r="F30" s="104"/>
      <c r="G30" s="104">
        <f>'Athens Daily - Gas'!BH37</f>
        <v>102009.696</v>
      </c>
      <c r="H30" s="104">
        <f t="shared" si="0"/>
        <v>2663.4385378590077</v>
      </c>
      <c r="I30" s="104"/>
      <c r="J30" s="104">
        <f>'Athens Daily - Water'!R35</f>
        <v>622.67700000000036</v>
      </c>
      <c r="K30" s="104"/>
      <c r="L30" s="104"/>
      <c r="M30" s="104">
        <f t="shared" si="1"/>
        <v>0</v>
      </c>
      <c r="N30" s="102"/>
    </row>
    <row r="31" spans="1:14">
      <c r="A31" s="7" t="s">
        <v>14</v>
      </c>
      <c r="B31" s="7">
        <v>30</v>
      </c>
      <c r="C31" s="7">
        <v>1</v>
      </c>
      <c r="D31" s="7">
        <v>2021</v>
      </c>
      <c r="E31" s="104">
        <f>'Athens Daily - EL'!AK37</f>
        <v>50070</v>
      </c>
      <c r="F31" s="104"/>
      <c r="G31" s="104">
        <f>'Athens Daily - Gas'!BH38</f>
        <v>104670.19200000001</v>
      </c>
      <c r="H31" s="104">
        <f t="shared" si="0"/>
        <v>2732.9031853785905</v>
      </c>
      <c r="I31" s="104"/>
      <c r="J31" s="104">
        <f>'Athens Daily - Water'!R37</f>
        <v>670.15899999999965</v>
      </c>
      <c r="K31" s="104"/>
      <c r="L31" s="104"/>
      <c r="M31" s="104">
        <f t="shared" si="1"/>
        <v>0</v>
      </c>
      <c r="N31" s="102"/>
    </row>
    <row r="32" spans="1:14">
      <c r="A32" s="7" t="s">
        <v>14</v>
      </c>
      <c r="B32" s="7">
        <v>31</v>
      </c>
      <c r="C32" s="7">
        <v>1</v>
      </c>
      <c r="D32" s="7">
        <v>2021</v>
      </c>
      <c r="E32" s="104">
        <f>'Athens Daily - EL'!AK38</f>
        <v>50660</v>
      </c>
      <c r="F32" s="104"/>
      <c r="G32" s="104">
        <f>'Athens Daily - Gas'!BH39</f>
        <v>106375.92</v>
      </c>
      <c r="H32" s="104">
        <f t="shared" si="0"/>
        <v>2777.4391644908619</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42220</v>
      </c>
      <c r="F2" s="7"/>
      <c r="G2" s="39">
        <f>'Athens Daily - Gas'!BI9</f>
        <v>63772.800000000003</v>
      </c>
      <c r="H2" s="7"/>
      <c r="I2" s="40">
        <f>'Athens Daily - Water'!S7</f>
        <v>156.69999999999999</v>
      </c>
      <c r="J2" s="7"/>
      <c r="K2" s="7">
        <v>286</v>
      </c>
      <c r="L2" s="7">
        <v>2</v>
      </c>
    </row>
    <row r="3" spans="1:12">
      <c r="A3" s="7" t="s">
        <v>14</v>
      </c>
      <c r="B3" s="7">
        <v>2</v>
      </c>
      <c r="C3" s="7">
        <v>1</v>
      </c>
      <c r="D3" s="7">
        <v>2021</v>
      </c>
      <c r="E3" s="7">
        <f>'Athens Daily - EL'!AL9</f>
        <v>38710</v>
      </c>
      <c r="F3" s="7"/>
      <c r="G3" s="39">
        <f>'Athens Daily - Gas'!BI10</f>
        <v>64850.400000000001</v>
      </c>
      <c r="H3" s="7"/>
      <c r="I3" s="40">
        <f>'Athens Daily - Water'!S8</f>
        <v>140.5</v>
      </c>
      <c r="J3" s="7"/>
      <c r="K3" s="7">
        <v>285</v>
      </c>
      <c r="L3" s="7">
        <v>2</v>
      </c>
    </row>
    <row r="4" spans="1:12">
      <c r="A4" s="7" t="s">
        <v>14</v>
      </c>
      <c r="B4" s="7">
        <v>3</v>
      </c>
      <c r="C4" s="7">
        <v>1</v>
      </c>
      <c r="D4" s="7">
        <v>2021</v>
      </c>
      <c r="E4" s="7">
        <f>'Athens Daily - EL'!AL10</f>
        <v>41895</v>
      </c>
      <c r="F4" s="7"/>
      <c r="G4" s="39">
        <f>'Athens Daily - Gas'!BI11</f>
        <v>67802.399999999994</v>
      </c>
      <c r="H4" s="7"/>
      <c r="I4" s="40">
        <f>'Athens Daily - Water'!S9</f>
        <v>107.2</v>
      </c>
      <c r="J4" s="7"/>
      <c r="K4" s="7">
        <v>282</v>
      </c>
      <c r="L4" s="7">
        <v>2</v>
      </c>
    </row>
    <row r="5" spans="1:12">
      <c r="A5" s="7" t="s">
        <v>14</v>
      </c>
      <c r="B5" s="7">
        <v>4</v>
      </c>
      <c r="C5" s="7">
        <v>1</v>
      </c>
      <c r="D5" s="7">
        <v>2021</v>
      </c>
      <c r="E5" s="7">
        <f>'Athens Daily - EL'!AL11</f>
        <v>41050</v>
      </c>
      <c r="F5" s="7"/>
      <c r="G5" s="39">
        <f>'Athens Daily - Gas'!BI12</f>
        <v>67356</v>
      </c>
      <c r="H5" s="7"/>
      <c r="I5" s="40">
        <f>'Athens Daily - Water'!S10</f>
        <v>242.05</v>
      </c>
      <c r="J5" s="7"/>
      <c r="K5" s="7">
        <v>284</v>
      </c>
      <c r="L5" s="7">
        <v>2</v>
      </c>
    </row>
    <row r="6" spans="1:12">
      <c r="A6" s="7" t="s">
        <v>14</v>
      </c>
      <c r="B6" s="7">
        <v>5</v>
      </c>
      <c r="C6" s="7">
        <v>1</v>
      </c>
      <c r="D6" s="7">
        <v>2021</v>
      </c>
      <c r="E6" s="7">
        <f>'Athens Daily - EL'!AL12</f>
        <v>39655</v>
      </c>
      <c r="F6" s="7"/>
      <c r="G6" s="39">
        <f>'Athens Daily - Gas'!BI13</f>
        <v>67164</v>
      </c>
      <c r="H6" s="7"/>
      <c r="I6" s="40">
        <f>'Athens Daily - Water'!S11</f>
        <v>139.65</v>
      </c>
      <c r="J6" s="7"/>
      <c r="K6" s="7">
        <v>286</v>
      </c>
      <c r="L6" s="7">
        <v>2</v>
      </c>
    </row>
    <row r="7" spans="1:12">
      <c r="A7" s="7" t="s">
        <v>14</v>
      </c>
      <c r="B7" s="7">
        <v>6</v>
      </c>
      <c r="C7" s="7">
        <v>1</v>
      </c>
      <c r="D7" s="7">
        <v>2021</v>
      </c>
      <c r="E7" s="7">
        <f>'Athens Daily - EL'!AL13</f>
        <v>40510</v>
      </c>
      <c r="F7" s="7"/>
      <c r="G7" s="39">
        <f>'Athens Daily - Gas'!BI14</f>
        <v>68604</v>
      </c>
      <c r="H7" s="7"/>
      <c r="I7" s="40">
        <f>'Athens Daily - Water'!S12</f>
        <v>147</v>
      </c>
      <c r="J7" s="7"/>
      <c r="K7" s="7">
        <v>288</v>
      </c>
      <c r="L7" s="7">
        <v>2</v>
      </c>
    </row>
    <row r="8" spans="1:12">
      <c r="A8" s="7" t="s">
        <v>14</v>
      </c>
      <c r="B8" s="7">
        <v>7</v>
      </c>
      <c r="C8" s="7">
        <v>1</v>
      </c>
      <c r="D8" s="7">
        <v>2021</v>
      </c>
      <c r="E8" s="7">
        <f>'Athens Daily - EL'!AL14</f>
        <v>38245</v>
      </c>
      <c r="F8" s="7"/>
      <c r="G8" s="39">
        <f>'Athens Daily - Gas'!BI15</f>
        <v>65277.599999999999</v>
      </c>
      <c r="H8" s="7"/>
      <c r="I8" s="40">
        <f>'Athens Daily - Water'!S13</f>
        <v>148.4</v>
      </c>
      <c r="J8" s="7"/>
      <c r="K8" s="7">
        <v>286</v>
      </c>
      <c r="L8" s="7">
        <v>2</v>
      </c>
    </row>
    <row r="9" spans="1:12">
      <c r="A9" s="7" t="s">
        <v>14</v>
      </c>
      <c r="B9" s="7">
        <v>8</v>
      </c>
      <c r="C9" s="7">
        <v>1</v>
      </c>
      <c r="D9" s="7">
        <v>2021</v>
      </c>
      <c r="E9" s="7">
        <f>'Athens Daily - EL'!AL15</f>
        <v>40895</v>
      </c>
      <c r="F9" s="7"/>
      <c r="G9" s="39">
        <f>'Athens Daily - Gas'!BI16</f>
        <v>65661.600000000006</v>
      </c>
      <c r="H9" s="7"/>
      <c r="I9" s="40">
        <f>'Athens Daily - Water'!S14</f>
        <v>144.1</v>
      </c>
      <c r="J9" s="7"/>
      <c r="K9" s="7">
        <v>287</v>
      </c>
      <c r="L9" s="7">
        <v>2</v>
      </c>
    </row>
    <row r="10" spans="1:12">
      <c r="A10" s="7" t="s">
        <v>14</v>
      </c>
      <c r="B10" s="7">
        <v>9</v>
      </c>
      <c r="C10" s="7">
        <v>1</v>
      </c>
      <c r="D10" s="7">
        <v>2021</v>
      </c>
      <c r="E10" s="7">
        <f>'Athens Daily - EL'!AL16</f>
        <v>40435</v>
      </c>
      <c r="F10" s="7"/>
      <c r="G10" s="39">
        <f>'Athens Daily - Gas'!BI17</f>
        <v>63400.800000000003</v>
      </c>
      <c r="H10" s="7"/>
      <c r="I10" s="40">
        <f>'Athens Daily - Water'!S15</f>
        <v>147.75</v>
      </c>
      <c r="J10" s="7"/>
      <c r="K10" s="7">
        <v>284</v>
      </c>
      <c r="L10" s="7">
        <v>2</v>
      </c>
    </row>
    <row r="11" spans="1:12">
      <c r="A11" s="7" t="s">
        <v>14</v>
      </c>
      <c r="B11" s="7">
        <v>10</v>
      </c>
      <c r="C11" s="7">
        <v>1</v>
      </c>
      <c r="D11" s="7">
        <v>2021</v>
      </c>
      <c r="E11" s="7">
        <f>'Athens Daily - EL'!AL17</f>
        <v>41440</v>
      </c>
      <c r="F11" s="7"/>
      <c r="G11" s="39">
        <f>'Athens Daily - Gas'!BI18</f>
        <v>62616</v>
      </c>
      <c r="H11" s="7"/>
      <c r="I11" s="40">
        <f>'Athens Daily - Water'!S16</f>
        <v>219.65</v>
      </c>
      <c r="J11" s="7"/>
      <c r="K11" s="7">
        <v>284</v>
      </c>
      <c r="L11" s="7">
        <v>2</v>
      </c>
    </row>
    <row r="12" spans="1:12">
      <c r="A12" s="7" t="s">
        <v>14</v>
      </c>
      <c r="B12" s="7">
        <v>11</v>
      </c>
      <c r="C12" s="7">
        <v>1</v>
      </c>
      <c r="D12" s="7">
        <v>2021</v>
      </c>
      <c r="E12" s="7">
        <f>'Athens Daily - EL'!AL18</f>
        <v>40795</v>
      </c>
      <c r="F12" s="7"/>
      <c r="G12" s="39">
        <f>'Athens Daily - Gas'!BI19</f>
        <v>63240</v>
      </c>
      <c r="H12" s="7"/>
      <c r="I12" s="40">
        <f>'Athens Daily - Water'!S17</f>
        <v>219.65</v>
      </c>
      <c r="J12" s="7"/>
      <c r="K12" s="7">
        <v>284</v>
      </c>
      <c r="L12" s="7">
        <v>2</v>
      </c>
    </row>
    <row r="13" spans="1:12">
      <c r="A13" s="7" t="s">
        <v>14</v>
      </c>
      <c r="B13" s="7">
        <v>12</v>
      </c>
      <c r="C13" s="7">
        <v>1</v>
      </c>
      <c r="D13" s="7">
        <v>2021</v>
      </c>
      <c r="E13" s="7">
        <f>'Athens Daily - EL'!AL19</f>
        <v>41495</v>
      </c>
      <c r="F13" s="7"/>
      <c r="G13" s="39">
        <f>'Athens Daily - Gas'!BI20</f>
        <v>63703.200000000004</v>
      </c>
      <c r="H13" s="7"/>
      <c r="I13" s="40">
        <f>'Athens Daily - Water'!S18</f>
        <v>219.65</v>
      </c>
      <c r="J13" s="7"/>
      <c r="K13" s="7">
        <v>286</v>
      </c>
      <c r="L13" s="7">
        <v>2</v>
      </c>
    </row>
    <row r="14" spans="1:12">
      <c r="A14" s="7" t="s">
        <v>14</v>
      </c>
      <c r="B14" s="7">
        <v>13</v>
      </c>
      <c r="C14" s="7">
        <v>1</v>
      </c>
      <c r="D14" s="7">
        <v>2021</v>
      </c>
      <c r="E14" s="7">
        <f>'Athens Daily - EL'!AL20</f>
        <v>41610</v>
      </c>
      <c r="F14" s="7"/>
      <c r="G14" s="39">
        <f>'Athens Daily - Gas'!BI21</f>
        <v>62904</v>
      </c>
      <c r="H14" s="7"/>
      <c r="I14" s="40">
        <f>'Athens Daily - Water'!S19</f>
        <v>219.65</v>
      </c>
      <c r="J14" s="7"/>
      <c r="K14" s="7">
        <v>287</v>
      </c>
      <c r="L14" s="7">
        <v>2</v>
      </c>
    </row>
    <row r="15" spans="1:12">
      <c r="A15" s="7" t="s">
        <v>14</v>
      </c>
      <c r="B15" s="7">
        <v>14</v>
      </c>
      <c r="C15" s="7">
        <v>1</v>
      </c>
      <c r="D15" s="7">
        <v>2021</v>
      </c>
      <c r="E15" s="7">
        <f>'Athens Daily - EL'!AL21</f>
        <v>41955</v>
      </c>
      <c r="F15" s="7"/>
      <c r="G15" s="39">
        <f>'Athens Daily - Gas'!BI22</f>
        <v>63336</v>
      </c>
      <c r="H15" s="7"/>
      <c r="I15" s="40">
        <f>'Athens Daily - Water'!S20</f>
        <v>220.1</v>
      </c>
      <c r="J15" s="7"/>
      <c r="K15" s="7">
        <v>287</v>
      </c>
      <c r="L15" s="7">
        <v>2</v>
      </c>
    </row>
    <row r="16" spans="1:12">
      <c r="A16" s="7" t="s">
        <v>14</v>
      </c>
      <c r="B16" s="7">
        <v>15</v>
      </c>
      <c r="C16" s="7">
        <v>1</v>
      </c>
      <c r="D16" s="7">
        <v>2021</v>
      </c>
      <c r="E16" s="7">
        <f>'Athens Daily - EL'!AL22</f>
        <v>41750</v>
      </c>
      <c r="F16" s="7"/>
      <c r="G16" s="39">
        <f>'Athens Daily - Gas'!BI23</f>
        <v>64814.400000000001</v>
      </c>
      <c r="H16" s="7"/>
      <c r="I16" s="40">
        <f>'Athens Daily - Water'!S21</f>
        <v>220.65</v>
      </c>
      <c r="J16" s="7"/>
      <c r="K16" s="7">
        <v>288</v>
      </c>
      <c r="L16" s="7">
        <v>2</v>
      </c>
    </row>
    <row r="17" spans="1:12">
      <c r="A17" s="7" t="s">
        <v>14</v>
      </c>
      <c r="B17" s="7">
        <v>16</v>
      </c>
      <c r="C17" s="7">
        <v>1</v>
      </c>
      <c r="D17" s="7">
        <v>2021</v>
      </c>
      <c r="E17" s="7">
        <f>'Athens Daily - EL'!AL23</f>
        <v>41270</v>
      </c>
      <c r="F17" s="7"/>
      <c r="G17" s="39">
        <f>'Athens Daily - Gas'!BI24</f>
        <v>69727.200000000012</v>
      </c>
      <c r="H17" s="7"/>
      <c r="I17" s="40">
        <f>'Athens Daily - Water'!S22</f>
        <v>226.15</v>
      </c>
      <c r="J17" s="7"/>
      <c r="K17" s="7">
        <v>288</v>
      </c>
      <c r="L17" s="7">
        <v>2</v>
      </c>
    </row>
    <row r="18" spans="1:12">
      <c r="A18" s="7" t="s">
        <v>14</v>
      </c>
      <c r="B18" s="7">
        <v>17</v>
      </c>
      <c r="C18" s="7">
        <v>1</v>
      </c>
      <c r="D18" s="7">
        <v>2021</v>
      </c>
      <c r="E18" s="7">
        <f>'Athens Daily - EL'!AL24</f>
        <v>40305</v>
      </c>
      <c r="F18" s="7"/>
      <c r="G18" s="39">
        <f>'Athens Daily - Gas'!BI25</f>
        <v>65616</v>
      </c>
      <c r="H18" s="7"/>
      <c r="I18" s="40">
        <f>'Athens Daily - Water'!S23</f>
        <v>216.1</v>
      </c>
      <c r="J18" s="7"/>
      <c r="K18" s="7">
        <v>288</v>
      </c>
      <c r="L18" s="7">
        <v>2</v>
      </c>
    </row>
    <row r="19" spans="1:12">
      <c r="A19" s="7" t="s">
        <v>14</v>
      </c>
      <c r="B19" s="7">
        <v>18</v>
      </c>
      <c r="C19" s="7">
        <v>1</v>
      </c>
      <c r="D19" s="7">
        <v>2021</v>
      </c>
      <c r="E19" s="7">
        <f>'Athens Daily - EL'!AL25</f>
        <v>38295</v>
      </c>
      <c r="F19" s="7"/>
      <c r="G19" s="39">
        <f>'Athens Daily - Gas'!BI26</f>
        <v>62728.800000000003</v>
      </c>
      <c r="H19" s="7"/>
      <c r="I19" s="40">
        <f>'Athens Daily - Water'!S24</f>
        <v>282.39999999999998</v>
      </c>
      <c r="J19" s="7"/>
      <c r="K19" s="7">
        <v>291</v>
      </c>
      <c r="L19" s="7">
        <v>2</v>
      </c>
    </row>
    <row r="20" spans="1:12">
      <c r="A20" s="7" t="s">
        <v>14</v>
      </c>
      <c r="B20" s="7">
        <v>19</v>
      </c>
      <c r="C20" s="7">
        <v>1</v>
      </c>
      <c r="D20" s="7">
        <v>2021</v>
      </c>
      <c r="E20" s="7">
        <f>'Athens Daily - EL'!AL26</f>
        <v>38110</v>
      </c>
      <c r="F20" s="7"/>
      <c r="G20" s="39">
        <f>'Athens Daily - Gas'!BI27</f>
        <v>72696</v>
      </c>
      <c r="H20" s="7"/>
      <c r="I20" s="40">
        <f>'Athens Daily - Water'!S25</f>
        <v>370.5</v>
      </c>
      <c r="J20" s="7"/>
      <c r="K20" s="7">
        <v>290</v>
      </c>
      <c r="L20" s="7">
        <v>2</v>
      </c>
    </row>
    <row r="21" spans="1:12">
      <c r="A21" s="7" t="s">
        <v>14</v>
      </c>
      <c r="B21" s="7">
        <v>20</v>
      </c>
      <c r="C21" s="7">
        <v>1</v>
      </c>
      <c r="D21" s="7">
        <v>2021</v>
      </c>
      <c r="E21" s="7">
        <f>'Athens Daily - EL'!AL27</f>
        <v>36820</v>
      </c>
      <c r="F21" s="7"/>
      <c r="G21" s="39">
        <f>'Athens Daily - Gas'!BI28</f>
        <v>69844.800000000003</v>
      </c>
      <c r="H21" s="7"/>
      <c r="I21" s="40">
        <f>'Athens Daily - Water'!S26</f>
        <v>370.5</v>
      </c>
      <c r="J21" s="7"/>
      <c r="K21" s="7">
        <v>292</v>
      </c>
      <c r="L21" s="7">
        <v>2</v>
      </c>
    </row>
    <row r="22" spans="1:12">
      <c r="A22" s="7" t="s">
        <v>14</v>
      </c>
      <c r="B22" s="7">
        <v>21</v>
      </c>
      <c r="C22" s="7">
        <v>1</v>
      </c>
      <c r="D22" s="7">
        <v>2021</v>
      </c>
      <c r="E22" s="7">
        <f>'Athens Daily - EL'!AL28</f>
        <v>37960</v>
      </c>
      <c r="F22" s="7"/>
      <c r="G22" s="39">
        <f>'Athens Daily - Gas'!BI29</f>
        <v>69069.600000000006</v>
      </c>
      <c r="H22" s="7"/>
      <c r="I22" s="40">
        <f>'Athens Daily - Water'!S27</f>
        <v>131.10000000000002</v>
      </c>
      <c r="J22" s="7"/>
      <c r="K22" s="7">
        <v>293</v>
      </c>
      <c r="L22" s="7">
        <v>2</v>
      </c>
    </row>
    <row r="23" spans="1:12">
      <c r="A23" s="7" t="s">
        <v>14</v>
      </c>
      <c r="B23" s="7">
        <v>22</v>
      </c>
      <c r="C23" s="7">
        <v>1</v>
      </c>
      <c r="D23" s="7">
        <v>2021</v>
      </c>
      <c r="E23" s="7">
        <f>'Athens Daily - EL'!AL29</f>
        <v>36710</v>
      </c>
      <c r="F23" s="7"/>
      <c r="G23" s="39">
        <f>'Athens Daily - Gas'!BI30</f>
        <v>61584</v>
      </c>
      <c r="H23" s="7"/>
      <c r="I23" s="40">
        <f>'Athens Daily - Water'!S28</f>
        <v>134.60000000000002</v>
      </c>
      <c r="J23" s="7"/>
      <c r="K23" s="7">
        <v>293</v>
      </c>
      <c r="L23" s="7">
        <v>2</v>
      </c>
    </row>
    <row r="24" spans="1:12">
      <c r="A24" s="7" t="s">
        <v>14</v>
      </c>
      <c r="B24" s="7">
        <v>23</v>
      </c>
      <c r="C24" s="7">
        <v>1</v>
      </c>
      <c r="D24" s="7">
        <v>2021</v>
      </c>
      <c r="E24" s="7">
        <f>'Athens Daily - EL'!AL30</f>
        <v>43980</v>
      </c>
      <c r="F24" s="7"/>
      <c r="G24" s="39">
        <f>'Athens Daily - Gas'!BI31</f>
        <v>63168</v>
      </c>
      <c r="H24" s="7"/>
      <c r="I24" s="40">
        <f>'Athens Daily - Water'!S29</f>
        <v>240.1</v>
      </c>
      <c r="J24" s="7"/>
      <c r="K24" s="7">
        <v>294</v>
      </c>
      <c r="L24" s="7">
        <v>2</v>
      </c>
    </row>
    <row r="25" spans="1:12">
      <c r="A25" s="7" t="s">
        <v>14</v>
      </c>
      <c r="B25" s="7">
        <v>24</v>
      </c>
      <c r="C25" s="7">
        <v>1</v>
      </c>
      <c r="D25" s="7">
        <v>2021</v>
      </c>
      <c r="E25" s="7">
        <f>'Athens Daily - EL'!AL31</f>
        <v>41025</v>
      </c>
      <c r="F25" s="7"/>
      <c r="G25" s="39">
        <f>'Athens Daily - Gas'!BI32</f>
        <v>65848.800000000003</v>
      </c>
      <c r="H25" s="7"/>
      <c r="I25" s="40">
        <f>'Athens Daily - Water'!S30</f>
        <v>249.05</v>
      </c>
      <c r="J25" s="7"/>
      <c r="K25" s="7">
        <v>294</v>
      </c>
      <c r="L25" s="7">
        <v>2</v>
      </c>
    </row>
    <row r="26" spans="1:12">
      <c r="A26" s="7" t="s">
        <v>14</v>
      </c>
      <c r="B26" s="7">
        <v>25</v>
      </c>
      <c r="C26" s="7">
        <v>1</v>
      </c>
      <c r="D26" s="7">
        <v>2021</v>
      </c>
      <c r="E26" s="7">
        <f>'Athens Daily - EL'!AL32</f>
        <v>41670</v>
      </c>
      <c r="F26" s="7"/>
      <c r="G26" s="39">
        <f>'Athens Daily - Gas'!BI33</f>
        <v>68232</v>
      </c>
      <c r="H26" s="7"/>
      <c r="I26" s="40">
        <f>'Athens Daily - Water'!S31</f>
        <v>183.25</v>
      </c>
      <c r="J26" s="7"/>
      <c r="K26" s="7">
        <v>291</v>
      </c>
      <c r="L26" s="7">
        <v>2</v>
      </c>
    </row>
    <row r="27" spans="1:12">
      <c r="A27" s="7" t="s">
        <v>14</v>
      </c>
      <c r="B27" s="7">
        <v>26</v>
      </c>
      <c r="C27" s="7">
        <v>1</v>
      </c>
      <c r="D27" s="7">
        <v>2021</v>
      </c>
      <c r="E27" s="7">
        <f>'Athens Daily - EL'!AL33</f>
        <v>41565</v>
      </c>
      <c r="F27" s="7"/>
      <c r="G27" s="39">
        <f>'Athens Daily - Gas'!BI34</f>
        <v>68124</v>
      </c>
      <c r="H27" s="7"/>
      <c r="I27" s="40">
        <f>'Athens Daily - Water'!S32</f>
        <v>147.05000000000001</v>
      </c>
      <c r="J27" s="7"/>
      <c r="K27" s="7">
        <v>291</v>
      </c>
      <c r="L27" s="7">
        <v>2</v>
      </c>
    </row>
    <row r="28" spans="1:12">
      <c r="A28" s="7" t="s">
        <v>14</v>
      </c>
      <c r="B28" s="7">
        <v>27</v>
      </c>
      <c r="C28" s="7">
        <v>1</v>
      </c>
      <c r="D28" s="7">
        <v>2021</v>
      </c>
      <c r="E28" s="7">
        <f>'Athens Daily - EL'!AL34</f>
        <v>44025</v>
      </c>
      <c r="F28" s="7"/>
      <c r="G28" s="39">
        <f>'Athens Daily - Gas'!BI35</f>
        <v>58706.400000000001</v>
      </c>
      <c r="H28" s="7"/>
      <c r="I28" s="40">
        <f>'Athens Daily - Water'!S33</f>
        <v>155.35000000000002</v>
      </c>
      <c r="J28" s="7"/>
      <c r="K28" s="7">
        <v>288</v>
      </c>
      <c r="L28" s="7">
        <v>2</v>
      </c>
    </row>
    <row r="29" spans="1:12">
      <c r="A29" s="7" t="s">
        <v>14</v>
      </c>
      <c r="B29" s="7">
        <v>28</v>
      </c>
      <c r="C29" s="7">
        <v>1</v>
      </c>
      <c r="D29" s="7">
        <v>2021</v>
      </c>
      <c r="E29" s="7">
        <f>'Athens Daily - EL'!AL35</f>
        <v>43105</v>
      </c>
      <c r="F29" s="7"/>
      <c r="G29" s="39">
        <f>'Athens Daily - Gas'!BI36</f>
        <v>60900</v>
      </c>
      <c r="H29" s="7"/>
      <c r="I29" s="40">
        <f>'Athens Daily - Water'!S34</f>
        <v>231.3</v>
      </c>
      <c r="J29" s="7"/>
      <c r="K29" s="7">
        <v>290</v>
      </c>
      <c r="L29" s="7">
        <v>2</v>
      </c>
    </row>
    <row r="30" spans="1:12">
      <c r="A30" s="7" t="s">
        <v>14</v>
      </c>
      <c r="B30" s="7">
        <v>29</v>
      </c>
      <c r="C30" s="7">
        <v>1</v>
      </c>
      <c r="D30" s="7">
        <v>2021</v>
      </c>
      <c r="E30" s="7">
        <f>'Athens Daily - EL'!AL36</f>
        <v>42580</v>
      </c>
      <c r="F30" s="7"/>
      <c r="G30" s="39">
        <f>'Athens Daily - Gas'!BI37</f>
        <v>63552</v>
      </c>
      <c r="H30" s="7"/>
      <c r="I30" s="40">
        <f>'Athens Daily - Water'!S35</f>
        <v>215.20000000000002</v>
      </c>
      <c r="J30" s="7"/>
      <c r="K30" s="7">
        <v>291</v>
      </c>
      <c r="L30" s="7">
        <v>2</v>
      </c>
    </row>
    <row r="31" spans="1:12">
      <c r="A31" s="7" t="s">
        <v>14</v>
      </c>
      <c r="B31" s="7">
        <v>30</v>
      </c>
      <c r="C31" s="7">
        <v>1</v>
      </c>
      <c r="D31" s="7">
        <v>2021</v>
      </c>
      <c r="E31" s="7">
        <f>'Athens Daily - EL'!AL37</f>
        <v>41390</v>
      </c>
      <c r="F31" s="7"/>
      <c r="G31" s="39">
        <f>'Athens Daily - Gas'!BI38</f>
        <v>63674.400000000001</v>
      </c>
      <c r="H31" s="7"/>
      <c r="I31" s="40">
        <f>'Athens Daily - Water'!S37</f>
        <v>227</v>
      </c>
      <c r="J31" s="7"/>
      <c r="K31" s="7">
        <v>290</v>
      </c>
      <c r="L31" s="7">
        <v>2</v>
      </c>
    </row>
    <row r="32" spans="1:12">
      <c r="A32" s="7" t="s">
        <v>14</v>
      </c>
      <c r="B32" s="7">
        <v>31</v>
      </c>
      <c r="C32" s="7">
        <v>1</v>
      </c>
      <c r="D32" s="7">
        <v>2021</v>
      </c>
      <c r="E32" s="7">
        <f>'Athens Daily - EL'!AL38</f>
        <v>42740</v>
      </c>
      <c r="F32" s="7"/>
      <c r="G32" s="39">
        <f>'Athens Daily - Gas'!BI39</f>
        <v>64872</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90"/>
  <sheetViews>
    <sheetView topLeftCell="A2" zoomScale="70" zoomScaleNormal="70" workbookViewId="0">
      <pane xSplit="2" ySplit="5" topLeftCell="AA23" activePane="bottomRight" state="frozen"/>
      <selection pane="topRight" activeCell="C2" sqref="C2"/>
      <selection pane="bottomLeft" activeCell="A7" sqref="A7"/>
      <selection pane="bottomRight" activeCell="AL39" sqref="AL39"/>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 min="39" max="39" width="23.85546875" customWidth="1"/>
  </cols>
  <sheetData>
    <row r="1" spans="1:38" s="12" customFormat="1" ht="49.5" customHeight="1">
      <c r="A1" s="112"/>
      <c r="B1" s="112"/>
      <c r="C1" s="203" t="s">
        <v>65</v>
      </c>
      <c r="D1" s="203"/>
      <c r="E1" s="203" t="s">
        <v>65</v>
      </c>
      <c r="F1" s="203"/>
      <c r="G1" s="203" t="s">
        <v>65</v>
      </c>
      <c r="H1" s="203"/>
      <c r="I1" s="112"/>
      <c r="J1" s="203" t="s">
        <v>65</v>
      </c>
      <c r="K1" s="203"/>
      <c r="L1" s="203" t="s">
        <v>65</v>
      </c>
      <c r="M1" s="203"/>
      <c r="N1" s="216" t="s">
        <v>66</v>
      </c>
      <c r="O1" s="217"/>
      <c r="P1" s="218"/>
      <c r="Q1" s="216" t="s">
        <v>66</v>
      </c>
      <c r="R1" s="217"/>
      <c r="S1" s="218"/>
      <c r="T1" s="216" t="s">
        <v>66</v>
      </c>
      <c r="U1" s="217"/>
      <c r="V1" s="218"/>
      <c r="W1" s="216" t="s">
        <v>66</v>
      </c>
      <c r="X1" s="217"/>
      <c r="Y1" s="218"/>
      <c r="Z1" s="203" t="s">
        <v>67</v>
      </c>
      <c r="AA1" s="203"/>
      <c r="AB1" s="203" t="s">
        <v>67</v>
      </c>
      <c r="AC1" s="203"/>
      <c r="AD1" s="203" t="s">
        <v>67</v>
      </c>
      <c r="AE1" s="203"/>
      <c r="AF1" s="203" t="s">
        <v>67</v>
      </c>
      <c r="AG1" s="203"/>
      <c r="AH1" s="203" t="s">
        <v>67</v>
      </c>
      <c r="AI1" s="203"/>
    </row>
    <row r="2" spans="1:38" s="3" customFormat="1" ht="113.25" customHeight="1">
      <c r="A2" s="13"/>
      <c r="B2" s="14"/>
      <c r="C2" s="202" t="s">
        <v>68</v>
      </c>
      <c r="D2" s="202"/>
      <c r="E2" s="202" t="s">
        <v>69</v>
      </c>
      <c r="F2" s="202"/>
      <c r="G2" s="207" t="s">
        <v>70</v>
      </c>
      <c r="H2" s="208"/>
      <c r="I2" s="209"/>
      <c r="J2" s="202" t="s">
        <v>71</v>
      </c>
      <c r="K2" s="202"/>
      <c r="L2" s="202" t="s">
        <v>72</v>
      </c>
      <c r="M2" s="202"/>
      <c r="N2" s="207" t="s">
        <v>73</v>
      </c>
      <c r="O2" s="208"/>
      <c r="P2" s="209"/>
      <c r="Q2" s="207" t="s">
        <v>74</v>
      </c>
      <c r="R2" s="208"/>
      <c r="S2" s="209"/>
      <c r="T2" s="207" t="s">
        <v>75</v>
      </c>
      <c r="U2" s="208"/>
      <c r="V2" s="209"/>
      <c r="W2" s="207" t="s">
        <v>76</v>
      </c>
      <c r="X2" s="208"/>
      <c r="Y2" s="209"/>
      <c r="Z2" s="202" t="s">
        <v>77</v>
      </c>
      <c r="AA2" s="202"/>
      <c r="AB2" s="202" t="s">
        <v>78</v>
      </c>
      <c r="AC2" s="202"/>
      <c r="AD2" s="202" t="s">
        <v>79</v>
      </c>
      <c r="AE2" s="202"/>
      <c r="AF2" s="202" t="s">
        <v>78</v>
      </c>
      <c r="AG2" s="202"/>
      <c r="AH2" s="202" t="s">
        <v>80</v>
      </c>
      <c r="AI2" s="202"/>
      <c r="AJ2" s="119"/>
      <c r="AK2" s="119"/>
      <c r="AL2" s="119"/>
    </row>
    <row r="3" spans="1:38" s="25" customFormat="1" ht="30" customHeight="1">
      <c r="A3" s="110"/>
      <c r="B3" s="50"/>
      <c r="C3" s="204">
        <v>5065546</v>
      </c>
      <c r="D3" s="206"/>
      <c r="E3" s="204">
        <v>5065547</v>
      </c>
      <c r="F3" s="206"/>
      <c r="G3" s="204">
        <v>5008272</v>
      </c>
      <c r="H3" s="205"/>
      <c r="I3" s="206"/>
      <c r="J3" s="204">
        <v>5065548</v>
      </c>
      <c r="K3" s="206"/>
      <c r="L3" s="204">
        <v>5465545</v>
      </c>
      <c r="M3" s="206"/>
      <c r="N3" s="204">
        <v>5008273</v>
      </c>
      <c r="O3" s="205"/>
      <c r="P3" s="206"/>
      <c r="Q3" s="204">
        <v>5018351</v>
      </c>
      <c r="R3" s="205"/>
      <c r="S3" s="206"/>
      <c r="T3" s="204">
        <v>5018354</v>
      </c>
      <c r="U3" s="205"/>
      <c r="V3" s="206"/>
      <c r="W3" s="204">
        <v>5018350</v>
      </c>
      <c r="X3" s="205"/>
      <c r="Y3" s="206"/>
      <c r="Z3" s="204">
        <v>5065543</v>
      </c>
      <c r="AA3" s="206"/>
      <c r="AB3" s="204">
        <v>5065544</v>
      </c>
      <c r="AC3" s="206"/>
      <c r="AD3" s="204">
        <v>5065541</v>
      </c>
      <c r="AE3" s="206"/>
      <c r="AF3" s="204">
        <v>5065542</v>
      </c>
      <c r="AG3" s="206"/>
      <c r="AH3" s="204">
        <v>5065540</v>
      </c>
      <c r="AI3" s="206"/>
      <c r="AK3" s="201" t="s">
        <v>81</v>
      </c>
      <c r="AL3" s="201"/>
    </row>
    <row r="4" spans="1:38" s="24" customFormat="1" ht="30" customHeight="1">
      <c r="A4" s="110"/>
      <c r="B4" s="116"/>
      <c r="C4" s="212" t="s">
        <v>82</v>
      </c>
      <c r="D4" s="213"/>
      <c r="E4" s="212" t="s">
        <v>83</v>
      </c>
      <c r="F4" s="213"/>
      <c r="G4" s="212" t="s">
        <v>84</v>
      </c>
      <c r="H4" s="214"/>
      <c r="I4" s="213"/>
      <c r="J4" s="212" t="s">
        <v>85</v>
      </c>
      <c r="K4" s="213"/>
      <c r="L4" s="212" t="s">
        <v>86</v>
      </c>
      <c r="M4" s="213"/>
      <c r="N4" s="212" t="s">
        <v>87</v>
      </c>
      <c r="O4" s="214"/>
      <c r="P4" s="213"/>
      <c r="Q4" s="212" t="s">
        <v>88</v>
      </c>
      <c r="R4" s="214"/>
      <c r="S4" s="213"/>
      <c r="T4" s="212" t="s">
        <v>89</v>
      </c>
      <c r="U4" s="214"/>
      <c r="V4" s="213"/>
      <c r="W4" s="212" t="s">
        <v>90</v>
      </c>
      <c r="X4" s="214"/>
      <c r="Y4" s="213"/>
      <c r="Z4" s="212" t="s">
        <v>91</v>
      </c>
      <c r="AA4" s="213"/>
      <c r="AB4" s="212" t="s">
        <v>92</v>
      </c>
      <c r="AC4" s="213"/>
      <c r="AD4" s="212" t="s">
        <v>93</v>
      </c>
      <c r="AE4" s="213"/>
      <c r="AF4" s="212" t="s">
        <v>94</v>
      </c>
      <c r="AG4" s="213"/>
      <c r="AH4" s="212" t="s">
        <v>95</v>
      </c>
      <c r="AI4" s="213"/>
      <c r="AK4" s="201"/>
      <c r="AL4" s="201"/>
    </row>
    <row r="5" spans="1:38" s="8" customFormat="1" ht="30" customHeight="1">
      <c r="A5" s="110" t="s">
        <v>96</v>
      </c>
      <c r="B5" s="51"/>
      <c r="C5" s="210" t="s">
        <v>97</v>
      </c>
      <c r="D5" s="211"/>
      <c r="E5" s="210" t="s">
        <v>97</v>
      </c>
      <c r="F5" s="211"/>
      <c r="G5" s="210" t="s">
        <v>97</v>
      </c>
      <c r="H5" s="215"/>
      <c r="I5" s="211"/>
      <c r="J5" s="51" t="s">
        <v>97</v>
      </c>
      <c r="K5" s="51"/>
      <c r="L5" s="210" t="s">
        <v>97</v>
      </c>
      <c r="M5" s="211"/>
      <c r="N5" s="210" t="s">
        <v>97</v>
      </c>
      <c r="O5" s="215"/>
      <c r="P5" s="211"/>
      <c r="Q5" s="210" t="s">
        <v>98</v>
      </c>
      <c r="R5" s="215"/>
      <c r="S5" s="211"/>
      <c r="T5" s="210" t="s">
        <v>98</v>
      </c>
      <c r="U5" s="215"/>
      <c r="V5" s="211"/>
      <c r="W5" s="210" t="s">
        <v>98</v>
      </c>
      <c r="X5" s="215"/>
      <c r="Y5" s="211"/>
      <c r="Z5" s="210" t="s">
        <v>97</v>
      </c>
      <c r="AA5" s="211"/>
      <c r="AB5" s="210" t="s">
        <v>97</v>
      </c>
      <c r="AC5" s="211"/>
      <c r="AD5" s="210" t="s">
        <v>97</v>
      </c>
      <c r="AE5" s="211"/>
      <c r="AF5" s="210" t="s">
        <v>97</v>
      </c>
      <c r="AG5" s="211"/>
      <c r="AH5" s="210" t="s">
        <v>97</v>
      </c>
      <c r="AI5" s="211"/>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7">
        <v>44377</v>
      </c>
      <c r="B7" s="16"/>
      <c r="C7" s="74">
        <v>129953</v>
      </c>
      <c r="D7" s="17"/>
      <c r="E7" s="74">
        <v>205777</v>
      </c>
      <c r="F7" s="17"/>
      <c r="G7" s="74">
        <v>22161</v>
      </c>
      <c r="H7" s="17"/>
      <c r="I7" s="17"/>
      <c r="J7" s="74">
        <v>183273</v>
      </c>
      <c r="K7" s="17"/>
      <c r="L7" s="74">
        <v>285206</v>
      </c>
      <c r="M7" s="17"/>
      <c r="N7" s="74">
        <v>906339</v>
      </c>
      <c r="O7" s="17"/>
      <c r="P7" s="17"/>
      <c r="Q7" s="74">
        <v>198665</v>
      </c>
      <c r="R7" s="17"/>
      <c r="S7" s="17"/>
      <c r="T7" s="74">
        <v>106658</v>
      </c>
      <c r="U7" s="17"/>
      <c r="V7" s="17"/>
      <c r="W7" s="74">
        <v>182465</v>
      </c>
      <c r="X7" s="17"/>
      <c r="Y7" s="17"/>
      <c r="Z7" s="74">
        <v>34714</v>
      </c>
      <c r="AA7" s="17"/>
      <c r="AB7" s="74">
        <v>70368</v>
      </c>
      <c r="AC7" s="17"/>
      <c r="AD7" s="74">
        <v>125947</v>
      </c>
      <c r="AE7" s="17"/>
      <c r="AF7" s="74">
        <v>67398</v>
      </c>
      <c r="AG7" s="17"/>
      <c r="AH7" s="74">
        <v>341878</v>
      </c>
      <c r="AI7" s="17"/>
      <c r="AK7" s="99"/>
      <c r="AL7" s="100"/>
    </row>
    <row r="8" spans="1:38" s="2" customFormat="1" ht="39.950000000000003" customHeight="1">
      <c r="A8" s="147">
        <v>44378</v>
      </c>
      <c r="B8" s="15"/>
      <c r="C8" s="49">
        <v>130407</v>
      </c>
      <c r="D8" s="17">
        <f>(C8-C7)*10</f>
        <v>4540</v>
      </c>
      <c r="E8" s="49">
        <v>206506</v>
      </c>
      <c r="F8" s="17">
        <f>(E8-E7)*10</f>
        <v>7290</v>
      </c>
      <c r="G8" s="49">
        <v>22552</v>
      </c>
      <c r="H8" s="17">
        <f>(G8-G7)*10</f>
        <v>3910</v>
      </c>
      <c r="I8" s="17">
        <f>H8*50%</f>
        <v>1955</v>
      </c>
      <c r="J8" s="49">
        <v>183914</v>
      </c>
      <c r="K8" s="17">
        <f>(J8-J7)*10</f>
        <v>6410</v>
      </c>
      <c r="L8" s="49">
        <v>286246</v>
      </c>
      <c r="M8" s="17">
        <f>(L8-L7)*10</f>
        <v>10400</v>
      </c>
      <c r="N8" s="49">
        <v>908033</v>
      </c>
      <c r="O8" s="17">
        <f t="shared" ref="O8:O24" si="0">(N8-N7)*10</f>
        <v>16940</v>
      </c>
      <c r="P8" s="17">
        <f>O8*50%</f>
        <v>8470</v>
      </c>
      <c r="Q8" s="49">
        <v>199703</v>
      </c>
      <c r="R8" s="17">
        <f t="shared" ref="R8:R24" si="1">(Q8-Q7)*10</f>
        <v>10380</v>
      </c>
      <c r="S8" s="17">
        <f>R8*50%</f>
        <v>5190</v>
      </c>
      <c r="T8" s="49">
        <v>107451</v>
      </c>
      <c r="U8" s="17">
        <f>(T8-T7)*10</f>
        <v>7930</v>
      </c>
      <c r="V8" s="17">
        <f>U8*50%</f>
        <v>3965</v>
      </c>
      <c r="W8" s="49">
        <v>182981</v>
      </c>
      <c r="X8" s="17">
        <f>(W8-W7)*10</f>
        <v>5160</v>
      </c>
      <c r="Y8" s="17">
        <f>X8*50%</f>
        <v>2580</v>
      </c>
      <c r="Z8" s="49">
        <v>34832</v>
      </c>
      <c r="AA8" s="17">
        <f>(Z8-Z7)*10</f>
        <v>1180</v>
      </c>
      <c r="AB8" s="49">
        <v>70574</v>
      </c>
      <c r="AC8" s="17">
        <f>(AB8-AB7)*10</f>
        <v>2060</v>
      </c>
      <c r="AD8" s="49">
        <v>126334</v>
      </c>
      <c r="AE8" s="17">
        <f>(AD8-AD7)*10</f>
        <v>3870</v>
      </c>
      <c r="AF8" s="49">
        <v>67586</v>
      </c>
      <c r="AG8" s="17">
        <f>(AF8-AF7)*10</f>
        <v>1880</v>
      </c>
      <c r="AH8" s="49">
        <v>342985</v>
      </c>
      <c r="AI8" s="17">
        <f>(AH8-AH7)*10</f>
        <v>11070</v>
      </c>
      <c r="AK8" s="99">
        <f>SUM(D8,F8,I8,K8,M8,P8,S8,V8,Y8)</f>
        <v>50800</v>
      </c>
      <c r="AL8" s="100">
        <f>SUM(P8,S8,V8,Y8,AA8,AC8,AE8,AG8,AI8,I8)</f>
        <v>42220</v>
      </c>
    </row>
    <row r="9" spans="1:38" ht="39.950000000000003" customHeight="1">
      <c r="A9" s="147">
        <v>44379</v>
      </c>
      <c r="B9" s="16"/>
      <c r="C9" s="49">
        <v>130823</v>
      </c>
      <c r="D9" s="17">
        <f t="shared" ref="D9:F25" si="2">(C9-C8)*10</f>
        <v>4160</v>
      </c>
      <c r="E9" s="49">
        <v>207183</v>
      </c>
      <c r="F9" s="17">
        <f t="shared" si="2"/>
        <v>6770</v>
      </c>
      <c r="G9" s="49">
        <v>22925</v>
      </c>
      <c r="H9" s="17">
        <f t="shared" ref="H9" si="3">(G9-G8)*10</f>
        <v>3730</v>
      </c>
      <c r="I9" s="17">
        <f t="shared" ref="I9:I24" si="4">H9*50%</f>
        <v>1865</v>
      </c>
      <c r="J9" s="49">
        <v>184525</v>
      </c>
      <c r="K9" s="17">
        <f t="shared" ref="K9" si="5">(J9-J8)*10</f>
        <v>6110</v>
      </c>
      <c r="L9" s="49">
        <v>287238</v>
      </c>
      <c r="M9" s="17">
        <f t="shared" ref="M9" si="6">(L9-L8)*10</f>
        <v>9920</v>
      </c>
      <c r="N9" s="49">
        <v>909629</v>
      </c>
      <c r="O9" s="17">
        <f t="shared" si="0"/>
        <v>15960</v>
      </c>
      <c r="P9" s="17">
        <f t="shared" ref="P9:P24" si="7">O9*50%</f>
        <v>7980</v>
      </c>
      <c r="Q9" s="49">
        <v>200706</v>
      </c>
      <c r="R9" s="17">
        <f t="shared" si="1"/>
        <v>10030</v>
      </c>
      <c r="S9" s="17">
        <f t="shared" ref="S9:S24" si="8">R9*50%</f>
        <v>5015</v>
      </c>
      <c r="T9" s="49">
        <v>108227</v>
      </c>
      <c r="U9" s="17">
        <f t="shared" ref="U9" si="9">(T9-T8)*10</f>
        <v>7760</v>
      </c>
      <c r="V9" s="17">
        <f t="shared" ref="V9:V24" si="10">U9*50%</f>
        <v>3880</v>
      </c>
      <c r="W9" s="49">
        <v>183503</v>
      </c>
      <c r="X9" s="17">
        <f t="shared" ref="X9:X38" si="11">(W9-W8)*10</f>
        <v>5220</v>
      </c>
      <c r="Y9" s="17">
        <f t="shared" ref="Y9:Y24" si="12">X9*50%</f>
        <v>2610</v>
      </c>
      <c r="Z9" s="49">
        <v>34934</v>
      </c>
      <c r="AA9" s="17">
        <f t="shared" ref="AA9:AA38" si="13">(Z9-Z8)*10</f>
        <v>1020</v>
      </c>
      <c r="AB9" s="49">
        <v>70763</v>
      </c>
      <c r="AC9" s="17">
        <f t="shared" ref="AC9:AC38" si="14">(AB9-AB8)*10</f>
        <v>1890</v>
      </c>
      <c r="AD9" s="49">
        <v>126707</v>
      </c>
      <c r="AE9" s="17">
        <f t="shared" ref="AE9:AE38" si="15">(AD9-AD8)*10</f>
        <v>3730</v>
      </c>
      <c r="AF9" s="49">
        <v>67637</v>
      </c>
      <c r="AG9" s="17">
        <f t="shared" ref="AG9:AG38" si="16">(AF9-AF8)*10</f>
        <v>510</v>
      </c>
      <c r="AH9" s="49">
        <v>344006</v>
      </c>
      <c r="AI9" s="17">
        <f t="shared" ref="AI9:AI38" si="17">(AH9-AH8)*10</f>
        <v>10210</v>
      </c>
      <c r="AK9" s="99">
        <f t="shared" ref="AK9:AK24" si="18">SUM(D9,F9,I9,K9,M9,P9,S9,V9,Y9)</f>
        <v>48310</v>
      </c>
      <c r="AL9" s="100">
        <f t="shared" ref="AL9:AL38" si="19">SUM(P9,S9,V9,Y9,AA9,AC9,AE9,AG9,AI9,I9)</f>
        <v>38710</v>
      </c>
    </row>
    <row r="10" spans="1:38" ht="39.950000000000003" customHeight="1">
      <c r="A10" s="147">
        <v>44380</v>
      </c>
      <c r="B10" s="16"/>
      <c r="C10" s="49">
        <v>131254</v>
      </c>
      <c r="D10" s="17">
        <f t="shared" si="2"/>
        <v>4310</v>
      </c>
      <c r="E10" s="49">
        <v>207907</v>
      </c>
      <c r="F10" s="17">
        <f t="shared" si="2"/>
        <v>7240</v>
      </c>
      <c r="G10" s="49">
        <v>23323</v>
      </c>
      <c r="H10" s="17">
        <f t="shared" ref="H10" si="20">(G10-G9)*10</f>
        <v>3980</v>
      </c>
      <c r="I10" s="17">
        <f t="shared" si="4"/>
        <v>1990</v>
      </c>
      <c r="J10" s="49">
        <v>185149</v>
      </c>
      <c r="K10" s="17">
        <f t="shared" ref="K10" si="21">(J10-J9)*10</f>
        <v>6240</v>
      </c>
      <c r="L10" s="49">
        <v>288248</v>
      </c>
      <c r="M10" s="17">
        <f t="shared" ref="M10" si="22">(L10-L9)*10</f>
        <v>10100</v>
      </c>
      <c r="N10" s="49">
        <v>911334</v>
      </c>
      <c r="O10" s="17">
        <f t="shared" si="0"/>
        <v>17050</v>
      </c>
      <c r="P10" s="17">
        <f t="shared" si="7"/>
        <v>8525</v>
      </c>
      <c r="Q10" s="49">
        <v>201730</v>
      </c>
      <c r="R10" s="17">
        <f t="shared" si="1"/>
        <v>10240</v>
      </c>
      <c r="S10" s="17">
        <f t="shared" si="8"/>
        <v>5120</v>
      </c>
      <c r="T10" s="49">
        <v>108979</v>
      </c>
      <c r="U10" s="17">
        <f t="shared" ref="U10" si="23">(T10-T9)*10</f>
        <v>7520</v>
      </c>
      <c r="V10" s="17">
        <f t="shared" si="10"/>
        <v>3760</v>
      </c>
      <c r="W10" s="49">
        <v>184131</v>
      </c>
      <c r="X10" s="17">
        <f t="shared" si="11"/>
        <v>6280</v>
      </c>
      <c r="Y10" s="17">
        <f t="shared" si="12"/>
        <v>3140</v>
      </c>
      <c r="Z10" s="49">
        <v>35047</v>
      </c>
      <c r="AA10" s="17">
        <f t="shared" si="13"/>
        <v>1130</v>
      </c>
      <c r="AB10" s="49">
        <v>70945</v>
      </c>
      <c r="AC10" s="17">
        <f t="shared" si="14"/>
        <v>1820</v>
      </c>
      <c r="AD10" s="49">
        <v>127069</v>
      </c>
      <c r="AE10" s="17">
        <f t="shared" si="15"/>
        <v>3620</v>
      </c>
      <c r="AF10" s="49">
        <v>67922</v>
      </c>
      <c r="AG10" s="17">
        <f t="shared" si="16"/>
        <v>2850</v>
      </c>
      <c r="AH10" s="49">
        <v>345000</v>
      </c>
      <c r="AI10" s="17">
        <f t="shared" si="17"/>
        <v>9940</v>
      </c>
      <c r="AK10" s="99">
        <f t="shared" si="18"/>
        <v>50425</v>
      </c>
      <c r="AL10" s="100">
        <f t="shared" si="19"/>
        <v>41895</v>
      </c>
    </row>
    <row r="11" spans="1:38" ht="39.950000000000003" customHeight="1">
      <c r="A11" s="147">
        <v>44381</v>
      </c>
      <c r="B11" s="16"/>
      <c r="C11" s="49">
        <v>131673</v>
      </c>
      <c r="D11" s="17">
        <f t="shared" si="2"/>
        <v>4190</v>
      </c>
      <c r="E11" s="49">
        <v>208604</v>
      </c>
      <c r="F11" s="17">
        <f t="shared" si="2"/>
        <v>6970</v>
      </c>
      <c r="G11" s="49">
        <v>23716</v>
      </c>
      <c r="H11" s="17">
        <f>(G11-G10)*10</f>
        <v>3930</v>
      </c>
      <c r="I11" s="17">
        <f t="shared" si="4"/>
        <v>1965</v>
      </c>
      <c r="J11" s="49">
        <v>185769</v>
      </c>
      <c r="K11" s="17">
        <f t="shared" ref="K11" si="24">(J11-J10)*10</f>
        <v>6200</v>
      </c>
      <c r="L11" s="49">
        <v>289250</v>
      </c>
      <c r="M11" s="17">
        <f t="shared" ref="M11" si="25">(L11-L10)*10</f>
        <v>10020</v>
      </c>
      <c r="N11" s="49">
        <v>912949</v>
      </c>
      <c r="O11" s="17">
        <f t="shared" si="0"/>
        <v>16150</v>
      </c>
      <c r="P11" s="17">
        <f t="shared" si="7"/>
        <v>8075</v>
      </c>
      <c r="Q11" s="49">
        <v>202794</v>
      </c>
      <c r="R11" s="17">
        <f t="shared" si="1"/>
        <v>10640</v>
      </c>
      <c r="S11" s="17">
        <f t="shared" si="8"/>
        <v>5320</v>
      </c>
      <c r="T11" s="49">
        <v>109870</v>
      </c>
      <c r="U11" s="17">
        <f t="shared" ref="U11" si="26">(T11-T10)*10</f>
        <v>8910</v>
      </c>
      <c r="V11" s="17">
        <f t="shared" si="10"/>
        <v>4455</v>
      </c>
      <c r="W11" s="49">
        <v>184680</v>
      </c>
      <c r="X11" s="17">
        <f t="shared" si="11"/>
        <v>5490</v>
      </c>
      <c r="Y11" s="17">
        <f t="shared" si="12"/>
        <v>2745</v>
      </c>
      <c r="Z11" s="49">
        <v>35151</v>
      </c>
      <c r="AA11" s="17">
        <f t="shared" si="13"/>
        <v>1040</v>
      </c>
      <c r="AB11" s="49">
        <v>71134</v>
      </c>
      <c r="AC11" s="17">
        <f t="shared" si="14"/>
        <v>1890</v>
      </c>
      <c r="AD11" s="49">
        <v>127430</v>
      </c>
      <c r="AE11" s="17">
        <f t="shared" si="15"/>
        <v>3610</v>
      </c>
      <c r="AF11" s="49">
        <v>68095</v>
      </c>
      <c r="AG11" s="17">
        <f t="shared" si="16"/>
        <v>1730</v>
      </c>
      <c r="AH11" s="49">
        <v>346022</v>
      </c>
      <c r="AI11" s="17">
        <f t="shared" si="17"/>
        <v>10220</v>
      </c>
      <c r="AK11" s="99">
        <f t="shared" si="18"/>
        <v>49940</v>
      </c>
      <c r="AL11" s="100">
        <f t="shared" si="19"/>
        <v>41050</v>
      </c>
    </row>
    <row r="12" spans="1:38" ht="39.950000000000003" customHeight="1">
      <c r="A12" s="147">
        <v>44382</v>
      </c>
      <c r="B12" s="16"/>
      <c r="C12" s="49">
        <v>132077</v>
      </c>
      <c r="D12" s="17">
        <f t="shared" si="2"/>
        <v>4040</v>
      </c>
      <c r="E12" s="49">
        <v>209304</v>
      </c>
      <c r="F12" s="17">
        <f t="shared" si="2"/>
        <v>7000</v>
      </c>
      <c r="G12" s="49">
        <v>24091</v>
      </c>
      <c r="H12" s="17">
        <f t="shared" ref="H12" si="27">(G12-G11)*10</f>
        <v>3750</v>
      </c>
      <c r="I12" s="17">
        <f t="shared" si="4"/>
        <v>1875</v>
      </c>
      <c r="J12" s="49">
        <v>186372</v>
      </c>
      <c r="K12" s="17">
        <f t="shared" ref="K12" si="28">(J12-J11)*10</f>
        <v>6030</v>
      </c>
      <c r="L12" s="49">
        <v>290218</v>
      </c>
      <c r="M12" s="17">
        <f t="shared" ref="M12" si="29">(L12-L11)*10</f>
        <v>9680</v>
      </c>
      <c r="N12" s="49">
        <v>914290</v>
      </c>
      <c r="O12" s="17">
        <f t="shared" si="0"/>
        <v>13410</v>
      </c>
      <c r="P12" s="17">
        <f t="shared" si="7"/>
        <v>6705</v>
      </c>
      <c r="Q12" s="49">
        <v>203849</v>
      </c>
      <c r="R12" s="17">
        <f t="shared" si="1"/>
        <v>10550</v>
      </c>
      <c r="S12" s="17">
        <f t="shared" si="8"/>
        <v>5275</v>
      </c>
      <c r="T12" s="49">
        <v>110629</v>
      </c>
      <c r="U12" s="17">
        <f t="shared" ref="U12" si="30">(T12-T11)*10</f>
        <v>7590</v>
      </c>
      <c r="V12" s="17">
        <f t="shared" si="10"/>
        <v>3795</v>
      </c>
      <c r="W12" s="49">
        <v>185391</v>
      </c>
      <c r="X12" s="17">
        <f t="shared" si="11"/>
        <v>7110</v>
      </c>
      <c r="Y12" s="17">
        <f t="shared" si="12"/>
        <v>3555</v>
      </c>
      <c r="Z12" s="49">
        <v>35252</v>
      </c>
      <c r="AA12" s="17">
        <f t="shared" si="13"/>
        <v>1010</v>
      </c>
      <c r="AB12" s="49">
        <v>71331</v>
      </c>
      <c r="AC12" s="17">
        <f t="shared" si="14"/>
        <v>1970</v>
      </c>
      <c r="AD12" s="49">
        <v>127792</v>
      </c>
      <c r="AE12" s="17">
        <f t="shared" si="15"/>
        <v>3620</v>
      </c>
      <c r="AF12" s="49">
        <v>68263</v>
      </c>
      <c r="AG12" s="17">
        <f t="shared" si="16"/>
        <v>1680</v>
      </c>
      <c r="AH12" s="49">
        <v>347039</v>
      </c>
      <c r="AI12" s="17">
        <f t="shared" si="17"/>
        <v>10170</v>
      </c>
      <c r="AK12" s="99">
        <f t="shared" si="18"/>
        <v>47955</v>
      </c>
      <c r="AL12" s="100">
        <f t="shared" si="19"/>
        <v>39655</v>
      </c>
    </row>
    <row r="13" spans="1:38" ht="39.950000000000003" customHeight="1">
      <c r="A13" s="147">
        <v>44383</v>
      </c>
      <c r="B13" s="16"/>
      <c r="C13" s="49">
        <v>132488</v>
      </c>
      <c r="D13" s="17">
        <f t="shared" si="2"/>
        <v>4110</v>
      </c>
      <c r="E13" s="49">
        <v>210016</v>
      </c>
      <c r="F13" s="17">
        <f t="shared" si="2"/>
        <v>7120</v>
      </c>
      <c r="G13" s="49">
        <v>24471</v>
      </c>
      <c r="H13" s="17">
        <f t="shared" ref="H13" si="31">(G13-G12)*10</f>
        <v>3800</v>
      </c>
      <c r="I13" s="17">
        <f t="shared" si="4"/>
        <v>1900</v>
      </c>
      <c r="J13" s="49">
        <v>187010</v>
      </c>
      <c r="K13" s="17">
        <f t="shared" ref="K13" si="32">(J13-J12)*10</f>
        <v>6380</v>
      </c>
      <c r="L13" s="49">
        <v>291235</v>
      </c>
      <c r="M13" s="17">
        <f t="shared" ref="M13" si="33">(L13-L12)*10</f>
        <v>10170</v>
      </c>
      <c r="N13" s="49">
        <v>915414</v>
      </c>
      <c r="O13" s="17">
        <f t="shared" si="0"/>
        <v>11240</v>
      </c>
      <c r="P13" s="17">
        <f t="shared" si="7"/>
        <v>5620</v>
      </c>
      <c r="Q13" s="49">
        <v>204898</v>
      </c>
      <c r="R13" s="17">
        <f t="shared" si="1"/>
        <v>10490</v>
      </c>
      <c r="S13" s="17">
        <f t="shared" si="8"/>
        <v>5245</v>
      </c>
      <c r="T13" s="49">
        <v>111319</v>
      </c>
      <c r="U13" s="17">
        <f t="shared" ref="U13" si="34">(T13-T12)*10</f>
        <v>6900</v>
      </c>
      <c r="V13" s="17">
        <f t="shared" si="10"/>
        <v>3450</v>
      </c>
      <c r="W13" s="49">
        <v>186318</v>
      </c>
      <c r="X13" s="17">
        <f t="shared" si="11"/>
        <v>9270</v>
      </c>
      <c r="Y13" s="17">
        <f t="shared" si="12"/>
        <v>4635</v>
      </c>
      <c r="Z13" s="49">
        <v>35358</v>
      </c>
      <c r="AA13" s="17">
        <f t="shared" si="13"/>
        <v>1060</v>
      </c>
      <c r="AB13" s="49">
        <v>71545</v>
      </c>
      <c r="AC13" s="17">
        <f t="shared" si="14"/>
        <v>2140</v>
      </c>
      <c r="AD13" s="49">
        <v>128173</v>
      </c>
      <c r="AE13" s="17">
        <f t="shared" si="15"/>
        <v>3810</v>
      </c>
      <c r="AF13" s="49">
        <v>68442</v>
      </c>
      <c r="AG13" s="17">
        <f t="shared" si="16"/>
        <v>1790</v>
      </c>
      <c r="AH13" s="49">
        <v>348125</v>
      </c>
      <c r="AI13" s="17">
        <f t="shared" si="17"/>
        <v>10860</v>
      </c>
      <c r="AK13" s="99">
        <f t="shared" si="18"/>
        <v>48630</v>
      </c>
      <c r="AL13" s="100">
        <f t="shared" si="19"/>
        <v>40510</v>
      </c>
    </row>
    <row r="14" spans="1:38" ht="39.950000000000003" customHeight="1">
      <c r="A14" s="147">
        <v>44384</v>
      </c>
      <c r="B14" s="16"/>
      <c r="C14" s="49">
        <v>132878</v>
      </c>
      <c r="D14" s="17">
        <f t="shared" si="2"/>
        <v>3900</v>
      </c>
      <c r="E14" s="49">
        <v>210682</v>
      </c>
      <c r="F14" s="17">
        <f t="shared" si="2"/>
        <v>6660</v>
      </c>
      <c r="G14" s="49">
        <v>24839</v>
      </c>
      <c r="H14" s="17">
        <f t="shared" ref="H14" si="35">(G14-G13)*10</f>
        <v>3680</v>
      </c>
      <c r="I14" s="17">
        <f t="shared" si="4"/>
        <v>1840</v>
      </c>
      <c r="J14" s="49">
        <v>187630</v>
      </c>
      <c r="K14" s="17">
        <f t="shared" ref="K14" si="36">(J14-J13)*10</f>
        <v>6200</v>
      </c>
      <c r="L14" s="49">
        <v>292207</v>
      </c>
      <c r="M14" s="17">
        <f t="shared" ref="M14" si="37">(L14-L13)*10</f>
        <v>9720</v>
      </c>
      <c r="N14" s="49">
        <v>916819</v>
      </c>
      <c r="O14" s="17">
        <f t="shared" si="0"/>
        <v>14050</v>
      </c>
      <c r="P14" s="17">
        <f t="shared" si="7"/>
        <v>7025</v>
      </c>
      <c r="Q14" s="49">
        <v>205910</v>
      </c>
      <c r="R14" s="17">
        <f t="shared" si="1"/>
        <v>10120</v>
      </c>
      <c r="S14" s="17">
        <f t="shared" si="8"/>
        <v>5060</v>
      </c>
      <c r="T14" s="49">
        <v>112067</v>
      </c>
      <c r="U14" s="17">
        <f t="shared" ref="U14" si="38">(T14-T13)*10</f>
        <v>7480</v>
      </c>
      <c r="V14" s="17">
        <f t="shared" si="10"/>
        <v>3740</v>
      </c>
      <c r="W14" s="49">
        <v>186670</v>
      </c>
      <c r="X14" s="17">
        <f t="shared" si="11"/>
        <v>3520</v>
      </c>
      <c r="Y14" s="17">
        <f t="shared" si="12"/>
        <v>1760</v>
      </c>
      <c r="Z14" s="49">
        <v>35467</v>
      </c>
      <c r="AA14" s="17">
        <f t="shared" si="13"/>
        <v>1090</v>
      </c>
      <c r="AB14" s="49">
        <v>71743</v>
      </c>
      <c r="AC14" s="17">
        <f t="shared" si="14"/>
        <v>1980</v>
      </c>
      <c r="AD14" s="49">
        <v>128532</v>
      </c>
      <c r="AE14" s="17">
        <f t="shared" si="15"/>
        <v>3590</v>
      </c>
      <c r="AF14" s="49">
        <v>68604</v>
      </c>
      <c r="AG14" s="17">
        <f t="shared" si="16"/>
        <v>1620</v>
      </c>
      <c r="AH14" s="49">
        <v>349179</v>
      </c>
      <c r="AI14" s="17">
        <f t="shared" si="17"/>
        <v>10540</v>
      </c>
      <c r="AK14" s="99">
        <f t="shared" si="18"/>
        <v>45905</v>
      </c>
      <c r="AL14" s="100">
        <f t="shared" si="19"/>
        <v>38245</v>
      </c>
    </row>
    <row r="15" spans="1:38" ht="39.950000000000003" customHeight="1">
      <c r="A15" s="147">
        <v>44385</v>
      </c>
      <c r="B15" s="16"/>
      <c r="C15" s="190">
        <v>133315</v>
      </c>
      <c r="D15" s="17">
        <f t="shared" si="2"/>
        <v>4370</v>
      </c>
      <c r="E15" s="190">
        <v>211406</v>
      </c>
      <c r="F15" s="17">
        <f t="shared" si="2"/>
        <v>7240</v>
      </c>
      <c r="G15" s="190">
        <v>25233</v>
      </c>
      <c r="H15" s="17">
        <f t="shared" ref="H15" si="39">(G15-G14)*10</f>
        <v>3940</v>
      </c>
      <c r="I15" s="17">
        <f t="shared" si="4"/>
        <v>1970</v>
      </c>
      <c r="J15" s="190">
        <v>188251</v>
      </c>
      <c r="K15" s="17">
        <f t="shared" ref="K15" si="40">(J15-J14)*10</f>
        <v>6210</v>
      </c>
      <c r="L15" s="190">
        <v>293213</v>
      </c>
      <c r="M15" s="17">
        <f t="shared" ref="M15" si="41">(L15-L14)*10</f>
        <v>10060</v>
      </c>
      <c r="N15" s="190">
        <v>918331</v>
      </c>
      <c r="O15" s="17">
        <f t="shared" si="0"/>
        <v>15120</v>
      </c>
      <c r="P15" s="17">
        <f t="shared" si="7"/>
        <v>7560</v>
      </c>
      <c r="Q15" s="190">
        <v>206896</v>
      </c>
      <c r="R15" s="17">
        <f t="shared" si="1"/>
        <v>9860</v>
      </c>
      <c r="S15" s="17">
        <f t="shared" si="8"/>
        <v>4930</v>
      </c>
      <c r="T15" s="190">
        <v>112787</v>
      </c>
      <c r="U15" s="17">
        <f t="shared" ref="U15" si="42">(T15-T14)*10</f>
        <v>7200</v>
      </c>
      <c r="V15" s="17">
        <f t="shared" si="10"/>
        <v>3600</v>
      </c>
      <c r="W15" s="190">
        <v>187255</v>
      </c>
      <c r="X15" s="17">
        <f t="shared" si="11"/>
        <v>5850</v>
      </c>
      <c r="Y15" s="17">
        <f t="shared" si="12"/>
        <v>2925</v>
      </c>
      <c r="Z15" s="190">
        <v>35583</v>
      </c>
      <c r="AA15" s="17">
        <f t="shared" si="13"/>
        <v>1160</v>
      </c>
      <c r="AB15" s="190">
        <v>71945</v>
      </c>
      <c r="AC15" s="17">
        <f t="shared" si="14"/>
        <v>2020</v>
      </c>
      <c r="AD15" s="190">
        <v>128903</v>
      </c>
      <c r="AE15" s="17">
        <f t="shared" si="15"/>
        <v>3710</v>
      </c>
      <c r="AF15" s="190">
        <v>68784</v>
      </c>
      <c r="AG15" s="17">
        <f t="shared" si="16"/>
        <v>1800</v>
      </c>
      <c r="AH15" s="190">
        <v>350301</v>
      </c>
      <c r="AI15" s="17">
        <f t="shared" si="17"/>
        <v>11220</v>
      </c>
      <c r="AK15" s="99">
        <f t="shared" si="18"/>
        <v>48865</v>
      </c>
      <c r="AL15" s="100">
        <f t="shared" si="19"/>
        <v>40895</v>
      </c>
    </row>
    <row r="16" spans="1:38" ht="39.950000000000003" customHeight="1">
      <c r="A16" s="147">
        <v>44386</v>
      </c>
      <c r="B16" s="16"/>
      <c r="C16" s="49">
        <v>133754</v>
      </c>
      <c r="D16" s="17">
        <f t="shared" si="2"/>
        <v>4390</v>
      </c>
      <c r="E16" s="49">
        <v>212102</v>
      </c>
      <c r="F16" s="17">
        <f t="shared" si="2"/>
        <v>6960</v>
      </c>
      <c r="G16" s="49">
        <v>25613</v>
      </c>
      <c r="H16" s="17">
        <f t="shared" ref="H16" si="43">(G16-G15)*10</f>
        <v>3800</v>
      </c>
      <c r="I16" s="17">
        <f t="shared" si="4"/>
        <v>1900</v>
      </c>
      <c r="J16" s="49">
        <v>188883</v>
      </c>
      <c r="K16" s="17">
        <f t="shared" ref="K16" si="44">(J16-J15)*10</f>
        <v>6320</v>
      </c>
      <c r="L16" s="49">
        <v>294232</v>
      </c>
      <c r="M16" s="17">
        <f t="shared" ref="M16" si="45">(L16-L15)*10</f>
        <v>10190</v>
      </c>
      <c r="N16" s="49">
        <v>919869</v>
      </c>
      <c r="O16" s="17">
        <f t="shared" si="0"/>
        <v>15380</v>
      </c>
      <c r="P16" s="17">
        <f t="shared" si="7"/>
        <v>7690</v>
      </c>
      <c r="Q16" s="49">
        <v>207936</v>
      </c>
      <c r="R16" s="17">
        <f t="shared" si="1"/>
        <v>10400</v>
      </c>
      <c r="S16" s="17">
        <f t="shared" si="8"/>
        <v>5200</v>
      </c>
      <c r="T16" s="49">
        <v>113586</v>
      </c>
      <c r="U16" s="17">
        <f t="shared" ref="U16" si="46">(T16-T15)*10</f>
        <v>7990</v>
      </c>
      <c r="V16" s="17">
        <f t="shared" si="10"/>
        <v>3995</v>
      </c>
      <c r="W16" s="49">
        <v>187625</v>
      </c>
      <c r="X16" s="17">
        <f t="shared" si="11"/>
        <v>3700</v>
      </c>
      <c r="Y16" s="17">
        <f t="shared" si="12"/>
        <v>1850</v>
      </c>
      <c r="Z16" s="49">
        <v>35693</v>
      </c>
      <c r="AA16" s="17">
        <f t="shared" si="13"/>
        <v>1100</v>
      </c>
      <c r="AB16" s="49">
        <v>72142</v>
      </c>
      <c r="AC16" s="17">
        <f t="shared" si="14"/>
        <v>1970</v>
      </c>
      <c r="AD16" s="49">
        <v>129272</v>
      </c>
      <c r="AE16" s="17">
        <f t="shared" si="15"/>
        <v>3690</v>
      </c>
      <c r="AF16" s="49">
        <v>68957</v>
      </c>
      <c r="AG16" s="17">
        <f t="shared" si="16"/>
        <v>1730</v>
      </c>
      <c r="AH16" s="49">
        <v>351432</v>
      </c>
      <c r="AI16" s="17">
        <f t="shared" si="17"/>
        <v>11310</v>
      </c>
      <c r="AK16" s="99">
        <f t="shared" si="18"/>
        <v>48495</v>
      </c>
      <c r="AL16" s="100">
        <f t="shared" si="19"/>
        <v>40435</v>
      </c>
    </row>
    <row r="17" spans="1:38" ht="39.950000000000003" customHeight="1">
      <c r="A17" s="147">
        <v>44387</v>
      </c>
      <c r="B17" s="16"/>
      <c r="C17" s="49">
        <v>134225</v>
      </c>
      <c r="D17" s="17">
        <f t="shared" si="2"/>
        <v>4710</v>
      </c>
      <c r="E17" s="49">
        <v>212831</v>
      </c>
      <c r="F17" s="17">
        <f t="shared" si="2"/>
        <v>7290</v>
      </c>
      <c r="G17" s="49">
        <v>26006</v>
      </c>
      <c r="H17" s="17">
        <f t="shared" ref="H17" si="47">(G17-G16)*10</f>
        <v>3930</v>
      </c>
      <c r="I17" s="17">
        <f t="shared" si="4"/>
        <v>1965</v>
      </c>
      <c r="J17" s="49">
        <v>189511</v>
      </c>
      <c r="K17" s="17">
        <f t="shared" ref="K17" si="48">(J17-J16)*10</f>
        <v>6280</v>
      </c>
      <c r="L17" s="49">
        <v>295233</v>
      </c>
      <c r="M17" s="17">
        <f t="shared" ref="M17" si="49">(L17-L16)*10</f>
        <v>10010</v>
      </c>
      <c r="N17" s="49">
        <v>921457</v>
      </c>
      <c r="O17" s="17">
        <f t="shared" si="0"/>
        <v>15880</v>
      </c>
      <c r="P17" s="17">
        <f t="shared" si="7"/>
        <v>7940</v>
      </c>
      <c r="Q17" s="49">
        <v>208937</v>
      </c>
      <c r="R17" s="17">
        <f t="shared" si="1"/>
        <v>10010</v>
      </c>
      <c r="S17" s="17">
        <f t="shared" si="8"/>
        <v>5005</v>
      </c>
      <c r="T17" s="49">
        <v>114295</v>
      </c>
      <c r="U17" s="17">
        <f t="shared" ref="U17" si="50">(T17-T16)*10</f>
        <v>7090</v>
      </c>
      <c r="V17" s="17">
        <f t="shared" si="10"/>
        <v>3545</v>
      </c>
      <c r="W17" s="49">
        <v>188168</v>
      </c>
      <c r="X17" s="17">
        <f t="shared" si="11"/>
        <v>5430</v>
      </c>
      <c r="Y17" s="17">
        <f t="shared" si="12"/>
        <v>2715</v>
      </c>
      <c r="Z17" s="49">
        <v>35812</v>
      </c>
      <c r="AA17" s="17">
        <f t="shared" si="13"/>
        <v>1190</v>
      </c>
      <c r="AB17" s="49">
        <v>72333</v>
      </c>
      <c r="AC17" s="17">
        <f t="shared" si="14"/>
        <v>1910</v>
      </c>
      <c r="AD17" s="49">
        <v>129639</v>
      </c>
      <c r="AE17" s="17">
        <f t="shared" si="15"/>
        <v>3670</v>
      </c>
      <c r="AF17" s="49">
        <v>69139</v>
      </c>
      <c r="AG17" s="17">
        <f t="shared" si="16"/>
        <v>1820</v>
      </c>
      <c r="AH17" s="49">
        <v>352600</v>
      </c>
      <c r="AI17" s="17">
        <f t="shared" si="17"/>
        <v>11680</v>
      </c>
      <c r="AK17" s="99">
        <f t="shared" si="18"/>
        <v>49460</v>
      </c>
      <c r="AL17" s="100">
        <f t="shared" si="19"/>
        <v>41440</v>
      </c>
    </row>
    <row r="18" spans="1:38" ht="39.950000000000003" customHeight="1">
      <c r="A18" s="147">
        <v>44388</v>
      </c>
      <c r="B18" s="16"/>
      <c r="C18" s="49">
        <v>134695</v>
      </c>
      <c r="D18" s="17">
        <f t="shared" si="2"/>
        <v>4700</v>
      </c>
      <c r="E18" s="49">
        <v>213533</v>
      </c>
      <c r="F18" s="17">
        <f t="shared" si="2"/>
        <v>7020</v>
      </c>
      <c r="G18" s="49">
        <v>26399</v>
      </c>
      <c r="H18" s="17">
        <f t="shared" ref="H18" si="51">(G18-G17)*10</f>
        <v>3930</v>
      </c>
      <c r="I18" s="17">
        <f t="shared" si="4"/>
        <v>1965</v>
      </c>
      <c r="J18" s="49">
        <v>190131</v>
      </c>
      <c r="K18" s="17">
        <f t="shared" ref="K18" si="52">(J18-J17)*10</f>
        <v>6200</v>
      </c>
      <c r="L18" s="49">
        <v>296214</v>
      </c>
      <c r="M18" s="17">
        <f t="shared" ref="M18" si="53">(L18-L17)*10</f>
        <v>9810</v>
      </c>
      <c r="N18" s="49">
        <v>923054</v>
      </c>
      <c r="O18" s="17">
        <f t="shared" si="0"/>
        <v>15970</v>
      </c>
      <c r="P18" s="17">
        <f t="shared" si="7"/>
        <v>7985</v>
      </c>
      <c r="Q18" s="49">
        <v>209963</v>
      </c>
      <c r="R18" s="17">
        <f t="shared" si="1"/>
        <v>10260</v>
      </c>
      <c r="S18" s="17">
        <f t="shared" si="8"/>
        <v>5130</v>
      </c>
      <c r="T18" s="49">
        <v>114893</v>
      </c>
      <c r="U18" s="17">
        <f t="shared" ref="U18" si="54">(T18-T17)*10</f>
        <v>5980</v>
      </c>
      <c r="V18" s="17">
        <f t="shared" si="10"/>
        <v>2990</v>
      </c>
      <c r="W18" s="49">
        <v>188753</v>
      </c>
      <c r="X18" s="17">
        <f t="shared" si="11"/>
        <v>5850</v>
      </c>
      <c r="Y18" s="17">
        <f t="shared" si="12"/>
        <v>2925</v>
      </c>
      <c r="Z18" s="49">
        <v>35927</v>
      </c>
      <c r="AA18" s="17">
        <f t="shared" si="13"/>
        <v>1150</v>
      </c>
      <c r="AB18" s="49">
        <v>72518</v>
      </c>
      <c r="AC18" s="17">
        <f t="shared" si="14"/>
        <v>1850</v>
      </c>
      <c r="AD18" s="49">
        <v>129994</v>
      </c>
      <c r="AE18" s="17">
        <f t="shared" si="15"/>
        <v>3550</v>
      </c>
      <c r="AF18" s="49">
        <v>69315</v>
      </c>
      <c r="AG18" s="17">
        <f t="shared" si="16"/>
        <v>1760</v>
      </c>
      <c r="AH18" s="49">
        <v>353749</v>
      </c>
      <c r="AI18" s="17">
        <f t="shared" si="17"/>
        <v>11490</v>
      </c>
      <c r="AK18" s="99">
        <f t="shared" si="18"/>
        <v>48725</v>
      </c>
      <c r="AL18" s="100">
        <f t="shared" si="19"/>
        <v>40795</v>
      </c>
    </row>
    <row r="19" spans="1:38" ht="39.950000000000003" customHeight="1">
      <c r="A19" s="147">
        <v>44389</v>
      </c>
      <c r="B19" s="16"/>
      <c r="C19" s="49">
        <v>135139</v>
      </c>
      <c r="D19" s="17">
        <f t="shared" si="2"/>
        <v>4440</v>
      </c>
      <c r="E19" s="49">
        <v>214229</v>
      </c>
      <c r="F19" s="17">
        <f t="shared" si="2"/>
        <v>6960</v>
      </c>
      <c r="G19" s="49">
        <v>26796</v>
      </c>
      <c r="H19" s="17">
        <f t="shared" ref="H19" si="55">(G19-G18)*10</f>
        <v>3970</v>
      </c>
      <c r="I19" s="17">
        <f t="shared" si="4"/>
        <v>1985</v>
      </c>
      <c r="J19" s="49">
        <v>190745</v>
      </c>
      <c r="K19" s="17">
        <f t="shared" ref="K19" si="56">(J19-J18)*10</f>
        <v>6140</v>
      </c>
      <c r="L19" s="49">
        <v>297227</v>
      </c>
      <c r="M19" s="17">
        <f t="shared" ref="M19" si="57">(L19-L18)*10</f>
        <v>10130</v>
      </c>
      <c r="N19" s="49">
        <v>924663</v>
      </c>
      <c r="O19" s="17">
        <f t="shared" si="0"/>
        <v>16090</v>
      </c>
      <c r="P19" s="17">
        <f t="shared" si="7"/>
        <v>8045</v>
      </c>
      <c r="Q19" s="49">
        <v>211029</v>
      </c>
      <c r="R19" s="17">
        <f t="shared" si="1"/>
        <v>10660</v>
      </c>
      <c r="S19" s="17">
        <f t="shared" si="8"/>
        <v>5330</v>
      </c>
      <c r="T19" s="49">
        <v>115334</v>
      </c>
      <c r="U19" s="17">
        <f t="shared" ref="U19" si="58">(T19-T18)*10</f>
        <v>4410</v>
      </c>
      <c r="V19" s="17">
        <f t="shared" si="10"/>
        <v>2205</v>
      </c>
      <c r="W19" s="49">
        <v>189483</v>
      </c>
      <c r="X19" s="17">
        <f t="shared" si="11"/>
        <v>7300</v>
      </c>
      <c r="Y19" s="17">
        <f t="shared" si="12"/>
        <v>3650</v>
      </c>
      <c r="Z19" s="49">
        <v>36032</v>
      </c>
      <c r="AA19" s="17">
        <f t="shared" si="13"/>
        <v>1050</v>
      </c>
      <c r="AB19" s="49">
        <v>72721</v>
      </c>
      <c r="AC19" s="17">
        <f t="shared" si="14"/>
        <v>2030</v>
      </c>
      <c r="AD19" s="49">
        <v>130369</v>
      </c>
      <c r="AE19" s="17">
        <f t="shared" si="15"/>
        <v>3750</v>
      </c>
      <c r="AF19" s="49">
        <v>69495</v>
      </c>
      <c r="AG19" s="17">
        <f t="shared" si="16"/>
        <v>1800</v>
      </c>
      <c r="AH19" s="49">
        <v>354914</v>
      </c>
      <c r="AI19" s="17">
        <f t="shared" si="17"/>
        <v>11650</v>
      </c>
      <c r="AK19" s="99">
        <f t="shared" si="18"/>
        <v>48885</v>
      </c>
      <c r="AL19" s="100">
        <f t="shared" si="19"/>
        <v>41495</v>
      </c>
    </row>
    <row r="20" spans="1:38" ht="39.950000000000003" customHeight="1">
      <c r="A20" s="147">
        <v>44390</v>
      </c>
      <c r="B20" s="16"/>
      <c r="C20" s="49">
        <v>135571</v>
      </c>
      <c r="D20" s="17">
        <f t="shared" si="2"/>
        <v>4320</v>
      </c>
      <c r="E20" s="49">
        <v>214923</v>
      </c>
      <c r="F20" s="17">
        <f t="shared" si="2"/>
        <v>6940</v>
      </c>
      <c r="G20" s="49">
        <v>27193</v>
      </c>
      <c r="H20" s="17">
        <f t="shared" ref="H20" si="59">(G20-G19)*10</f>
        <v>3970</v>
      </c>
      <c r="I20" s="17">
        <f t="shared" si="4"/>
        <v>1985</v>
      </c>
      <c r="J20" s="49">
        <v>191370</v>
      </c>
      <c r="K20" s="17">
        <f t="shared" ref="K20" si="60">(J20-J19)*10</f>
        <v>6250</v>
      </c>
      <c r="L20" s="49">
        <v>298232</v>
      </c>
      <c r="M20" s="17">
        <f t="shared" ref="M20" si="61">(L20-L19)*10</f>
        <v>10050</v>
      </c>
      <c r="N20" s="49">
        <v>926274</v>
      </c>
      <c r="O20" s="17">
        <f t="shared" si="0"/>
        <v>16110</v>
      </c>
      <c r="P20" s="17">
        <f t="shared" si="7"/>
        <v>8055</v>
      </c>
      <c r="Q20" s="49">
        <v>212101</v>
      </c>
      <c r="R20" s="17">
        <f t="shared" si="1"/>
        <v>10720</v>
      </c>
      <c r="S20" s="17">
        <f t="shared" si="8"/>
        <v>5360</v>
      </c>
      <c r="T20" s="49">
        <v>115874</v>
      </c>
      <c r="U20" s="17">
        <f t="shared" ref="U20" si="62">(T20-T19)*10</f>
        <v>5400</v>
      </c>
      <c r="V20" s="17">
        <f t="shared" si="10"/>
        <v>2700</v>
      </c>
      <c r="W20" s="49">
        <v>190075</v>
      </c>
      <c r="X20" s="17">
        <f t="shared" si="11"/>
        <v>5920</v>
      </c>
      <c r="Y20" s="17">
        <f t="shared" si="12"/>
        <v>2960</v>
      </c>
      <c r="Z20" s="49">
        <v>36152</v>
      </c>
      <c r="AA20" s="17">
        <f t="shared" si="13"/>
        <v>1200</v>
      </c>
      <c r="AB20" s="49">
        <v>72924</v>
      </c>
      <c r="AC20" s="17">
        <f t="shared" si="14"/>
        <v>2030</v>
      </c>
      <c r="AD20" s="49">
        <v>130749</v>
      </c>
      <c r="AE20" s="17">
        <f t="shared" si="15"/>
        <v>3800</v>
      </c>
      <c r="AF20" s="49">
        <v>69675</v>
      </c>
      <c r="AG20" s="17">
        <f t="shared" si="16"/>
        <v>1800</v>
      </c>
      <c r="AH20" s="49">
        <v>356086</v>
      </c>
      <c r="AI20" s="17">
        <f t="shared" si="17"/>
        <v>11720</v>
      </c>
      <c r="AK20" s="99">
        <f t="shared" si="18"/>
        <v>48620</v>
      </c>
      <c r="AL20" s="100">
        <f t="shared" si="19"/>
        <v>41610</v>
      </c>
    </row>
    <row r="21" spans="1:38" ht="39.950000000000003" customHeight="1">
      <c r="A21" s="147">
        <v>44391</v>
      </c>
      <c r="B21" s="16"/>
      <c r="C21" s="49">
        <v>136014</v>
      </c>
      <c r="D21" s="17">
        <f t="shared" si="2"/>
        <v>4430</v>
      </c>
      <c r="E21" s="49">
        <v>215623</v>
      </c>
      <c r="F21" s="17">
        <f t="shared" si="2"/>
        <v>7000</v>
      </c>
      <c r="G21" s="49">
        <v>27596</v>
      </c>
      <c r="H21" s="17">
        <f t="shared" ref="H21" si="63">(G21-G20)*10</f>
        <v>4030</v>
      </c>
      <c r="I21" s="17">
        <f t="shared" si="4"/>
        <v>2015</v>
      </c>
      <c r="J21" s="49">
        <v>192019</v>
      </c>
      <c r="K21" s="17">
        <f t="shared" ref="K21" si="64">(J21-J20)*10</f>
        <v>6490</v>
      </c>
      <c r="L21" s="49">
        <v>299243</v>
      </c>
      <c r="M21" s="17">
        <f t="shared" ref="M21" si="65">(L21-L20)*10</f>
        <v>10110</v>
      </c>
      <c r="N21" s="49">
        <v>927869</v>
      </c>
      <c r="O21" s="17">
        <f t="shared" si="0"/>
        <v>15950</v>
      </c>
      <c r="P21" s="17">
        <f t="shared" si="7"/>
        <v>7975</v>
      </c>
      <c r="Q21" s="49">
        <v>213152</v>
      </c>
      <c r="R21" s="17">
        <f t="shared" si="1"/>
        <v>10510</v>
      </c>
      <c r="S21" s="17">
        <f t="shared" si="8"/>
        <v>5255</v>
      </c>
      <c r="T21" s="49">
        <v>116656</v>
      </c>
      <c r="U21" s="17">
        <f t="shared" ref="U21" si="66">(T21-T20)*10</f>
        <v>7820</v>
      </c>
      <c r="V21" s="17">
        <f t="shared" si="10"/>
        <v>3910</v>
      </c>
      <c r="W21" s="49">
        <v>190561</v>
      </c>
      <c r="X21" s="17">
        <f t="shared" si="11"/>
        <v>4860</v>
      </c>
      <c r="Y21" s="17">
        <f t="shared" si="12"/>
        <v>2430</v>
      </c>
      <c r="Z21" s="49">
        <v>36261</v>
      </c>
      <c r="AA21" s="17">
        <f t="shared" si="13"/>
        <v>1090</v>
      </c>
      <c r="AB21" s="49">
        <v>73128</v>
      </c>
      <c r="AC21" s="17">
        <f t="shared" si="14"/>
        <v>2040</v>
      </c>
      <c r="AD21" s="49">
        <v>131131</v>
      </c>
      <c r="AE21" s="17">
        <f t="shared" si="15"/>
        <v>3820</v>
      </c>
      <c r="AF21" s="49">
        <v>69851</v>
      </c>
      <c r="AG21" s="17">
        <f t="shared" si="16"/>
        <v>1760</v>
      </c>
      <c r="AH21" s="49">
        <v>357252</v>
      </c>
      <c r="AI21" s="17">
        <f t="shared" si="17"/>
        <v>11660</v>
      </c>
      <c r="AK21" s="99">
        <f t="shared" si="18"/>
        <v>49615</v>
      </c>
      <c r="AL21" s="100">
        <f t="shared" si="19"/>
        <v>41955</v>
      </c>
    </row>
    <row r="22" spans="1:38" ht="39.950000000000003" customHeight="1">
      <c r="A22" s="147">
        <v>44392</v>
      </c>
      <c r="B22" s="16"/>
      <c r="C22" s="49">
        <v>136455</v>
      </c>
      <c r="D22" s="17">
        <f t="shared" si="2"/>
        <v>4410</v>
      </c>
      <c r="E22" s="49">
        <v>216308</v>
      </c>
      <c r="F22" s="17">
        <f t="shared" si="2"/>
        <v>6850</v>
      </c>
      <c r="G22" s="49">
        <v>27994</v>
      </c>
      <c r="H22" s="17">
        <f t="shared" ref="H22" si="67">(G22-G21)*10</f>
        <v>3980</v>
      </c>
      <c r="I22" s="17">
        <f t="shared" si="4"/>
        <v>1990</v>
      </c>
      <c r="J22" s="49">
        <v>192625</v>
      </c>
      <c r="K22" s="17">
        <f t="shared" ref="K22" si="68">(J22-J21)*10</f>
        <v>6060</v>
      </c>
      <c r="L22" s="49">
        <v>300240</v>
      </c>
      <c r="M22" s="17">
        <f t="shared" ref="M22" si="69">(L22-L21)*10</f>
        <v>9970</v>
      </c>
      <c r="N22" s="49">
        <v>929470</v>
      </c>
      <c r="O22" s="17">
        <f t="shared" si="0"/>
        <v>16010</v>
      </c>
      <c r="P22" s="17">
        <f t="shared" si="7"/>
        <v>8005</v>
      </c>
      <c r="Q22" s="49">
        <v>214185</v>
      </c>
      <c r="R22" s="17">
        <f t="shared" si="1"/>
        <v>10330</v>
      </c>
      <c r="S22" s="17">
        <f t="shared" si="8"/>
        <v>5165</v>
      </c>
      <c r="T22" s="49">
        <v>117222</v>
      </c>
      <c r="U22" s="17">
        <f t="shared" ref="U22" si="70">(T22-T21)*10</f>
        <v>5660</v>
      </c>
      <c r="V22" s="17">
        <f t="shared" si="10"/>
        <v>2830</v>
      </c>
      <c r="W22" s="49">
        <v>191239</v>
      </c>
      <c r="X22" s="17">
        <f t="shared" si="11"/>
        <v>6780</v>
      </c>
      <c r="Y22" s="17">
        <f t="shared" si="12"/>
        <v>3390</v>
      </c>
      <c r="Z22" s="49">
        <v>36373</v>
      </c>
      <c r="AA22" s="17">
        <f t="shared" si="13"/>
        <v>1120</v>
      </c>
      <c r="AB22" s="49">
        <v>73331</v>
      </c>
      <c r="AC22" s="17">
        <f t="shared" si="14"/>
        <v>2030</v>
      </c>
      <c r="AD22" s="49">
        <v>131508</v>
      </c>
      <c r="AE22" s="17">
        <f t="shared" si="15"/>
        <v>3770</v>
      </c>
      <c r="AF22" s="49">
        <v>70029</v>
      </c>
      <c r="AG22" s="17">
        <f t="shared" si="16"/>
        <v>1780</v>
      </c>
      <c r="AH22" s="49">
        <v>358419</v>
      </c>
      <c r="AI22" s="17">
        <f t="shared" si="17"/>
        <v>11670</v>
      </c>
      <c r="AK22" s="99">
        <f t="shared" si="18"/>
        <v>48670</v>
      </c>
      <c r="AL22" s="100">
        <f t="shared" si="19"/>
        <v>41750</v>
      </c>
    </row>
    <row r="23" spans="1:38" ht="39.950000000000003" customHeight="1">
      <c r="A23" s="147">
        <v>44393</v>
      </c>
      <c r="B23" s="16"/>
      <c r="C23" s="49">
        <v>136890</v>
      </c>
      <c r="D23" s="17">
        <f t="shared" si="2"/>
        <v>4350</v>
      </c>
      <c r="E23" s="49">
        <v>216992</v>
      </c>
      <c r="F23" s="17">
        <f t="shared" si="2"/>
        <v>6840</v>
      </c>
      <c r="G23" s="49">
        <v>28384</v>
      </c>
      <c r="H23" s="17">
        <f t="shared" ref="H23" si="71">(G23-G22)*10</f>
        <v>3900</v>
      </c>
      <c r="I23" s="17">
        <f t="shared" si="4"/>
        <v>1950</v>
      </c>
      <c r="J23" s="49">
        <v>193245</v>
      </c>
      <c r="K23" s="17">
        <f t="shared" ref="K23" si="72">(J23-J22)*10</f>
        <v>6200</v>
      </c>
      <c r="L23" s="49">
        <v>301263</v>
      </c>
      <c r="M23" s="17">
        <f t="shared" ref="M23" si="73">(L23-L22)*10</f>
        <v>10230</v>
      </c>
      <c r="N23" s="49">
        <v>931080</v>
      </c>
      <c r="O23" s="17">
        <f t="shared" si="0"/>
        <v>16100</v>
      </c>
      <c r="P23" s="17">
        <f t="shared" si="7"/>
        <v>8050</v>
      </c>
      <c r="Q23" s="49">
        <v>215223</v>
      </c>
      <c r="R23" s="17">
        <f t="shared" si="1"/>
        <v>10380</v>
      </c>
      <c r="S23" s="17">
        <f t="shared" si="8"/>
        <v>5190</v>
      </c>
      <c r="T23" s="49">
        <v>117860</v>
      </c>
      <c r="U23" s="17">
        <f t="shared" ref="U23" si="74">(T23-T22)*10</f>
        <v>6380</v>
      </c>
      <c r="V23" s="17">
        <f t="shared" si="10"/>
        <v>3190</v>
      </c>
      <c r="W23" s="49">
        <v>191747</v>
      </c>
      <c r="X23" s="17">
        <f t="shared" si="11"/>
        <v>5080</v>
      </c>
      <c r="Y23" s="17">
        <f t="shared" si="12"/>
        <v>2540</v>
      </c>
      <c r="Z23" s="49">
        <v>36491</v>
      </c>
      <c r="AA23" s="17">
        <f t="shared" si="13"/>
        <v>1180</v>
      </c>
      <c r="AB23" s="49">
        <v>73537</v>
      </c>
      <c r="AC23" s="17">
        <f t="shared" si="14"/>
        <v>2060</v>
      </c>
      <c r="AD23" s="49">
        <v>131888</v>
      </c>
      <c r="AE23" s="17">
        <f t="shared" si="15"/>
        <v>3800</v>
      </c>
      <c r="AF23" s="49">
        <v>70207</v>
      </c>
      <c r="AG23" s="17">
        <f t="shared" si="16"/>
        <v>1780</v>
      </c>
      <c r="AH23" s="49">
        <v>359572</v>
      </c>
      <c r="AI23" s="17">
        <f t="shared" si="17"/>
        <v>11530</v>
      </c>
      <c r="AK23" s="99">
        <f t="shared" si="18"/>
        <v>48540</v>
      </c>
      <c r="AL23" s="100">
        <f t="shared" si="19"/>
        <v>41270</v>
      </c>
    </row>
    <row r="24" spans="1:38" ht="39.950000000000003" customHeight="1">
      <c r="A24" s="147">
        <v>44394</v>
      </c>
      <c r="B24" s="16"/>
      <c r="C24" s="49">
        <v>137320</v>
      </c>
      <c r="D24" s="17">
        <f t="shared" si="2"/>
        <v>4300</v>
      </c>
      <c r="E24" s="49">
        <v>217694</v>
      </c>
      <c r="F24" s="17">
        <f t="shared" si="2"/>
        <v>7020</v>
      </c>
      <c r="G24" s="49">
        <v>28766</v>
      </c>
      <c r="H24" s="17">
        <f t="shared" ref="H24" si="75">(G24-G23)*10</f>
        <v>3820</v>
      </c>
      <c r="I24" s="17">
        <f t="shared" si="4"/>
        <v>1910</v>
      </c>
      <c r="J24" s="49">
        <v>193867</v>
      </c>
      <c r="K24" s="17">
        <f t="shared" ref="K24:K38" si="76">(J24-J23)*10</f>
        <v>6220</v>
      </c>
      <c r="L24" s="49">
        <v>302305</v>
      </c>
      <c r="M24" s="17">
        <f t="shared" ref="M24:M38" si="77">(L24-L23)*10</f>
        <v>10420</v>
      </c>
      <c r="N24" s="49">
        <v>932621</v>
      </c>
      <c r="O24" s="17">
        <f t="shared" si="0"/>
        <v>15410</v>
      </c>
      <c r="P24" s="17">
        <f t="shared" si="7"/>
        <v>7705</v>
      </c>
      <c r="Q24" s="49">
        <v>216203</v>
      </c>
      <c r="R24" s="17">
        <f t="shared" si="1"/>
        <v>9800</v>
      </c>
      <c r="S24" s="17">
        <f t="shared" si="8"/>
        <v>4900</v>
      </c>
      <c r="T24" s="49">
        <v>118380</v>
      </c>
      <c r="U24" s="17">
        <f t="shared" ref="U24" si="78">(T24-T23)*10</f>
        <v>5200</v>
      </c>
      <c r="V24" s="17">
        <f t="shared" si="10"/>
        <v>2600</v>
      </c>
      <c r="W24" s="49">
        <v>192363</v>
      </c>
      <c r="X24" s="17">
        <f t="shared" si="11"/>
        <v>6160</v>
      </c>
      <c r="Y24" s="17">
        <f t="shared" si="12"/>
        <v>3080</v>
      </c>
      <c r="Z24" s="49">
        <v>36605</v>
      </c>
      <c r="AA24" s="17">
        <f t="shared" si="13"/>
        <v>1140</v>
      </c>
      <c r="AB24" s="49">
        <v>73740</v>
      </c>
      <c r="AC24" s="17">
        <f t="shared" si="14"/>
        <v>2030</v>
      </c>
      <c r="AD24" s="49">
        <v>132254</v>
      </c>
      <c r="AE24" s="17">
        <f t="shared" si="15"/>
        <v>3660</v>
      </c>
      <c r="AF24" s="49">
        <v>70382</v>
      </c>
      <c r="AG24" s="17">
        <f t="shared" si="16"/>
        <v>1750</v>
      </c>
      <c r="AH24" s="49">
        <v>360725</v>
      </c>
      <c r="AI24" s="17">
        <f t="shared" si="17"/>
        <v>11530</v>
      </c>
      <c r="AK24" s="99">
        <f t="shared" si="18"/>
        <v>48155</v>
      </c>
      <c r="AL24" s="100">
        <f t="shared" si="19"/>
        <v>40305</v>
      </c>
    </row>
    <row r="25" spans="1:38" ht="39.950000000000003" customHeight="1">
      <c r="A25" s="147">
        <v>44395</v>
      </c>
      <c r="B25" s="16"/>
      <c r="C25" s="49">
        <v>137726</v>
      </c>
      <c r="D25" s="17">
        <f t="shared" si="2"/>
        <v>4060</v>
      </c>
      <c r="E25" s="49">
        <v>218355</v>
      </c>
      <c r="F25" s="17">
        <f t="shared" si="2"/>
        <v>6610</v>
      </c>
      <c r="G25" s="49">
        <v>29135</v>
      </c>
      <c r="H25" s="17">
        <f t="shared" ref="H25:H35" si="79">(G25-G24)*10</f>
        <v>3690</v>
      </c>
      <c r="I25" s="17">
        <f t="shared" ref="I25:I35" si="80">H25*50%</f>
        <v>1845</v>
      </c>
      <c r="J25" s="49">
        <v>194495</v>
      </c>
      <c r="K25" s="17">
        <f t="shared" si="76"/>
        <v>6280</v>
      </c>
      <c r="L25" s="49">
        <v>303346</v>
      </c>
      <c r="M25" s="17">
        <f t="shared" si="77"/>
        <v>10410</v>
      </c>
      <c r="N25" s="49">
        <v>934145</v>
      </c>
      <c r="O25" s="17">
        <f t="shared" ref="O25:O35" si="81">(N25-N24)*10</f>
        <v>15240</v>
      </c>
      <c r="P25" s="17">
        <f t="shared" ref="P25:P35" si="82">O25*50%</f>
        <v>7620</v>
      </c>
      <c r="Q25" s="49">
        <v>217221</v>
      </c>
      <c r="R25" s="17">
        <f t="shared" ref="R25:R35" si="83">(Q25-Q24)*10</f>
        <v>10180</v>
      </c>
      <c r="S25" s="17">
        <f t="shared" ref="S25:S35" si="84">R25*50%</f>
        <v>5090</v>
      </c>
      <c r="T25" s="49">
        <v>119101</v>
      </c>
      <c r="U25" s="17">
        <f t="shared" ref="U25:U35" si="85">(T25-T24)*10</f>
        <v>7210</v>
      </c>
      <c r="V25" s="17">
        <f t="shared" ref="V25:V35" si="86">U25*50%</f>
        <v>3605</v>
      </c>
      <c r="W25" s="49">
        <v>192440</v>
      </c>
      <c r="X25" s="17">
        <f t="shared" si="11"/>
        <v>770</v>
      </c>
      <c r="Y25" s="17">
        <f t="shared" ref="Y25:Y35" si="87">X25*50%</f>
        <v>385</v>
      </c>
      <c r="Z25" s="49">
        <v>36713</v>
      </c>
      <c r="AA25" s="17">
        <f t="shared" si="13"/>
        <v>1080</v>
      </c>
      <c r="AB25" s="49">
        <v>73940</v>
      </c>
      <c r="AC25" s="17">
        <f t="shared" si="14"/>
        <v>2000</v>
      </c>
      <c r="AD25" s="49">
        <v>132610</v>
      </c>
      <c r="AE25" s="17">
        <f t="shared" si="15"/>
        <v>3560</v>
      </c>
      <c r="AF25" s="49">
        <v>70568</v>
      </c>
      <c r="AG25" s="17">
        <f t="shared" si="16"/>
        <v>1860</v>
      </c>
      <c r="AH25" s="49">
        <v>361850</v>
      </c>
      <c r="AI25" s="17">
        <f t="shared" si="17"/>
        <v>11250</v>
      </c>
      <c r="AK25" s="99">
        <f t="shared" ref="AK25:AK35" si="88">SUM(D25,F25,I25,K25,M25,P25,S25,V25,Y25)</f>
        <v>45905</v>
      </c>
      <c r="AL25" s="100">
        <f t="shared" si="19"/>
        <v>38295</v>
      </c>
    </row>
    <row r="26" spans="1:38" ht="39.950000000000003" customHeight="1">
      <c r="A26" s="147">
        <v>44396</v>
      </c>
      <c r="B26" s="16"/>
      <c r="C26" s="49">
        <v>138145</v>
      </c>
      <c r="D26" s="17">
        <f t="shared" ref="D26:D38" si="89">(C26-C25)*10</f>
        <v>4190</v>
      </c>
      <c r="E26" s="49">
        <v>219052</v>
      </c>
      <c r="F26" s="17">
        <f t="shared" ref="F26:F38" si="90">(E26-E25)*10</f>
        <v>6970</v>
      </c>
      <c r="G26" s="49">
        <v>29507</v>
      </c>
      <c r="H26" s="17">
        <f t="shared" si="79"/>
        <v>3720</v>
      </c>
      <c r="I26" s="17">
        <f t="shared" si="80"/>
        <v>1860</v>
      </c>
      <c r="J26" s="49">
        <v>195122</v>
      </c>
      <c r="K26" s="17">
        <f t="shared" si="76"/>
        <v>6270</v>
      </c>
      <c r="L26" s="49">
        <v>304360</v>
      </c>
      <c r="M26" s="17">
        <f t="shared" si="77"/>
        <v>10140</v>
      </c>
      <c r="N26" s="49">
        <v>935696</v>
      </c>
      <c r="O26" s="17">
        <f t="shared" si="81"/>
        <v>15510</v>
      </c>
      <c r="P26" s="17">
        <f t="shared" si="82"/>
        <v>7755</v>
      </c>
      <c r="Q26" s="49">
        <v>218257</v>
      </c>
      <c r="R26" s="17">
        <f t="shared" si="83"/>
        <v>10360</v>
      </c>
      <c r="S26" s="17">
        <f t="shared" si="84"/>
        <v>5180</v>
      </c>
      <c r="T26" s="49">
        <v>119734</v>
      </c>
      <c r="U26" s="17">
        <f t="shared" si="85"/>
        <v>6330</v>
      </c>
      <c r="V26" s="17">
        <f t="shared" si="86"/>
        <v>3165</v>
      </c>
      <c r="W26" s="49">
        <v>192482</v>
      </c>
      <c r="X26" s="17">
        <f t="shared" si="11"/>
        <v>420</v>
      </c>
      <c r="Y26" s="17">
        <f t="shared" si="87"/>
        <v>210</v>
      </c>
      <c r="Z26" s="49">
        <v>36821</v>
      </c>
      <c r="AA26" s="17">
        <f t="shared" si="13"/>
        <v>1080</v>
      </c>
      <c r="AB26" s="49">
        <v>74152</v>
      </c>
      <c r="AC26" s="17">
        <f t="shared" si="14"/>
        <v>2120</v>
      </c>
      <c r="AD26" s="49">
        <v>132982</v>
      </c>
      <c r="AE26" s="17">
        <f t="shared" si="15"/>
        <v>3720</v>
      </c>
      <c r="AF26" s="49">
        <v>70754</v>
      </c>
      <c r="AG26" s="17">
        <f t="shared" si="16"/>
        <v>1860</v>
      </c>
      <c r="AH26" s="49">
        <v>362966</v>
      </c>
      <c r="AI26" s="17">
        <f t="shared" si="17"/>
        <v>11160</v>
      </c>
      <c r="AK26" s="99">
        <f t="shared" si="88"/>
        <v>45740</v>
      </c>
      <c r="AL26" s="100">
        <f t="shared" si="19"/>
        <v>38110</v>
      </c>
    </row>
    <row r="27" spans="1:38" ht="39.950000000000003" customHeight="1">
      <c r="A27" s="147">
        <v>44397</v>
      </c>
      <c r="B27" s="16"/>
      <c r="C27" s="49">
        <v>138555</v>
      </c>
      <c r="D27" s="17">
        <f t="shared" si="89"/>
        <v>4100</v>
      </c>
      <c r="E27" s="49">
        <v>219734</v>
      </c>
      <c r="F27" s="17">
        <f t="shared" si="90"/>
        <v>6820</v>
      </c>
      <c r="G27" s="49">
        <v>29855</v>
      </c>
      <c r="H27" s="17">
        <f t="shared" si="79"/>
        <v>3480</v>
      </c>
      <c r="I27" s="17">
        <f t="shared" si="80"/>
        <v>1740</v>
      </c>
      <c r="J27" s="49">
        <v>195721</v>
      </c>
      <c r="K27" s="17">
        <f t="shared" si="76"/>
        <v>5990</v>
      </c>
      <c r="L27" s="49">
        <v>305360</v>
      </c>
      <c r="M27" s="17">
        <f t="shared" si="77"/>
        <v>10000</v>
      </c>
      <c r="N27" s="49">
        <v>937226</v>
      </c>
      <c r="O27" s="17">
        <f t="shared" si="81"/>
        <v>15300</v>
      </c>
      <c r="P27" s="17">
        <f t="shared" si="82"/>
        <v>7650</v>
      </c>
      <c r="Q27" s="49">
        <v>219179</v>
      </c>
      <c r="R27" s="17">
        <f t="shared" si="83"/>
        <v>9220</v>
      </c>
      <c r="S27" s="17">
        <f t="shared" si="84"/>
        <v>4610</v>
      </c>
      <c r="T27" s="49">
        <v>119737</v>
      </c>
      <c r="U27" s="17">
        <f t="shared" si="85"/>
        <v>30</v>
      </c>
      <c r="V27" s="17">
        <f t="shared" si="86"/>
        <v>15</v>
      </c>
      <c r="W27" s="49">
        <v>193179</v>
      </c>
      <c r="X27" s="17">
        <f t="shared" si="11"/>
        <v>6970</v>
      </c>
      <c r="Y27" s="17">
        <f t="shared" si="87"/>
        <v>3485</v>
      </c>
      <c r="Z27" s="49">
        <v>36931</v>
      </c>
      <c r="AA27" s="17">
        <f t="shared" si="13"/>
        <v>1100</v>
      </c>
      <c r="AB27" s="49">
        <v>74363</v>
      </c>
      <c r="AC27" s="17">
        <f t="shared" si="14"/>
        <v>2110</v>
      </c>
      <c r="AD27" s="49">
        <v>133343</v>
      </c>
      <c r="AE27" s="17">
        <f t="shared" si="15"/>
        <v>3610</v>
      </c>
      <c r="AF27" s="49">
        <v>70941</v>
      </c>
      <c r="AG27" s="17">
        <f t="shared" si="16"/>
        <v>1870</v>
      </c>
      <c r="AH27" s="49">
        <v>364029</v>
      </c>
      <c r="AI27" s="17">
        <f t="shared" si="17"/>
        <v>10630</v>
      </c>
      <c r="AK27" s="99">
        <f t="shared" si="88"/>
        <v>44410</v>
      </c>
      <c r="AL27" s="100">
        <f t="shared" si="19"/>
        <v>36820</v>
      </c>
    </row>
    <row r="28" spans="1:38" ht="39.950000000000003" customHeight="1">
      <c r="A28" s="147">
        <v>44398</v>
      </c>
      <c r="B28" s="16"/>
      <c r="C28" s="49">
        <v>138966</v>
      </c>
      <c r="D28" s="17">
        <f t="shared" si="89"/>
        <v>4110</v>
      </c>
      <c r="E28" s="49">
        <v>220438</v>
      </c>
      <c r="F28" s="17">
        <f t="shared" si="90"/>
        <v>7040</v>
      </c>
      <c r="G28" s="49">
        <v>30236</v>
      </c>
      <c r="H28" s="17">
        <f t="shared" si="79"/>
        <v>3810</v>
      </c>
      <c r="I28" s="17">
        <f t="shared" si="80"/>
        <v>1905</v>
      </c>
      <c r="J28" s="49">
        <v>196319</v>
      </c>
      <c r="K28" s="17">
        <f t="shared" si="76"/>
        <v>5980</v>
      </c>
      <c r="L28" s="49">
        <v>306373</v>
      </c>
      <c r="M28" s="17">
        <f t="shared" si="77"/>
        <v>10130</v>
      </c>
      <c r="N28" s="49">
        <v>938837</v>
      </c>
      <c r="O28" s="17">
        <f t="shared" si="81"/>
        <v>16110</v>
      </c>
      <c r="P28" s="17">
        <f t="shared" si="82"/>
        <v>8055</v>
      </c>
      <c r="Q28" s="49">
        <v>220165</v>
      </c>
      <c r="R28" s="17">
        <f t="shared" si="83"/>
        <v>9860</v>
      </c>
      <c r="S28" s="17">
        <f t="shared" si="84"/>
        <v>4930</v>
      </c>
      <c r="T28" s="49">
        <v>119739</v>
      </c>
      <c r="U28" s="17">
        <f t="shared" si="85"/>
        <v>20</v>
      </c>
      <c r="V28" s="17">
        <f t="shared" si="86"/>
        <v>10</v>
      </c>
      <c r="W28" s="49">
        <v>193907</v>
      </c>
      <c r="X28" s="17">
        <f t="shared" si="11"/>
        <v>7280</v>
      </c>
      <c r="Y28" s="17">
        <f t="shared" si="87"/>
        <v>3640</v>
      </c>
      <c r="Z28" s="49">
        <v>37036</v>
      </c>
      <c r="AA28" s="17">
        <f t="shared" si="13"/>
        <v>1050</v>
      </c>
      <c r="AB28" s="49">
        <v>74577</v>
      </c>
      <c r="AC28" s="17">
        <f t="shared" si="14"/>
        <v>2140</v>
      </c>
      <c r="AD28" s="49">
        <v>133708</v>
      </c>
      <c r="AE28" s="17">
        <f t="shared" si="15"/>
        <v>3650</v>
      </c>
      <c r="AF28" s="49">
        <v>71122</v>
      </c>
      <c r="AG28" s="17">
        <f t="shared" si="16"/>
        <v>1810</v>
      </c>
      <c r="AH28" s="49">
        <v>365106</v>
      </c>
      <c r="AI28" s="17">
        <f t="shared" si="17"/>
        <v>10770</v>
      </c>
      <c r="AK28" s="99">
        <f t="shared" si="88"/>
        <v>45800</v>
      </c>
      <c r="AL28" s="100">
        <f t="shared" si="19"/>
        <v>37960</v>
      </c>
    </row>
    <row r="29" spans="1:38" ht="39.950000000000003" customHeight="1">
      <c r="A29" s="147">
        <v>44399</v>
      </c>
      <c r="B29" s="16"/>
      <c r="C29" s="49">
        <v>139368</v>
      </c>
      <c r="D29" s="17">
        <f t="shared" si="89"/>
        <v>4020</v>
      </c>
      <c r="E29" s="49">
        <v>221074</v>
      </c>
      <c r="F29" s="17">
        <f t="shared" si="90"/>
        <v>6360</v>
      </c>
      <c r="G29" s="49">
        <v>30601</v>
      </c>
      <c r="H29" s="17">
        <f t="shared" si="79"/>
        <v>3650</v>
      </c>
      <c r="I29" s="17">
        <f t="shared" si="80"/>
        <v>1825</v>
      </c>
      <c r="J29" s="49">
        <v>196943</v>
      </c>
      <c r="K29" s="17">
        <f t="shared" si="76"/>
        <v>6240</v>
      </c>
      <c r="L29" s="49">
        <v>307404</v>
      </c>
      <c r="M29" s="17">
        <f t="shared" si="77"/>
        <v>10310</v>
      </c>
      <c r="N29" s="49">
        <v>940330</v>
      </c>
      <c r="O29" s="17">
        <f t="shared" si="81"/>
        <v>14930</v>
      </c>
      <c r="P29" s="17">
        <f t="shared" si="82"/>
        <v>7465</v>
      </c>
      <c r="Q29" s="49">
        <v>221288</v>
      </c>
      <c r="R29" s="17">
        <f t="shared" si="83"/>
        <v>11230</v>
      </c>
      <c r="S29" s="17">
        <f t="shared" si="84"/>
        <v>5615</v>
      </c>
      <c r="T29" s="49">
        <v>119741</v>
      </c>
      <c r="U29" s="17">
        <f t="shared" si="85"/>
        <v>20</v>
      </c>
      <c r="V29" s="17">
        <f t="shared" si="86"/>
        <v>10</v>
      </c>
      <c r="W29" s="49">
        <v>194340</v>
      </c>
      <c r="X29" s="17">
        <f t="shared" si="11"/>
        <v>4330</v>
      </c>
      <c r="Y29" s="17">
        <f t="shared" si="87"/>
        <v>2165</v>
      </c>
      <c r="Z29" s="49">
        <v>37141</v>
      </c>
      <c r="AA29" s="17">
        <f t="shared" si="13"/>
        <v>1050</v>
      </c>
      <c r="AB29" s="49">
        <v>74777</v>
      </c>
      <c r="AC29" s="17">
        <f t="shared" si="14"/>
        <v>2000</v>
      </c>
      <c r="AD29" s="49">
        <v>134070</v>
      </c>
      <c r="AE29" s="17">
        <f t="shared" si="15"/>
        <v>3620</v>
      </c>
      <c r="AF29" s="49">
        <v>71298</v>
      </c>
      <c r="AG29" s="17">
        <f t="shared" si="16"/>
        <v>1760</v>
      </c>
      <c r="AH29" s="49">
        <v>366226</v>
      </c>
      <c r="AI29" s="17">
        <f t="shared" si="17"/>
        <v>11200</v>
      </c>
      <c r="AK29" s="99">
        <f t="shared" si="88"/>
        <v>44010</v>
      </c>
      <c r="AL29" s="100">
        <f t="shared" si="19"/>
        <v>36710</v>
      </c>
    </row>
    <row r="30" spans="1:38" ht="39.950000000000003" customHeight="1">
      <c r="A30" s="147">
        <v>44400</v>
      </c>
      <c r="B30" s="16"/>
      <c r="C30" s="49">
        <v>139811</v>
      </c>
      <c r="D30" s="17">
        <f t="shared" si="89"/>
        <v>4430</v>
      </c>
      <c r="E30" s="49">
        <v>221766</v>
      </c>
      <c r="F30" s="17">
        <f t="shared" si="90"/>
        <v>6920</v>
      </c>
      <c r="G30" s="49">
        <v>30986</v>
      </c>
      <c r="H30" s="17">
        <f t="shared" si="79"/>
        <v>3850</v>
      </c>
      <c r="I30" s="17">
        <f t="shared" si="80"/>
        <v>1925</v>
      </c>
      <c r="J30" s="49">
        <v>197538</v>
      </c>
      <c r="K30" s="17">
        <f t="shared" si="76"/>
        <v>5950</v>
      </c>
      <c r="L30" s="49">
        <v>308421</v>
      </c>
      <c r="M30" s="17">
        <f t="shared" si="77"/>
        <v>10170</v>
      </c>
      <c r="N30" s="49">
        <v>941971</v>
      </c>
      <c r="O30" s="17">
        <f t="shared" si="81"/>
        <v>16410</v>
      </c>
      <c r="P30" s="17">
        <f t="shared" si="82"/>
        <v>8205</v>
      </c>
      <c r="Q30" s="49">
        <v>222287</v>
      </c>
      <c r="R30" s="17">
        <f t="shared" si="83"/>
        <v>9990</v>
      </c>
      <c r="S30" s="17">
        <f t="shared" si="84"/>
        <v>4995</v>
      </c>
      <c r="T30" s="49">
        <v>120502</v>
      </c>
      <c r="U30" s="17">
        <f t="shared" si="85"/>
        <v>7610</v>
      </c>
      <c r="V30" s="17">
        <f t="shared" si="86"/>
        <v>3805</v>
      </c>
      <c r="W30" s="49">
        <v>195240</v>
      </c>
      <c r="X30" s="17">
        <f t="shared" si="11"/>
        <v>9000</v>
      </c>
      <c r="Y30" s="17">
        <f t="shared" si="87"/>
        <v>4500</v>
      </c>
      <c r="Z30" s="49">
        <v>37248</v>
      </c>
      <c r="AA30" s="17">
        <f t="shared" si="13"/>
        <v>1070</v>
      </c>
      <c r="AB30" s="49">
        <v>74988</v>
      </c>
      <c r="AC30" s="17">
        <f t="shared" si="14"/>
        <v>2110</v>
      </c>
      <c r="AD30" s="49">
        <v>134457</v>
      </c>
      <c r="AE30" s="17">
        <f t="shared" si="15"/>
        <v>3870</v>
      </c>
      <c r="AF30" s="49">
        <v>71484</v>
      </c>
      <c r="AG30" s="17">
        <f t="shared" si="16"/>
        <v>1860</v>
      </c>
      <c r="AH30" s="49">
        <v>367390</v>
      </c>
      <c r="AI30" s="17">
        <f t="shared" si="17"/>
        <v>11640</v>
      </c>
      <c r="AK30" s="99">
        <f t="shared" si="88"/>
        <v>50900</v>
      </c>
      <c r="AL30" s="100">
        <f t="shared" si="19"/>
        <v>43980</v>
      </c>
    </row>
    <row r="31" spans="1:38" ht="39.950000000000003" customHeight="1">
      <c r="A31" s="147">
        <v>44401</v>
      </c>
      <c r="B31" s="16"/>
      <c r="C31" s="49">
        <v>140237</v>
      </c>
      <c r="D31" s="17">
        <f t="shared" si="89"/>
        <v>4260</v>
      </c>
      <c r="E31" s="49">
        <v>222453</v>
      </c>
      <c r="F31" s="17">
        <f t="shared" si="90"/>
        <v>6870</v>
      </c>
      <c r="G31" s="49">
        <v>31355</v>
      </c>
      <c r="H31" s="17">
        <f t="shared" si="79"/>
        <v>3690</v>
      </c>
      <c r="I31" s="17">
        <f t="shared" si="80"/>
        <v>1845</v>
      </c>
      <c r="J31" s="49">
        <v>198171</v>
      </c>
      <c r="K31" s="17">
        <f t="shared" si="76"/>
        <v>6330</v>
      </c>
      <c r="L31" s="49">
        <v>309446</v>
      </c>
      <c r="M31" s="17">
        <f t="shared" si="77"/>
        <v>10250</v>
      </c>
      <c r="N31" s="49">
        <v>943522</v>
      </c>
      <c r="O31" s="17">
        <f t="shared" si="81"/>
        <v>15510</v>
      </c>
      <c r="P31" s="17">
        <f t="shared" si="82"/>
        <v>7755</v>
      </c>
      <c r="Q31" s="49">
        <v>223329</v>
      </c>
      <c r="R31" s="17">
        <f t="shared" si="83"/>
        <v>10420</v>
      </c>
      <c r="S31" s="17">
        <f t="shared" si="84"/>
        <v>5210</v>
      </c>
      <c r="T31" s="49">
        <v>121113</v>
      </c>
      <c r="U31" s="17">
        <f t="shared" si="85"/>
        <v>6110</v>
      </c>
      <c r="V31" s="17">
        <f t="shared" si="86"/>
        <v>3055</v>
      </c>
      <c r="W31" s="49">
        <v>195944</v>
      </c>
      <c r="X31" s="17">
        <f t="shared" si="11"/>
        <v>7040</v>
      </c>
      <c r="Y31" s="17">
        <f t="shared" si="87"/>
        <v>3520</v>
      </c>
      <c r="Z31" s="49">
        <v>37364</v>
      </c>
      <c r="AA31" s="17">
        <f t="shared" si="13"/>
        <v>1160</v>
      </c>
      <c r="AB31" s="49">
        <v>75182</v>
      </c>
      <c r="AC31" s="17">
        <f t="shared" si="14"/>
        <v>1940</v>
      </c>
      <c r="AD31" s="49">
        <v>134825</v>
      </c>
      <c r="AE31" s="17">
        <f t="shared" si="15"/>
        <v>3680</v>
      </c>
      <c r="AF31" s="49">
        <v>71663</v>
      </c>
      <c r="AG31" s="17">
        <f t="shared" si="16"/>
        <v>1790</v>
      </c>
      <c r="AH31" s="49">
        <v>368497</v>
      </c>
      <c r="AI31" s="17">
        <f t="shared" si="17"/>
        <v>11070</v>
      </c>
      <c r="AK31" s="99">
        <f t="shared" si="88"/>
        <v>49095</v>
      </c>
      <c r="AL31" s="100">
        <f t="shared" si="19"/>
        <v>41025</v>
      </c>
    </row>
    <row r="32" spans="1:38" ht="39.950000000000003" customHeight="1">
      <c r="A32" s="147">
        <v>44402</v>
      </c>
      <c r="B32" s="16"/>
      <c r="C32" s="74">
        <v>140684</v>
      </c>
      <c r="D32" s="17">
        <f t="shared" si="89"/>
        <v>4470</v>
      </c>
      <c r="E32" s="74">
        <v>223168</v>
      </c>
      <c r="F32" s="17">
        <f t="shared" si="90"/>
        <v>7150</v>
      </c>
      <c r="G32" s="74">
        <v>31750</v>
      </c>
      <c r="H32" s="17">
        <f t="shared" si="79"/>
        <v>3950</v>
      </c>
      <c r="I32" s="17">
        <f t="shared" si="80"/>
        <v>1975</v>
      </c>
      <c r="J32" s="74">
        <v>198779</v>
      </c>
      <c r="K32" s="17">
        <f t="shared" si="76"/>
        <v>6080</v>
      </c>
      <c r="L32" s="74">
        <v>310494</v>
      </c>
      <c r="M32" s="17">
        <f t="shared" si="77"/>
        <v>10480</v>
      </c>
      <c r="N32" s="74">
        <v>945186</v>
      </c>
      <c r="O32" s="17">
        <f t="shared" si="81"/>
        <v>16640</v>
      </c>
      <c r="P32" s="17">
        <f t="shared" si="82"/>
        <v>8320</v>
      </c>
      <c r="Q32" s="74">
        <v>224364</v>
      </c>
      <c r="R32" s="17">
        <f t="shared" si="83"/>
        <v>10350</v>
      </c>
      <c r="S32" s="17">
        <f t="shared" si="84"/>
        <v>5175</v>
      </c>
      <c r="T32" s="74">
        <v>121643</v>
      </c>
      <c r="U32" s="17">
        <f t="shared" si="85"/>
        <v>5300</v>
      </c>
      <c r="V32" s="17">
        <f t="shared" si="86"/>
        <v>2650</v>
      </c>
      <c r="W32" s="74">
        <v>196640</v>
      </c>
      <c r="X32" s="17">
        <f t="shared" si="11"/>
        <v>6960</v>
      </c>
      <c r="Y32" s="17">
        <f t="shared" si="87"/>
        <v>3480</v>
      </c>
      <c r="Z32" s="74">
        <v>37462</v>
      </c>
      <c r="AA32" s="17">
        <f t="shared" si="13"/>
        <v>980</v>
      </c>
      <c r="AB32" s="74">
        <v>75372</v>
      </c>
      <c r="AC32" s="17">
        <f t="shared" si="14"/>
        <v>1900</v>
      </c>
      <c r="AD32" s="74">
        <v>135198</v>
      </c>
      <c r="AE32" s="17">
        <f t="shared" si="15"/>
        <v>3730</v>
      </c>
      <c r="AF32" s="74">
        <v>71852</v>
      </c>
      <c r="AG32" s="17">
        <f t="shared" si="16"/>
        <v>1890</v>
      </c>
      <c r="AH32" s="74">
        <v>369654</v>
      </c>
      <c r="AI32" s="17">
        <f t="shared" si="17"/>
        <v>11570</v>
      </c>
      <c r="AK32" s="99">
        <f t="shared" si="88"/>
        <v>49780</v>
      </c>
      <c r="AL32" s="100">
        <f t="shared" si="19"/>
        <v>41670</v>
      </c>
    </row>
    <row r="33" spans="1:39" ht="39.950000000000003" customHeight="1">
      <c r="A33" s="147">
        <v>44403</v>
      </c>
      <c r="B33" s="16"/>
      <c r="C33" s="74">
        <v>141107</v>
      </c>
      <c r="D33" s="17">
        <f t="shared" si="89"/>
        <v>4230</v>
      </c>
      <c r="E33" s="74">
        <v>223842</v>
      </c>
      <c r="F33" s="17">
        <f t="shared" si="90"/>
        <v>6740</v>
      </c>
      <c r="G33" s="74">
        <v>32121</v>
      </c>
      <c r="H33" s="17">
        <f t="shared" si="79"/>
        <v>3710</v>
      </c>
      <c r="I33" s="17">
        <f t="shared" si="80"/>
        <v>1855</v>
      </c>
      <c r="J33" s="74">
        <v>199390</v>
      </c>
      <c r="K33" s="17">
        <f t="shared" si="76"/>
        <v>6110</v>
      </c>
      <c r="L33" s="74">
        <v>311504</v>
      </c>
      <c r="M33" s="17">
        <f t="shared" si="77"/>
        <v>10100</v>
      </c>
      <c r="N33" s="74">
        <v>946764</v>
      </c>
      <c r="O33" s="17">
        <f t="shared" si="81"/>
        <v>15780</v>
      </c>
      <c r="P33" s="17">
        <f t="shared" si="82"/>
        <v>7890</v>
      </c>
      <c r="Q33" s="74">
        <v>225431</v>
      </c>
      <c r="R33" s="17">
        <f t="shared" si="83"/>
        <v>10670</v>
      </c>
      <c r="S33" s="17">
        <f t="shared" si="84"/>
        <v>5335</v>
      </c>
      <c r="T33" s="74">
        <v>122476</v>
      </c>
      <c r="U33" s="17">
        <f t="shared" si="85"/>
        <v>8330</v>
      </c>
      <c r="V33" s="17">
        <f t="shared" si="86"/>
        <v>4165</v>
      </c>
      <c r="W33" s="74">
        <v>197204</v>
      </c>
      <c r="X33" s="17">
        <f t="shared" si="11"/>
        <v>5640</v>
      </c>
      <c r="Y33" s="17">
        <f t="shared" si="87"/>
        <v>2820</v>
      </c>
      <c r="Z33" s="74">
        <v>37561</v>
      </c>
      <c r="AA33" s="17">
        <f t="shared" si="13"/>
        <v>990</v>
      </c>
      <c r="AB33" s="74">
        <v>75569</v>
      </c>
      <c r="AC33" s="17">
        <f t="shared" si="14"/>
        <v>1970</v>
      </c>
      <c r="AD33" s="74">
        <v>135563</v>
      </c>
      <c r="AE33" s="17">
        <f t="shared" si="15"/>
        <v>3650</v>
      </c>
      <c r="AF33" s="74">
        <v>72025</v>
      </c>
      <c r="AG33" s="17">
        <f t="shared" si="16"/>
        <v>1730</v>
      </c>
      <c r="AH33" s="74">
        <v>370770</v>
      </c>
      <c r="AI33" s="17">
        <f t="shared" si="17"/>
        <v>11160</v>
      </c>
      <c r="AK33" s="99">
        <f t="shared" si="88"/>
        <v>49245</v>
      </c>
      <c r="AL33" s="100">
        <f t="shared" si="19"/>
        <v>41565</v>
      </c>
    </row>
    <row r="34" spans="1:39" ht="39.950000000000003" customHeight="1">
      <c r="A34" s="147">
        <v>44404</v>
      </c>
      <c r="B34" s="16"/>
      <c r="C34" s="74">
        <v>141563</v>
      </c>
      <c r="D34" s="17">
        <f t="shared" si="89"/>
        <v>4560</v>
      </c>
      <c r="E34" s="74">
        <v>224546</v>
      </c>
      <c r="F34" s="17">
        <f t="shared" si="90"/>
        <v>7040</v>
      </c>
      <c r="G34" s="74">
        <v>32509</v>
      </c>
      <c r="H34" s="17">
        <f t="shared" si="79"/>
        <v>3880</v>
      </c>
      <c r="I34" s="17">
        <f t="shared" si="80"/>
        <v>1940</v>
      </c>
      <c r="J34" s="74">
        <v>199995</v>
      </c>
      <c r="K34" s="17">
        <f t="shared" si="76"/>
        <v>6050</v>
      </c>
      <c r="L34" s="74">
        <v>312509</v>
      </c>
      <c r="M34" s="17">
        <f t="shared" si="77"/>
        <v>10050</v>
      </c>
      <c r="N34" s="74">
        <v>948466</v>
      </c>
      <c r="O34" s="17">
        <f t="shared" si="81"/>
        <v>17020</v>
      </c>
      <c r="P34" s="17">
        <f t="shared" si="82"/>
        <v>8510</v>
      </c>
      <c r="Q34" s="74">
        <v>226520</v>
      </c>
      <c r="R34" s="17">
        <f t="shared" si="83"/>
        <v>10890</v>
      </c>
      <c r="S34" s="17">
        <f t="shared" si="84"/>
        <v>5445</v>
      </c>
      <c r="T34" s="74">
        <v>123309</v>
      </c>
      <c r="U34" s="17">
        <f t="shared" si="85"/>
        <v>8330</v>
      </c>
      <c r="V34" s="17">
        <f t="shared" si="86"/>
        <v>4165</v>
      </c>
      <c r="W34" s="74">
        <v>197871</v>
      </c>
      <c r="X34" s="17">
        <f t="shared" si="11"/>
        <v>6670</v>
      </c>
      <c r="Y34" s="17">
        <f t="shared" si="87"/>
        <v>3335</v>
      </c>
      <c r="Z34" s="74">
        <v>37660</v>
      </c>
      <c r="AA34" s="17">
        <f t="shared" si="13"/>
        <v>990</v>
      </c>
      <c r="AB34" s="74">
        <v>75773</v>
      </c>
      <c r="AC34" s="17">
        <f t="shared" si="14"/>
        <v>2040</v>
      </c>
      <c r="AD34" s="74">
        <v>135951</v>
      </c>
      <c r="AE34" s="17">
        <f t="shared" si="15"/>
        <v>3880</v>
      </c>
      <c r="AF34" s="74">
        <v>72211</v>
      </c>
      <c r="AG34" s="17">
        <f t="shared" si="16"/>
        <v>1860</v>
      </c>
      <c r="AH34" s="74">
        <v>371956</v>
      </c>
      <c r="AI34" s="17">
        <f t="shared" si="17"/>
        <v>11860</v>
      </c>
      <c r="AK34" s="99">
        <f t="shared" si="88"/>
        <v>51095</v>
      </c>
      <c r="AL34" s="100">
        <f t="shared" si="19"/>
        <v>44025</v>
      </c>
    </row>
    <row r="35" spans="1:39" ht="39.950000000000003" customHeight="1">
      <c r="A35" s="147">
        <v>44405</v>
      </c>
      <c r="B35" s="16"/>
      <c r="C35" s="74">
        <v>141981</v>
      </c>
      <c r="D35" s="17">
        <f t="shared" si="89"/>
        <v>4180</v>
      </c>
      <c r="E35" s="74">
        <v>225206</v>
      </c>
      <c r="F35" s="17">
        <f t="shared" si="90"/>
        <v>6600</v>
      </c>
      <c r="G35" s="74">
        <v>32871</v>
      </c>
      <c r="H35" s="17">
        <f t="shared" si="79"/>
        <v>3620</v>
      </c>
      <c r="I35" s="17">
        <f t="shared" si="80"/>
        <v>1810</v>
      </c>
      <c r="J35" s="74">
        <v>200610</v>
      </c>
      <c r="K35" s="17">
        <f t="shared" si="76"/>
        <v>6150</v>
      </c>
      <c r="L35" s="74">
        <v>313512</v>
      </c>
      <c r="M35" s="17">
        <f t="shared" si="77"/>
        <v>10030</v>
      </c>
      <c r="N35" s="74">
        <v>950047</v>
      </c>
      <c r="O35" s="17">
        <f t="shared" si="81"/>
        <v>15810</v>
      </c>
      <c r="P35" s="17">
        <f t="shared" si="82"/>
        <v>7905</v>
      </c>
      <c r="Q35" s="74">
        <v>227579</v>
      </c>
      <c r="R35" s="17">
        <f t="shared" si="83"/>
        <v>10590</v>
      </c>
      <c r="S35" s="17">
        <f t="shared" si="84"/>
        <v>5295</v>
      </c>
      <c r="T35" s="74">
        <v>124177</v>
      </c>
      <c r="U35" s="17">
        <f t="shared" si="85"/>
        <v>8680</v>
      </c>
      <c r="V35" s="17">
        <f t="shared" si="86"/>
        <v>4340</v>
      </c>
      <c r="W35" s="74">
        <v>198698</v>
      </c>
      <c r="X35" s="17">
        <f t="shared" si="11"/>
        <v>8270</v>
      </c>
      <c r="Y35" s="17">
        <f t="shared" si="87"/>
        <v>4135</v>
      </c>
      <c r="Z35" s="74">
        <v>37767</v>
      </c>
      <c r="AA35" s="17">
        <f t="shared" si="13"/>
        <v>1070</v>
      </c>
      <c r="AB35" s="74">
        <v>75971</v>
      </c>
      <c r="AC35" s="17">
        <f t="shared" si="14"/>
        <v>1980</v>
      </c>
      <c r="AD35" s="74">
        <v>136318</v>
      </c>
      <c r="AE35" s="17">
        <f t="shared" si="15"/>
        <v>3670</v>
      </c>
      <c r="AF35" s="74">
        <v>72382</v>
      </c>
      <c r="AG35" s="17">
        <f t="shared" si="16"/>
        <v>1710</v>
      </c>
      <c r="AH35" s="74">
        <v>373075</v>
      </c>
      <c r="AI35" s="17">
        <f t="shared" si="17"/>
        <v>11190</v>
      </c>
      <c r="AK35" s="99">
        <f t="shared" si="88"/>
        <v>50445</v>
      </c>
      <c r="AL35" s="100">
        <f t="shared" si="19"/>
        <v>43105</v>
      </c>
    </row>
    <row r="36" spans="1:39" ht="39.950000000000003" customHeight="1">
      <c r="A36" s="147">
        <v>44406</v>
      </c>
      <c r="B36" s="16"/>
      <c r="C36" s="74">
        <v>142409</v>
      </c>
      <c r="D36" s="17">
        <f t="shared" si="89"/>
        <v>4280</v>
      </c>
      <c r="E36" s="74">
        <v>225891</v>
      </c>
      <c r="F36" s="17">
        <f t="shared" si="90"/>
        <v>6850</v>
      </c>
      <c r="G36" s="74">
        <v>33238</v>
      </c>
      <c r="H36" s="17">
        <f t="shared" ref="H36:H37" si="91">(G36-G35)*10</f>
        <v>3670</v>
      </c>
      <c r="I36" s="17">
        <f t="shared" ref="I36:I37" si="92">H36*50%</f>
        <v>1835</v>
      </c>
      <c r="J36" s="74">
        <v>201242</v>
      </c>
      <c r="K36" s="17">
        <f t="shared" si="76"/>
        <v>6320</v>
      </c>
      <c r="L36" s="74">
        <v>314542</v>
      </c>
      <c r="M36" s="17">
        <f t="shared" si="77"/>
        <v>10300</v>
      </c>
      <c r="N36" s="74">
        <v>951683</v>
      </c>
      <c r="O36" s="17">
        <f t="shared" ref="O36:O37" si="93">(N36-N35)*10</f>
        <v>16360</v>
      </c>
      <c r="P36" s="17">
        <f t="shared" ref="P36:P37" si="94">O36*50%</f>
        <v>8180</v>
      </c>
      <c r="Q36" s="74">
        <v>228398</v>
      </c>
      <c r="R36" s="17">
        <f t="shared" ref="R36:R37" si="95">(Q36-Q35)*10</f>
        <v>8190</v>
      </c>
      <c r="S36" s="17">
        <f t="shared" ref="S36:S37" si="96">R36*50%</f>
        <v>4095</v>
      </c>
      <c r="T36" s="74">
        <v>124633</v>
      </c>
      <c r="U36" s="17">
        <f t="shared" ref="U36:U37" si="97">(T36-T35)*10</f>
        <v>4560</v>
      </c>
      <c r="V36" s="17">
        <f t="shared" ref="V36:V37" si="98">U36*50%</f>
        <v>2280</v>
      </c>
      <c r="W36" s="74">
        <v>199858</v>
      </c>
      <c r="X36" s="17">
        <f t="shared" si="11"/>
        <v>11600</v>
      </c>
      <c r="Y36" s="17">
        <f t="shared" ref="Y36:Y37" si="99">X36*50%</f>
        <v>5800</v>
      </c>
      <c r="Z36" s="74">
        <v>37875</v>
      </c>
      <c r="AA36" s="17">
        <f t="shared" si="13"/>
        <v>1080</v>
      </c>
      <c r="AB36" s="74">
        <v>76172</v>
      </c>
      <c r="AC36" s="17">
        <f t="shared" si="14"/>
        <v>2010</v>
      </c>
      <c r="AD36" s="74">
        <v>136698</v>
      </c>
      <c r="AE36" s="17">
        <f t="shared" si="15"/>
        <v>3800</v>
      </c>
      <c r="AF36" s="74">
        <v>72561</v>
      </c>
      <c r="AG36" s="17">
        <f t="shared" si="16"/>
        <v>1790</v>
      </c>
      <c r="AH36" s="74">
        <v>374246</v>
      </c>
      <c r="AI36" s="17">
        <f t="shared" si="17"/>
        <v>11710</v>
      </c>
      <c r="AK36" s="99">
        <f t="shared" ref="AK36:AK37" si="100">SUM(D36,F36,I36,K36,M36,P36,S36,V36,Y36)</f>
        <v>49940</v>
      </c>
      <c r="AL36" s="100">
        <f t="shared" si="19"/>
        <v>42580</v>
      </c>
    </row>
    <row r="37" spans="1:39" ht="39.950000000000003" customHeight="1">
      <c r="A37" s="147">
        <v>44407</v>
      </c>
      <c r="B37" s="16"/>
      <c r="C37" s="74">
        <v>142845</v>
      </c>
      <c r="D37" s="17">
        <f t="shared" si="89"/>
        <v>4360</v>
      </c>
      <c r="E37" s="74">
        <v>226613</v>
      </c>
      <c r="F37" s="17">
        <f t="shared" si="90"/>
        <v>7220</v>
      </c>
      <c r="G37" s="74">
        <v>33618</v>
      </c>
      <c r="H37" s="17">
        <f t="shared" si="91"/>
        <v>3800</v>
      </c>
      <c r="I37" s="17">
        <f t="shared" si="92"/>
        <v>1900</v>
      </c>
      <c r="J37" s="74">
        <v>201888</v>
      </c>
      <c r="K37" s="17">
        <f t="shared" si="76"/>
        <v>6460</v>
      </c>
      <c r="L37" s="74">
        <v>315628</v>
      </c>
      <c r="M37" s="17">
        <f t="shared" si="77"/>
        <v>10860</v>
      </c>
      <c r="N37" s="74">
        <v>953218</v>
      </c>
      <c r="O37" s="17">
        <f t="shared" si="93"/>
        <v>15350</v>
      </c>
      <c r="P37" s="17">
        <f t="shared" si="94"/>
        <v>7675</v>
      </c>
      <c r="Q37" s="74">
        <v>229359</v>
      </c>
      <c r="R37" s="17">
        <f t="shared" si="95"/>
        <v>9610</v>
      </c>
      <c r="S37" s="17">
        <f t="shared" si="96"/>
        <v>4805</v>
      </c>
      <c r="T37" s="74">
        <v>125204</v>
      </c>
      <c r="U37" s="17">
        <f t="shared" si="97"/>
        <v>5710</v>
      </c>
      <c r="V37" s="17">
        <f t="shared" si="98"/>
        <v>2855</v>
      </c>
      <c r="W37" s="74">
        <v>200645</v>
      </c>
      <c r="X37" s="17">
        <f t="shared" si="11"/>
        <v>7870</v>
      </c>
      <c r="Y37" s="17">
        <f t="shared" si="99"/>
        <v>3935</v>
      </c>
      <c r="Z37" s="74">
        <v>37978</v>
      </c>
      <c r="AA37" s="17">
        <f t="shared" si="13"/>
        <v>1030</v>
      </c>
      <c r="AB37" s="74">
        <v>76375</v>
      </c>
      <c r="AC37" s="17">
        <f t="shared" si="14"/>
        <v>2030</v>
      </c>
      <c r="AD37" s="74">
        <v>137084</v>
      </c>
      <c r="AE37" s="17">
        <f t="shared" si="15"/>
        <v>3860</v>
      </c>
      <c r="AF37" s="74">
        <v>72740</v>
      </c>
      <c r="AG37" s="17">
        <f t="shared" si="16"/>
        <v>1790</v>
      </c>
      <c r="AH37" s="74">
        <v>375397</v>
      </c>
      <c r="AI37" s="17">
        <f t="shared" si="17"/>
        <v>11510</v>
      </c>
      <c r="AK37" s="99">
        <f t="shared" si="100"/>
        <v>50070</v>
      </c>
      <c r="AL37" s="100">
        <f t="shared" si="19"/>
        <v>41390</v>
      </c>
    </row>
    <row r="38" spans="1:39" s="149" customFormat="1" ht="39.950000000000003" customHeight="1">
      <c r="A38" s="147">
        <v>44408</v>
      </c>
      <c r="B38" s="148"/>
      <c r="C38" s="103">
        <v>143281</v>
      </c>
      <c r="D38" s="17">
        <f t="shared" si="89"/>
        <v>4360</v>
      </c>
      <c r="E38" s="103">
        <v>227316</v>
      </c>
      <c r="F38" s="17">
        <f t="shared" si="90"/>
        <v>7030</v>
      </c>
      <c r="G38" s="103">
        <v>33977</v>
      </c>
      <c r="H38" s="17">
        <f t="shared" ref="H38" si="101">(G38-G37)*10</f>
        <v>3590</v>
      </c>
      <c r="I38" s="17">
        <f t="shared" ref="I38" si="102">H38*50%</f>
        <v>1795</v>
      </c>
      <c r="J38" s="103">
        <v>202509</v>
      </c>
      <c r="K38" s="17">
        <f t="shared" si="76"/>
        <v>6210</v>
      </c>
      <c r="L38" s="103">
        <v>316646</v>
      </c>
      <c r="M38" s="17">
        <f t="shared" si="77"/>
        <v>10180</v>
      </c>
      <c r="N38" s="103">
        <v>954906</v>
      </c>
      <c r="O38" s="17">
        <f t="shared" ref="O38" si="103">(N38-N37)*10</f>
        <v>16880</v>
      </c>
      <c r="P38" s="17">
        <f t="shared" ref="P38" si="104">O38*50%</f>
        <v>8440</v>
      </c>
      <c r="Q38" s="103">
        <v>230468</v>
      </c>
      <c r="R38" s="17">
        <f t="shared" ref="R38" si="105">(Q38-Q37)*10</f>
        <v>11090</v>
      </c>
      <c r="S38" s="17">
        <f t="shared" ref="S38" si="106">R38*50%</f>
        <v>5545</v>
      </c>
      <c r="T38" s="103">
        <v>125797</v>
      </c>
      <c r="U38" s="17">
        <f t="shared" ref="U38" si="107">(T38-T37)*10</f>
        <v>5930</v>
      </c>
      <c r="V38" s="17">
        <f t="shared" ref="V38" si="108">U38*50%</f>
        <v>2965</v>
      </c>
      <c r="W38" s="103">
        <v>201472</v>
      </c>
      <c r="X38" s="17">
        <f t="shared" si="11"/>
        <v>8270</v>
      </c>
      <c r="Y38" s="17">
        <f t="shared" ref="Y38" si="109">X38*50%</f>
        <v>4135</v>
      </c>
      <c r="Z38" s="103">
        <v>38082</v>
      </c>
      <c r="AA38" s="17">
        <f t="shared" si="13"/>
        <v>1040</v>
      </c>
      <c r="AB38" s="103">
        <v>76568</v>
      </c>
      <c r="AC38" s="17">
        <f t="shared" si="14"/>
        <v>1930</v>
      </c>
      <c r="AD38" s="103">
        <v>137460</v>
      </c>
      <c r="AE38" s="17">
        <f t="shared" si="15"/>
        <v>3760</v>
      </c>
      <c r="AF38" s="103">
        <v>72919</v>
      </c>
      <c r="AG38" s="17">
        <f t="shared" si="16"/>
        <v>1790</v>
      </c>
      <c r="AH38" s="103">
        <v>376531</v>
      </c>
      <c r="AI38" s="17">
        <f t="shared" si="17"/>
        <v>11340</v>
      </c>
      <c r="AK38" s="99">
        <f t="shared" ref="AK38" si="110">SUM(D38,F38,I38,K38,M38,P38,S38,V38,Y38)</f>
        <v>50660</v>
      </c>
      <c r="AL38" s="100">
        <f t="shared" si="19"/>
        <v>42740</v>
      </c>
    </row>
    <row r="39" spans="1:39"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4">
        <f>SUM(AK8:AK38)</f>
        <v>1507090</v>
      </c>
      <c r="AL39" s="194">
        <f>SUM(AL8:AL38)</f>
        <v>1264210</v>
      </c>
      <c r="AM39" s="195"/>
    </row>
    <row r="40" spans="1:39" s="19" customFormat="1" ht="39.950000000000003" customHeight="1">
      <c r="A40" s="18"/>
      <c r="D40" s="20"/>
    </row>
    <row r="41" spans="1:39" s="19" customFormat="1" ht="39.950000000000003" customHeight="1">
      <c r="A41" s="18"/>
      <c r="D41" s="20"/>
    </row>
    <row r="42" spans="1:39" ht="39.950000000000003" customHeight="1">
      <c r="A42" s="11"/>
    </row>
    <row r="43" spans="1:39">
      <c r="A43" s="11"/>
    </row>
    <row r="44" spans="1:39">
      <c r="A44" s="11"/>
    </row>
    <row r="45" spans="1:39">
      <c r="A45" s="11"/>
    </row>
    <row r="46" spans="1:39">
      <c r="A46" s="11"/>
    </row>
    <row r="47" spans="1:39">
      <c r="A47" s="11"/>
    </row>
    <row r="48" spans="1:3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14" activePane="bottomRight" state="frozen"/>
      <selection pane="topRight" activeCell="C1" sqref="C1"/>
      <selection pane="bottomLeft" activeCell="A5" sqref="A5"/>
      <selection pane="bottomRight" activeCell="L14" sqref="L1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3" t="s">
        <v>65</v>
      </c>
      <c r="D1" s="203"/>
      <c r="E1" s="203" t="s">
        <v>65</v>
      </c>
      <c r="F1" s="203"/>
      <c r="G1" s="203" t="s">
        <v>65</v>
      </c>
      <c r="H1" s="203"/>
      <c r="I1" s="203" t="s">
        <v>65</v>
      </c>
      <c r="J1" s="203"/>
      <c r="K1" s="216" t="s">
        <v>66</v>
      </c>
      <c r="L1" s="217"/>
      <c r="M1" s="217"/>
      <c r="N1" s="218"/>
      <c r="O1" s="203" t="s">
        <v>67</v>
      </c>
      <c r="P1" s="203"/>
    </row>
    <row r="2" spans="1:19" s="27" customFormat="1" ht="113.25" customHeight="1">
      <c r="A2" s="26"/>
      <c r="B2" s="26"/>
      <c r="C2" s="219" t="s">
        <v>103</v>
      </c>
      <c r="D2" s="220"/>
      <c r="E2" s="219" t="s">
        <v>104</v>
      </c>
      <c r="F2" s="220"/>
      <c r="G2" s="219" t="s">
        <v>105</v>
      </c>
      <c r="H2" s="220"/>
      <c r="I2" s="219" t="s">
        <v>106</v>
      </c>
      <c r="J2" s="220"/>
      <c r="K2" s="228" t="s">
        <v>107</v>
      </c>
      <c r="L2" s="229"/>
      <c r="M2" s="229"/>
      <c r="N2" s="230"/>
      <c r="O2" s="219" t="s">
        <v>108</v>
      </c>
      <c r="P2" s="220"/>
    </row>
    <row r="3" spans="1:19" s="32" customFormat="1" ht="50.1" customHeight="1">
      <c r="A3" s="41"/>
      <c r="B3" s="41"/>
      <c r="C3" s="223" t="s">
        <v>109</v>
      </c>
      <c r="D3" s="224"/>
      <c r="E3" s="221" t="s">
        <v>110</v>
      </c>
      <c r="F3" s="222"/>
      <c r="G3" s="221" t="s">
        <v>111</v>
      </c>
      <c r="H3" s="222"/>
      <c r="I3" s="221" t="s">
        <v>112</v>
      </c>
      <c r="J3" s="222"/>
      <c r="K3" s="225" t="s">
        <v>113</v>
      </c>
      <c r="L3" s="226"/>
      <c r="M3" s="226"/>
      <c r="N3" s="227"/>
      <c r="O3" s="223" t="s">
        <v>114</v>
      </c>
      <c r="P3" s="224"/>
      <c r="R3" s="201" t="s">
        <v>81</v>
      </c>
      <c r="S3" s="201"/>
    </row>
    <row r="4" spans="1:19" s="8" customFormat="1" ht="30" customHeight="1">
      <c r="A4" s="110" t="s">
        <v>96</v>
      </c>
      <c r="B4" s="51"/>
      <c r="C4" s="210"/>
      <c r="D4" s="211"/>
      <c r="E4" s="210"/>
      <c r="F4" s="211"/>
      <c r="G4" s="210"/>
      <c r="H4" s="211"/>
      <c r="I4" s="210"/>
      <c r="J4" s="211"/>
      <c r="K4" s="210"/>
      <c r="L4" s="215"/>
      <c r="M4" s="215"/>
      <c r="N4" s="211"/>
      <c r="O4" s="51"/>
      <c r="P4" s="51"/>
      <c r="R4" s="201"/>
      <c r="S4" s="201"/>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7">
        <v>44377</v>
      </c>
      <c r="B6" s="84"/>
      <c r="C6" s="85">
        <v>879</v>
      </c>
      <c r="D6" s="77"/>
      <c r="E6" s="86">
        <v>2168</v>
      </c>
      <c r="F6" s="77"/>
      <c r="G6" s="85">
        <v>6752</v>
      </c>
      <c r="H6" s="78"/>
      <c r="I6" s="85">
        <v>14072</v>
      </c>
      <c r="J6" s="77"/>
      <c r="K6" s="76">
        <v>947</v>
      </c>
      <c r="L6" s="77"/>
      <c r="M6" s="78">
        <v>101.75000000000001</v>
      </c>
      <c r="N6" s="78"/>
      <c r="O6" s="85">
        <v>575</v>
      </c>
      <c r="P6" s="77"/>
      <c r="R6" s="109"/>
      <c r="S6" s="100"/>
    </row>
    <row r="7" spans="1:19" s="2" customFormat="1" ht="39.950000000000003" customHeight="1">
      <c r="A7" s="147">
        <v>44378</v>
      </c>
      <c r="B7" s="15"/>
      <c r="C7" s="192">
        <v>1039</v>
      </c>
      <c r="D7" s="179">
        <f>(C7-C6)</f>
        <v>160</v>
      </c>
      <c r="E7" s="192">
        <v>2462</v>
      </c>
      <c r="F7" s="179">
        <f>(E7-E6)</f>
        <v>294</v>
      </c>
      <c r="G7" s="192">
        <f>(G9-G6)/3+G6</f>
        <v>6759.7166666666662</v>
      </c>
      <c r="H7" s="179">
        <f>(G7-G6)</f>
        <v>7.7166666666662422</v>
      </c>
      <c r="I7" s="192">
        <f>(I9-I6)/3+I6</f>
        <v>14081.333333333334</v>
      </c>
      <c r="J7" s="179">
        <f>(I7-I6)</f>
        <v>9.3333333333339397</v>
      </c>
      <c r="K7" s="192">
        <v>1113</v>
      </c>
      <c r="L7" s="77">
        <f>(K7-K6)</f>
        <v>166</v>
      </c>
      <c r="M7" s="179">
        <f>L7*55%</f>
        <v>91.300000000000011</v>
      </c>
      <c r="N7" s="179">
        <f>L7*45%</f>
        <v>74.7</v>
      </c>
      <c r="O7" s="192">
        <v>657</v>
      </c>
      <c r="P7" s="179">
        <f>(O7-O6)</f>
        <v>82</v>
      </c>
      <c r="R7" s="109">
        <f>SUM(D7,F7,M7,J7,H7)</f>
        <v>562.35000000000014</v>
      </c>
      <c r="S7" s="100">
        <f>SUM(N7,P7)</f>
        <v>156.69999999999999</v>
      </c>
    </row>
    <row r="8" spans="1:19" ht="39.950000000000003" customHeight="1">
      <c r="A8" s="147">
        <v>44379</v>
      </c>
      <c r="B8" s="16"/>
      <c r="C8" s="192">
        <v>1191</v>
      </c>
      <c r="D8" s="179">
        <f t="shared" ref="D8:D37" si="0">(C8-C7)</f>
        <v>152</v>
      </c>
      <c r="E8" s="192">
        <v>2798</v>
      </c>
      <c r="F8" s="179">
        <f t="shared" ref="F8:H37" si="1">(E8-E7)</f>
        <v>336</v>
      </c>
      <c r="G8" s="192">
        <f>(G9-G6)/3+G7</f>
        <v>6767.4333333333325</v>
      </c>
      <c r="H8" s="179">
        <f t="shared" si="1"/>
        <v>7.7166666666662422</v>
      </c>
      <c r="I8" s="192">
        <f>(I9-I6)/3+I7</f>
        <v>14090.666666666668</v>
      </c>
      <c r="J8" s="179">
        <f t="shared" ref="J8" si="2">(I8-I7)</f>
        <v>9.3333333333339397</v>
      </c>
      <c r="K8" s="192">
        <v>1283</v>
      </c>
      <c r="L8" s="179">
        <f t="shared" ref="L8" si="3">(K8-K7)</f>
        <v>170</v>
      </c>
      <c r="M8" s="179">
        <f t="shared" ref="M8:M34" si="4">L8*55%</f>
        <v>93.500000000000014</v>
      </c>
      <c r="N8" s="179">
        <f t="shared" ref="N8:N34" si="5">L8*45%</f>
        <v>76.5</v>
      </c>
      <c r="O8" s="192">
        <v>721</v>
      </c>
      <c r="P8" s="179">
        <f t="shared" ref="P8" si="6">(O8-O7)</f>
        <v>64</v>
      </c>
      <c r="R8" s="109">
        <f t="shared" ref="R8:R37" si="7">SUM(D8,F8,M8,J8,H8)</f>
        <v>598.55000000000018</v>
      </c>
      <c r="S8" s="100">
        <f t="shared" ref="S8:S34" si="8">SUM(N8,P8)</f>
        <v>140.5</v>
      </c>
    </row>
    <row r="9" spans="1:19" ht="39.950000000000003" customHeight="1">
      <c r="A9" s="147">
        <v>44380</v>
      </c>
      <c r="B9" s="16"/>
      <c r="C9" s="192">
        <v>1458</v>
      </c>
      <c r="D9" s="179">
        <f t="shared" si="0"/>
        <v>267</v>
      </c>
      <c r="E9" s="192">
        <v>3087</v>
      </c>
      <c r="F9" s="179">
        <f t="shared" si="1"/>
        <v>289</v>
      </c>
      <c r="G9" s="192">
        <v>6775.15</v>
      </c>
      <c r="H9" s="179">
        <f t="shared" si="1"/>
        <v>7.7166666666671517</v>
      </c>
      <c r="I9" s="192">
        <v>14100</v>
      </c>
      <c r="J9" s="179">
        <f t="shared" ref="J9" si="9">(I9-I8)</f>
        <v>9.3333333333321207</v>
      </c>
      <c r="K9" s="192">
        <v>1339</v>
      </c>
      <c r="L9" s="179">
        <f t="shared" ref="L9" si="10">(K9-K8)</f>
        <v>56</v>
      </c>
      <c r="M9" s="179">
        <f t="shared" si="4"/>
        <v>30.800000000000004</v>
      </c>
      <c r="N9" s="179">
        <f t="shared" si="5"/>
        <v>25.2</v>
      </c>
      <c r="O9" s="192">
        <v>803</v>
      </c>
      <c r="P9" s="179">
        <f t="shared" ref="P9" si="11">(O9-O8)</f>
        <v>82</v>
      </c>
      <c r="R9" s="109">
        <f t="shared" si="7"/>
        <v>603.84999999999923</v>
      </c>
      <c r="S9" s="100">
        <f t="shared" si="8"/>
        <v>107.2</v>
      </c>
    </row>
    <row r="10" spans="1:19" ht="39.950000000000003" customHeight="1">
      <c r="A10" s="147">
        <v>44381</v>
      </c>
      <c r="B10" s="16"/>
      <c r="C10" s="192">
        <v>1500</v>
      </c>
      <c r="D10" s="179">
        <f t="shared" si="0"/>
        <v>42</v>
      </c>
      <c r="E10" s="192">
        <v>3410</v>
      </c>
      <c r="F10" s="179">
        <f t="shared" si="1"/>
        <v>323</v>
      </c>
      <c r="G10" s="192">
        <v>6780.9074000000001</v>
      </c>
      <c r="H10" s="179">
        <f t="shared" si="1"/>
        <v>5.7574000000004162</v>
      </c>
      <c r="I10" s="192">
        <v>14117</v>
      </c>
      <c r="J10" s="179">
        <f t="shared" ref="J10" si="12">(I10-I9)</f>
        <v>17</v>
      </c>
      <c r="K10" s="192">
        <v>1648</v>
      </c>
      <c r="L10" s="179">
        <f t="shared" ref="L10" si="13">(K10-K9)</f>
        <v>309</v>
      </c>
      <c r="M10" s="179">
        <f t="shared" si="4"/>
        <v>169.95000000000002</v>
      </c>
      <c r="N10" s="179">
        <f t="shared" si="5"/>
        <v>139.05000000000001</v>
      </c>
      <c r="O10" s="192">
        <v>906</v>
      </c>
      <c r="P10" s="179">
        <f t="shared" ref="P10" si="14">(O10-O9)</f>
        <v>103</v>
      </c>
      <c r="R10" s="109">
        <f t="shared" si="7"/>
        <v>557.70740000000046</v>
      </c>
      <c r="S10" s="100">
        <f t="shared" si="8"/>
        <v>242.05</v>
      </c>
    </row>
    <row r="11" spans="1:19" ht="39.950000000000003" customHeight="1">
      <c r="A11" s="147">
        <v>44382</v>
      </c>
      <c r="B11" s="16"/>
      <c r="C11" s="192">
        <v>1651</v>
      </c>
      <c r="D11" s="179">
        <f t="shared" si="0"/>
        <v>151</v>
      </c>
      <c r="E11" s="192">
        <v>3713</v>
      </c>
      <c r="F11" s="179">
        <f t="shared" si="1"/>
        <v>303</v>
      </c>
      <c r="G11" s="192">
        <v>6787</v>
      </c>
      <c r="H11" s="179">
        <f t="shared" si="1"/>
        <v>6.0925999999999476</v>
      </c>
      <c r="I11" s="192">
        <v>14133</v>
      </c>
      <c r="J11" s="179">
        <f t="shared" ref="J11" si="15">(I11-I10)</f>
        <v>16</v>
      </c>
      <c r="K11" s="192">
        <v>1805</v>
      </c>
      <c r="L11" s="179">
        <f t="shared" ref="L11" si="16">(K11-K10)</f>
        <v>157</v>
      </c>
      <c r="M11" s="179">
        <f t="shared" si="4"/>
        <v>86.350000000000009</v>
      </c>
      <c r="N11" s="179">
        <f t="shared" si="5"/>
        <v>70.650000000000006</v>
      </c>
      <c r="O11" s="192">
        <v>975</v>
      </c>
      <c r="P11" s="179">
        <f t="shared" ref="P11" si="17">(O11-O10)</f>
        <v>69</v>
      </c>
      <c r="R11" s="109">
        <f t="shared" si="7"/>
        <v>562.44259999999997</v>
      </c>
      <c r="S11" s="100">
        <f t="shared" si="8"/>
        <v>139.65</v>
      </c>
    </row>
    <row r="12" spans="1:19" ht="39.950000000000003" customHeight="1">
      <c r="A12" s="147">
        <v>44383</v>
      </c>
      <c r="B12" s="16"/>
      <c r="C12" s="192">
        <v>1816</v>
      </c>
      <c r="D12" s="179">
        <f t="shared" si="0"/>
        <v>165</v>
      </c>
      <c r="E12" s="192">
        <v>4001</v>
      </c>
      <c r="F12" s="179">
        <f t="shared" si="1"/>
        <v>288</v>
      </c>
      <c r="G12" s="192">
        <v>6795.5915999999997</v>
      </c>
      <c r="H12" s="179">
        <f t="shared" si="1"/>
        <v>8.5915999999997439</v>
      </c>
      <c r="I12" s="192">
        <v>14140</v>
      </c>
      <c r="J12" s="179">
        <f t="shared" ref="J12" si="18">(I12-I11)</f>
        <v>7</v>
      </c>
      <c r="K12" s="192">
        <v>1965</v>
      </c>
      <c r="L12" s="179">
        <f t="shared" ref="L12" si="19">(K12-K11)</f>
        <v>160</v>
      </c>
      <c r="M12" s="179">
        <f t="shared" si="4"/>
        <v>88</v>
      </c>
      <c r="N12" s="179">
        <f t="shared" si="5"/>
        <v>72</v>
      </c>
      <c r="O12" s="192">
        <v>1050</v>
      </c>
      <c r="P12" s="179">
        <f t="shared" ref="P12" si="20">(O12-O11)</f>
        <v>75</v>
      </c>
      <c r="R12" s="109">
        <f t="shared" si="7"/>
        <v>556.59159999999974</v>
      </c>
      <c r="S12" s="100">
        <f t="shared" si="8"/>
        <v>147</v>
      </c>
    </row>
    <row r="13" spans="1:19" ht="39.950000000000003" customHeight="1">
      <c r="A13" s="147">
        <v>44384</v>
      </c>
      <c r="B13" s="16"/>
      <c r="C13" s="192">
        <v>1961</v>
      </c>
      <c r="D13" s="179">
        <f t="shared" si="0"/>
        <v>145</v>
      </c>
      <c r="E13" s="192">
        <v>4275</v>
      </c>
      <c r="F13" s="179">
        <f t="shared" si="1"/>
        <v>274</v>
      </c>
      <c r="G13" s="192">
        <v>6801.1629000000003</v>
      </c>
      <c r="H13" s="179">
        <f t="shared" si="1"/>
        <v>5.5713000000005195</v>
      </c>
      <c r="I13" s="192">
        <v>14144</v>
      </c>
      <c r="J13" s="179">
        <f t="shared" ref="J13" si="21">(I13-I12)</f>
        <v>4</v>
      </c>
      <c r="K13" s="192">
        <v>2117</v>
      </c>
      <c r="L13" s="179">
        <f t="shared" ref="L13" si="22">(K13-K12)</f>
        <v>152</v>
      </c>
      <c r="M13" s="179">
        <f t="shared" si="4"/>
        <v>83.600000000000009</v>
      </c>
      <c r="N13" s="179">
        <f t="shared" si="5"/>
        <v>68.400000000000006</v>
      </c>
      <c r="O13" s="192">
        <v>1130</v>
      </c>
      <c r="P13" s="179">
        <f t="shared" ref="P13" si="23">(O13-O12)</f>
        <v>80</v>
      </c>
      <c r="R13" s="109">
        <f t="shared" si="7"/>
        <v>512.17130000000054</v>
      </c>
      <c r="S13" s="100">
        <f t="shared" si="8"/>
        <v>148.4</v>
      </c>
    </row>
    <row r="14" spans="1:19" ht="39.950000000000003" customHeight="1">
      <c r="A14" s="147">
        <v>44385</v>
      </c>
      <c r="B14" s="16"/>
      <c r="C14" s="192">
        <v>2114</v>
      </c>
      <c r="D14" s="179">
        <f t="shared" si="0"/>
        <v>153</v>
      </c>
      <c r="E14" s="192">
        <v>4524</v>
      </c>
      <c r="F14" s="179">
        <f t="shared" si="1"/>
        <v>249</v>
      </c>
      <c r="G14" s="192">
        <v>6806</v>
      </c>
      <c r="H14" s="179">
        <f t="shared" si="1"/>
        <v>4.8370999999997366</v>
      </c>
      <c r="I14" s="192">
        <v>14157</v>
      </c>
      <c r="J14" s="179">
        <f t="shared" ref="J14" si="24">(I14-I13)</f>
        <v>13</v>
      </c>
      <c r="K14" s="192">
        <v>2255</v>
      </c>
      <c r="L14" s="179">
        <f t="shared" ref="L14" si="25">(K14-K13)</f>
        <v>138</v>
      </c>
      <c r="M14" s="179">
        <f t="shared" si="4"/>
        <v>75.900000000000006</v>
      </c>
      <c r="N14" s="179">
        <f t="shared" si="5"/>
        <v>62.1</v>
      </c>
      <c r="O14" s="192">
        <v>1212</v>
      </c>
      <c r="P14" s="179">
        <f t="shared" ref="P14" si="26">(O14-O13)</f>
        <v>82</v>
      </c>
      <c r="R14" s="109">
        <f t="shared" si="7"/>
        <v>495.73709999999971</v>
      </c>
      <c r="S14" s="100">
        <f t="shared" si="8"/>
        <v>144.1</v>
      </c>
    </row>
    <row r="15" spans="1:19" ht="39.950000000000003" customHeight="1">
      <c r="A15" s="147">
        <v>44386</v>
      </c>
      <c r="B15" s="16"/>
      <c r="C15" s="192">
        <v>2264</v>
      </c>
      <c r="D15" s="179">
        <f t="shared" si="0"/>
        <v>150</v>
      </c>
      <c r="E15" s="192">
        <v>4827</v>
      </c>
      <c r="F15" s="179">
        <f t="shared" si="1"/>
        <v>303</v>
      </c>
      <c r="G15" s="192">
        <v>6811</v>
      </c>
      <c r="H15" s="179">
        <f t="shared" si="1"/>
        <v>5</v>
      </c>
      <c r="I15" s="192">
        <v>14169</v>
      </c>
      <c r="J15" s="179">
        <f t="shared" ref="J15" si="27">(I15-I14)</f>
        <v>12</v>
      </c>
      <c r="K15" s="192">
        <v>2410</v>
      </c>
      <c r="L15" s="179">
        <f t="shared" ref="L15" si="28">(K15-K14)</f>
        <v>155</v>
      </c>
      <c r="M15" s="179">
        <f t="shared" si="4"/>
        <v>85.25</v>
      </c>
      <c r="N15" s="179">
        <f t="shared" si="5"/>
        <v>69.75</v>
      </c>
      <c r="O15" s="192">
        <v>1290</v>
      </c>
      <c r="P15" s="179">
        <f t="shared" ref="P15" si="29">(O15-O14)</f>
        <v>78</v>
      </c>
      <c r="R15" s="109">
        <f t="shared" si="7"/>
        <v>555.25</v>
      </c>
      <c r="S15" s="100">
        <f t="shared" si="8"/>
        <v>147.75</v>
      </c>
    </row>
    <row r="16" spans="1:19" ht="39.950000000000003" customHeight="1">
      <c r="A16" s="147">
        <v>44387</v>
      </c>
      <c r="B16" s="16"/>
      <c r="C16" s="192">
        <v>2422</v>
      </c>
      <c r="D16" s="179">
        <f t="shared" si="0"/>
        <v>158</v>
      </c>
      <c r="E16" s="192">
        <v>5113</v>
      </c>
      <c r="F16" s="179">
        <f t="shared" si="1"/>
        <v>286</v>
      </c>
      <c r="G16" s="192">
        <v>6816</v>
      </c>
      <c r="H16" s="179">
        <f t="shared" si="1"/>
        <v>5</v>
      </c>
      <c r="I16" s="192">
        <v>14180</v>
      </c>
      <c r="J16" s="179">
        <f t="shared" ref="J16" si="30">(I16-I15)</f>
        <v>11</v>
      </c>
      <c r="K16" s="192">
        <v>2707</v>
      </c>
      <c r="L16" s="179">
        <f t="shared" ref="L16" si="31">(K16-K15)</f>
        <v>297</v>
      </c>
      <c r="M16" s="179">
        <f t="shared" si="4"/>
        <v>163.35000000000002</v>
      </c>
      <c r="N16" s="179">
        <f t="shared" si="5"/>
        <v>133.65</v>
      </c>
      <c r="O16" s="192">
        <v>1376</v>
      </c>
      <c r="P16" s="179">
        <f t="shared" ref="P16" si="32">(O16-O15)</f>
        <v>86</v>
      </c>
      <c r="R16" s="109">
        <f t="shared" si="7"/>
        <v>623.35</v>
      </c>
      <c r="S16" s="100">
        <f t="shared" si="8"/>
        <v>219.65</v>
      </c>
    </row>
    <row r="17" spans="1:19" ht="39.950000000000003" customHeight="1">
      <c r="A17" s="147">
        <v>44388</v>
      </c>
      <c r="B17" s="16"/>
      <c r="C17" s="192">
        <v>2580</v>
      </c>
      <c r="D17" s="179">
        <f t="shared" si="0"/>
        <v>158</v>
      </c>
      <c r="E17" s="192">
        <v>5399</v>
      </c>
      <c r="F17" s="179">
        <f t="shared" si="1"/>
        <v>286</v>
      </c>
      <c r="G17" s="192">
        <v>6821</v>
      </c>
      <c r="H17" s="179">
        <f t="shared" si="1"/>
        <v>5</v>
      </c>
      <c r="I17" s="192">
        <v>14192</v>
      </c>
      <c r="J17" s="179">
        <f t="shared" ref="J17" si="33">(I17-I16)</f>
        <v>12</v>
      </c>
      <c r="K17" s="192">
        <v>3004</v>
      </c>
      <c r="L17" s="179">
        <f t="shared" ref="L17" si="34">(K17-K16)</f>
        <v>297</v>
      </c>
      <c r="M17" s="179">
        <f t="shared" si="4"/>
        <v>163.35000000000002</v>
      </c>
      <c r="N17" s="179">
        <f t="shared" si="5"/>
        <v>133.65</v>
      </c>
      <c r="O17" s="192">
        <v>1462</v>
      </c>
      <c r="P17" s="179">
        <f t="shared" ref="P17" si="35">(O17-O16)</f>
        <v>86</v>
      </c>
      <c r="R17" s="109">
        <f t="shared" si="7"/>
        <v>624.35</v>
      </c>
      <c r="S17" s="100">
        <f t="shared" si="8"/>
        <v>219.65</v>
      </c>
    </row>
    <row r="18" spans="1:19" ht="39.950000000000003" customHeight="1">
      <c r="A18" s="147">
        <v>44389</v>
      </c>
      <c r="B18" s="16"/>
      <c r="C18" s="192">
        <v>2738</v>
      </c>
      <c r="D18" s="179">
        <f t="shared" si="0"/>
        <v>158</v>
      </c>
      <c r="E18" s="192">
        <v>5685</v>
      </c>
      <c r="F18" s="179">
        <f t="shared" si="1"/>
        <v>286</v>
      </c>
      <c r="G18" s="192">
        <v>6826</v>
      </c>
      <c r="H18" s="179">
        <f t="shared" si="1"/>
        <v>5</v>
      </c>
      <c r="I18" s="192">
        <v>14205</v>
      </c>
      <c r="J18" s="179">
        <f t="shared" ref="J18" si="36">(I18-I17)</f>
        <v>13</v>
      </c>
      <c r="K18" s="192">
        <v>3301</v>
      </c>
      <c r="L18" s="179">
        <f t="shared" ref="L18" si="37">(K18-K17)</f>
        <v>297</v>
      </c>
      <c r="M18" s="179">
        <f t="shared" si="4"/>
        <v>163.35000000000002</v>
      </c>
      <c r="N18" s="179">
        <f t="shared" si="5"/>
        <v>133.65</v>
      </c>
      <c r="O18" s="192">
        <v>1548</v>
      </c>
      <c r="P18" s="179">
        <f t="shared" ref="P18" si="38">(O18-O17)</f>
        <v>86</v>
      </c>
      <c r="R18" s="109">
        <f t="shared" si="7"/>
        <v>625.35</v>
      </c>
      <c r="S18" s="100">
        <f t="shared" si="8"/>
        <v>219.65</v>
      </c>
    </row>
    <row r="19" spans="1:19" s="81" customFormat="1" ht="39.950000000000003" customHeight="1">
      <c r="A19" s="147">
        <v>44390</v>
      </c>
      <c r="B19" s="84"/>
      <c r="C19" s="192">
        <v>2896</v>
      </c>
      <c r="D19" s="179">
        <f t="shared" si="0"/>
        <v>158</v>
      </c>
      <c r="E19" s="192">
        <v>5971</v>
      </c>
      <c r="F19" s="179">
        <f t="shared" si="1"/>
        <v>286</v>
      </c>
      <c r="G19" s="192">
        <v>6831</v>
      </c>
      <c r="H19" s="179">
        <f t="shared" si="1"/>
        <v>5</v>
      </c>
      <c r="I19" s="192">
        <v>14215</v>
      </c>
      <c r="J19" s="179">
        <f t="shared" ref="J19" si="39">(I19-I18)</f>
        <v>10</v>
      </c>
      <c r="K19" s="192">
        <v>3598</v>
      </c>
      <c r="L19" s="179">
        <f t="shared" ref="L19" si="40">(K19-K18)</f>
        <v>297</v>
      </c>
      <c r="M19" s="179">
        <f t="shared" si="4"/>
        <v>163.35000000000002</v>
      </c>
      <c r="N19" s="179">
        <f t="shared" si="5"/>
        <v>133.65</v>
      </c>
      <c r="O19" s="192">
        <v>1634</v>
      </c>
      <c r="P19" s="179">
        <f t="shared" ref="P19" si="41">(O19-O18)</f>
        <v>86</v>
      </c>
      <c r="R19" s="109">
        <f t="shared" si="7"/>
        <v>622.35</v>
      </c>
      <c r="S19" s="108">
        <f t="shared" si="8"/>
        <v>219.65</v>
      </c>
    </row>
    <row r="20" spans="1:19" s="81" customFormat="1" ht="39.950000000000003" customHeight="1">
      <c r="A20" s="147">
        <v>44391</v>
      </c>
      <c r="B20" s="84"/>
      <c r="C20" s="192">
        <v>3054</v>
      </c>
      <c r="D20" s="179">
        <f t="shared" si="0"/>
        <v>158</v>
      </c>
      <c r="E20" s="192">
        <v>6257</v>
      </c>
      <c r="F20" s="179">
        <f t="shared" si="1"/>
        <v>286</v>
      </c>
      <c r="G20" s="192">
        <v>6832</v>
      </c>
      <c r="H20" s="179">
        <f t="shared" si="1"/>
        <v>1</v>
      </c>
      <c r="I20" s="192">
        <v>14228</v>
      </c>
      <c r="J20" s="179">
        <f t="shared" ref="J20" si="42">(I20-I19)</f>
        <v>13</v>
      </c>
      <c r="K20" s="192">
        <v>3896</v>
      </c>
      <c r="L20" s="179">
        <f t="shared" ref="L20" si="43">(K20-K19)</f>
        <v>298</v>
      </c>
      <c r="M20" s="179">
        <f t="shared" si="4"/>
        <v>163.9</v>
      </c>
      <c r="N20" s="179">
        <f t="shared" si="5"/>
        <v>134.1</v>
      </c>
      <c r="O20" s="192">
        <v>1720</v>
      </c>
      <c r="P20" s="179">
        <f t="shared" ref="P20" si="44">(O20-O19)</f>
        <v>86</v>
      </c>
      <c r="R20" s="109">
        <f t="shared" si="7"/>
        <v>621.9</v>
      </c>
      <c r="S20" s="108">
        <f t="shared" si="8"/>
        <v>220.1</v>
      </c>
    </row>
    <row r="21" spans="1:19" s="81" customFormat="1" ht="39.950000000000003" customHeight="1">
      <c r="A21" s="147">
        <v>44392</v>
      </c>
      <c r="B21" s="84"/>
      <c r="C21" s="192">
        <v>3209</v>
      </c>
      <c r="D21" s="179">
        <f t="shared" si="0"/>
        <v>155</v>
      </c>
      <c r="E21" s="192">
        <v>6541</v>
      </c>
      <c r="F21" s="179">
        <f t="shared" si="1"/>
        <v>284</v>
      </c>
      <c r="G21" s="192">
        <v>6837</v>
      </c>
      <c r="H21" s="179">
        <f t="shared" si="1"/>
        <v>5</v>
      </c>
      <c r="I21" s="192">
        <v>14243</v>
      </c>
      <c r="J21" s="179">
        <f t="shared" ref="J21" si="45">(I21-I20)</f>
        <v>15</v>
      </c>
      <c r="K21" s="192">
        <v>4193</v>
      </c>
      <c r="L21" s="179">
        <f t="shared" ref="L21" si="46">(K21-K20)</f>
        <v>297</v>
      </c>
      <c r="M21" s="179">
        <f t="shared" si="4"/>
        <v>163.35000000000002</v>
      </c>
      <c r="N21" s="179">
        <f t="shared" si="5"/>
        <v>133.65</v>
      </c>
      <c r="O21" s="192">
        <v>1807</v>
      </c>
      <c r="P21" s="179">
        <f t="shared" ref="P21" si="47">(O21-O20)</f>
        <v>87</v>
      </c>
      <c r="R21" s="109">
        <f t="shared" si="7"/>
        <v>622.35</v>
      </c>
      <c r="S21" s="108">
        <f t="shared" si="8"/>
        <v>220.65</v>
      </c>
    </row>
    <row r="22" spans="1:19" s="81" customFormat="1" ht="39.950000000000003" customHeight="1">
      <c r="A22" s="147">
        <v>44393</v>
      </c>
      <c r="B22" s="84"/>
      <c r="C22" s="192">
        <v>3363</v>
      </c>
      <c r="D22" s="179">
        <f t="shared" si="0"/>
        <v>154</v>
      </c>
      <c r="E22" s="192">
        <v>6841</v>
      </c>
      <c r="F22" s="179">
        <f t="shared" si="1"/>
        <v>300</v>
      </c>
      <c r="G22" s="192">
        <v>6842</v>
      </c>
      <c r="H22" s="179">
        <f t="shared" si="1"/>
        <v>5</v>
      </c>
      <c r="I22" s="192">
        <v>14256</v>
      </c>
      <c r="J22" s="179">
        <f t="shared" ref="J22" si="48">(I22-I21)</f>
        <v>13</v>
      </c>
      <c r="K22" s="192">
        <v>4480</v>
      </c>
      <c r="L22" s="179">
        <f t="shared" ref="L22" si="49">(K22-K21)</f>
        <v>287</v>
      </c>
      <c r="M22" s="179">
        <f t="shared" si="4"/>
        <v>157.85000000000002</v>
      </c>
      <c r="N22" s="179">
        <f t="shared" si="5"/>
        <v>129.15</v>
      </c>
      <c r="O22" s="192">
        <v>1904</v>
      </c>
      <c r="P22" s="179">
        <f t="shared" ref="P22" si="50">(O22-O21)</f>
        <v>97</v>
      </c>
      <c r="R22" s="109">
        <f t="shared" si="7"/>
        <v>629.85</v>
      </c>
      <c r="S22" s="108">
        <f t="shared" si="8"/>
        <v>226.15</v>
      </c>
    </row>
    <row r="23" spans="1:19" s="81" customFormat="1" ht="39.950000000000003" customHeight="1">
      <c r="A23" s="147">
        <v>44394</v>
      </c>
      <c r="B23" s="84"/>
      <c r="C23" s="192">
        <v>3511</v>
      </c>
      <c r="D23" s="179">
        <f t="shared" si="0"/>
        <v>148</v>
      </c>
      <c r="E23" s="192">
        <v>7148.8571428571431</v>
      </c>
      <c r="F23" s="179">
        <f t="shared" si="1"/>
        <v>307.85714285714312</v>
      </c>
      <c r="G23" s="192">
        <v>6850.3159999999998</v>
      </c>
      <c r="H23" s="179">
        <f t="shared" si="1"/>
        <v>8.3159999999998035</v>
      </c>
      <c r="I23" s="192">
        <v>14270</v>
      </c>
      <c r="J23" s="179">
        <f t="shared" ref="J23" si="51">(I23-I22)</f>
        <v>14</v>
      </c>
      <c r="K23" s="192">
        <v>4778</v>
      </c>
      <c r="L23" s="179">
        <f t="shared" ref="L23" si="52">(K23-K22)</f>
        <v>298</v>
      </c>
      <c r="M23" s="179">
        <f t="shared" si="4"/>
        <v>163.9</v>
      </c>
      <c r="N23" s="179">
        <f t="shared" si="5"/>
        <v>134.1</v>
      </c>
      <c r="O23" s="192">
        <v>1986</v>
      </c>
      <c r="P23" s="179">
        <f t="shared" ref="P23" si="53">(O23-O22)</f>
        <v>82</v>
      </c>
      <c r="R23" s="109">
        <f t="shared" si="7"/>
        <v>642.0731428571429</v>
      </c>
      <c r="S23" s="108">
        <f t="shared" si="8"/>
        <v>216.1</v>
      </c>
    </row>
    <row r="24" spans="1:19" s="81" customFormat="1" ht="39.950000000000003" customHeight="1">
      <c r="A24" s="147">
        <v>44395</v>
      </c>
      <c r="B24" s="84"/>
      <c r="C24" s="192">
        <v>3664</v>
      </c>
      <c r="D24" s="179">
        <f t="shared" si="0"/>
        <v>153</v>
      </c>
      <c r="E24" s="192">
        <v>7454.591836734694</v>
      </c>
      <c r="F24" s="179">
        <f t="shared" si="1"/>
        <v>305.73469387755085</v>
      </c>
      <c r="G24" s="192">
        <v>6855.8329999999996</v>
      </c>
      <c r="H24" s="179">
        <f t="shared" si="1"/>
        <v>5.5169999999998254</v>
      </c>
      <c r="I24" s="192">
        <v>14277</v>
      </c>
      <c r="J24" s="179">
        <f t="shared" ref="J24" si="54">(I24-I23)</f>
        <v>7</v>
      </c>
      <c r="K24" s="192">
        <v>5190</v>
      </c>
      <c r="L24" s="179">
        <f t="shared" ref="L24" si="55">(K24-K23)</f>
        <v>412</v>
      </c>
      <c r="M24" s="179">
        <f t="shared" si="4"/>
        <v>226.60000000000002</v>
      </c>
      <c r="N24" s="179">
        <f t="shared" si="5"/>
        <v>185.4</v>
      </c>
      <c r="O24" s="192">
        <v>2083</v>
      </c>
      <c r="P24" s="179">
        <f t="shared" ref="P24" si="56">(O24-O23)</f>
        <v>97</v>
      </c>
      <c r="R24" s="109">
        <f t="shared" si="7"/>
        <v>697.8516938775507</v>
      </c>
      <c r="S24" s="108">
        <f t="shared" si="8"/>
        <v>282.39999999999998</v>
      </c>
    </row>
    <row r="25" spans="1:19" s="81" customFormat="1" ht="39.950000000000003" customHeight="1">
      <c r="A25" s="147">
        <v>44396</v>
      </c>
      <c r="B25" s="84"/>
      <c r="C25" s="192">
        <v>3820.8</v>
      </c>
      <c r="D25" s="179">
        <f t="shared" si="0"/>
        <v>156.80000000000018</v>
      </c>
      <c r="E25" s="192">
        <v>7766.3644314868807</v>
      </c>
      <c r="F25" s="179">
        <f t="shared" si="1"/>
        <v>311.77259475218671</v>
      </c>
      <c r="G25" s="192">
        <v>6859</v>
      </c>
      <c r="H25" s="179">
        <f t="shared" si="1"/>
        <v>3.1670000000003711</v>
      </c>
      <c r="I25" s="192">
        <v>14287</v>
      </c>
      <c r="J25" s="179">
        <f t="shared" ref="J25" si="57">(I25-I24)</f>
        <v>10</v>
      </c>
      <c r="K25" s="192">
        <v>5720</v>
      </c>
      <c r="L25" s="179">
        <f t="shared" ref="L25" si="58">(K25-K24)</f>
        <v>530</v>
      </c>
      <c r="M25" s="179">
        <f t="shared" si="4"/>
        <v>291.5</v>
      </c>
      <c r="N25" s="179">
        <f t="shared" si="5"/>
        <v>238.5</v>
      </c>
      <c r="O25" s="192">
        <v>2215</v>
      </c>
      <c r="P25" s="179">
        <f t="shared" ref="P25" si="59">(O25-O24)</f>
        <v>132</v>
      </c>
      <c r="R25" s="109">
        <f t="shared" si="7"/>
        <v>773.23959475218726</v>
      </c>
      <c r="S25" s="108">
        <f t="shared" si="8"/>
        <v>370.5</v>
      </c>
    </row>
    <row r="26" spans="1:19" ht="39.950000000000003" customHeight="1">
      <c r="A26" s="147">
        <v>44397</v>
      </c>
      <c r="B26" s="84"/>
      <c r="C26" s="192">
        <v>3979.2400000000002</v>
      </c>
      <c r="D26" s="179">
        <f t="shared" si="0"/>
        <v>158.44000000000005</v>
      </c>
      <c r="E26" s="192">
        <v>8077.1695127030407</v>
      </c>
      <c r="F26" s="179">
        <f t="shared" si="1"/>
        <v>310.80508121616003</v>
      </c>
      <c r="G26" s="192">
        <v>6861.0550000000003</v>
      </c>
      <c r="H26" s="179">
        <f t="shared" si="1"/>
        <v>2.055000000000291</v>
      </c>
      <c r="I26" s="192">
        <v>14296</v>
      </c>
      <c r="J26" s="179">
        <f t="shared" ref="J26" si="60">(I26-I25)</f>
        <v>9</v>
      </c>
      <c r="K26" s="192">
        <v>6250</v>
      </c>
      <c r="L26" s="179">
        <f t="shared" ref="L26" si="61">(K26-K25)</f>
        <v>530</v>
      </c>
      <c r="M26" s="179">
        <f t="shared" si="4"/>
        <v>291.5</v>
      </c>
      <c r="N26" s="179">
        <f t="shared" si="5"/>
        <v>238.5</v>
      </c>
      <c r="O26" s="192">
        <v>2347</v>
      </c>
      <c r="P26" s="179">
        <f t="shared" ref="P26" si="62">(O26-O25)</f>
        <v>132</v>
      </c>
      <c r="R26" s="109">
        <f t="shared" si="7"/>
        <v>771.80008121616038</v>
      </c>
      <c r="S26" s="100">
        <f t="shared" si="8"/>
        <v>370.5</v>
      </c>
    </row>
    <row r="27" spans="1:19" ht="39.950000000000003" customHeight="1">
      <c r="A27" s="147">
        <v>44398</v>
      </c>
      <c r="B27" s="84"/>
      <c r="C27" s="192">
        <v>4139</v>
      </c>
      <c r="D27" s="179">
        <f t="shared" si="0"/>
        <v>159.75999999999976</v>
      </c>
      <c r="E27" s="192">
        <v>8385.8595823168926</v>
      </c>
      <c r="F27" s="179">
        <f t="shared" si="1"/>
        <v>308.69006961385185</v>
      </c>
      <c r="G27" s="192">
        <v>6863</v>
      </c>
      <c r="H27" s="179">
        <f t="shared" si="1"/>
        <v>1.944999999999709</v>
      </c>
      <c r="I27" s="192">
        <v>14306</v>
      </c>
      <c r="J27" s="179">
        <f t="shared" ref="J27" si="63">(I27-I26)</f>
        <v>10</v>
      </c>
      <c r="K27" s="192">
        <v>6448</v>
      </c>
      <c r="L27" s="179">
        <f t="shared" ref="L27" si="64">(K27-K26)</f>
        <v>198</v>
      </c>
      <c r="M27" s="179">
        <f t="shared" si="4"/>
        <v>108.9</v>
      </c>
      <c r="N27" s="179">
        <f t="shared" si="5"/>
        <v>89.100000000000009</v>
      </c>
      <c r="O27" s="192">
        <v>2389</v>
      </c>
      <c r="P27" s="179">
        <f t="shared" ref="P27" si="65">(O27-O26)</f>
        <v>42</v>
      </c>
      <c r="R27" s="109">
        <f t="shared" si="7"/>
        <v>589.2950696138513</v>
      </c>
      <c r="S27" s="100">
        <f t="shared" si="8"/>
        <v>131.10000000000002</v>
      </c>
    </row>
    <row r="28" spans="1:19" ht="39.950000000000003" customHeight="1">
      <c r="A28" s="147">
        <v>44399</v>
      </c>
      <c r="B28" s="84"/>
      <c r="C28" s="192">
        <v>4295.7536</v>
      </c>
      <c r="D28" s="179">
        <f t="shared" si="0"/>
        <v>156.75360000000001</v>
      </c>
      <c r="E28" s="192">
        <v>8690.022499128765</v>
      </c>
      <c r="F28" s="179">
        <f t="shared" si="1"/>
        <v>304.16291681187249</v>
      </c>
      <c r="G28" s="192">
        <v>6867</v>
      </c>
      <c r="H28" s="179">
        <f t="shared" si="1"/>
        <v>4</v>
      </c>
      <c r="I28" s="192">
        <v>14316</v>
      </c>
      <c r="J28" s="179">
        <f t="shared" ref="J28" si="66">(I28-I27)</f>
        <v>10</v>
      </c>
      <c r="K28" s="192">
        <v>6656</v>
      </c>
      <c r="L28" s="179">
        <f t="shared" ref="L28" si="67">(K28-K27)</f>
        <v>208</v>
      </c>
      <c r="M28" s="179">
        <f t="shared" si="4"/>
        <v>114.4</v>
      </c>
      <c r="N28" s="179">
        <f t="shared" si="5"/>
        <v>93.600000000000009</v>
      </c>
      <c r="O28" s="192">
        <v>2430</v>
      </c>
      <c r="P28" s="179">
        <f t="shared" ref="P28" si="68">(O28-O27)</f>
        <v>41</v>
      </c>
      <c r="R28" s="109">
        <f t="shared" si="7"/>
        <v>589.31651681187248</v>
      </c>
      <c r="S28" s="100">
        <f t="shared" si="8"/>
        <v>134.60000000000002</v>
      </c>
    </row>
    <row r="29" spans="1:19" ht="39.950000000000003" customHeight="1">
      <c r="A29" s="147">
        <v>44400</v>
      </c>
      <c r="B29" s="84"/>
      <c r="C29" s="192">
        <v>4448</v>
      </c>
      <c r="D29" s="179">
        <f t="shared" si="0"/>
        <v>152.24639999999999</v>
      </c>
      <c r="E29" s="192">
        <v>8996</v>
      </c>
      <c r="F29" s="179">
        <f t="shared" si="1"/>
        <v>305.97750087123495</v>
      </c>
      <c r="G29" s="192">
        <v>6872</v>
      </c>
      <c r="H29" s="179">
        <f t="shared" si="1"/>
        <v>5</v>
      </c>
      <c r="I29" s="192">
        <v>14326</v>
      </c>
      <c r="J29" s="179">
        <f t="shared" ref="J29" si="69">(I29-I28)</f>
        <v>10</v>
      </c>
      <c r="K29" s="192">
        <v>7014</v>
      </c>
      <c r="L29" s="179">
        <f t="shared" ref="L29" si="70">(K29-K28)</f>
        <v>358</v>
      </c>
      <c r="M29" s="179">
        <f t="shared" si="4"/>
        <v>196.9</v>
      </c>
      <c r="N29" s="179">
        <f t="shared" si="5"/>
        <v>161.1</v>
      </c>
      <c r="O29" s="192">
        <v>2509</v>
      </c>
      <c r="P29" s="179">
        <f t="shared" ref="P29" si="71">(O29-O28)</f>
        <v>79</v>
      </c>
      <c r="R29" s="109">
        <f t="shared" si="7"/>
        <v>670.12390087123492</v>
      </c>
      <c r="S29" s="100">
        <f t="shared" si="8"/>
        <v>240.1</v>
      </c>
    </row>
    <row r="30" spans="1:19" ht="39.950000000000003" customHeight="1">
      <c r="A30" s="147">
        <v>44401</v>
      </c>
      <c r="B30" s="84"/>
      <c r="C30" s="192">
        <v>4613</v>
      </c>
      <c r="D30" s="179">
        <f t="shared" si="0"/>
        <v>165</v>
      </c>
      <c r="E30" s="192">
        <v>9289</v>
      </c>
      <c r="F30" s="179">
        <f t="shared" si="1"/>
        <v>293</v>
      </c>
      <c r="G30" s="192">
        <v>6878</v>
      </c>
      <c r="H30" s="179">
        <f t="shared" si="1"/>
        <v>6</v>
      </c>
      <c r="I30" s="192">
        <v>14336</v>
      </c>
      <c r="J30" s="179">
        <f t="shared" ref="J30" si="72">(I30-I29)</f>
        <v>10</v>
      </c>
      <c r="K30" s="192">
        <v>7383</v>
      </c>
      <c r="L30" s="179">
        <f t="shared" ref="L30" si="73">(K30-K29)</f>
        <v>369</v>
      </c>
      <c r="M30" s="179">
        <f t="shared" si="4"/>
        <v>202.95000000000002</v>
      </c>
      <c r="N30" s="179">
        <f t="shared" si="5"/>
        <v>166.05</v>
      </c>
      <c r="O30" s="192">
        <v>2592</v>
      </c>
      <c r="P30" s="179">
        <f t="shared" ref="P30" si="74">(O30-O29)</f>
        <v>83</v>
      </c>
      <c r="R30" s="109">
        <f t="shared" si="7"/>
        <v>676.95</v>
      </c>
      <c r="S30" s="100">
        <f t="shared" si="8"/>
        <v>249.05</v>
      </c>
    </row>
    <row r="31" spans="1:19" ht="39.950000000000003" customHeight="1">
      <c r="A31" s="147">
        <v>44402</v>
      </c>
      <c r="B31" s="84"/>
      <c r="C31" s="192">
        <v>4769</v>
      </c>
      <c r="D31" s="179">
        <f t="shared" si="0"/>
        <v>156</v>
      </c>
      <c r="E31" s="192">
        <v>9637</v>
      </c>
      <c r="F31" s="179">
        <f t="shared" si="1"/>
        <v>348</v>
      </c>
      <c r="G31" s="192">
        <v>6885.54</v>
      </c>
      <c r="H31" s="179">
        <f t="shared" si="1"/>
        <v>7.5399999999999636</v>
      </c>
      <c r="I31" s="192">
        <v>14345</v>
      </c>
      <c r="J31" s="179">
        <f t="shared" ref="J31" si="75">(I31-I30)</f>
        <v>9</v>
      </c>
      <c r="K31" s="192">
        <v>7588</v>
      </c>
      <c r="L31" s="179">
        <f t="shared" ref="L31" si="76">(K31-K30)</f>
        <v>205</v>
      </c>
      <c r="M31" s="179">
        <f t="shared" si="4"/>
        <v>112.75000000000001</v>
      </c>
      <c r="N31" s="179">
        <f t="shared" si="5"/>
        <v>92.25</v>
      </c>
      <c r="O31" s="192">
        <v>2683</v>
      </c>
      <c r="P31" s="179">
        <f t="shared" ref="P31" si="77">(O31-O30)</f>
        <v>91</v>
      </c>
      <c r="R31" s="109">
        <f t="shared" si="7"/>
        <v>633.29</v>
      </c>
      <c r="S31" s="100">
        <f t="shared" si="8"/>
        <v>183.25</v>
      </c>
    </row>
    <row r="32" spans="1:19" ht="39.950000000000003" customHeight="1">
      <c r="A32" s="147">
        <v>44403</v>
      </c>
      <c r="B32" s="84"/>
      <c r="C32" s="192">
        <v>4930</v>
      </c>
      <c r="D32" s="179">
        <f t="shared" si="0"/>
        <v>161</v>
      </c>
      <c r="E32" s="192">
        <v>9942</v>
      </c>
      <c r="F32" s="179">
        <f t="shared" si="1"/>
        <v>305</v>
      </c>
      <c r="G32" s="192">
        <v>6906</v>
      </c>
      <c r="H32" s="179">
        <f t="shared" si="1"/>
        <v>20.460000000000036</v>
      </c>
      <c r="I32" s="192">
        <v>14367</v>
      </c>
      <c r="J32" s="179">
        <f t="shared" ref="J32" si="78">(I32-I31)</f>
        <v>22</v>
      </c>
      <c r="K32" s="192">
        <v>7757</v>
      </c>
      <c r="L32" s="179">
        <f t="shared" ref="L32" si="79">(K32-K31)</f>
        <v>169</v>
      </c>
      <c r="M32" s="179">
        <f t="shared" si="4"/>
        <v>92.95</v>
      </c>
      <c r="N32" s="179">
        <f t="shared" si="5"/>
        <v>76.05</v>
      </c>
      <c r="O32" s="192">
        <v>2754</v>
      </c>
      <c r="P32" s="179">
        <f t="shared" ref="P32" si="80">(O32-O31)</f>
        <v>71</v>
      </c>
      <c r="R32" s="109">
        <f t="shared" si="7"/>
        <v>601.41000000000008</v>
      </c>
      <c r="S32" s="100">
        <f t="shared" si="8"/>
        <v>147.05000000000001</v>
      </c>
    </row>
    <row r="33" spans="1:19" ht="39.950000000000003" customHeight="1">
      <c r="A33" s="147">
        <v>44404</v>
      </c>
      <c r="B33" s="84"/>
      <c r="C33" s="192">
        <v>5099</v>
      </c>
      <c r="D33" s="179">
        <f t="shared" si="0"/>
        <v>169</v>
      </c>
      <c r="E33" s="192">
        <v>10238</v>
      </c>
      <c r="F33" s="179">
        <f t="shared" si="1"/>
        <v>296</v>
      </c>
      <c r="G33" s="192">
        <v>6927</v>
      </c>
      <c r="H33" s="179">
        <f t="shared" si="1"/>
        <v>21</v>
      </c>
      <c r="I33" s="192">
        <v>14368</v>
      </c>
      <c r="J33" s="179">
        <f t="shared" ref="J33" si="81">(I33-I32)</f>
        <v>1</v>
      </c>
      <c r="K33" s="192">
        <v>7920</v>
      </c>
      <c r="L33" s="179">
        <f t="shared" ref="L33" si="82">(K33-K32)</f>
        <v>163</v>
      </c>
      <c r="M33" s="179">
        <f t="shared" si="4"/>
        <v>89.65</v>
      </c>
      <c r="N33" s="179">
        <f t="shared" si="5"/>
        <v>73.350000000000009</v>
      </c>
      <c r="O33" s="192">
        <v>2836</v>
      </c>
      <c r="P33" s="179">
        <f t="shared" ref="P33" si="83">(O33-O32)</f>
        <v>82</v>
      </c>
      <c r="R33" s="109">
        <f t="shared" si="7"/>
        <v>576.65</v>
      </c>
      <c r="S33" s="100">
        <f t="shared" si="8"/>
        <v>155.35000000000002</v>
      </c>
    </row>
    <row r="34" spans="1:19" ht="39.950000000000003" customHeight="1">
      <c r="A34" s="147">
        <v>44405</v>
      </c>
      <c r="B34" s="84"/>
      <c r="C34" s="192">
        <v>5225</v>
      </c>
      <c r="D34" s="179">
        <f t="shared" si="0"/>
        <v>126</v>
      </c>
      <c r="E34" s="192">
        <v>10515</v>
      </c>
      <c r="F34" s="179">
        <f t="shared" si="1"/>
        <v>277</v>
      </c>
      <c r="G34" s="192">
        <v>6947.1229999999996</v>
      </c>
      <c r="H34" s="179">
        <f t="shared" si="1"/>
        <v>20.122999999999593</v>
      </c>
      <c r="I34" s="192">
        <v>14380</v>
      </c>
      <c r="J34" s="179">
        <f t="shared" ref="J34" si="84">(I34-I33)</f>
        <v>12</v>
      </c>
      <c r="K34" s="192">
        <v>8254</v>
      </c>
      <c r="L34" s="179">
        <f t="shared" ref="L34" si="85">(K34-K33)</f>
        <v>334</v>
      </c>
      <c r="M34" s="179">
        <f t="shared" si="4"/>
        <v>183.70000000000002</v>
      </c>
      <c r="N34" s="179">
        <f t="shared" si="5"/>
        <v>150.30000000000001</v>
      </c>
      <c r="O34" s="192">
        <v>2917</v>
      </c>
      <c r="P34" s="179">
        <f t="shared" ref="P34" si="86">(O34-O33)</f>
        <v>81</v>
      </c>
      <c r="R34" s="109">
        <f t="shared" si="7"/>
        <v>618.82299999999964</v>
      </c>
      <c r="S34" s="100">
        <f t="shared" si="8"/>
        <v>231.3</v>
      </c>
    </row>
    <row r="35" spans="1:19" ht="39.950000000000003" customHeight="1">
      <c r="A35" s="147">
        <v>44406</v>
      </c>
      <c r="B35" s="84"/>
      <c r="C35" s="192">
        <v>5406</v>
      </c>
      <c r="D35" s="179">
        <f t="shared" si="0"/>
        <v>181</v>
      </c>
      <c r="E35" s="192">
        <v>10774</v>
      </c>
      <c r="F35" s="179">
        <f t="shared" si="1"/>
        <v>259</v>
      </c>
      <c r="G35" s="192">
        <v>6963</v>
      </c>
      <c r="H35" s="179">
        <f t="shared" si="1"/>
        <v>15.877000000000407</v>
      </c>
      <c r="I35" s="192">
        <v>14384</v>
      </c>
      <c r="J35" s="179">
        <f t="shared" ref="J35" si="87">(I35-I34)</f>
        <v>4</v>
      </c>
      <c r="K35" s="192">
        <v>8550</v>
      </c>
      <c r="L35" s="179">
        <f t="shared" ref="L35" si="88">(K35-K34)</f>
        <v>296</v>
      </c>
      <c r="M35" s="179">
        <f t="shared" ref="M35:M36" si="89">L35*55%</f>
        <v>162.80000000000001</v>
      </c>
      <c r="N35" s="179">
        <f t="shared" ref="N35:N36" si="90">L35*45%</f>
        <v>133.20000000000002</v>
      </c>
      <c r="O35" s="192">
        <v>2999</v>
      </c>
      <c r="P35" s="179">
        <f t="shared" ref="P35" si="91">(O35-O34)</f>
        <v>82</v>
      </c>
      <c r="R35" s="109">
        <f t="shared" si="7"/>
        <v>622.67700000000036</v>
      </c>
      <c r="S35" s="100">
        <f t="shared" ref="S35:S36" si="92">SUM(N35,P35)</f>
        <v>215.20000000000002</v>
      </c>
    </row>
    <row r="36" spans="1:19" ht="39.950000000000003" customHeight="1">
      <c r="A36" s="147">
        <v>44407</v>
      </c>
      <c r="B36" s="84"/>
      <c r="C36" s="192">
        <v>5570</v>
      </c>
      <c r="D36" s="179">
        <f t="shared" si="0"/>
        <v>164</v>
      </c>
      <c r="E36" s="192">
        <v>11054</v>
      </c>
      <c r="F36" s="179">
        <f t="shared" si="1"/>
        <v>280</v>
      </c>
      <c r="G36" s="192">
        <v>6977</v>
      </c>
      <c r="H36" s="179">
        <f t="shared" si="1"/>
        <v>14</v>
      </c>
      <c r="I36" s="192">
        <v>14386</v>
      </c>
      <c r="J36" s="179">
        <f t="shared" ref="J36" si="93">(I36-I35)</f>
        <v>2</v>
      </c>
      <c r="K36" s="192">
        <v>8937</v>
      </c>
      <c r="L36" s="179">
        <f t="shared" ref="L36" si="94">(K36-K35)</f>
        <v>387</v>
      </c>
      <c r="M36" s="179">
        <f t="shared" si="89"/>
        <v>212.85000000000002</v>
      </c>
      <c r="N36" s="179">
        <f t="shared" si="90"/>
        <v>174.15</v>
      </c>
      <c r="O36" s="192">
        <v>3081</v>
      </c>
      <c r="P36" s="179">
        <f t="shared" ref="P36" si="95">(O36-O35)</f>
        <v>82</v>
      </c>
      <c r="R36" s="109">
        <f t="shared" si="7"/>
        <v>672.85</v>
      </c>
      <c r="S36" s="100">
        <f t="shared" si="92"/>
        <v>256.14999999999998</v>
      </c>
    </row>
    <row r="37" spans="1:19" ht="39.950000000000003" customHeight="1">
      <c r="A37" s="147">
        <v>44408</v>
      </c>
      <c r="B37" s="16"/>
      <c r="C37" s="192">
        <v>5722</v>
      </c>
      <c r="D37" s="179">
        <f t="shared" si="0"/>
        <v>152</v>
      </c>
      <c r="E37" s="192">
        <v>11373</v>
      </c>
      <c r="F37" s="179">
        <f t="shared" si="1"/>
        <v>319</v>
      </c>
      <c r="G37" s="192">
        <v>6990.1589999999997</v>
      </c>
      <c r="H37" s="179">
        <f t="shared" si="1"/>
        <v>13.158999999999651</v>
      </c>
      <c r="I37" s="192">
        <v>14385</v>
      </c>
      <c r="J37" s="179">
        <f t="shared" ref="J37" si="96">(I37-I36)</f>
        <v>-1</v>
      </c>
      <c r="K37" s="192">
        <v>9277</v>
      </c>
      <c r="L37" s="179">
        <f t="shared" ref="L37" si="97">(K37-K36)</f>
        <v>340</v>
      </c>
      <c r="M37" s="179">
        <f t="shared" ref="M37" si="98">L37*55%</f>
        <v>187.00000000000003</v>
      </c>
      <c r="N37" s="179">
        <f t="shared" ref="N37" si="99">L37*45%</f>
        <v>153</v>
      </c>
      <c r="O37" s="192">
        <v>3155</v>
      </c>
      <c r="P37" s="179">
        <f t="shared" ref="P37" si="100">(O37-O36)</f>
        <v>74</v>
      </c>
      <c r="R37" s="109">
        <f t="shared" si="7"/>
        <v>670.15899999999965</v>
      </c>
      <c r="S37" s="100">
        <f t="shared" ref="S37" si="101">SUM(N37,P37)</f>
        <v>227</v>
      </c>
    </row>
    <row r="38" spans="1:19" s="22" customFormat="1" ht="39.950000000000003" customHeight="1">
      <c r="A38" s="21"/>
      <c r="D38" s="23">
        <f>SUM(D7:D37)</f>
        <v>4843</v>
      </c>
      <c r="F38" s="23">
        <f>SUM(F7:F37)</f>
        <v>9205</v>
      </c>
      <c r="H38" s="23">
        <f>SUM(H7:H37)</f>
        <v>238.15899999999965</v>
      </c>
      <c r="J38" s="23">
        <f>SUM(J7:J37)</f>
        <v>313</v>
      </c>
      <c r="L38" s="23">
        <f>SUM(L7:L37)</f>
        <v>8330</v>
      </c>
      <c r="M38" s="23"/>
      <c r="N38" s="23"/>
      <c r="P38" s="23">
        <f>SUM(P7:P37)</f>
        <v>2580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5" zoomScaleNormal="55" workbookViewId="0">
      <pane xSplit="2" ySplit="7" topLeftCell="AU29" activePane="bottomRight" state="frozen"/>
      <selection pane="topRight" activeCell="C1" sqref="C1"/>
      <selection pane="bottomLeft" activeCell="A8" sqref="A8"/>
      <selection pane="bottomRight" activeCell="BF44" sqref="BF44"/>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3" t="s">
        <v>66</v>
      </c>
      <c r="D1" s="203"/>
      <c r="E1" s="203"/>
      <c r="F1" s="203"/>
      <c r="G1" s="203" t="s">
        <v>65</v>
      </c>
      <c r="H1" s="203"/>
      <c r="I1" s="203" t="s">
        <v>65</v>
      </c>
      <c r="J1" s="203"/>
      <c r="K1" s="203" t="s">
        <v>65</v>
      </c>
      <c r="L1" s="203"/>
      <c r="M1" s="203" t="s">
        <v>65</v>
      </c>
      <c r="N1" s="203"/>
      <c r="O1" s="203" t="s">
        <v>65</v>
      </c>
      <c r="P1" s="203"/>
      <c r="Q1" s="216" t="s">
        <v>65</v>
      </c>
      <c r="R1" s="217"/>
      <c r="S1" s="216" t="s">
        <v>65</v>
      </c>
      <c r="T1" s="217"/>
      <c r="U1" s="216" t="s">
        <v>65</v>
      </c>
      <c r="V1" s="217"/>
      <c r="W1" s="216" t="s">
        <v>65</v>
      </c>
      <c r="X1" s="218"/>
      <c r="Y1" s="203" t="s">
        <v>65</v>
      </c>
      <c r="Z1" s="203"/>
      <c r="AA1" s="216" t="s">
        <v>65</v>
      </c>
      <c r="AB1" s="217"/>
      <c r="AC1" s="203" t="s">
        <v>65</v>
      </c>
      <c r="AD1" s="203"/>
      <c r="AE1" s="203" t="s">
        <v>65</v>
      </c>
      <c r="AF1" s="203"/>
      <c r="AG1" s="203" t="s">
        <v>65</v>
      </c>
      <c r="AH1" s="203"/>
      <c r="AI1" s="203" t="s">
        <v>65</v>
      </c>
      <c r="AJ1" s="203"/>
      <c r="AK1" s="203" t="s">
        <v>65</v>
      </c>
      <c r="AL1" s="203"/>
      <c r="AM1" s="203" t="s">
        <v>67</v>
      </c>
      <c r="AN1" s="203"/>
      <c r="AO1" s="203" t="s">
        <v>67</v>
      </c>
      <c r="AP1" s="203"/>
      <c r="AQ1" s="203" t="s">
        <v>67</v>
      </c>
      <c r="AR1" s="203"/>
      <c r="AS1" s="203" t="s">
        <v>67</v>
      </c>
      <c r="AT1" s="203"/>
      <c r="AU1" s="203" t="s">
        <v>67</v>
      </c>
      <c r="AV1" s="203"/>
      <c r="AW1" s="203" t="s">
        <v>67</v>
      </c>
      <c r="AX1" s="203"/>
      <c r="AY1" s="203" t="s">
        <v>67</v>
      </c>
      <c r="AZ1" s="203"/>
      <c r="BA1" s="203" t="s">
        <v>67</v>
      </c>
      <c r="BB1" s="203"/>
      <c r="BC1" s="203" t="s">
        <v>67</v>
      </c>
      <c r="BD1" s="203"/>
      <c r="BE1" s="203" t="s">
        <v>67</v>
      </c>
      <c r="BF1" s="203"/>
      <c r="BH1" s="33"/>
      <c r="BI1" s="33"/>
    </row>
    <row r="2" spans="1:61" s="25" customFormat="1" ht="75.75" customHeight="1">
      <c r="A2" s="50"/>
      <c r="B2" s="50"/>
      <c r="C2" s="238" t="s">
        <v>117</v>
      </c>
      <c r="D2" s="238"/>
      <c r="E2" s="238"/>
      <c r="F2" s="238"/>
      <c r="G2" s="238" t="s">
        <v>118</v>
      </c>
      <c r="H2" s="238"/>
      <c r="I2" s="238" t="s">
        <v>119</v>
      </c>
      <c r="J2" s="238"/>
      <c r="K2" s="238" t="s">
        <v>120</v>
      </c>
      <c r="L2" s="238"/>
      <c r="M2" s="238" t="s">
        <v>121</v>
      </c>
      <c r="N2" s="238"/>
      <c r="O2" s="243" t="s">
        <v>122</v>
      </c>
      <c r="P2" s="245"/>
      <c r="Q2" s="243" t="s">
        <v>123</v>
      </c>
      <c r="R2" s="245"/>
      <c r="S2" s="243" t="s">
        <v>124</v>
      </c>
      <c r="T2" s="245"/>
      <c r="U2" s="243" t="s">
        <v>125</v>
      </c>
      <c r="V2" s="245"/>
      <c r="W2" s="243" t="s">
        <v>126</v>
      </c>
      <c r="X2" s="244"/>
      <c r="Y2" s="238" t="s">
        <v>127</v>
      </c>
      <c r="Z2" s="238"/>
      <c r="AA2" s="243" t="s">
        <v>128</v>
      </c>
      <c r="AB2" s="245"/>
      <c r="AC2" s="238" t="s">
        <v>129</v>
      </c>
      <c r="AD2" s="238"/>
      <c r="AE2" s="238" t="s">
        <v>130</v>
      </c>
      <c r="AF2" s="238"/>
      <c r="AG2" s="238" t="s">
        <v>130</v>
      </c>
      <c r="AH2" s="238"/>
      <c r="AI2" s="238" t="s">
        <v>130</v>
      </c>
      <c r="AJ2" s="238"/>
      <c r="AK2" s="238" t="s">
        <v>130</v>
      </c>
      <c r="AL2" s="238"/>
      <c r="AM2" s="238" t="s">
        <v>131</v>
      </c>
      <c r="AN2" s="238"/>
      <c r="AO2" s="238" t="s">
        <v>132</v>
      </c>
      <c r="AP2" s="238"/>
      <c r="AQ2" s="238" t="s">
        <v>133</v>
      </c>
      <c r="AR2" s="238"/>
      <c r="AS2" s="238" t="s">
        <v>133</v>
      </c>
      <c r="AT2" s="238"/>
      <c r="AU2" s="238" t="s">
        <v>134</v>
      </c>
      <c r="AV2" s="238"/>
      <c r="AW2" s="238" t="s">
        <v>135</v>
      </c>
      <c r="AX2" s="238"/>
      <c r="AY2" s="238" t="s">
        <v>136</v>
      </c>
      <c r="AZ2" s="238"/>
      <c r="BA2" s="238" t="s">
        <v>136</v>
      </c>
      <c r="BB2" s="238"/>
      <c r="BC2" s="238" t="s">
        <v>137</v>
      </c>
      <c r="BD2" s="238"/>
      <c r="BE2" s="238" t="s">
        <v>137</v>
      </c>
      <c r="BF2" s="238"/>
      <c r="BH2" s="33"/>
      <c r="BI2" s="33"/>
    </row>
    <row r="3" spans="1:61" s="10" customFormat="1" ht="87.75" customHeight="1">
      <c r="A3" s="110"/>
      <c r="B3" s="110"/>
      <c r="C3" s="231" t="s">
        <v>138</v>
      </c>
      <c r="D3" s="232"/>
      <c r="E3" s="110" t="s">
        <v>65</v>
      </c>
      <c r="F3" s="112" t="s">
        <v>67</v>
      </c>
      <c r="G3" s="235" t="s">
        <v>139</v>
      </c>
      <c r="H3" s="236"/>
      <c r="I3" s="235" t="s">
        <v>139</v>
      </c>
      <c r="J3" s="236"/>
      <c r="K3" s="235" t="s">
        <v>139</v>
      </c>
      <c r="L3" s="236"/>
      <c r="M3" s="233" t="s">
        <v>140</v>
      </c>
      <c r="N3" s="234"/>
      <c r="O3" s="235" t="s">
        <v>139</v>
      </c>
      <c r="P3" s="236"/>
      <c r="Q3" s="235" t="s">
        <v>139</v>
      </c>
      <c r="R3" s="236"/>
      <c r="S3" s="241" t="s">
        <v>139</v>
      </c>
      <c r="T3" s="242"/>
      <c r="U3" s="235" t="s">
        <v>139</v>
      </c>
      <c r="V3" s="236"/>
      <c r="W3" s="235" t="s">
        <v>139</v>
      </c>
      <c r="X3" s="236"/>
      <c r="Y3" s="237" t="s">
        <v>141</v>
      </c>
      <c r="Z3" s="236"/>
      <c r="AA3" s="235" t="s">
        <v>142</v>
      </c>
      <c r="AB3" s="236"/>
      <c r="AC3" s="235" t="s">
        <v>143</v>
      </c>
      <c r="AD3" s="236"/>
      <c r="AE3" s="235" t="s">
        <v>143</v>
      </c>
      <c r="AF3" s="236"/>
      <c r="AG3" s="237" t="s">
        <v>144</v>
      </c>
      <c r="AH3" s="236"/>
      <c r="AI3" s="235" t="s">
        <v>145</v>
      </c>
      <c r="AJ3" s="236"/>
      <c r="AK3" s="237" t="s">
        <v>146</v>
      </c>
      <c r="AL3" s="236"/>
      <c r="AM3" s="235" t="s">
        <v>147</v>
      </c>
      <c r="AN3" s="236"/>
      <c r="AO3" s="235" t="s">
        <v>147</v>
      </c>
      <c r="AP3" s="236"/>
      <c r="AQ3" s="237" t="s">
        <v>148</v>
      </c>
      <c r="AR3" s="236"/>
      <c r="AS3" s="235" t="s">
        <v>149</v>
      </c>
      <c r="AT3" s="236"/>
      <c r="AU3" s="237" t="s">
        <v>150</v>
      </c>
      <c r="AV3" s="236"/>
      <c r="AW3" s="237" t="s">
        <v>150</v>
      </c>
      <c r="AX3" s="236"/>
      <c r="AY3" s="235" t="s">
        <v>145</v>
      </c>
      <c r="AZ3" s="236"/>
      <c r="BA3" s="237" t="s">
        <v>146</v>
      </c>
      <c r="BB3" s="236"/>
      <c r="BC3" s="235" t="s">
        <v>145</v>
      </c>
      <c r="BD3" s="236"/>
      <c r="BE3" s="237" t="s">
        <v>146</v>
      </c>
      <c r="BF3" s="236"/>
      <c r="BH3" s="33"/>
      <c r="BI3" s="33"/>
    </row>
    <row r="4" spans="1:61" s="25" customFormat="1" ht="50.1" customHeight="1">
      <c r="A4" s="110"/>
      <c r="B4" s="50"/>
      <c r="C4" s="204" t="s">
        <v>151</v>
      </c>
      <c r="D4" s="206"/>
      <c r="E4" s="239" t="s">
        <v>152</v>
      </c>
      <c r="F4" s="240"/>
      <c r="G4" s="204" t="s">
        <v>153</v>
      </c>
      <c r="H4" s="206"/>
      <c r="I4" s="204" t="s">
        <v>154</v>
      </c>
      <c r="J4" s="206"/>
      <c r="K4" s="204" t="s">
        <v>155</v>
      </c>
      <c r="L4" s="206"/>
      <c r="M4" s="204">
        <v>7092801222</v>
      </c>
      <c r="N4" s="206"/>
      <c r="O4" s="204" t="s">
        <v>156</v>
      </c>
      <c r="P4" s="205"/>
      <c r="Q4" s="204" t="s">
        <v>157</v>
      </c>
      <c r="R4" s="205"/>
      <c r="S4" s="204" t="s">
        <v>158</v>
      </c>
      <c r="T4" s="205"/>
      <c r="U4" s="204" t="s">
        <v>159</v>
      </c>
      <c r="V4" s="205"/>
      <c r="W4" s="204" t="s">
        <v>160</v>
      </c>
      <c r="X4" s="206"/>
      <c r="Y4" s="204" t="s">
        <v>161</v>
      </c>
      <c r="Z4" s="206"/>
      <c r="AA4" s="204" t="s">
        <v>162</v>
      </c>
      <c r="AB4" s="205"/>
      <c r="AC4" s="204" t="s">
        <v>163</v>
      </c>
      <c r="AD4" s="206"/>
      <c r="AE4" s="204" t="s">
        <v>164</v>
      </c>
      <c r="AF4" s="206"/>
      <c r="AG4" s="204" t="s">
        <v>165</v>
      </c>
      <c r="AH4" s="206"/>
      <c r="AI4" s="204">
        <v>7105826734</v>
      </c>
      <c r="AJ4" s="206"/>
      <c r="AK4" s="204">
        <v>7105825932</v>
      </c>
      <c r="AL4" s="206"/>
      <c r="AM4" s="204" t="s">
        <v>166</v>
      </c>
      <c r="AN4" s="206"/>
      <c r="AO4" s="204" t="s">
        <v>167</v>
      </c>
      <c r="AP4" s="206"/>
      <c r="AQ4" s="204" t="s">
        <v>168</v>
      </c>
      <c r="AR4" s="206"/>
      <c r="AS4" s="204" t="s">
        <v>169</v>
      </c>
      <c r="AT4" s="206"/>
      <c r="AU4" s="204" t="s">
        <v>170</v>
      </c>
      <c r="AV4" s="206"/>
      <c r="AW4" s="204" t="s">
        <v>171</v>
      </c>
      <c r="AX4" s="206"/>
      <c r="AY4" s="204">
        <v>7111912486</v>
      </c>
      <c r="AZ4" s="206"/>
      <c r="BA4" s="204">
        <v>7111911842</v>
      </c>
      <c r="BB4" s="206"/>
      <c r="BC4" s="204">
        <v>7111913281</v>
      </c>
      <c r="BD4" s="206"/>
      <c r="BE4" s="204">
        <v>7111912723</v>
      </c>
      <c r="BF4" s="206"/>
      <c r="BH4" s="201" t="s">
        <v>81</v>
      </c>
      <c r="BI4" s="201"/>
    </row>
    <row r="5" spans="1:61" s="25" customFormat="1" ht="50.1" customHeight="1">
      <c r="A5" s="50" t="s">
        <v>172</v>
      </c>
      <c r="B5" s="50"/>
      <c r="C5" s="204" t="s">
        <v>173</v>
      </c>
      <c r="D5" s="206"/>
      <c r="E5" s="82">
        <v>0.55000000000000004</v>
      </c>
      <c r="F5" s="31">
        <v>0.45</v>
      </c>
      <c r="G5" s="204" t="s">
        <v>174</v>
      </c>
      <c r="H5" s="206"/>
      <c r="I5" s="204" t="s">
        <v>175</v>
      </c>
      <c r="J5" s="206"/>
      <c r="K5" s="204" t="s">
        <v>176</v>
      </c>
      <c r="L5" s="206"/>
      <c r="M5" s="204" t="s">
        <v>177</v>
      </c>
      <c r="N5" s="206"/>
      <c r="O5" s="204" t="s">
        <v>178</v>
      </c>
      <c r="P5" s="205"/>
      <c r="Q5" s="204" t="s">
        <v>179</v>
      </c>
      <c r="R5" s="205"/>
      <c r="S5" s="204" t="s">
        <v>180</v>
      </c>
      <c r="T5" s="205"/>
      <c r="U5" s="204" t="s">
        <v>181</v>
      </c>
      <c r="V5" s="205"/>
      <c r="W5" s="204" t="s">
        <v>182</v>
      </c>
      <c r="X5" s="206"/>
      <c r="Y5" s="204" t="s">
        <v>183</v>
      </c>
      <c r="Z5" s="206"/>
      <c r="AA5" s="204" t="s">
        <v>184</v>
      </c>
      <c r="AB5" s="205"/>
      <c r="AC5" s="204" t="s">
        <v>185</v>
      </c>
      <c r="AD5" s="206"/>
      <c r="AE5" s="204" t="s">
        <v>186</v>
      </c>
      <c r="AF5" s="206"/>
      <c r="AG5" s="204" t="s">
        <v>187</v>
      </c>
      <c r="AH5" s="206"/>
      <c r="AI5" s="204" t="s">
        <v>188</v>
      </c>
      <c r="AJ5" s="206"/>
      <c r="AK5" s="204" t="s">
        <v>189</v>
      </c>
      <c r="AL5" s="206"/>
      <c r="AM5" s="204" t="s">
        <v>190</v>
      </c>
      <c r="AN5" s="206"/>
      <c r="AO5" s="204" t="s">
        <v>191</v>
      </c>
      <c r="AP5" s="206"/>
      <c r="AQ5" s="204" t="s">
        <v>192</v>
      </c>
      <c r="AR5" s="206"/>
      <c r="AS5" s="204" t="s">
        <v>193</v>
      </c>
      <c r="AT5" s="206"/>
      <c r="AU5" s="204" t="s">
        <v>194</v>
      </c>
      <c r="AV5" s="206"/>
      <c r="AW5" s="204" t="s">
        <v>195</v>
      </c>
      <c r="AX5" s="206"/>
      <c r="AY5" s="204">
        <v>744483</v>
      </c>
      <c r="AZ5" s="206"/>
      <c r="BA5" s="204">
        <v>119314</v>
      </c>
      <c r="BB5" s="206"/>
      <c r="BC5" s="204">
        <v>1053229</v>
      </c>
      <c r="BD5" s="206"/>
      <c r="BE5" s="204">
        <v>1053215</v>
      </c>
      <c r="BF5" s="206"/>
      <c r="BH5" s="201"/>
      <c r="BI5" s="201"/>
    </row>
    <row r="6" spans="1:61" s="8" customFormat="1" ht="30" customHeight="1">
      <c r="A6" s="110" t="s">
        <v>96</v>
      </c>
      <c r="B6" s="51"/>
      <c r="C6" s="210"/>
      <c r="D6" s="211"/>
      <c r="E6" s="83"/>
      <c r="F6" s="115"/>
      <c r="G6" s="110"/>
      <c r="H6" s="51"/>
      <c r="I6" s="210"/>
      <c r="J6" s="211"/>
      <c r="K6" s="210"/>
      <c r="L6" s="211"/>
      <c r="M6" s="210"/>
      <c r="N6" s="211"/>
      <c r="O6" s="210"/>
      <c r="P6" s="215"/>
      <c r="Q6" s="210"/>
      <c r="R6" s="215"/>
      <c r="S6" s="210"/>
      <c r="T6" s="215"/>
      <c r="U6" s="210"/>
      <c r="V6" s="215"/>
      <c r="W6" s="210"/>
      <c r="X6" s="211"/>
      <c r="Y6" s="210"/>
      <c r="Z6" s="211"/>
      <c r="AA6" s="210"/>
      <c r="AB6" s="215"/>
      <c r="AC6" s="210"/>
      <c r="AD6" s="211"/>
      <c r="AE6" s="210"/>
      <c r="AF6" s="211"/>
      <c r="AG6" s="210"/>
      <c r="AH6" s="211"/>
      <c r="AI6" s="210"/>
      <c r="AJ6" s="211"/>
      <c r="AK6" s="210"/>
      <c r="AL6" s="211"/>
      <c r="AM6" s="210"/>
      <c r="AN6" s="211"/>
      <c r="AO6" s="210"/>
      <c r="AP6" s="211"/>
      <c r="AQ6" s="210"/>
      <c r="AR6" s="211"/>
      <c r="AS6" s="210"/>
      <c r="AT6" s="211"/>
      <c r="AU6" s="210"/>
      <c r="AV6" s="211"/>
      <c r="AW6" s="210"/>
      <c r="AX6" s="211"/>
      <c r="AY6" s="210"/>
      <c r="AZ6" s="211"/>
      <c r="BA6" s="210"/>
      <c r="BB6" s="211"/>
      <c r="BC6" s="210"/>
      <c r="BD6" s="211"/>
      <c r="BE6" s="210"/>
      <c r="BF6" s="211"/>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7">
        <v>44377</v>
      </c>
      <c r="B8" s="35"/>
      <c r="C8" s="79">
        <v>6130519</v>
      </c>
      <c r="D8" s="107"/>
      <c r="E8" s="107"/>
      <c r="F8" s="107"/>
      <c r="G8" s="79">
        <v>283229</v>
      </c>
      <c r="H8" s="107"/>
      <c r="I8" s="79">
        <v>131446</v>
      </c>
      <c r="J8" s="38"/>
      <c r="K8" s="79">
        <v>259398</v>
      </c>
      <c r="L8" s="107"/>
      <c r="M8" s="80">
        <v>24783</v>
      </c>
      <c r="N8" s="38"/>
      <c r="O8" s="79">
        <v>270705</v>
      </c>
      <c r="P8" s="38"/>
      <c r="Q8" s="79">
        <v>451868</v>
      </c>
      <c r="R8" s="107"/>
      <c r="S8" s="79">
        <v>728198</v>
      </c>
      <c r="T8" s="107"/>
      <c r="U8" s="86">
        <v>394.70299999999997</v>
      </c>
      <c r="V8" s="107"/>
      <c r="W8" s="79">
        <v>81321</v>
      </c>
      <c r="X8" s="107"/>
      <c r="Y8" s="80">
        <v>1499604</v>
      </c>
      <c r="Z8" s="107"/>
      <c r="AA8" s="80">
        <v>13264</v>
      </c>
      <c r="AB8" s="107"/>
      <c r="AC8" s="79">
        <v>460273</v>
      </c>
      <c r="AD8" s="107"/>
      <c r="AE8" s="79">
        <v>533251</v>
      </c>
      <c r="AF8" s="107"/>
      <c r="AG8" s="79">
        <v>49769</v>
      </c>
      <c r="AH8" s="107"/>
      <c r="AI8" s="79">
        <v>419500</v>
      </c>
      <c r="AJ8" s="107"/>
      <c r="AK8" s="80">
        <v>102770</v>
      </c>
      <c r="AL8" s="107"/>
      <c r="AM8" s="79">
        <v>577964</v>
      </c>
      <c r="AN8" s="107"/>
      <c r="AO8" s="79">
        <v>936296</v>
      </c>
      <c r="AP8" s="107"/>
      <c r="AQ8" s="80">
        <v>77874</v>
      </c>
      <c r="AR8" s="107"/>
      <c r="AS8" s="80">
        <v>2262</v>
      </c>
      <c r="AT8" s="107"/>
      <c r="AU8" s="80">
        <v>939</v>
      </c>
      <c r="AV8" s="107"/>
      <c r="AW8" s="80">
        <v>3109</v>
      </c>
      <c r="AX8" s="107"/>
      <c r="AY8" s="79">
        <v>319315</v>
      </c>
      <c r="AZ8" s="107"/>
      <c r="BA8" s="80">
        <v>161101</v>
      </c>
      <c r="BB8" s="107"/>
      <c r="BC8" s="79">
        <v>218097</v>
      </c>
      <c r="BD8" s="107"/>
      <c r="BE8" s="80">
        <v>5347</v>
      </c>
      <c r="BF8" s="107"/>
      <c r="BH8" s="108"/>
      <c r="BI8" s="108"/>
    </row>
    <row r="9" spans="1:61" s="29" customFormat="1" ht="39.950000000000003" customHeight="1">
      <c r="A9" s="147">
        <v>44378</v>
      </c>
      <c r="B9" s="28"/>
      <c r="C9" s="80">
        <v>6132767</v>
      </c>
      <c r="D9" s="38">
        <f>(+C9-+C8)*48</f>
        <v>107904</v>
      </c>
      <c r="E9" s="107">
        <f>D9*E5</f>
        <v>59347.200000000004</v>
      </c>
      <c r="F9" s="107">
        <f>D9*F5</f>
        <v>48556.800000000003</v>
      </c>
      <c r="G9" s="80">
        <v>283263</v>
      </c>
      <c r="H9" s="38">
        <f>(+G9-+G8)*48</f>
        <v>1632</v>
      </c>
      <c r="I9" s="80">
        <v>131617</v>
      </c>
      <c r="J9" s="38">
        <f>(+I9-+I8)*48</f>
        <v>8208</v>
      </c>
      <c r="K9" s="80">
        <v>259433</v>
      </c>
      <c r="L9" s="38">
        <f t="shared" ref="L9:L38" si="0">(+K9-+K8)*48</f>
        <v>1680</v>
      </c>
      <c r="M9" s="80">
        <v>24783</v>
      </c>
      <c r="N9" s="38">
        <f>(+M9-+M8)*48</f>
        <v>0</v>
      </c>
      <c r="O9" s="80">
        <v>270893</v>
      </c>
      <c r="P9" s="38">
        <f>(+O9-+O8)*48</f>
        <v>9024</v>
      </c>
      <c r="Q9" s="80">
        <v>451943</v>
      </c>
      <c r="R9" s="38">
        <f>(+Q9-+Q8)*48</f>
        <v>3600</v>
      </c>
      <c r="S9" s="80">
        <v>728303</v>
      </c>
      <c r="T9" s="38">
        <f>(+S9-+S8)*48</f>
        <v>5040</v>
      </c>
      <c r="U9" s="85">
        <v>413.37200000000001</v>
      </c>
      <c r="V9" s="107">
        <f>(+U9-+U8)*48</f>
        <v>896.1120000000019</v>
      </c>
      <c r="W9" s="80">
        <v>81327</v>
      </c>
      <c r="X9" s="38">
        <f>(+W9-+W8)*48</f>
        <v>288</v>
      </c>
      <c r="Y9" s="80">
        <v>1499604</v>
      </c>
      <c r="Z9" s="38">
        <f>(+Y9-+Y8)*48</f>
        <v>0</v>
      </c>
      <c r="AA9" s="80">
        <v>13264</v>
      </c>
      <c r="AB9" s="38">
        <f>(+AA9-+AA8)*48</f>
        <v>0</v>
      </c>
      <c r="AC9" s="80">
        <v>460403</v>
      </c>
      <c r="AD9" s="38">
        <f>(+AC9-+AC8)*48</f>
        <v>6240</v>
      </c>
      <c r="AE9" s="80">
        <v>533389</v>
      </c>
      <c r="AF9" s="38">
        <f>(+AE9-+AE8)*48</f>
        <v>6624</v>
      </c>
      <c r="AG9" s="80">
        <v>49769</v>
      </c>
      <c r="AH9" s="38">
        <f>(+AG9-+AG8)*48</f>
        <v>0</v>
      </c>
      <c r="AI9" s="80">
        <v>419574</v>
      </c>
      <c r="AJ9" s="38">
        <f>(+AI9-+AI8)*48</f>
        <v>3552</v>
      </c>
      <c r="AK9" s="80">
        <v>102770</v>
      </c>
      <c r="AL9" s="38">
        <f>(+AK9-+AK8)*48</f>
        <v>0</v>
      </c>
      <c r="AM9" s="80">
        <v>578072</v>
      </c>
      <c r="AN9" s="38">
        <f>(+AM9-+AM8)*48</f>
        <v>5184</v>
      </c>
      <c r="AO9" s="80">
        <v>936402</v>
      </c>
      <c r="AP9" s="38">
        <f>(+AO9-+AO8)*48</f>
        <v>5088</v>
      </c>
      <c r="AQ9" s="80">
        <v>77874</v>
      </c>
      <c r="AR9" s="38">
        <f>(+AQ9-+AQ8)*48</f>
        <v>0</v>
      </c>
      <c r="AS9" s="80">
        <v>2262</v>
      </c>
      <c r="AT9" s="38">
        <f>(+AS9-+AS8)*48</f>
        <v>0</v>
      </c>
      <c r="AU9" s="80">
        <v>939</v>
      </c>
      <c r="AV9" s="38">
        <f>(+AU9-+AU8)*48</f>
        <v>0</v>
      </c>
      <c r="AW9" s="80">
        <v>3109</v>
      </c>
      <c r="AX9" s="38">
        <f>(+AW9-+AW8)*48</f>
        <v>0</v>
      </c>
      <c r="AY9" s="80">
        <v>319381</v>
      </c>
      <c r="AZ9" s="38">
        <f>(+AY9-+AY8)*48</f>
        <v>3168</v>
      </c>
      <c r="BA9" s="80">
        <v>161101</v>
      </c>
      <c r="BB9" s="38">
        <f>(+BA9-+BA8)*48</f>
        <v>0</v>
      </c>
      <c r="BC9" s="80">
        <v>218134</v>
      </c>
      <c r="BD9" s="38">
        <f>(+BC9-+BC8)*48</f>
        <v>1776</v>
      </c>
      <c r="BE9" s="80">
        <v>5347</v>
      </c>
      <c r="BF9" s="38">
        <f>(+BE9-+BE8)*48</f>
        <v>0</v>
      </c>
      <c r="BH9" s="108">
        <f t="shared" ref="BH9:BH36" si="1">SUM(E9,J9,P9,H9,L9,R9,T9,V9,X9,N9,AB9,Z9,AD9,AF9,AH9,AL9,AJ9)</f>
        <v>106131.31200000002</v>
      </c>
      <c r="BI9" s="108">
        <f t="shared" ref="BI9:BI36" si="2">SUM(F9,AN9,AP9,AT9,AV9,AX9,AR9,AZ9,BB9,BD9,BF9)</f>
        <v>63772.800000000003</v>
      </c>
    </row>
    <row r="10" spans="1:61" s="36" customFormat="1" ht="39.950000000000003" customHeight="1">
      <c r="A10" s="147">
        <v>44379</v>
      </c>
      <c r="B10" s="35"/>
      <c r="C10" s="86">
        <v>6134856</v>
      </c>
      <c r="D10" s="38">
        <f t="shared" ref="D10" si="3">(+C10-+C9)*48</f>
        <v>100272</v>
      </c>
      <c r="E10" s="107">
        <f>D10*E5</f>
        <v>55149.600000000006</v>
      </c>
      <c r="F10" s="107">
        <f>D10*F5</f>
        <v>45122.400000000001</v>
      </c>
      <c r="G10" s="86">
        <v>283301</v>
      </c>
      <c r="H10" s="38">
        <f t="shared" ref="H10" si="4">(+G10-+G9)*48</f>
        <v>1824</v>
      </c>
      <c r="I10" s="86">
        <v>131787</v>
      </c>
      <c r="J10" s="38">
        <f t="shared" ref="J10" si="5">(+I10-+I9)*48</f>
        <v>8160</v>
      </c>
      <c r="K10" s="86">
        <v>259472</v>
      </c>
      <c r="L10" s="38">
        <f t="shared" si="0"/>
        <v>1872</v>
      </c>
      <c r="M10" s="86">
        <v>24783</v>
      </c>
      <c r="N10" s="38">
        <f t="shared" ref="N10" si="6">(+M10-+M9)*48</f>
        <v>0</v>
      </c>
      <c r="O10" s="86">
        <v>271116</v>
      </c>
      <c r="P10" s="38">
        <f t="shared" ref="P10" si="7">(+O10-+O9)*48</f>
        <v>10704</v>
      </c>
      <c r="Q10" s="86">
        <v>452039</v>
      </c>
      <c r="R10" s="38">
        <f t="shared" ref="R10" si="8">(+Q10-+Q9)*48</f>
        <v>4608</v>
      </c>
      <c r="S10" s="86">
        <v>728429</v>
      </c>
      <c r="T10" s="38">
        <f t="shared" ref="T10" si="9">(+S10-+S9)*48</f>
        <v>6048</v>
      </c>
      <c r="U10" s="86">
        <v>436.99299999999999</v>
      </c>
      <c r="V10" s="107">
        <f t="shared" ref="V10" si="10">(+U10-+U9)*48</f>
        <v>1133.8079999999991</v>
      </c>
      <c r="W10" s="86">
        <v>81331</v>
      </c>
      <c r="X10" s="38">
        <f t="shared" ref="X10" si="11">(+W10-+W9)*48</f>
        <v>192</v>
      </c>
      <c r="Y10" s="86">
        <v>1499604</v>
      </c>
      <c r="Z10" s="38">
        <f t="shared" ref="Z10" si="12">(+Y10-+Y9)*48</f>
        <v>0</v>
      </c>
      <c r="AA10" s="86">
        <v>13264</v>
      </c>
      <c r="AB10" s="38">
        <f t="shared" ref="AB10" si="13">(+AA10-+AA9)*48</f>
        <v>0</v>
      </c>
      <c r="AC10" s="86">
        <v>460535</v>
      </c>
      <c r="AD10" s="38">
        <f t="shared" ref="AD10:AF36" si="14">(+AC10-+AC9)*48</f>
        <v>6336</v>
      </c>
      <c r="AE10" s="86">
        <v>533520</v>
      </c>
      <c r="AF10" s="38">
        <f t="shared" si="14"/>
        <v>6288</v>
      </c>
      <c r="AG10" s="86">
        <v>49769</v>
      </c>
      <c r="AH10" s="38">
        <f t="shared" ref="AH10" si="15">(+AG10-+AG9)*48</f>
        <v>0</v>
      </c>
      <c r="AI10" s="86">
        <v>419643</v>
      </c>
      <c r="AJ10" s="38">
        <f t="shared" ref="AJ10" si="16">(+AI10-+AI9)*48</f>
        <v>3312</v>
      </c>
      <c r="AK10" s="86">
        <v>102770</v>
      </c>
      <c r="AL10" s="38">
        <f t="shared" ref="AL10" si="17">(+AK10-+AK9)*48</f>
        <v>0</v>
      </c>
      <c r="AM10" s="86">
        <v>578178</v>
      </c>
      <c r="AN10" s="38">
        <f t="shared" ref="AN10" si="18">(+AM10-+AM9)*48</f>
        <v>5088</v>
      </c>
      <c r="AO10" s="86">
        <v>936609</v>
      </c>
      <c r="AP10" s="38">
        <f t="shared" ref="AP10" si="19">(+AO10-+AO9)*48</f>
        <v>9936</v>
      </c>
      <c r="AQ10" s="86">
        <v>77874</v>
      </c>
      <c r="AR10" s="38">
        <f t="shared" ref="AR10" si="20">(+AQ10-+AQ9)*48</f>
        <v>0</v>
      </c>
      <c r="AS10" s="80">
        <v>2262</v>
      </c>
      <c r="AT10" s="38">
        <f t="shared" ref="AT10" si="21">(+AS10-+AS9)*48</f>
        <v>0</v>
      </c>
      <c r="AU10" s="80">
        <v>939</v>
      </c>
      <c r="AV10" s="38">
        <f t="shared" ref="AV10" si="22">(+AU10-+AU9)*48</f>
        <v>0</v>
      </c>
      <c r="AW10" s="80">
        <v>3109</v>
      </c>
      <c r="AX10" s="38">
        <f t="shared" ref="AX10" si="23">(+AW10-+AW9)*48</f>
        <v>0</v>
      </c>
      <c r="AY10" s="86">
        <v>319447</v>
      </c>
      <c r="AZ10" s="38">
        <f t="shared" ref="AZ10" si="24">(+AY10-+AY9)*48</f>
        <v>3168</v>
      </c>
      <c r="BA10" s="80">
        <v>161101</v>
      </c>
      <c r="BB10" s="38">
        <f t="shared" ref="BB10" si="25">(+BA10-+BA9)*48</f>
        <v>0</v>
      </c>
      <c r="BC10" s="86">
        <v>218166</v>
      </c>
      <c r="BD10" s="38">
        <f t="shared" ref="BD10" si="26">(+BC10-+BC9)*48</f>
        <v>1536</v>
      </c>
      <c r="BE10" s="86">
        <v>5347</v>
      </c>
      <c r="BF10" s="38">
        <f t="shared" ref="BF10" si="27">(+BE10-+BE9)*48</f>
        <v>0</v>
      </c>
      <c r="BH10" s="108">
        <f t="shared" si="1"/>
        <v>105627.40800000001</v>
      </c>
      <c r="BI10" s="108">
        <f t="shared" si="2"/>
        <v>64850.400000000001</v>
      </c>
    </row>
    <row r="11" spans="1:61" s="36" customFormat="1" ht="39.950000000000003" customHeight="1">
      <c r="A11" s="147">
        <v>44380</v>
      </c>
      <c r="B11" s="35"/>
      <c r="C11" s="86">
        <v>6137095</v>
      </c>
      <c r="D11" s="38">
        <f t="shared" ref="D11" si="28">(+C11-+C10)*48</f>
        <v>107472</v>
      </c>
      <c r="E11" s="107">
        <f>D11*E5</f>
        <v>59109.600000000006</v>
      </c>
      <c r="F11" s="107">
        <f>D11*F5</f>
        <v>48362.400000000001</v>
      </c>
      <c r="G11" s="86">
        <v>283340</v>
      </c>
      <c r="H11" s="38">
        <f t="shared" ref="H11" si="29">(+G11-+G10)*48</f>
        <v>1872</v>
      </c>
      <c r="I11" s="86">
        <v>131955</v>
      </c>
      <c r="J11" s="38">
        <f t="shared" ref="J11" si="30">(+I11-+I10)*48</f>
        <v>8064</v>
      </c>
      <c r="K11" s="86">
        <v>259487</v>
      </c>
      <c r="L11" s="38">
        <f t="shared" si="0"/>
        <v>720</v>
      </c>
      <c r="M11" s="86">
        <v>24783</v>
      </c>
      <c r="N11" s="38">
        <f t="shared" ref="N11" si="31">(+M11-+M10)*48</f>
        <v>0</v>
      </c>
      <c r="O11" s="86">
        <v>271313</v>
      </c>
      <c r="P11" s="38">
        <f t="shared" ref="P11" si="32">(+O11-+O10)*48</f>
        <v>9456</v>
      </c>
      <c r="Q11" s="86">
        <v>452116</v>
      </c>
      <c r="R11" s="38">
        <f t="shared" ref="R11" si="33">(+Q11-+Q10)*48</f>
        <v>3696</v>
      </c>
      <c r="S11" s="86">
        <v>728536</v>
      </c>
      <c r="T11" s="38">
        <f t="shared" ref="T11" si="34">(+S11-+S10)*48</f>
        <v>5136</v>
      </c>
      <c r="U11" s="86">
        <v>454.95499999999998</v>
      </c>
      <c r="V11" s="107">
        <f t="shared" ref="V11" si="35">(+U11-+U10)*48</f>
        <v>862.17599999999948</v>
      </c>
      <c r="W11" s="86">
        <v>81346</v>
      </c>
      <c r="X11" s="38">
        <f t="shared" ref="X11" si="36">(+W11-+W10)*48</f>
        <v>720</v>
      </c>
      <c r="Y11" s="86">
        <v>1499604</v>
      </c>
      <c r="Z11" s="38">
        <f t="shared" ref="Z11" si="37">(+Y11-+Y10)*48</f>
        <v>0</v>
      </c>
      <c r="AA11" s="86">
        <v>13264</v>
      </c>
      <c r="AB11" s="38">
        <f t="shared" ref="AB11" si="38">(+AA11-+AA10)*48</f>
        <v>0</v>
      </c>
      <c r="AC11" s="86">
        <v>460665</v>
      </c>
      <c r="AD11" s="38">
        <f t="shared" si="14"/>
        <v>6240</v>
      </c>
      <c r="AE11" s="86">
        <v>533652</v>
      </c>
      <c r="AF11" s="38">
        <f t="shared" si="14"/>
        <v>6336</v>
      </c>
      <c r="AG11" s="86">
        <v>49769</v>
      </c>
      <c r="AH11" s="38">
        <f t="shared" ref="AH11" si="39">(+AG11-+AG10)*48</f>
        <v>0</v>
      </c>
      <c r="AI11" s="86">
        <v>419709</v>
      </c>
      <c r="AJ11" s="38">
        <f t="shared" ref="AJ11" si="40">(+AI11-+AI10)*48</f>
        <v>3168</v>
      </c>
      <c r="AK11" s="86">
        <v>102770</v>
      </c>
      <c r="AL11" s="38">
        <f t="shared" ref="AL11" si="41">(+AK11-+AK10)*48</f>
        <v>0</v>
      </c>
      <c r="AM11" s="86">
        <v>578281</v>
      </c>
      <c r="AN11" s="38">
        <f t="shared" ref="AN11" si="42">(+AM11-+AM10)*48</f>
        <v>4944</v>
      </c>
      <c r="AO11" s="86">
        <v>936814</v>
      </c>
      <c r="AP11" s="38">
        <f t="shared" ref="AP11" si="43">(+AO11-+AO10)*48</f>
        <v>9840</v>
      </c>
      <c r="AQ11" s="86">
        <v>77874</v>
      </c>
      <c r="AR11" s="38">
        <f t="shared" ref="AR11" si="44">(+AQ11-+AQ10)*48</f>
        <v>0</v>
      </c>
      <c r="AS11" s="80">
        <v>2262</v>
      </c>
      <c r="AT11" s="38">
        <f t="shared" ref="AT11" si="45">(+AS11-+AS10)*48</f>
        <v>0</v>
      </c>
      <c r="AU11" s="80">
        <v>939</v>
      </c>
      <c r="AV11" s="38">
        <f t="shared" ref="AV11" si="46">(+AU11-+AU10)*48</f>
        <v>0</v>
      </c>
      <c r="AW11" s="80">
        <v>3109</v>
      </c>
      <c r="AX11" s="38">
        <f t="shared" ref="AX11" si="47">(+AW11-+AW10)*48</f>
        <v>0</v>
      </c>
      <c r="AY11" s="86">
        <v>319511</v>
      </c>
      <c r="AZ11" s="38">
        <f t="shared" ref="AZ11" si="48">(+AY11-+AY10)*48</f>
        <v>3072</v>
      </c>
      <c r="BA11" s="80">
        <v>161101</v>
      </c>
      <c r="BB11" s="38">
        <f t="shared" ref="BB11" si="49">(+BA11-+BA10)*48</f>
        <v>0</v>
      </c>
      <c r="BC11" s="86">
        <v>218199</v>
      </c>
      <c r="BD11" s="38">
        <f t="shared" ref="BD11" si="50">(+BC11-+BC10)*48</f>
        <v>1584</v>
      </c>
      <c r="BE11" s="86">
        <v>5347</v>
      </c>
      <c r="BF11" s="38">
        <f t="shared" ref="BF11" si="51">(+BE11-+BE10)*48</f>
        <v>0</v>
      </c>
      <c r="BH11" s="108">
        <f t="shared" si="1"/>
        <v>105379.77600000001</v>
      </c>
      <c r="BI11" s="108">
        <f t="shared" si="2"/>
        <v>67802.399999999994</v>
      </c>
    </row>
    <row r="12" spans="1:61" s="36" customFormat="1" ht="39.950000000000003" customHeight="1">
      <c r="A12" s="147">
        <v>44381</v>
      </c>
      <c r="B12" s="35"/>
      <c r="C12" s="86">
        <v>6139320</v>
      </c>
      <c r="D12" s="38">
        <f t="shared" ref="D12" si="52">(+C12-+C11)*48</f>
        <v>106800</v>
      </c>
      <c r="E12" s="107">
        <f>D12*E5</f>
        <v>58740.000000000007</v>
      </c>
      <c r="F12" s="107">
        <f>D12*F5</f>
        <v>48060</v>
      </c>
      <c r="G12" s="86">
        <v>283376</v>
      </c>
      <c r="H12" s="38">
        <f t="shared" ref="H12" si="53">(+G12-+G11)*48</f>
        <v>1728</v>
      </c>
      <c r="I12" s="86">
        <v>132125</v>
      </c>
      <c r="J12" s="38">
        <f t="shared" ref="J12" si="54">(+I12-+I11)*48</f>
        <v>8160</v>
      </c>
      <c r="K12" s="86">
        <v>259510</v>
      </c>
      <c r="L12" s="38">
        <f t="shared" si="0"/>
        <v>1104</v>
      </c>
      <c r="M12" s="86">
        <v>24783</v>
      </c>
      <c r="N12" s="38">
        <f t="shared" ref="N12" si="55">(+M12-+M11)*48</f>
        <v>0</v>
      </c>
      <c r="O12" s="86">
        <v>271526</v>
      </c>
      <c r="P12" s="38">
        <f t="shared" ref="P12" si="56">(+O12-+O11)*48</f>
        <v>10224</v>
      </c>
      <c r="Q12" s="86">
        <v>452219</v>
      </c>
      <c r="R12" s="38">
        <f t="shared" ref="R12" si="57">(+Q12-+Q11)*48</f>
        <v>4944</v>
      </c>
      <c r="S12" s="86">
        <v>728544</v>
      </c>
      <c r="T12" s="38">
        <f t="shared" ref="T12" si="58">(+S12-+S11)*48</f>
        <v>384</v>
      </c>
      <c r="U12" s="86">
        <v>476.57</v>
      </c>
      <c r="V12" s="107">
        <f t="shared" ref="V12" si="59">(+U12-+U11)*48</f>
        <v>1037.5200000000004</v>
      </c>
      <c r="W12" s="86">
        <v>81353</v>
      </c>
      <c r="X12" s="38">
        <f t="shared" ref="X12" si="60">(+W12-+W11)*48</f>
        <v>336</v>
      </c>
      <c r="Y12" s="86">
        <v>1499604</v>
      </c>
      <c r="Z12" s="38">
        <f t="shared" ref="Z12" si="61">(+Y12-+Y11)*48</f>
        <v>0</v>
      </c>
      <c r="AA12" s="86">
        <v>13264</v>
      </c>
      <c r="AB12" s="38">
        <f t="shared" ref="AB12" si="62">(+AA12-+AA11)*48</f>
        <v>0</v>
      </c>
      <c r="AC12" s="86">
        <v>460792</v>
      </c>
      <c r="AD12" s="38">
        <f t="shared" si="14"/>
        <v>6096</v>
      </c>
      <c r="AE12" s="86">
        <v>533782</v>
      </c>
      <c r="AF12" s="38">
        <f t="shared" si="14"/>
        <v>6240</v>
      </c>
      <c r="AG12" s="86">
        <v>49769</v>
      </c>
      <c r="AH12" s="38">
        <f t="shared" ref="AH12" si="63">(+AG12-+AG11)*48</f>
        <v>0</v>
      </c>
      <c r="AI12" s="86">
        <v>419779</v>
      </c>
      <c r="AJ12" s="38">
        <f t="shared" ref="AJ12" si="64">(+AI12-+AI11)*48</f>
        <v>3360</v>
      </c>
      <c r="AK12" s="86">
        <v>102770</v>
      </c>
      <c r="AL12" s="38">
        <f t="shared" ref="AL12" si="65">(+AK12-+AK11)*48</f>
        <v>0</v>
      </c>
      <c r="AM12" s="86">
        <v>578385</v>
      </c>
      <c r="AN12" s="38">
        <f t="shared" ref="AN12" si="66">(+AM12-+AM11)*48</f>
        <v>4992</v>
      </c>
      <c r="AO12" s="86">
        <v>937019</v>
      </c>
      <c r="AP12" s="38">
        <f t="shared" ref="AP12" si="67">(+AO12-+AO11)*48</f>
        <v>9840</v>
      </c>
      <c r="AQ12" s="86">
        <v>77874</v>
      </c>
      <c r="AR12" s="38">
        <f t="shared" ref="AR12" si="68">(+AQ12-+AQ11)*48</f>
        <v>0</v>
      </c>
      <c r="AS12" s="80">
        <v>2262</v>
      </c>
      <c r="AT12" s="38">
        <f t="shared" ref="AT12" si="69">(+AS12-+AS11)*48</f>
        <v>0</v>
      </c>
      <c r="AU12" s="80">
        <v>939</v>
      </c>
      <c r="AV12" s="38">
        <f t="shared" ref="AV12" si="70">(+AU12-+AU11)*48</f>
        <v>0</v>
      </c>
      <c r="AW12" s="80">
        <v>3109</v>
      </c>
      <c r="AX12" s="38">
        <f t="shared" ref="AX12" si="71">(+AW12-+AW11)*48</f>
        <v>0</v>
      </c>
      <c r="AY12" s="86">
        <v>319578</v>
      </c>
      <c r="AZ12" s="38">
        <f t="shared" ref="AZ12" si="72">(+AY12-+AY11)*48</f>
        <v>3216</v>
      </c>
      <c r="BA12" s="80">
        <v>161101</v>
      </c>
      <c r="BB12" s="38">
        <f t="shared" ref="BB12" si="73">(+BA12-+BA11)*48</f>
        <v>0</v>
      </c>
      <c r="BC12" s="86">
        <v>218225</v>
      </c>
      <c r="BD12" s="38">
        <f t="shared" ref="BD12" si="74">(+BC12-+BC11)*48</f>
        <v>1248</v>
      </c>
      <c r="BE12" s="86">
        <v>5347</v>
      </c>
      <c r="BF12" s="38">
        <f t="shared" ref="BF12" si="75">(+BE12-+BE11)*48</f>
        <v>0</v>
      </c>
      <c r="BH12" s="108">
        <f t="shared" si="1"/>
        <v>102353.52</v>
      </c>
      <c r="BI12" s="108">
        <f t="shared" si="2"/>
        <v>67356</v>
      </c>
    </row>
    <row r="13" spans="1:61" s="36" customFormat="1" ht="39.950000000000003" customHeight="1">
      <c r="A13" s="147">
        <v>44382</v>
      </c>
      <c r="B13" s="35"/>
      <c r="C13" s="86">
        <v>6141545</v>
      </c>
      <c r="D13" s="38">
        <f t="shared" ref="D13" si="76">(+C13-+C12)*48</f>
        <v>106800</v>
      </c>
      <c r="E13" s="107">
        <f>D13*E5</f>
        <v>58740.000000000007</v>
      </c>
      <c r="F13" s="107">
        <f>D13*F5</f>
        <v>48060</v>
      </c>
      <c r="G13" s="86">
        <v>283401</v>
      </c>
      <c r="H13" s="38">
        <f t="shared" ref="H13" si="77">(+G13-+G12)*48</f>
        <v>1200</v>
      </c>
      <c r="I13" s="86">
        <v>132297</v>
      </c>
      <c r="J13" s="38">
        <f t="shared" ref="J13" si="78">(+I13-+I12)*48</f>
        <v>8256</v>
      </c>
      <c r="K13" s="86">
        <v>259516</v>
      </c>
      <c r="L13" s="38">
        <f t="shared" si="0"/>
        <v>288</v>
      </c>
      <c r="M13" s="86">
        <v>24783</v>
      </c>
      <c r="N13" s="38">
        <f t="shared" ref="N13" si="79">(+M13-+M12)*48</f>
        <v>0</v>
      </c>
      <c r="O13" s="86">
        <v>271728</v>
      </c>
      <c r="P13" s="38">
        <f t="shared" ref="P13" si="80">(+O13-+O12)*48</f>
        <v>9696</v>
      </c>
      <c r="Q13" s="86">
        <v>452282</v>
      </c>
      <c r="R13" s="38">
        <f t="shared" ref="R13" si="81">(+Q13-+Q12)*48</f>
        <v>3024</v>
      </c>
      <c r="S13" s="86">
        <v>728747</v>
      </c>
      <c r="T13" s="38">
        <f t="shared" ref="T13" si="82">(+S13-+S12)*48</f>
        <v>9744</v>
      </c>
      <c r="U13" s="86">
        <v>498.25599999999997</v>
      </c>
      <c r="V13" s="107">
        <f t="shared" ref="V13" si="83">(+U13-+U12)*48</f>
        <v>1040.927999999999</v>
      </c>
      <c r="W13" s="86">
        <v>81358</v>
      </c>
      <c r="X13" s="38">
        <f t="shared" ref="X13" si="84">(+W13-+W12)*48</f>
        <v>240</v>
      </c>
      <c r="Y13" s="86">
        <v>1499604</v>
      </c>
      <c r="Z13" s="38">
        <f t="shared" ref="Z13" si="85">(+Y13-+Y12)*48</f>
        <v>0</v>
      </c>
      <c r="AA13" s="86">
        <v>13264</v>
      </c>
      <c r="AB13" s="38">
        <f t="shared" ref="AB13" si="86">(+AA13-+AA12)*48</f>
        <v>0</v>
      </c>
      <c r="AC13" s="86">
        <v>460920</v>
      </c>
      <c r="AD13" s="38">
        <f t="shared" si="14"/>
        <v>6144</v>
      </c>
      <c r="AE13" s="86">
        <v>533910</v>
      </c>
      <c r="AF13" s="38">
        <f t="shared" si="14"/>
        <v>6144</v>
      </c>
      <c r="AG13" s="86">
        <v>49769</v>
      </c>
      <c r="AH13" s="38">
        <f t="shared" ref="AH13" si="87">(+AG13-+AG12)*48</f>
        <v>0</v>
      </c>
      <c r="AI13" s="86">
        <v>419848</v>
      </c>
      <c r="AJ13" s="38">
        <f t="shared" ref="AJ13:AJ14" si="88">(+AI13-+AI12)*48</f>
        <v>3312</v>
      </c>
      <c r="AK13" s="86">
        <v>102770</v>
      </c>
      <c r="AL13" s="38">
        <f t="shared" ref="AL13" si="89">(+AK13-+AK12)*48</f>
        <v>0</v>
      </c>
      <c r="AM13" s="86">
        <v>578487</v>
      </c>
      <c r="AN13" s="38">
        <f t="shared" ref="AN13" si="90">(+AM13-+AM12)*48</f>
        <v>4896</v>
      </c>
      <c r="AO13" s="86">
        <v>937227</v>
      </c>
      <c r="AP13" s="38">
        <f t="shared" ref="AP13" si="91">(+AO13-+AO12)*48</f>
        <v>9984</v>
      </c>
      <c r="AQ13" s="86">
        <v>77874</v>
      </c>
      <c r="AR13" s="38">
        <f t="shared" ref="AR13" si="92">(+AQ13-+AQ12)*48</f>
        <v>0</v>
      </c>
      <c r="AS13" s="80">
        <v>2262</v>
      </c>
      <c r="AT13" s="38">
        <f t="shared" ref="AT13" si="93">(+AS13-+AS12)*48</f>
        <v>0</v>
      </c>
      <c r="AU13" s="80">
        <v>939</v>
      </c>
      <c r="AV13" s="38">
        <f t="shared" ref="AV13" si="94">(+AU13-+AU12)*48</f>
        <v>0</v>
      </c>
      <c r="AW13" s="80">
        <v>3109</v>
      </c>
      <c r="AX13" s="38">
        <f t="shared" ref="AX13" si="95">(+AW13-+AW12)*48</f>
        <v>0</v>
      </c>
      <c r="AY13" s="86">
        <v>319641</v>
      </c>
      <c r="AZ13" s="38">
        <f t="shared" ref="AZ13" si="96">(+AY13-+AY12)*48</f>
        <v>3024</v>
      </c>
      <c r="BA13" s="80">
        <v>161101</v>
      </c>
      <c r="BB13" s="38">
        <f t="shared" ref="BB13" si="97">(+BA13-+BA12)*48</f>
        <v>0</v>
      </c>
      <c r="BC13" s="86">
        <v>218250</v>
      </c>
      <c r="BD13" s="38">
        <f t="shared" ref="BD13" si="98">(+BC13-+BC12)*48</f>
        <v>1200</v>
      </c>
      <c r="BE13" s="86">
        <v>5347</v>
      </c>
      <c r="BF13" s="38">
        <f t="shared" ref="BF13" si="99">(+BE13-+BE12)*48</f>
        <v>0</v>
      </c>
      <c r="BH13" s="108">
        <f t="shared" si="1"/>
        <v>107828.928</v>
      </c>
      <c r="BI13" s="108">
        <f t="shared" si="2"/>
        <v>67164</v>
      </c>
    </row>
    <row r="14" spans="1:61" s="36" customFormat="1" ht="39.950000000000003" customHeight="1">
      <c r="A14" s="147">
        <v>44383</v>
      </c>
      <c r="B14" s="35"/>
      <c r="C14" s="86">
        <v>6143810</v>
      </c>
      <c r="D14" s="38">
        <f t="shared" ref="D14" si="100">(+C14-+C13)*48</f>
        <v>108720</v>
      </c>
      <c r="E14" s="107">
        <f>D14*E5</f>
        <v>59796.000000000007</v>
      </c>
      <c r="F14" s="107">
        <f>D14*F5</f>
        <v>48924</v>
      </c>
      <c r="G14" s="86">
        <v>283413</v>
      </c>
      <c r="H14" s="38">
        <f t="shared" ref="H14" si="101">(+G14-+G13)*48</f>
        <v>576</v>
      </c>
      <c r="I14" s="86">
        <v>132467</v>
      </c>
      <c r="J14" s="38">
        <f t="shared" ref="J14" si="102">(+I14-+I13)*48</f>
        <v>8160</v>
      </c>
      <c r="K14" s="86">
        <v>259521</v>
      </c>
      <c r="L14" s="38">
        <f t="shared" si="0"/>
        <v>240</v>
      </c>
      <c r="M14" s="86">
        <v>24783</v>
      </c>
      <c r="N14" s="38">
        <f t="shared" ref="N14" si="103">(+M14-+M13)*48</f>
        <v>0</v>
      </c>
      <c r="O14" s="86">
        <v>271923</v>
      </c>
      <c r="P14" s="38">
        <f t="shared" ref="P14" si="104">(+O14-+O13)*48</f>
        <v>9360</v>
      </c>
      <c r="Q14" s="86">
        <v>452335</v>
      </c>
      <c r="R14" s="38">
        <f t="shared" ref="R14" si="105">(+Q14-+Q13)*48</f>
        <v>2544</v>
      </c>
      <c r="S14" s="86">
        <v>728867</v>
      </c>
      <c r="T14" s="38">
        <f t="shared" ref="T14" si="106">(+S14-+S13)*48</f>
        <v>5760</v>
      </c>
      <c r="U14" s="86">
        <v>513.83600000000001</v>
      </c>
      <c r="V14" s="107">
        <f>(+U14-+U13)*48</f>
        <v>747.84000000000196</v>
      </c>
      <c r="W14" s="86">
        <v>81363</v>
      </c>
      <c r="X14" s="38">
        <f t="shared" ref="X14" si="107">(+W14-+W13)*48</f>
        <v>240</v>
      </c>
      <c r="Y14" s="86">
        <v>1499604</v>
      </c>
      <c r="Z14" s="38">
        <f t="shared" ref="Z14" si="108">(+Y14-+Y13)*48</f>
        <v>0</v>
      </c>
      <c r="AA14" s="86">
        <v>13264</v>
      </c>
      <c r="AB14" s="38">
        <f t="shared" ref="AB14" si="109">(+AA14-+AA13)*48</f>
        <v>0</v>
      </c>
      <c r="AC14" s="86">
        <v>461050</v>
      </c>
      <c r="AD14" s="38">
        <f t="shared" si="14"/>
        <v>6240</v>
      </c>
      <c r="AE14" s="86">
        <v>534036</v>
      </c>
      <c r="AF14" s="38">
        <f t="shared" si="14"/>
        <v>6048</v>
      </c>
      <c r="AG14" s="86">
        <v>49769</v>
      </c>
      <c r="AH14" s="38">
        <f t="shared" ref="AH14" si="110">(+AG14-+AG13)*48</f>
        <v>0</v>
      </c>
      <c r="AI14" s="86">
        <v>419915</v>
      </c>
      <c r="AJ14" s="38">
        <f t="shared" si="88"/>
        <v>3216</v>
      </c>
      <c r="AK14" s="86">
        <v>102770</v>
      </c>
      <c r="AL14" s="38">
        <f t="shared" ref="AL14" si="111">(+AK14-+AK13)*48</f>
        <v>0</v>
      </c>
      <c r="AM14" s="86">
        <v>578595</v>
      </c>
      <c r="AN14" s="38">
        <f t="shared" ref="AN14" si="112">(+AM14-+AM13)*48</f>
        <v>5184</v>
      </c>
      <c r="AO14" s="86">
        <v>937443</v>
      </c>
      <c r="AP14" s="38">
        <f t="shared" ref="AP14" si="113">(+AO14-+AO13)*48</f>
        <v>10368</v>
      </c>
      <c r="AQ14" s="86">
        <v>77874</v>
      </c>
      <c r="AR14" s="38">
        <f t="shared" ref="AR14" si="114">(+AQ14-+AQ13)*48</f>
        <v>0</v>
      </c>
      <c r="AS14" s="86">
        <v>2262</v>
      </c>
      <c r="AT14" s="38">
        <f t="shared" ref="AT14" si="115">(+AS14-+AS13)*48</f>
        <v>0</v>
      </c>
      <c r="AU14" s="86">
        <v>939</v>
      </c>
      <c r="AV14" s="38">
        <f t="shared" ref="AV14" si="116">(+AU14-+AU13)*48</f>
        <v>0</v>
      </c>
      <c r="AW14" s="86">
        <v>3109</v>
      </c>
      <c r="AX14" s="38">
        <f t="shared" ref="AX14" si="117">(+AW14-+AW13)*48</f>
        <v>0</v>
      </c>
      <c r="AY14" s="86">
        <v>319707</v>
      </c>
      <c r="AZ14" s="38">
        <f t="shared" ref="AZ14" si="118">(+AY14-+AY13)*48</f>
        <v>3168</v>
      </c>
      <c r="BA14" s="86">
        <v>161101</v>
      </c>
      <c r="BB14" s="38">
        <f t="shared" ref="BB14" si="119">(+BA14-+BA13)*48</f>
        <v>0</v>
      </c>
      <c r="BC14" s="86">
        <v>218270</v>
      </c>
      <c r="BD14" s="38">
        <f t="shared" ref="BD14" si="120">(+BC14-+BC13)*48</f>
        <v>960</v>
      </c>
      <c r="BE14" s="86">
        <v>5347</v>
      </c>
      <c r="BF14" s="38">
        <f t="shared" ref="BF14" si="121">(+BE14-+BE13)*48</f>
        <v>0</v>
      </c>
      <c r="BH14" s="108">
        <f t="shared" si="1"/>
        <v>102927.84</v>
      </c>
      <c r="BI14" s="108">
        <f t="shared" si="2"/>
        <v>68604</v>
      </c>
    </row>
    <row r="15" spans="1:61" s="36" customFormat="1" ht="39.950000000000003" customHeight="1">
      <c r="A15" s="147">
        <v>44384</v>
      </c>
      <c r="B15" s="35"/>
      <c r="C15" s="80">
        <v>6145941</v>
      </c>
      <c r="D15" s="38">
        <f t="shared" ref="D15" si="122">(+C15-+C14)*48</f>
        <v>102288</v>
      </c>
      <c r="E15" s="107">
        <f>D15*E5</f>
        <v>56258.400000000001</v>
      </c>
      <c r="F15" s="107">
        <f>D15*F5</f>
        <v>46029.599999999999</v>
      </c>
      <c r="G15" s="80">
        <v>283461</v>
      </c>
      <c r="H15" s="38">
        <f t="shared" ref="H15" si="123">(+G15-+G14)*48</f>
        <v>2304</v>
      </c>
      <c r="I15" s="80">
        <v>132637</v>
      </c>
      <c r="J15" s="38">
        <f t="shared" ref="J15" si="124">(+I15-+I14)*48</f>
        <v>8160</v>
      </c>
      <c r="K15" s="80">
        <v>259533</v>
      </c>
      <c r="L15" s="38">
        <f t="shared" si="0"/>
        <v>576</v>
      </c>
      <c r="M15" s="80">
        <v>24783</v>
      </c>
      <c r="N15" s="38">
        <f t="shared" ref="N15" si="125">(+M15-+M14)*48</f>
        <v>0</v>
      </c>
      <c r="O15" s="80">
        <v>272124</v>
      </c>
      <c r="P15" s="38">
        <f t="shared" ref="P15" si="126">(+O15-+O14)*48</f>
        <v>9648</v>
      </c>
      <c r="Q15" s="80">
        <v>452385</v>
      </c>
      <c r="R15" s="38">
        <f t="shared" ref="R15" si="127">(+Q15-+Q14)*48</f>
        <v>2400</v>
      </c>
      <c r="S15" s="80">
        <v>728963</v>
      </c>
      <c r="T15" s="38">
        <f t="shared" ref="T15" si="128">(+S15-+S14)*48</f>
        <v>4608</v>
      </c>
      <c r="U15" s="85">
        <v>530.79300000000001</v>
      </c>
      <c r="V15" s="107">
        <f t="shared" ref="V15" si="129">(+U15-+U14)*48</f>
        <v>813.93599999999969</v>
      </c>
      <c r="W15" s="80">
        <v>81368</v>
      </c>
      <c r="X15" s="38">
        <f t="shared" ref="X15" si="130">(+W15-+W14)*48</f>
        <v>240</v>
      </c>
      <c r="Y15" s="80">
        <v>1499604</v>
      </c>
      <c r="Z15" s="38">
        <f t="shared" ref="Z15" si="131">(+Y15-+Y14)*48</f>
        <v>0</v>
      </c>
      <c r="AA15" s="80">
        <v>13264</v>
      </c>
      <c r="AB15" s="38">
        <f t="shared" ref="AB15" si="132">(+AA15-+AA14)*48</f>
        <v>0</v>
      </c>
      <c r="AC15" s="80">
        <v>461179</v>
      </c>
      <c r="AD15" s="38">
        <f t="shared" si="14"/>
        <v>6192</v>
      </c>
      <c r="AE15" s="80">
        <v>534167</v>
      </c>
      <c r="AF15" s="38">
        <f t="shared" si="14"/>
        <v>6288</v>
      </c>
      <c r="AG15" s="80">
        <v>49769</v>
      </c>
      <c r="AH15" s="38">
        <f t="shared" ref="AH15" si="133">(+AG15-+AG14)*48</f>
        <v>0</v>
      </c>
      <c r="AI15" s="80">
        <v>419982</v>
      </c>
      <c r="AJ15" s="38">
        <f t="shared" ref="AJ15" si="134">(+AI15-+AI14)*48</f>
        <v>3216</v>
      </c>
      <c r="AK15" s="80">
        <v>102770</v>
      </c>
      <c r="AL15" s="38">
        <f t="shared" ref="AL15" si="135">(+AK15-+AK14)*48</f>
        <v>0</v>
      </c>
      <c r="AM15" s="80">
        <v>578699</v>
      </c>
      <c r="AN15" s="38">
        <f t="shared" ref="AN15" si="136">(+AM15-+AM14)*48</f>
        <v>4992</v>
      </c>
      <c r="AO15" s="80">
        <v>937654</v>
      </c>
      <c r="AP15" s="38">
        <f t="shared" ref="AP15" si="137">(+AO15-+AO14)*48</f>
        <v>10128</v>
      </c>
      <c r="AQ15" s="80">
        <v>77874</v>
      </c>
      <c r="AR15" s="38">
        <f t="shared" ref="AR15" si="138">(+AQ15-+AQ14)*48</f>
        <v>0</v>
      </c>
      <c r="AS15" s="80">
        <v>2262</v>
      </c>
      <c r="AT15" s="38">
        <f t="shared" ref="AT15" si="139">(+AS15-+AS14)*48</f>
        <v>0</v>
      </c>
      <c r="AU15" s="80">
        <v>939</v>
      </c>
      <c r="AV15" s="38">
        <f t="shared" ref="AV15" si="140">(+AU15-+AU14)*48</f>
        <v>0</v>
      </c>
      <c r="AW15" s="80">
        <v>3109</v>
      </c>
      <c r="AX15" s="38">
        <f t="shared" ref="AX15" si="141">(+AW15-+AW14)*48</f>
        <v>0</v>
      </c>
      <c r="AY15" s="80">
        <v>319772</v>
      </c>
      <c r="AZ15" s="38">
        <f t="shared" ref="AZ15" si="142">(+AY15-+AY14)*48</f>
        <v>3120</v>
      </c>
      <c r="BA15" s="80">
        <v>161101</v>
      </c>
      <c r="BB15" s="38">
        <f t="shared" ref="BB15" si="143">(+BA15-+BA14)*48</f>
        <v>0</v>
      </c>
      <c r="BC15" s="80">
        <v>218291</v>
      </c>
      <c r="BD15" s="38">
        <f t="shared" ref="BD15" si="144">(+BC15-+BC14)*48</f>
        <v>1008</v>
      </c>
      <c r="BE15" s="80">
        <v>5347</v>
      </c>
      <c r="BF15" s="38">
        <f t="shared" ref="BF15" si="145">(+BE15-+BE14)*48</f>
        <v>0</v>
      </c>
      <c r="BH15" s="108">
        <f t="shared" si="1"/>
        <v>100704.336</v>
      </c>
      <c r="BI15" s="108">
        <f t="shared" si="2"/>
        <v>65277.599999999999</v>
      </c>
    </row>
    <row r="16" spans="1:61" s="36" customFormat="1" ht="39.950000000000003" customHeight="1">
      <c r="A16" s="147">
        <v>44385</v>
      </c>
      <c r="B16" s="35"/>
      <c r="C16" s="80">
        <v>6148052</v>
      </c>
      <c r="D16" s="38">
        <f t="shared" ref="D16" si="146">(+C16-+C15)*48</f>
        <v>101328</v>
      </c>
      <c r="E16" s="107">
        <f>D16*E5</f>
        <v>55730.400000000001</v>
      </c>
      <c r="F16" s="107">
        <f>D16*F5</f>
        <v>45597.599999999999</v>
      </c>
      <c r="G16" s="80">
        <v>283490</v>
      </c>
      <c r="H16" s="38">
        <f t="shared" ref="H16" si="147">(+G16-+G15)*48</f>
        <v>1392</v>
      </c>
      <c r="I16" s="80">
        <v>132798</v>
      </c>
      <c r="J16" s="38">
        <f t="shared" ref="J16" si="148">(+I16-+I15)*48</f>
        <v>7728</v>
      </c>
      <c r="K16" s="80">
        <v>259534</v>
      </c>
      <c r="L16" s="38">
        <f t="shared" si="0"/>
        <v>48</v>
      </c>
      <c r="M16" s="80">
        <v>24783</v>
      </c>
      <c r="N16" s="38">
        <f t="shared" ref="N16" si="149">(+M16-+M15)*48</f>
        <v>0</v>
      </c>
      <c r="O16" s="80">
        <v>272324</v>
      </c>
      <c r="P16" s="38">
        <f t="shared" ref="P16" si="150">(+O16-+O15)*48</f>
        <v>9600</v>
      </c>
      <c r="Q16" s="80">
        <v>452448</v>
      </c>
      <c r="R16" s="38">
        <f t="shared" ref="R16" si="151">(+Q16-+Q15)*48</f>
        <v>3024</v>
      </c>
      <c r="S16" s="80">
        <v>729073</v>
      </c>
      <c r="T16" s="38">
        <f t="shared" ref="T16" si="152">(+S16-+S15)*48</f>
        <v>5280</v>
      </c>
      <c r="U16" s="85">
        <v>549.83500000000004</v>
      </c>
      <c r="V16" s="107">
        <f t="shared" ref="V16" si="153">(+U16-+U15)*48</f>
        <v>914.01600000000144</v>
      </c>
      <c r="W16" s="80">
        <v>81382</v>
      </c>
      <c r="X16" s="38">
        <f t="shared" ref="X16" si="154">(+W16-+W15)*48</f>
        <v>672</v>
      </c>
      <c r="Y16" s="80">
        <v>1499604</v>
      </c>
      <c r="Z16" s="38">
        <f t="shared" ref="Z16" si="155">(+Y16-+Y15)*48</f>
        <v>0</v>
      </c>
      <c r="AA16" s="80">
        <v>13264</v>
      </c>
      <c r="AB16" s="38">
        <f t="shared" ref="AB16" si="156">(+AA16-+AA15)*48</f>
        <v>0</v>
      </c>
      <c r="AC16" s="80">
        <v>461309</v>
      </c>
      <c r="AD16" s="38">
        <f t="shared" si="14"/>
        <v>6240</v>
      </c>
      <c r="AE16" s="80">
        <v>534297</v>
      </c>
      <c r="AF16" s="38">
        <f t="shared" si="14"/>
        <v>6240</v>
      </c>
      <c r="AG16" s="80">
        <v>49769</v>
      </c>
      <c r="AH16" s="38">
        <f t="shared" ref="AH16" si="157">(+AG16-+AG15)*48</f>
        <v>0</v>
      </c>
      <c r="AI16" s="80">
        <v>420049</v>
      </c>
      <c r="AJ16" s="38">
        <f t="shared" ref="AJ16" si="158">(+AI16-+AI15)*48</f>
        <v>3216</v>
      </c>
      <c r="AK16" s="80">
        <v>102770</v>
      </c>
      <c r="AL16" s="38">
        <f t="shared" ref="AL16" si="159">(+AK16-+AK15)*48</f>
        <v>0</v>
      </c>
      <c r="AM16" s="80">
        <v>578818</v>
      </c>
      <c r="AN16" s="38">
        <f t="shared" ref="AN16" si="160">(+AM16-+AM15)*48</f>
        <v>5712</v>
      </c>
      <c r="AO16" s="80">
        <v>937864</v>
      </c>
      <c r="AP16" s="38">
        <f t="shared" ref="AP16" si="161">(+AO16-+AO15)*48</f>
        <v>10080</v>
      </c>
      <c r="AQ16" s="80">
        <v>77874</v>
      </c>
      <c r="AR16" s="38">
        <f t="shared" ref="AR16" si="162">(+AQ16-+AQ15)*48</f>
        <v>0</v>
      </c>
      <c r="AS16" s="80">
        <v>2262</v>
      </c>
      <c r="AT16" s="38">
        <f t="shared" ref="AT16" si="163">(+AS16-+AS15)*48</f>
        <v>0</v>
      </c>
      <c r="AU16" s="80">
        <v>939</v>
      </c>
      <c r="AV16" s="38">
        <f t="shared" ref="AV16" si="164">(+AU16-+AU15)*48</f>
        <v>0</v>
      </c>
      <c r="AW16" s="80">
        <v>3109</v>
      </c>
      <c r="AX16" s="38">
        <f t="shared" ref="AX16" si="165">(+AW16-+AW15)*48</f>
        <v>0</v>
      </c>
      <c r="AY16" s="80">
        <v>319832</v>
      </c>
      <c r="AZ16" s="38">
        <f t="shared" ref="AZ16" si="166">(+AY16-+AY15)*48</f>
        <v>2880</v>
      </c>
      <c r="BA16" s="80">
        <v>161101</v>
      </c>
      <c r="BB16" s="38">
        <f t="shared" ref="BB16" si="167">(+BA16-+BA15)*48</f>
        <v>0</v>
      </c>
      <c r="BC16" s="80">
        <v>218320</v>
      </c>
      <c r="BD16" s="38">
        <f t="shared" ref="BD16" si="168">(+BC16-+BC15)*48</f>
        <v>1392</v>
      </c>
      <c r="BE16" s="80">
        <v>5347</v>
      </c>
      <c r="BF16" s="38">
        <f t="shared" ref="BF16" si="169">(+BE16-+BE15)*48</f>
        <v>0</v>
      </c>
      <c r="BH16" s="108">
        <f t="shared" si="1"/>
        <v>100084.416</v>
      </c>
      <c r="BI16" s="108">
        <f t="shared" si="2"/>
        <v>65661.600000000006</v>
      </c>
    </row>
    <row r="17" spans="1:61" s="36" customFormat="1" ht="39.950000000000003" customHeight="1">
      <c r="A17" s="147">
        <v>44386</v>
      </c>
      <c r="B17" s="35"/>
      <c r="C17" s="80">
        <v>6150065</v>
      </c>
      <c r="D17" s="38">
        <f t="shared" ref="D17" si="170">(+C17-+C16)*48</f>
        <v>96624</v>
      </c>
      <c r="E17" s="107">
        <f>D17*E5</f>
        <v>53143.200000000004</v>
      </c>
      <c r="F17" s="107">
        <f>D17*F5</f>
        <v>43480.800000000003</v>
      </c>
      <c r="G17" s="80">
        <v>283529</v>
      </c>
      <c r="H17" s="38">
        <f t="shared" ref="H17" si="171">(+G17-+G16)*48</f>
        <v>1872</v>
      </c>
      <c r="I17" s="80">
        <v>132968</v>
      </c>
      <c r="J17" s="38">
        <f t="shared" ref="J17" si="172">(+I17-+I16)*48</f>
        <v>8160</v>
      </c>
      <c r="K17" s="80">
        <v>259539</v>
      </c>
      <c r="L17" s="38">
        <f t="shared" si="0"/>
        <v>240</v>
      </c>
      <c r="M17" s="80">
        <v>24783</v>
      </c>
      <c r="N17" s="38">
        <f t="shared" ref="N17" si="173">(+M17-+M16)*48</f>
        <v>0</v>
      </c>
      <c r="O17" s="80">
        <v>272517</v>
      </c>
      <c r="P17" s="38">
        <f t="shared" ref="P17" si="174">(+O17-+O16)*48</f>
        <v>9264</v>
      </c>
      <c r="Q17" s="80">
        <v>452547</v>
      </c>
      <c r="R17" s="38">
        <f t="shared" ref="R17" si="175">(+Q17-+Q16)*48</f>
        <v>4752</v>
      </c>
      <c r="S17" s="80">
        <v>729197</v>
      </c>
      <c r="T17" s="38">
        <f t="shared" ref="T17" si="176">(+S17-+S16)*48</f>
        <v>5952</v>
      </c>
      <c r="U17" s="85">
        <v>568.221</v>
      </c>
      <c r="V17" s="107">
        <f t="shared" ref="V17" si="177">(+U17-+U16)*48</f>
        <v>882.52799999999843</v>
      </c>
      <c r="W17" s="80">
        <v>81396</v>
      </c>
      <c r="X17" s="38">
        <f t="shared" ref="X17" si="178">(+W17-+W16)*48</f>
        <v>672</v>
      </c>
      <c r="Y17" s="80">
        <v>1499604</v>
      </c>
      <c r="Z17" s="38">
        <f t="shared" ref="Z17" si="179">(+Y17-+Y16)*48</f>
        <v>0</v>
      </c>
      <c r="AA17" s="80">
        <v>13264</v>
      </c>
      <c r="AB17" s="38">
        <f t="shared" ref="AB17" si="180">(+AA17-+AA16)*48</f>
        <v>0</v>
      </c>
      <c r="AC17" s="80">
        <v>461458</v>
      </c>
      <c r="AD17" s="38">
        <f t="shared" si="14"/>
        <v>7152</v>
      </c>
      <c r="AE17" s="80">
        <v>534437</v>
      </c>
      <c r="AF17" s="38">
        <f t="shared" si="14"/>
        <v>6720</v>
      </c>
      <c r="AG17" s="80">
        <v>49769</v>
      </c>
      <c r="AH17" s="38">
        <f t="shared" ref="AH17" si="181">(+AG17-+AG16)*48</f>
        <v>0</v>
      </c>
      <c r="AI17" s="80">
        <v>420118</v>
      </c>
      <c r="AJ17" s="38">
        <f t="shared" ref="AJ17" si="182">(+AI17-+AI16)*48</f>
        <v>3312</v>
      </c>
      <c r="AK17" s="80">
        <v>102770</v>
      </c>
      <c r="AL17" s="38">
        <f t="shared" ref="AL17" si="183">(+AK17-+AK16)*48</f>
        <v>0</v>
      </c>
      <c r="AM17" s="85">
        <v>578918</v>
      </c>
      <c r="AN17" s="107">
        <f t="shared" ref="AN17" si="184">(+AM17-+AM16)*48</f>
        <v>4800</v>
      </c>
      <c r="AO17" s="85">
        <v>938076</v>
      </c>
      <c r="AP17" s="107">
        <f t="shared" ref="AP17" si="185">(+AO17-+AO16)*48</f>
        <v>10176</v>
      </c>
      <c r="AQ17" s="80">
        <v>77874</v>
      </c>
      <c r="AR17" s="38">
        <f t="shared" ref="AR17" si="186">(+AQ17-+AQ16)*48</f>
        <v>0</v>
      </c>
      <c r="AS17" s="80">
        <v>2262</v>
      </c>
      <c r="AT17" s="38">
        <f t="shared" ref="AT17" si="187">(+AS17-+AS16)*48</f>
        <v>0</v>
      </c>
      <c r="AU17" s="80">
        <v>939</v>
      </c>
      <c r="AV17" s="38">
        <f t="shared" ref="AV17" si="188">(+AU17-+AU16)*48</f>
        <v>0</v>
      </c>
      <c r="AW17" s="80">
        <v>3109</v>
      </c>
      <c r="AX17" s="38">
        <f t="shared" ref="AX17" si="189">(+AW17-+AW16)*48</f>
        <v>0</v>
      </c>
      <c r="AY17" s="80">
        <v>319904</v>
      </c>
      <c r="AZ17" s="38">
        <f t="shared" ref="AZ17" si="190">(+AY17-+AY16)*48</f>
        <v>3456</v>
      </c>
      <c r="BA17" s="80">
        <v>161101</v>
      </c>
      <c r="BB17" s="38">
        <f t="shared" ref="BB17" si="191">(+BA17-+BA16)*48</f>
        <v>0</v>
      </c>
      <c r="BC17" s="80">
        <v>218351</v>
      </c>
      <c r="BD17" s="38">
        <f t="shared" ref="BD17" si="192">(+BC17-+BC16)*48</f>
        <v>1488</v>
      </c>
      <c r="BE17" s="80">
        <v>5347</v>
      </c>
      <c r="BF17" s="38">
        <f t="shared" ref="BF17" si="193">(+BE17-+BE16)*48</f>
        <v>0</v>
      </c>
      <c r="BH17" s="108">
        <f t="shared" si="1"/>
        <v>102121.728</v>
      </c>
      <c r="BI17" s="108">
        <f t="shared" si="2"/>
        <v>63400.800000000003</v>
      </c>
    </row>
    <row r="18" spans="1:61" s="36" customFormat="1" ht="39.950000000000003" customHeight="1">
      <c r="A18" s="147">
        <v>44387</v>
      </c>
      <c r="B18" s="35"/>
      <c r="C18" s="85">
        <v>6152095</v>
      </c>
      <c r="D18" s="38">
        <f t="shared" ref="D18" si="194">(+C18-+C17)*48</f>
        <v>97440</v>
      </c>
      <c r="E18" s="107">
        <f>D18*E5</f>
        <v>53592.000000000007</v>
      </c>
      <c r="F18" s="107">
        <f>D18*F5</f>
        <v>43848</v>
      </c>
      <c r="G18" s="85">
        <v>283562</v>
      </c>
      <c r="H18" s="38">
        <f t="shared" ref="H18" si="195">(+G18-+G17)*48</f>
        <v>1584</v>
      </c>
      <c r="I18" s="85">
        <v>133137</v>
      </c>
      <c r="J18" s="38">
        <f t="shared" ref="J18" si="196">(+I18-+I17)*48</f>
        <v>8112</v>
      </c>
      <c r="K18" s="85">
        <v>259564</v>
      </c>
      <c r="L18" s="38">
        <f t="shared" si="0"/>
        <v>1200</v>
      </c>
      <c r="M18" s="80">
        <v>24783</v>
      </c>
      <c r="N18" s="38">
        <f t="shared" ref="N18" si="197">(+M18-+M17)*48</f>
        <v>0</v>
      </c>
      <c r="O18" s="85">
        <v>272718</v>
      </c>
      <c r="P18" s="38">
        <f t="shared" ref="P18" si="198">(+O18-+O17)*48</f>
        <v>9648</v>
      </c>
      <c r="Q18" s="85">
        <v>452626</v>
      </c>
      <c r="R18" s="38">
        <f t="shared" ref="R18" si="199">(+Q18-+Q17)*48</f>
        <v>3792</v>
      </c>
      <c r="S18" s="85">
        <v>729312</v>
      </c>
      <c r="T18" s="38">
        <f t="shared" ref="T18" si="200">(+S18-+S17)*48</f>
        <v>5520</v>
      </c>
      <c r="U18" s="85">
        <v>589</v>
      </c>
      <c r="V18" s="107">
        <f>(+U18-+U17)*48</f>
        <v>997.39199999999983</v>
      </c>
      <c r="W18" s="85">
        <v>81407</v>
      </c>
      <c r="X18" s="38">
        <f t="shared" ref="X18" si="201">(+W18-+W17)*48</f>
        <v>528</v>
      </c>
      <c r="Y18" s="86">
        <v>1499604</v>
      </c>
      <c r="Z18" s="38">
        <f t="shared" ref="Z18" si="202">(+Y18-+Y17)*48</f>
        <v>0</v>
      </c>
      <c r="AA18" s="85">
        <v>13264</v>
      </c>
      <c r="AB18" s="38">
        <f t="shared" ref="AB18" si="203">(+AA18-+AA17)*48</f>
        <v>0</v>
      </c>
      <c r="AC18" s="85">
        <v>461589</v>
      </c>
      <c r="AD18" s="38">
        <f t="shared" si="14"/>
        <v>6288</v>
      </c>
      <c r="AE18" s="85">
        <v>534566</v>
      </c>
      <c r="AF18" s="38">
        <f t="shared" si="14"/>
        <v>6192</v>
      </c>
      <c r="AG18" s="80">
        <v>49769</v>
      </c>
      <c r="AH18" s="38">
        <f t="shared" ref="AH18" si="204">(+AG18-+AG17)*48</f>
        <v>0</v>
      </c>
      <c r="AI18" s="85">
        <v>420184</v>
      </c>
      <c r="AJ18" s="38">
        <f t="shared" ref="AJ18" si="205">(+AI18-+AI17)*48</f>
        <v>3168</v>
      </c>
      <c r="AK18" s="80">
        <v>102770</v>
      </c>
      <c r="AL18" s="38">
        <f t="shared" ref="AL18" si="206">(+AK18-+AK17)*48</f>
        <v>0</v>
      </c>
      <c r="AM18" s="85">
        <v>579001</v>
      </c>
      <c r="AN18" s="107">
        <f t="shared" ref="AN18" si="207">(+AM18-+AM17)*48</f>
        <v>3984</v>
      </c>
      <c r="AO18" s="85">
        <v>938287</v>
      </c>
      <c r="AP18" s="107">
        <f t="shared" ref="AP18" si="208">(+AO18-+AO17)*48</f>
        <v>10128</v>
      </c>
      <c r="AQ18" s="80">
        <v>77874</v>
      </c>
      <c r="AR18" s="38">
        <f t="shared" ref="AR18" si="209">(+AQ18-+AQ17)*48</f>
        <v>0</v>
      </c>
      <c r="AS18" s="80">
        <v>2262</v>
      </c>
      <c r="AT18" s="38">
        <f t="shared" ref="AT18" si="210">(+AS18-+AS17)*48</f>
        <v>0</v>
      </c>
      <c r="AU18" s="80">
        <v>939</v>
      </c>
      <c r="AV18" s="38">
        <f t="shared" ref="AV18" si="211">(+AU18-+AU17)*48</f>
        <v>0</v>
      </c>
      <c r="AW18" s="80">
        <v>3109</v>
      </c>
      <c r="AX18" s="38">
        <f t="shared" ref="AX18" si="212">(+AW18-+AW17)*48</f>
        <v>0</v>
      </c>
      <c r="AY18" s="85">
        <v>319969</v>
      </c>
      <c r="AZ18" s="38">
        <f t="shared" ref="AZ18" si="213">(+AY18-+AY17)*48</f>
        <v>3120</v>
      </c>
      <c r="BA18" s="80">
        <v>161101</v>
      </c>
      <c r="BB18" s="38">
        <f t="shared" ref="BB18" si="214">(+BA18-+BA17)*48</f>
        <v>0</v>
      </c>
      <c r="BC18" s="85">
        <f>(BC23-BC17)/6+BC17</f>
        <v>218383</v>
      </c>
      <c r="BD18" s="38">
        <f t="shared" ref="BD18" si="215">(+BC18-+BC17)*48</f>
        <v>1536</v>
      </c>
      <c r="BE18" s="80">
        <v>5347</v>
      </c>
      <c r="BF18" s="38">
        <f t="shared" ref="BF18" si="216">(+BE18-+BE17)*48</f>
        <v>0</v>
      </c>
      <c r="BH18" s="108">
        <f t="shared" si="1"/>
        <v>100621.39199999999</v>
      </c>
      <c r="BI18" s="108">
        <f t="shared" si="2"/>
        <v>62616</v>
      </c>
    </row>
    <row r="19" spans="1:61" s="36" customFormat="1" ht="39.950000000000003" customHeight="1">
      <c r="A19" s="147">
        <v>44388</v>
      </c>
      <c r="B19" s="35"/>
      <c r="C19" s="85">
        <v>6154125</v>
      </c>
      <c r="D19" s="38">
        <f t="shared" ref="D19" si="217">(+C19-+C18)*48</f>
        <v>97440</v>
      </c>
      <c r="E19" s="107">
        <f>D19*E5</f>
        <v>53592.000000000007</v>
      </c>
      <c r="F19" s="107">
        <f>D19*F5</f>
        <v>43848</v>
      </c>
      <c r="G19" s="85">
        <v>283595</v>
      </c>
      <c r="H19" s="38">
        <f t="shared" ref="H19" si="218">(+G19-+G18)*48</f>
        <v>1584</v>
      </c>
      <c r="I19" s="85">
        <v>133310</v>
      </c>
      <c r="J19" s="38">
        <f t="shared" ref="J19" si="219">(+I19-+I18)*48</f>
        <v>8304</v>
      </c>
      <c r="K19" s="85">
        <v>259587</v>
      </c>
      <c r="L19" s="38">
        <f t="shared" si="0"/>
        <v>1104</v>
      </c>
      <c r="M19" s="80">
        <v>24783</v>
      </c>
      <c r="N19" s="38">
        <f t="shared" ref="N19" si="220">(+M19-+M18)*48</f>
        <v>0</v>
      </c>
      <c r="O19" s="85">
        <v>272886</v>
      </c>
      <c r="P19" s="38">
        <f t="shared" ref="P19" si="221">(+O19-+O18)*48</f>
        <v>8064</v>
      </c>
      <c r="Q19" s="85">
        <v>452705</v>
      </c>
      <c r="R19" s="38">
        <f t="shared" ref="R19" si="222">(+Q19-+Q18)*48</f>
        <v>3792</v>
      </c>
      <c r="S19" s="85">
        <v>729427</v>
      </c>
      <c r="T19" s="38">
        <f t="shared" ref="T19" si="223">(+S19-+S18)*48</f>
        <v>5520</v>
      </c>
      <c r="U19" s="85">
        <v>609</v>
      </c>
      <c r="V19" s="107">
        <f t="shared" ref="V19" si="224">(+U19-+U18)*48</f>
        <v>960</v>
      </c>
      <c r="W19" s="85">
        <v>81417</v>
      </c>
      <c r="X19" s="38">
        <f t="shared" ref="X19" si="225">(+W19-+W18)*48</f>
        <v>480</v>
      </c>
      <c r="Y19" s="86">
        <v>1499604</v>
      </c>
      <c r="Z19" s="38">
        <f t="shared" ref="Z19" si="226">(+Y19-+Y18)*48</f>
        <v>0</v>
      </c>
      <c r="AA19" s="85">
        <v>13264</v>
      </c>
      <c r="AB19" s="38">
        <f t="shared" ref="AB19" si="227">(+AA19-+AA18)*48</f>
        <v>0</v>
      </c>
      <c r="AC19" s="85">
        <v>461720</v>
      </c>
      <c r="AD19" s="38">
        <f t="shared" si="14"/>
        <v>6288</v>
      </c>
      <c r="AE19" s="85">
        <v>534569</v>
      </c>
      <c r="AF19" s="38">
        <f t="shared" si="14"/>
        <v>144</v>
      </c>
      <c r="AG19" s="85">
        <v>49769</v>
      </c>
      <c r="AH19" s="38">
        <f t="shared" ref="AH19" si="228">(+AG19-+AG18)*48</f>
        <v>0</v>
      </c>
      <c r="AI19" s="85">
        <v>420205</v>
      </c>
      <c r="AJ19" s="38">
        <f t="shared" ref="AJ19" si="229">(+AI19-+AI18)*48</f>
        <v>1008</v>
      </c>
      <c r="AK19" s="85">
        <v>102770</v>
      </c>
      <c r="AL19" s="38">
        <f t="shared" ref="AL19" si="230">(+AK19-+AK18)*48</f>
        <v>0</v>
      </c>
      <c r="AM19" s="85">
        <v>579101</v>
      </c>
      <c r="AN19" s="107">
        <f t="shared" ref="AN19" si="231">(+AM19-+AM18)*48</f>
        <v>4800</v>
      </c>
      <c r="AO19" s="85">
        <v>938497</v>
      </c>
      <c r="AP19" s="107">
        <f t="shared" ref="AP19" si="232">(+AO19-+AO18)*48</f>
        <v>10080</v>
      </c>
      <c r="AQ19" s="85">
        <v>77874</v>
      </c>
      <c r="AR19" s="38">
        <f t="shared" ref="AR19" si="233">(+AQ19-+AQ18)*48</f>
        <v>0</v>
      </c>
      <c r="AS19" s="85">
        <v>2262</v>
      </c>
      <c r="AT19" s="38">
        <f t="shared" ref="AT19" si="234">(+AS19-+AS18)*48</f>
        <v>0</v>
      </c>
      <c r="AU19" s="85">
        <v>939</v>
      </c>
      <c r="AV19" s="38">
        <f t="shared" ref="AV19" si="235">(+AU19-+AU18)*48</f>
        <v>0</v>
      </c>
      <c r="AW19" s="85">
        <v>3109</v>
      </c>
      <c r="AX19" s="38">
        <f t="shared" ref="AX19" si="236">(+AW19-+AW18)*48</f>
        <v>0</v>
      </c>
      <c r="AY19" s="85">
        <v>320031</v>
      </c>
      <c r="AZ19" s="38">
        <f t="shared" ref="AZ19" si="237">(+AY19-+AY18)*48</f>
        <v>2976</v>
      </c>
      <c r="BA19" s="85">
        <v>161101</v>
      </c>
      <c r="BB19" s="38">
        <f t="shared" ref="BB19" si="238">(+BA19-+BA18)*48</f>
        <v>0</v>
      </c>
      <c r="BC19" s="85">
        <f>(BC23-BC17)/6+BC18</f>
        <v>218415</v>
      </c>
      <c r="BD19" s="38">
        <f t="shared" ref="BD19" si="239">(+BC19-+BC18)*48</f>
        <v>1536</v>
      </c>
      <c r="BE19" s="85">
        <v>5347</v>
      </c>
      <c r="BF19" s="38">
        <f t="shared" ref="BF19" si="240">(+BE19-+BE18)*48</f>
        <v>0</v>
      </c>
      <c r="BH19" s="167">
        <f t="shared" si="1"/>
        <v>90840</v>
      </c>
      <c r="BI19" s="167">
        <f t="shared" si="2"/>
        <v>63240</v>
      </c>
    </row>
    <row r="20" spans="1:61" s="36" customFormat="1" ht="39.950000000000003" customHeight="1">
      <c r="A20" s="147">
        <v>44389</v>
      </c>
      <c r="B20" s="35"/>
      <c r="C20" s="85">
        <v>6156152</v>
      </c>
      <c r="D20" s="38">
        <f t="shared" ref="D20" si="241">(+C20-+C19)*48</f>
        <v>97296</v>
      </c>
      <c r="E20" s="107">
        <f>D20*E5</f>
        <v>53512.800000000003</v>
      </c>
      <c r="F20" s="107">
        <f>D20*F5</f>
        <v>43783.200000000004</v>
      </c>
      <c r="G20" s="85">
        <v>283628</v>
      </c>
      <c r="H20" s="38">
        <f t="shared" ref="H20" si="242">(+G20-+G19)*48</f>
        <v>1584</v>
      </c>
      <c r="I20" s="85">
        <v>133480</v>
      </c>
      <c r="J20" s="38">
        <f t="shared" ref="J20" si="243">(+I20-+I19)*48</f>
        <v>8160</v>
      </c>
      <c r="K20" s="85">
        <v>259601</v>
      </c>
      <c r="L20" s="38">
        <f t="shared" si="0"/>
        <v>672</v>
      </c>
      <c r="M20" s="80">
        <v>24783</v>
      </c>
      <c r="N20" s="38">
        <f t="shared" ref="N20" si="244">(+M20-+M19)*48</f>
        <v>0</v>
      </c>
      <c r="O20" s="85">
        <v>273087</v>
      </c>
      <c r="P20" s="38">
        <f t="shared" ref="P20" si="245">(+O20-+O19)*48</f>
        <v>9648</v>
      </c>
      <c r="Q20" s="85">
        <v>452784</v>
      </c>
      <c r="R20" s="38">
        <f t="shared" ref="R20" si="246">(+Q20-+Q19)*48</f>
        <v>3792</v>
      </c>
      <c r="S20" s="85">
        <v>729542</v>
      </c>
      <c r="T20" s="38">
        <f t="shared" ref="T20" si="247">(+S20-+S19)*48</f>
        <v>5520</v>
      </c>
      <c r="U20" s="85">
        <v>630</v>
      </c>
      <c r="V20" s="107">
        <f t="shared" ref="V20" si="248">(+U20-+U19)*48</f>
        <v>1008</v>
      </c>
      <c r="W20" s="85">
        <v>81484</v>
      </c>
      <c r="X20" s="38">
        <f t="shared" ref="X20" si="249">(+W20-+W19)*48</f>
        <v>3216</v>
      </c>
      <c r="Y20" s="85">
        <v>1499604</v>
      </c>
      <c r="Z20" s="38">
        <f t="shared" ref="Z20" si="250">(+Y20-+Y19)*48</f>
        <v>0</v>
      </c>
      <c r="AA20" s="85">
        <v>13264</v>
      </c>
      <c r="AB20" s="38">
        <f t="shared" ref="AB20" si="251">(+AA20-+AA19)*48</f>
        <v>0</v>
      </c>
      <c r="AC20" s="85">
        <v>461851</v>
      </c>
      <c r="AD20" s="38">
        <f t="shared" si="14"/>
        <v>6288</v>
      </c>
      <c r="AE20" s="85">
        <v>534598</v>
      </c>
      <c r="AF20" s="38">
        <f t="shared" si="14"/>
        <v>1392</v>
      </c>
      <c r="AG20" s="85">
        <v>49769</v>
      </c>
      <c r="AH20" s="38">
        <f t="shared" ref="AH20" si="252">(+AG20-+AG19)*48</f>
        <v>0</v>
      </c>
      <c r="AI20" s="85">
        <v>420271</v>
      </c>
      <c r="AJ20" s="38">
        <f t="shared" ref="AJ20" si="253">(+AI20-+AI19)*48</f>
        <v>3168</v>
      </c>
      <c r="AK20" s="85">
        <v>102770</v>
      </c>
      <c r="AL20" s="38">
        <f t="shared" ref="AL20" si="254">(+AK20-+AK19)*48</f>
        <v>0</v>
      </c>
      <c r="AM20" s="85">
        <v>579205</v>
      </c>
      <c r="AN20" s="107">
        <f t="shared" ref="AN20" si="255">(+AM20-+AM19)*48</f>
        <v>4992</v>
      </c>
      <c r="AO20" s="85">
        <v>938708</v>
      </c>
      <c r="AP20" s="107">
        <f t="shared" ref="AP20" si="256">(+AO20-+AO19)*48</f>
        <v>10128</v>
      </c>
      <c r="AQ20" s="85">
        <v>77874</v>
      </c>
      <c r="AR20" s="38">
        <f t="shared" ref="AR20" si="257">(+AQ20-+AQ19)*48</f>
        <v>0</v>
      </c>
      <c r="AS20" s="85">
        <v>2262</v>
      </c>
      <c r="AT20" s="38">
        <f t="shared" ref="AT20" si="258">(+AS20-+AS19)*48</f>
        <v>0</v>
      </c>
      <c r="AU20" s="85">
        <v>939</v>
      </c>
      <c r="AV20" s="38">
        <f t="shared" ref="AV20" si="259">(+AU20-+AU19)*48</f>
        <v>0</v>
      </c>
      <c r="AW20" s="85">
        <v>3109</v>
      </c>
      <c r="AX20" s="38">
        <f t="shared" ref="AX20" si="260">(+AW20-+AW19)*48</f>
        <v>0</v>
      </c>
      <c r="AY20" s="85">
        <v>320099</v>
      </c>
      <c r="AZ20" s="38">
        <f t="shared" ref="AZ20" si="261">(+AY20-+AY19)*48</f>
        <v>3264</v>
      </c>
      <c r="BA20" s="85">
        <v>161101</v>
      </c>
      <c r="BB20" s="38">
        <f t="shared" ref="BB20" si="262">(+BA20-+BA19)*48</f>
        <v>0</v>
      </c>
      <c r="BC20" s="85">
        <f>(BC23-BC17)/6+BC19</f>
        <v>218447</v>
      </c>
      <c r="BD20" s="38">
        <f t="shared" ref="BD20" si="263">(+BC20-+BC19)*48</f>
        <v>1536</v>
      </c>
      <c r="BE20" s="85">
        <v>5347</v>
      </c>
      <c r="BF20" s="38">
        <f t="shared" ref="BF20" si="264">(+BE20-+BE19)*48</f>
        <v>0</v>
      </c>
      <c r="BH20" s="167">
        <f t="shared" si="1"/>
        <v>97960.8</v>
      </c>
      <c r="BI20" s="167">
        <f t="shared" si="2"/>
        <v>63703.200000000004</v>
      </c>
    </row>
    <row r="21" spans="1:61" s="36" customFormat="1" ht="39.950000000000003" customHeight="1">
      <c r="A21" s="147">
        <v>44390</v>
      </c>
      <c r="B21" s="35"/>
      <c r="C21" s="85">
        <v>6158182</v>
      </c>
      <c r="D21" s="38">
        <f t="shared" ref="D21" si="265">(+C21-+C20)*48</f>
        <v>97440</v>
      </c>
      <c r="E21" s="107">
        <f>D21*E5</f>
        <v>53592.000000000007</v>
      </c>
      <c r="F21" s="107">
        <f>D21*F5</f>
        <v>43848</v>
      </c>
      <c r="G21" s="85">
        <v>283661</v>
      </c>
      <c r="H21" s="38">
        <f t="shared" ref="H21" si="266">(+G21-+G20)*48</f>
        <v>1584</v>
      </c>
      <c r="I21" s="85">
        <v>133652</v>
      </c>
      <c r="J21" s="38">
        <f t="shared" ref="J21" si="267">(+I21-+I20)*48</f>
        <v>8256</v>
      </c>
      <c r="K21" s="85">
        <v>259624</v>
      </c>
      <c r="L21" s="38">
        <f t="shared" si="0"/>
        <v>1104</v>
      </c>
      <c r="M21" s="80">
        <v>24783</v>
      </c>
      <c r="N21" s="38">
        <f t="shared" ref="N21" si="268">(+M21-+M20)*48</f>
        <v>0</v>
      </c>
      <c r="O21" s="85">
        <v>273288</v>
      </c>
      <c r="P21" s="38">
        <f t="shared" ref="P21" si="269">(+O21-+O20)*48</f>
        <v>9648</v>
      </c>
      <c r="Q21" s="85">
        <v>452862</v>
      </c>
      <c r="R21" s="38">
        <f t="shared" ref="R21" si="270">(+Q21-+Q20)*48</f>
        <v>3744</v>
      </c>
      <c r="S21" s="85">
        <v>729657</v>
      </c>
      <c r="T21" s="38">
        <f t="shared" ref="T21" si="271">(+S21-+S20)*48</f>
        <v>5520</v>
      </c>
      <c r="U21" s="85">
        <v>650</v>
      </c>
      <c r="V21" s="107">
        <f t="shared" ref="V21" si="272">(+U21-+U20)*48</f>
        <v>960</v>
      </c>
      <c r="W21" s="85">
        <v>81494</v>
      </c>
      <c r="X21" s="38">
        <f t="shared" ref="X21" si="273">(+W21-+W20)*48</f>
        <v>480</v>
      </c>
      <c r="Y21" s="85">
        <v>1499604</v>
      </c>
      <c r="Z21" s="38">
        <f t="shared" ref="Z21" si="274">(+Y21-+Y20)*48</f>
        <v>0</v>
      </c>
      <c r="AA21" s="85">
        <v>13264</v>
      </c>
      <c r="AB21" s="38">
        <f t="shared" ref="AB21" si="275">(+AA21-+AA20)*48</f>
        <v>0</v>
      </c>
      <c r="AC21" s="85">
        <v>461983</v>
      </c>
      <c r="AD21" s="38">
        <f t="shared" si="14"/>
        <v>6336</v>
      </c>
      <c r="AE21" s="85">
        <v>534727</v>
      </c>
      <c r="AF21" s="38">
        <f t="shared" si="14"/>
        <v>6192</v>
      </c>
      <c r="AG21" s="85">
        <v>49769</v>
      </c>
      <c r="AH21" s="38">
        <f t="shared" ref="AH21" si="276">(+AG21-+AG20)*48</f>
        <v>0</v>
      </c>
      <c r="AI21" s="85">
        <v>420337</v>
      </c>
      <c r="AJ21" s="38">
        <f t="shared" ref="AJ21" si="277">(+AI21-+AI20)*48</f>
        <v>3168</v>
      </c>
      <c r="AK21" s="85">
        <v>102770</v>
      </c>
      <c r="AL21" s="38">
        <f t="shared" ref="AL21" si="278">(+AK21-+AK20)*48</f>
        <v>0</v>
      </c>
      <c r="AM21" s="85">
        <v>579301</v>
      </c>
      <c r="AN21" s="107">
        <f t="shared" ref="AN21" si="279">(+AM21-+AM20)*48</f>
        <v>4608</v>
      </c>
      <c r="AO21" s="85">
        <v>938910</v>
      </c>
      <c r="AP21" s="107">
        <f t="shared" ref="AP21" si="280">(+AO21-+AO20)*48</f>
        <v>9696</v>
      </c>
      <c r="AQ21" s="85">
        <v>77874</v>
      </c>
      <c r="AR21" s="38">
        <f t="shared" ref="AR21" si="281">(+AQ21-+AQ20)*48</f>
        <v>0</v>
      </c>
      <c r="AS21" s="85">
        <v>2262</v>
      </c>
      <c r="AT21" s="38">
        <f t="shared" ref="AT21" si="282">(+AS21-+AS20)*48</f>
        <v>0</v>
      </c>
      <c r="AU21" s="85">
        <v>939</v>
      </c>
      <c r="AV21" s="38">
        <f t="shared" ref="AV21" si="283">(+AU21-+AU20)*48</f>
        <v>0</v>
      </c>
      <c r="AW21" s="85">
        <v>3109</v>
      </c>
      <c r="AX21" s="38">
        <f t="shared" ref="AX21" si="284">(+AW21-+AW20)*48</f>
        <v>0</v>
      </c>
      <c r="AY21" s="85">
        <v>320166</v>
      </c>
      <c r="AZ21" s="38">
        <f t="shared" ref="AZ21" si="285">(+AY21-+AY20)*48</f>
        <v>3216</v>
      </c>
      <c r="BA21" s="85">
        <v>161101</v>
      </c>
      <c r="BB21" s="38">
        <f t="shared" ref="BB21" si="286">(+BA21-+BA20)*48</f>
        <v>0</v>
      </c>
      <c r="BC21" s="85">
        <f>(BC23-BC17)/6+BC20</f>
        <v>218479</v>
      </c>
      <c r="BD21" s="38">
        <f t="shared" ref="BD21" si="287">(+BC21-+BC20)*48</f>
        <v>1536</v>
      </c>
      <c r="BE21" s="85">
        <v>5347</v>
      </c>
      <c r="BF21" s="38">
        <f t="shared" ref="BF21" si="288">(+BE21-+BE20)*48</f>
        <v>0</v>
      </c>
      <c r="BH21" s="167">
        <f t="shared" si="1"/>
        <v>100584</v>
      </c>
      <c r="BI21" s="167">
        <f t="shared" si="2"/>
        <v>62904</v>
      </c>
    </row>
    <row r="22" spans="1:61" s="36" customFormat="1" ht="39.950000000000003" customHeight="1">
      <c r="A22" s="147">
        <v>44391</v>
      </c>
      <c r="B22" s="35"/>
      <c r="C22" s="85">
        <v>6160212</v>
      </c>
      <c r="D22" s="38">
        <f t="shared" ref="D22" si="289">(+C22-+C21)*48</f>
        <v>97440</v>
      </c>
      <c r="E22" s="107">
        <f>D22*E5</f>
        <v>53592.000000000007</v>
      </c>
      <c r="F22" s="107">
        <f>D22*F5</f>
        <v>43848</v>
      </c>
      <c r="G22" s="85">
        <v>283694</v>
      </c>
      <c r="H22" s="38">
        <f t="shared" ref="H22" si="290">(+G22-+G21)*48</f>
        <v>1584</v>
      </c>
      <c r="I22" s="85">
        <v>133823</v>
      </c>
      <c r="J22" s="38">
        <f t="shared" ref="J22" si="291">(+I22-+I21)*48</f>
        <v>8208</v>
      </c>
      <c r="K22" s="85">
        <v>259649</v>
      </c>
      <c r="L22" s="38">
        <f t="shared" si="0"/>
        <v>1200</v>
      </c>
      <c r="M22" s="80">
        <v>24783</v>
      </c>
      <c r="N22" s="38">
        <f t="shared" ref="N22" si="292">(+M22-+M21)*48</f>
        <v>0</v>
      </c>
      <c r="O22" s="85">
        <v>273489</v>
      </c>
      <c r="P22" s="38">
        <f t="shared" ref="P22" si="293">(+O22-+O21)*48</f>
        <v>9648</v>
      </c>
      <c r="Q22" s="85">
        <v>452941</v>
      </c>
      <c r="R22" s="38">
        <f t="shared" ref="R22" si="294">(+Q22-+Q21)*48</f>
        <v>3792</v>
      </c>
      <c r="S22" s="85">
        <v>729772</v>
      </c>
      <c r="T22" s="38">
        <f t="shared" ref="T22" si="295">(+S22-+S21)*48</f>
        <v>5520</v>
      </c>
      <c r="U22" s="85">
        <v>670</v>
      </c>
      <c r="V22" s="107">
        <f t="shared" ref="V22" si="296">(+U22-+U21)*48</f>
        <v>960</v>
      </c>
      <c r="W22" s="85">
        <v>81501</v>
      </c>
      <c r="X22" s="38">
        <f t="shared" ref="X22" si="297">(+W22-+W21)*48</f>
        <v>336</v>
      </c>
      <c r="Y22" s="85">
        <v>1499604</v>
      </c>
      <c r="Z22" s="38">
        <f t="shared" ref="Z22" si="298">(+Y22-+Y21)*48</f>
        <v>0</v>
      </c>
      <c r="AA22" s="85">
        <v>13264</v>
      </c>
      <c r="AB22" s="38">
        <f t="shared" ref="AB22" si="299">(+AA22-+AA21)*48</f>
        <v>0</v>
      </c>
      <c r="AC22" s="85">
        <v>462113</v>
      </c>
      <c r="AD22" s="38">
        <f t="shared" si="14"/>
        <v>6240</v>
      </c>
      <c r="AE22" s="85">
        <v>534850</v>
      </c>
      <c r="AF22" s="38">
        <f t="shared" si="14"/>
        <v>5904</v>
      </c>
      <c r="AG22" s="80">
        <v>49769</v>
      </c>
      <c r="AH22" s="38">
        <f t="shared" ref="AH22" si="300">(+AG22-+AG21)*48</f>
        <v>0</v>
      </c>
      <c r="AI22" s="85">
        <v>420403</v>
      </c>
      <c r="AJ22" s="38">
        <f t="shared" ref="AJ22" si="301">(+AI22-+AI21)*48</f>
        <v>3168</v>
      </c>
      <c r="AK22" s="80">
        <v>102770</v>
      </c>
      <c r="AL22" s="38">
        <f t="shared" ref="AL22" si="302">(+AK22-+AK21)*48</f>
        <v>0</v>
      </c>
      <c r="AM22" s="85">
        <v>579401</v>
      </c>
      <c r="AN22" s="107">
        <f t="shared" ref="AN22" si="303">(+AM22-+AM21)*48</f>
        <v>4800</v>
      </c>
      <c r="AO22" s="85">
        <v>939121</v>
      </c>
      <c r="AP22" s="107">
        <f t="shared" ref="AP22" si="304">(+AO22-+AO21)*48</f>
        <v>10128</v>
      </c>
      <c r="AQ22" s="80">
        <v>77874</v>
      </c>
      <c r="AR22" s="38">
        <f t="shared" ref="AR22" si="305">(+AQ22-+AQ21)*48</f>
        <v>0</v>
      </c>
      <c r="AS22" s="80">
        <v>2262</v>
      </c>
      <c r="AT22" s="38">
        <f t="shared" ref="AT22" si="306">(+AS22-+AS21)*48</f>
        <v>0</v>
      </c>
      <c r="AU22" s="80">
        <v>939</v>
      </c>
      <c r="AV22" s="38">
        <f t="shared" ref="AV22" si="307">(+AU22-+AU21)*48</f>
        <v>0</v>
      </c>
      <c r="AW22" s="80">
        <v>3109</v>
      </c>
      <c r="AX22" s="38">
        <f t="shared" ref="AX22" si="308">(+AW22-+AW21)*48</f>
        <v>0</v>
      </c>
      <c r="AY22" s="85">
        <v>320229</v>
      </c>
      <c r="AZ22" s="38">
        <f t="shared" ref="AZ22" si="309">(+AY22-+AY21)*48</f>
        <v>3024</v>
      </c>
      <c r="BA22" s="80">
        <v>161101</v>
      </c>
      <c r="BB22" s="38">
        <f>(+BA23-+BA21)*48</f>
        <v>0</v>
      </c>
      <c r="BC22" s="85">
        <f>(BC23-BC17)/6+BC21</f>
        <v>218511</v>
      </c>
      <c r="BD22" s="38">
        <f t="shared" ref="BD22" si="310">(+BC22-+BC21)*48</f>
        <v>1536</v>
      </c>
      <c r="BE22" s="80">
        <v>5347</v>
      </c>
      <c r="BF22" s="38">
        <f t="shared" ref="BF22" si="311">(+BE22-+BE21)*48</f>
        <v>0</v>
      </c>
      <c r="BH22" s="167">
        <f t="shared" si="1"/>
        <v>100152</v>
      </c>
      <c r="BI22" s="167">
        <f t="shared" si="2"/>
        <v>63336</v>
      </c>
    </row>
    <row r="23" spans="1:61" s="36" customFormat="1" ht="39.950000000000003" customHeight="1">
      <c r="A23" s="147">
        <v>44392</v>
      </c>
      <c r="B23" s="35"/>
      <c r="C23" s="80">
        <v>6162246</v>
      </c>
      <c r="D23" s="38">
        <f t="shared" ref="D23" si="312">(+C23-+C22)*48</f>
        <v>97632</v>
      </c>
      <c r="E23" s="107">
        <f>D23*E5</f>
        <v>53697.600000000006</v>
      </c>
      <c r="F23" s="107">
        <f>D23*F5</f>
        <v>43934.400000000001</v>
      </c>
      <c r="G23" s="80">
        <v>283724</v>
      </c>
      <c r="H23" s="38">
        <f t="shared" ref="H23" si="313">(+G23-+G22)*48</f>
        <v>1440</v>
      </c>
      <c r="I23" s="80">
        <v>133996</v>
      </c>
      <c r="J23" s="38">
        <f t="shared" ref="J23" si="314">(+I23-+I22)*48</f>
        <v>8304</v>
      </c>
      <c r="K23" s="80">
        <v>259677</v>
      </c>
      <c r="L23" s="38">
        <f t="shared" si="0"/>
        <v>1344</v>
      </c>
      <c r="M23" s="80">
        <v>24783</v>
      </c>
      <c r="N23" s="38">
        <f t="shared" ref="N23" si="315">(+M23-+M22)*48</f>
        <v>0</v>
      </c>
      <c r="O23" s="80">
        <v>273721</v>
      </c>
      <c r="P23" s="38">
        <f t="shared" ref="P23" si="316">(+O23-+O22)*48</f>
        <v>11136</v>
      </c>
      <c r="Q23" s="80">
        <v>453020</v>
      </c>
      <c r="R23" s="38">
        <f t="shared" ref="R23" si="317">(+Q23-+Q22)*48</f>
        <v>3792</v>
      </c>
      <c r="S23" s="80">
        <v>729886</v>
      </c>
      <c r="T23" s="38">
        <f t="shared" ref="T23" si="318">(+S23-+S22)*48</f>
        <v>5472</v>
      </c>
      <c r="U23" s="85">
        <v>691.08500000000004</v>
      </c>
      <c r="V23" s="107">
        <f t="shared" ref="V23" si="319">(+U23-+U22)*48</f>
        <v>1012.0800000000017</v>
      </c>
      <c r="W23" s="80">
        <v>81519</v>
      </c>
      <c r="X23" s="38">
        <f t="shared" ref="X23" si="320">(+W23-+W22)*48</f>
        <v>864</v>
      </c>
      <c r="Y23" s="80">
        <v>1499604</v>
      </c>
      <c r="Z23" s="38">
        <f t="shared" ref="Z23" si="321">(+Y23-+Y22)*48</f>
        <v>0</v>
      </c>
      <c r="AA23" s="80">
        <v>13264</v>
      </c>
      <c r="AB23" s="38">
        <f t="shared" ref="AB23" si="322">(+AA23-+AA22)*48</f>
        <v>0</v>
      </c>
      <c r="AC23" s="80">
        <v>462245</v>
      </c>
      <c r="AD23" s="38">
        <f t="shared" si="14"/>
        <v>6336</v>
      </c>
      <c r="AE23" s="80">
        <v>535210</v>
      </c>
      <c r="AF23" s="38">
        <f t="shared" si="14"/>
        <v>17280</v>
      </c>
      <c r="AG23" s="80">
        <v>49769</v>
      </c>
      <c r="AH23" s="38">
        <f t="shared" ref="AH23" si="323">(+AG23-+AG22)*48</f>
        <v>0</v>
      </c>
      <c r="AI23" s="80">
        <v>420516</v>
      </c>
      <c r="AJ23" s="38">
        <f t="shared" ref="AJ23" si="324">(+AI23-+AI22)*48</f>
        <v>5424</v>
      </c>
      <c r="AK23" s="80">
        <v>102770</v>
      </c>
      <c r="AL23" s="38">
        <f t="shared" ref="AL23" si="325">(+AK23-+AK22)*48</f>
        <v>0</v>
      </c>
      <c r="AM23" s="80">
        <v>579520</v>
      </c>
      <c r="AN23" s="107">
        <f t="shared" ref="AN23" si="326">(+AM23-+AM22)*48</f>
        <v>5712</v>
      </c>
      <c r="AO23" s="85">
        <v>939340</v>
      </c>
      <c r="AP23" s="107">
        <f t="shared" ref="AP23" si="327">(+AO23-+AO22)*48</f>
        <v>10512</v>
      </c>
      <c r="AQ23" s="80">
        <v>77874</v>
      </c>
      <c r="AR23" s="38">
        <f t="shared" ref="AR23" si="328">(+AQ23-+AQ22)*48</f>
        <v>0</v>
      </c>
      <c r="AS23" s="80">
        <v>2262</v>
      </c>
      <c r="AT23" s="38">
        <f t="shared" ref="AT23" si="329">(+AS23-+AS22)*48</f>
        <v>0</v>
      </c>
      <c r="AU23" s="80">
        <v>939</v>
      </c>
      <c r="AV23" s="38">
        <f t="shared" ref="AV23" si="330">(+AU23-+AU22)*48</f>
        <v>0</v>
      </c>
      <c r="AW23" s="80">
        <v>3109</v>
      </c>
      <c r="AX23" s="38">
        <f t="shared" ref="AX23" si="331">(+AW23-+AW22)*48</f>
        <v>0</v>
      </c>
      <c r="AY23" s="80">
        <v>320294</v>
      </c>
      <c r="AZ23" s="38">
        <f t="shared" ref="AZ23" si="332">(+AY23-+AY22)*48</f>
        <v>3120</v>
      </c>
      <c r="BA23" s="80">
        <v>161101</v>
      </c>
      <c r="BB23" s="107">
        <f t="shared" ref="BB23:BB25" si="333">(+BA23-+BA22)*48</f>
        <v>0</v>
      </c>
      <c r="BC23" s="80">
        <v>218543</v>
      </c>
      <c r="BD23" s="38">
        <f t="shared" ref="BD23" si="334">(+BC23-+BC22)*48</f>
        <v>1536</v>
      </c>
      <c r="BE23" s="80">
        <v>5347</v>
      </c>
      <c r="BF23" s="38">
        <f t="shared" ref="BF23" si="335">(+BE23-+BE22)*48</f>
        <v>0</v>
      </c>
      <c r="BH23" s="108">
        <f t="shared" si="1"/>
        <v>116101.68000000001</v>
      </c>
      <c r="BI23" s="108">
        <f t="shared" si="2"/>
        <v>64814.400000000001</v>
      </c>
    </row>
    <row r="24" spans="1:61" s="36" customFormat="1" ht="39.950000000000003" customHeight="1">
      <c r="A24" s="147">
        <v>44393</v>
      </c>
      <c r="B24" s="35"/>
      <c r="C24" s="80">
        <v>6164583</v>
      </c>
      <c r="D24" s="107">
        <f t="shared" ref="D24" si="336">(+C24-+C23)*48</f>
        <v>112176</v>
      </c>
      <c r="E24" s="107">
        <f>D24*E5</f>
        <v>61696.800000000003</v>
      </c>
      <c r="F24" s="107">
        <f>D24*F5</f>
        <v>50479.200000000004</v>
      </c>
      <c r="G24" s="80">
        <v>283746</v>
      </c>
      <c r="H24" s="107">
        <f t="shared" ref="H24" si="337">(+G24-+G23)*48</f>
        <v>1056</v>
      </c>
      <c r="I24" s="80">
        <v>134462</v>
      </c>
      <c r="J24" s="107">
        <f t="shared" ref="J24" si="338">(+I24-+I23)*48</f>
        <v>22368</v>
      </c>
      <c r="K24" s="80">
        <v>259692</v>
      </c>
      <c r="L24" s="107">
        <f t="shared" si="0"/>
        <v>720</v>
      </c>
      <c r="M24" s="80">
        <v>24783</v>
      </c>
      <c r="N24" s="38">
        <f t="shared" ref="N24" si="339">(+M24-+M23)*48</f>
        <v>0</v>
      </c>
      <c r="O24" s="80">
        <v>273920</v>
      </c>
      <c r="P24" s="107">
        <f t="shared" ref="P24" si="340">(+O24-+O23)*48</f>
        <v>9552</v>
      </c>
      <c r="Q24" s="80">
        <v>453129</v>
      </c>
      <c r="R24" s="107">
        <f t="shared" ref="R24" si="341">(+Q24-+Q23)*48</f>
        <v>5232</v>
      </c>
      <c r="S24" s="80">
        <v>729980</v>
      </c>
      <c r="T24" s="107">
        <f t="shared" ref="T24" si="342">(+S24-+S23)*48</f>
        <v>4512</v>
      </c>
      <c r="U24" s="85">
        <v>710.16200000000003</v>
      </c>
      <c r="V24" s="107">
        <f t="shared" ref="V24" si="343">(+U24-+U23)*48</f>
        <v>915.69599999999991</v>
      </c>
      <c r="W24" s="80">
        <v>81523</v>
      </c>
      <c r="X24" s="107">
        <f t="shared" ref="X24" si="344">(+W24-+W23)*48</f>
        <v>192</v>
      </c>
      <c r="Y24" s="80">
        <v>1499604</v>
      </c>
      <c r="Z24" s="107">
        <f t="shared" ref="Z24" si="345">(+Y24-+Y23)*48</f>
        <v>0</v>
      </c>
      <c r="AA24" s="80">
        <v>13264</v>
      </c>
      <c r="AB24" s="107">
        <f t="shared" ref="AB24" si="346">(+AA24-+AA23)*48</f>
        <v>0</v>
      </c>
      <c r="AC24" s="80">
        <v>462364</v>
      </c>
      <c r="AD24" s="107">
        <f t="shared" si="14"/>
        <v>5712</v>
      </c>
      <c r="AE24" s="80">
        <v>535334</v>
      </c>
      <c r="AF24" s="107">
        <f t="shared" si="14"/>
        <v>5952</v>
      </c>
      <c r="AG24" s="80">
        <v>49769</v>
      </c>
      <c r="AH24" s="107">
        <f t="shared" ref="AH24" si="347">(+AG24-+AG23)*48</f>
        <v>0</v>
      </c>
      <c r="AI24" s="80">
        <v>420580</v>
      </c>
      <c r="AJ24" s="107">
        <f t="shared" ref="AJ24" si="348">(+AI24-+AI23)*48</f>
        <v>3072</v>
      </c>
      <c r="AK24" s="80">
        <v>102770</v>
      </c>
      <c r="AL24" s="107">
        <f t="shared" ref="AL24" si="349">(+AK24-+AK23)*48</f>
        <v>0</v>
      </c>
      <c r="AM24" s="80">
        <v>579620</v>
      </c>
      <c r="AN24" s="107">
        <f t="shared" ref="AN24" si="350">(+AM24-+AM23)*48</f>
        <v>4800</v>
      </c>
      <c r="AO24" s="80">
        <v>939548</v>
      </c>
      <c r="AP24" s="107">
        <f t="shared" ref="AP24" si="351">(+AO24-+AO23)*48</f>
        <v>9984</v>
      </c>
      <c r="AQ24" s="80">
        <v>77874</v>
      </c>
      <c r="AR24" s="107">
        <f t="shared" ref="AR24" si="352">(+AQ24-+AQ23)*48</f>
        <v>0</v>
      </c>
      <c r="AS24" s="80">
        <v>2262</v>
      </c>
      <c r="AT24" s="107">
        <f t="shared" ref="AT24" si="353">(+AS24-+AS23)*48</f>
        <v>0</v>
      </c>
      <c r="AU24" s="80">
        <v>939</v>
      </c>
      <c r="AV24" s="107">
        <f t="shared" ref="AV24" si="354">(+AU24-+AU23)*48</f>
        <v>0</v>
      </c>
      <c r="AW24" s="80">
        <v>3109</v>
      </c>
      <c r="AX24" s="107">
        <f t="shared" ref="AX24" si="355">(+AW24-+AW23)*48</f>
        <v>0</v>
      </c>
      <c r="AY24" s="80">
        <v>320359</v>
      </c>
      <c r="AZ24" s="107">
        <f t="shared" ref="AZ24" si="356">(+AY24-+AY23)*48</f>
        <v>3120</v>
      </c>
      <c r="BA24" s="80">
        <v>161101</v>
      </c>
      <c r="BB24" s="107">
        <f t="shared" si="333"/>
        <v>0</v>
      </c>
      <c r="BC24" s="80">
        <v>218571</v>
      </c>
      <c r="BD24" s="107">
        <f t="shared" ref="BD24" si="357">(+BC24-+BC23)*48</f>
        <v>1344</v>
      </c>
      <c r="BE24" s="80">
        <v>5347</v>
      </c>
      <c r="BF24" s="107">
        <f t="shared" ref="BF24" si="358">(+BE24-+BE23)*48</f>
        <v>0</v>
      </c>
      <c r="BH24" s="108">
        <f t="shared" si="1"/>
        <v>120980.496</v>
      </c>
      <c r="BI24" s="108">
        <f t="shared" si="2"/>
        <v>69727.200000000012</v>
      </c>
    </row>
    <row r="25" spans="1:61" s="36" customFormat="1" ht="39.950000000000003" customHeight="1">
      <c r="A25" s="147">
        <v>44394</v>
      </c>
      <c r="B25" s="35"/>
      <c r="C25" s="80">
        <v>6166703</v>
      </c>
      <c r="D25" s="107">
        <f t="shared" ref="D25" si="359">(+C25-+C24)*48</f>
        <v>101760</v>
      </c>
      <c r="E25" s="107">
        <f>D25*E5</f>
        <v>55968.000000000007</v>
      </c>
      <c r="F25" s="107">
        <f>D25*F5</f>
        <v>45792</v>
      </c>
      <c r="G25" s="80">
        <v>283797</v>
      </c>
      <c r="H25" s="107">
        <f t="shared" ref="H25" si="360">(+G25-+G24)*48</f>
        <v>2448</v>
      </c>
      <c r="I25" s="80">
        <v>134231</v>
      </c>
      <c r="J25" s="107">
        <f t="shared" ref="J25" si="361">(+I25-+I24)*48</f>
        <v>-11088</v>
      </c>
      <c r="K25" s="80">
        <v>259741</v>
      </c>
      <c r="L25" s="107">
        <f t="shared" si="0"/>
        <v>2352</v>
      </c>
      <c r="M25" s="80">
        <v>24791</v>
      </c>
      <c r="N25" s="38">
        <f t="shared" ref="N25" si="362">(+M25-+M24)*48</f>
        <v>384</v>
      </c>
      <c r="O25" s="80">
        <v>274127</v>
      </c>
      <c r="P25" s="107">
        <f t="shared" ref="P25" si="363">(+O25-+O24)*48</f>
        <v>9936</v>
      </c>
      <c r="Q25" s="80">
        <v>453232</v>
      </c>
      <c r="R25" s="107">
        <f t="shared" ref="R25" si="364">(+Q25-+Q24)*48</f>
        <v>4944</v>
      </c>
      <c r="S25" s="80">
        <v>730107</v>
      </c>
      <c r="T25" s="107">
        <f t="shared" ref="T25" si="365">(+S25-+S24)*48</f>
        <v>6096</v>
      </c>
      <c r="U25" s="85">
        <v>728.51099999999997</v>
      </c>
      <c r="V25" s="107">
        <f t="shared" ref="V25" si="366">(+U25-+U24)*48</f>
        <v>880.75199999999677</v>
      </c>
      <c r="W25" s="80">
        <v>81528</v>
      </c>
      <c r="X25" s="107">
        <f t="shared" ref="X25" si="367">(+W25-+W24)*48</f>
        <v>240</v>
      </c>
      <c r="Y25" s="80">
        <v>1499604</v>
      </c>
      <c r="Z25" s="107">
        <f t="shared" ref="Z25" si="368">(+Y25-+Y24)*48</f>
        <v>0</v>
      </c>
      <c r="AA25" s="80">
        <v>13264</v>
      </c>
      <c r="AB25" s="107">
        <f t="shared" ref="AB25" si="369">(+AA25-+AA24)*48</f>
        <v>0</v>
      </c>
      <c r="AC25" s="80">
        <v>462468</v>
      </c>
      <c r="AD25" s="107">
        <f t="shared" si="14"/>
        <v>4992</v>
      </c>
      <c r="AE25" s="80">
        <v>535462</v>
      </c>
      <c r="AF25" s="107">
        <f t="shared" si="14"/>
        <v>6144</v>
      </c>
      <c r="AG25" s="80">
        <v>49769</v>
      </c>
      <c r="AH25" s="107">
        <f t="shared" ref="AH25" si="370">(+AG25-+AG24)*48</f>
        <v>0</v>
      </c>
      <c r="AI25" s="80">
        <v>420638</v>
      </c>
      <c r="AJ25" s="107">
        <f t="shared" ref="AJ25" si="371">(+AI25-+AI24)*48</f>
        <v>2784</v>
      </c>
      <c r="AK25" s="80">
        <v>102770</v>
      </c>
      <c r="AL25" s="107">
        <f t="shared" ref="AL25" si="372">(+AK25-+AK24)*48</f>
        <v>0</v>
      </c>
      <c r="AM25" s="80">
        <v>579728</v>
      </c>
      <c r="AN25" s="107">
        <f t="shared" ref="AN25" si="373">(+AM25-+AM24)*48</f>
        <v>5184</v>
      </c>
      <c r="AO25" s="80">
        <v>939763</v>
      </c>
      <c r="AP25" s="107">
        <f t="shared" ref="AP25" si="374">(+AO25-+AO24)*48</f>
        <v>10320</v>
      </c>
      <c r="AQ25" s="80">
        <v>77874</v>
      </c>
      <c r="AR25" s="107">
        <f t="shared" ref="AR25" si="375">(+AQ25-+AQ24)*48</f>
        <v>0</v>
      </c>
      <c r="AS25" s="80">
        <v>2262</v>
      </c>
      <c r="AT25" s="107">
        <f t="shared" ref="AT25" si="376">(+AS25-+AS24)*48</f>
        <v>0</v>
      </c>
      <c r="AU25" s="80">
        <v>939</v>
      </c>
      <c r="AV25" s="107">
        <f t="shared" ref="AV25" si="377">(+AU25-+AU24)*48</f>
        <v>0</v>
      </c>
      <c r="AW25" s="80">
        <v>3109</v>
      </c>
      <c r="AX25" s="107">
        <f t="shared" ref="AX25" si="378">(+AW25-+AW24)*48</f>
        <v>0</v>
      </c>
      <c r="AY25" s="80">
        <v>320423</v>
      </c>
      <c r="AZ25" s="107">
        <f t="shared" ref="AZ25" si="379">(+AY25-+AY24)*48</f>
        <v>3072</v>
      </c>
      <c r="BA25" s="80">
        <v>161101</v>
      </c>
      <c r="BB25" s="107">
        <f t="shared" si="333"/>
        <v>0</v>
      </c>
      <c r="BC25" s="80">
        <v>218597</v>
      </c>
      <c r="BD25" s="107">
        <f t="shared" ref="BD25" si="380">(+BC25-+BC24)*48</f>
        <v>1248</v>
      </c>
      <c r="BE25" s="80">
        <v>5347</v>
      </c>
      <c r="BF25" s="107">
        <f t="shared" ref="BF25" si="381">(+BE25-+BE24)*48</f>
        <v>0</v>
      </c>
      <c r="BH25" s="108">
        <f t="shared" si="1"/>
        <v>86080.751999999993</v>
      </c>
      <c r="BI25" s="108">
        <f t="shared" si="2"/>
        <v>65616</v>
      </c>
    </row>
    <row r="26" spans="1:61" s="36" customFormat="1" ht="39.950000000000003" customHeight="1">
      <c r="A26" s="147">
        <v>44395</v>
      </c>
      <c r="B26" s="35"/>
      <c r="C26" s="80">
        <v>6168836</v>
      </c>
      <c r="D26" s="107">
        <f t="shared" ref="D26" si="382">(+C26-+C25)*48</f>
        <v>102384</v>
      </c>
      <c r="E26" s="107">
        <f>D26*E5</f>
        <v>56311.200000000004</v>
      </c>
      <c r="F26" s="107">
        <f>D26*F5</f>
        <v>46072.800000000003</v>
      </c>
      <c r="G26" s="80">
        <v>283842</v>
      </c>
      <c r="H26" s="107">
        <f t="shared" ref="H26" si="383">(+G26-+G25)*48</f>
        <v>2160</v>
      </c>
      <c r="I26" s="80">
        <v>134504</v>
      </c>
      <c r="J26" s="107">
        <f t="shared" ref="J26" si="384">(+I26-+I25)*48</f>
        <v>13104</v>
      </c>
      <c r="K26" s="80">
        <v>259784</v>
      </c>
      <c r="L26" s="107">
        <f t="shared" si="0"/>
        <v>2064</v>
      </c>
      <c r="M26" s="80">
        <v>24795</v>
      </c>
      <c r="N26" s="38">
        <f t="shared" ref="N26" si="385">(+M26-+M25)*48</f>
        <v>192</v>
      </c>
      <c r="O26" s="80">
        <v>274350</v>
      </c>
      <c r="P26" s="107">
        <f t="shared" ref="P26" si="386">(+O26-+O25)*48</f>
        <v>10704</v>
      </c>
      <c r="Q26" s="80">
        <v>453330</v>
      </c>
      <c r="R26" s="107">
        <f t="shared" ref="R26" si="387">(+Q26-+Q25)*48</f>
        <v>4704</v>
      </c>
      <c r="S26" s="80">
        <v>730238</v>
      </c>
      <c r="T26" s="107">
        <f t="shared" ref="T26" si="388">(+S26-+S25)*48</f>
        <v>6288</v>
      </c>
      <c r="U26" s="85">
        <v>751.80200000000002</v>
      </c>
      <c r="V26" s="107">
        <f t="shared" ref="V26" si="389">(+U26-+U25)*48</f>
        <v>1117.9680000000026</v>
      </c>
      <c r="W26" s="80">
        <v>81539</v>
      </c>
      <c r="X26" s="107">
        <f t="shared" ref="X26" si="390">(+W26-+W25)*48</f>
        <v>528</v>
      </c>
      <c r="Y26" s="80">
        <v>1499604</v>
      </c>
      <c r="Z26" s="107">
        <f t="shared" ref="Z26" si="391">(+Y26-+Y25)*48</f>
        <v>0</v>
      </c>
      <c r="AA26" s="80">
        <v>13264</v>
      </c>
      <c r="AB26" s="107">
        <f t="shared" ref="AB26" si="392">(+AA26-+AA25)*48</f>
        <v>0</v>
      </c>
      <c r="AC26" s="80">
        <v>462574</v>
      </c>
      <c r="AD26" s="107">
        <f t="shared" si="14"/>
        <v>5088</v>
      </c>
      <c r="AE26" s="80">
        <v>535590</v>
      </c>
      <c r="AF26" s="107">
        <f t="shared" si="14"/>
        <v>6144</v>
      </c>
      <c r="AG26" s="80">
        <v>49769</v>
      </c>
      <c r="AH26" s="107">
        <f t="shared" ref="AH26" si="393">(+AG26-+AG25)*48</f>
        <v>0</v>
      </c>
      <c r="AI26" s="80">
        <v>420703</v>
      </c>
      <c r="AJ26" s="107">
        <f t="shared" ref="AJ26" si="394">(+AI26-+AI25)*48</f>
        <v>3120</v>
      </c>
      <c r="AK26" s="80">
        <v>102770</v>
      </c>
      <c r="AL26" s="107">
        <f t="shared" ref="AL26" si="395">(+AK26-+AK25)*48</f>
        <v>0</v>
      </c>
      <c r="AM26" s="80">
        <v>579828</v>
      </c>
      <c r="AN26" s="107">
        <f t="shared" ref="AN26" si="396">(+AM26-+AM25)*48</f>
        <v>4800</v>
      </c>
      <c r="AO26" s="80">
        <v>939926</v>
      </c>
      <c r="AP26" s="107">
        <f t="shared" ref="AP26" si="397">(+AO26-+AO25)*48</f>
        <v>7824</v>
      </c>
      <c r="AQ26" s="80">
        <v>77874</v>
      </c>
      <c r="AR26" s="107">
        <f t="shared" ref="AR26" si="398">(+AQ26-+AQ25)*48</f>
        <v>0</v>
      </c>
      <c r="AS26" s="80">
        <v>2262</v>
      </c>
      <c r="AT26" s="107">
        <f t="shared" ref="AT26" si="399">(+AS26-+AS25)*48</f>
        <v>0</v>
      </c>
      <c r="AU26" s="80">
        <v>939</v>
      </c>
      <c r="AV26" s="107">
        <f t="shared" ref="AV26" si="400">(+AU26-+AU25)*48</f>
        <v>0</v>
      </c>
      <c r="AW26" s="80">
        <v>3109</v>
      </c>
      <c r="AX26" s="107">
        <f t="shared" ref="AX26" si="401">(+AW26-+AW25)*48</f>
        <v>0</v>
      </c>
      <c r="AY26" s="80">
        <v>320492</v>
      </c>
      <c r="AZ26" s="107">
        <f>(+AY26-+AY25)*48</f>
        <v>3312</v>
      </c>
      <c r="BA26" s="80">
        <v>161101</v>
      </c>
      <c r="BB26" s="107">
        <f>(+BA26-+BA25)*48</f>
        <v>0</v>
      </c>
      <c r="BC26" s="80">
        <v>218612</v>
      </c>
      <c r="BD26" s="107">
        <f t="shared" ref="BD26" si="402">(+BC26-+BC25)*48</f>
        <v>720</v>
      </c>
      <c r="BE26" s="80">
        <v>5347</v>
      </c>
      <c r="BF26" s="107">
        <f t="shared" ref="BF26" si="403">(+BE26-+BE25)*48</f>
        <v>0</v>
      </c>
      <c r="BH26" s="108">
        <f t="shared" si="1"/>
        <v>111525.16800000002</v>
      </c>
      <c r="BI26" s="108">
        <f t="shared" si="2"/>
        <v>62728.800000000003</v>
      </c>
    </row>
    <row r="27" spans="1:61" s="36" customFormat="1" ht="39.950000000000003" customHeight="1">
      <c r="A27" s="147">
        <v>44396</v>
      </c>
      <c r="B27" s="35"/>
      <c r="C27" s="80">
        <v>6171086</v>
      </c>
      <c r="D27" s="107">
        <f t="shared" ref="D27" si="404">(+C27-+C26)*48</f>
        <v>108000</v>
      </c>
      <c r="E27" s="107">
        <f>D27*E5</f>
        <v>59400.000000000007</v>
      </c>
      <c r="F27" s="107">
        <f>D27*F5</f>
        <v>48600</v>
      </c>
      <c r="G27" s="80">
        <v>283894</v>
      </c>
      <c r="H27" s="107">
        <f t="shared" ref="H27" si="405">(+G27-+G26)*48</f>
        <v>2496</v>
      </c>
      <c r="I27" s="80">
        <v>134679</v>
      </c>
      <c r="J27" s="107">
        <f t="shared" ref="J27" si="406">(+I27-+I26)*48</f>
        <v>8400</v>
      </c>
      <c r="K27" s="80">
        <v>259851</v>
      </c>
      <c r="L27" s="107">
        <f t="shared" si="0"/>
        <v>3216</v>
      </c>
      <c r="M27" s="80">
        <v>24795</v>
      </c>
      <c r="N27" s="38">
        <f t="shared" ref="N27" si="407">(+M27-+M26)*48</f>
        <v>0</v>
      </c>
      <c r="O27" s="80">
        <v>274575</v>
      </c>
      <c r="P27" s="107">
        <f t="shared" ref="P27" si="408">(+O27-+O26)*48</f>
        <v>10800</v>
      </c>
      <c r="Q27" s="80">
        <v>453428</v>
      </c>
      <c r="R27" s="107">
        <f t="shared" ref="R27" si="409">(+Q27-+Q26)*48</f>
        <v>4704</v>
      </c>
      <c r="S27" s="80">
        <v>730378</v>
      </c>
      <c r="T27" s="107">
        <f t="shared" ref="T27" si="410">(+S27-+S26)*48</f>
        <v>6720</v>
      </c>
      <c r="U27" s="80">
        <v>774.73</v>
      </c>
      <c r="V27" s="107">
        <f t="shared" ref="V27" si="411">(+U27-+U26)*48</f>
        <v>1100.5439999999999</v>
      </c>
      <c r="W27" s="80">
        <v>81545</v>
      </c>
      <c r="X27" s="107">
        <f t="shared" ref="X27" si="412">(+W27-+W26)*48</f>
        <v>288</v>
      </c>
      <c r="Y27" s="80">
        <v>1499604</v>
      </c>
      <c r="Z27" s="107">
        <f t="shared" ref="Z27" si="413">(+Y27-+Y26)*48</f>
        <v>0</v>
      </c>
      <c r="AA27" s="80">
        <v>13264</v>
      </c>
      <c r="AB27" s="107">
        <f t="shared" ref="AB27" si="414">(+AA27-+AA26)*48</f>
        <v>0</v>
      </c>
      <c r="AC27" s="80">
        <v>462687</v>
      </c>
      <c r="AD27" s="107">
        <f t="shared" si="14"/>
        <v>5424</v>
      </c>
      <c r="AE27" s="80">
        <v>535712</v>
      </c>
      <c r="AF27" s="107">
        <f t="shared" si="14"/>
        <v>5856</v>
      </c>
      <c r="AG27" s="80">
        <v>49771</v>
      </c>
      <c r="AH27" s="107">
        <f t="shared" ref="AH27" si="415">(+AG27-+AG26)*48</f>
        <v>96</v>
      </c>
      <c r="AI27" s="80">
        <v>420778</v>
      </c>
      <c r="AJ27" s="107">
        <f t="shared" ref="AJ27" si="416">(+AI27-+AI26)*48</f>
        <v>3600</v>
      </c>
      <c r="AK27" s="80">
        <v>102770</v>
      </c>
      <c r="AL27" s="107">
        <f t="shared" ref="AL27" si="417">(+AK27-+AK26)*48</f>
        <v>0</v>
      </c>
      <c r="AM27" s="80">
        <v>579959</v>
      </c>
      <c r="AN27" s="107">
        <f t="shared" ref="AN27" si="418">(+AM27-+AM26)*48</f>
        <v>6288</v>
      </c>
      <c r="AO27" s="80">
        <v>940199</v>
      </c>
      <c r="AP27" s="107">
        <f t="shared" ref="AP27" si="419">(+AO27-+AO26)*48</f>
        <v>13104</v>
      </c>
      <c r="AQ27" s="80">
        <v>77874</v>
      </c>
      <c r="AR27" s="107">
        <f t="shared" ref="AR27" si="420">(+AQ27-+AQ26)*48</f>
        <v>0</v>
      </c>
      <c r="AS27" s="80">
        <v>2262</v>
      </c>
      <c r="AT27" s="107">
        <f t="shared" ref="AT27" si="421">(+AS27-+AS26)*48</f>
        <v>0</v>
      </c>
      <c r="AU27" s="80">
        <v>939</v>
      </c>
      <c r="AV27" s="107">
        <f t="shared" ref="AV27" si="422">(+AU27-+AU26)*48</f>
        <v>0</v>
      </c>
      <c r="AW27" s="80">
        <v>3109</v>
      </c>
      <c r="AX27" s="107">
        <f t="shared" ref="AX27" si="423">(+AW27-+AW26)*48</f>
        <v>0</v>
      </c>
      <c r="AY27" s="80">
        <v>320560</v>
      </c>
      <c r="AZ27" s="107">
        <f t="shared" ref="AZ27" si="424">(+AY27-+AY26)*48</f>
        <v>3264</v>
      </c>
      <c r="BA27" s="80">
        <v>161101</v>
      </c>
      <c r="BB27" s="107">
        <f>(+BA27-+BA26)*48</f>
        <v>0</v>
      </c>
      <c r="BC27" s="80">
        <v>218642</v>
      </c>
      <c r="BD27" s="107">
        <f t="shared" ref="BD27" si="425">(+BC27-+BC26)*48</f>
        <v>1440</v>
      </c>
      <c r="BE27" s="80">
        <v>5347</v>
      </c>
      <c r="BF27" s="107">
        <f t="shared" ref="BF27" si="426">(+BE27-+BE26)*48</f>
        <v>0</v>
      </c>
      <c r="BH27" s="108">
        <f t="shared" si="1"/>
        <v>112100.54399999999</v>
      </c>
      <c r="BI27" s="108">
        <f t="shared" si="2"/>
        <v>72696</v>
      </c>
    </row>
    <row r="28" spans="1:61" s="36" customFormat="1" ht="39.950000000000003" customHeight="1">
      <c r="A28" s="147">
        <v>44397</v>
      </c>
      <c r="B28" s="35"/>
      <c r="C28" s="80">
        <v>6173384</v>
      </c>
      <c r="D28" s="107">
        <f t="shared" ref="D28" si="427">(+C28-+C27)*48</f>
        <v>110304</v>
      </c>
      <c r="E28" s="107">
        <f>D28*E5</f>
        <v>60667.200000000004</v>
      </c>
      <c r="F28" s="107">
        <f>D28*F5</f>
        <v>49636.800000000003</v>
      </c>
      <c r="G28" s="80">
        <v>283929</v>
      </c>
      <c r="H28" s="107">
        <f t="shared" ref="H28" si="428">(+G28-+G27)*48</f>
        <v>1680</v>
      </c>
      <c r="I28" s="80">
        <v>134844</v>
      </c>
      <c r="J28" s="107">
        <f t="shared" ref="J28" si="429">(+I28-+I27)*48</f>
        <v>7920</v>
      </c>
      <c r="K28" s="80">
        <v>259866</v>
      </c>
      <c r="L28" s="107">
        <f t="shared" si="0"/>
        <v>720</v>
      </c>
      <c r="M28" s="80">
        <v>24795</v>
      </c>
      <c r="N28" s="38">
        <f t="shared" ref="N28" si="430">(+M28-+M27)*48</f>
        <v>0</v>
      </c>
      <c r="O28" s="80">
        <v>274788</v>
      </c>
      <c r="P28" s="107">
        <f t="shared" ref="P28" si="431">(+O28-+O27)*48</f>
        <v>10224</v>
      </c>
      <c r="Q28" s="80">
        <v>453509</v>
      </c>
      <c r="R28" s="107">
        <f t="shared" ref="R28" si="432">(+Q28-+Q27)*48</f>
        <v>3888</v>
      </c>
      <c r="S28" s="80">
        <v>730504</v>
      </c>
      <c r="T28" s="107">
        <f t="shared" ref="T28" si="433">(+S28-+S27)*48</f>
        <v>6048</v>
      </c>
      <c r="U28" s="80">
        <v>789.30700000000002</v>
      </c>
      <c r="V28" s="107">
        <f t="shared" ref="V28" si="434">(+U28-+U27)*48</f>
        <v>699.69599999999991</v>
      </c>
      <c r="W28" s="80">
        <v>81548</v>
      </c>
      <c r="X28" s="107">
        <f t="shared" ref="X28" si="435">(+W28-+W27)*48</f>
        <v>144</v>
      </c>
      <c r="Y28" s="80">
        <v>1499604</v>
      </c>
      <c r="Z28" s="107">
        <f t="shared" ref="Z28" si="436">(+Y28-+Y27)*48</f>
        <v>0</v>
      </c>
      <c r="AA28" s="80">
        <v>13264</v>
      </c>
      <c r="AB28" s="107">
        <f t="shared" ref="AB28" si="437">(+AA28-+AA27)*48</f>
        <v>0</v>
      </c>
      <c r="AC28" s="80">
        <v>462799</v>
      </c>
      <c r="AD28" s="107">
        <f t="shared" si="14"/>
        <v>5376</v>
      </c>
      <c r="AE28" s="80">
        <v>535844</v>
      </c>
      <c r="AF28" s="107">
        <f t="shared" si="14"/>
        <v>6336</v>
      </c>
      <c r="AG28" s="80">
        <v>49772</v>
      </c>
      <c r="AH28" s="107">
        <f t="shared" ref="AH28" si="438">(+AG28-+AG27)*48</f>
        <v>48</v>
      </c>
      <c r="AI28" s="80">
        <v>420849</v>
      </c>
      <c r="AJ28" s="107">
        <f t="shared" ref="AJ28" si="439">(+AI28-+AI27)*48</f>
        <v>3408</v>
      </c>
      <c r="AK28" s="80">
        <v>102770</v>
      </c>
      <c r="AL28" s="107">
        <f t="shared" ref="AL28" si="440">(+AK28-+AK27)*48</f>
        <v>0</v>
      </c>
      <c r="AM28" s="80">
        <v>580078</v>
      </c>
      <c r="AN28" s="107">
        <f t="shared" ref="AN28" si="441">(+AM28-+AM27)*48</f>
        <v>5712</v>
      </c>
      <c r="AO28" s="80">
        <v>940413</v>
      </c>
      <c r="AP28" s="107">
        <f t="shared" ref="AP28" si="442">(+AO28-+AO27)*48</f>
        <v>10272</v>
      </c>
      <c r="AQ28" s="80">
        <v>77874</v>
      </c>
      <c r="AR28" s="107">
        <f t="shared" ref="AR28" si="443">(+AQ28-+AQ27)*48</f>
        <v>0</v>
      </c>
      <c r="AS28" s="80">
        <v>2262</v>
      </c>
      <c r="AT28" s="107">
        <f t="shared" ref="AT28" si="444">(+AS28-+AS27)*48</f>
        <v>0</v>
      </c>
      <c r="AU28" s="80">
        <v>939</v>
      </c>
      <c r="AV28" s="107">
        <f t="shared" ref="AV28" si="445">(+AU28-+AU27)*48</f>
        <v>0</v>
      </c>
      <c r="AW28" s="80">
        <v>3109</v>
      </c>
      <c r="AX28" s="107">
        <f t="shared" ref="AX28" si="446">(+AW28-+AW27)*48</f>
        <v>0</v>
      </c>
      <c r="AY28" s="80">
        <v>320625</v>
      </c>
      <c r="AZ28" s="107">
        <f t="shared" ref="AZ28" si="447">(+AY28-+AY27)*48</f>
        <v>3120</v>
      </c>
      <c r="BA28" s="80">
        <v>161101</v>
      </c>
      <c r="BB28" s="107">
        <f t="shared" ref="BB28" si="448">(+BA28-+BA27)*48</f>
        <v>0</v>
      </c>
      <c r="BC28" s="80">
        <v>218665</v>
      </c>
      <c r="BD28" s="107">
        <f t="shared" ref="BD28" si="449">(+BC28-+BC27)*48</f>
        <v>1104</v>
      </c>
      <c r="BE28" s="80">
        <v>5347</v>
      </c>
      <c r="BF28" s="107">
        <f t="shared" ref="BF28" si="450">(+BE28-+BE27)*48</f>
        <v>0</v>
      </c>
      <c r="BH28" s="108">
        <f t="shared" si="1"/>
        <v>107158.89600000001</v>
      </c>
      <c r="BI28" s="108">
        <f t="shared" si="2"/>
        <v>69844.800000000003</v>
      </c>
    </row>
    <row r="29" spans="1:61" s="36" customFormat="1" ht="39.950000000000003" customHeight="1">
      <c r="A29" s="147">
        <v>44398</v>
      </c>
      <c r="B29" s="35"/>
      <c r="C29" s="85">
        <v>6175575</v>
      </c>
      <c r="D29" s="107">
        <f t="shared" ref="D29" si="451">(+C29-+C28)*48</f>
        <v>105168</v>
      </c>
      <c r="E29" s="107">
        <f>D29*E5</f>
        <v>57842.400000000001</v>
      </c>
      <c r="F29" s="107">
        <f>D29*F5</f>
        <v>47325.599999999999</v>
      </c>
      <c r="G29" s="85">
        <v>283964</v>
      </c>
      <c r="H29" s="107">
        <f t="shared" ref="H29" si="452">(+G29-+G28)*48</f>
        <v>1680</v>
      </c>
      <c r="I29" s="85">
        <v>135032</v>
      </c>
      <c r="J29" s="107">
        <f t="shared" ref="J29" si="453">(+I29-+I28)*48</f>
        <v>9024</v>
      </c>
      <c r="K29" s="85">
        <v>259913</v>
      </c>
      <c r="L29" s="107">
        <f t="shared" si="0"/>
        <v>2256</v>
      </c>
      <c r="M29" s="85">
        <v>24795</v>
      </c>
      <c r="N29" s="38">
        <f t="shared" ref="N29" si="454">(+M29-+M28)*48</f>
        <v>0</v>
      </c>
      <c r="O29" s="85">
        <v>274969</v>
      </c>
      <c r="P29" s="107">
        <f t="shared" ref="P29" si="455">(+O29-+O28)*48</f>
        <v>8688</v>
      </c>
      <c r="Q29" s="85">
        <v>453610</v>
      </c>
      <c r="R29" s="107">
        <f t="shared" ref="R29" si="456">(+Q29-+Q28)*48</f>
        <v>4848</v>
      </c>
      <c r="S29" s="85">
        <v>730629</v>
      </c>
      <c r="T29" s="107">
        <f t="shared" ref="T29" si="457">(+S29-+S28)*48</f>
        <v>6000</v>
      </c>
      <c r="U29" s="85">
        <v>804.79300000000001</v>
      </c>
      <c r="V29" s="107">
        <f t="shared" ref="V29" si="458">(+U29-+U28)*48</f>
        <v>743.32799999999952</v>
      </c>
      <c r="W29" s="85">
        <v>81549</v>
      </c>
      <c r="X29" s="107">
        <f t="shared" ref="X29" si="459">(+W29-+W28)*48</f>
        <v>48</v>
      </c>
      <c r="Y29" s="85">
        <v>1499604</v>
      </c>
      <c r="Z29" s="107">
        <f t="shared" ref="Z29" si="460">(+Y29-+Y28)*48</f>
        <v>0</v>
      </c>
      <c r="AA29" s="80">
        <v>13264</v>
      </c>
      <c r="AB29" s="107">
        <f t="shared" ref="AB29" si="461">(+AA29-+AA28)*48</f>
        <v>0</v>
      </c>
      <c r="AC29" s="85">
        <v>462911</v>
      </c>
      <c r="AD29" s="107">
        <f t="shared" si="14"/>
        <v>5376</v>
      </c>
      <c r="AE29" s="85">
        <v>535977</v>
      </c>
      <c r="AF29" s="107">
        <f t="shared" si="14"/>
        <v>6384</v>
      </c>
      <c r="AG29" s="85">
        <v>49772</v>
      </c>
      <c r="AH29" s="107">
        <f t="shared" ref="AH29" si="462">(+AG29-+AG28)*48</f>
        <v>0</v>
      </c>
      <c r="AI29" s="85">
        <v>420919</v>
      </c>
      <c r="AJ29" s="107">
        <f t="shared" ref="AJ29" si="463">(+AI29-+AI28)*48</f>
        <v>3360</v>
      </c>
      <c r="AK29" s="85">
        <v>102770</v>
      </c>
      <c r="AL29" s="107">
        <f t="shared" ref="AL29" si="464">(+AK29-+AK28)*48</f>
        <v>0</v>
      </c>
      <c r="AM29" s="85">
        <v>580203</v>
      </c>
      <c r="AN29" s="107">
        <f t="shared" ref="AN29" si="465">(+AM29-+AM28)*48</f>
        <v>6000</v>
      </c>
      <c r="AO29" s="85">
        <v>940639</v>
      </c>
      <c r="AP29" s="107">
        <f t="shared" ref="AP29" si="466">(+AO29-+AO28)*48</f>
        <v>10848</v>
      </c>
      <c r="AQ29" s="85">
        <v>77874</v>
      </c>
      <c r="AR29" s="107">
        <f t="shared" ref="AR29" si="467">(+AQ29-+AQ28)*48</f>
        <v>0</v>
      </c>
      <c r="AS29" s="85">
        <v>2262</v>
      </c>
      <c r="AT29" s="107">
        <f t="shared" ref="AT29" si="468">(+AS29-+AS28)*48</f>
        <v>0</v>
      </c>
      <c r="AU29" s="85">
        <v>939</v>
      </c>
      <c r="AV29" s="107">
        <f t="shared" ref="AV29" si="469">(+AU29-+AU28)*48</f>
        <v>0</v>
      </c>
      <c r="AW29" s="85">
        <v>3109</v>
      </c>
      <c r="AX29" s="107">
        <f t="shared" ref="AX29" si="470">(+AW29-+AW28)*48</f>
        <v>0</v>
      </c>
      <c r="AY29" s="85">
        <v>320697</v>
      </c>
      <c r="AZ29" s="107">
        <f t="shared" ref="AZ29" si="471">(+AY29-+AY28)*48</f>
        <v>3456</v>
      </c>
      <c r="BA29" s="85">
        <v>161101</v>
      </c>
      <c r="BB29" s="107">
        <f t="shared" ref="BB29" si="472">(+BA29-+BA28)*48</f>
        <v>0</v>
      </c>
      <c r="BC29" s="85">
        <v>218695</v>
      </c>
      <c r="BD29" s="107">
        <f t="shared" ref="BD29" si="473">(+BC29-+BC28)*48</f>
        <v>1440</v>
      </c>
      <c r="BE29" s="85">
        <v>5347</v>
      </c>
      <c r="BF29" s="107">
        <f t="shared" ref="BF29" si="474">(+BE29-+BE28)*48</f>
        <v>0</v>
      </c>
      <c r="BH29" s="108">
        <f t="shared" si="1"/>
        <v>106249.72799999999</v>
      </c>
      <c r="BI29" s="108">
        <f t="shared" si="2"/>
        <v>69069.600000000006</v>
      </c>
    </row>
    <row r="30" spans="1:61" s="36" customFormat="1" ht="39.950000000000003" customHeight="1">
      <c r="A30" s="147">
        <v>44399</v>
      </c>
      <c r="B30" s="35"/>
      <c r="C30" s="85">
        <v>6177515</v>
      </c>
      <c r="D30" s="107">
        <f t="shared" ref="D30" si="475">(+C30-+C29)*48</f>
        <v>93120</v>
      </c>
      <c r="E30" s="107">
        <f>D30*E5</f>
        <v>51216.000000000007</v>
      </c>
      <c r="F30" s="107">
        <f>D30*F5</f>
        <v>41904</v>
      </c>
      <c r="G30" s="85">
        <v>283993</v>
      </c>
      <c r="H30" s="107">
        <f t="shared" ref="H30" si="476">(+G30-+G29)*48</f>
        <v>1392</v>
      </c>
      <c r="I30" s="85">
        <v>135191</v>
      </c>
      <c r="J30" s="107">
        <f t="shared" ref="J30" si="477">(+I30-+I29)*48</f>
        <v>7632</v>
      </c>
      <c r="K30" s="85">
        <v>259924</v>
      </c>
      <c r="L30" s="107">
        <f t="shared" si="0"/>
        <v>528</v>
      </c>
      <c r="M30" s="85">
        <v>24795</v>
      </c>
      <c r="N30" s="38">
        <f t="shared" ref="N30" si="478">(+M30-+M29)*48</f>
        <v>0</v>
      </c>
      <c r="O30" s="85">
        <v>275178</v>
      </c>
      <c r="P30" s="107">
        <f t="shared" ref="P30" si="479">(+O30-+O29)*48</f>
        <v>10032</v>
      </c>
      <c r="Q30" s="85">
        <v>453680</v>
      </c>
      <c r="R30" s="107">
        <f t="shared" ref="R30" si="480">(+Q30-+Q29)*48</f>
        <v>3360</v>
      </c>
      <c r="S30" s="85">
        <v>730746</v>
      </c>
      <c r="T30" s="107">
        <f t="shared" ref="T30" si="481">(+S30-+S29)*48</f>
        <v>5616</v>
      </c>
      <c r="U30" s="85">
        <v>821.06600000000003</v>
      </c>
      <c r="V30" s="107">
        <f t="shared" ref="V30" si="482">(+U30-+U29)*48</f>
        <v>781.10400000000118</v>
      </c>
      <c r="W30" s="85">
        <v>81554</v>
      </c>
      <c r="X30" s="107">
        <f t="shared" ref="X30" si="483">(+W30-+W29)*48</f>
        <v>240</v>
      </c>
      <c r="Y30" s="85">
        <v>1499604</v>
      </c>
      <c r="Z30" s="107">
        <f t="shared" ref="Z30" si="484">(+Y30-+Y29)*48</f>
        <v>0</v>
      </c>
      <c r="AA30" s="85">
        <v>13264</v>
      </c>
      <c r="AB30" s="107">
        <f t="shared" ref="AB30" si="485">(+AA30-+AA29)*48</f>
        <v>0</v>
      </c>
      <c r="AC30" s="85">
        <v>463021</v>
      </c>
      <c r="AD30" s="107">
        <f t="shared" si="14"/>
        <v>5280</v>
      </c>
      <c r="AE30" s="85">
        <v>536108</v>
      </c>
      <c r="AF30" s="107">
        <f t="shared" si="14"/>
        <v>6288</v>
      </c>
      <c r="AG30" s="85">
        <v>49769</v>
      </c>
      <c r="AH30" s="107">
        <f t="shared" ref="AH30" si="486">(+AG30-+AG29)*48</f>
        <v>-144</v>
      </c>
      <c r="AI30" s="85">
        <v>420986</v>
      </c>
      <c r="AJ30" s="107">
        <f t="shared" ref="AJ30" si="487">(+AI30-+AI29)*48</f>
        <v>3216</v>
      </c>
      <c r="AK30" s="85">
        <v>102770</v>
      </c>
      <c r="AL30" s="107">
        <f t="shared" ref="AL30" si="488">(+AK30-+AK29)*48</f>
        <v>0</v>
      </c>
      <c r="AM30" s="85">
        <v>580317</v>
      </c>
      <c r="AN30" s="107">
        <f t="shared" ref="AN30" si="489">(+AM30-+AM29)*48</f>
        <v>5472</v>
      </c>
      <c r="AO30" s="85">
        <v>940850</v>
      </c>
      <c r="AP30" s="107">
        <f t="shared" ref="AP30" si="490">(+AO30-+AO29)*48</f>
        <v>10128</v>
      </c>
      <c r="AQ30" s="85">
        <v>77874</v>
      </c>
      <c r="AR30" s="107">
        <f t="shared" ref="AR30" si="491">(+AQ30-+AQ29)*48</f>
        <v>0</v>
      </c>
      <c r="AS30" s="85">
        <v>2262</v>
      </c>
      <c r="AT30" s="107">
        <f t="shared" ref="AT30" si="492">(+AS30-+AS29)*48</f>
        <v>0</v>
      </c>
      <c r="AU30" s="85">
        <v>939</v>
      </c>
      <c r="AV30" s="107">
        <f t="shared" ref="AV30" si="493">(+AU30-+AU29)*48</f>
        <v>0</v>
      </c>
      <c r="AW30" s="85">
        <v>3109</v>
      </c>
      <c r="AX30" s="107">
        <f t="shared" ref="AX30" si="494">(+AW30-+AW29)*48</f>
        <v>0</v>
      </c>
      <c r="AY30" s="85">
        <v>320755</v>
      </c>
      <c r="AZ30" s="107">
        <f t="shared" ref="AZ30" si="495">(+AY30-+AY29)*48</f>
        <v>2784</v>
      </c>
      <c r="BA30" s="85">
        <v>161101</v>
      </c>
      <c r="BB30" s="107">
        <f t="shared" ref="BB30" si="496">(+BA30-+BA29)*48</f>
        <v>0</v>
      </c>
      <c r="BC30" s="85">
        <v>218722</v>
      </c>
      <c r="BD30" s="107">
        <f t="shared" ref="BD30" si="497">(+BC30-+BC29)*48</f>
        <v>1296</v>
      </c>
      <c r="BE30" s="85">
        <v>5347</v>
      </c>
      <c r="BF30" s="107">
        <f t="shared" ref="BF30" si="498">(+BE30-+BE29)*48</f>
        <v>0</v>
      </c>
      <c r="BH30" s="108">
        <f t="shared" si="1"/>
        <v>95437.104000000007</v>
      </c>
      <c r="BI30" s="108">
        <f t="shared" si="2"/>
        <v>61584</v>
      </c>
    </row>
    <row r="31" spans="1:61" s="36" customFormat="1" ht="39.950000000000003" customHeight="1">
      <c r="A31" s="147">
        <v>44400</v>
      </c>
      <c r="B31" s="35"/>
      <c r="C31" s="85">
        <v>6179535</v>
      </c>
      <c r="D31" s="107">
        <f t="shared" ref="D31" si="499">(+C31-+C30)*48</f>
        <v>96960</v>
      </c>
      <c r="E31" s="107">
        <f>D31*E5</f>
        <v>53328.000000000007</v>
      </c>
      <c r="F31" s="107">
        <f>D31*F5</f>
        <v>43632</v>
      </c>
      <c r="G31" s="85">
        <v>284021</v>
      </c>
      <c r="H31" s="38">
        <f t="shared" ref="H31" si="500">(+G31-+G30)*48</f>
        <v>1344</v>
      </c>
      <c r="I31" s="85">
        <v>135363</v>
      </c>
      <c r="J31" s="38">
        <f t="shared" ref="J31" si="501">(+I31-+I30)*48</f>
        <v>8256</v>
      </c>
      <c r="K31" s="85">
        <v>259937</v>
      </c>
      <c r="L31" s="38">
        <f t="shared" si="0"/>
        <v>624</v>
      </c>
      <c r="M31" s="85">
        <v>24795</v>
      </c>
      <c r="N31" s="38">
        <f t="shared" ref="N31" si="502">(+M31-+M30)*48</f>
        <v>0</v>
      </c>
      <c r="O31" s="85">
        <v>275384</v>
      </c>
      <c r="P31" s="38">
        <f t="shared" ref="P31" si="503">(+O31-+O30)*48</f>
        <v>9888</v>
      </c>
      <c r="Q31" s="85">
        <v>453763</v>
      </c>
      <c r="R31" s="107">
        <f t="shared" ref="R31" si="504">(+Q31-+Q30)*48</f>
        <v>3984</v>
      </c>
      <c r="S31" s="85">
        <v>730856</v>
      </c>
      <c r="T31" s="107">
        <f t="shared" ref="T31" si="505">(+S31-+S30)*48</f>
        <v>5280</v>
      </c>
      <c r="U31" s="85">
        <v>842.58199999999999</v>
      </c>
      <c r="V31" s="107">
        <f t="shared" ref="V31" si="506">(+U31-+U30)*48</f>
        <v>1032.7679999999982</v>
      </c>
      <c r="W31" s="85">
        <v>81559</v>
      </c>
      <c r="X31" s="107">
        <f t="shared" ref="X31" si="507">(+W31-+W30)*48</f>
        <v>240</v>
      </c>
      <c r="Y31" s="85">
        <v>1499604</v>
      </c>
      <c r="Z31" s="107">
        <f t="shared" ref="Z31" si="508">(+Y31-+Y30)*48</f>
        <v>0</v>
      </c>
      <c r="AA31" s="85">
        <v>13264</v>
      </c>
      <c r="AB31" s="107">
        <f t="shared" ref="AB31" si="509">(+AA31-+AA30)*48</f>
        <v>0</v>
      </c>
      <c r="AC31" s="85">
        <v>463126</v>
      </c>
      <c r="AD31" s="107">
        <f t="shared" si="14"/>
        <v>5040</v>
      </c>
      <c r="AE31" s="85">
        <v>536235</v>
      </c>
      <c r="AF31" s="107">
        <f t="shared" si="14"/>
        <v>6096</v>
      </c>
      <c r="AG31" s="85">
        <v>49773</v>
      </c>
      <c r="AH31" s="107">
        <f t="shared" ref="AH31" si="510">(+AG31-+AG30)*48</f>
        <v>192</v>
      </c>
      <c r="AI31" s="85">
        <v>421050</v>
      </c>
      <c r="AJ31" s="107">
        <f t="shared" ref="AJ31" si="511">(+AI31-+AI30)*48</f>
        <v>3072</v>
      </c>
      <c r="AK31" s="85">
        <v>102770</v>
      </c>
      <c r="AL31" s="107">
        <f t="shared" ref="AL31" si="512">(+AK31-+AK30)*48</f>
        <v>0</v>
      </c>
      <c r="AM31" s="85">
        <v>580423</v>
      </c>
      <c r="AN31" s="107">
        <f t="shared" ref="AN31" si="513">(+AM31-+AM30)*48</f>
        <v>5088</v>
      </c>
      <c r="AO31" s="85">
        <v>941055</v>
      </c>
      <c r="AP31" s="107">
        <f t="shared" ref="AP31" si="514">(+AO31-+AO30)*48</f>
        <v>9840</v>
      </c>
      <c r="AQ31" s="85">
        <v>77874</v>
      </c>
      <c r="AR31" s="107">
        <f t="shared" ref="AR31" si="515">(+AQ31-+AQ30)*48</f>
        <v>0</v>
      </c>
      <c r="AS31" s="85">
        <v>2262</v>
      </c>
      <c r="AT31" s="107">
        <f t="shared" ref="AT31" si="516">(+AS31-+AS30)*48</f>
        <v>0</v>
      </c>
      <c r="AU31" s="85">
        <v>939</v>
      </c>
      <c r="AV31" s="107">
        <f t="shared" ref="AV31" si="517">(+AU31-+AU30)*48</f>
        <v>0</v>
      </c>
      <c r="AW31" s="85">
        <v>3109</v>
      </c>
      <c r="AX31" s="107">
        <f t="shared" ref="AX31" si="518">(+AW31-+AW30)*48</f>
        <v>0</v>
      </c>
      <c r="AY31" s="85">
        <v>320824</v>
      </c>
      <c r="AZ31" s="107">
        <f t="shared" ref="AZ31" si="519">(+AY31-+AY30)*48</f>
        <v>3312</v>
      </c>
      <c r="BA31" s="85">
        <v>161101</v>
      </c>
      <c r="BB31" s="107">
        <f t="shared" ref="BB31" si="520">(+BA31-+BA30)*48</f>
        <v>0</v>
      </c>
      <c r="BC31" s="85">
        <v>218749</v>
      </c>
      <c r="BD31" s="107">
        <f t="shared" ref="BD31" si="521">(+BC31-+BC30)*48</f>
        <v>1296</v>
      </c>
      <c r="BE31" s="85">
        <v>5347</v>
      </c>
      <c r="BF31" s="107">
        <f t="shared" ref="BF31" si="522">(+BE31-+BE30)*48</f>
        <v>0</v>
      </c>
      <c r="BH31" s="108">
        <f t="shared" si="1"/>
        <v>98376.767999999996</v>
      </c>
      <c r="BI31" s="108">
        <f t="shared" si="2"/>
        <v>63168</v>
      </c>
    </row>
    <row r="32" spans="1:61" s="36" customFormat="1" ht="39.950000000000003" customHeight="1">
      <c r="A32" s="147">
        <v>44401</v>
      </c>
      <c r="B32" s="35"/>
      <c r="C32" s="85">
        <v>6181788</v>
      </c>
      <c r="D32" s="107">
        <f t="shared" ref="D32" si="523">(+C32-+C31)*48</f>
        <v>108144</v>
      </c>
      <c r="E32" s="107">
        <f>D32*E5</f>
        <v>59479.200000000004</v>
      </c>
      <c r="F32" s="107">
        <f>D32*F5</f>
        <v>48664.800000000003</v>
      </c>
      <c r="G32" s="85">
        <v>284048</v>
      </c>
      <c r="H32" s="38">
        <f t="shared" ref="H32" si="524">(+G32-+G31)*48</f>
        <v>1296</v>
      </c>
      <c r="I32" s="85">
        <v>135540</v>
      </c>
      <c r="J32" s="38">
        <f t="shared" ref="J32" si="525">(+I32-+I31)*48</f>
        <v>8496</v>
      </c>
      <c r="K32" s="85">
        <v>259950</v>
      </c>
      <c r="L32" s="38">
        <f t="shared" si="0"/>
        <v>624</v>
      </c>
      <c r="M32" s="85">
        <v>24795</v>
      </c>
      <c r="N32" s="38">
        <f t="shared" ref="N32" si="526">(+M32-+M31)*48</f>
        <v>0</v>
      </c>
      <c r="O32" s="85">
        <v>275600</v>
      </c>
      <c r="P32" s="38">
        <f t="shared" ref="P32" si="527">(+O32-+O31)*48</f>
        <v>10368</v>
      </c>
      <c r="Q32" s="85">
        <v>453855</v>
      </c>
      <c r="R32" s="107">
        <f t="shared" ref="R32" si="528">(+Q32-+Q31)*48</f>
        <v>4416</v>
      </c>
      <c r="S32" s="85">
        <v>730969</v>
      </c>
      <c r="T32" s="107">
        <f t="shared" ref="T32" si="529">(+S32-+S31)*48</f>
        <v>5424</v>
      </c>
      <c r="U32" s="85">
        <v>861.50699999999995</v>
      </c>
      <c r="V32" s="107">
        <f t="shared" ref="V32" si="530">(+U32-+U31)*48</f>
        <v>908.39999999999782</v>
      </c>
      <c r="W32" s="85">
        <v>81564</v>
      </c>
      <c r="X32" s="107">
        <f t="shared" ref="X32" si="531">(+W32-+W31)*48</f>
        <v>240</v>
      </c>
      <c r="Y32" s="85">
        <v>1499604</v>
      </c>
      <c r="Z32" s="107">
        <f t="shared" ref="Z32" si="532">(+Y32-+Y31)*48</f>
        <v>0</v>
      </c>
      <c r="AA32" s="85">
        <v>13264</v>
      </c>
      <c r="AB32" s="107">
        <f t="shared" ref="AB32" si="533">(+AA32-+AA31)*48</f>
        <v>0</v>
      </c>
      <c r="AC32" s="85">
        <v>463232</v>
      </c>
      <c r="AD32" s="107">
        <f t="shared" si="14"/>
        <v>5088</v>
      </c>
      <c r="AE32" s="85">
        <v>536365</v>
      </c>
      <c r="AF32" s="107">
        <f t="shared" si="14"/>
        <v>6240</v>
      </c>
      <c r="AG32" s="85">
        <v>49773</v>
      </c>
      <c r="AH32" s="107">
        <f t="shared" ref="AH32" si="534">(+AG32-+AG31)*48</f>
        <v>0</v>
      </c>
      <c r="AI32" s="85">
        <v>421117</v>
      </c>
      <c r="AJ32" s="107">
        <f t="shared" ref="AJ32" si="535">(+AI32-+AI31)*48</f>
        <v>3216</v>
      </c>
      <c r="AK32" s="85">
        <v>102770</v>
      </c>
      <c r="AL32" s="107">
        <f t="shared" ref="AL32" si="536">(+AK32-+AK31)*48</f>
        <v>0</v>
      </c>
      <c r="AM32" s="85">
        <v>580525</v>
      </c>
      <c r="AN32" s="107">
        <f t="shared" ref="AN32" si="537">(+AM32-+AM31)*48</f>
        <v>4896</v>
      </c>
      <c r="AO32" s="85">
        <v>941220</v>
      </c>
      <c r="AP32" s="107">
        <f t="shared" ref="AP32" si="538">(+AO32-+AO31)*48</f>
        <v>7920</v>
      </c>
      <c r="AQ32" s="85">
        <v>77874</v>
      </c>
      <c r="AR32" s="107">
        <f t="shared" ref="AR32" si="539">(+AQ32-+AQ31)*48</f>
        <v>0</v>
      </c>
      <c r="AS32" s="85">
        <v>2262</v>
      </c>
      <c r="AT32" s="107">
        <f t="shared" ref="AT32" si="540">(+AS32-+AS31)*48</f>
        <v>0</v>
      </c>
      <c r="AU32" s="85">
        <v>939</v>
      </c>
      <c r="AV32" s="107">
        <f t="shared" ref="AV32" si="541">(+AU32-+AU31)*48</f>
        <v>0</v>
      </c>
      <c r="AW32" s="85">
        <v>3109</v>
      </c>
      <c r="AX32" s="107">
        <f t="shared" ref="AX32" si="542">(+AW32-+AW31)*48</f>
        <v>0</v>
      </c>
      <c r="AY32" s="85">
        <v>320893</v>
      </c>
      <c r="AZ32" s="107">
        <f t="shared" ref="AZ32" si="543">(+AY32-+AY31)*48</f>
        <v>3312</v>
      </c>
      <c r="BA32" s="85">
        <v>161101</v>
      </c>
      <c r="BB32" s="107">
        <f t="shared" ref="BB32" si="544">(+BA32-+BA31)*48</f>
        <v>0</v>
      </c>
      <c r="BC32" s="85">
        <v>218771</v>
      </c>
      <c r="BD32" s="107">
        <f t="shared" ref="BD32" si="545">(+BC32-+BC31)*48</f>
        <v>1056</v>
      </c>
      <c r="BE32" s="85">
        <v>5347</v>
      </c>
      <c r="BF32" s="107">
        <f t="shared" ref="BF32" si="546">(+BE32-+BE31)*48</f>
        <v>0</v>
      </c>
      <c r="BH32" s="108">
        <f t="shared" si="1"/>
        <v>105795.6</v>
      </c>
      <c r="BI32" s="108">
        <f t="shared" si="2"/>
        <v>65848.800000000003</v>
      </c>
    </row>
    <row r="33" spans="1:61" s="36" customFormat="1" ht="39.950000000000003" customHeight="1">
      <c r="A33" s="147">
        <v>44402</v>
      </c>
      <c r="B33" s="35"/>
      <c r="C33" s="80">
        <v>6184118</v>
      </c>
      <c r="D33" s="107">
        <f t="shared" ref="D33" si="547">(+C33-+C32)*48</f>
        <v>111840</v>
      </c>
      <c r="E33" s="107">
        <f>D33*E5</f>
        <v>61512.000000000007</v>
      </c>
      <c r="F33" s="107">
        <f>D33*F5</f>
        <v>50328</v>
      </c>
      <c r="G33" s="80">
        <v>284076</v>
      </c>
      <c r="H33" s="107">
        <f t="shared" ref="H33" si="548">(+G33-+G32)*48</f>
        <v>1344</v>
      </c>
      <c r="I33" s="80">
        <v>135714</v>
      </c>
      <c r="J33" s="38">
        <f t="shared" ref="J33" si="549">(+I33-+I32)*48</f>
        <v>8352</v>
      </c>
      <c r="K33" s="80">
        <v>259991</v>
      </c>
      <c r="L33" s="107">
        <f t="shared" si="0"/>
        <v>1968</v>
      </c>
      <c r="M33" s="80">
        <v>24795</v>
      </c>
      <c r="N33" s="38">
        <f t="shared" ref="N33" si="550">(+M33-+M32)*48</f>
        <v>0</v>
      </c>
      <c r="O33" s="80">
        <v>275864</v>
      </c>
      <c r="P33" s="38">
        <f t="shared" ref="P33" si="551">(+O33-+O32)*48</f>
        <v>12672</v>
      </c>
      <c r="Q33" s="80">
        <v>453963</v>
      </c>
      <c r="R33" s="107">
        <f t="shared" ref="R33" si="552">(+Q33-+Q32)*48</f>
        <v>5184</v>
      </c>
      <c r="S33" s="80">
        <v>731083</v>
      </c>
      <c r="T33" s="107">
        <f t="shared" ref="T33" si="553">(+S33-+S32)*48</f>
        <v>5472</v>
      </c>
      <c r="U33" s="80">
        <v>883.57399999999996</v>
      </c>
      <c r="V33" s="107">
        <f t="shared" ref="V33" si="554">(+U33-+U32)*48</f>
        <v>1059.2160000000003</v>
      </c>
      <c r="W33" s="80">
        <v>81569</v>
      </c>
      <c r="X33" s="107">
        <f t="shared" ref="X33" si="555">(+W33-+W32)*48</f>
        <v>240</v>
      </c>
      <c r="Y33" s="80">
        <v>1499604</v>
      </c>
      <c r="Z33" s="107">
        <f t="shared" ref="Z33" si="556">(+Y33-+Y32)*48</f>
        <v>0</v>
      </c>
      <c r="AA33" s="80">
        <v>13264</v>
      </c>
      <c r="AB33" s="107">
        <f t="shared" ref="AB33" si="557">(+AA33-+AA32)*48</f>
        <v>0</v>
      </c>
      <c r="AC33" s="80">
        <v>463337</v>
      </c>
      <c r="AD33" s="107">
        <f t="shared" si="14"/>
        <v>5040</v>
      </c>
      <c r="AE33" s="80">
        <v>536492</v>
      </c>
      <c r="AF33" s="107">
        <f t="shared" si="14"/>
        <v>6096</v>
      </c>
      <c r="AG33" s="80">
        <v>49773</v>
      </c>
      <c r="AH33" s="107">
        <f t="shared" ref="AH33" si="558">(+AG33-+AG32)*48</f>
        <v>0</v>
      </c>
      <c r="AI33" s="80">
        <v>421197</v>
      </c>
      <c r="AJ33" s="107">
        <f t="shared" ref="AJ33" si="559">(+AI33-+AI32)*48</f>
        <v>3840</v>
      </c>
      <c r="AK33" s="80">
        <v>102770</v>
      </c>
      <c r="AL33" s="107">
        <f t="shared" ref="AL33" si="560">(+AK33-+AK32)*48</f>
        <v>0</v>
      </c>
      <c r="AM33" s="80">
        <v>580632</v>
      </c>
      <c r="AN33" s="107">
        <f t="shared" ref="AN33" si="561">(+AM33-+AM32)*48</f>
        <v>5136</v>
      </c>
      <c r="AO33" s="80">
        <v>941387</v>
      </c>
      <c r="AP33" s="107">
        <f t="shared" ref="AP33" si="562">(+AO33-+AO32)*48</f>
        <v>8016</v>
      </c>
      <c r="AQ33" s="80">
        <v>77874</v>
      </c>
      <c r="AR33" s="107">
        <f t="shared" ref="AR33" si="563">(+AQ33-+AQ32)*48</f>
        <v>0</v>
      </c>
      <c r="AS33" s="80">
        <v>2262</v>
      </c>
      <c r="AT33" s="107">
        <f t="shared" ref="AT33" si="564">(+AS33-+AS32)*48</f>
        <v>0</v>
      </c>
      <c r="AU33" s="80">
        <v>939</v>
      </c>
      <c r="AV33" s="107">
        <f t="shared" ref="AV33" si="565">(+AU33-+AU32)*48</f>
        <v>0</v>
      </c>
      <c r="AW33" s="80">
        <v>3109</v>
      </c>
      <c r="AX33" s="107">
        <f t="shared" ref="AX33" si="566">(+AW33-+AW32)*48</f>
        <v>0</v>
      </c>
      <c r="AY33" s="80">
        <v>320963</v>
      </c>
      <c r="AZ33" s="107">
        <f t="shared" ref="AZ33" si="567">(+AY33-+AY32)*48</f>
        <v>3360</v>
      </c>
      <c r="BA33" s="80">
        <v>161101</v>
      </c>
      <c r="BB33" s="107">
        <f t="shared" ref="BB33" si="568">(+BA33-+BA32)*48</f>
        <v>0</v>
      </c>
      <c r="BC33" s="80">
        <v>218800</v>
      </c>
      <c r="BD33" s="107">
        <f t="shared" ref="BD33" si="569">(+BC33-+BC32)*48</f>
        <v>1392</v>
      </c>
      <c r="BE33" s="80">
        <v>5347</v>
      </c>
      <c r="BF33" s="107">
        <f t="shared" ref="BF33" si="570">(+BE33-+BE32)*48</f>
        <v>0</v>
      </c>
      <c r="BH33" s="108">
        <f t="shared" si="1"/>
        <v>112779.216</v>
      </c>
      <c r="BI33" s="108">
        <f t="shared" si="2"/>
        <v>68232</v>
      </c>
    </row>
    <row r="34" spans="1:61" s="36" customFormat="1" ht="39.950000000000003" customHeight="1">
      <c r="A34" s="147">
        <v>44403</v>
      </c>
      <c r="B34" s="35"/>
      <c r="C34" s="80">
        <v>6186443</v>
      </c>
      <c r="D34" s="107">
        <f t="shared" ref="D34" si="571">(+C34-+C33)*48</f>
        <v>111600</v>
      </c>
      <c r="E34" s="107">
        <f>D34*E5</f>
        <v>61380.000000000007</v>
      </c>
      <c r="F34" s="107">
        <f>D34*F5</f>
        <v>50220</v>
      </c>
      <c r="G34" s="80">
        <v>284152</v>
      </c>
      <c r="H34" s="107">
        <f t="shared" ref="H34" si="572">(+G34-+G33)*48</f>
        <v>3648</v>
      </c>
      <c r="I34" s="80">
        <v>135887</v>
      </c>
      <c r="J34" s="38">
        <f t="shared" ref="J34" si="573">(+I34-+I33)*48</f>
        <v>8304</v>
      </c>
      <c r="K34" s="80">
        <v>260041</v>
      </c>
      <c r="L34" s="107">
        <f t="shared" si="0"/>
        <v>2400</v>
      </c>
      <c r="M34" s="80">
        <v>24795</v>
      </c>
      <c r="N34" s="38">
        <f t="shared" ref="N34" si="574">(+M34-+M33)*48</f>
        <v>0</v>
      </c>
      <c r="O34" s="80">
        <v>276020</v>
      </c>
      <c r="P34" s="38">
        <f t="shared" ref="P34" si="575">(+O34-+O33)*48</f>
        <v>7488</v>
      </c>
      <c r="Q34" s="80">
        <v>454050</v>
      </c>
      <c r="R34" s="107">
        <f t="shared" ref="R34" si="576">(+Q34-+Q33)*48</f>
        <v>4176</v>
      </c>
      <c r="S34" s="80">
        <v>731188</v>
      </c>
      <c r="T34" s="107">
        <f t="shared" ref="T34" si="577">(+S34-+S33)*48</f>
        <v>5040</v>
      </c>
      <c r="U34" s="80">
        <v>906.221</v>
      </c>
      <c r="V34" s="107">
        <f t="shared" ref="V34" si="578">(+U34-+U33)*48</f>
        <v>1087.0560000000023</v>
      </c>
      <c r="W34" s="80">
        <v>81582</v>
      </c>
      <c r="X34" s="107">
        <f t="shared" ref="X34" si="579">(+W34-+W33)*48</f>
        <v>624</v>
      </c>
      <c r="Y34" s="80">
        <v>1499604</v>
      </c>
      <c r="Z34" s="107">
        <f t="shared" ref="Z34" si="580">(+Y34-+Y33)*48</f>
        <v>0</v>
      </c>
      <c r="AA34" s="80">
        <v>13264</v>
      </c>
      <c r="AB34" s="107">
        <f t="shared" ref="AB34" si="581">(+AA34-+AA33)*48</f>
        <v>0</v>
      </c>
      <c r="AC34" s="80">
        <v>463442</v>
      </c>
      <c r="AD34" s="107">
        <f t="shared" si="14"/>
        <v>5040</v>
      </c>
      <c r="AE34" s="80">
        <v>536611</v>
      </c>
      <c r="AF34" s="107">
        <f t="shared" si="14"/>
        <v>5712</v>
      </c>
      <c r="AG34" s="80">
        <v>49773</v>
      </c>
      <c r="AH34" s="107">
        <f t="shared" ref="AH34" si="582">(+AG34-+AG33)*48</f>
        <v>0</v>
      </c>
      <c r="AI34" s="80">
        <v>421278</v>
      </c>
      <c r="AJ34" s="107">
        <f t="shared" ref="AJ34" si="583">(+AI34-+AI33)*48</f>
        <v>3888</v>
      </c>
      <c r="AK34" s="80">
        <v>102770</v>
      </c>
      <c r="AL34" s="107">
        <f t="shared" ref="AL34" si="584">(+AK34-+AK33)*48</f>
        <v>0</v>
      </c>
      <c r="AM34" s="80">
        <v>580740</v>
      </c>
      <c r="AN34" s="107">
        <f t="shared" ref="AN34" si="585">(+AM34-+AM33)*48</f>
        <v>5184</v>
      </c>
      <c r="AO34" s="80">
        <v>941557</v>
      </c>
      <c r="AP34" s="107">
        <f t="shared" ref="AP34" si="586">(+AO34-+AO33)*48</f>
        <v>8160</v>
      </c>
      <c r="AQ34" s="80">
        <v>77874</v>
      </c>
      <c r="AR34" s="107">
        <f t="shared" ref="AR34" si="587">(+AQ34-+AQ33)*48</f>
        <v>0</v>
      </c>
      <c r="AS34" s="80">
        <v>2262</v>
      </c>
      <c r="AT34" s="107">
        <f t="shared" ref="AT34" si="588">(+AS34-+AS33)*48</f>
        <v>0</v>
      </c>
      <c r="AU34" s="80">
        <v>939</v>
      </c>
      <c r="AV34" s="107">
        <f t="shared" ref="AV34" si="589">(+AU34-+AU33)*48</f>
        <v>0</v>
      </c>
      <c r="AW34" s="80">
        <v>3109</v>
      </c>
      <c r="AX34" s="107">
        <f t="shared" ref="AX34" si="590">(+AW34-+AW33)*48</f>
        <v>0</v>
      </c>
      <c r="AY34" s="80">
        <v>321026</v>
      </c>
      <c r="AZ34" s="107">
        <f t="shared" ref="AZ34" si="591">(+AY34-+AY33)*48</f>
        <v>3024</v>
      </c>
      <c r="BA34" s="80">
        <v>161101</v>
      </c>
      <c r="BB34" s="107">
        <f t="shared" ref="BB34" si="592">(+BA34-+BA33)*48</f>
        <v>0</v>
      </c>
      <c r="BC34" s="80">
        <v>218832</v>
      </c>
      <c r="BD34" s="107">
        <f t="shared" ref="BD34" si="593">(+BC34-+BC33)*48</f>
        <v>1536</v>
      </c>
      <c r="BE34" s="80">
        <v>5347</v>
      </c>
      <c r="BF34" s="107">
        <f t="shared" ref="BF34" si="594">(+BE34-+BE33)*48</f>
        <v>0</v>
      </c>
      <c r="BH34" s="108">
        <f t="shared" si="1"/>
        <v>108787.056</v>
      </c>
      <c r="BI34" s="108">
        <f t="shared" si="2"/>
        <v>68124</v>
      </c>
    </row>
    <row r="35" spans="1:61" s="36" customFormat="1" ht="39.950000000000003" customHeight="1">
      <c r="A35" s="147">
        <v>44404</v>
      </c>
      <c r="B35" s="35"/>
      <c r="C35" s="80">
        <v>6188352</v>
      </c>
      <c r="D35" s="107">
        <f t="shared" ref="D35" si="595">(+C35-+C34)*48</f>
        <v>91632</v>
      </c>
      <c r="E35" s="107">
        <f>D35*E5</f>
        <v>50397.600000000006</v>
      </c>
      <c r="F35" s="107">
        <f>D35*F5</f>
        <v>41234.400000000001</v>
      </c>
      <c r="G35" s="80">
        <v>284183</v>
      </c>
      <c r="H35" s="107">
        <f t="shared" ref="H35" si="596">(+G35-+G34)*48</f>
        <v>1488</v>
      </c>
      <c r="I35" s="80">
        <v>136060</v>
      </c>
      <c r="J35" s="38">
        <f t="shared" ref="J35" si="597">(+I35-+I34)*48</f>
        <v>8304</v>
      </c>
      <c r="K35" s="80">
        <v>260072</v>
      </c>
      <c r="L35" s="107">
        <f t="shared" si="0"/>
        <v>1488</v>
      </c>
      <c r="M35" s="80">
        <v>24795</v>
      </c>
      <c r="N35" s="38">
        <f t="shared" ref="N35" si="598">(+M35-+M34)*48</f>
        <v>0</v>
      </c>
      <c r="O35" s="80">
        <v>276223</v>
      </c>
      <c r="P35" s="38">
        <f t="shared" ref="P35" si="599">(+O35-+O34)*48</f>
        <v>9744</v>
      </c>
      <c r="Q35" s="80">
        <v>454139</v>
      </c>
      <c r="R35" s="107">
        <f t="shared" ref="R35" si="600">(+Q35-+Q34)*48</f>
        <v>4272</v>
      </c>
      <c r="S35" s="80">
        <v>731284</v>
      </c>
      <c r="T35" s="107">
        <f t="shared" ref="T35" si="601">(+S35-+S34)*48</f>
        <v>4608</v>
      </c>
      <c r="U35" s="80">
        <v>925.28399999999999</v>
      </c>
      <c r="V35" s="107">
        <f t="shared" ref="V35" si="602">(+U35-+U34)*48</f>
        <v>915.02399999999943</v>
      </c>
      <c r="W35" s="80">
        <v>81597</v>
      </c>
      <c r="X35" s="107">
        <f t="shared" ref="X35" si="603">(+W35-+W34)*48</f>
        <v>720</v>
      </c>
      <c r="Y35" s="80">
        <v>1499604</v>
      </c>
      <c r="Z35" s="107">
        <f t="shared" ref="Z35" si="604">(+Y35-+Y34)*48</f>
        <v>0</v>
      </c>
      <c r="AA35" s="80">
        <v>13264</v>
      </c>
      <c r="AB35" s="107">
        <f t="shared" ref="AB35" si="605">(+AA35-+AA34)*48</f>
        <v>0</v>
      </c>
      <c r="AC35" s="80">
        <v>463554</v>
      </c>
      <c r="AD35" s="107">
        <f t="shared" si="14"/>
        <v>5376</v>
      </c>
      <c r="AE35" s="80">
        <v>536739</v>
      </c>
      <c r="AF35" s="107">
        <f t="shared" si="14"/>
        <v>6144</v>
      </c>
      <c r="AG35" s="80">
        <v>49779</v>
      </c>
      <c r="AH35" s="107">
        <f t="shared" ref="AH35" si="606">(+AG35-+AG34)*48</f>
        <v>288</v>
      </c>
      <c r="AI35" s="80">
        <v>421343</v>
      </c>
      <c r="AJ35" s="107">
        <f t="shared" ref="AJ35" si="607">(+AI35-+AI34)*48</f>
        <v>3120</v>
      </c>
      <c r="AK35" s="80">
        <v>102770</v>
      </c>
      <c r="AL35" s="107">
        <f t="shared" ref="AL35" si="608">(+AK35-+AK34)*48</f>
        <v>0</v>
      </c>
      <c r="AM35" s="80">
        <v>580841</v>
      </c>
      <c r="AN35" s="107">
        <f t="shared" ref="AN35" si="609">(+AM35-+AM34)*48</f>
        <v>4848</v>
      </c>
      <c r="AO35" s="80">
        <v>941725</v>
      </c>
      <c r="AP35" s="107">
        <f t="shared" ref="AP35" si="610">(+AO35-+AO34)*48</f>
        <v>8064</v>
      </c>
      <c r="AQ35" s="80">
        <v>77874</v>
      </c>
      <c r="AR35" s="107">
        <f t="shared" ref="AR35" si="611">(+AQ35-+AQ34)*48</f>
        <v>0</v>
      </c>
      <c r="AS35" s="80">
        <v>2262</v>
      </c>
      <c r="AT35" s="107">
        <f t="shared" ref="AT35" si="612">(+AS35-+AS34)*48</f>
        <v>0</v>
      </c>
      <c r="AU35" s="80">
        <v>939</v>
      </c>
      <c r="AV35" s="107">
        <f t="shared" ref="AV35" si="613">(+AU35-+AU34)*48</f>
        <v>0</v>
      </c>
      <c r="AW35" s="80">
        <v>3109</v>
      </c>
      <c r="AX35" s="107">
        <f t="shared" ref="AX35" si="614">(+AW35-+AW34)*48</f>
        <v>0</v>
      </c>
      <c r="AY35" s="80">
        <v>321092</v>
      </c>
      <c r="AZ35" s="107">
        <f t="shared" ref="AZ35" si="615">(+AY35-+AY34)*48</f>
        <v>3168</v>
      </c>
      <c r="BA35" s="80">
        <v>161101</v>
      </c>
      <c r="BB35" s="107">
        <f t="shared" ref="BB35" si="616">(+BA35-+BA34)*48</f>
        <v>0</v>
      </c>
      <c r="BC35" s="80">
        <v>218861</v>
      </c>
      <c r="BD35" s="107">
        <f t="shared" ref="BD35" si="617">(+BC35-+BC34)*48</f>
        <v>1392</v>
      </c>
      <c r="BE35" s="80">
        <v>5347</v>
      </c>
      <c r="BF35" s="107">
        <f t="shared" ref="BF35" si="618">(+BE35-+BE34)*48</f>
        <v>0</v>
      </c>
      <c r="BH35" s="108">
        <f t="shared" si="1"/>
        <v>96864.624000000011</v>
      </c>
      <c r="BI35" s="108">
        <f t="shared" si="2"/>
        <v>58706.400000000001</v>
      </c>
    </row>
    <row r="36" spans="1:61" s="36" customFormat="1" ht="39.950000000000003" customHeight="1">
      <c r="A36" s="147">
        <v>44405</v>
      </c>
      <c r="B36" s="35"/>
      <c r="C36" s="85">
        <v>6190307</v>
      </c>
      <c r="D36" s="107">
        <f t="shared" ref="D36" si="619">(+C36-+C35)*48</f>
        <v>93840</v>
      </c>
      <c r="E36" s="107">
        <f>D36*E5</f>
        <v>51612.000000000007</v>
      </c>
      <c r="F36" s="107">
        <f>D36*F5</f>
        <v>42228</v>
      </c>
      <c r="G36" s="85">
        <v>284217</v>
      </c>
      <c r="H36" s="107">
        <f t="shared" ref="H36:N39" si="620">(+G36-+G35)*48</f>
        <v>1632</v>
      </c>
      <c r="I36" s="85">
        <v>136235</v>
      </c>
      <c r="J36" s="38">
        <f t="shared" ref="J36:J38" si="621">(+I36-+I35)*48</f>
        <v>8400</v>
      </c>
      <c r="K36" s="85">
        <v>260080</v>
      </c>
      <c r="L36" s="107">
        <f t="shared" si="0"/>
        <v>384</v>
      </c>
      <c r="M36" s="85">
        <v>24795</v>
      </c>
      <c r="N36" s="38">
        <f t="shared" ref="N36:N38" si="622">(+M36-+M35)*48</f>
        <v>0</v>
      </c>
      <c r="O36" s="85">
        <v>276431</v>
      </c>
      <c r="P36" s="38">
        <f t="shared" ref="P36:P39" si="623">(+O36-+O35)*48</f>
        <v>9984</v>
      </c>
      <c r="Q36" s="85">
        <v>454233</v>
      </c>
      <c r="R36" s="107">
        <f t="shared" ref="R36:X39" si="624">(+Q36-+Q35)*48</f>
        <v>4512</v>
      </c>
      <c r="S36" s="85">
        <v>731388</v>
      </c>
      <c r="T36" s="107">
        <f t="shared" ref="T36:T38" si="625">(+S36-+S35)*48</f>
        <v>4992</v>
      </c>
      <c r="U36" s="85">
        <v>928</v>
      </c>
      <c r="V36" s="107">
        <f t="shared" ref="V36:V38" si="626">(+U36-+U35)*48</f>
        <v>130.36800000000039</v>
      </c>
      <c r="W36" s="85">
        <v>81618</v>
      </c>
      <c r="X36" s="107">
        <f t="shared" ref="X36:X38" si="627">(+W36-+W35)*48</f>
        <v>1008</v>
      </c>
      <c r="Y36" s="80">
        <v>1499604</v>
      </c>
      <c r="Z36" s="107">
        <f t="shared" ref="Z36:Z39" si="628">(+Y36-+Y35)*48</f>
        <v>0</v>
      </c>
      <c r="AA36" s="80">
        <v>13264</v>
      </c>
      <c r="AB36" s="107">
        <f t="shared" ref="AB36:AB39" si="629">(+AA36-+AA35)*48</f>
        <v>0</v>
      </c>
      <c r="AC36" s="85">
        <v>463683</v>
      </c>
      <c r="AD36" s="107">
        <f t="shared" si="14"/>
        <v>6192</v>
      </c>
      <c r="AE36" s="85">
        <v>536887</v>
      </c>
      <c r="AF36" s="107">
        <f t="shared" si="14"/>
        <v>7104</v>
      </c>
      <c r="AG36" s="80">
        <v>49779</v>
      </c>
      <c r="AH36" s="107">
        <f t="shared" ref="AH36:AH39" si="630">(+AG36-+AG35)*48</f>
        <v>0</v>
      </c>
      <c r="AI36" s="85">
        <v>421406</v>
      </c>
      <c r="AJ36" s="107">
        <f t="shared" ref="AJ36:AJ39" si="631">(+AI36-+AI35)*48</f>
        <v>3024</v>
      </c>
      <c r="AK36" s="80">
        <v>102770</v>
      </c>
      <c r="AL36" s="107">
        <f t="shared" ref="AL36:AL39" si="632">(+AK36-+AK35)*48</f>
        <v>0</v>
      </c>
      <c r="AM36" s="85">
        <v>580941</v>
      </c>
      <c r="AN36" s="107">
        <f t="shared" ref="AN36:AN39" si="633">(+AM36-+AM35)*48</f>
        <v>4800</v>
      </c>
      <c r="AO36" s="85">
        <v>941918</v>
      </c>
      <c r="AP36" s="107">
        <f t="shared" ref="AP36:AP39" si="634">(+AO36-+AO35)*48</f>
        <v>9264</v>
      </c>
      <c r="AQ36" s="80">
        <v>77874</v>
      </c>
      <c r="AR36" s="107">
        <f t="shared" ref="AR36:AR39" si="635">(+AQ36-+AQ35)*48</f>
        <v>0</v>
      </c>
      <c r="AS36" s="80">
        <v>2262</v>
      </c>
      <c r="AT36" s="107">
        <f t="shared" ref="AT36:AT39" si="636">(+AS36-+AS35)*48</f>
        <v>0</v>
      </c>
      <c r="AU36" s="80">
        <v>939</v>
      </c>
      <c r="AV36" s="107">
        <f t="shared" ref="AV36:AV39" si="637">(+AU36-+AU35)*48</f>
        <v>0</v>
      </c>
      <c r="AW36" s="80">
        <v>3109</v>
      </c>
      <c r="AX36" s="107">
        <f t="shared" ref="AX36:AX39" si="638">(+AW36-+AW35)*48</f>
        <v>0</v>
      </c>
      <c r="AY36" s="85">
        <v>321155</v>
      </c>
      <c r="AZ36" s="107">
        <f t="shared" ref="AZ36:AZ39" si="639">(+AY36-+AY35)*48</f>
        <v>3024</v>
      </c>
      <c r="BA36" s="80">
        <v>161101</v>
      </c>
      <c r="BB36" s="107">
        <f t="shared" ref="BB36:BB39" si="640">(+BA36-+BA35)*48</f>
        <v>0</v>
      </c>
      <c r="BC36" s="85">
        <f>(BC35+BC37)/2</f>
        <v>218894</v>
      </c>
      <c r="BD36" s="107">
        <f t="shared" ref="BD36:BD39" si="641">(+BC36-+BC35)*48</f>
        <v>1584</v>
      </c>
      <c r="BE36" s="80">
        <v>5347</v>
      </c>
      <c r="BF36" s="107">
        <f t="shared" ref="BF36:BF39" si="642">(+BE36-+BE35)*48</f>
        <v>0</v>
      </c>
      <c r="BH36" s="108">
        <f t="shared" si="1"/>
        <v>98974.368000000002</v>
      </c>
      <c r="BI36" s="108">
        <f t="shared" si="2"/>
        <v>60900</v>
      </c>
    </row>
    <row r="37" spans="1:61" s="36" customFormat="1" ht="39.950000000000003" customHeight="1">
      <c r="A37" s="147">
        <v>44406</v>
      </c>
      <c r="B37" s="35"/>
      <c r="C37" s="80">
        <v>6192387</v>
      </c>
      <c r="D37" s="107">
        <f t="shared" ref="D37" si="643">(+C37-+C36)*48</f>
        <v>99840</v>
      </c>
      <c r="E37" s="107">
        <f>D37*E5</f>
        <v>54912.000000000007</v>
      </c>
      <c r="F37" s="107">
        <f>D37*F5</f>
        <v>44928</v>
      </c>
      <c r="G37" s="80">
        <v>284251</v>
      </c>
      <c r="H37" s="107">
        <f t="shared" ref="H37" si="644">(+G37-+G36)*48</f>
        <v>1632</v>
      </c>
      <c r="I37" s="80">
        <v>136409</v>
      </c>
      <c r="J37" s="38">
        <f t="shared" ref="J37" si="645">(+I37-+I36)*48</f>
        <v>8352</v>
      </c>
      <c r="K37" s="80">
        <v>260087</v>
      </c>
      <c r="L37" s="107">
        <f t="shared" ref="L37" si="646">(+K37-+K36)*48</f>
        <v>336</v>
      </c>
      <c r="M37" s="80">
        <v>24795</v>
      </c>
      <c r="N37" s="38">
        <f t="shared" ref="N37" si="647">(+M37-+M36)*48</f>
        <v>0</v>
      </c>
      <c r="O37" s="80">
        <v>276638</v>
      </c>
      <c r="P37" s="38">
        <f t="shared" ref="P37" si="648">(+O37-+O36)*48</f>
        <v>9936</v>
      </c>
      <c r="Q37" s="80">
        <v>454326</v>
      </c>
      <c r="R37" s="107">
        <f t="shared" ref="R37" si="649">(+Q37-+Q36)*48</f>
        <v>4464</v>
      </c>
      <c r="S37" s="80">
        <v>731492</v>
      </c>
      <c r="T37" s="107">
        <f t="shared" ref="T37" si="650">(+S37-+S36)*48</f>
        <v>4992</v>
      </c>
      <c r="U37" s="80">
        <v>930.202</v>
      </c>
      <c r="V37" s="107">
        <f t="shared" ref="V37" si="651">(+U37-+U36)*48</f>
        <v>105.69599999999991</v>
      </c>
      <c r="W37" s="80">
        <v>81639</v>
      </c>
      <c r="X37" s="107">
        <f t="shared" ref="X37" si="652">(+W37-+W36)*48</f>
        <v>1008</v>
      </c>
      <c r="Y37" s="80">
        <v>1499604</v>
      </c>
      <c r="Z37" s="107">
        <f t="shared" ref="Z37" si="653">(+Y37-+Y36)*48</f>
        <v>0</v>
      </c>
      <c r="AA37" s="80">
        <v>13264</v>
      </c>
      <c r="AB37" s="107">
        <f t="shared" ref="AB37" si="654">(+AA37-+AA36)*48</f>
        <v>0</v>
      </c>
      <c r="AC37" s="80">
        <v>463812</v>
      </c>
      <c r="AD37" s="107">
        <f t="shared" ref="AD37" si="655">(+AC37-+AC36)*48</f>
        <v>6192</v>
      </c>
      <c r="AE37" s="80">
        <v>537035</v>
      </c>
      <c r="AF37" s="107">
        <f t="shared" ref="AF37" si="656">(+AE37-+AE36)*48</f>
        <v>7104</v>
      </c>
      <c r="AG37" s="80">
        <v>49779</v>
      </c>
      <c r="AH37" s="107">
        <f t="shared" ref="AH37" si="657">(+AG37-+AG36)*48</f>
        <v>0</v>
      </c>
      <c r="AI37" s="80">
        <v>421468</v>
      </c>
      <c r="AJ37" s="107">
        <f t="shared" ref="AJ37" si="658">(+AI37-+AI36)*48</f>
        <v>2976</v>
      </c>
      <c r="AK37" s="80">
        <v>102770</v>
      </c>
      <c r="AL37" s="107">
        <f t="shared" ref="AL37" si="659">(+AK37-+AK36)*48</f>
        <v>0</v>
      </c>
      <c r="AM37" s="80">
        <v>581041</v>
      </c>
      <c r="AN37" s="107">
        <f t="shared" ref="AN37" si="660">(+AM37-+AM36)*48</f>
        <v>4800</v>
      </c>
      <c r="AO37" s="80">
        <v>942110</v>
      </c>
      <c r="AP37" s="107">
        <f t="shared" ref="AP37" si="661">(+AO37-+AO36)*48</f>
        <v>9216</v>
      </c>
      <c r="AQ37" s="80">
        <v>77874</v>
      </c>
      <c r="AR37" s="107">
        <f t="shared" ref="AR37" si="662">(+AQ37-+AQ36)*48</f>
        <v>0</v>
      </c>
      <c r="AS37" s="80">
        <v>2262</v>
      </c>
      <c r="AT37" s="107">
        <f t="shared" ref="AT37" si="663">(+AS37-+AS36)*48</f>
        <v>0</v>
      </c>
      <c r="AU37" s="80">
        <v>939</v>
      </c>
      <c r="AV37" s="107">
        <f t="shared" ref="AV37" si="664">(+AU37-+AU36)*48</f>
        <v>0</v>
      </c>
      <c r="AW37" s="80">
        <v>3109</v>
      </c>
      <c r="AX37" s="107">
        <f t="shared" ref="AX37" si="665">(+AW37-+AW36)*48</f>
        <v>0</v>
      </c>
      <c r="AY37" s="80">
        <v>321218</v>
      </c>
      <c r="AZ37" s="107">
        <f t="shared" ref="AZ37" si="666">(+AY37-+AY36)*48</f>
        <v>3024</v>
      </c>
      <c r="BA37" s="80">
        <v>161101</v>
      </c>
      <c r="BB37" s="107">
        <f t="shared" ref="BB37" si="667">(+BA37-+BA36)*48</f>
        <v>0</v>
      </c>
      <c r="BC37" s="80">
        <v>218927</v>
      </c>
      <c r="BD37" s="107">
        <f t="shared" ref="BD37" si="668">(+BC37-+BC36)*48</f>
        <v>1584</v>
      </c>
      <c r="BE37" s="80">
        <v>5347</v>
      </c>
      <c r="BF37" s="107">
        <f t="shared" ref="BF37" si="669">(+BE37-+BE36)*48</f>
        <v>0</v>
      </c>
      <c r="BH37" s="108">
        <f t="shared" ref="BH37:BH38" si="670">SUM(E37,J37,P37,H37,L37,R37,T37,V37,X37,N37,AB37,Z37,AD37,AF37,AH37,AL37,AJ37)</f>
        <v>102009.696</v>
      </c>
      <c r="BI37" s="108">
        <f t="shared" ref="BI37:BI38" si="671">SUM(F37,AN37,AP37,AT37,AV37,AX37,AR37,AZ37,BB37,BD37,BF37)</f>
        <v>63552</v>
      </c>
    </row>
    <row r="38" spans="1:61" s="36" customFormat="1" ht="39.950000000000003" customHeight="1">
      <c r="A38" s="147">
        <v>44407</v>
      </c>
      <c r="B38" s="35"/>
      <c r="C38" s="80">
        <v>6194506</v>
      </c>
      <c r="D38" s="107">
        <f t="shared" ref="D38" si="672">(+C38-+C37)*48</f>
        <v>101712</v>
      </c>
      <c r="E38" s="107">
        <f>D38*E5</f>
        <v>55941.600000000006</v>
      </c>
      <c r="F38" s="107">
        <f>D38*F5</f>
        <v>45770.400000000001</v>
      </c>
      <c r="G38" s="80">
        <v>284294</v>
      </c>
      <c r="H38" s="107">
        <f t="shared" si="620"/>
        <v>2064</v>
      </c>
      <c r="I38" s="80">
        <v>136579</v>
      </c>
      <c r="J38" s="38">
        <f t="shared" si="621"/>
        <v>8160</v>
      </c>
      <c r="K38" s="80">
        <v>260108</v>
      </c>
      <c r="L38" s="107">
        <f t="shared" si="0"/>
        <v>1008</v>
      </c>
      <c r="M38" s="80">
        <v>24795</v>
      </c>
      <c r="N38" s="38">
        <f t="shared" si="622"/>
        <v>0</v>
      </c>
      <c r="O38" s="80">
        <v>276833</v>
      </c>
      <c r="P38" s="38">
        <f t="shared" si="623"/>
        <v>9360</v>
      </c>
      <c r="Q38" s="80">
        <v>454408</v>
      </c>
      <c r="R38" s="107">
        <f t="shared" si="624"/>
        <v>3936</v>
      </c>
      <c r="S38" s="80">
        <v>731602</v>
      </c>
      <c r="T38" s="107">
        <f t="shared" si="625"/>
        <v>5280</v>
      </c>
      <c r="U38" s="80">
        <v>975.38099999999997</v>
      </c>
      <c r="V38" s="107">
        <f t="shared" si="626"/>
        <v>2168.5919999999987</v>
      </c>
      <c r="W38" s="80">
        <v>81664</v>
      </c>
      <c r="X38" s="107">
        <f t="shared" si="627"/>
        <v>1200</v>
      </c>
      <c r="Y38" s="80">
        <v>1499604</v>
      </c>
      <c r="Z38" s="107">
        <f t="shared" si="628"/>
        <v>0</v>
      </c>
      <c r="AA38" s="80">
        <v>13264</v>
      </c>
      <c r="AB38" s="107">
        <f t="shared" si="629"/>
        <v>0</v>
      </c>
      <c r="AC38" s="80">
        <v>463883</v>
      </c>
      <c r="AD38" s="107">
        <f t="shared" ref="AD38:AD39" si="673">(+AC38-+AC37)*48</f>
        <v>3408</v>
      </c>
      <c r="AE38" s="80">
        <v>537199</v>
      </c>
      <c r="AF38" s="107">
        <f t="shared" ref="AF38:AF39" si="674">(+AE38-+AE37)*48</f>
        <v>7872</v>
      </c>
      <c r="AG38" s="80">
        <v>49779</v>
      </c>
      <c r="AH38" s="107">
        <f t="shared" si="630"/>
        <v>0</v>
      </c>
      <c r="AI38" s="80">
        <v>421557</v>
      </c>
      <c r="AJ38" s="107">
        <f t="shared" si="631"/>
        <v>4272</v>
      </c>
      <c r="AK38" s="80">
        <v>102770</v>
      </c>
      <c r="AL38" s="107">
        <f t="shared" si="632"/>
        <v>0</v>
      </c>
      <c r="AM38" s="80">
        <v>581105</v>
      </c>
      <c r="AN38" s="107">
        <f t="shared" si="633"/>
        <v>3072</v>
      </c>
      <c r="AO38" s="80">
        <v>942323</v>
      </c>
      <c r="AP38" s="107">
        <f t="shared" si="634"/>
        <v>10224</v>
      </c>
      <c r="AQ38" s="80">
        <v>77874</v>
      </c>
      <c r="AR38" s="107">
        <f t="shared" si="635"/>
        <v>0</v>
      </c>
      <c r="AS38" s="80">
        <v>2262</v>
      </c>
      <c r="AT38" s="107">
        <f t="shared" si="636"/>
        <v>0</v>
      </c>
      <c r="AU38" s="80">
        <v>939</v>
      </c>
      <c r="AV38" s="107">
        <f t="shared" si="637"/>
        <v>0</v>
      </c>
      <c r="AW38" s="80">
        <v>3109</v>
      </c>
      <c r="AX38" s="107">
        <f t="shared" si="638"/>
        <v>0</v>
      </c>
      <c r="AY38" s="80">
        <v>321283</v>
      </c>
      <c r="AZ38" s="107">
        <f t="shared" si="639"/>
        <v>3120</v>
      </c>
      <c r="BA38" s="80">
        <v>161101</v>
      </c>
      <c r="BB38" s="107">
        <f t="shared" si="640"/>
        <v>0</v>
      </c>
      <c r="BC38" s="80">
        <v>218958</v>
      </c>
      <c r="BD38" s="107">
        <f t="shared" si="641"/>
        <v>1488</v>
      </c>
      <c r="BE38" s="80">
        <v>5347</v>
      </c>
      <c r="BF38" s="107">
        <f t="shared" si="642"/>
        <v>0</v>
      </c>
      <c r="BH38" s="108">
        <f t="shared" si="670"/>
        <v>104670.19200000001</v>
      </c>
      <c r="BI38" s="108">
        <f t="shared" si="671"/>
        <v>63674.400000000001</v>
      </c>
    </row>
    <row r="39" spans="1:61" s="36" customFormat="1" ht="39.950000000000003" customHeight="1">
      <c r="A39" s="147">
        <v>44408</v>
      </c>
      <c r="B39" s="35"/>
      <c r="C39" s="79">
        <v>6196596</v>
      </c>
      <c r="D39" s="107">
        <f t="shared" ref="D39" si="675">(+C39-+C38)*48</f>
        <v>100320</v>
      </c>
      <c r="E39" s="107">
        <f>D39*E5</f>
        <v>55176.000000000007</v>
      </c>
      <c r="F39" s="107">
        <f>D39*F5</f>
        <v>45144</v>
      </c>
      <c r="G39" s="79">
        <v>284347</v>
      </c>
      <c r="H39" s="107">
        <f t="shared" si="620"/>
        <v>2544</v>
      </c>
      <c r="I39" s="79">
        <v>136757</v>
      </c>
      <c r="J39" s="107">
        <f t="shared" si="620"/>
        <v>8544</v>
      </c>
      <c r="K39" s="79">
        <v>260179</v>
      </c>
      <c r="L39" s="107">
        <f t="shared" si="620"/>
        <v>3408</v>
      </c>
      <c r="M39" s="79">
        <v>24795</v>
      </c>
      <c r="N39" s="107">
        <f t="shared" si="620"/>
        <v>0</v>
      </c>
      <c r="O39" s="79">
        <v>277040</v>
      </c>
      <c r="P39" s="38">
        <f t="shared" si="623"/>
        <v>9936</v>
      </c>
      <c r="Q39" s="79">
        <v>454510</v>
      </c>
      <c r="R39" s="107">
        <f t="shared" si="624"/>
        <v>4896</v>
      </c>
      <c r="S39" s="79">
        <v>731728</v>
      </c>
      <c r="T39" s="107">
        <f t="shared" si="624"/>
        <v>6048</v>
      </c>
      <c r="U39" s="79">
        <v>993.04600000000005</v>
      </c>
      <c r="V39" s="107">
        <f t="shared" si="624"/>
        <v>847.92000000000371</v>
      </c>
      <c r="W39" s="79">
        <v>81690</v>
      </c>
      <c r="X39" s="107">
        <f t="shared" si="624"/>
        <v>1248</v>
      </c>
      <c r="Y39" s="79">
        <v>1499604</v>
      </c>
      <c r="Z39" s="107">
        <f t="shared" si="628"/>
        <v>0</v>
      </c>
      <c r="AA39" s="79">
        <v>13264</v>
      </c>
      <c r="AB39" s="107">
        <f t="shared" si="629"/>
        <v>0</v>
      </c>
      <c r="AC39" s="79">
        <v>463935</v>
      </c>
      <c r="AD39" s="107">
        <f t="shared" si="673"/>
        <v>2496</v>
      </c>
      <c r="AE39" s="79">
        <v>537363</v>
      </c>
      <c r="AF39" s="107">
        <f t="shared" si="674"/>
        <v>7872</v>
      </c>
      <c r="AG39" s="79">
        <v>49779</v>
      </c>
      <c r="AH39" s="107">
        <f t="shared" si="630"/>
        <v>0</v>
      </c>
      <c r="AI39" s="79">
        <v>421627</v>
      </c>
      <c r="AJ39" s="107">
        <f t="shared" si="631"/>
        <v>3360</v>
      </c>
      <c r="AK39" s="80">
        <v>102770</v>
      </c>
      <c r="AL39" s="107">
        <f t="shared" si="632"/>
        <v>0</v>
      </c>
      <c r="AM39" s="79">
        <v>581244</v>
      </c>
      <c r="AN39" s="107">
        <f t="shared" si="633"/>
        <v>6672</v>
      </c>
      <c r="AO39" s="79">
        <v>942501</v>
      </c>
      <c r="AP39" s="107">
        <f t="shared" si="634"/>
        <v>8544</v>
      </c>
      <c r="AQ39" s="80">
        <v>77874</v>
      </c>
      <c r="AR39" s="107">
        <f t="shared" si="635"/>
        <v>0</v>
      </c>
      <c r="AS39" s="80">
        <v>2262</v>
      </c>
      <c r="AT39" s="107">
        <f t="shared" si="636"/>
        <v>0</v>
      </c>
      <c r="AU39" s="80">
        <v>939</v>
      </c>
      <c r="AV39" s="107">
        <f t="shared" si="637"/>
        <v>0</v>
      </c>
      <c r="AW39" s="80">
        <v>3109</v>
      </c>
      <c r="AX39" s="107">
        <f t="shared" si="638"/>
        <v>0</v>
      </c>
      <c r="AY39" s="79">
        <v>321346</v>
      </c>
      <c r="AZ39" s="107">
        <f t="shared" si="639"/>
        <v>3024</v>
      </c>
      <c r="BA39" s="80">
        <v>161101</v>
      </c>
      <c r="BB39" s="107">
        <f t="shared" si="640"/>
        <v>0</v>
      </c>
      <c r="BC39" s="79">
        <v>218989</v>
      </c>
      <c r="BD39" s="107">
        <f t="shared" si="641"/>
        <v>1488</v>
      </c>
      <c r="BE39" s="80">
        <v>5347</v>
      </c>
      <c r="BF39" s="107">
        <f t="shared" si="642"/>
        <v>0</v>
      </c>
      <c r="BH39" s="108">
        <f t="shared" ref="BH39" si="676">SUM(E39,J39,P39,H39,L39,R39,T39,V39,X39,N39,AB39,Z39,AD39,AF39,AH39,AL39,AJ39)</f>
        <v>106375.92</v>
      </c>
      <c r="BI39" s="108">
        <f t="shared" ref="BI39" si="677">SUM(F39,AN39,AP39,AT39,AV39,AX39,AR39,AZ39,BB39,BD39,BF39)</f>
        <v>64872</v>
      </c>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3" t="s">
        <v>197</v>
      </c>
      <c r="C1" s="263"/>
      <c r="D1" s="263" t="s">
        <v>197</v>
      </c>
      <c r="E1" s="263"/>
      <c r="F1" s="263" t="s">
        <v>197</v>
      </c>
      <c r="G1" s="263"/>
      <c r="H1" s="263" t="s">
        <v>198</v>
      </c>
      <c r="I1" s="263"/>
      <c r="J1" s="260"/>
      <c r="K1" s="260"/>
      <c r="L1" s="263" t="s">
        <v>199</v>
      </c>
      <c r="M1" s="263"/>
      <c r="N1" s="263" t="s">
        <v>199</v>
      </c>
      <c r="O1" s="263"/>
      <c r="P1" s="263" t="s">
        <v>199</v>
      </c>
      <c r="Q1" s="263"/>
      <c r="R1" s="263" t="s">
        <v>199</v>
      </c>
      <c r="S1" s="263"/>
      <c r="T1" s="263" t="s">
        <v>200</v>
      </c>
      <c r="U1" s="263"/>
      <c r="V1" s="271" t="s">
        <v>200</v>
      </c>
      <c r="W1" s="271"/>
      <c r="X1" s="263" t="s">
        <v>200</v>
      </c>
      <c r="Y1" s="263"/>
      <c r="Z1" s="263" t="s">
        <v>200</v>
      </c>
      <c r="AA1" s="263"/>
      <c r="AB1" s="260"/>
      <c r="AC1" s="260"/>
      <c r="AD1" s="263" t="s">
        <v>200</v>
      </c>
      <c r="AE1" s="263"/>
      <c r="AF1" s="263" t="s">
        <v>200</v>
      </c>
      <c r="AG1" s="263"/>
      <c r="AH1" s="263" t="s">
        <v>201</v>
      </c>
      <c r="AI1" s="263"/>
      <c r="AJ1" s="263" t="s">
        <v>201</v>
      </c>
      <c r="AK1" s="263"/>
      <c r="AL1" s="272" t="s">
        <v>201</v>
      </c>
      <c r="AM1" s="272"/>
      <c r="AN1" s="263" t="s">
        <v>201</v>
      </c>
      <c r="AO1" s="263"/>
      <c r="AP1" s="260" t="s">
        <v>201</v>
      </c>
      <c r="AQ1" s="260"/>
      <c r="AR1" s="272" t="s">
        <v>201</v>
      </c>
      <c r="AS1" s="272"/>
      <c r="AT1" s="263" t="s">
        <v>201</v>
      </c>
      <c r="AU1" s="263"/>
      <c r="AV1" s="260"/>
      <c r="AW1" s="260"/>
      <c r="AX1" s="263" t="s">
        <v>201</v>
      </c>
      <c r="AY1" s="263"/>
      <c r="AZ1" s="263" t="s">
        <v>201</v>
      </c>
      <c r="BA1" s="263"/>
      <c r="BB1" s="263" t="s">
        <v>201</v>
      </c>
      <c r="BC1" s="263"/>
      <c r="BD1" s="263" t="s">
        <v>202</v>
      </c>
      <c r="BE1" s="263"/>
      <c r="BF1" s="263" t="s">
        <v>202</v>
      </c>
      <c r="BG1" s="263"/>
      <c r="BH1" s="263" t="s">
        <v>202</v>
      </c>
      <c r="BI1" s="263"/>
      <c r="BJ1" s="263" t="s">
        <v>202</v>
      </c>
      <c r="BK1" s="263"/>
      <c r="BL1" s="263" t="s">
        <v>202</v>
      </c>
      <c r="BM1" s="263"/>
      <c r="BN1" s="263" t="s">
        <v>202</v>
      </c>
      <c r="BO1" s="263"/>
      <c r="BP1" s="263" t="s">
        <v>202</v>
      </c>
      <c r="BQ1" s="263"/>
      <c r="BR1" s="263" t="s">
        <v>202</v>
      </c>
      <c r="BS1" s="263"/>
      <c r="BT1" s="263" t="s">
        <v>202</v>
      </c>
      <c r="BU1" s="263"/>
      <c r="BV1" s="263" t="s">
        <v>202</v>
      </c>
      <c r="BW1" s="263"/>
      <c r="BX1" s="263" t="s">
        <v>202</v>
      </c>
      <c r="BY1" s="263"/>
      <c r="BZ1" s="263" t="s">
        <v>203</v>
      </c>
      <c r="CA1" s="263"/>
      <c r="CB1" s="271" t="s">
        <v>203</v>
      </c>
      <c r="CC1" s="271"/>
      <c r="CD1" s="263" t="s">
        <v>203</v>
      </c>
      <c r="CE1" s="263"/>
      <c r="CF1" s="263" t="s">
        <v>203</v>
      </c>
      <c r="CG1" s="263"/>
      <c r="CH1" s="263" t="s">
        <v>204</v>
      </c>
      <c r="CI1" s="263"/>
      <c r="CJ1" s="263" t="s">
        <v>204</v>
      </c>
      <c r="CK1" s="263"/>
      <c r="CL1" s="263" t="s">
        <v>204</v>
      </c>
      <c r="CM1" s="263"/>
      <c r="CN1" s="263" t="s">
        <v>205</v>
      </c>
      <c r="CO1" s="263"/>
      <c r="CP1" s="263" t="s">
        <v>205</v>
      </c>
      <c r="CQ1" s="263"/>
      <c r="CR1" s="271" t="s">
        <v>205</v>
      </c>
      <c r="CS1" s="271"/>
      <c r="CT1" s="263" t="s">
        <v>205</v>
      </c>
      <c r="CU1" s="263"/>
      <c r="CV1" s="263" t="s">
        <v>205</v>
      </c>
      <c r="CW1" s="263"/>
      <c r="CX1" s="263" t="s">
        <v>205</v>
      </c>
      <c r="CY1" s="263"/>
      <c r="CZ1" s="263" t="s">
        <v>205</v>
      </c>
      <c r="DA1" s="263"/>
      <c r="DB1" s="263" t="s">
        <v>205</v>
      </c>
      <c r="DC1" s="263"/>
      <c r="DD1" s="263" t="s">
        <v>205</v>
      </c>
      <c r="DE1" s="263"/>
      <c r="DF1" s="263" t="s">
        <v>205</v>
      </c>
      <c r="DG1" s="263"/>
      <c r="DH1" s="263" t="s">
        <v>205</v>
      </c>
      <c r="DI1" s="263"/>
      <c r="DJ1" s="260" t="s">
        <v>205</v>
      </c>
      <c r="DK1" s="260"/>
      <c r="DL1" s="263" t="s">
        <v>206</v>
      </c>
      <c r="DM1" s="263"/>
      <c r="DN1" s="263" t="s">
        <v>206</v>
      </c>
      <c r="DO1" s="263"/>
      <c r="DP1" s="263" t="s">
        <v>206</v>
      </c>
      <c r="DQ1" s="263"/>
      <c r="DR1" s="263" t="s">
        <v>206</v>
      </c>
      <c r="DS1" s="263"/>
      <c r="DT1" s="263" t="s">
        <v>206</v>
      </c>
      <c r="DU1" s="263"/>
      <c r="DV1" s="263" t="s">
        <v>206</v>
      </c>
      <c r="DW1" s="263"/>
      <c r="DX1" s="263" t="s">
        <v>207</v>
      </c>
      <c r="DY1" s="263"/>
      <c r="DZ1" s="263" t="s">
        <v>207</v>
      </c>
      <c r="EA1" s="263"/>
      <c r="EB1" s="263" t="s">
        <v>207</v>
      </c>
      <c r="EC1" s="263"/>
      <c r="ED1" s="263" t="s">
        <v>207</v>
      </c>
      <c r="EE1" s="263"/>
      <c r="EF1" s="263" t="s">
        <v>207</v>
      </c>
      <c r="EG1" s="263"/>
      <c r="EH1" s="263" t="s">
        <v>207</v>
      </c>
      <c r="EI1" s="263"/>
      <c r="EJ1" s="263" t="s">
        <v>207</v>
      </c>
      <c r="EK1" s="263"/>
      <c r="EL1" s="263" t="s">
        <v>208</v>
      </c>
      <c r="EM1" s="263"/>
      <c r="EN1" s="263" t="s">
        <v>208</v>
      </c>
      <c r="EO1" s="263"/>
      <c r="EP1" s="263" t="s">
        <v>208</v>
      </c>
      <c r="EQ1" s="263"/>
      <c r="ER1" s="263" t="s">
        <v>209</v>
      </c>
      <c r="ES1" s="263"/>
      <c r="ET1" s="263" t="s">
        <v>209</v>
      </c>
      <c r="EU1" s="263"/>
      <c r="EV1" s="263" t="s">
        <v>209</v>
      </c>
      <c r="EW1" s="263"/>
      <c r="EX1" s="263" t="s">
        <v>210</v>
      </c>
      <c r="EY1" s="263"/>
      <c r="EZ1" s="263" t="s">
        <v>211</v>
      </c>
      <c r="FA1" s="263"/>
      <c r="FB1" s="263" t="s">
        <v>211</v>
      </c>
      <c r="FC1" s="263"/>
      <c r="FD1" s="263" t="s">
        <v>211</v>
      </c>
      <c r="FE1" s="263"/>
      <c r="FF1" s="263" t="s">
        <v>212</v>
      </c>
      <c r="FG1" s="263"/>
      <c r="FH1" s="263" t="s">
        <v>212</v>
      </c>
      <c r="FI1" s="263"/>
      <c r="FJ1" s="263" t="s">
        <v>212</v>
      </c>
      <c r="FK1" s="263"/>
      <c r="FL1" s="260" t="s">
        <v>212</v>
      </c>
      <c r="FM1" s="260"/>
    </row>
    <row r="2" spans="1:169" s="24" customFormat="1" ht="49.5" customHeight="1">
      <c r="B2" s="263" t="s">
        <v>213</v>
      </c>
      <c r="C2" s="263"/>
      <c r="D2" s="263" t="s">
        <v>214</v>
      </c>
      <c r="E2" s="263"/>
      <c r="F2" s="263" t="s">
        <v>213</v>
      </c>
      <c r="G2" s="263"/>
      <c r="H2" s="263" t="s">
        <v>214</v>
      </c>
      <c r="I2" s="263"/>
      <c r="J2" s="263" t="s">
        <v>214</v>
      </c>
      <c r="K2" s="263"/>
      <c r="L2" s="263" t="s">
        <v>213</v>
      </c>
      <c r="M2" s="263"/>
      <c r="N2" s="263" t="s">
        <v>213</v>
      </c>
      <c r="O2" s="263"/>
      <c r="P2" s="263" t="s">
        <v>214</v>
      </c>
      <c r="Q2" s="263"/>
      <c r="R2" s="263" t="s">
        <v>214</v>
      </c>
      <c r="S2" s="263"/>
      <c r="T2" s="263" t="s">
        <v>213</v>
      </c>
      <c r="U2" s="263"/>
      <c r="V2" s="263" t="s">
        <v>214</v>
      </c>
      <c r="W2" s="263"/>
      <c r="X2" s="263" t="s">
        <v>214</v>
      </c>
      <c r="Y2" s="263"/>
      <c r="Z2" s="263" t="s">
        <v>214</v>
      </c>
      <c r="AA2" s="263"/>
      <c r="AB2" s="260" t="s">
        <v>214</v>
      </c>
      <c r="AC2" s="260"/>
      <c r="AD2" s="263" t="s">
        <v>213</v>
      </c>
      <c r="AE2" s="263"/>
      <c r="AF2" s="263" t="s">
        <v>214</v>
      </c>
      <c r="AG2" s="263"/>
      <c r="AH2" s="263" t="s">
        <v>214</v>
      </c>
      <c r="AI2" s="263"/>
      <c r="AJ2" s="263" t="s">
        <v>214</v>
      </c>
      <c r="AK2" s="263"/>
      <c r="AL2" s="263" t="s">
        <v>214</v>
      </c>
      <c r="AM2" s="263"/>
      <c r="AN2" s="263" t="s">
        <v>214</v>
      </c>
      <c r="AO2" s="263"/>
      <c r="AP2" s="260" t="s">
        <v>214</v>
      </c>
      <c r="AQ2" s="260"/>
      <c r="AR2" s="263" t="s">
        <v>214</v>
      </c>
      <c r="AS2" s="263"/>
      <c r="AT2" s="263" t="s">
        <v>214</v>
      </c>
      <c r="AU2" s="263"/>
      <c r="AV2" s="260" t="s">
        <v>214</v>
      </c>
      <c r="AW2" s="260"/>
      <c r="AX2" s="263" t="s">
        <v>214</v>
      </c>
      <c r="AY2" s="263"/>
      <c r="AZ2" s="263" t="s">
        <v>214</v>
      </c>
      <c r="BA2" s="263"/>
      <c r="BB2" s="263" t="s">
        <v>214</v>
      </c>
      <c r="BC2" s="263"/>
      <c r="BD2" s="263" t="s">
        <v>213</v>
      </c>
      <c r="BE2" s="263"/>
      <c r="BF2" s="263" t="s">
        <v>215</v>
      </c>
      <c r="BG2" s="263"/>
      <c r="BH2" s="263" t="s">
        <v>214</v>
      </c>
      <c r="BI2" s="263"/>
      <c r="BJ2" s="263" t="s">
        <v>214</v>
      </c>
      <c r="BK2" s="263"/>
      <c r="BL2" s="263" t="s">
        <v>214</v>
      </c>
      <c r="BM2" s="263"/>
      <c r="BN2" s="263" t="s">
        <v>214</v>
      </c>
      <c r="BO2" s="263"/>
      <c r="BP2" s="263" t="s">
        <v>214</v>
      </c>
      <c r="BQ2" s="263"/>
      <c r="BR2" s="263" t="s">
        <v>214</v>
      </c>
      <c r="BS2" s="263"/>
      <c r="BT2" s="263" t="s">
        <v>214</v>
      </c>
      <c r="BU2" s="263"/>
      <c r="BV2" s="263" t="s">
        <v>214</v>
      </c>
      <c r="BW2" s="263"/>
      <c r="BX2" s="263" t="s">
        <v>214</v>
      </c>
      <c r="BY2" s="263"/>
      <c r="BZ2" s="263" t="s">
        <v>213</v>
      </c>
      <c r="CA2" s="263"/>
      <c r="CB2" s="263" t="s">
        <v>213</v>
      </c>
      <c r="CC2" s="263"/>
      <c r="CD2" s="263" t="s">
        <v>213</v>
      </c>
      <c r="CE2" s="263"/>
      <c r="CF2" s="263" t="s">
        <v>213</v>
      </c>
      <c r="CG2" s="263"/>
      <c r="CH2" s="263" t="s">
        <v>214</v>
      </c>
      <c r="CI2" s="263"/>
      <c r="CJ2" s="263" t="s">
        <v>214</v>
      </c>
      <c r="CK2" s="263"/>
      <c r="CL2" s="263" t="s">
        <v>214</v>
      </c>
      <c r="CM2" s="263"/>
      <c r="CN2" s="263" t="s">
        <v>213</v>
      </c>
      <c r="CO2" s="263"/>
      <c r="CP2" s="263" t="s">
        <v>214</v>
      </c>
      <c r="CQ2" s="263"/>
      <c r="CR2" s="263" t="s">
        <v>214</v>
      </c>
      <c r="CS2" s="263"/>
      <c r="CT2" s="263" t="s">
        <v>214</v>
      </c>
      <c r="CU2" s="263"/>
      <c r="CV2" s="263" t="s">
        <v>214</v>
      </c>
      <c r="CW2" s="263"/>
      <c r="CX2" s="263" t="s">
        <v>214</v>
      </c>
      <c r="CY2" s="263"/>
      <c r="CZ2" s="263" t="s">
        <v>214</v>
      </c>
      <c r="DA2" s="263"/>
      <c r="DB2" s="263" t="s">
        <v>213</v>
      </c>
      <c r="DC2" s="263"/>
      <c r="DD2" s="263" t="s">
        <v>214</v>
      </c>
      <c r="DE2" s="263"/>
      <c r="DF2" s="263" t="s">
        <v>214</v>
      </c>
      <c r="DG2" s="263"/>
      <c r="DH2" s="263" t="s">
        <v>214</v>
      </c>
      <c r="DI2" s="263"/>
      <c r="DJ2" s="260" t="s">
        <v>214</v>
      </c>
      <c r="DK2" s="260"/>
      <c r="DL2" s="263" t="s">
        <v>214</v>
      </c>
      <c r="DM2" s="263"/>
      <c r="DN2" s="263" t="s">
        <v>214</v>
      </c>
      <c r="DO2" s="263"/>
      <c r="DP2" s="263" t="s">
        <v>214</v>
      </c>
      <c r="DQ2" s="263"/>
      <c r="DR2" s="263" t="s">
        <v>214</v>
      </c>
      <c r="DS2" s="263"/>
      <c r="DT2" s="263" t="s">
        <v>214</v>
      </c>
      <c r="DU2" s="263"/>
      <c r="DV2" s="263" t="s">
        <v>214</v>
      </c>
      <c r="DW2" s="263"/>
      <c r="DX2" s="263" t="s">
        <v>214</v>
      </c>
      <c r="DY2" s="263"/>
      <c r="DZ2" s="263" t="s">
        <v>214</v>
      </c>
      <c r="EA2" s="263"/>
      <c r="EB2" s="263" t="s">
        <v>214</v>
      </c>
      <c r="EC2" s="263"/>
      <c r="ED2" s="263" t="s">
        <v>214</v>
      </c>
      <c r="EE2" s="263"/>
      <c r="EF2" s="263" t="s">
        <v>214</v>
      </c>
      <c r="EG2" s="263"/>
      <c r="EH2" s="263" t="s">
        <v>214</v>
      </c>
      <c r="EI2" s="263"/>
      <c r="EJ2" s="263" t="s">
        <v>214</v>
      </c>
      <c r="EK2" s="263"/>
      <c r="EL2" s="263" t="s">
        <v>214</v>
      </c>
      <c r="EM2" s="263"/>
      <c r="EN2" s="263" t="s">
        <v>214</v>
      </c>
      <c r="EO2" s="263"/>
      <c r="EP2" s="263" t="s">
        <v>214</v>
      </c>
      <c r="EQ2" s="263"/>
      <c r="ER2" s="263" t="s">
        <v>214</v>
      </c>
      <c r="ES2" s="263"/>
      <c r="ET2" s="263" t="s">
        <v>214</v>
      </c>
      <c r="EU2" s="263"/>
      <c r="EV2" s="263" t="s">
        <v>214</v>
      </c>
      <c r="EW2" s="263"/>
      <c r="EX2" s="263" t="s">
        <v>214</v>
      </c>
      <c r="EY2" s="263"/>
      <c r="EZ2" s="263" t="s">
        <v>214</v>
      </c>
      <c r="FA2" s="263"/>
      <c r="FB2" s="263" t="s">
        <v>214</v>
      </c>
      <c r="FC2" s="263"/>
      <c r="FD2" s="263" t="s">
        <v>214</v>
      </c>
      <c r="FE2" s="263"/>
      <c r="FF2" s="263" t="s">
        <v>214</v>
      </c>
      <c r="FG2" s="263"/>
      <c r="FH2" s="263" t="s">
        <v>214</v>
      </c>
      <c r="FI2" s="263"/>
      <c r="FJ2" s="263" t="s">
        <v>214</v>
      </c>
      <c r="FK2" s="263"/>
      <c r="FL2" s="260" t="s">
        <v>214</v>
      </c>
      <c r="FM2" s="260"/>
    </row>
    <row r="3" spans="1:169" s="24" customFormat="1" ht="49.5" customHeight="1">
      <c r="B3" s="212" t="s">
        <v>67</v>
      </c>
      <c r="C3" s="213"/>
      <c r="D3" s="212" t="s">
        <v>216</v>
      </c>
      <c r="E3" s="213"/>
      <c r="F3" s="212"/>
      <c r="G3" s="213"/>
      <c r="H3" s="212" t="s">
        <v>216</v>
      </c>
      <c r="I3" s="213"/>
      <c r="J3" s="212" t="s">
        <v>216</v>
      </c>
      <c r="K3" s="213"/>
      <c r="L3" s="212"/>
      <c r="M3" s="213"/>
      <c r="N3" s="212"/>
      <c r="O3" s="213"/>
      <c r="P3" s="212" t="s">
        <v>216</v>
      </c>
      <c r="Q3" s="213"/>
      <c r="R3" s="212" t="s">
        <v>216</v>
      </c>
      <c r="S3" s="213"/>
      <c r="T3" s="212"/>
      <c r="U3" s="213"/>
      <c r="V3" s="212" t="s">
        <v>217</v>
      </c>
      <c r="W3" s="213"/>
      <c r="X3" s="212" t="s">
        <v>217</v>
      </c>
      <c r="Y3" s="213"/>
      <c r="Z3" s="212" t="s">
        <v>217</v>
      </c>
      <c r="AA3" s="213"/>
      <c r="AB3" s="269" t="s">
        <v>217</v>
      </c>
      <c r="AC3" s="270"/>
      <c r="AD3" s="212"/>
      <c r="AE3" s="213"/>
      <c r="AF3" s="212" t="s">
        <v>217</v>
      </c>
      <c r="AG3" s="213"/>
      <c r="AH3" s="212" t="s">
        <v>216</v>
      </c>
      <c r="AI3" s="213"/>
      <c r="AJ3" s="212" t="s">
        <v>216</v>
      </c>
      <c r="AK3" s="213"/>
      <c r="AL3" s="212" t="s">
        <v>216</v>
      </c>
      <c r="AM3" s="213"/>
      <c r="AN3" s="212" t="s">
        <v>216</v>
      </c>
      <c r="AO3" s="213"/>
      <c r="AP3" s="269" t="s">
        <v>216</v>
      </c>
      <c r="AQ3" s="270"/>
      <c r="AR3" s="212" t="s">
        <v>216</v>
      </c>
      <c r="AS3" s="213"/>
      <c r="AT3" s="212" t="s">
        <v>216</v>
      </c>
      <c r="AU3" s="213"/>
      <c r="AV3" s="269" t="s">
        <v>216</v>
      </c>
      <c r="AW3" s="270"/>
      <c r="AX3" s="212" t="s">
        <v>216</v>
      </c>
      <c r="AY3" s="213"/>
      <c r="AZ3" s="212" t="s">
        <v>216</v>
      </c>
      <c r="BA3" s="213"/>
      <c r="BB3" s="212" t="s">
        <v>216</v>
      </c>
      <c r="BC3" s="213"/>
      <c r="BD3" s="212"/>
      <c r="BE3" s="213"/>
      <c r="BF3" s="212"/>
      <c r="BG3" s="213"/>
      <c r="BH3" s="212" t="s">
        <v>216</v>
      </c>
      <c r="BI3" s="213"/>
      <c r="BJ3" s="212" t="s">
        <v>216</v>
      </c>
      <c r="BK3" s="213"/>
      <c r="BL3" s="212" t="s">
        <v>216</v>
      </c>
      <c r="BM3" s="213"/>
      <c r="BN3" s="212" t="s">
        <v>216</v>
      </c>
      <c r="BO3" s="213"/>
      <c r="BP3" s="212" t="s">
        <v>216</v>
      </c>
      <c r="BQ3" s="213"/>
      <c r="BR3" s="212" t="s">
        <v>216</v>
      </c>
      <c r="BS3" s="213"/>
      <c r="BT3" s="212" t="s">
        <v>216</v>
      </c>
      <c r="BU3" s="213"/>
      <c r="BV3" s="212" t="s">
        <v>216</v>
      </c>
      <c r="BW3" s="213"/>
      <c r="BX3" s="212" t="s">
        <v>216</v>
      </c>
      <c r="BY3" s="213"/>
      <c r="BZ3" s="212" t="s">
        <v>66</v>
      </c>
      <c r="CA3" s="213"/>
      <c r="CB3" s="212" t="s">
        <v>66</v>
      </c>
      <c r="CC3" s="213"/>
      <c r="CD3" s="212" t="s">
        <v>66</v>
      </c>
      <c r="CE3" s="213"/>
      <c r="CF3" s="116"/>
      <c r="CG3" s="116"/>
      <c r="CH3" s="212" t="s">
        <v>67</v>
      </c>
      <c r="CI3" s="213"/>
      <c r="CJ3" s="212" t="s">
        <v>67</v>
      </c>
      <c r="CK3" s="213"/>
      <c r="CL3" s="212" t="s">
        <v>216</v>
      </c>
      <c r="CM3" s="213"/>
      <c r="CN3" s="212"/>
      <c r="CO3" s="213"/>
      <c r="CP3" s="212" t="s">
        <v>216</v>
      </c>
      <c r="CQ3" s="213"/>
      <c r="CR3" s="212" t="s">
        <v>216</v>
      </c>
      <c r="CS3" s="213"/>
      <c r="CT3" s="212" t="s">
        <v>216</v>
      </c>
      <c r="CU3" s="213"/>
      <c r="CV3" s="212" t="s">
        <v>216</v>
      </c>
      <c r="CW3" s="213"/>
      <c r="CX3" s="212" t="s">
        <v>216</v>
      </c>
      <c r="CY3" s="213"/>
      <c r="CZ3" s="212" t="s">
        <v>216</v>
      </c>
      <c r="DA3" s="213"/>
      <c r="DB3" s="212" t="s">
        <v>216</v>
      </c>
      <c r="DC3" s="213"/>
      <c r="DD3" s="212" t="s">
        <v>216</v>
      </c>
      <c r="DE3" s="213"/>
      <c r="DF3" s="212" t="s">
        <v>216</v>
      </c>
      <c r="DG3" s="213"/>
      <c r="DH3" s="212" t="s">
        <v>216</v>
      </c>
      <c r="DI3" s="213"/>
      <c r="DJ3" s="269" t="s">
        <v>216</v>
      </c>
      <c r="DK3" s="270"/>
      <c r="DL3" s="212" t="s">
        <v>65</v>
      </c>
      <c r="DM3" s="213"/>
      <c r="DN3" s="212" t="s">
        <v>65</v>
      </c>
      <c r="DO3" s="213"/>
      <c r="DP3" s="212" t="s">
        <v>65</v>
      </c>
      <c r="DQ3" s="213"/>
      <c r="DR3" s="212" t="s">
        <v>65</v>
      </c>
      <c r="DS3" s="213"/>
      <c r="DT3" s="212" t="s">
        <v>65</v>
      </c>
      <c r="DU3" s="213"/>
      <c r="DV3" s="212" t="s">
        <v>218</v>
      </c>
      <c r="DW3" s="213"/>
      <c r="DX3" s="212" t="s">
        <v>65</v>
      </c>
      <c r="DY3" s="213"/>
      <c r="DZ3" s="212" t="s">
        <v>217</v>
      </c>
      <c r="EA3" s="213"/>
      <c r="EB3" s="212" t="s">
        <v>65</v>
      </c>
      <c r="EC3" s="213"/>
      <c r="ED3" s="212" t="s">
        <v>65</v>
      </c>
      <c r="EE3" s="213"/>
      <c r="EF3" s="212" t="s">
        <v>65</v>
      </c>
      <c r="EG3" s="213"/>
      <c r="EH3" s="212" t="s">
        <v>65</v>
      </c>
      <c r="EI3" s="213"/>
      <c r="EJ3" s="212" t="s">
        <v>65</v>
      </c>
      <c r="EK3" s="213"/>
      <c r="EL3" s="212" t="s">
        <v>67</v>
      </c>
      <c r="EM3" s="213"/>
      <c r="EN3" s="212" t="s">
        <v>67</v>
      </c>
      <c r="EO3" s="213"/>
      <c r="EP3" s="212" t="s">
        <v>67</v>
      </c>
      <c r="EQ3" s="213"/>
      <c r="ER3" s="212" t="s">
        <v>67</v>
      </c>
      <c r="ES3" s="213"/>
      <c r="ET3" s="212" t="s">
        <v>67</v>
      </c>
      <c r="EU3" s="213"/>
      <c r="EV3" s="212" t="s">
        <v>67</v>
      </c>
      <c r="EW3" s="213"/>
      <c r="EX3" s="212" t="s">
        <v>67</v>
      </c>
      <c r="EY3" s="213"/>
      <c r="EZ3" s="212" t="s">
        <v>67</v>
      </c>
      <c r="FA3" s="213"/>
      <c r="FB3" s="212" t="s">
        <v>67</v>
      </c>
      <c r="FC3" s="213"/>
      <c r="FD3" s="212" t="s">
        <v>67</v>
      </c>
      <c r="FE3" s="213"/>
      <c r="FF3" s="212" t="s">
        <v>67</v>
      </c>
      <c r="FG3" s="213"/>
      <c r="FH3" s="212" t="s">
        <v>67</v>
      </c>
      <c r="FI3" s="213"/>
      <c r="FJ3" s="212" t="s">
        <v>67</v>
      </c>
      <c r="FK3" s="213"/>
      <c r="FL3" s="269" t="s">
        <v>216</v>
      </c>
      <c r="FM3" s="270"/>
    </row>
    <row r="4" spans="1:169" s="24" customFormat="1" ht="30" customHeight="1">
      <c r="B4" s="212" t="s">
        <v>219</v>
      </c>
      <c r="C4" s="213"/>
      <c r="D4" s="212" t="s">
        <v>219</v>
      </c>
      <c r="E4" s="213"/>
      <c r="F4" s="113"/>
      <c r="G4" s="114"/>
      <c r="H4" s="212" t="s">
        <v>219</v>
      </c>
      <c r="I4" s="213"/>
      <c r="J4" s="212" t="s">
        <v>220</v>
      </c>
      <c r="K4" s="213"/>
      <c r="L4" s="113"/>
      <c r="M4" s="114"/>
      <c r="N4" s="212"/>
      <c r="O4" s="213"/>
      <c r="P4" s="212" t="s">
        <v>221</v>
      </c>
      <c r="Q4" s="213"/>
      <c r="R4" s="212" t="s">
        <v>221</v>
      </c>
      <c r="S4" s="213"/>
      <c r="T4" s="113"/>
      <c r="U4" s="114"/>
      <c r="V4" s="212" t="s">
        <v>221</v>
      </c>
      <c r="W4" s="213"/>
      <c r="X4" s="212" t="s">
        <v>221</v>
      </c>
      <c r="Y4" s="213"/>
      <c r="Z4" s="212" t="s">
        <v>221</v>
      </c>
      <c r="AA4" s="213"/>
      <c r="AB4" s="269" t="s">
        <v>221</v>
      </c>
      <c r="AC4" s="270"/>
      <c r="AD4" s="113"/>
      <c r="AE4" s="114"/>
      <c r="AF4" s="212" t="s">
        <v>221</v>
      </c>
      <c r="AG4" s="213"/>
      <c r="AH4" s="212" t="s">
        <v>221</v>
      </c>
      <c r="AI4" s="213"/>
      <c r="AJ4" s="212" t="s">
        <v>219</v>
      </c>
      <c r="AK4" s="213"/>
      <c r="AL4" s="212" t="s">
        <v>219</v>
      </c>
      <c r="AM4" s="213"/>
      <c r="AN4" s="212" t="s">
        <v>219</v>
      </c>
      <c r="AO4" s="213"/>
      <c r="AP4" s="269" t="s">
        <v>220</v>
      </c>
      <c r="AQ4" s="270"/>
      <c r="AR4" s="212" t="s">
        <v>219</v>
      </c>
      <c r="AS4" s="213"/>
      <c r="AT4" s="212" t="s">
        <v>219</v>
      </c>
      <c r="AU4" s="213"/>
      <c r="AV4" s="269" t="s">
        <v>219</v>
      </c>
      <c r="AW4" s="270"/>
      <c r="AX4" s="212" t="s">
        <v>221</v>
      </c>
      <c r="AY4" s="213"/>
      <c r="AZ4" s="212" t="s">
        <v>219</v>
      </c>
      <c r="BA4" s="213"/>
      <c r="BB4" s="212" t="s">
        <v>219</v>
      </c>
      <c r="BC4" s="213"/>
      <c r="BD4" s="113"/>
      <c r="BE4" s="114"/>
      <c r="BF4" s="113"/>
      <c r="BG4" s="114"/>
      <c r="BH4" s="212" t="s">
        <v>220</v>
      </c>
      <c r="BI4" s="213"/>
      <c r="BJ4" s="212" t="s">
        <v>221</v>
      </c>
      <c r="BK4" s="213"/>
      <c r="BL4" s="212" t="s">
        <v>219</v>
      </c>
      <c r="BM4" s="213"/>
      <c r="BN4" s="212" t="s">
        <v>219</v>
      </c>
      <c r="BO4" s="213"/>
      <c r="BP4" s="212" t="s">
        <v>219</v>
      </c>
      <c r="BQ4" s="213"/>
      <c r="BR4" s="212" t="s">
        <v>219</v>
      </c>
      <c r="BS4" s="213"/>
      <c r="BT4" s="212" t="s">
        <v>219</v>
      </c>
      <c r="BU4" s="213"/>
      <c r="BV4" s="212" t="s">
        <v>219</v>
      </c>
      <c r="BW4" s="213"/>
      <c r="BX4" s="212" t="s">
        <v>219</v>
      </c>
      <c r="BY4" s="213"/>
      <c r="BZ4" s="212" t="s">
        <v>221</v>
      </c>
      <c r="CA4" s="213"/>
      <c r="CB4" s="212" t="s">
        <v>221</v>
      </c>
      <c r="CC4" s="213"/>
      <c r="CD4" s="212" t="s">
        <v>221</v>
      </c>
      <c r="CE4" s="213"/>
      <c r="CF4" s="212" t="s">
        <v>219</v>
      </c>
      <c r="CG4" s="213"/>
      <c r="CH4" s="212" t="s">
        <v>219</v>
      </c>
      <c r="CI4" s="213"/>
      <c r="CJ4" s="212" t="s">
        <v>219</v>
      </c>
      <c r="CK4" s="213"/>
      <c r="CL4" s="212" t="s">
        <v>219</v>
      </c>
      <c r="CM4" s="213"/>
      <c r="CN4" s="113"/>
      <c r="CO4" s="114"/>
      <c r="CP4" s="212" t="s">
        <v>220</v>
      </c>
      <c r="CQ4" s="213"/>
      <c r="CR4" s="212" t="s">
        <v>222</v>
      </c>
      <c r="CS4" s="213"/>
      <c r="CT4" s="212" t="s">
        <v>220</v>
      </c>
      <c r="CU4" s="213"/>
      <c r="CV4" s="212" t="s">
        <v>221</v>
      </c>
      <c r="CW4" s="213"/>
      <c r="CX4" s="212" t="s">
        <v>219</v>
      </c>
      <c r="CY4" s="213"/>
      <c r="CZ4" s="212" t="s">
        <v>219</v>
      </c>
      <c r="DA4" s="213"/>
      <c r="DB4" s="113"/>
      <c r="DC4" s="114"/>
      <c r="DD4" s="212" t="s">
        <v>220</v>
      </c>
      <c r="DE4" s="213"/>
      <c r="DF4" s="212" t="s">
        <v>221</v>
      </c>
      <c r="DG4" s="213"/>
      <c r="DH4" s="212" t="s">
        <v>221</v>
      </c>
      <c r="DI4" s="213"/>
      <c r="DJ4" s="269" t="s">
        <v>220</v>
      </c>
      <c r="DK4" s="270"/>
      <c r="DL4" s="212" t="s">
        <v>219</v>
      </c>
      <c r="DM4" s="213"/>
      <c r="DN4" s="212" t="s">
        <v>219</v>
      </c>
      <c r="DO4" s="213"/>
      <c r="DP4" s="212" t="s">
        <v>219</v>
      </c>
      <c r="DQ4" s="213"/>
      <c r="DR4" s="212" t="s">
        <v>219</v>
      </c>
      <c r="DS4" s="213"/>
      <c r="DT4" s="212" t="s">
        <v>221</v>
      </c>
      <c r="DU4" s="213"/>
      <c r="DV4" s="212" t="s">
        <v>221</v>
      </c>
      <c r="DW4" s="213"/>
      <c r="DX4" s="212" t="s">
        <v>223</v>
      </c>
      <c r="DY4" s="213"/>
      <c r="DZ4" s="212" t="s">
        <v>224</v>
      </c>
      <c r="EA4" s="213"/>
      <c r="EB4" s="212" t="s">
        <v>223</v>
      </c>
      <c r="EC4" s="213"/>
      <c r="ED4" s="212" t="s">
        <v>219</v>
      </c>
      <c r="EE4" s="213"/>
      <c r="EF4" s="212" t="s">
        <v>219</v>
      </c>
      <c r="EG4" s="213"/>
      <c r="EH4" s="212" t="s">
        <v>221</v>
      </c>
      <c r="EI4" s="213"/>
      <c r="EJ4" s="212" t="s">
        <v>221</v>
      </c>
      <c r="EK4" s="213"/>
      <c r="EL4" s="212" t="s">
        <v>219</v>
      </c>
      <c r="EM4" s="213"/>
      <c r="EN4" s="212" t="s">
        <v>219</v>
      </c>
      <c r="EO4" s="213"/>
      <c r="EP4" s="212" t="s">
        <v>219</v>
      </c>
      <c r="EQ4" s="213"/>
      <c r="ER4" s="212" t="s">
        <v>219</v>
      </c>
      <c r="ES4" s="213"/>
      <c r="ET4" s="212" t="s">
        <v>219</v>
      </c>
      <c r="EU4" s="213"/>
      <c r="EV4" s="212" t="s">
        <v>219</v>
      </c>
      <c r="EW4" s="213"/>
      <c r="EX4" s="212" t="s">
        <v>219</v>
      </c>
      <c r="EY4" s="213"/>
      <c r="EZ4" s="212" t="s">
        <v>221</v>
      </c>
      <c r="FA4" s="213"/>
      <c r="FB4" s="212" t="s">
        <v>219</v>
      </c>
      <c r="FC4" s="213"/>
      <c r="FD4" s="212" t="s">
        <v>219</v>
      </c>
      <c r="FE4" s="213"/>
      <c r="FF4" s="212" t="s">
        <v>223</v>
      </c>
      <c r="FG4" s="213"/>
      <c r="FH4" s="212" t="s">
        <v>219</v>
      </c>
      <c r="FI4" s="213"/>
      <c r="FJ4" s="212" t="s">
        <v>223</v>
      </c>
      <c r="FK4" s="213"/>
      <c r="FL4" s="269" t="s">
        <v>219</v>
      </c>
      <c r="FM4" s="270"/>
    </row>
    <row r="5" spans="1:169" s="87" customFormat="1" ht="138.75" customHeight="1">
      <c r="B5" s="266" t="s">
        <v>78</v>
      </c>
      <c r="C5" s="266"/>
      <c r="D5" s="266" t="s">
        <v>225</v>
      </c>
      <c r="E5" s="266"/>
      <c r="F5" s="266" t="s">
        <v>79</v>
      </c>
      <c r="G5" s="266"/>
      <c r="H5" s="266" t="s">
        <v>226</v>
      </c>
      <c r="I5" s="266"/>
      <c r="J5" s="266" t="s">
        <v>227</v>
      </c>
      <c r="K5" s="266"/>
      <c r="L5" s="266" t="s">
        <v>78</v>
      </c>
      <c r="M5" s="266"/>
      <c r="N5" s="266" t="s">
        <v>80</v>
      </c>
      <c r="O5" s="266"/>
      <c r="P5" s="266" t="s">
        <v>228</v>
      </c>
      <c r="Q5" s="266"/>
      <c r="R5" s="266" t="s">
        <v>228</v>
      </c>
      <c r="S5" s="266"/>
      <c r="T5" s="266" t="s">
        <v>68</v>
      </c>
      <c r="U5" s="266"/>
      <c r="V5" s="266" t="s">
        <v>229</v>
      </c>
      <c r="W5" s="266"/>
      <c r="X5" s="266" t="s">
        <v>230</v>
      </c>
      <c r="Y5" s="266"/>
      <c r="Z5" s="266" t="s">
        <v>231</v>
      </c>
      <c r="AA5" s="266"/>
      <c r="AB5" s="267" t="s">
        <v>228</v>
      </c>
      <c r="AC5" s="267"/>
      <c r="AD5" s="266" t="s">
        <v>69</v>
      </c>
      <c r="AE5" s="266"/>
      <c r="AF5" s="266" t="s">
        <v>232</v>
      </c>
      <c r="AG5" s="266"/>
      <c r="AH5" s="266" t="s">
        <v>233</v>
      </c>
      <c r="AI5" s="266"/>
      <c r="AJ5" s="266" t="s">
        <v>234</v>
      </c>
      <c r="AK5" s="266"/>
      <c r="AL5" s="266" t="s">
        <v>226</v>
      </c>
      <c r="AM5" s="266"/>
      <c r="AN5" s="266" t="s">
        <v>235</v>
      </c>
      <c r="AO5" s="266"/>
      <c r="AP5" s="267" t="s">
        <v>236</v>
      </c>
      <c r="AQ5" s="267"/>
      <c r="AR5" s="266" t="s">
        <v>237</v>
      </c>
      <c r="AS5" s="266"/>
      <c r="AT5" s="266" t="s">
        <v>238</v>
      </c>
      <c r="AU5" s="266"/>
      <c r="AV5" s="267" t="s">
        <v>239</v>
      </c>
      <c r="AW5" s="267"/>
      <c r="AX5" s="266" t="s">
        <v>228</v>
      </c>
      <c r="AY5" s="266"/>
      <c r="AZ5" s="266" t="s">
        <v>226</v>
      </c>
      <c r="BA5" s="266"/>
      <c r="BB5" s="266" t="s">
        <v>240</v>
      </c>
      <c r="BC5" s="266"/>
      <c r="BD5" s="266" t="s">
        <v>71</v>
      </c>
      <c r="BE5" s="266"/>
      <c r="BF5" s="266" t="s">
        <v>72</v>
      </c>
      <c r="BG5" s="266"/>
      <c r="BH5" s="266" t="s">
        <v>241</v>
      </c>
      <c r="BI5" s="266"/>
      <c r="BJ5" s="266" t="s">
        <v>242</v>
      </c>
      <c r="BK5" s="266"/>
      <c r="BL5" s="266" t="s">
        <v>243</v>
      </c>
      <c r="BM5" s="266"/>
      <c r="BN5" s="266" t="s">
        <v>244</v>
      </c>
      <c r="BO5" s="266"/>
      <c r="BP5" s="266" t="s">
        <v>245</v>
      </c>
      <c r="BQ5" s="266"/>
      <c r="BR5" s="266" t="s">
        <v>246</v>
      </c>
      <c r="BS5" s="266"/>
      <c r="BT5" s="266" t="s">
        <v>247</v>
      </c>
      <c r="BU5" s="266"/>
      <c r="BV5" s="266" t="s">
        <v>248</v>
      </c>
      <c r="BW5" s="266"/>
      <c r="BX5" s="266" t="s">
        <v>246</v>
      </c>
      <c r="BY5" s="266"/>
      <c r="BZ5" s="266" t="s">
        <v>74</v>
      </c>
      <c r="CA5" s="266"/>
      <c r="CB5" s="266" t="s">
        <v>75</v>
      </c>
      <c r="CC5" s="266"/>
      <c r="CD5" s="266" t="s">
        <v>76</v>
      </c>
      <c r="CE5" s="266"/>
      <c r="CF5" s="266" t="s">
        <v>77</v>
      </c>
      <c r="CG5" s="266"/>
      <c r="CH5" s="266" t="s">
        <v>249</v>
      </c>
      <c r="CI5" s="266"/>
      <c r="CJ5" s="266" t="s">
        <v>249</v>
      </c>
      <c r="CK5" s="266"/>
      <c r="CL5" s="266" t="s">
        <v>250</v>
      </c>
      <c r="CM5" s="266"/>
      <c r="CN5" s="266" t="s">
        <v>70</v>
      </c>
      <c r="CO5" s="266"/>
      <c r="CP5" s="268" t="s">
        <v>251</v>
      </c>
      <c r="CQ5" s="268"/>
      <c r="CR5" s="268" t="s">
        <v>222</v>
      </c>
      <c r="CS5" s="268"/>
      <c r="CT5" s="268" t="s">
        <v>252</v>
      </c>
      <c r="CU5" s="268"/>
      <c r="CV5" s="268" t="s">
        <v>253</v>
      </c>
      <c r="CW5" s="268"/>
      <c r="CX5" s="268" t="s">
        <v>254</v>
      </c>
      <c r="CY5" s="268"/>
      <c r="CZ5" s="268" t="s">
        <v>255</v>
      </c>
      <c r="DA5" s="268"/>
      <c r="DB5" s="266" t="s">
        <v>73</v>
      </c>
      <c r="DC5" s="266"/>
      <c r="DD5" s="266" t="s">
        <v>256</v>
      </c>
      <c r="DE5" s="266"/>
      <c r="DF5" s="266" t="s">
        <v>257</v>
      </c>
      <c r="DG5" s="266"/>
      <c r="DH5" s="266" t="s">
        <v>258</v>
      </c>
      <c r="DI5" s="266"/>
      <c r="DJ5" s="267" t="s">
        <v>256</v>
      </c>
      <c r="DK5" s="267"/>
      <c r="DL5" s="266" t="s">
        <v>259</v>
      </c>
      <c r="DM5" s="266"/>
      <c r="DN5" s="266" t="s">
        <v>259</v>
      </c>
      <c r="DO5" s="266"/>
      <c r="DP5" s="266" t="s">
        <v>260</v>
      </c>
      <c r="DQ5" s="266"/>
      <c r="DR5" s="266" t="s">
        <v>260</v>
      </c>
      <c r="DS5" s="266"/>
      <c r="DT5" s="266" t="s">
        <v>232</v>
      </c>
      <c r="DU5" s="266"/>
      <c r="DV5" s="266" t="s">
        <v>261</v>
      </c>
      <c r="DW5" s="266"/>
      <c r="DX5" s="268" t="s">
        <v>262</v>
      </c>
      <c r="DY5" s="268"/>
      <c r="DZ5" s="266" t="s">
        <v>226</v>
      </c>
      <c r="EA5" s="266"/>
      <c r="EB5" s="268" t="s">
        <v>263</v>
      </c>
      <c r="EC5" s="268"/>
      <c r="ED5" s="268" t="s">
        <v>264</v>
      </c>
      <c r="EE5" s="268"/>
      <c r="EF5" s="268" t="s">
        <v>265</v>
      </c>
      <c r="EG5" s="268"/>
      <c r="EH5" s="268" t="s">
        <v>228</v>
      </c>
      <c r="EI5" s="268"/>
      <c r="EJ5" s="268" t="s">
        <v>266</v>
      </c>
      <c r="EK5" s="268"/>
      <c r="EL5" s="266" t="s">
        <v>267</v>
      </c>
      <c r="EM5" s="266"/>
      <c r="EN5" s="266" t="s">
        <v>268</v>
      </c>
      <c r="EO5" s="266"/>
      <c r="EP5" s="266" t="s">
        <v>269</v>
      </c>
      <c r="EQ5" s="266"/>
      <c r="ER5" s="266" t="s">
        <v>270</v>
      </c>
      <c r="ES5" s="266"/>
      <c r="ET5" s="266" t="s">
        <v>268</v>
      </c>
      <c r="EU5" s="266"/>
      <c r="EV5" s="266" t="s">
        <v>269</v>
      </c>
      <c r="EW5" s="266"/>
      <c r="EX5" s="266" t="s">
        <v>271</v>
      </c>
      <c r="EY5" s="266"/>
      <c r="EZ5" s="266" t="s">
        <v>266</v>
      </c>
      <c r="FA5" s="266"/>
      <c r="FB5" s="266" t="s">
        <v>272</v>
      </c>
      <c r="FC5" s="266"/>
      <c r="FD5" s="266" t="s">
        <v>273</v>
      </c>
      <c r="FE5" s="266"/>
      <c r="FF5" s="266" t="s">
        <v>274</v>
      </c>
      <c r="FG5" s="266"/>
      <c r="FH5" s="266" t="s">
        <v>275</v>
      </c>
      <c r="FI5" s="266"/>
      <c r="FJ5" s="266" t="s">
        <v>276</v>
      </c>
      <c r="FK5" s="266"/>
      <c r="FL5" s="267" t="s">
        <v>277</v>
      </c>
      <c r="FM5" s="267"/>
    </row>
    <row r="6" spans="1:169" s="24" customFormat="1" ht="30" customHeight="1">
      <c r="B6" s="263">
        <v>5065544</v>
      </c>
      <c r="C6" s="263"/>
      <c r="D6" s="212"/>
      <c r="E6" s="213"/>
      <c r="F6" s="263">
        <v>5065541</v>
      </c>
      <c r="G6" s="263"/>
      <c r="H6" s="212"/>
      <c r="I6" s="213"/>
      <c r="J6" s="212"/>
      <c r="K6" s="213"/>
      <c r="L6" s="263">
        <v>5065542</v>
      </c>
      <c r="M6" s="263"/>
      <c r="N6" s="263">
        <v>5065540</v>
      </c>
      <c r="O6" s="263"/>
      <c r="P6" s="212"/>
      <c r="Q6" s="213"/>
      <c r="R6" s="212"/>
      <c r="S6" s="213"/>
      <c r="T6" s="263">
        <v>5065546</v>
      </c>
      <c r="U6" s="263"/>
      <c r="V6" s="212"/>
      <c r="W6" s="213"/>
      <c r="X6" s="212"/>
      <c r="Y6" s="213"/>
      <c r="Z6" s="212"/>
      <c r="AA6" s="213"/>
      <c r="AB6" s="212"/>
      <c r="AC6" s="213"/>
      <c r="AD6" s="263">
        <v>5065547</v>
      </c>
      <c r="AE6" s="263"/>
      <c r="AF6" s="212"/>
      <c r="AG6" s="213"/>
      <c r="AH6" s="264"/>
      <c r="AI6" s="265"/>
      <c r="AJ6" s="264"/>
      <c r="AK6" s="265"/>
      <c r="AL6" s="264"/>
      <c r="AM6" s="265"/>
      <c r="AN6" s="264"/>
      <c r="AO6" s="265"/>
      <c r="AP6" s="264"/>
      <c r="AQ6" s="265"/>
      <c r="AR6" s="264"/>
      <c r="AS6" s="265"/>
      <c r="AT6" s="264"/>
      <c r="AU6" s="265"/>
      <c r="AV6" s="264"/>
      <c r="AW6" s="265"/>
      <c r="AX6" s="264"/>
      <c r="AY6" s="265"/>
      <c r="AZ6" s="264"/>
      <c r="BA6" s="265"/>
      <c r="BB6" s="264"/>
      <c r="BC6" s="265"/>
      <c r="BD6" s="263">
        <v>5065548</v>
      </c>
      <c r="BE6" s="263"/>
      <c r="BF6" s="263">
        <v>5465545</v>
      </c>
      <c r="BG6" s="263"/>
      <c r="BH6" s="212"/>
      <c r="BI6" s="213"/>
      <c r="BJ6" s="212"/>
      <c r="BK6" s="213"/>
      <c r="BL6" s="212"/>
      <c r="BM6" s="213"/>
      <c r="BN6" s="212"/>
      <c r="BO6" s="213"/>
      <c r="BP6" s="212"/>
      <c r="BQ6" s="213"/>
      <c r="BR6" s="212"/>
      <c r="BS6" s="213"/>
      <c r="BT6" s="212"/>
      <c r="BU6" s="213"/>
      <c r="BV6" s="212"/>
      <c r="BW6" s="213"/>
      <c r="BX6" s="212"/>
      <c r="BY6" s="213"/>
      <c r="BZ6" s="263">
        <v>5018351</v>
      </c>
      <c r="CA6" s="263"/>
      <c r="CB6" s="263">
        <v>5018354</v>
      </c>
      <c r="CC6" s="263"/>
      <c r="CD6" s="263">
        <v>5018350</v>
      </c>
      <c r="CE6" s="263"/>
      <c r="CF6" s="263">
        <v>5065543</v>
      </c>
      <c r="CG6" s="263"/>
      <c r="CH6" s="212"/>
      <c r="CI6" s="213"/>
      <c r="CJ6" s="212"/>
      <c r="CK6" s="213"/>
      <c r="CL6" s="212"/>
      <c r="CM6" s="213"/>
      <c r="CN6" s="263">
        <v>5008272</v>
      </c>
      <c r="CO6" s="263"/>
      <c r="CP6" s="212"/>
      <c r="CQ6" s="213"/>
      <c r="CR6" s="212"/>
      <c r="CS6" s="213"/>
      <c r="CT6" s="212"/>
      <c r="CU6" s="213"/>
      <c r="CV6" s="212"/>
      <c r="CW6" s="213"/>
      <c r="CX6" s="212"/>
      <c r="CY6" s="213"/>
      <c r="CZ6" s="212"/>
      <c r="DA6" s="213"/>
      <c r="DB6" s="263">
        <v>5008273</v>
      </c>
      <c r="DC6" s="263"/>
      <c r="DD6" s="212"/>
      <c r="DE6" s="213"/>
      <c r="DF6" s="212"/>
      <c r="DG6" s="213"/>
      <c r="DH6" s="212"/>
      <c r="DI6" s="213"/>
      <c r="DJ6" s="212"/>
      <c r="DK6" s="213"/>
      <c r="DL6" s="212"/>
      <c r="DM6" s="213"/>
      <c r="DN6" s="212"/>
      <c r="DO6" s="213"/>
      <c r="DP6" s="212"/>
      <c r="DQ6" s="213"/>
      <c r="DR6" s="212"/>
      <c r="DS6" s="213"/>
      <c r="DT6" s="212"/>
      <c r="DU6" s="213"/>
      <c r="DV6" s="212"/>
      <c r="DW6" s="213"/>
      <c r="DX6" s="212"/>
      <c r="DY6" s="213"/>
      <c r="DZ6" s="212"/>
      <c r="EA6" s="213"/>
      <c r="EB6" s="212"/>
      <c r="EC6" s="213"/>
      <c r="ED6" s="212"/>
      <c r="EE6" s="213"/>
      <c r="EF6" s="212"/>
      <c r="EG6" s="213"/>
      <c r="EH6" s="212"/>
      <c r="EI6" s="213"/>
      <c r="EJ6" s="212"/>
      <c r="EK6" s="213"/>
      <c r="EL6" s="212"/>
      <c r="EM6" s="213"/>
      <c r="EN6" s="212"/>
      <c r="EO6" s="213"/>
      <c r="EP6" s="212"/>
      <c r="EQ6" s="213"/>
      <c r="ER6" s="212"/>
      <c r="ES6" s="213"/>
      <c r="ET6" s="212"/>
      <c r="EU6" s="213"/>
      <c r="EV6" s="212"/>
      <c r="EW6" s="213"/>
      <c r="EX6" s="212"/>
      <c r="EY6" s="213"/>
      <c r="EZ6" s="212"/>
      <c r="FA6" s="213"/>
      <c r="FB6" s="212"/>
      <c r="FC6" s="213"/>
      <c r="FD6" s="212"/>
      <c r="FE6" s="213"/>
      <c r="FF6" s="212"/>
      <c r="FG6" s="213"/>
      <c r="FH6" s="212"/>
      <c r="FI6" s="213"/>
      <c r="FJ6" s="212"/>
      <c r="FK6" s="213"/>
      <c r="FL6" s="212"/>
      <c r="FM6" s="213"/>
    </row>
    <row r="7" spans="1:169" s="24" customFormat="1" ht="30" customHeight="1">
      <c r="B7" s="251" t="s">
        <v>92</v>
      </c>
      <c r="C7" s="251"/>
      <c r="D7" s="251" t="s">
        <v>92</v>
      </c>
      <c r="E7" s="251"/>
      <c r="F7" s="249" t="s">
        <v>93</v>
      </c>
      <c r="G7" s="249"/>
      <c r="H7" s="250" t="s">
        <v>94</v>
      </c>
      <c r="I7" s="250"/>
      <c r="J7" s="250" t="s">
        <v>94</v>
      </c>
      <c r="K7" s="250"/>
      <c r="L7" s="250" t="s">
        <v>94</v>
      </c>
      <c r="M7" s="250"/>
      <c r="N7" s="252" t="s">
        <v>95</v>
      </c>
      <c r="O7" s="252"/>
      <c r="P7" s="252" t="s">
        <v>95</v>
      </c>
      <c r="Q7" s="252"/>
      <c r="R7" s="252" t="s">
        <v>95</v>
      </c>
      <c r="S7" s="252"/>
      <c r="T7" s="253" t="s">
        <v>82</v>
      </c>
      <c r="U7" s="253"/>
      <c r="V7" s="253" t="s">
        <v>82</v>
      </c>
      <c r="W7" s="253"/>
      <c r="X7" s="253" t="s">
        <v>82</v>
      </c>
      <c r="Y7" s="253"/>
      <c r="Z7" s="253" t="s">
        <v>82</v>
      </c>
      <c r="AA7" s="253"/>
      <c r="AB7" s="253" t="s">
        <v>82</v>
      </c>
      <c r="AC7" s="253"/>
      <c r="AD7" s="255" t="s">
        <v>83</v>
      </c>
      <c r="AE7" s="255"/>
      <c r="AF7" s="255" t="s">
        <v>83</v>
      </c>
      <c r="AG7" s="255"/>
      <c r="AH7" s="262" t="s">
        <v>85</v>
      </c>
      <c r="AI7" s="262"/>
      <c r="AJ7" s="262" t="s">
        <v>85</v>
      </c>
      <c r="AK7" s="262"/>
      <c r="AL7" s="262" t="s">
        <v>85</v>
      </c>
      <c r="AM7" s="262"/>
      <c r="AN7" s="262" t="s">
        <v>85</v>
      </c>
      <c r="AO7" s="262"/>
      <c r="AP7" s="262" t="s">
        <v>85</v>
      </c>
      <c r="AQ7" s="262"/>
      <c r="AR7" s="262" t="s">
        <v>85</v>
      </c>
      <c r="AS7" s="262"/>
      <c r="AT7" s="262" t="s">
        <v>85</v>
      </c>
      <c r="AU7" s="262"/>
      <c r="AV7" s="262" t="s">
        <v>85</v>
      </c>
      <c r="AW7" s="262"/>
      <c r="AX7" s="262" t="s">
        <v>85</v>
      </c>
      <c r="AY7" s="262"/>
      <c r="AZ7" s="262" t="s">
        <v>85</v>
      </c>
      <c r="BA7" s="262"/>
      <c r="BB7" s="262" t="s">
        <v>85</v>
      </c>
      <c r="BC7" s="262"/>
      <c r="BD7" s="262" t="s">
        <v>85</v>
      </c>
      <c r="BE7" s="262"/>
      <c r="BF7" s="257" t="s">
        <v>86</v>
      </c>
      <c r="BG7" s="257"/>
      <c r="BH7" s="257" t="s">
        <v>86</v>
      </c>
      <c r="BI7" s="257"/>
      <c r="BJ7" s="257" t="s">
        <v>86</v>
      </c>
      <c r="BK7" s="257"/>
      <c r="BL7" s="257" t="s">
        <v>86</v>
      </c>
      <c r="BM7" s="257"/>
      <c r="BN7" s="257" t="s">
        <v>86</v>
      </c>
      <c r="BO7" s="257"/>
      <c r="BP7" s="257" t="s">
        <v>86</v>
      </c>
      <c r="BQ7" s="257"/>
      <c r="BR7" s="257" t="s">
        <v>86</v>
      </c>
      <c r="BS7" s="257"/>
      <c r="BT7" s="257" t="s">
        <v>86</v>
      </c>
      <c r="BU7" s="257"/>
      <c r="BV7" s="257" t="s">
        <v>86</v>
      </c>
      <c r="BW7" s="257"/>
      <c r="BX7" s="257" t="s">
        <v>86</v>
      </c>
      <c r="BY7" s="257"/>
      <c r="BZ7" s="258" t="s">
        <v>88</v>
      </c>
      <c r="CA7" s="258"/>
      <c r="CB7" s="259" t="s">
        <v>89</v>
      </c>
      <c r="CC7" s="259"/>
      <c r="CD7" s="260" t="s">
        <v>90</v>
      </c>
      <c r="CE7" s="260"/>
      <c r="CF7" s="261" t="s">
        <v>91</v>
      </c>
      <c r="CG7" s="261"/>
      <c r="CH7" s="261" t="s">
        <v>91</v>
      </c>
      <c r="CI7" s="261"/>
      <c r="CJ7" s="261" t="s">
        <v>91</v>
      </c>
      <c r="CK7" s="261"/>
      <c r="CL7" s="261" t="s">
        <v>91</v>
      </c>
      <c r="CM7" s="261"/>
      <c r="CN7" s="256" t="s">
        <v>84</v>
      </c>
      <c r="CO7" s="256"/>
      <c r="CP7" s="256" t="s">
        <v>84</v>
      </c>
      <c r="CQ7" s="256"/>
      <c r="CR7" s="256" t="s">
        <v>84</v>
      </c>
      <c r="CS7" s="256"/>
      <c r="CT7" s="256" t="s">
        <v>84</v>
      </c>
      <c r="CU7" s="256"/>
      <c r="CV7" s="256" t="s">
        <v>84</v>
      </c>
      <c r="CW7" s="256"/>
      <c r="CX7" s="256" t="s">
        <v>84</v>
      </c>
      <c r="CY7" s="256"/>
      <c r="CZ7" s="256" t="s">
        <v>84</v>
      </c>
      <c r="DA7" s="256"/>
      <c r="DB7" s="254" t="s">
        <v>87</v>
      </c>
      <c r="DC7" s="254"/>
      <c r="DD7" s="254" t="s">
        <v>87</v>
      </c>
      <c r="DE7" s="254"/>
      <c r="DF7" s="254" t="s">
        <v>87</v>
      </c>
      <c r="DG7" s="254"/>
      <c r="DH7" s="254" t="s">
        <v>87</v>
      </c>
      <c r="DI7" s="254"/>
      <c r="DJ7" s="254" t="s">
        <v>87</v>
      </c>
      <c r="DK7" s="254"/>
      <c r="DL7" s="255" t="s">
        <v>83</v>
      </c>
      <c r="DM7" s="255"/>
      <c r="DN7" s="255" t="s">
        <v>83</v>
      </c>
      <c r="DO7" s="255"/>
      <c r="DP7" s="255" t="s">
        <v>83</v>
      </c>
      <c r="DQ7" s="255"/>
      <c r="DR7" s="255" t="s">
        <v>83</v>
      </c>
      <c r="DS7" s="255"/>
      <c r="DT7" s="255" t="s">
        <v>83</v>
      </c>
      <c r="DU7" s="255"/>
      <c r="DV7" s="255" t="s">
        <v>83</v>
      </c>
      <c r="DW7" s="255"/>
      <c r="DX7" s="253" t="s">
        <v>82</v>
      </c>
      <c r="DY7" s="253"/>
      <c r="DZ7" s="253" t="s">
        <v>82</v>
      </c>
      <c r="EA7" s="253"/>
      <c r="EB7" s="253" t="s">
        <v>82</v>
      </c>
      <c r="EC7" s="253"/>
      <c r="ED7" s="253" t="s">
        <v>82</v>
      </c>
      <c r="EE7" s="253"/>
      <c r="EF7" s="253" t="s">
        <v>82</v>
      </c>
      <c r="EG7" s="253"/>
      <c r="EH7" s="253" t="s">
        <v>82</v>
      </c>
      <c r="EI7" s="253"/>
      <c r="EJ7" s="253" t="s">
        <v>82</v>
      </c>
      <c r="EK7" s="253"/>
      <c r="EL7" s="250" t="s">
        <v>94</v>
      </c>
      <c r="EM7" s="250"/>
      <c r="EN7" s="250" t="s">
        <v>94</v>
      </c>
      <c r="EO7" s="250"/>
      <c r="EP7" s="250" t="s">
        <v>94</v>
      </c>
      <c r="EQ7" s="250"/>
      <c r="ER7" s="251" t="s">
        <v>92</v>
      </c>
      <c r="ES7" s="251"/>
      <c r="ET7" s="251" t="s">
        <v>92</v>
      </c>
      <c r="EU7" s="251"/>
      <c r="EV7" s="251" t="s">
        <v>92</v>
      </c>
      <c r="EW7" s="251"/>
      <c r="EX7" s="249" t="s">
        <v>93</v>
      </c>
      <c r="EY7" s="249"/>
      <c r="EZ7" s="252" t="s">
        <v>95</v>
      </c>
      <c r="FA7" s="252"/>
      <c r="FB7" s="252" t="s">
        <v>95</v>
      </c>
      <c r="FC7" s="252"/>
      <c r="FD7" s="252" t="s">
        <v>95</v>
      </c>
      <c r="FE7" s="252"/>
      <c r="FF7" s="249" t="s">
        <v>93</v>
      </c>
      <c r="FG7" s="249"/>
      <c r="FH7" s="249" t="s">
        <v>93</v>
      </c>
      <c r="FI7" s="249"/>
      <c r="FJ7" s="249" t="s">
        <v>93</v>
      </c>
      <c r="FK7" s="249"/>
      <c r="FL7" s="249" t="s">
        <v>93</v>
      </c>
      <c r="FM7" s="249"/>
    </row>
    <row r="8" spans="1:169" s="24" customFormat="1" ht="30" customHeight="1">
      <c r="B8" s="248"/>
      <c r="C8" s="248"/>
      <c r="D8" s="246" t="s">
        <v>278</v>
      </c>
      <c r="E8" s="247"/>
      <c r="F8" s="248"/>
      <c r="G8" s="248"/>
      <c r="H8" s="246" t="s">
        <v>279</v>
      </c>
      <c r="I8" s="247"/>
      <c r="J8" s="246" t="s">
        <v>280</v>
      </c>
      <c r="K8" s="247"/>
      <c r="L8" s="248"/>
      <c r="M8" s="248"/>
      <c r="N8" s="248"/>
      <c r="O8" s="248"/>
      <c r="P8" s="246" t="s">
        <v>281</v>
      </c>
      <c r="Q8" s="247"/>
      <c r="R8" s="246" t="s">
        <v>282</v>
      </c>
      <c r="S8" s="247"/>
      <c r="T8" s="248"/>
      <c r="U8" s="248"/>
      <c r="V8" s="246" t="s">
        <v>283</v>
      </c>
      <c r="W8" s="247"/>
      <c r="X8" s="246" t="s">
        <v>284</v>
      </c>
      <c r="Y8" s="247"/>
      <c r="Z8" s="246" t="s">
        <v>285</v>
      </c>
      <c r="AA8" s="247"/>
      <c r="AB8" s="246" t="s">
        <v>286</v>
      </c>
      <c r="AC8" s="247"/>
      <c r="AD8" s="248"/>
      <c r="AE8" s="248"/>
      <c r="AF8" s="246" t="s">
        <v>287</v>
      </c>
      <c r="AG8" s="247"/>
      <c r="AH8" s="246" t="s">
        <v>288</v>
      </c>
      <c r="AI8" s="247"/>
      <c r="AJ8" s="246" t="s">
        <v>289</v>
      </c>
      <c r="AK8" s="247"/>
      <c r="AL8" s="246" t="s">
        <v>290</v>
      </c>
      <c r="AM8" s="247"/>
      <c r="AN8" s="246" t="s">
        <v>291</v>
      </c>
      <c r="AO8" s="247"/>
      <c r="AP8" s="246" t="s">
        <v>292</v>
      </c>
      <c r="AQ8" s="247"/>
      <c r="AR8" s="246" t="s">
        <v>293</v>
      </c>
      <c r="AS8" s="247"/>
      <c r="AT8" s="246" t="s">
        <v>294</v>
      </c>
      <c r="AU8" s="247"/>
      <c r="AV8" s="246" t="s">
        <v>295</v>
      </c>
      <c r="AW8" s="247"/>
      <c r="AX8" s="246" t="s">
        <v>296</v>
      </c>
      <c r="AY8" s="247"/>
      <c r="AZ8" s="246" t="s">
        <v>297</v>
      </c>
      <c r="BA8" s="247"/>
      <c r="BB8" s="246" t="s">
        <v>298</v>
      </c>
      <c r="BC8" s="247"/>
      <c r="BD8" s="246"/>
      <c r="BE8" s="247"/>
      <c r="BF8" s="248"/>
      <c r="BG8" s="248"/>
      <c r="BH8" s="246" t="s">
        <v>299</v>
      </c>
      <c r="BI8" s="247"/>
      <c r="BJ8" s="246" t="s">
        <v>300</v>
      </c>
      <c r="BK8" s="247"/>
      <c r="BL8" s="246" t="s">
        <v>301</v>
      </c>
      <c r="BM8" s="247"/>
      <c r="BN8" s="246" t="s">
        <v>302</v>
      </c>
      <c r="BO8" s="247"/>
      <c r="BP8" s="246" t="s">
        <v>303</v>
      </c>
      <c r="BQ8" s="247"/>
      <c r="BR8" s="246" t="s">
        <v>304</v>
      </c>
      <c r="BS8" s="247"/>
      <c r="BT8" s="246" t="s">
        <v>305</v>
      </c>
      <c r="BU8" s="247"/>
      <c r="BV8" s="246" t="s">
        <v>306</v>
      </c>
      <c r="BW8" s="247"/>
      <c r="BX8" s="246" t="s">
        <v>307</v>
      </c>
      <c r="BY8" s="247"/>
      <c r="BZ8" s="248"/>
      <c r="CA8" s="248"/>
      <c r="CB8" s="248"/>
      <c r="CC8" s="248"/>
      <c r="CD8" s="248"/>
      <c r="CE8" s="248"/>
      <c r="CF8" s="248"/>
      <c r="CG8" s="248"/>
      <c r="CH8" s="246" t="s">
        <v>308</v>
      </c>
      <c r="CI8" s="247"/>
      <c r="CJ8" s="246" t="s">
        <v>309</v>
      </c>
      <c r="CK8" s="247"/>
      <c r="CL8" s="246" t="s">
        <v>310</v>
      </c>
      <c r="CM8" s="247"/>
      <c r="CN8" s="248"/>
      <c r="CO8" s="248"/>
      <c r="CP8" s="246" t="s">
        <v>311</v>
      </c>
      <c r="CQ8" s="247"/>
      <c r="CR8" s="246" t="s">
        <v>312</v>
      </c>
      <c r="CS8" s="247"/>
      <c r="CT8" s="246" t="s">
        <v>313</v>
      </c>
      <c r="CU8" s="247"/>
      <c r="CV8" s="246" t="s">
        <v>314</v>
      </c>
      <c r="CW8" s="247"/>
      <c r="CX8" s="246" t="s">
        <v>315</v>
      </c>
      <c r="CY8" s="247"/>
      <c r="CZ8" s="246" t="s">
        <v>316</v>
      </c>
      <c r="DA8" s="247"/>
      <c r="DB8" s="248"/>
      <c r="DC8" s="248"/>
      <c r="DD8" s="246" t="s">
        <v>317</v>
      </c>
      <c r="DE8" s="247"/>
      <c r="DF8" s="246" t="s">
        <v>318</v>
      </c>
      <c r="DG8" s="247"/>
      <c r="DH8" s="246" t="s">
        <v>319</v>
      </c>
      <c r="DI8" s="247"/>
      <c r="DJ8" s="246" t="s">
        <v>320</v>
      </c>
      <c r="DK8" s="247"/>
      <c r="DL8" s="246" t="s">
        <v>321</v>
      </c>
      <c r="DM8" s="247"/>
      <c r="DN8" s="246" t="s">
        <v>322</v>
      </c>
      <c r="DO8" s="247"/>
      <c r="DP8" s="246" t="s">
        <v>323</v>
      </c>
      <c r="DQ8" s="247"/>
      <c r="DR8" s="246" t="s">
        <v>324</v>
      </c>
      <c r="DS8" s="247"/>
      <c r="DT8" s="246" t="s">
        <v>325</v>
      </c>
      <c r="DU8" s="247"/>
      <c r="DV8" s="246" t="s">
        <v>326</v>
      </c>
      <c r="DW8" s="247"/>
      <c r="DX8" s="246" t="s">
        <v>327</v>
      </c>
      <c r="DY8" s="247"/>
      <c r="DZ8" s="246" t="s">
        <v>328</v>
      </c>
      <c r="EA8" s="247"/>
      <c r="EB8" s="246" t="s">
        <v>329</v>
      </c>
      <c r="EC8" s="247"/>
      <c r="ED8" s="246" t="s">
        <v>330</v>
      </c>
      <c r="EE8" s="247"/>
      <c r="EF8" s="246" t="s">
        <v>331</v>
      </c>
      <c r="EG8" s="247"/>
      <c r="EH8" s="246" t="s">
        <v>332</v>
      </c>
      <c r="EI8" s="247"/>
      <c r="EJ8" s="246" t="s">
        <v>333</v>
      </c>
      <c r="EK8" s="247"/>
      <c r="EL8" s="246" t="s">
        <v>334</v>
      </c>
      <c r="EM8" s="247"/>
      <c r="EN8" s="246" t="s">
        <v>335</v>
      </c>
      <c r="EO8" s="247"/>
      <c r="EP8" s="246" t="s">
        <v>336</v>
      </c>
      <c r="EQ8" s="247"/>
      <c r="ER8" s="246" t="s">
        <v>337</v>
      </c>
      <c r="ES8" s="247"/>
      <c r="ET8" s="246" t="s">
        <v>338</v>
      </c>
      <c r="EU8" s="247"/>
      <c r="EV8" s="246" t="s">
        <v>339</v>
      </c>
      <c r="EW8" s="247"/>
      <c r="EX8" s="246" t="s">
        <v>340</v>
      </c>
      <c r="EY8" s="247"/>
      <c r="EZ8" s="246" t="s">
        <v>341</v>
      </c>
      <c r="FA8" s="247"/>
      <c r="FB8" s="246" t="s">
        <v>342</v>
      </c>
      <c r="FC8" s="247"/>
      <c r="FD8" s="246" t="s">
        <v>343</v>
      </c>
      <c r="FE8" s="247"/>
      <c r="FF8" s="246" t="s">
        <v>344</v>
      </c>
      <c r="FG8" s="247"/>
      <c r="FH8" s="246" t="s">
        <v>345</v>
      </c>
      <c r="FI8" s="247"/>
      <c r="FJ8" s="246" t="s">
        <v>346</v>
      </c>
      <c r="FK8" s="247"/>
      <c r="FL8" s="246" t="s">
        <v>347</v>
      </c>
      <c r="FM8" s="247"/>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4" t="s">
        <v>348</v>
      </c>
      <c r="D2" s="274"/>
      <c r="E2" s="274" t="s">
        <v>349</v>
      </c>
      <c r="F2" s="274"/>
      <c r="G2" s="274" t="s">
        <v>350</v>
      </c>
      <c r="H2" s="274"/>
      <c r="I2" s="274" t="s">
        <v>351</v>
      </c>
      <c r="J2" s="274"/>
      <c r="K2" s="274" t="s">
        <v>352</v>
      </c>
      <c r="L2" s="274"/>
      <c r="M2" s="274" t="s">
        <v>353</v>
      </c>
      <c r="N2" s="274"/>
      <c r="O2" s="274" t="s">
        <v>354</v>
      </c>
      <c r="P2" s="274"/>
      <c r="Q2" s="274" t="s">
        <v>355</v>
      </c>
      <c r="R2" s="274"/>
      <c r="S2" s="274" t="s">
        <v>356</v>
      </c>
      <c r="T2" s="274"/>
      <c r="V2" s="274" t="s">
        <v>357</v>
      </c>
      <c r="W2" s="274"/>
      <c r="X2" s="274" t="s">
        <v>358</v>
      </c>
      <c r="Y2" s="274"/>
      <c r="Z2" s="274" t="s">
        <v>359</v>
      </c>
      <c r="AA2" s="274"/>
      <c r="AB2" s="274" t="s">
        <v>360</v>
      </c>
      <c r="AC2" s="274"/>
      <c r="AD2" s="274" t="s">
        <v>361</v>
      </c>
      <c r="AE2" s="274"/>
      <c r="AF2" s="274" t="s">
        <v>362</v>
      </c>
      <c r="AG2" s="274"/>
      <c r="AH2" s="274" t="s">
        <v>363</v>
      </c>
      <c r="AI2" s="274"/>
      <c r="AJ2" s="274" t="s">
        <v>364</v>
      </c>
      <c r="AK2" s="274"/>
      <c r="AL2" s="274" t="s">
        <v>365</v>
      </c>
      <c r="AM2" s="274"/>
      <c r="AO2" s="274" t="s">
        <v>366</v>
      </c>
      <c r="AP2" s="274"/>
      <c r="AQ2" s="274" t="s">
        <v>367</v>
      </c>
      <c r="AR2" s="274"/>
      <c r="AS2" s="274" t="s">
        <v>368</v>
      </c>
      <c r="AT2" s="274"/>
      <c r="AU2" s="274" t="s">
        <v>369</v>
      </c>
      <c r="AV2" s="274"/>
      <c r="AW2" s="274" t="s">
        <v>370</v>
      </c>
      <c r="AX2" s="274"/>
      <c r="AY2" s="274" t="s">
        <v>371</v>
      </c>
      <c r="AZ2" s="274"/>
      <c r="BA2" s="274" t="s">
        <v>372</v>
      </c>
      <c r="BB2" s="274"/>
      <c r="BC2" s="274" t="s">
        <v>373</v>
      </c>
      <c r="BD2" s="274"/>
      <c r="BE2" s="274" t="s">
        <v>374</v>
      </c>
      <c r="BF2" s="274"/>
      <c r="BH2" s="274" t="s">
        <v>104</v>
      </c>
      <c r="BI2" s="274"/>
      <c r="BJ2" s="274" t="s">
        <v>375</v>
      </c>
      <c r="BK2" s="274"/>
      <c r="BL2" s="274" t="s">
        <v>376</v>
      </c>
      <c r="BM2" s="274"/>
      <c r="BN2" s="274" t="s">
        <v>377</v>
      </c>
      <c r="BO2" s="274"/>
      <c r="BP2" s="274" t="s">
        <v>378</v>
      </c>
      <c r="BQ2" s="274"/>
      <c r="BR2" s="274" t="s">
        <v>379</v>
      </c>
      <c r="BS2" s="274"/>
      <c r="BT2" s="274" t="s">
        <v>380</v>
      </c>
      <c r="BU2" s="274"/>
      <c r="BV2" s="274" t="s">
        <v>381</v>
      </c>
      <c r="BW2" s="274"/>
      <c r="BX2" s="274" t="s">
        <v>382</v>
      </c>
      <c r="BY2" s="274"/>
      <c r="BZ2" s="274" t="s">
        <v>383</v>
      </c>
      <c r="CA2" s="274"/>
      <c r="CB2" s="274" t="s">
        <v>384</v>
      </c>
      <c r="CC2" s="274"/>
      <c r="CD2" s="274" t="s">
        <v>385</v>
      </c>
      <c r="CE2" s="274"/>
      <c r="CF2" s="274" t="s">
        <v>386</v>
      </c>
      <c r="CG2" s="274"/>
      <c r="CH2" s="274" t="s">
        <v>387</v>
      </c>
      <c r="CI2" s="274"/>
      <c r="CJ2" s="274" t="s">
        <v>388</v>
      </c>
      <c r="CK2" s="274"/>
      <c r="CL2" s="274" t="s">
        <v>389</v>
      </c>
      <c r="CM2" s="274"/>
      <c r="CN2" s="274" t="s">
        <v>390</v>
      </c>
      <c r="CO2" s="274"/>
      <c r="CP2" s="274" t="s">
        <v>391</v>
      </c>
      <c r="CQ2" s="274"/>
      <c r="CR2" s="274" t="s">
        <v>392</v>
      </c>
      <c r="CS2" s="274"/>
    </row>
    <row r="3" spans="1:97" s="56" customFormat="1" ht="49.5" customHeight="1">
      <c r="A3" s="118"/>
      <c r="B3" s="70"/>
      <c r="C3" s="273"/>
      <c r="D3" s="273"/>
      <c r="E3" s="276" t="s">
        <v>111</v>
      </c>
      <c r="F3" s="276"/>
      <c r="G3" s="273"/>
      <c r="H3" s="273"/>
      <c r="I3" s="277" t="s">
        <v>113</v>
      </c>
      <c r="J3" s="277"/>
      <c r="K3" s="273"/>
      <c r="L3" s="273"/>
      <c r="M3" s="273"/>
      <c r="N3" s="273"/>
      <c r="O3" s="273"/>
      <c r="P3" s="273"/>
      <c r="Q3" s="275" t="s">
        <v>114</v>
      </c>
      <c r="R3" s="275"/>
      <c r="S3" s="273"/>
      <c r="T3" s="273"/>
      <c r="U3" s="55"/>
      <c r="V3" s="275" t="s">
        <v>109</v>
      </c>
      <c r="W3" s="275"/>
      <c r="X3" s="273"/>
      <c r="Y3" s="273"/>
      <c r="Z3" s="273"/>
      <c r="AA3" s="273"/>
      <c r="AB3" s="273"/>
      <c r="AC3" s="273"/>
      <c r="AD3" s="273"/>
      <c r="AE3" s="273"/>
      <c r="AF3" s="273"/>
      <c r="AG3" s="273"/>
      <c r="AH3" s="273"/>
      <c r="AI3" s="273"/>
      <c r="AJ3" s="273"/>
      <c r="AK3" s="273"/>
      <c r="AL3" s="273"/>
      <c r="AM3" s="273"/>
      <c r="AN3" s="55"/>
      <c r="AO3" s="276" t="s">
        <v>112</v>
      </c>
      <c r="AP3" s="276"/>
      <c r="AQ3" s="273"/>
      <c r="AR3" s="273"/>
      <c r="AS3" s="273"/>
      <c r="AT3" s="273"/>
      <c r="AU3" s="273"/>
      <c r="AV3" s="273"/>
      <c r="AW3" s="273"/>
      <c r="AX3" s="273"/>
      <c r="AY3" s="273"/>
      <c r="AZ3" s="273"/>
      <c r="BA3" s="273"/>
      <c r="BB3" s="273"/>
      <c r="BC3" s="273"/>
      <c r="BD3" s="273"/>
      <c r="BE3" s="273"/>
      <c r="BF3" s="273"/>
      <c r="BG3" s="55"/>
      <c r="BH3" s="276" t="s">
        <v>110</v>
      </c>
      <c r="BI3" s="276"/>
      <c r="BJ3" s="273"/>
      <c r="BK3" s="273"/>
      <c r="BL3" s="273"/>
      <c r="BM3" s="273"/>
      <c r="BN3" s="273"/>
      <c r="BO3" s="273"/>
      <c r="BP3" s="273"/>
      <c r="BQ3" s="273"/>
      <c r="BR3" s="273"/>
      <c r="BS3" s="273"/>
      <c r="BT3" s="273"/>
      <c r="BU3" s="273"/>
      <c r="BV3" s="273"/>
      <c r="BW3" s="273"/>
      <c r="BX3" s="273"/>
      <c r="BY3" s="273"/>
      <c r="BZ3" s="273"/>
      <c r="CA3" s="273"/>
      <c r="CB3" s="273"/>
      <c r="CC3" s="273"/>
      <c r="CD3" s="273"/>
      <c r="CE3" s="273"/>
      <c r="CF3" s="273"/>
      <c r="CG3" s="273"/>
      <c r="CH3" s="273"/>
      <c r="CI3" s="273"/>
      <c r="CJ3" s="273"/>
      <c r="CK3" s="273"/>
      <c r="CL3" s="273"/>
      <c r="CM3" s="273"/>
      <c r="CN3" s="273"/>
      <c r="CO3" s="273"/>
      <c r="CP3" s="273"/>
      <c r="CQ3" s="273"/>
      <c r="CR3" s="273"/>
      <c r="CS3" s="273"/>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2023-02-16T07:36:54Z</dcterms:modified>
  <cp:category/>
  <cp:contentStatus/>
</cp:coreProperties>
</file>