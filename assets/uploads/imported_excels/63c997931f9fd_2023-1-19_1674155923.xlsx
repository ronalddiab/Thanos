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20" i="7" l="1"/>
  <c r="T21" i="7"/>
  <c r="T22" i="7"/>
  <c r="BF19" i="7" l="1"/>
  <c r="P18" i="7" l="1"/>
  <c r="D18" i="7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6" i="7"/>
  <c r="BJ7" i="7"/>
  <c r="BJ8" i="7"/>
  <c r="BJ9" i="7"/>
  <c r="BJ10" i="7"/>
  <c r="BJ11" i="7"/>
  <c r="BJ29" i="7"/>
  <c r="BJ30" i="7"/>
  <c r="BJ31" i="7"/>
  <c r="BJ32" i="7"/>
  <c r="BJ33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<sst xmlns="http://schemas.openxmlformats.org/spreadsheetml/2006/main" count="315" uniqueCount="148">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</sst>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 t="e">
        <f>Submetering!E20+Submetering!F20+Submetering!G20+Submetering!H20+Submetering!J20-Submetering!AV20</f>
        <v>#VALUE!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 t="e">
        <f>'FS Desroches Daily'!CM22</f>
        <v>#VALUE!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 t="str">
        <f>IF(LPG!F26-LPG!F25&lt;0,"0",(LPG!F26-LPG!F25)*1.8315)</f>
        <v>0</v>
      </c>
      <c r="AY19" s="31" t="str">
        <f>IF(LPG!H26-LPG!H25&lt;0,"0",(LPG!H26-LPG!H25)*1.8315)</f>
        <v>0</v>
      </c>
      <c r="AZ19" s="31" t="str">
        <f>IF(LPG!J26-LPG!J25&lt;0,"0",(LPG!J26-LPG!J25)*1.8315)</f>
        <v>0</v>
      </c>
      <c r="BA19" s="31" t="str">
        <f>IF(LPG!M26-LPG!M25&lt;0,"0",(LPG!M26-LPG!M25)*1.8315)</f>
        <v>0</v>
      </c>
      <c r="BB19" s="31" t="str">
        <f>IF(LPG!Q26-LPG!Q25&lt;0,"0",(LPG!Q26-LPG!Q25)*1.8315)</f>
        <v>0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 t="str">
        <f>'FS Desroches Daily'!D22</f>
        <v>0</v>
      </c>
      <c r="F20" s="32" t="str">
        <f>'FS Desroches Daily'!F22</f>
        <v>0</v>
      </c>
      <c r="G20" s="31" t="str">
        <f>'FS Desroches Daily'!H22</f>
        <v>0</v>
      </c>
      <c r="H20" s="32" t="str">
        <f>'FS Desroches Daily'!J22</f>
        <v>0</v>
      </c>
      <c r="I20" s="31" t="str">
        <f>'FS Desroches Daily'!L22</f>
        <v>0</v>
      </c>
      <c r="J20" s="32" t="str">
        <f>'FS Desroches Daily'!N22</f>
        <v/>
      </c>
      <c r="K20" s="13" t="str">
        <f>'FS Desroches Daily'!P22</f>
        <v/>
      </c>
      <c r="L20" s="31" t="str">
        <f>'FS Desroches Daily'!R22</f>
        <v/>
      </c>
      <c r="M20" s="31" t="e">
        <f>'FS Desroches Daily'!T22</f>
        <v>#VALUE!</v>
      </c>
      <c r="N20" s="31" t="str">
        <f>'FS Desroches Daily'!V22</f>
        <v/>
      </c>
      <c r="O20" s="31" t="str">
        <f>'FS Desroches Daily'!X22</f>
        <v/>
      </c>
      <c r="P20" s="31" t="str">
        <f>'FS Desroches Daily'!Z22</f>
        <v/>
      </c>
      <c r="Q20" s="31" t="str">
        <f>'FS Desroches Daily'!AB22</f>
        <v/>
      </c>
      <c r="R20" s="31" t="str">
        <f>'FS Desroches Daily'!AD22</f>
        <v/>
      </c>
      <c r="S20" s="31" t="str">
        <f>'FS Desroches Daily'!AF22</f>
        <v/>
      </c>
      <c r="T20" s="31" t="str">
        <f>'FS Desroches Daily'!AH22</f>
        <v/>
      </c>
      <c r="U20" s="35" t="str">
        <f>'FS Desroches Daily'!AJ22</f>
        <v/>
      </c>
      <c r="V20" s="35" t="str">
        <f>'FS Desroches Daily'!AL22</f>
        <v/>
      </c>
      <c r="W20" s="35" t="str">
        <f>'FS Desroches Daily'!AN22</f>
        <v/>
      </c>
      <c r="X20" s="35" t="str">
        <f>'FS Desroches Daily'!AP22</f>
        <v/>
      </c>
      <c r="Y20" s="35" t="str">
        <f>'FS Desroches Daily'!AR22</f>
        <v/>
      </c>
      <c r="Z20" s="35" t="str">
        <f>'FS Desroches Daily'!AT22</f>
        <v/>
      </c>
      <c r="AA20" s="35" t="str">
        <f>'FS Desroches Daily'!AT22</f>
        <v/>
      </c>
      <c r="AB20" s="35" t="str">
        <f>'FS Desroches Daily'!AV22</f>
        <v/>
      </c>
      <c r="AC20" s="35" t="str">
        <f>'FS Desroches Daily'!AZ22</f>
        <v/>
      </c>
      <c r="AD20" s="35" t="str">
        <f>'FS Desroches Daily'!BB22</f>
        <v/>
      </c>
      <c r="AE20" s="35" t="str">
        <f>'FS Desroches Daily'!BD22</f>
        <v/>
      </c>
      <c r="AF20" s="31" t="str">
        <f>'FS Desroches Daily'!BF22</f>
        <v/>
      </c>
      <c r="AG20" s="32" t="str">
        <f>'FS Desroches Daily'!BH22</f>
        <v/>
      </c>
      <c r="AH20" s="32" t="str">
        <f>'FS Desroches Daily'!BJ22</f>
        <v/>
      </c>
      <c r="AI20" s="32" t="str">
        <f>'FS Desroches Daily'!BL22</f>
        <v/>
      </c>
      <c r="AJ20" s="32" t="str">
        <f>'FS Desroches Daily'!BN22</f>
        <v/>
      </c>
      <c r="AK20" s="32" t="str">
        <f>'FS Desroches Daily'!BP22</f>
        <v/>
      </c>
      <c r="AL20" s="32" t="str">
        <f>'FS Desroches Daily'!BR22</f>
        <v/>
      </c>
      <c r="AM20" s="32" t="str">
        <f>'FS Desroches Daily'!BT22</f>
        <v/>
      </c>
      <c r="AN20" s="32" t="str">
        <f>'FS Desroches Daily'!BV22</f>
        <v/>
      </c>
      <c r="AO20" s="32" t="str">
        <f>'FS Desroches Daily'!BX22</f>
        <v/>
      </c>
      <c r="AP20" s="32" t="str">
        <f>'FS Desroches Daily'!BZ22</f>
        <v/>
      </c>
      <c r="AQ20" s="31" t="str">
        <f>'FS Desroches Daily'!CB22</f>
        <v/>
      </c>
      <c r="AR20" s="31" t="str">
        <f>'FS Desroches Daily'!CD22</f>
        <v/>
      </c>
      <c r="AS20" s="31" t="str">
        <f>'FS Desroches Daily'!CF22</f>
        <v/>
      </c>
      <c r="AT20" s="31" t="str">
        <f>'FS Desroches Daily'!CH22</f>
        <v/>
      </c>
      <c r="AU20" s="31" t="str">
        <f>'FS Desroches Daily'!CJ22</f>
        <v/>
      </c>
      <c r="AV20" s="31" t="str">
        <f>'FS Desroches Daily'!CL22</f>
        <v/>
      </c>
      <c r="AW20" s="31" t="e">
        <f>'FS Desroches Daily'!CM22</f>
        <v>#VALUE!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58400.000000000255</v>
      </c>
      <c r="F33" s="17">
        <f t="shared" ref="F33:BC33" si="0">SUM(F2:F32)</f>
        <v>60500.00000000024</v>
      </c>
      <c r="G33" s="17">
        <f t="shared" si="0"/>
        <v>73399.999999999491</v>
      </c>
      <c r="H33" s="17">
        <f t="shared" si="0"/>
        <v>29799.999999999836</v>
      </c>
      <c r="I33" s="17">
        <f t="shared" si="0"/>
        <v>47600.000000000095</v>
      </c>
      <c r="J33" s="17">
        <f t="shared" si="0"/>
        <v>30100.000000000029</v>
      </c>
      <c r="K33" s="17">
        <f t="shared" si="0"/>
        <v>520</v>
      </c>
      <c r="L33" s="17">
        <f t="shared" si="0"/>
        <v>80</v>
      </c>
      <c r="M33" s="17" t="e">
        <f t="shared" si="0"/>
        <v>#VALUE!</v>
      </c>
      <c r="N33" s="17">
        <f t="shared" si="0"/>
        <v>9120</v>
      </c>
      <c r="O33" s="17">
        <f t="shared" si="0"/>
        <v>6139.9999999999864</v>
      </c>
      <c r="P33" s="17">
        <f t="shared" si="0"/>
        <v>54000.000000000284</v>
      </c>
      <c r="Q33" s="17">
        <f t="shared" si="0"/>
        <v>6120.0000000000045</v>
      </c>
      <c r="R33" s="17">
        <f t="shared" si="0"/>
        <v>6700.0000000000455</v>
      </c>
      <c r="S33" s="17">
        <f t="shared" si="0"/>
        <v>15099.999999999909</v>
      </c>
      <c r="T33" s="17">
        <f t="shared" si="0"/>
        <v>840</v>
      </c>
      <c r="U33" s="35">
        <f t="shared" si="0"/>
        <v>15700.000000000049</v>
      </c>
      <c r="V33" s="35">
        <f t="shared" si="0"/>
        <v>4350.0000000000236</v>
      </c>
      <c r="W33" s="35">
        <f t="shared" si="0"/>
        <v>3019.9999999999818</v>
      </c>
      <c r="X33" s="35">
        <f t="shared" si="0"/>
        <v>4430.0000000000073</v>
      </c>
      <c r="Y33" s="35">
        <f t="shared" si="0"/>
        <v>3810.0000000000023</v>
      </c>
      <c r="Z33" s="35">
        <f t="shared" si="0"/>
        <v>5335.5199999999895</v>
      </c>
      <c r="AA33" s="35">
        <f t="shared" si="0"/>
        <v>5335.5199999999895</v>
      </c>
      <c r="AB33" s="35">
        <f t="shared" si="0"/>
        <v>3449.9999999999886</v>
      </c>
      <c r="AC33" s="35">
        <f t="shared" si="0"/>
        <v>3219.9999999999704</v>
      </c>
      <c r="AD33" s="35">
        <f t="shared" si="0"/>
        <v>3110.0000000000136</v>
      </c>
      <c r="AE33" s="35">
        <f t="shared" si="0"/>
        <v>2560.0000000000023</v>
      </c>
      <c r="AF33" s="17">
        <f t="shared" si="0"/>
        <v>838</v>
      </c>
      <c r="AG33" s="32">
        <f t="shared" si="0"/>
        <v>720.00000000002728</v>
      </c>
      <c r="AH33" s="32">
        <f t="shared" si="0"/>
        <v>759.99999999999091</v>
      </c>
      <c r="AI33" s="32">
        <f t="shared" si="0"/>
        <v>1149.9999999999773</v>
      </c>
      <c r="AJ33" s="32">
        <f t="shared" si="0"/>
        <v>769.99999999998181</v>
      </c>
      <c r="AK33" s="32">
        <f t="shared" si="0"/>
        <v>649.99999999997726</v>
      </c>
      <c r="AL33" s="32">
        <f t="shared" si="0"/>
        <v>802</v>
      </c>
      <c r="AM33" s="32">
        <f t="shared" si="0"/>
        <v>780.00000000000114</v>
      </c>
      <c r="AN33" s="32">
        <f t="shared" si="0"/>
        <v>783</v>
      </c>
      <c r="AO33" s="32">
        <f t="shared" si="0"/>
        <v>729.99999999998977</v>
      </c>
      <c r="AP33" s="32">
        <f t="shared" si="0"/>
        <v>937</v>
      </c>
      <c r="AQ33" s="17">
        <f t="shared" si="0"/>
        <v>1470.5999999999985</v>
      </c>
      <c r="AR33" s="17">
        <f t="shared" si="0"/>
        <v>276.80000000000291</v>
      </c>
      <c r="AS33" s="17">
        <f t="shared" si="0"/>
        <v>59.299999999999272</v>
      </c>
      <c r="AT33" s="17">
        <f t="shared" si="0"/>
        <v>1044.6000000000058</v>
      </c>
      <c r="AU33" s="17">
        <f t="shared" si="0"/>
        <v>5653</v>
      </c>
      <c r="AV33" s="17">
        <f t="shared" si="0"/>
        <v>19500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87.911999999999992</v>
      </c>
      <c r="BC33" s="17">
        <f t="shared" si="0"/>
        <v>617</v>
      </c>
    </row>
    <row r="35" spans="5:55" x14ac:dyDescent="0.25">
      <c r="E35" s="38">
        <f>E33/E37</f>
        <v>0.23999539734854519</v>
      </c>
      <c r="G35" s="29" t="e">
        <f>G33-M36</f>
        <v>#VALUE!</v>
      </c>
      <c r="AE35" s="35">
        <f>SUM(U33:AE33)</f>
        <v>54321.040000000015</v>
      </c>
      <c r="AG35" s="32">
        <f>SUM(AG33:AP33)</f>
        <v>8081.9999999999454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243337.99999999985</v>
      </c>
      <c r="G37" s="37" t="e">
        <f>M36/E37</f>
        <v>#VALUE!</v>
      </c>
      <c r="M37" s="35">
        <f>AE35</f>
        <v>54321.040000000015</v>
      </c>
    </row>
    <row r="38" spans="5:55" x14ac:dyDescent="0.25">
      <c r="L38" s="27">
        <f>M38/E37</f>
        <v>3.3213061667310285E-2</v>
      </c>
      <c r="M38" s="29">
        <f>AG35</f>
        <v>8081.9999999999454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A1" zoomScale="82" zoomScaleNormal="82" workbookViewId="0">
      <pane ySplit="1" topLeftCell="A2" activePane="bottomLeft" state="frozen"/>
      <selection pane="bottomLeft" activeCell="BF21" sqref="BF2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/>
      <c r="D22" s="64" t="str">
        <f t="shared" si="0"/>
        <v>0</v>
      </c>
      <c r="E22" s="58"/>
      <c r="F22" s="64" t="str">
        <f t="shared" si="1"/>
        <v>0</v>
      </c>
      <c r="G22" s="58"/>
      <c r="H22" s="64" t="str">
        <f t="shared" si="2"/>
        <v>0</v>
      </c>
      <c r="I22" s="58"/>
      <c r="J22" s="64" t="str">
        <f t="shared" si="3"/>
        <v>0</v>
      </c>
      <c r="K22" s="58"/>
      <c r="L22" s="64" t="str">
        <f t="shared" si="48"/>
        <v>0</v>
      </c>
      <c r="M22" s="58"/>
      <c r="N22" s="64" t="str">
        <f t="shared" si="49"/>
        <v/>
      </c>
      <c r="O22" s="58"/>
      <c r="P22" s="67" t="str">
        <f t="shared" si="6"/>
        <v/>
      </c>
      <c r="Q22" s="58"/>
      <c r="R22" s="67" t="str">
        <f t="shared" si="7"/>
        <v/>
      </c>
      <c r="S22" s="58"/>
      <c r="T22" s="67" t="e">
        <f t="shared" si="8"/>
        <v>#VALUE!</v>
      </c>
      <c r="U22" s="58"/>
      <c r="V22" s="67" t="str">
        <f t="shared" si="9"/>
        <v/>
      </c>
      <c r="W22" s="58"/>
      <c r="X22" s="65" t="str">
        <f t="shared" si="10"/>
        <v/>
      </c>
      <c r="Y22" s="58"/>
      <c r="Z22" s="65" t="str">
        <f t="shared" si="11"/>
        <v/>
      </c>
      <c r="AA22" s="58"/>
      <c r="AB22" s="65" t="str">
        <f t="shared" si="12"/>
        <v/>
      </c>
      <c r="AC22" s="58"/>
      <c r="AD22" s="65" t="str">
        <f t="shared" si="13"/>
        <v/>
      </c>
      <c r="AE22" s="58"/>
      <c r="AF22" s="65" t="str">
        <f t="shared" si="14"/>
        <v/>
      </c>
      <c r="AG22" s="58"/>
      <c r="AH22" s="67" t="str">
        <f t="shared" si="15"/>
        <v/>
      </c>
      <c r="AI22" s="58"/>
      <c r="AJ22" s="65" t="str">
        <f t="shared" si="16"/>
        <v/>
      </c>
      <c r="AK22" s="58"/>
      <c r="AL22" s="65" t="str">
        <f t="shared" si="17"/>
        <v/>
      </c>
      <c r="AM22" s="58"/>
      <c r="AN22" s="65" t="str">
        <f t="shared" si="18"/>
        <v/>
      </c>
      <c r="AO22" s="58"/>
      <c r="AP22" s="65" t="str">
        <f t="shared" si="19"/>
        <v/>
      </c>
      <c r="AQ22" s="58"/>
      <c r="AR22" s="65" t="str">
        <f t="shared" si="20"/>
        <v/>
      </c>
      <c r="AS22" s="58"/>
      <c r="AT22" s="65" t="str">
        <f t="shared" si="21"/>
        <v/>
      </c>
      <c r="AU22" s="58"/>
      <c r="AV22" s="65" t="str">
        <f t="shared" si="22"/>
        <v/>
      </c>
      <c r="AW22" s="58"/>
      <c r="AX22" s="65" t="str">
        <f t="shared" si="23"/>
        <v/>
      </c>
      <c r="AY22" s="58"/>
      <c r="AZ22" s="65" t="str">
        <f t="shared" si="24"/>
        <v/>
      </c>
      <c r="BA22" s="58"/>
      <c r="BB22" s="65" t="str">
        <f t="shared" si="25"/>
        <v/>
      </c>
      <c r="BC22" s="58"/>
      <c r="BD22" s="65" t="str">
        <f t="shared" si="26"/>
        <v/>
      </c>
      <c r="BE22" s="59"/>
      <c r="BF22" s="67" t="str">
        <f t="shared" si="27"/>
        <v/>
      </c>
      <c r="BG22" s="60"/>
      <c r="BH22" s="65" t="str">
        <f t="shared" si="28"/>
        <v/>
      </c>
      <c r="BI22" s="60"/>
      <c r="BJ22" s="65" t="str">
        <f t="shared" si="29"/>
        <v/>
      </c>
      <c r="BK22" s="60"/>
      <c r="BL22" s="65" t="str">
        <f t="shared" si="30"/>
        <v/>
      </c>
      <c r="BM22" s="60"/>
      <c r="BN22" s="65" t="str">
        <f t="shared" si="31"/>
        <v/>
      </c>
      <c r="BO22" s="60"/>
      <c r="BP22" s="65" t="str">
        <f t="shared" si="32"/>
        <v/>
      </c>
      <c r="BQ22" s="60"/>
      <c r="BR22" s="65" t="str">
        <f t="shared" si="33"/>
        <v/>
      </c>
      <c r="BS22" s="60"/>
      <c r="BT22" s="65" t="str">
        <f t="shared" si="34"/>
        <v/>
      </c>
      <c r="BU22" s="60"/>
      <c r="BV22" s="65" t="str">
        <f t="shared" si="35"/>
        <v/>
      </c>
      <c r="BW22" s="60"/>
      <c r="BX22" s="65" t="str">
        <f t="shared" si="36"/>
        <v/>
      </c>
      <c r="BY22" s="60"/>
      <c r="BZ22" s="67" t="str">
        <f t="shared" si="37"/>
        <v/>
      </c>
      <c r="CA22" s="60"/>
      <c r="CB22" s="67" t="str">
        <f t="shared" si="38"/>
        <v/>
      </c>
      <c r="CC22" s="60"/>
      <c r="CD22" s="67" t="str">
        <f t="shared" si="39"/>
        <v/>
      </c>
      <c r="CE22" s="60"/>
      <c r="CF22" s="67" t="str">
        <f t="shared" si="40"/>
        <v/>
      </c>
      <c r="CG22" s="60"/>
      <c r="CH22" s="67" t="str">
        <f t="shared" si="41"/>
        <v/>
      </c>
      <c r="CI22" s="60"/>
      <c r="CJ22" s="67" t="str">
        <f t="shared" si="42"/>
        <v/>
      </c>
      <c r="CK22" s="60"/>
      <c r="CL22" s="64" t="str">
        <f t="shared" si="43"/>
        <v/>
      </c>
      <c r="CM22" s="65" t="e">
        <f t="shared" si="50"/>
        <v>#VALUE!</v>
      </c>
      <c r="CN22" s="62"/>
      <c r="CO22" s="62"/>
      <c r="CP22" s="68"/>
      <c r="CQ22" s="67" t="str">
        <f t="shared" si="51"/>
        <v/>
      </c>
      <c r="CR22" s="68"/>
      <c r="CS22" s="67" t="str">
        <f t="shared" si="44"/>
        <v/>
      </c>
      <c r="CT22" s="75"/>
      <c r="CU22" s="67" t="str">
        <f t="shared" si="45"/>
        <v/>
      </c>
      <c r="CV22" s="68"/>
      <c r="CW22" s="67" t="str">
        <f t="shared" si="46"/>
        <v/>
      </c>
      <c r="CX22" s="58"/>
      <c r="CY22" s="67" t="str">
        <f t="shared" si="47"/>
        <v/>
      </c>
    </row>
    <row r="23" spans="1:103" ht="25.5" customHeight="1" thickBot="1" x14ac:dyDescent="0.45">
      <c r="A23" s="63">
        <v>44946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8"/>
        <v>0</v>
      </c>
      <c r="M23" s="58"/>
      <c r="N23" s="64">
        <f t="shared" si="49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51"/>
        <v>0</v>
      </c>
      <c r="CR23" s="68"/>
      <c r="CS23" s="67">
        <f t="shared" si="44"/>
        <v>0</v>
      </c>
      <c r="CT23" s="75"/>
      <c r="CU23" s="67">
        <f t="shared" si="45"/>
        <v>0</v>
      </c>
      <c r="CV23" s="68"/>
      <c r="CW23" s="67">
        <f t="shared" si="46"/>
        <v>0</v>
      </c>
      <c r="CX23" s="58"/>
      <c r="CY23" s="67">
        <f t="shared" si="47"/>
        <v>0</v>
      </c>
    </row>
    <row r="24" spans="1:103" ht="25.5" customHeight="1" thickBot="1" x14ac:dyDescent="0.45">
      <c r="A24" s="63">
        <v>44947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8"/>
        <v>0</v>
      </c>
      <c r="M24" s="58"/>
      <c r="N24" s="64">
        <f t="shared" si="49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50"/>
        <v>0</v>
      </c>
      <c r="CN24" s="62"/>
      <c r="CO24" s="62"/>
      <c r="CP24" s="68"/>
      <c r="CQ24" s="67">
        <f t="shared" si="51"/>
        <v>0</v>
      </c>
      <c r="CR24" s="68"/>
      <c r="CS24" s="67">
        <f t="shared" si="44"/>
        <v>0</v>
      </c>
      <c r="CT24" s="75"/>
      <c r="CU24" s="67">
        <f t="shared" si="45"/>
        <v>0</v>
      </c>
      <c r="CV24" s="68"/>
      <c r="CW24" s="67">
        <f t="shared" si="46"/>
        <v>0</v>
      </c>
      <c r="CX24" s="58"/>
      <c r="CY24" s="67">
        <f t="shared" si="47"/>
        <v>0</v>
      </c>
    </row>
    <row r="25" spans="1:103" ht="25.5" customHeight="1" thickBot="1" x14ac:dyDescent="0.45">
      <c r="A25" s="63">
        <v>44948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8"/>
        <v>0</v>
      </c>
      <c r="M25" s="58"/>
      <c r="N25" s="64">
        <f t="shared" si="49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50"/>
        <v>0</v>
      </c>
      <c r="CN25" s="62"/>
      <c r="CO25" s="62"/>
      <c r="CP25" s="68"/>
      <c r="CQ25" s="67">
        <f t="shared" si="51"/>
        <v>0</v>
      </c>
      <c r="CR25" s="68"/>
      <c r="CS25" s="67">
        <f t="shared" si="44"/>
        <v>0</v>
      </c>
      <c r="CT25" s="75"/>
      <c r="CU25" s="67">
        <f t="shared" si="45"/>
        <v>0</v>
      </c>
      <c r="CV25" s="68"/>
      <c r="CW25" s="67">
        <f t="shared" si="46"/>
        <v>0</v>
      </c>
      <c r="CX25" s="58"/>
      <c r="CY25" s="67">
        <f t="shared" si="47"/>
        <v>0</v>
      </c>
    </row>
    <row r="26" spans="1:103" ht="25.5" customHeight="1" thickBot="1" x14ac:dyDescent="0.45">
      <c r="A26" s="63">
        <v>44949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8"/>
        <v>0</v>
      </c>
      <c r="M26" s="58"/>
      <c r="N26" s="64">
        <f t="shared" si="49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50"/>
        <v>0</v>
      </c>
      <c r="CN26" s="62"/>
      <c r="CO26" s="62"/>
      <c r="CP26" s="68"/>
      <c r="CQ26" s="67">
        <f t="shared" si="51"/>
        <v>0</v>
      </c>
      <c r="CR26" s="68"/>
      <c r="CS26" s="67">
        <f t="shared" si="44"/>
        <v>0</v>
      </c>
      <c r="CT26" s="75"/>
      <c r="CU26" s="67">
        <f t="shared" si="45"/>
        <v>0</v>
      </c>
      <c r="CV26" s="68"/>
      <c r="CW26" s="67">
        <f t="shared" si="46"/>
        <v>0</v>
      </c>
      <c r="CX26" s="58"/>
      <c r="CY26" s="67">
        <f t="shared" si="47"/>
        <v>0</v>
      </c>
    </row>
    <row r="27" spans="1:103" ht="25.5" customHeight="1" thickBot="1" x14ac:dyDescent="0.45">
      <c r="A27" s="63">
        <v>44950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8"/>
        <v>0</v>
      </c>
      <c r="M27" s="58"/>
      <c r="N27" s="64">
        <f t="shared" si="49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50"/>
        <v>0</v>
      </c>
      <c r="CN27" s="62"/>
      <c r="CO27" s="62"/>
      <c r="CP27" s="68"/>
      <c r="CQ27" s="67">
        <f t="shared" si="51"/>
        <v>0</v>
      </c>
      <c r="CR27" s="68"/>
      <c r="CS27" s="67">
        <f t="shared" si="44"/>
        <v>0</v>
      </c>
      <c r="CT27" s="75"/>
      <c r="CU27" s="67">
        <f t="shared" si="45"/>
        <v>0</v>
      </c>
      <c r="CV27" s="68"/>
      <c r="CW27" s="67">
        <f t="shared" si="46"/>
        <v>0</v>
      </c>
      <c r="CX27" s="58"/>
      <c r="CY27" s="67">
        <f t="shared" si="47"/>
        <v>0</v>
      </c>
    </row>
    <row r="28" spans="1:103" ht="25.5" customHeight="1" thickBot="1" x14ac:dyDescent="0.45">
      <c r="A28" s="63">
        <v>44951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8"/>
        <v>0</v>
      </c>
      <c r="M28" s="58"/>
      <c r="N28" s="64">
        <f t="shared" si="49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50"/>
        <v>0</v>
      </c>
      <c r="CN28" s="62"/>
      <c r="CO28" s="62"/>
      <c r="CP28" s="68"/>
      <c r="CQ28" s="67">
        <f t="shared" si="51"/>
        <v>0</v>
      </c>
      <c r="CR28" s="68"/>
      <c r="CS28" s="67">
        <f t="shared" si="44"/>
        <v>0</v>
      </c>
      <c r="CT28" s="75"/>
      <c r="CU28" s="67">
        <f t="shared" si="45"/>
        <v>0</v>
      </c>
      <c r="CV28" s="68"/>
      <c r="CW28" s="67">
        <f t="shared" si="46"/>
        <v>0</v>
      </c>
      <c r="CX28" s="58"/>
      <c r="CY28" s="67">
        <f t="shared" si="47"/>
        <v>0</v>
      </c>
    </row>
    <row r="29" spans="1:103" ht="25.5" customHeight="1" thickBot="1" x14ac:dyDescent="0.45">
      <c r="A29" s="63">
        <v>44952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8"/>
        <v>0</v>
      </c>
      <c r="M29" s="58"/>
      <c r="N29" s="64">
        <f t="shared" si="49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50"/>
        <v>0</v>
      </c>
      <c r="CN29" s="62"/>
      <c r="CO29" s="62"/>
      <c r="CP29" s="68"/>
      <c r="CQ29" s="67">
        <f t="shared" si="51"/>
        <v>0</v>
      </c>
      <c r="CR29" s="68"/>
      <c r="CS29" s="67">
        <f t="shared" si="44"/>
        <v>0</v>
      </c>
      <c r="CT29" s="75"/>
      <c r="CU29" s="67">
        <f t="shared" si="45"/>
        <v>0</v>
      </c>
      <c r="CV29" s="68"/>
      <c r="CW29" s="67">
        <f t="shared" si="46"/>
        <v>0</v>
      </c>
      <c r="CX29" s="58"/>
      <c r="CY29" s="67">
        <f t="shared" si="47"/>
        <v>0</v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/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25" sqref="C25:Q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-233</v>
      </c>
    </row>
    <row r="27" spans="1:20" x14ac:dyDescent="0.25">
      <c r="A27" s="73">
        <v>44946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44947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44948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44949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44950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44951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2023-01-19T19:17:30Z</dcterms:modified>
</cp:coreProperties>
</file>