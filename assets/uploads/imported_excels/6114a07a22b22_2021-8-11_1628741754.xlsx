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<sst xmlns="http://schemas.openxmlformats.org/spreadsheetml/2006/main" count="128" uniqueCount="49">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</sst>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Submetering!R9</f>
        <v>1054.6152259999999</v>
      </c>
      <c r="H9" s="11">
        <v>0.52800000000000002</v>
      </c>
      <c r="I9" s="12">
        <f>Hotel!B14</f>
        <v>123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Submetering!R10</f>
        <v>1020.5465359999999</v>
      </c>
      <c r="H10" s="11">
        <v>0.52800000000000002</v>
      </c>
      <c r="I10" s="12">
        <f>Hotel!B15</f>
        <v>74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70150</v>
      </c>
      <c r="F11" s="11">
        <v>5.0000000000000001E-3</v>
      </c>
      <c r="G11" s="12">
        <f>Submetering!R11</f>
        <v>1088.3053749999999</v>
      </c>
      <c r="H11" s="11">
        <v>0.52800000000000002</v>
      </c>
      <c r="I11" s="12">
        <f>Hotel!B16</f>
        <v>83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55000</v>
      </c>
      <c r="F12" s="11">
        <v>5.0000000000000001E-3</v>
      </c>
      <c r="G12" s="12">
        <f>Submetering!R12</f>
        <v>925.53274499999998</v>
      </c>
      <c r="H12" s="11">
        <v>0.52800000000000002</v>
      </c>
      <c r="I12" s="12">
        <f>Hotel!B17</f>
        <v>69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Hotel!AV14*0.00378541*100</f>
        <v>1054.6152259999999</v>
      </c>
      <c r="S9" s="4">
        <f>Hotel!B14</f>
        <v>123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Hotel!AV15*0.00378541*100</f>
        <v>1020.5465359999999</v>
      </c>
      <c r="S10" s="4">
        <f>Hotel!B15</f>
        <v>74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1120</v>
      </c>
      <c r="F11" s="4">
        <f>Hotel!R16</f>
        <v>15560</v>
      </c>
      <c r="G11" s="4">
        <f>Hotel!S16</f>
        <v>4210</v>
      </c>
      <c r="H11" s="4">
        <f>Hotel!T16</f>
        <v>1890</v>
      </c>
      <c r="I11" s="4">
        <f>Hotel!U16</f>
        <v>4550</v>
      </c>
      <c r="J11" s="4">
        <f>Hotel!V16</f>
        <v>3890</v>
      </c>
      <c r="K11" s="4">
        <f>Hotel!W16</f>
        <v>2630</v>
      </c>
      <c r="L11" s="4">
        <f>Hotel!X16</f>
        <v>4520</v>
      </c>
      <c r="M11" s="4">
        <f>Hotel!Y16</f>
        <v>6150</v>
      </c>
      <c r="N11" s="4">
        <f>Hotel!Z16</f>
        <v>2820</v>
      </c>
      <c r="O11" s="4">
        <f>Hotel!AA16</f>
        <v>3200</v>
      </c>
      <c r="P11" s="4">
        <f>Hotel!AB16</f>
        <v>8360</v>
      </c>
      <c r="Q11" s="4">
        <f>Hotel!AC16</f>
        <v>11250</v>
      </c>
      <c r="R11" s="4">
        <f>Hotel!AV16*0.00378541*100</f>
        <v>1088.3053749999999</v>
      </c>
      <c r="S11" s="4">
        <f>Hotel!B16</f>
        <v>83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880</v>
      </c>
      <c r="F12" s="4">
        <f>Hotel!R17</f>
        <v>12410</v>
      </c>
      <c r="G12" s="4">
        <f>Hotel!S17</f>
        <v>3380</v>
      </c>
      <c r="H12" s="4">
        <f>Hotel!T17</f>
        <v>1470</v>
      </c>
      <c r="I12" s="4">
        <f>Hotel!U17</f>
        <v>3580</v>
      </c>
      <c r="J12" s="4">
        <f>Hotel!V17</f>
        <v>3120</v>
      </c>
      <c r="K12" s="4">
        <f>Hotel!W17</f>
        <v>2090</v>
      </c>
      <c r="L12" s="4">
        <f>Hotel!X17</f>
        <v>3720</v>
      </c>
      <c r="M12" s="4">
        <f>Hotel!Y17</f>
        <v>4850</v>
      </c>
      <c r="N12" s="4">
        <f>Hotel!Z17</f>
        <v>2240</v>
      </c>
      <c r="O12" s="4">
        <f>Hotel!AA17</f>
        <v>2610</v>
      </c>
      <c r="P12" s="4">
        <f>Hotel!AB17</f>
        <v>6750</v>
      </c>
      <c r="Q12" s="4">
        <f>Hotel!AC17</f>
        <v>7900</v>
      </c>
      <c r="R12" s="4">
        <f>Hotel!AV17*0.00378541*100</f>
        <v>925.53274499999998</v>
      </c>
      <c r="S12" s="4">
        <f>Hotel!B17</f>
        <v>69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 t="str">
        <f>Hotel!Q18</f>
        <v>0</v>
      </c>
      <c r="F13" s="4" t="str">
        <f>Hotel!R18</f>
        <v>0</v>
      </c>
      <c r="G13" s="4" t="str">
        <f>Hotel!S18</f>
        <v>0</v>
      </c>
      <c r="H13" s="4" t="str">
        <f>Hotel!T18</f>
        <v>0</v>
      </c>
      <c r="I13" s="4" t="str">
        <f>Hotel!U18</f>
        <v>0</v>
      </c>
      <c r="J13" s="4" t="str">
        <f>Hotel!V18</f>
        <v>0</v>
      </c>
      <c r="K13" s="4" t="str">
        <f>Hotel!W18</f>
        <v>0</v>
      </c>
      <c r="L13" s="4" t="str">
        <f>Hotel!X18</f>
        <v>0</v>
      </c>
      <c r="M13" s="4" t="str">
        <f>Hotel!Y18</f>
        <v>0</v>
      </c>
      <c r="N13" s="4" t="str">
        <f>Hotel!Z18</f>
        <v>0</v>
      </c>
      <c r="O13" s="4" t="str">
        <f>Hotel!AA18</f>
        <v>0</v>
      </c>
      <c r="P13" s="4" t="str">
        <f>Hotel!AB18</f>
        <v>0</v>
      </c>
      <c r="Q13" s="4" t="str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P24" sqref="AP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53"/>
      <c r="Q14" s="37">
        <f t="shared" si="17"/>
        <v>1000</v>
      </c>
      <c r="R14" s="37">
        <f t="shared" si="18"/>
        <v>14290</v>
      </c>
      <c r="S14" s="37">
        <f t="shared" si="16"/>
        <v>3920</v>
      </c>
      <c r="T14" s="37">
        <f t="shared" si="32"/>
        <v>1670</v>
      </c>
      <c r="U14" s="37">
        <f t="shared" si="32"/>
        <v>4360</v>
      </c>
      <c r="V14" s="37">
        <f t="shared" si="32"/>
        <v>3540</v>
      </c>
      <c r="W14" s="37">
        <f t="shared" si="32"/>
        <v>2320</v>
      </c>
      <c r="X14" s="37">
        <f t="shared" si="23"/>
        <v>3870</v>
      </c>
      <c r="Y14" s="37">
        <f t="shared" si="24"/>
        <v>5670</v>
      </c>
      <c r="Z14" s="37">
        <f>IF((L14-L13&lt;0), "0",L14-L13)</f>
        <v>2850</v>
      </c>
      <c r="AA14" s="37">
        <f t="shared" si="26"/>
        <v>3180</v>
      </c>
      <c r="AB14" s="37">
        <f t="shared" si="27"/>
        <v>7700</v>
      </c>
      <c r="AC14" s="37">
        <f t="shared" si="28"/>
        <v>8600</v>
      </c>
      <c r="AD14" s="35">
        <f t="shared" si="29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0"/>
        <v>314.85000000000002</v>
      </c>
      <c r="AU14" s="47">
        <v>133531</v>
      </c>
      <c r="AV14" s="37">
        <f t="shared" si="31"/>
        <v>2786</v>
      </c>
      <c r="AW14" s="35">
        <f t="shared" si="14"/>
        <v>5.5720000000000001</v>
      </c>
    </row>
    <row r="15" spans="1:49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17"/>
        <v>1050</v>
      </c>
      <c r="R15" s="37">
        <f t="shared" si="18"/>
        <v>14670</v>
      </c>
      <c r="S15" s="37">
        <f t="shared" si="16"/>
        <v>3980</v>
      </c>
      <c r="T15" s="37">
        <f t="shared" si="19"/>
        <v>1770</v>
      </c>
      <c r="U15" s="37">
        <f t="shared" si="20"/>
        <v>4470</v>
      </c>
      <c r="V15" s="37">
        <f t="shared" si="21"/>
        <v>3710</v>
      </c>
      <c r="W15" s="37">
        <f t="shared" si="22"/>
        <v>2500</v>
      </c>
      <c r="X15" s="37">
        <f t="shared" si="23"/>
        <v>3910</v>
      </c>
      <c r="Y15" s="37">
        <f t="shared" si="24"/>
        <v>5920</v>
      </c>
      <c r="Z15" s="37">
        <f t="shared" si="25"/>
        <v>2820</v>
      </c>
      <c r="AA15" s="37">
        <f t="shared" si="26"/>
        <v>3170</v>
      </c>
      <c r="AB15" s="37">
        <f t="shared" si="27"/>
        <v>8190</v>
      </c>
      <c r="AC15" s="37">
        <f t="shared" si="28"/>
        <v>9770</v>
      </c>
      <c r="AD15" s="35">
        <f t="shared" si="29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0"/>
        <v>329.65000000000003</v>
      </c>
      <c r="AU15" s="47">
        <v>136227</v>
      </c>
      <c r="AV15" s="37">
        <f t="shared" si="31"/>
        <v>2696</v>
      </c>
      <c r="AW15" s="35">
        <f t="shared" si="14"/>
        <v>5.3920000000000003</v>
      </c>
    </row>
    <row r="16" spans="1:49" x14ac:dyDescent="0.25">
      <c r="A16" s="23">
        <v>44418</v>
      </c>
      <c r="B16" s="40">
        <v>83</v>
      </c>
      <c r="C16" s="24">
        <v>6727490</v>
      </c>
      <c r="D16" s="24">
        <v>16488980</v>
      </c>
      <c r="E16" s="24">
        <v>2961990</v>
      </c>
      <c r="F16" s="24">
        <v>3590040</v>
      </c>
      <c r="G16" s="24">
        <v>10654900</v>
      </c>
      <c r="H16" s="24">
        <v>5726530</v>
      </c>
      <c r="I16" s="24">
        <v>5227460</v>
      </c>
      <c r="J16" s="24">
        <v>6153100</v>
      </c>
      <c r="K16" s="24">
        <v>9495800</v>
      </c>
      <c r="L16" s="24">
        <v>3991960</v>
      </c>
      <c r="M16" s="24">
        <v>8092850</v>
      </c>
      <c r="N16" s="24">
        <v>12469970</v>
      </c>
      <c r="O16" s="24">
        <v>17207350</v>
      </c>
      <c r="Q16" s="37">
        <f t="shared" si="17"/>
        <v>1120</v>
      </c>
      <c r="R16" s="37">
        <f t="shared" si="18"/>
        <v>15560</v>
      </c>
      <c r="S16" s="37">
        <f t="shared" si="16"/>
        <v>4210</v>
      </c>
      <c r="T16" s="37">
        <f t="shared" si="19"/>
        <v>1890</v>
      </c>
      <c r="U16" s="37">
        <f t="shared" si="20"/>
        <v>4550</v>
      </c>
      <c r="V16" s="37">
        <f t="shared" si="21"/>
        <v>3890</v>
      </c>
      <c r="W16" s="37">
        <f t="shared" si="22"/>
        <v>2630</v>
      </c>
      <c r="X16" s="37">
        <f t="shared" si="23"/>
        <v>4520</v>
      </c>
      <c r="Y16" s="37">
        <f t="shared" si="24"/>
        <v>6150</v>
      </c>
      <c r="Z16" s="37">
        <f t="shared" si="25"/>
        <v>2820</v>
      </c>
      <c r="AA16" s="37">
        <f t="shared" si="26"/>
        <v>3200</v>
      </c>
      <c r="AB16" s="37">
        <f t="shared" si="27"/>
        <v>8360</v>
      </c>
      <c r="AC16" s="37">
        <f t="shared" si="28"/>
        <v>11250</v>
      </c>
      <c r="AD16" s="35">
        <f t="shared" si="29"/>
        <v>70150</v>
      </c>
      <c r="AF16" s="20">
        <f t="shared" si="1"/>
        <v>5.6000000000000005</v>
      </c>
      <c r="AG16" s="20">
        <f t="shared" si="2"/>
        <v>77.8</v>
      </c>
      <c r="AH16" s="20">
        <f t="shared" si="3"/>
        <v>21.05</v>
      </c>
      <c r="AI16" s="20">
        <f t="shared" si="4"/>
        <v>9.4500000000000011</v>
      </c>
      <c r="AJ16" s="20">
        <f t="shared" si="5"/>
        <v>22.75</v>
      </c>
      <c r="AK16" s="20">
        <f t="shared" si="6"/>
        <v>19.45</v>
      </c>
      <c r="AL16" s="20">
        <f t="shared" si="7"/>
        <v>13.15</v>
      </c>
      <c r="AM16" s="20">
        <f t="shared" si="8"/>
        <v>22.6</v>
      </c>
      <c r="AN16" s="20">
        <f t="shared" si="9"/>
        <v>30.75</v>
      </c>
      <c r="AO16" s="20">
        <f t="shared" si="10"/>
        <v>14.1</v>
      </c>
      <c r="AP16" s="20">
        <f t="shared" si="11"/>
        <v>16</v>
      </c>
      <c r="AQ16" s="20">
        <f t="shared" si="12"/>
        <v>41.800000000000004</v>
      </c>
      <c r="AR16" s="20">
        <f t="shared" si="13"/>
        <v>56.25</v>
      </c>
      <c r="AS16" s="35">
        <f t="shared" si="30"/>
        <v>350.74999999999994</v>
      </c>
      <c r="AU16" s="47">
        <v>139102</v>
      </c>
      <c r="AV16" s="37">
        <f t="shared" si="31"/>
        <v>2875</v>
      </c>
      <c r="AW16" s="35">
        <f t="shared" si="14"/>
        <v>5.75</v>
      </c>
    </row>
    <row r="17" spans="1:49" x14ac:dyDescent="0.25">
      <c r="A17" s="23">
        <v>44419</v>
      </c>
      <c r="B17" s="40">
        <v>69</v>
      </c>
      <c r="C17" s="24">
        <v>6728370</v>
      </c>
      <c r="D17" s="24">
        <v>16501390</v>
      </c>
      <c r="E17" s="24">
        <v>2965370</v>
      </c>
      <c r="F17" s="24">
        <v>3591510</v>
      </c>
      <c r="G17" s="24">
        <v>10658480</v>
      </c>
      <c r="H17" s="24">
        <v>5729650</v>
      </c>
      <c r="I17" s="24">
        <v>5229550</v>
      </c>
      <c r="J17" s="24">
        <v>6156820</v>
      </c>
      <c r="K17" s="24">
        <v>9500650</v>
      </c>
      <c r="L17" s="24">
        <v>3994200</v>
      </c>
      <c r="M17" s="24">
        <v>8095460</v>
      </c>
      <c r="N17" s="24">
        <v>12476720</v>
      </c>
      <c r="O17" s="24">
        <v>17215250</v>
      </c>
      <c r="Q17" s="37">
        <f t="shared" si="17"/>
        <v>880</v>
      </c>
      <c r="R17" s="37">
        <f t="shared" si="18"/>
        <v>12410</v>
      </c>
      <c r="S17" s="37">
        <f t="shared" si="16"/>
        <v>3380</v>
      </c>
      <c r="T17" s="37">
        <f t="shared" si="19"/>
        <v>1470</v>
      </c>
      <c r="U17" s="37">
        <f t="shared" si="20"/>
        <v>3580</v>
      </c>
      <c r="V17" s="37">
        <f t="shared" si="21"/>
        <v>3120</v>
      </c>
      <c r="W17" s="37">
        <f t="shared" si="22"/>
        <v>2090</v>
      </c>
      <c r="X17" s="37">
        <f t="shared" si="23"/>
        <v>3720</v>
      </c>
      <c r="Y17" s="37">
        <f t="shared" si="24"/>
        <v>4850</v>
      </c>
      <c r="Z17" s="37">
        <f t="shared" si="25"/>
        <v>2240</v>
      </c>
      <c r="AA17" s="37">
        <f t="shared" si="26"/>
        <v>2610</v>
      </c>
      <c r="AB17" s="37">
        <f t="shared" si="27"/>
        <v>6750</v>
      </c>
      <c r="AC17" s="37">
        <f t="shared" si="28"/>
        <v>7900</v>
      </c>
      <c r="AD17" s="35">
        <f t="shared" si="29"/>
        <v>55000</v>
      </c>
      <c r="AF17" s="20">
        <f t="shared" si="1"/>
        <v>4.4000000000000004</v>
      </c>
      <c r="AG17" s="20">
        <f t="shared" si="2"/>
        <v>62.050000000000004</v>
      </c>
      <c r="AH17" s="20">
        <f t="shared" si="3"/>
        <v>16.899999999999999</v>
      </c>
      <c r="AI17" s="20">
        <f t="shared" si="4"/>
        <v>7.3500000000000005</v>
      </c>
      <c r="AJ17" s="20">
        <f t="shared" si="5"/>
        <v>17.900000000000002</v>
      </c>
      <c r="AK17" s="20">
        <f t="shared" si="6"/>
        <v>15.6</v>
      </c>
      <c r="AL17" s="20">
        <f t="shared" si="7"/>
        <v>10.450000000000001</v>
      </c>
      <c r="AM17" s="20">
        <f t="shared" si="8"/>
        <v>18.600000000000001</v>
      </c>
      <c r="AN17" s="20">
        <f t="shared" si="9"/>
        <v>24.25</v>
      </c>
      <c r="AO17" s="20">
        <f t="shared" si="10"/>
        <v>11.200000000000001</v>
      </c>
      <c r="AP17" s="20">
        <f t="shared" si="11"/>
        <v>13.05</v>
      </c>
      <c r="AQ17" s="20">
        <f t="shared" si="12"/>
        <v>33.75</v>
      </c>
      <c r="AR17" s="20">
        <f t="shared" si="13"/>
        <v>39.5</v>
      </c>
      <c r="AS17" s="35">
        <f t="shared" si="30"/>
        <v>275</v>
      </c>
      <c r="AU17" s="47">
        <v>141547</v>
      </c>
      <c r="AV17" s="37">
        <f t="shared" si="31"/>
        <v>2445</v>
      </c>
      <c r="AW17" s="35">
        <f t="shared" si="14"/>
        <v>4.8899999999999997</v>
      </c>
    </row>
    <row r="18" spans="1:49" x14ac:dyDescent="0.25">
      <c r="A18" s="23">
        <v>44420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 t="str">
        <f t="shared" si="17"/>
        <v>0</v>
      </c>
      <c r="R18" s="37" t="str">
        <f t="shared" si="18"/>
        <v>0</v>
      </c>
      <c r="S18" s="37" t="str">
        <f t="shared" si="16"/>
        <v>0</v>
      </c>
      <c r="T18" s="37" t="str">
        <f t="shared" si="19"/>
        <v>0</v>
      </c>
      <c r="U18" s="37" t="str">
        <f t="shared" si="20"/>
        <v>0</v>
      </c>
      <c r="V18" s="37" t="str">
        <f t="shared" si="21"/>
        <v>0</v>
      </c>
      <c r="W18" s="37" t="str">
        <f t="shared" si="22"/>
        <v>0</v>
      </c>
      <c r="X18" s="37" t="str">
        <f t="shared" si="23"/>
        <v>0</v>
      </c>
      <c r="Y18" s="37" t="str">
        <f t="shared" si="24"/>
        <v>0</v>
      </c>
      <c r="Z18" s="37" t="str">
        <f t="shared" si="25"/>
        <v>0</v>
      </c>
      <c r="AA18" s="37" t="str">
        <f t="shared" si="26"/>
        <v>0</v>
      </c>
      <c r="AB18" s="37" t="str">
        <f t="shared" si="27"/>
        <v>0</v>
      </c>
      <c r="AC18" s="37" t="str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 t="str">
        <f t="shared" si="31"/>
        <v>0</v>
      </c>
      <c r="AW18" s="35">
        <f t="shared" si="14"/>
        <v>0</v>
      </c>
    </row>
    <row r="19" spans="1:49" x14ac:dyDescent="0.25">
      <c r="A19" s="23">
        <v>44421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44422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44423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44424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44425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44426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44427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44428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44429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44430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44431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44432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44433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44434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44435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44436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44437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44438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10690</v>
      </c>
      <c r="R38" s="38">
        <f t="shared" ref="R38:AD38" si="62">SUM(R7:R37)</f>
        <v>151740</v>
      </c>
      <c r="S38" s="38">
        <f t="shared" si="62"/>
        <v>41490</v>
      </c>
      <c r="T38" s="38">
        <f t="shared" si="62"/>
        <v>17950</v>
      </c>
      <c r="U38" s="38">
        <f t="shared" si="62"/>
        <v>45570</v>
      </c>
      <c r="V38" s="38">
        <f t="shared" si="62"/>
        <v>37180</v>
      </c>
      <c r="W38" s="38">
        <f t="shared" si="62"/>
        <v>25090</v>
      </c>
      <c r="X38" s="38">
        <f t="shared" si="62"/>
        <v>42940</v>
      </c>
      <c r="Y38" s="38">
        <f t="shared" si="62"/>
        <v>59270</v>
      </c>
      <c r="Z38" s="38">
        <f t="shared" si="62"/>
        <v>28430</v>
      </c>
      <c r="AA38" s="38">
        <f t="shared" si="62"/>
        <v>32610</v>
      </c>
      <c r="AB38" s="38">
        <f t="shared" si="62"/>
        <v>83050</v>
      </c>
      <c r="AC38" s="38">
        <f t="shared" si="62"/>
        <v>94710</v>
      </c>
      <c r="AD38" s="38">
        <f t="shared" si="62"/>
        <v>670720</v>
      </c>
      <c r="AF38" s="35">
        <f>SUM(AF7:AF37)</f>
        <v>53.449999999999996</v>
      </c>
      <c r="AG38" s="35">
        <f t="shared" ref="AG38:AS38" si="63">SUM(AG7:AG37)</f>
        <v>758.7</v>
      </c>
      <c r="AH38" s="35">
        <f t="shared" si="63"/>
        <v>207.45000000000002</v>
      </c>
      <c r="AI38" s="35">
        <f t="shared" si="63"/>
        <v>89.749999999999986</v>
      </c>
      <c r="AJ38" s="35">
        <f t="shared" si="63"/>
        <v>227.85000000000002</v>
      </c>
      <c r="AK38" s="35">
        <f t="shared" si="63"/>
        <v>185.89999999999998</v>
      </c>
      <c r="AL38" s="35">
        <f t="shared" si="63"/>
        <v>125.44999999999999</v>
      </c>
      <c r="AM38" s="35">
        <f t="shared" si="63"/>
        <v>214.7</v>
      </c>
      <c r="AN38" s="35">
        <f t="shared" si="63"/>
        <v>296.35000000000002</v>
      </c>
      <c r="AO38" s="35">
        <f t="shared" si="63"/>
        <v>142.14999999999998</v>
      </c>
      <c r="AP38" s="35">
        <f t="shared" si="63"/>
        <v>163.05000000000001</v>
      </c>
      <c r="AQ38" s="35">
        <f t="shared" si="63"/>
        <v>415.25</v>
      </c>
      <c r="AR38" s="35">
        <f t="shared" si="63"/>
        <v>473.55</v>
      </c>
      <c r="AS38" s="35">
        <f t="shared" si="63"/>
        <v>3353.6000000000004</v>
      </c>
      <c r="AU38" s="48"/>
      <c r="AV38" s="35">
        <f>SUM(AV7:AV34)</f>
        <v>29430</v>
      </c>
      <c r="AW38" s="35">
        <f>SUM(AW7:AW34)</f>
        <v>58.860000000000007</v>
      </c>
    </row>
    <row r="39" spans="1:49" x14ac:dyDescent="0.25">
      <c r="D39">
        <v>5.0000000000000001E-3</v>
      </c>
      <c r="AV39" s="36">
        <f>AV38*0.00378541*1000</f>
        <v>111404.61629999999</v>
      </c>
    </row>
    <row r="40" spans="1:49" x14ac:dyDescent="0.25">
      <c r="D40">
        <v>2E-3</v>
      </c>
      <c r="AV40">
        <f>AV39/31</f>
        <v>3593.6972999999998</v>
      </c>
    </row>
    <row r="41" spans="1:49" x14ac:dyDescent="0.25">
      <c r="AV41">
        <f>AV38*0.00378541</f>
        <v>111.4046163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2021-08-12T04:15:16Z</dcterms:modified>
</cp:coreProperties>
</file>