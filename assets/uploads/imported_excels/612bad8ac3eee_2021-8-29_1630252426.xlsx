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35" i="10" l="1"/>
  <c r="AT29" i="7" l="1"/>
  <c r="H28" i="7" l="1"/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<sst xmlns="http://schemas.openxmlformats.org/spreadsheetml/2006/main" count="313" uniqueCount="148">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</sst>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42.124499999999998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8329.9999999999382</v>
      </c>
      <c r="F20" s="11">
        <f t="shared" si="1"/>
        <v>0.58765030286592534</v>
      </c>
      <c r="G20" s="12">
        <f>(Submetering!AX20+Submetering!AY20+Submetering!AZ20+Submetering!BA20+Submetering!BB20)</f>
        <v>23.8095</v>
      </c>
      <c r="H20" s="11">
        <f t="shared" si="2"/>
        <v>0.99</v>
      </c>
      <c r="I20" s="12">
        <f>'FS Desroches Daily'!CM22</f>
        <v>62</v>
      </c>
      <c r="J20" s="11">
        <f t="shared" si="3"/>
        <v>10.487297712684205</v>
      </c>
      <c r="K20" s="13">
        <f>'FS Desroches Daily'!CN22</f>
        <v>10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>
        <f>Submetering!E21+Submetering!F21+Submetering!G21+Submetering!H21+Submetering!J21-Submetering!AV21</f>
        <v>8529.9999999998363</v>
      </c>
      <c r="F21" s="11">
        <f t="shared" si="1"/>
        <v>0.58765030286592534</v>
      </c>
      <c r="G21" s="12">
        <f>(Submetering!AX21+Submetering!AY21+Submetering!AZ21+Submetering!BA21+Submetering!BB21)</f>
        <v>16.483499999999999</v>
      </c>
      <c r="H21" s="11">
        <f t="shared" si="2"/>
        <v>0.99</v>
      </c>
      <c r="I21" s="12">
        <f>'FS Desroches Daily'!CM23</f>
        <v>58</v>
      </c>
      <c r="J21" s="11">
        <f t="shared" si="3"/>
        <v>10.487297712684205</v>
      </c>
      <c r="K21" s="13">
        <f>'FS Desroches Daily'!CN23</f>
        <v>13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8920.0000000001019</v>
      </c>
      <c r="F22" s="11">
        <f t="shared" si="1"/>
        <v>0.58765030286592534</v>
      </c>
      <c r="G22" s="12">
        <f>(Submetering!AX22+Submetering!AY22+Submetering!AZ22+Submetering!BA22+Submetering!BB22)</f>
        <v>36.629999999999995</v>
      </c>
      <c r="H22" s="11">
        <f t="shared" si="2"/>
        <v>0.99</v>
      </c>
      <c r="I22" s="12">
        <f>'FS Desroches Daily'!CM24</f>
        <v>48</v>
      </c>
      <c r="J22" s="11">
        <f t="shared" si="3"/>
        <v>10.487297712684205</v>
      </c>
      <c r="K22" s="13">
        <f>'FS Desroches Daily'!CN24</f>
        <v>15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8230.0000000000909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54</v>
      </c>
      <c r="J23" s="11">
        <f t="shared" si="3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8289.9999999996726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58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8770.0000000001255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59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7929.9999999999027</v>
      </c>
      <c r="F26" s="11">
        <f t="shared" si="1"/>
        <v>0.58765030286592534</v>
      </c>
      <c r="G26" s="12">
        <f>(Submetering!AX26+Submetering!AY26+Submetering!AZ26+Submetering!BA26+Submetering!BB26)</f>
        <v>21.977999999999998</v>
      </c>
      <c r="H26" s="11">
        <f t="shared" si="2"/>
        <v>0.99</v>
      </c>
      <c r="I26" s="12">
        <f>'FS Desroches Daily'!CM28</f>
        <v>52</v>
      </c>
      <c r="J26" s="11">
        <f t="shared" si="3"/>
        <v>10.487297712684205</v>
      </c>
      <c r="K26" s="13">
        <f>'FS Desroches Daily'!CN28</f>
        <v>10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7890.0000000004502</v>
      </c>
      <c r="F27" s="11">
        <f t="shared" si="1"/>
        <v>0.58765030286592534</v>
      </c>
      <c r="G27" s="12">
        <f>(Submetering!AX27+Submetering!AY27+Submetering!AZ27+Submetering!BA27+Submetering!BB27)</f>
        <v>32.966999999999999</v>
      </c>
      <c r="H27" s="11">
        <f t="shared" si="2"/>
        <v>0.99</v>
      </c>
      <c r="I27" s="12">
        <f>'FS Desroches Daily'!CM29</f>
        <v>53</v>
      </c>
      <c r="J27" s="11">
        <f t="shared" si="3"/>
        <v>10.487297712684205</v>
      </c>
      <c r="K27" s="13">
        <f>'FS Desroches Daily'!CN29</f>
        <v>8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7989.9999999997062</v>
      </c>
      <c r="F28" s="11">
        <f t="shared" si="1"/>
        <v>0.58765030286592534</v>
      </c>
      <c r="G28" s="12">
        <f>(Submetering!AX28+Submetering!AY28+Submetering!AZ28+Submetering!BA28+Submetering!BB28)</f>
        <v>9.1574999999999989</v>
      </c>
      <c r="H28" s="11">
        <f t="shared" si="2"/>
        <v>0.99</v>
      </c>
      <c r="I28" s="12">
        <f>'FS Desroches Daily'!CM30</f>
        <v>46</v>
      </c>
      <c r="J28" s="11">
        <f t="shared" si="3"/>
        <v>10.487297712684205</v>
      </c>
      <c r="K28" s="13">
        <f>'FS Desroches Daily'!CN30</f>
        <v>8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8010.0000000000982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54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 t="e">
        <f>Submetering!E30+Submetering!F30+Submetering!G30+Submetering!H30+Submetering!J30-Submetering!AV30</f>
        <v>#VALUE!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'FS Desroches Daily'!CM32</f>
        <v>#VALUE!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>
        <f>IF(LPG!F25-LPG!F24&lt;0,"0",(LPG!F25-LPG!F24)*1.8315)</f>
        <v>16.483499999999999</v>
      </c>
      <c r="AY18" s="31">
        <f>IF(LPG!H25-LPG!H24&lt;0,"0",(LPG!H25-LPG!H24)*1.8315)</f>
        <v>5.4944999999999995</v>
      </c>
      <c r="AZ18" s="31">
        <f>IF(LPG!J25-LPG!J24&lt;0,"0",(LPG!J25-LPG!J24)*1.8315)</f>
        <v>3.6629999999999998</v>
      </c>
      <c r="BA18" s="31">
        <f>IF(LPG!M25-LPG!M24&lt;0,"0",(LPG!M25-LPG!M24)*1.8315)</f>
        <v>5.4944999999999995</v>
      </c>
      <c r="BB18" s="31">
        <f>IF(LPG!Q25-LPG!Q24&lt;0,"0",(LPG!Q25-LPG!Q24)*1.8315)</f>
        <v>10.988999999999999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1.8314999999999999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1.8314999999999999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1700.0000000000348</v>
      </c>
      <c r="F20" s="32">
        <f>'FS Desroches Daily'!F22</f>
        <v>2599.9999999997135</v>
      </c>
      <c r="G20" s="31">
        <f>'FS Desroches Daily'!H22</f>
        <v>2600.0000000001578</v>
      </c>
      <c r="H20" s="32">
        <f>'FS Desroches Daily'!J22</f>
        <v>1300.0000000000789</v>
      </c>
      <c r="I20" s="31">
        <f>'FS Desroches Daily'!L22</f>
        <v>1999.9999999997797</v>
      </c>
      <c r="J20" s="32">
        <f>'FS Desroches Daily'!N22</f>
        <v>799.99999999991189</v>
      </c>
      <c r="K20" s="13">
        <f>'FS Desroches Daily'!P22</f>
        <v>7</v>
      </c>
      <c r="L20" s="31">
        <f>'FS Desroches Daily'!R22</f>
        <v>2</v>
      </c>
      <c r="M20" s="31">
        <f>'FS Desroches Daily'!T22</f>
        <v>0.70000000000004547</v>
      </c>
      <c r="N20" s="31">
        <f>'FS Desroches Daily'!V22</f>
        <v>343.09999999997672</v>
      </c>
      <c r="O20" s="31">
        <f>'FS Desroches Daily'!X22</f>
        <v>269.99999999998181</v>
      </c>
      <c r="P20" s="31">
        <f>'FS Desroches Daily'!Z22</f>
        <v>2399.9999999997358</v>
      </c>
      <c r="Q20" s="31">
        <f>'FS Desroches Daily'!AB22</f>
        <v>189.99999999999773</v>
      </c>
      <c r="R20" s="31">
        <f>'FS Desroches Daily'!AD22</f>
        <v>259.99999999999091</v>
      </c>
      <c r="S20" s="31">
        <f>'FS Desroches Daily'!AF22</f>
        <v>179.99999999994998</v>
      </c>
      <c r="T20" s="31">
        <f>'FS Desroches Daily'!AH22</f>
        <v>32</v>
      </c>
      <c r="U20" s="35">
        <f>'FS Desroches Daily'!AJ22</f>
        <v>459.99999999992269</v>
      </c>
      <c r="V20" s="35">
        <f>'FS Desroches Daily'!AL22</f>
        <v>180.00000000000682</v>
      </c>
      <c r="W20" s="35">
        <f>'FS Desroches Daily'!AN22</f>
        <v>170.00000000001592</v>
      </c>
      <c r="X20" s="35">
        <f>'FS Desroches Daily'!AP22</f>
        <v>109.99999999998522</v>
      </c>
      <c r="Y20" s="35">
        <f>'FS Desroches Daily'!AR22</f>
        <v>120.00000000000455</v>
      </c>
      <c r="Z20" s="35">
        <f>'FS Desroches Daily'!AT22</f>
        <v>100.00000000002274</v>
      </c>
      <c r="AA20" s="35">
        <f>'FS Desroches Daily'!AT22</f>
        <v>100.00000000002274</v>
      </c>
      <c r="AB20" s="35">
        <f>'FS Desroches Daily'!AV22</f>
        <v>90.000000000031832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39.999999999992042</v>
      </c>
      <c r="AF20" s="31">
        <f>'FS Desroches Daily'!BF22</f>
        <v>41</v>
      </c>
      <c r="AG20" s="32">
        <f>'FS Desroches Daily'!BH22</f>
        <v>39.999999999992042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89.999999999974989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41</v>
      </c>
      <c r="AO20" s="32">
        <f>'FS Desroches Daily'!BX22</f>
        <v>19.99999999998181</v>
      </c>
      <c r="AP20" s="32">
        <f>'FS Desroches Daily'!BZ22</f>
        <v>36</v>
      </c>
      <c r="AQ20" s="31">
        <f>'FS Desroches Daily'!CB22</f>
        <v>36.099999999998545</v>
      </c>
      <c r="AR20" s="31">
        <f>'FS Desroches Daily'!CD22</f>
        <v>4.5</v>
      </c>
      <c r="AS20" s="31">
        <f>'FS Desroches Daily'!CF22</f>
        <v>0.6000000000003638</v>
      </c>
      <c r="AT20" s="31">
        <f>'FS Desroches Daily'!CH22</f>
        <v>49.700000000004366</v>
      </c>
      <c r="AU20" s="31">
        <f>'FS Desroches Daily'!CJ22</f>
        <v>272</v>
      </c>
      <c r="AV20" s="31">
        <f>'FS Desroches Daily'!CL22</f>
        <v>669.99999999995907</v>
      </c>
      <c r="AW20" s="31">
        <f>'FS Desroches Daily'!CM22</f>
        <v>62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9.1574999999999989</v>
      </c>
      <c r="BC20" s="13">
        <f>'FS Desroches Daily'!CN22</f>
        <v>10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>
        <f>'FS Desroches Daily'!D23</f>
        <v>1799.9999999998017</v>
      </c>
      <c r="F21" s="32">
        <f>'FS Desroches Daily'!F23</f>
        <v>2600.0000000001578</v>
      </c>
      <c r="G21" s="31">
        <f>'FS Desroches Daily'!H23</f>
        <v>2499.9999999999468</v>
      </c>
      <c r="H21" s="32">
        <f>'FS Desroches Daily'!J23</f>
        <v>1299.9999999998568</v>
      </c>
      <c r="I21" s="31">
        <f>'FS Desroches Daily'!L23</f>
        <v>2000.0000000002237</v>
      </c>
      <c r="J21" s="32">
        <f>'FS Desroches Daily'!N23</f>
        <v>900.0000000001229</v>
      </c>
      <c r="K21" s="13">
        <f>'FS Desroches Daily'!P23</f>
        <v>6</v>
      </c>
      <c r="L21" s="31">
        <f>'FS Desroches Daily'!R23</f>
        <v>3</v>
      </c>
      <c r="M21" s="31">
        <f>'FS Desroches Daily'!T23</f>
        <v>0.79999999999995453</v>
      </c>
      <c r="N21" s="31">
        <f>'FS Desroches Daily'!V23</f>
        <v>344.10000000003492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300.00000000001137</v>
      </c>
      <c r="R21" s="31">
        <f>'FS Desroches Daily'!AD23</f>
        <v>259.99999999999091</v>
      </c>
      <c r="S21" s="31">
        <f>'FS Desroches Daily'!AF23</f>
        <v>230.00000000001819</v>
      </c>
      <c r="T21" s="31">
        <f>'FS Desroches Daily'!AH23</f>
        <v>33</v>
      </c>
      <c r="U21" s="35">
        <f>'FS Desroches Daily'!AJ23</f>
        <v>490.00000000000909</v>
      </c>
      <c r="V21" s="35">
        <f>'FS Desroches Daily'!AL23</f>
        <v>159.99999999999659</v>
      </c>
      <c r="W21" s="35">
        <f>'FS Desroches Daily'!AN23</f>
        <v>179.9999999999784</v>
      </c>
      <c r="X21" s="35">
        <f>'FS Desroches Daily'!AP23</f>
        <v>159.99999999999659</v>
      </c>
      <c r="Y21" s="35">
        <f>'FS Desroches Daily'!AR23</f>
        <v>129.99999999999545</v>
      </c>
      <c r="Z21" s="35">
        <f>'FS Desroches Daily'!AT23</f>
        <v>269.99999999998181</v>
      </c>
      <c r="AA21" s="35">
        <f>'FS Desroches Daily'!AT23</f>
        <v>269.99999999998181</v>
      </c>
      <c r="AB21" s="35">
        <f>'FS Desroches Daily'!AV23</f>
        <v>99.999999999965894</v>
      </c>
      <c r="AC21" s="35">
        <f>'FS Desroches Daily'!AZ23</f>
        <v>40.000000000020464</v>
      </c>
      <c r="AD21" s="35">
        <f>'FS Desroches Daily'!BB23</f>
        <v>20.000000000038654</v>
      </c>
      <c r="AE21" s="35">
        <f>'FS Desroches Daily'!BD23</f>
        <v>30.000000000001137</v>
      </c>
      <c r="AF21" s="31">
        <f>'FS Desroches Daily'!BF23</f>
        <v>29</v>
      </c>
      <c r="AG21" s="32">
        <f>'FS Desroches Daily'!BH23</f>
        <v>39.999999999992042</v>
      </c>
      <c r="AH21" s="32">
        <f>'FS Desroches Daily'!BJ23</f>
        <v>50.000000000011369</v>
      </c>
      <c r="AI21" s="32">
        <f>'FS Desroches Daily'!BL23</f>
        <v>39.999999999992042</v>
      </c>
      <c r="AJ21" s="32">
        <f>'FS Desroches Daily'!BN23</f>
        <v>39.999999999992042</v>
      </c>
      <c r="AK21" s="32">
        <f>'FS Desroches Daily'!BP23</f>
        <v>9.9999999999909051</v>
      </c>
      <c r="AL21" s="32">
        <f>'FS Desroches Daily'!BR23</f>
        <v>33</v>
      </c>
      <c r="AM21" s="32">
        <f>'FS Desroches Daily'!BT23</f>
        <v>40.000000000020464</v>
      </c>
      <c r="AN21" s="32">
        <f>'FS Desroches Daily'!BV23</f>
        <v>45</v>
      </c>
      <c r="AO21" s="32">
        <f>'FS Desroches Daily'!BX23</f>
        <v>20.000000000010232</v>
      </c>
      <c r="AP21" s="32">
        <f>'FS Desroches Daily'!BZ23</f>
        <v>34</v>
      </c>
      <c r="AQ21" s="31">
        <f>'FS Desroches Daily'!CB23</f>
        <v>37.5</v>
      </c>
      <c r="AR21" s="31">
        <f>'FS Desroches Daily'!CD23</f>
        <v>10.400000000001455</v>
      </c>
      <c r="AS21" s="31">
        <f>'FS Desroches Daily'!CF23</f>
        <v>9</v>
      </c>
      <c r="AT21" s="31">
        <f>'FS Desroches Daily'!CH23</f>
        <v>45.900000000001455</v>
      </c>
      <c r="AU21" s="31">
        <f>'FS Desroches Daily'!CJ23</f>
        <v>272</v>
      </c>
      <c r="AV21" s="31">
        <f>'FS Desroches Daily'!CL23</f>
        <v>570.00000000005002</v>
      </c>
      <c r="AW21" s="31">
        <f>'FS Desroches Daily'!CM23</f>
        <v>58</v>
      </c>
      <c r="AX21" s="31" t="str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1.8314999999999999</v>
      </c>
      <c r="BA21" s="31">
        <f>IF(LPG!M28-LPG!M27&lt;0,"0",(LPG!M28-LPG!M27)*1.8315)</f>
        <v>0</v>
      </c>
      <c r="BB21" s="31">
        <f>IF(LPG!Q28-LPG!Q27&lt;0,"0",(LPG!Q28-LPG!Q27)*1.8315)</f>
        <v>9.1574999999999989</v>
      </c>
      <c r="BC21" s="13">
        <f>'FS Desroches Daily'!CN23</f>
        <v>13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1700.0000000000348</v>
      </c>
      <c r="F22" s="32">
        <f>'FS Desroches Daily'!F24</f>
        <v>3000.0000000001137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1999.9999999997797</v>
      </c>
      <c r="J22" s="32">
        <f>'FS Desroches Daily'!N24</f>
        <v>799.99999999991189</v>
      </c>
      <c r="K22" s="13">
        <f>'FS Desroches Daily'!P24</f>
        <v>13</v>
      </c>
      <c r="L22" s="31">
        <f>'FS Desroches Daily'!R24</f>
        <v>3</v>
      </c>
      <c r="M22" s="31">
        <f>'FS Desroches Daily'!T24</f>
        <v>0.90000000000009095</v>
      </c>
      <c r="N22" s="31">
        <f>'FS Desroches Daily'!V24</f>
        <v>350.09999999997672</v>
      </c>
      <c r="O22" s="31">
        <f>'FS Desroches Daily'!X24</f>
        <v>269.99999999998181</v>
      </c>
      <c r="P22" s="31">
        <f>'FS Desroches Daily'!Z24</f>
        <v>2700.0000000003688</v>
      </c>
      <c r="Q22" s="31">
        <f>'FS Desroches Daily'!AB24</f>
        <v>180.00000000000682</v>
      </c>
      <c r="R22" s="31">
        <f>'FS Desroches Daily'!AD24</f>
        <v>310.00000000000227</v>
      </c>
      <c r="S22" s="31">
        <f>'FS Desroches Daily'!AF24</f>
        <v>240.00000000000909</v>
      </c>
      <c r="T22" s="31">
        <f>'FS Desroches Daily'!AH24</f>
        <v>32</v>
      </c>
      <c r="U22" s="35">
        <f>'FS Desroches Daily'!AJ24</f>
        <v>540.00000000007731</v>
      </c>
      <c r="V22" s="35">
        <f>'FS Desroches Daily'!AL24</f>
        <v>189.99999999999773</v>
      </c>
      <c r="W22" s="35">
        <f>'FS Desroches Daily'!AN24</f>
        <v>120.00000000000455</v>
      </c>
      <c r="X22" s="35">
        <f>'FS Desroches Daily'!AP24</f>
        <v>129.99999999999545</v>
      </c>
      <c r="Y22" s="35">
        <f>'FS Desroches Daily'!AR24</f>
        <v>120.00000000000455</v>
      </c>
      <c r="Z22" s="35">
        <f>'FS Desroches Daily'!AT24</f>
        <v>139.99999999998636</v>
      </c>
      <c r="AA22" s="35">
        <f>'FS Desroches Daily'!AT24</f>
        <v>139.99999999998636</v>
      </c>
      <c r="AB22" s="35">
        <f>'FS Desroches Daily'!AV24</f>
        <v>90.000000000031832</v>
      </c>
      <c r="AC22" s="35">
        <f>'FS Desroches Daily'!AZ24</f>
        <v>19.99999999998181</v>
      </c>
      <c r="AD22" s="35">
        <f>'FS Desroches Daily'!BB24</f>
        <v>9.9999999999909051</v>
      </c>
      <c r="AE22" s="35">
        <f>'FS Desroches Daily'!BD24</f>
        <v>19.99999999998181</v>
      </c>
      <c r="AF22" s="31">
        <f>'FS Desroches Daily'!BF24</f>
        <v>45</v>
      </c>
      <c r="AG22" s="32">
        <f>'FS Desroches Daily'!BH24</f>
        <v>39.999999999992042</v>
      </c>
      <c r="AH22" s="32">
        <f>'FS Desroches Daily'!BJ24</f>
        <v>19.99999999998181</v>
      </c>
      <c r="AI22" s="32">
        <f>'FS Desroches Daily'!BL24</f>
        <v>30.000000000001137</v>
      </c>
      <c r="AJ22" s="32">
        <f>'FS Desroches Daily'!BN24</f>
        <v>39.999999999992042</v>
      </c>
      <c r="AK22" s="32">
        <f>'FS Desroches Daily'!BP24</f>
        <v>50.000000000011369</v>
      </c>
      <c r="AL22" s="32">
        <f>'FS Desroches Daily'!BR24</f>
        <v>32</v>
      </c>
      <c r="AM22" s="32">
        <f>'FS Desroches Daily'!BT24</f>
        <v>39.999999999992042</v>
      </c>
      <c r="AN22" s="32">
        <f>'FS Desroches Daily'!BV24</f>
        <v>40</v>
      </c>
      <c r="AO22" s="32">
        <f>'FS Desroches Daily'!BX24</f>
        <v>19.99999999998181</v>
      </c>
      <c r="AP22" s="32">
        <f>'FS Desroches Daily'!BZ24</f>
        <v>24</v>
      </c>
      <c r="AQ22" s="31">
        <f>'FS Desroches Daily'!CB24</f>
        <v>35.69999999999709</v>
      </c>
      <c r="AR22" s="31">
        <f>'FS Desroches Daily'!CD24</f>
        <v>7.5</v>
      </c>
      <c r="AS22" s="31">
        <f>'FS Desroches Daily'!CF24</f>
        <v>0.5999999999994543</v>
      </c>
      <c r="AT22" s="31">
        <f>'FS Desroches Daily'!CH24</f>
        <v>42.19999999999709</v>
      </c>
      <c r="AU22" s="31">
        <f>'FS Desroches Daily'!CJ24</f>
        <v>276</v>
      </c>
      <c r="AV22" s="31">
        <f>'FS Desroches Daily'!CL24</f>
        <v>679.99999999994998</v>
      </c>
      <c r="AW22" s="31">
        <f>'FS Desroches Daily'!CM24</f>
        <v>48</v>
      </c>
      <c r="AX22" s="31">
        <f>IF(LPG!F29-LPG!F28&lt;0,"0",(LPG!F29-LPG!F28)*1.8315)</f>
        <v>23.8095</v>
      </c>
      <c r="AY22" s="31">
        <f>IF(LPG!H29-LPG!H28&lt;0,"0",(LPG!H29-LPG!H28)*1.8315)</f>
        <v>1.8314999999999999</v>
      </c>
      <c r="AZ22" s="31">
        <f>IF(LPG!J29-LPG!J28&lt;0,"0",(LPG!J29-LPG!J28)*1.8315)</f>
        <v>1.8314999999999999</v>
      </c>
      <c r="BA22" s="31">
        <f>IF(LPG!M29-LPG!M28&lt;0,"0",(LPG!M29-LPG!M28)*1.8315)</f>
        <v>3.6629999999999998</v>
      </c>
      <c r="BB22" s="31">
        <f>IF(LPG!Q29-LPG!Q28&lt;0,"0",(LPG!Q29-LPG!Q28)*1.8315)</f>
        <v>5.4944999999999995</v>
      </c>
      <c r="BC22" s="13">
        <f>'FS Desroches Daily'!CN24</f>
        <v>15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1600.0000000002678</v>
      </c>
      <c r="F23" s="32">
        <f>'FS Desroches Daily'!F25</f>
        <v>2599.9999999997135</v>
      </c>
      <c r="G23" s="31">
        <f>'FS Desroches Daily'!H25</f>
        <v>2400.0000000001796</v>
      </c>
      <c r="H23" s="32">
        <f>'FS Desroches Daily'!J25</f>
        <v>1300.0000000000789</v>
      </c>
      <c r="I23" s="31">
        <f>'FS Desroches Daily'!L25</f>
        <v>2000.0000000002237</v>
      </c>
      <c r="J23" s="32">
        <f>'FS Desroches Daily'!N25</f>
        <v>899.99999999990087</v>
      </c>
      <c r="K23" s="13">
        <f>'FS Desroches Daily'!P25</f>
        <v>6</v>
      </c>
      <c r="L23" s="31">
        <f>'FS Desroches Daily'!R25</f>
        <v>4</v>
      </c>
      <c r="M23" s="31">
        <f>'FS Desroches Daily'!T25</f>
        <v>0.59999999999990905</v>
      </c>
      <c r="N23" s="31">
        <f>'FS Desroches Daily'!V25</f>
        <v>265.20000000001164</v>
      </c>
      <c r="O23" s="31">
        <f>'FS Desroches Daily'!X25</f>
        <v>310.00000000000227</v>
      </c>
      <c r="P23" s="31">
        <f>'FS Desroches Daily'!Z25</f>
        <v>2199.9999999997576</v>
      </c>
      <c r="Q23" s="31">
        <f>'FS Desroches Daily'!AB25</f>
        <v>300.00000000001137</v>
      </c>
      <c r="R23" s="31">
        <f>'FS Desroches Daily'!AD25</f>
        <v>270.00000000003865</v>
      </c>
      <c r="S23" s="31">
        <f>'FS Desroches Daily'!AF25</f>
        <v>230.00000000001819</v>
      </c>
      <c r="T23" s="31">
        <f>'FS Desroches Daily'!AH25</f>
        <v>27</v>
      </c>
      <c r="U23" s="35">
        <f>'FS Desroches Daily'!AJ25</f>
        <v>509.99999999999091</v>
      </c>
      <c r="V23" s="35">
        <f>'FS Desroches Daily'!AL25</f>
        <v>199.99999999998863</v>
      </c>
      <c r="W23" s="35">
        <f>'FS Desroches Daily'!AN25</f>
        <v>150.00000000000568</v>
      </c>
      <c r="X23" s="35">
        <f>'FS Desroches Daily'!AP25</f>
        <v>130.00000000002387</v>
      </c>
      <c r="Y23" s="35">
        <f>'FS Desroches Daily'!AR25</f>
        <v>90.000000000003411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60.000000000002274</v>
      </c>
      <c r="AC23" s="35">
        <f>'FS Desroches Daily'!AZ25</f>
        <v>20.000000000038654</v>
      </c>
      <c r="AD23" s="35">
        <f>'FS Desroches Daily'!BB25</f>
        <v>29.999999999972715</v>
      </c>
      <c r="AE23" s="35">
        <f>'FS Desroches Daily'!BD25</f>
        <v>20.000000000010232</v>
      </c>
      <c r="AF23" s="31">
        <f>'FS Desroches Daily'!BF25</f>
        <v>39</v>
      </c>
      <c r="AG23" s="32">
        <f>'FS Desroches Daily'!BH25</f>
        <v>40.000000000020464</v>
      </c>
      <c r="AH23" s="32">
        <f>'FS Desroches Daily'!BJ25</f>
        <v>29.999999999972715</v>
      </c>
      <c r="AI23" s="32">
        <f>'FS Desroches Daily'!BL25</f>
        <v>50.000000000011369</v>
      </c>
      <c r="AJ23" s="32">
        <f>'FS Desroches Daily'!BN25</f>
        <v>40.000000000020464</v>
      </c>
      <c r="AK23" s="32">
        <f>'FS Desroches Daily'!BP25</f>
        <v>50.000000000011369</v>
      </c>
      <c r="AL23" s="32">
        <f>'FS Desroches Daily'!BR25</f>
        <v>30</v>
      </c>
      <c r="AM23" s="32">
        <f>'FS Desroches Daily'!BT25</f>
        <v>39.999999999992042</v>
      </c>
      <c r="AN23" s="32">
        <f>'FS Desroches Daily'!BV25</f>
        <v>39</v>
      </c>
      <c r="AO23" s="32">
        <f>'FS Desroches Daily'!BX25</f>
        <v>30.000000000001137</v>
      </c>
      <c r="AP23" s="32">
        <f>'FS Desroches Daily'!BZ25</f>
        <v>26</v>
      </c>
      <c r="AQ23" s="31">
        <f>'FS Desroches Daily'!CB25</f>
        <v>43.700000000004366</v>
      </c>
      <c r="AR23" s="31">
        <f>'FS Desroches Daily'!CD25</f>
        <v>5</v>
      </c>
      <c r="AS23" s="31">
        <f>'FS Desroches Daily'!CF25</f>
        <v>5.5</v>
      </c>
      <c r="AT23" s="31">
        <f>'FS Desroches Daily'!CH25</f>
        <v>53.30000000000291</v>
      </c>
      <c r="AU23" s="31">
        <f>'FS Desroches Daily'!CJ25</f>
        <v>267</v>
      </c>
      <c r="AV23" s="31">
        <f>'FS Desroches Daily'!CL25</f>
        <v>570.00000000005002</v>
      </c>
      <c r="AW23" s="31">
        <f>'FS Desroches Daily'!CM25</f>
        <v>54</v>
      </c>
      <c r="AX23" s="31">
        <f>IF(LPG!F30-LPG!F29&lt;0,"0",(LPG!F30-LPG!F29)*1.8315)</f>
        <v>9.1574999999999989</v>
      </c>
      <c r="AY23" s="31">
        <f>IF(LPG!H30-LPG!H29&lt;0,"0",(LPG!H30-LPG!H29)*1.8315)</f>
        <v>5.4944999999999995</v>
      </c>
      <c r="AZ23" s="31">
        <f>IF(LPG!J30-LPG!J29&lt;0,"0",(LPG!J30-LPG!J29)*1.8315)</f>
        <v>3.6629999999999998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1700.0000000000348</v>
      </c>
      <c r="F24" s="32">
        <f>'FS Desroches Daily'!F26</f>
        <v>2499.9999999999468</v>
      </c>
      <c r="G24" s="31">
        <f>'FS Desroches Daily'!H26</f>
        <v>2399.9999999997358</v>
      </c>
      <c r="H24" s="32">
        <f>'FS Desroches Daily'!J26</f>
        <v>1299.9999999998568</v>
      </c>
      <c r="I24" s="31">
        <f>'FS Desroches Daily'!L26</f>
        <v>1799.9999999998017</v>
      </c>
      <c r="J24" s="32">
        <f>'FS Desroches Daily'!N26</f>
        <v>1000.0000000001119</v>
      </c>
      <c r="K24" s="13">
        <f>'FS Desroches Daily'!P26</f>
        <v>7</v>
      </c>
      <c r="L24" s="31">
        <f>'FS Desroches Daily'!R26</f>
        <v>2</v>
      </c>
      <c r="M24" s="31">
        <f>'FS Desroches Daily'!T26</f>
        <v>0.70000000000004547</v>
      </c>
      <c r="N24" s="31">
        <f>'FS Desroches Daily'!V26</f>
        <v>300.5</v>
      </c>
      <c r="O24" s="31">
        <f>'FS Desroches Daily'!X26</f>
        <v>260.00000000004775</v>
      </c>
      <c r="P24" s="31">
        <f>'FS Desroches Daily'!Z26</f>
        <v>2099.9999999999909</v>
      </c>
      <c r="Q24" s="31">
        <f>'FS Desroches Daily'!AB26</f>
        <v>289.99999999996362</v>
      </c>
      <c r="R24" s="31">
        <f>'FS Desroches Daily'!AD26</f>
        <v>259.99999999999091</v>
      </c>
      <c r="S24" s="31">
        <f>'FS Desroches Daily'!AF26</f>
        <v>289.99999999996362</v>
      </c>
      <c r="T24" s="31">
        <f>'FS Desroches Daily'!AH26</f>
        <v>28</v>
      </c>
      <c r="U24" s="35">
        <f>'FS Desroches Daily'!AJ26</f>
        <v>509.99999999999091</v>
      </c>
      <c r="V24" s="35">
        <f>'FS Desroches Daily'!AL26</f>
        <v>159.99999999999659</v>
      </c>
      <c r="W24" s="35">
        <f>'FS Desroches Daily'!AN26</f>
        <v>150.00000000000568</v>
      </c>
      <c r="X24" s="35">
        <f>'FS Desroches Daily'!AP26</f>
        <v>119.99999999997613</v>
      </c>
      <c r="Y24" s="35">
        <f>'FS Desroches Daily'!AR26</f>
        <v>109.99999999998522</v>
      </c>
      <c r="Z24" s="35">
        <f>'FS Desroches Daily'!AT26</f>
        <v>159.99999999996817</v>
      </c>
      <c r="AA24" s="35">
        <f>'FS Desroches Daily'!AT26</f>
        <v>159.99999999996817</v>
      </c>
      <c r="AB24" s="35">
        <f>'FS Desroches Daily'!AV26</f>
        <v>89.999999999974989</v>
      </c>
      <c r="AC24" s="35">
        <f>'FS Desroches Daily'!AZ26</f>
        <v>39.99999999996362</v>
      </c>
      <c r="AD24" s="35">
        <f>'FS Desroches Daily'!BB26</f>
        <v>20.000000000038654</v>
      </c>
      <c r="AE24" s="35">
        <f>'FS Desroches Daily'!BD26</f>
        <v>30.000000000001137</v>
      </c>
      <c r="AF24" s="31">
        <f>'FS Desroches Daily'!BF26</f>
        <v>40</v>
      </c>
      <c r="AG24" s="32">
        <f>'FS Desroches Daily'!BH26</f>
        <v>49.999999999982947</v>
      </c>
      <c r="AH24" s="32">
        <f>'FS Desroches Daily'!BJ26</f>
        <v>30.000000000029559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50.000000000011369</v>
      </c>
      <c r="AL24" s="32">
        <f>'FS Desroches Daily'!BR26</f>
        <v>28</v>
      </c>
      <c r="AM24" s="32">
        <f>'FS Desroches Daily'!BT26</f>
        <v>30.000000000001137</v>
      </c>
      <c r="AN24" s="32">
        <f>'FS Desroches Daily'!BV26</f>
        <v>40</v>
      </c>
      <c r="AO24" s="32">
        <f>'FS Desroches Daily'!BX26</f>
        <v>30.000000000001137</v>
      </c>
      <c r="AP24" s="32">
        <f>'FS Desroches Daily'!BZ26</f>
        <v>27</v>
      </c>
      <c r="AQ24" s="31">
        <f>'FS Desroches Daily'!CB26</f>
        <v>39</v>
      </c>
      <c r="AR24" s="31">
        <f>'FS Desroches Daily'!CD26</f>
        <v>5</v>
      </c>
      <c r="AS24" s="31">
        <f>'FS Desroches Daily'!CF26</f>
        <v>2.6999999999998181</v>
      </c>
      <c r="AT24" s="31">
        <f>'FS Desroches Daily'!CH26</f>
        <v>47.799999999995634</v>
      </c>
      <c r="AU24" s="31">
        <f>'FS Desroches Daily'!CJ26</f>
        <v>290</v>
      </c>
      <c r="AV24" s="31">
        <f>'FS Desroches Daily'!CL26</f>
        <v>610.00000000001364</v>
      </c>
      <c r="AW24" s="31">
        <f>'FS Desroches Daily'!CM26</f>
        <v>58</v>
      </c>
      <c r="AX24" s="31">
        <f>IF(LPG!F31-LPG!F30&lt;0,"0",(LPG!F31-LPG!F30)*1.8315)</f>
        <v>9.1574999999999989</v>
      </c>
      <c r="AY24" s="31">
        <f>IF(LPG!H31-LPG!H30&lt;0,"0",(LPG!H31-LPG!H30)*1.8315)</f>
        <v>5.4944999999999995</v>
      </c>
      <c r="AZ24" s="31">
        <f>IF(LPG!J31-LPG!J30&lt;0,"0",(LPG!J31-LPG!J30)*1.8315)</f>
        <v>7.3259999999999996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1799.9999999998017</v>
      </c>
      <c r="F25" s="32">
        <f>'FS Desroches Daily'!F27</f>
        <v>2800.0000000001355</v>
      </c>
      <c r="G25" s="31">
        <f>'FS Desroches Daily'!H27</f>
        <v>2800.0000000001355</v>
      </c>
      <c r="H25" s="32">
        <f>'FS Desroches Daily'!J27</f>
        <v>1400.0000000000678</v>
      </c>
      <c r="I25" s="31">
        <f>'FS Desroches Daily'!L27</f>
        <v>2099.9999999999909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3</v>
      </c>
      <c r="M25" s="31">
        <f>'FS Desroches Daily'!T27</f>
        <v>0.79999999999995453</v>
      </c>
      <c r="N25" s="31">
        <f>'FS Desroches Daily'!V27</f>
        <v>316.70000000001164</v>
      </c>
      <c r="O25" s="31">
        <f>'FS Desroches Daily'!X27</f>
        <v>279.99999999997272</v>
      </c>
      <c r="P25" s="31">
        <f>'FS Desroches Daily'!Z27</f>
        <v>2800.0000000001355</v>
      </c>
      <c r="Q25" s="31">
        <f>'FS Desroches Daily'!AB27</f>
        <v>220.00000000002728</v>
      </c>
      <c r="R25" s="31">
        <f>'FS Desroches Daily'!AD27</f>
        <v>289.99999999996362</v>
      </c>
      <c r="S25" s="31">
        <f>'FS Desroches Daily'!AF27</f>
        <v>210.00000000003638</v>
      </c>
      <c r="T25" s="31">
        <f>'FS Desroches Daily'!AH27</f>
        <v>31</v>
      </c>
      <c r="U25" s="35">
        <f>'FS Desroches Daily'!AJ27</f>
        <v>529.99999999997272</v>
      </c>
      <c r="V25" s="35">
        <f>'FS Desroches Daily'!AL27</f>
        <v>159.99999999999659</v>
      </c>
      <c r="W25" s="35">
        <f>'FS Desroches Daily'!AN27</f>
        <v>150.00000000000568</v>
      </c>
      <c r="X25" s="35">
        <f>'FS Desroches Daily'!AP27</f>
        <v>140.00000000001478</v>
      </c>
      <c r="Y25" s="35">
        <f>'FS Desroches Daily'!AR27</f>
        <v>129.99999999999545</v>
      </c>
      <c r="Z25" s="35">
        <f>'FS Desroches Daily'!AT27</f>
        <v>170.00000000001592</v>
      </c>
      <c r="AA25" s="35">
        <f>'FS Desroches Daily'!AT27</f>
        <v>170.00000000001592</v>
      </c>
      <c r="AB25" s="35">
        <f>'FS Desroches Daily'!AV27</f>
        <v>100.00000000002274</v>
      </c>
      <c r="AC25" s="35">
        <f>'FS Desroches Daily'!AZ27</f>
        <v>40.000000000020464</v>
      </c>
      <c r="AD25" s="35">
        <f>'FS Desroches Daily'!BB27</f>
        <v>19.99999999998181</v>
      </c>
      <c r="AE25" s="35">
        <f>'FS Desroches Daily'!BD27</f>
        <v>30.000000000001137</v>
      </c>
      <c r="AF25" s="31">
        <f>'FS Desroches Daily'!BF27</f>
        <v>40</v>
      </c>
      <c r="AG25" s="32">
        <f>'FS Desroches Daily'!BH27</f>
        <v>50.000000000011369</v>
      </c>
      <c r="AH25" s="32">
        <f>'FS Desroches Daily'!BJ27</f>
        <v>29.999999999972715</v>
      </c>
      <c r="AI25" s="32">
        <f>'FS Desroches Daily'!BL27</f>
        <v>49.999999999982947</v>
      </c>
      <c r="AJ25" s="32">
        <f>'FS Desroches Daily'!BN27</f>
        <v>39.999999999992042</v>
      </c>
      <c r="AK25" s="32">
        <f>'FS Desroches Daily'!BP27</f>
        <v>60.000000000002274</v>
      </c>
      <c r="AL25" s="32">
        <f>'FS Desroches Daily'!BR27</f>
        <v>32</v>
      </c>
      <c r="AM25" s="32">
        <f>'FS Desroches Daily'!BT27</f>
        <v>30.000000000001137</v>
      </c>
      <c r="AN25" s="32">
        <f>'FS Desroches Daily'!BV27</f>
        <v>47</v>
      </c>
      <c r="AO25" s="32">
        <f>'FS Desroches Daily'!BX27</f>
        <v>40.000000000020464</v>
      </c>
      <c r="AP25" s="32">
        <f>'FS Desroches Daily'!BZ27</f>
        <v>29</v>
      </c>
      <c r="AQ25" s="31">
        <f>'FS Desroches Daily'!CB27</f>
        <v>35</v>
      </c>
      <c r="AR25" s="31">
        <f>'FS Desroches Daily'!CD27</f>
        <v>8.0999999999985448</v>
      </c>
      <c r="AS25" s="31">
        <f>'FS Desroches Daily'!CF27</f>
        <v>0.6000000000003638</v>
      </c>
      <c r="AT25" s="31">
        <f>'FS Desroches Daily'!CH27</f>
        <v>61.400000000001455</v>
      </c>
      <c r="AU25" s="31">
        <f>'FS Desroches Daily'!CJ27</f>
        <v>290</v>
      </c>
      <c r="AV25" s="31">
        <f>'FS Desroches Daily'!CL27</f>
        <v>829.99999999992724</v>
      </c>
      <c r="AW25" s="31">
        <f>'FS Desroches Daily'!CM27</f>
        <v>59</v>
      </c>
      <c r="AX25" s="31">
        <f>IF(LPG!F32-LPG!F31&lt;0,"0",(LPG!F32-LPG!F31)*1.8315)</f>
        <v>9.1574999999999989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1599.9999999998238</v>
      </c>
      <c r="F26" s="32">
        <f>'FS Desroches Daily'!F28</f>
        <v>2499.9999999999468</v>
      </c>
      <c r="G26" s="31">
        <f>'FS Desroches Daily'!H28</f>
        <v>2299.9999999999686</v>
      </c>
      <c r="H26" s="32">
        <f>'FS Desroches Daily'!J28</f>
        <v>1200.0000000000898</v>
      </c>
      <c r="I26" s="31">
        <f>'FS Desroches Daily'!L28</f>
        <v>1900.0000000000127</v>
      </c>
      <c r="J26" s="32">
        <f>'FS Desroches Daily'!N28</f>
        <v>900.0000000001229</v>
      </c>
      <c r="K26" s="13">
        <f>'FS Desroches Daily'!P28</f>
        <v>7</v>
      </c>
      <c r="L26" s="31">
        <f>'FS Desroches Daily'!R28</f>
        <v>4</v>
      </c>
      <c r="M26" s="31">
        <f>'FS Desroches Daily'!T28</f>
        <v>0.59999999999990905</v>
      </c>
      <c r="N26" s="31">
        <f>'FS Desroches Daily'!V28</f>
        <v>283</v>
      </c>
      <c r="O26" s="31">
        <f>'FS Desroches Daily'!X28</f>
        <v>269.99999999998181</v>
      </c>
      <c r="P26" s="31">
        <f>'FS Desroches Daily'!Z28</f>
        <v>2099.9999999999909</v>
      </c>
      <c r="Q26" s="31">
        <f>'FS Desroches Daily'!AB28</f>
        <v>360.00000000001364</v>
      </c>
      <c r="R26" s="31">
        <f>'FS Desroches Daily'!AD28</f>
        <v>250</v>
      </c>
      <c r="S26" s="31">
        <f>'FS Desroches Daily'!AF28</f>
        <v>189.99999999994088</v>
      </c>
      <c r="T26" s="31">
        <f>'FS Desroches Daily'!AH28</f>
        <v>55</v>
      </c>
      <c r="U26" s="35">
        <f>'FS Desroches Daily'!AJ28</f>
        <v>500</v>
      </c>
      <c r="V26" s="35">
        <f>'FS Desroches Daily'!AL28</f>
        <v>130.00000000002387</v>
      </c>
      <c r="W26" s="35">
        <f>'FS Desroches Daily'!AN28</f>
        <v>109.99999999998522</v>
      </c>
      <c r="X26" s="35">
        <f>'FS Desroches Daily'!AP28</f>
        <v>109.99999999998522</v>
      </c>
      <c r="Y26" s="35">
        <f>'FS Desroches Daily'!AR28</f>
        <v>90.000000000031832</v>
      </c>
      <c r="Z26" s="35">
        <f>'FS Desroches Daily'!AT28</f>
        <v>129.99999999999545</v>
      </c>
      <c r="AA26" s="35">
        <f>'FS Desroches Daily'!AT28</f>
        <v>129.99999999999545</v>
      </c>
      <c r="AB26" s="35">
        <f>'FS Desroches Daily'!AV28</f>
        <v>69.999999999993179</v>
      </c>
      <c r="AC26" s="35">
        <f>'FS Desroches Daily'!AZ28</f>
        <v>29.999999999972715</v>
      </c>
      <c r="AD26" s="35">
        <f>'FS Desroches Daily'!BB28</f>
        <v>19.99999999998181</v>
      </c>
      <c r="AE26" s="35">
        <f>'FS Desroches Daily'!BD28</f>
        <v>30.000000000001137</v>
      </c>
      <c r="AF26" s="31">
        <f>'FS Desroches Daily'!BF28</f>
        <v>33</v>
      </c>
      <c r="AG26" s="32">
        <f>'FS Desroches Daily'!BH28</f>
        <v>39.999999999992042</v>
      </c>
      <c r="AH26" s="32">
        <f>'FS Desroches Daily'!BJ28</f>
        <v>20.000000000038654</v>
      </c>
      <c r="AI26" s="32">
        <f>'FS Desroches Daily'!BL28</f>
        <v>30.000000000001137</v>
      </c>
      <c r="AJ26" s="32">
        <f>'FS Desroches Daily'!BN28</f>
        <v>40.000000000020464</v>
      </c>
      <c r="AK26" s="32">
        <f>'FS Desroches Daily'!BP28</f>
        <v>39.99999999996362</v>
      </c>
      <c r="AL26" s="32">
        <f>'FS Desroches Daily'!BR28</f>
        <v>23</v>
      </c>
      <c r="AM26" s="32">
        <f>'FS Desroches Daily'!BT28</f>
        <v>30.000000000001137</v>
      </c>
      <c r="AN26" s="32">
        <f>'FS Desroches Daily'!BV28</f>
        <v>35</v>
      </c>
      <c r="AO26" s="32">
        <f>'FS Desroches Daily'!BX28</f>
        <v>19.99999999998181</v>
      </c>
      <c r="AP26" s="32">
        <f>'FS Desroches Daily'!BZ28</f>
        <v>24</v>
      </c>
      <c r="AQ26" s="31">
        <f>'FS Desroches Daily'!CB28</f>
        <v>41.400000000001455</v>
      </c>
      <c r="AR26" s="31">
        <f>'FS Desroches Daily'!CD28</f>
        <v>4.1000000000003638</v>
      </c>
      <c r="AS26" s="31">
        <f>'FS Desroches Daily'!CF28</f>
        <v>9</v>
      </c>
      <c r="AT26" s="31">
        <f>'FS Desroches Daily'!CH28</f>
        <v>40.599999999998545</v>
      </c>
      <c r="AU26" s="31">
        <f>'FS Desroches Daily'!CJ28</f>
        <v>257</v>
      </c>
      <c r="AV26" s="31">
        <f>'FS Desroches Daily'!CL28</f>
        <v>570.00000000005002</v>
      </c>
      <c r="AW26" s="31">
        <f>'FS Desroches Daily'!CM28</f>
        <v>52</v>
      </c>
      <c r="AX26" s="31">
        <f>IF(LPG!F33-LPG!F32&lt;0,"0",(LPG!F33-LPG!F32)*1.8315)</f>
        <v>9.1574999999999989</v>
      </c>
      <c r="AY26" s="31">
        <f>IF(LPG!H33-LPG!H32&lt;0,"0",(LPG!H33-LPG!H32)*1.8315)</f>
        <v>3.6629999999999998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10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1600.0000000002678</v>
      </c>
      <c r="F27" s="32">
        <f>'FS Desroches Daily'!F29</f>
        <v>2400.0000000001796</v>
      </c>
      <c r="G27" s="31">
        <f>'FS Desroches Daily'!H29</f>
        <v>2200.0000000002019</v>
      </c>
      <c r="H27" s="32">
        <f>'FS Desroches Daily'!J29</f>
        <v>1299.9999999998568</v>
      </c>
      <c r="I27" s="31">
        <f>'FS Desroches Daily'!L29</f>
        <v>1799.9999999998017</v>
      </c>
      <c r="J27" s="32">
        <f>'FS Desroches Daily'!N29</f>
        <v>799.99999999991189</v>
      </c>
      <c r="K27" s="13">
        <f>'FS Desroches Daily'!P29</f>
        <v>8</v>
      </c>
      <c r="L27" s="31">
        <f>'FS Desroches Daily'!R29</f>
        <v>3</v>
      </c>
      <c r="M27" s="31">
        <f>'FS Desroches Daily'!T29</f>
        <v>0.70000000000004547</v>
      </c>
      <c r="N27" s="31">
        <f>'FS Desroches Daily'!V29</f>
        <v>289.5</v>
      </c>
      <c r="O27" s="31">
        <f>'FS Desroches Daily'!X29</f>
        <v>240.00000000000909</v>
      </c>
      <c r="P27" s="31">
        <f>'FS Desroches Daily'!Z29</f>
        <v>2199.9999999997576</v>
      </c>
      <c r="Q27" s="31">
        <f>'FS Desroches Daily'!AB29</f>
        <v>199.99999999998863</v>
      </c>
      <c r="R27" s="31">
        <f>'FS Desroches Daily'!AD29</f>
        <v>230.00000000001819</v>
      </c>
      <c r="S27" s="31">
        <f>'FS Desroches Daily'!AF29</f>
        <v>220.00000000002728</v>
      </c>
      <c r="T27" s="31">
        <f>'FS Desroches Daily'!AH29</f>
        <v>41</v>
      </c>
      <c r="U27" s="35">
        <f>'FS Desroches Daily'!AJ29</f>
        <v>490.00000000000909</v>
      </c>
      <c r="V27" s="35">
        <f>'FS Desroches Daily'!AL29</f>
        <v>159.99999999999659</v>
      </c>
      <c r="W27" s="35">
        <f>'FS Desroches Daily'!AN29</f>
        <v>140.00000000001478</v>
      </c>
      <c r="X27" s="35">
        <f>'FS Desroches Daily'!AP29</f>
        <v>120.00000000000455</v>
      </c>
      <c r="Y27" s="35">
        <f>'FS Desroches Daily'!AR29</f>
        <v>89.999999999974989</v>
      </c>
      <c r="Z27" s="35">
        <f>'FS Desroches Daily'!AT29</f>
        <v>100.00000000002274</v>
      </c>
      <c r="AA27" s="35">
        <f>'FS Desroches Daily'!AT29</f>
        <v>100.00000000002274</v>
      </c>
      <c r="AB27" s="35">
        <f>'FS Desroches Daily'!AV29</f>
        <v>79.999999999984084</v>
      </c>
      <c r="AC27" s="35">
        <f>'FS Desroches Daily'!AZ29</f>
        <v>30.000000000029559</v>
      </c>
      <c r="AD27" s="35">
        <f>'FS Desroches Daily'!BB29</f>
        <v>30.000000000029559</v>
      </c>
      <c r="AE27" s="35">
        <f>'FS Desroches Daily'!BD29</f>
        <v>30.000000000001137</v>
      </c>
      <c r="AF27" s="31">
        <f>'FS Desroches Daily'!BF29</f>
        <v>37</v>
      </c>
      <c r="AG27" s="32">
        <f>'FS Desroches Daily'!BH29</f>
        <v>30.000000000001137</v>
      </c>
      <c r="AH27" s="32">
        <f>'FS Desroches Daily'!BJ29</f>
        <v>19.99999999998181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50.000000000011369</v>
      </c>
      <c r="AL27" s="32">
        <f>'FS Desroches Daily'!BR29</f>
        <v>28</v>
      </c>
      <c r="AM27" s="32">
        <f>'FS Desroches Daily'!BT29</f>
        <v>30.000000000001137</v>
      </c>
      <c r="AN27" s="32">
        <f>'FS Desroches Daily'!BV29</f>
        <v>52</v>
      </c>
      <c r="AO27" s="32">
        <f>'FS Desroches Daily'!BX29</f>
        <v>30.000000000001137</v>
      </c>
      <c r="AP27" s="32">
        <f>'FS Desroches Daily'!BZ29</f>
        <v>31</v>
      </c>
      <c r="AQ27" s="31">
        <f>'FS Desroches Daily'!CB29</f>
        <v>29.5</v>
      </c>
      <c r="AR27" s="31">
        <f>'FS Desroches Daily'!CD29</f>
        <v>4.5</v>
      </c>
      <c r="AS27" s="31">
        <f>'FS Desroches Daily'!CF29</f>
        <v>0.6000000000003638</v>
      </c>
      <c r="AT27" s="31">
        <f>'FS Desroches Daily'!CH29</f>
        <v>41.80000000000291</v>
      </c>
      <c r="AU27" s="31">
        <f>'FS Desroches Daily'!CJ29</f>
        <v>261</v>
      </c>
      <c r="AV27" s="31">
        <f>'FS Desroches Daily'!CL29</f>
        <v>409.99999999996817</v>
      </c>
      <c r="AW27" s="31">
        <f>'FS Desroches Daily'!CM29</f>
        <v>53</v>
      </c>
      <c r="AX27" s="31">
        <f>IF(LPG!F35-LPG!F33&lt;0,"0",(LPG!F35-LPG!F33)*1.8315)</f>
        <v>14.651999999999999</v>
      </c>
      <c r="AY27" s="31">
        <f>IF(LPG!H35-LPG!H33&lt;0,"0",(LPG!H35-LPG!H33)*1.8315)</f>
        <v>3.6629999999999998</v>
      </c>
      <c r="AZ27" s="31">
        <f>IF(LPG!J35-LPG!J33&lt;0,"0",(LPG!J35-LPG!J33)*1.8315)</f>
        <v>1.8314999999999999</v>
      </c>
      <c r="BA27" s="31">
        <f>IF(LPG!M35-LPG!M33&lt;0,"0",(LPG!M35-LPG!M33)*1.8315)</f>
        <v>3.6629999999999998</v>
      </c>
      <c r="BB27" s="31">
        <f>IF(LPG!Q34-LPG!Q33&lt;0,"0",(LPG!Q34-LPG!Q33)*1.8315)</f>
        <v>9.1574999999999989</v>
      </c>
      <c r="BC27" s="13">
        <f>'FS Desroches Daily'!CN29</f>
        <v>8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1700.0000000000348</v>
      </c>
      <c r="F28" s="32">
        <f>'FS Desroches Daily'!F30</f>
        <v>2399.9999999997358</v>
      </c>
      <c r="G28" s="31">
        <f>'FS Desroches Daily'!H30</f>
        <v>2399.9999999997358</v>
      </c>
      <c r="H28" s="32">
        <f>'FS Desroches Daily'!J30</f>
        <v>1200.0000000000898</v>
      </c>
      <c r="I28" s="31">
        <f>'FS Desroches Daily'!L30</f>
        <v>2000.0000000002237</v>
      </c>
      <c r="J28" s="32">
        <f>'FS Desroches Daily'!N30</f>
        <v>900.0000000001229</v>
      </c>
      <c r="K28" s="13">
        <f>'FS Desroches Daily'!P30</f>
        <v>6</v>
      </c>
      <c r="L28" s="31">
        <f>'FS Desroches Daily'!R30</f>
        <v>2</v>
      </c>
      <c r="M28" s="31">
        <f>'FS Desroches Daily'!T30</f>
        <v>0.70000000000004547</v>
      </c>
      <c r="N28" s="31">
        <f>'FS Desroches Daily'!V30</f>
        <v>287.09999999997672</v>
      </c>
      <c r="O28" s="31">
        <f>'FS Desroches Daily'!X30</f>
        <v>210.00000000003638</v>
      </c>
      <c r="P28" s="31">
        <f>'FS Desroches Daily'!Z30</f>
        <v>2099.9999999999909</v>
      </c>
      <c r="Q28" s="31">
        <f>'FS Desroches Daily'!AB30</f>
        <v>329.99999999998408</v>
      </c>
      <c r="R28" s="31">
        <f>'FS Desroches Daily'!AD30</f>
        <v>240.00000000000909</v>
      </c>
      <c r="S28" s="31">
        <f>'FS Desroches Daily'!AF30</f>
        <v>250</v>
      </c>
      <c r="T28" s="31">
        <f>'FS Desroches Daily'!AH30</f>
        <v>28</v>
      </c>
      <c r="U28" s="35">
        <f>'FS Desroches Daily'!AJ30</f>
        <v>500</v>
      </c>
      <c r="V28" s="35">
        <f>'FS Desroches Daily'!AL30</f>
        <v>129.99999999999545</v>
      </c>
      <c r="W28" s="35">
        <f>'FS Desroches Daily'!AN30</f>
        <v>159.99999999999659</v>
      </c>
      <c r="X28" s="35">
        <f>'FS Desroches Daily'!AP30</f>
        <v>99.999999999994316</v>
      </c>
      <c r="Y28" s="35">
        <f>'FS Desroches Daily'!AR30</f>
        <v>100.00000000002274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89.999999999974989</v>
      </c>
      <c r="AC28" s="35">
        <f>'FS Desroches Daily'!AZ30</f>
        <v>50.000000000011369</v>
      </c>
      <c r="AD28" s="35">
        <f>'FS Desroches Daily'!BB30</f>
        <v>60.000000000002274</v>
      </c>
      <c r="AE28" s="35">
        <f>'FS Desroches Daily'!BD30</f>
        <v>30.000000000001137</v>
      </c>
      <c r="AF28" s="31">
        <f>'FS Desroches Daily'!BF30</f>
        <v>34</v>
      </c>
      <c r="AG28" s="32">
        <f>'FS Desroches Daily'!BH30</f>
        <v>39.999999999992042</v>
      </c>
      <c r="AH28" s="32">
        <f>'FS Desroches Daily'!BJ30</f>
        <v>29.999999999972715</v>
      </c>
      <c r="AI28" s="32">
        <f>'FS Desroches Daily'!BL30</f>
        <v>30.000000000001137</v>
      </c>
      <c r="AJ28" s="32">
        <f>'FS Desroches Daily'!BN30</f>
        <v>49.999999999982947</v>
      </c>
      <c r="AK28" s="32">
        <f>'FS Desroches Daily'!BP30</f>
        <v>50.000000000011369</v>
      </c>
      <c r="AL28" s="32">
        <f>'FS Desroches Daily'!BR30</f>
        <v>27</v>
      </c>
      <c r="AM28" s="32">
        <f>'FS Desroches Daily'!BT30</f>
        <v>30.000000000001137</v>
      </c>
      <c r="AN28" s="32">
        <f>'FS Desroches Daily'!BV30</f>
        <v>39</v>
      </c>
      <c r="AO28" s="32">
        <f>'FS Desroches Daily'!BX30</f>
        <v>40.000000000020464</v>
      </c>
      <c r="AP28" s="32">
        <f>'FS Desroches Daily'!BZ30</f>
        <v>20</v>
      </c>
      <c r="AQ28" s="31">
        <f>'FS Desroches Daily'!CB30</f>
        <v>20.19999999999709</v>
      </c>
      <c r="AR28" s="31">
        <f>'FS Desroches Daily'!CD30</f>
        <v>4.7000000000007276</v>
      </c>
      <c r="AS28" s="31">
        <f>'FS Desroches Daily'!CF30</f>
        <v>3.8999999999996362</v>
      </c>
      <c r="AT28" s="31">
        <f>'FS Desroches Daily'!CH30</f>
        <v>26.900000000001455</v>
      </c>
      <c r="AU28" s="31">
        <f>'FS Desroches Daily'!CJ30</f>
        <v>250</v>
      </c>
      <c r="AV28" s="31">
        <f>'FS Desroches Daily'!CL30</f>
        <v>610.00000000001364</v>
      </c>
      <c r="AW28" s="31">
        <f>'FS Desroches Daily'!CM30</f>
        <v>46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>
        <f>IF(LPG!Q35-LPG!Q34&lt;0,"0",(LPG!Q35-LPG!Q34)*1.8315)</f>
        <v>9.1574999999999989</v>
      </c>
      <c r="BC28" s="13">
        <f>'FS Desroches Daily'!CN30</f>
        <v>8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1799.9999999998017</v>
      </c>
      <c r="F29" s="32">
        <f>'FS Desroches Daily'!F31</f>
        <v>2300.0000000004129</v>
      </c>
      <c r="G29" s="31">
        <f>'FS Desroches Daily'!H31</f>
        <v>2499.9999999999468</v>
      </c>
      <c r="H29" s="32">
        <f>'FS Desroches Daily'!J31</f>
        <v>1300.0000000000789</v>
      </c>
      <c r="I29" s="31">
        <f>'FS Desroches Daily'!L31</f>
        <v>1999.9999999997797</v>
      </c>
      <c r="J29" s="32">
        <f>'FS Desroches Daily'!N31</f>
        <v>799.99999999991189</v>
      </c>
      <c r="K29" s="13">
        <f>'FS Desroches Daily'!P31</f>
        <v>9</v>
      </c>
      <c r="L29" s="31">
        <f>'FS Desroches Daily'!R31</f>
        <v>3</v>
      </c>
      <c r="M29" s="31">
        <f>'FS Desroches Daily'!T31</f>
        <v>0.70000000000004547</v>
      </c>
      <c r="N29" s="31">
        <f>'FS Desroches Daily'!V31</f>
        <v>302.5</v>
      </c>
      <c r="O29" s="31">
        <f>'FS Desroches Daily'!X31</f>
        <v>219.99999999997044</v>
      </c>
      <c r="P29" s="31">
        <f>'FS Desroches Daily'!Z31</f>
        <v>2099.9999999999909</v>
      </c>
      <c r="Q29" s="31">
        <f>'FS Desroches Daily'!AB31</f>
        <v>209.99999999997954</v>
      </c>
      <c r="R29" s="31">
        <f>'FS Desroches Daily'!AD31</f>
        <v>230.00000000001819</v>
      </c>
      <c r="S29" s="31">
        <f>'FS Desroches Daily'!AF31</f>
        <v>220.00000000002728</v>
      </c>
      <c r="T29" s="31">
        <f>'FS Desroches Daily'!AH31</f>
        <v>28</v>
      </c>
      <c r="U29" s="35">
        <f>'FS Desroches Daily'!AJ31</f>
        <v>490.00000000000909</v>
      </c>
      <c r="V29" s="35">
        <f>'FS Desroches Daily'!AL31</f>
        <v>219.99999999999886</v>
      </c>
      <c r="W29" s="35">
        <f>'FS Desroches Daily'!AN31</f>
        <v>189.99999999999773</v>
      </c>
      <c r="X29" s="35">
        <f>'FS Desroches Daily'!AP31</f>
        <v>140.00000000001478</v>
      </c>
      <c r="Y29" s="35">
        <f>'FS Desroches Daily'!AR31</f>
        <v>109.9999999999568</v>
      </c>
      <c r="Z29" s="35">
        <f>'FS Desroches Daily'!AT31</f>
        <v>129.99999999999545</v>
      </c>
      <c r="AA29" s="35">
        <f>'FS Desroches Daily'!AT31</f>
        <v>129.99999999999545</v>
      </c>
      <c r="AB29" s="35">
        <f>'FS Desroches Daily'!AV31</f>
        <v>70.000000000050022</v>
      </c>
      <c r="AC29" s="35">
        <f>'FS Desroches Daily'!AZ31</f>
        <v>49.999999999954525</v>
      </c>
      <c r="AD29" s="35">
        <f>'FS Desroches Daily'!BB31</f>
        <v>50.000000000011369</v>
      </c>
      <c r="AE29" s="35">
        <f>'FS Desroches Daily'!BD31</f>
        <v>30.000000000001137</v>
      </c>
      <c r="AF29" s="31" t="str">
        <f>'FS Desroches Daily'!BF31</f>
        <v/>
      </c>
      <c r="AG29" s="32">
        <f>'FS Desroches Daily'!BH31</f>
        <v>30.000000000001137</v>
      </c>
      <c r="AH29" s="32">
        <f>'FS Desroches Daily'!BJ31</f>
        <v>20.000000000038654</v>
      </c>
      <c r="AI29" s="32">
        <f>'FS Desroches Daily'!BL31</f>
        <v>39.999999999992042</v>
      </c>
      <c r="AJ29" s="32">
        <f>'FS Desroches Daily'!BN31</f>
        <v>40.000000000020464</v>
      </c>
      <c r="AK29" s="32">
        <f>'FS Desroches Daily'!BP31</f>
        <v>39.99999999996362</v>
      </c>
      <c r="AL29" s="32">
        <f>'FS Desroches Daily'!BR31</f>
        <v>22</v>
      </c>
      <c r="AM29" s="32">
        <f>'FS Desroches Daily'!BT31</f>
        <v>30.000000000001137</v>
      </c>
      <c r="AN29" s="32">
        <f>'FS Desroches Daily'!BV31</f>
        <v>36</v>
      </c>
      <c r="AO29" s="32">
        <f>'FS Desroches Daily'!BX31</f>
        <v>19.99999999998181</v>
      </c>
      <c r="AP29" s="32">
        <f>'FS Desroches Daily'!BZ31</f>
        <v>20</v>
      </c>
      <c r="AQ29" s="31">
        <f>'FS Desroches Daily'!CB31</f>
        <v>31.400000000001455</v>
      </c>
      <c r="AR29" s="31">
        <f>'FS Desroches Daily'!CD31</f>
        <v>6.8999999999996362</v>
      </c>
      <c r="AS29" s="31">
        <f>'FS Desroches Daily'!CF31</f>
        <v>2.8999999999996362</v>
      </c>
      <c r="AT29" s="31">
        <f>'FS Desroches Daily'!CH31</f>
        <v>55.099999999998545</v>
      </c>
      <c r="AU29" s="31">
        <f>'FS Desroches Daily'!CJ31</f>
        <v>260</v>
      </c>
      <c r="AV29" s="31">
        <f>'FS Desroches Daily'!CL31</f>
        <v>690.00000000005457</v>
      </c>
      <c r="AW29" s="31">
        <f>'FS Desroches Daily'!CM31</f>
        <v>54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 t="str">
        <f>'FS Desroches Daily'!D32</f>
        <v>0</v>
      </c>
      <c r="F30" s="32" t="str">
        <f>'FS Desroches Daily'!F32</f>
        <v>0</v>
      </c>
      <c r="G30" s="31" t="str">
        <f>'FS Desroches Daily'!H32</f>
        <v>0</v>
      </c>
      <c r="H30" s="32" t="str">
        <f>'FS Desroches Daily'!J32</f>
        <v>0</v>
      </c>
      <c r="I30" s="31" t="str">
        <f>'FS Desroches Daily'!L32</f>
        <v>0</v>
      </c>
      <c r="J30" s="32" t="str">
        <f>'FS Desroches Daily'!N32</f>
        <v/>
      </c>
      <c r="K30" s="13" t="str">
        <f>'FS Desroches Daily'!P32</f>
        <v/>
      </c>
      <c r="L30" s="31" t="str">
        <f>'FS Desroches Daily'!R32</f>
        <v/>
      </c>
      <c r="M30" s="31" t="str">
        <f>'FS Desroches Daily'!T32</f>
        <v/>
      </c>
      <c r="N30" s="31" t="str">
        <f>'FS Desroches Daily'!V32</f>
        <v/>
      </c>
      <c r="O30" s="31" t="str">
        <f>'FS Desroches Daily'!X32</f>
        <v/>
      </c>
      <c r="P30" s="31" t="str">
        <f>'FS Desroches Daily'!Z32</f>
        <v/>
      </c>
      <c r="Q30" s="31" t="str">
        <f>'FS Desroches Daily'!AB32</f>
        <v/>
      </c>
      <c r="R30" s="31" t="str">
        <f>'FS Desroches Daily'!AD32</f>
        <v/>
      </c>
      <c r="S30" s="31" t="str">
        <f>'FS Desroches Daily'!AF32</f>
        <v/>
      </c>
      <c r="T30" s="31" t="str">
        <f>'FS Desroches Daily'!AH32</f>
        <v/>
      </c>
      <c r="U30" s="35" t="str">
        <f>'FS Desroches Daily'!AJ32</f>
        <v/>
      </c>
      <c r="V30" s="35" t="str">
        <f>'FS Desroches Daily'!AL32</f>
        <v/>
      </c>
      <c r="W30" s="35" t="str">
        <f>'FS Desroches Daily'!AN32</f>
        <v/>
      </c>
      <c r="X30" s="35" t="str">
        <f>'FS Desroches Daily'!AP32</f>
        <v/>
      </c>
      <c r="Y30" s="35" t="str">
        <f>'FS Desroches Daily'!AR32</f>
        <v/>
      </c>
      <c r="Z30" s="35" t="str">
        <f>'FS Desroches Daily'!AT32</f>
        <v/>
      </c>
      <c r="AA30" s="35" t="str">
        <f>'FS Desroches Daily'!AT32</f>
        <v/>
      </c>
      <c r="AB30" s="35" t="str">
        <f>'FS Desroches Daily'!AV32</f>
        <v/>
      </c>
      <c r="AC30" s="35" t="str">
        <f>'FS Desroches Daily'!AZ32</f>
        <v/>
      </c>
      <c r="AD30" s="35" t="str">
        <f>'FS Desroches Daily'!BB32</f>
        <v/>
      </c>
      <c r="AE30" s="35" t="str">
        <f>'FS Desroches Daily'!BD32</f>
        <v/>
      </c>
      <c r="AF30" s="31">
        <f>'FS Desroches Daily'!BF32</f>
        <v>0</v>
      </c>
      <c r="AG30" s="32" t="str">
        <f>'FS Desroches Daily'!BH32</f>
        <v/>
      </c>
      <c r="AH30" s="32" t="str">
        <f>'FS Desroches Daily'!BJ32</f>
        <v/>
      </c>
      <c r="AI30" s="32" t="str">
        <f>'FS Desroches Daily'!BL32</f>
        <v/>
      </c>
      <c r="AJ30" s="32" t="str">
        <f>'FS Desroches Daily'!BN32</f>
        <v/>
      </c>
      <c r="AK30" s="32" t="str">
        <f>'FS Desroches Daily'!BP32</f>
        <v/>
      </c>
      <c r="AL30" s="32" t="str">
        <f>'FS Desroches Daily'!BR32</f>
        <v/>
      </c>
      <c r="AM30" s="32" t="str">
        <f>'FS Desroches Daily'!BT32</f>
        <v/>
      </c>
      <c r="AN30" s="32" t="str">
        <f>'FS Desroches Daily'!BV32</f>
        <v/>
      </c>
      <c r="AO30" s="32" t="str">
        <f>'FS Desroches Daily'!BX32</f>
        <v/>
      </c>
      <c r="AP30" s="32" t="str">
        <f>'FS Desroches Daily'!BZ32</f>
        <v/>
      </c>
      <c r="AQ30" s="31" t="str">
        <f>'FS Desroches Daily'!CB32</f>
        <v/>
      </c>
      <c r="AR30" s="31" t="str">
        <f>'FS Desroches Daily'!CD32</f>
        <v/>
      </c>
      <c r="AS30" s="31" t="str">
        <f>'FS Desroches Daily'!CF32</f>
        <v/>
      </c>
      <c r="AT30" s="31" t="str">
        <f>'FS Desroches Daily'!CH32</f>
        <v/>
      </c>
      <c r="AU30" s="31" t="str">
        <f>'FS Desroches Daily'!CJ32</f>
        <v/>
      </c>
      <c r="AV30" s="31" t="str">
        <f>'FS Desroches Daily'!CL32</f>
        <v/>
      </c>
      <c r="AW30" s="31" t="e">
        <f>'FS Desroches Daily'!CM32</f>
        <v>#VALUE!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56699.999999999774</v>
      </c>
      <c r="F33" s="17">
        <f t="shared" ref="F33:BC33" si="1">SUM(F2:F32)</f>
        <v>72400.000000000044</v>
      </c>
      <c r="G33" s="17">
        <f t="shared" si="1"/>
        <v>73199.999999999956</v>
      </c>
      <c r="H33" s="17">
        <f t="shared" si="1"/>
        <v>35800.000000000065</v>
      </c>
      <c r="I33" s="17">
        <f t="shared" si="1"/>
        <v>55199.999999999716</v>
      </c>
      <c r="J33" s="17">
        <f t="shared" si="1"/>
        <v>23700.000000000069</v>
      </c>
      <c r="K33" s="17">
        <f t="shared" si="1"/>
        <v>169</v>
      </c>
      <c r="L33" s="17">
        <f t="shared" si="1"/>
        <v>75</v>
      </c>
      <c r="M33" s="17">
        <f t="shared" si="1"/>
        <v>22.100000000000023</v>
      </c>
      <c r="N33" s="17">
        <f t="shared" si="1"/>
        <v>8852.2999999999884</v>
      </c>
      <c r="O33" s="17">
        <f t="shared" si="1"/>
        <v>7370.0000000000036</v>
      </c>
      <c r="P33" s="17">
        <f t="shared" si="1"/>
        <v>64699.999999999782</v>
      </c>
      <c r="Q33" s="17">
        <f t="shared" si="1"/>
        <v>7500</v>
      </c>
      <c r="R33" s="17">
        <f t="shared" si="1"/>
        <v>7370.0000000000036</v>
      </c>
      <c r="S33" s="17">
        <f t="shared" si="1"/>
        <v>5779.9999999999727</v>
      </c>
      <c r="T33" s="17">
        <f t="shared" si="1"/>
        <v>951</v>
      </c>
      <c r="U33" s="35">
        <f t="shared" si="1"/>
        <v>17630</v>
      </c>
      <c r="V33" s="35">
        <f t="shared" si="1"/>
        <v>5750</v>
      </c>
      <c r="W33" s="35">
        <f t="shared" si="1"/>
        <v>4730.0000000000182</v>
      </c>
      <c r="X33" s="35">
        <f t="shared" si="1"/>
        <v>4280.0000000000018</v>
      </c>
      <c r="Y33" s="35">
        <f t="shared" si="1"/>
        <v>4129.9999999999682</v>
      </c>
      <c r="Z33" s="35">
        <f t="shared" si="1"/>
        <v>4601.7400000000016</v>
      </c>
      <c r="AA33" s="35">
        <f t="shared" si="1"/>
        <v>4601.7400000000016</v>
      </c>
      <c r="AB33" s="35">
        <f t="shared" si="1"/>
        <v>3740.0000000000091</v>
      </c>
      <c r="AC33" s="35">
        <f t="shared" si="1"/>
        <v>1059.9999999999454</v>
      </c>
      <c r="AD33" s="35">
        <f t="shared" si="1"/>
        <v>740.00000000000909</v>
      </c>
      <c r="AE33" s="35">
        <f t="shared" si="1"/>
        <v>1289.999999999992</v>
      </c>
      <c r="AF33" s="17">
        <f t="shared" si="1"/>
        <v>853</v>
      </c>
      <c r="AG33" s="32">
        <f t="shared" si="1"/>
        <v>1169.9999999999875</v>
      </c>
      <c r="AH33" s="32">
        <f t="shared" si="1"/>
        <v>740.00000000000909</v>
      </c>
      <c r="AI33" s="32">
        <f t="shared" si="1"/>
        <v>939.99999999999773</v>
      </c>
      <c r="AJ33" s="32">
        <f t="shared" si="1"/>
        <v>1140.0000000000148</v>
      </c>
      <c r="AK33" s="32">
        <f t="shared" si="1"/>
        <v>1370.0000000000045</v>
      </c>
      <c r="AL33" s="32">
        <f t="shared" si="1"/>
        <v>717</v>
      </c>
      <c r="AM33" s="32">
        <f t="shared" si="1"/>
        <v>1000</v>
      </c>
      <c r="AN33" s="32">
        <f t="shared" si="1"/>
        <v>1141</v>
      </c>
      <c r="AO33" s="32">
        <f t="shared" si="1"/>
        <v>639.99999999998636</v>
      </c>
      <c r="AP33" s="32">
        <f t="shared" si="1"/>
        <v>942</v>
      </c>
      <c r="AQ33" s="17">
        <f t="shared" si="1"/>
        <v>940.90000000000146</v>
      </c>
      <c r="AR33" s="17">
        <f t="shared" si="1"/>
        <v>177.39999999999964</v>
      </c>
      <c r="AS33" s="17">
        <f t="shared" si="1"/>
        <v>131</v>
      </c>
      <c r="AT33" s="17">
        <f t="shared" si="1"/>
        <v>1369.9000000000015</v>
      </c>
      <c r="AU33" s="17">
        <f t="shared" si="1"/>
        <v>7606</v>
      </c>
      <c r="AV33" s="17">
        <f t="shared" si="1"/>
        <v>19480.000000000022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205.12799999999996</v>
      </c>
      <c r="BC33" s="17">
        <f t="shared" si="1"/>
        <v>292</v>
      </c>
    </row>
    <row r="35" spans="5:55" x14ac:dyDescent="0.25">
      <c r="E35" s="38">
        <f>E33/E37</f>
        <v>0.22416560580063019</v>
      </c>
      <c r="G35" s="29">
        <f>G33-M36</f>
        <v>64325.599999999969</v>
      </c>
      <c r="AE35" s="35">
        <f>SUM(U33:AE33)</f>
        <v>52553.479999999952</v>
      </c>
      <c r="AG35" s="32">
        <f>SUM(AG33:AP33)</f>
        <v>9800</v>
      </c>
    </row>
    <row r="36" spans="5:55" x14ac:dyDescent="0.25">
      <c r="G36" s="29">
        <f>G35-633*14</f>
        <v>55463.599999999969</v>
      </c>
      <c r="M36" s="29">
        <f>M33+N33</f>
        <v>8874.3999999999887</v>
      </c>
    </row>
    <row r="37" spans="5:55" x14ac:dyDescent="0.25">
      <c r="E37" s="17">
        <f>E33+F33+G33+H33+J33-633*14</f>
        <v>252937.99999999988</v>
      </c>
      <c r="G37" s="37">
        <f>M36/E37</f>
        <v>3.5085277815116722E-2</v>
      </c>
      <c r="M37" s="35">
        <f>AE35</f>
        <v>52553.479999999952</v>
      </c>
    </row>
    <row r="38" spans="5:55" x14ac:dyDescent="0.25">
      <c r="L38" s="27">
        <f>M38/E37</f>
        <v>3.8744672607516482E-2</v>
      </c>
      <c r="M38" s="29">
        <f>AG35</f>
        <v>9800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zoomScale="80" zoomScaleNormal="80" workbookViewId="0">
      <pane ySplit="1" topLeftCell="A14" activePane="bottomLeft" state="frozen"/>
      <selection pane="bottomLeft" activeCell="CX32" sqref="CX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>
        <v>2.3986000000000001</v>
      </c>
      <c r="D22" s="64">
        <f t="shared" si="0"/>
        <v>1700.0000000000348</v>
      </c>
      <c r="E22" s="58">
        <v>3.3982999999999999</v>
      </c>
      <c r="F22" s="64">
        <f t="shared" si="1"/>
        <v>2599.9999999997135</v>
      </c>
      <c r="G22" s="58">
        <v>3.4567000000000001</v>
      </c>
      <c r="H22" s="64">
        <f t="shared" si="2"/>
        <v>2600.0000000001578</v>
      </c>
      <c r="I22" s="58">
        <v>1.7032</v>
      </c>
      <c r="J22" s="64">
        <f t="shared" si="3"/>
        <v>1300.0000000000789</v>
      </c>
      <c r="K22" s="58">
        <v>2.7502</v>
      </c>
      <c r="L22" s="64">
        <f t="shared" si="4"/>
        <v>1999.9999999997797</v>
      </c>
      <c r="M22" s="58">
        <v>1.5044</v>
      </c>
      <c r="N22" s="64">
        <f t="shared" si="5"/>
        <v>799.99999999991189</v>
      </c>
      <c r="O22" s="58">
        <v>14644</v>
      </c>
      <c r="P22" s="67">
        <f t="shared" si="44"/>
        <v>7</v>
      </c>
      <c r="Q22" s="58">
        <v>1141</v>
      </c>
      <c r="R22" s="67">
        <f t="shared" si="6"/>
        <v>2</v>
      </c>
      <c r="S22" s="58">
        <v>1035.7</v>
      </c>
      <c r="T22" s="67">
        <f t="shared" si="7"/>
        <v>0.70000000000004547</v>
      </c>
      <c r="U22" s="58">
        <v>433764.8</v>
      </c>
      <c r="V22" s="67">
        <f t="shared" si="8"/>
        <v>343.09999999997672</v>
      </c>
      <c r="W22" s="58">
        <v>411.52</v>
      </c>
      <c r="X22" s="65">
        <f t="shared" si="9"/>
        <v>269.99999999998181</v>
      </c>
      <c r="Y22" s="58">
        <v>2.9729999999999999</v>
      </c>
      <c r="Z22" s="65">
        <f t="shared" si="10"/>
        <v>2399.9999999997358</v>
      </c>
      <c r="AA22" s="58">
        <v>410.39</v>
      </c>
      <c r="AB22" s="65">
        <f t="shared" si="11"/>
        <v>189.99999999999773</v>
      </c>
      <c r="AC22" s="58">
        <v>383.76</v>
      </c>
      <c r="AD22" s="65">
        <f t="shared" si="12"/>
        <v>259.99999999999091</v>
      </c>
      <c r="AE22" s="58">
        <v>579.52</v>
      </c>
      <c r="AF22" s="65">
        <f t="shared" si="13"/>
        <v>179.99999999994998</v>
      </c>
      <c r="AG22" s="58">
        <v>6270</v>
      </c>
      <c r="AH22" s="67">
        <f t="shared" si="14"/>
        <v>32</v>
      </c>
      <c r="AI22" s="58">
        <v>647.41</v>
      </c>
      <c r="AJ22" s="65">
        <f t="shared" si="15"/>
        <v>459.99999999992269</v>
      </c>
      <c r="AK22" s="58">
        <v>214.36</v>
      </c>
      <c r="AL22" s="65">
        <f t="shared" si="15"/>
        <v>180.00000000000682</v>
      </c>
      <c r="AM22" s="58">
        <v>203.3</v>
      </c>
      <c r="AN22" s="65">
        <f t="shared" si="15"/>
        <v>170.00000000001592</v>
      </c>
      <c r="AO22" s="58">
        <v>196.19</v>
      </c>
      <c r="AP22" s="65">
        <f t="shared" si="15"/>
        <v>109.99999999998522</v>
      </c>
      <c r="AQ22" s="58">
        <v>255.56</v>
      </c>
      <c r="AR22" s="65">
        <f t="shared" si="16"/>
        <v>120.00000000000455</v>
      </c>
      <c r="AS22" s="58">
        <v>381.61</v>
      </c>
      <c r="AT22" s="65">
        <f t="shared" si="17"/>
        <v>100.00000000002274</v>
      </c>
      <c r="AU22" s="58">
        <v>291.97000000000003</v>
      </c>
      <c r="AV22" s="65">
        <f t="shared" si="18"/>
        <v>90.000000000031832</v>
      </c>
      <c r="AW22" s="58">
        <v>324.42</v>
      </c>
      <c r="AX22" s="65">
        <f t="shared" si="19"/>
        <v>60.000000000002274</v>
      </c>
      <c r="AY22" s="58">
        <v>363.71</v>
      </c>
      <c r="AZ22" s="65">
        <f t="shared" si="20"/>
        <v>39.99999999996362</v>
      </c>
      <c r="BA22" s="58">
        <v>382.53</v>
      </c>
      <c r="BB22" s="65">
        <f t="shared" si="21"/>
        <v>19.99999999998181</v>
      </c>
      <c r="BC22" s="58">
        <v>245.9</v>
      </c>
      <c r="BD22" s="65">
        <f t="shared" si="22"/>
        <v>39.999999999992042</v>
      </c>
      <c r="BE22" s="59">
        <v>41899</v>
      </c>
      <c r="BF22" s="67">
        <f t="shared" si="39"/>
        <v>41</v>
      </c>
      <c r="BG22" s="60">
        <v>236.15</v>
      </c>
      <c r="BH22" s="65">
        <f t="shared" si="23"/>
        <v>39.999999999992042</v>
      </c>
      <c r="BI22" s="60">
        <v>294.55</v>
      </c>
      <c r="BJ22" s="65">
        <f t="shared" si="40"/>
        <v>30.000000000029559</v>
      </c>
      <c r="BK22" s="60">
        <v>238.47</v>
      </c>
      <c r="BL22" s="65">
        <f t="shared" si="24"/>
        <v>30.000000000001137</v>
      </c>
      <c r="BM22" s="60">
        <v>225.84</v>
      </c>
      <c r="BN22" s="65">
        <f t="shared" si="25"/>
        <v>39.999999999992042</v>
      </c>
      <c r="BO22" s="60">
        <v>289.75</v>
      </c>
      <c r="BP22" s="65">
        <f t="shared" si="26"/>
        <v>89.999999999974989</v>
      </c>
      <c r="BQ22" s="60">
        <v>46656</v>
      </c>
      <c r="BR22" s="65">
        <f t="shared" si="27"/>
        <v>35</v>
      </c>
      <c r="BS22" s="60">
        <v>202.45</v>
      </c>
      <c r="BT22" s="65">
        <f t="shared" si="42"/>
        <v>39.999999999992042</v>
      </c>
      <c r="BU22" s="60">
        <v>42751</v>
      </c>
      <c r="BV22" s="65">
        <f t="shared" si="29"/>
        <v>41</v>
      </c>
      <c r="BW22" s="60">
        <v>233.1</v>
      </c>
      <c r="BX22" s="65">
        <f t="shared" si="30"/>
        <v>19.99999999998181</v>
      </c>
      <c r="BY22" s="60">
        <v>62477</v>
      </c>
      <c r="BZ22" s="67">
        <f t="shared" si="31"/>
        <v>36</v>
      </c>
      <c r="CA22" s="60">
        <v>33763.5</v>
      </c>
      <c r="CB22" s="67">
        <f t="shared" si="32"/>
        <v>36.099999999998545</v>
      </c>
      <c r="CC22" s="60">
        <v>12576.8</v>
      </c>
      <c r="CD22" s="67">
        <f t="shared" si="33"/>
        <v>4.5</v>
      </c>
      <c r="CE22" s="60">
        <v>6685.1</v>
      </c>
      <c r="CF22" s="67">
        <f t="shared" si="34"/>
        <v>0.6000000000003638</v>
      </c>
      <c r="CG22" s="60">
        <v>61690.400000000001</v>
      </c>
      <c r="CH22" s="67">
        <f t="shared" si="35"/>
        <v>49.700000000004366</v>
      </c>
      <c r="CI22" s="60">
        <v>963140</v>
      </c>
      <c r="CJ22" s="67">
        <f t="shared" si="36"/>
        <v>272</v>
      </c>
      <c r="CK22" s="60">
        <v>799.66</v>
      </c>
      <c r="CL22" s="64">
        <f t="shared" si="37"/>
        <v>669.99999999995907</v>
      </c>
      <c r="CM22" s="65">
        <f t="shared" si="41"/>
        <v>62</v>
      </c>
      <c r="CN22" s="62">
        <v>10</v>
      </c>
      <c r="CO22" s="62">
        <v>20</v>
      </c>
      <c r="CP22" s="68">
        <v>12036</v>
      </c>
      <c r="CQ22" s="67">
        <f t="shared" si="38"/>
        <v>38</v>
      </c>
      <c r="CR22" s="68">
        <v>15495</v>
      </c>
      <c r="CS22" s="67">
        <f t="shared" si="38"/>
        <v>24</v>
      </c>
      <c r="CT22" s="75">
        <v>7060</v>
      </c>
      <c r="CU22" s="67">
        <f t="shared" si="38"/>
        <v>10</v>
      </c>
      <c r="CV22" s="68">
        <v>17071</v>
      </c>
      <c r="CW22" s="67">
        <f t="shared" si="38"/>
        <v>15</v>
      </c>
    </row>
    <row r="23" spans="1:101" ht="25.5" customHeight="1" thickBot="1" x14ac:dyDescent="0.45">
      <c r="A23" s="63">
        <v>44428</v>
      </c>
      <c r="B23" s="44"/>
      <c r="C23" s="58">
        <v>2.4003999999999999</v>
      </c>
      <c r="D23" s="64">
        <f t="shared" si="0"/>
        <v>1799.9999999998017</v>
      </c>
      <c r="E23" s="58">
        <v>3.4009</v>
      </c>
      <c r="F23" s="64">
        <f t="shared" si="1"/>
        <v>2600.0000000001578</v>
      </c>
      <c r="G23" s="58">
        <v>3.4592000000000001</v>
      </c>
      <c r="H23" s="64">
        <f t="shared" si="2"/>
        <v>2499.9999999999468</v>
      </c>
      <c r="I23" s="58">
        <v>1.7044999999999999</v>
      </c>
      <c r="J23" s="64">
        <f t="shared" si="3"/>
        <v>1299.9999999998568</v>
      </c>
      <c r="K23" s="58">
        <v>2.7522000000000002</v>
      </c>
      <c r="L23" s="64">
        <f t="shared" si="4"/>
        <v>2000.0000000002237</v>
      </c>
      <c r="M23" s="58">
        <v>1.5053000000000001</v>
      </c>
      <c r="N23" s="64">
        <f t="shared" si="5"/>
        <v>900.0000000001229</v>
      </c>
      <c r="O23" s="58">
        <v>14650</v>
      </c>
      <c r="P23" s="67">
        <f t="shared" si="44"/>
        <v>6</v>
      </c>
      <c r="Q23" s="58">
        <v>1144</v>
      </c>
      <c r="R23" s="67">
        <f t="shared" si="6"/>
        <v>3</v>
      </c>
      <c r="S23" s="58">
        <v>1036.5</v>
      </c>
      <c r="T23" s="67">
        <f t="shared" si="7"/>
        <v>0.79999999999995453</v>
      </c>
      <c r="U23" s="58">
        <v>434108.9</v>
      </c>
      <c r="V23" s="67">
        <f t="shared" si="8"/>
        <v>344.10000000003492</v>
      </c>
      <c r="W23" s="58">
        <v>411.76</v>
      </c>
      <c r="X23" s="65">
        <f t="shared" si="9"/>
        <v>240.00000000000909</v>
      </c>
      <c r="Y23" s="58">
        <v>2.9752999999999998</v>
      </c>
      <c r="Z23" s="65">
        <f t="shared" si="10"/>
        <v>2299.9999999999686</v>
      </c>
      <c r="AA23" s="58">
        <v>410.69</v>
      </c>
      <c r="AB23" s="65">
        <f t="shared" si="11"/>
        <v>300.00000000001137</v>
      </c>
      <c r="AC23" s="58">
        <v>384.02</v>
      </c>
      <c r="AD23" s="65">
        <f t="shared" si="12"/>
        <v>259.99999999999091</v>
      </c>
      <c r="AE23" s="58">
        <v>579.75</v>
      </c>
      <c r="AF23" s="65">
        <f t="shared" si="13"/>
        <v>230.00000000001819</v>
      </c>
      <c r="AG23" s="58">
        <v>6303</v>
      </c>
      <c r="AH23" s="67">
        <f t="shared" si="14"/>
        <v>33</v>
      </c>
      <c r="AI23" s="58">
        <v>647.9</v>
      </c>
      <c r="AJ23" s="65">
        <f t="shared" si="15"/>
        <v>490.00000000000909</v>
      </c>
      <c r="AK23" s="58">
        <v>214.52</v>
      </c>
      <c r="AL23" s="65">
        <f t="shared" si="15"/>
        <v>159.99999999999659</v>
      </c>
      <c r="AM23" s="58">
        <v>203.48</v>
      </c>
      <c r="AN23" s="65">
        <f t="shared" si="15"/>
        <v>179.9999999999784</v>
      </c>
      <c r="AO23" s="58">
        <v>196.35</v>
      </c>
      <c r="AP23" s="65">
        <f t="shared" si="15"/>
        <v>159.99999999999659</v>
      </c>
      <c r="AQ23" s="58">
        <v>255.69</v>
      </c>
      <c r="AR23" s="65">
        <f t="shared" si="16"/>
        <v>129.99999999999545</v>
      </c>
      <c r="AS23" s="58">
        <v>381.88</v>
      </c>
      <c r="AT23" s="65">
        <f t="shared" si="17"/>
        <v>269.99999999998181</v>
      </c>
      <c r="AU23" s="58">
        <v>292.07</v>
      </c>
      <c r="AV23" s="65">
        <f t="shared" si="18"/>
        <v>99.999999999965894</v>
      </c>
      <c r="AW23" s="58">
        <v>324.49</v>
      </c>
      <c r="AX23" s="65">
        <f t="shared" si="19"/>
        <v>69.999999999993179</v>
      </c>
      <c r="AY23" s="58">
        <v>363.75</v>
      </c>
      <c r="AZ23" s="65">
        <f t="shared" si="20"/>
        <v>40.000000000020464</v>
      </c>
      <c r="BA23" s="58">
        <v>382.55</v>
      </c>
      <c r="BB23" s="65">
        <f t="shared" si="21"/>
        <v>20.000000000038654</v>
      </c>
      <c r="BC23" s="58">
        <v>245.93</v>
      </c>
      <c r="BD23" s="65">
        <f t="shared" si="22"/>
        <v>30.000000000001137</v>
      </c>
      <c r="BE23" s="59">
        <v>41928</v>
      </c>
      <c r="BF23" s="67">
        <f t="shared" si="39"/>
        <v>29</v>
      </c>
      <c r="BG23" s="60">
        <v>236.19</v>
      </c>
      <c r="BH23" s="65">
        <f t="shared" si="23"/>
        <v>39.999999999992042</v>
      </c>
      <c r="BI23" s="60">
        <v>294.60000000000002</v>
      </c>
      <c r="BJ23" s="65">
        <f t="shared" si="40"/>
        <v>50.000000000011369</v>
      </c>
      <c r="BK23" s="60">
        <v>238.51</v>
      </c>
      <c r="BL23" s="65">
        <f t="shared" si="24"/>
        <v>39.999999999992042</v>
      </c>
      <c r="BM23" s="60">
        <v>225.88</v>
      </c>
      <c r="BN23" s="65">
        <f t="shared" si="25"/>
        <v>39.999999999992042</v>
      </c>
      <c r="BO23" s="60">
        <v>289.76</v>
      </c>
      <c r="BP23" s="65">
        <f t="shared" si="26"/>
        <v>9.9999999999909051</v>
      </c>
      <c r="BQ23" s="60">
        <v>46689</v>
      </c>
      <c r="BR23" s="65">
        <f t="shared" si="27"/>
        <v>33</v>
      </c>
      <c r="BS23" s="60">
        <v>202.49</v>
      </c>
      <c r="BT23" s="65">
        <f t="shared" si="42"/>
        <v>40.000000000020464</v>
      </c>
      <c r="BU23" s="60">
        <v>42796</v>
      </c>
      <c r="BV23" s="65">
        <f t="shared" si="29"/>
        <v>45</v>
      </c>
      <c r="BW23" s="60">
        <v>233.12</v>
      </c>
      <c r="BX23" s="65">
        <f t="shared" si="30"/>
        <v>20.000000000010232</v>
      </c>
      <c r="BY23" s="60">
        <v>62511</v>
      </c>
      <c r="BZ23" s="67">
        <f t="shared" si="31"/>
        <v>34</v>
      </c>
      <c r="CA23" s="60">
        <v>33801</v>
      </c>
      <c r="CB23" s="67">
        <f t="shared" si="32"/>
        <v>37.5</v>
      </c>
      <c r="CC23" s="60">
        <v>12587.2</v>
      </c>
      <c r="CD23" s="67">
        <f t="shared" si="33"/>
        <v>10.400000000001455</v>
      </c>
      <c r="CE23" s="60">
        <v>6694.1</v>
      </c>
      <c r="CF23" s="67">
        <f t="shared" si="34"/>
        <v>9</v>
      </c>
      <c r="CG23" s="60">
        <v>61736.3</v>
      </c>
      <c r="CH23" s="67">
        <f t="shared" si="35"/>
        <v>45.900000000001455</v>
      </c>
      <c r="CI23" s="60">
        <v>963412</v>
      </c>
      <c r="CJ23" s="67">
        <f t="shared" si="36"/>
        <v>272</v>
      </c>
      <c r="CK23" s="60">
        <v>800.23</v>
      </c>
      <c r="CL23" s="64">
        <f t="shared" si="37"/>
        <v>570.00000000005002</v>
      </c>
      <c r="CM23" s="65">
        <f t="shared" si="41"/>
        <v>58</v>
      </c>
      <c r="CN23" s="62">
        <v>13</v>
      </c>
      <c r="CO23" s="62">
        <v>26</v>
      </c>
      <c r="CP23" s="68">
        <v>12078</v>
      </c>
      <c r="CQ23" s="67">
        <f t="shared" si="38"/>
        <v>42</v>
      </c>
      <c r="CR23" s="68">
        <v>15511</v>
      </c>
      <c r="CS23" s="67">
        <f t="shared" si="38"/>
        <v>16</v>
      </c>
      <c r="CT23" s="75">
        <v>7070</v>
      </c>
      <c r="CU23" s="67">
        <f t="shared" si="38"/>
        <v>10</v>
      </c>
      <c r="CV23" s="68">
        <v>17088</v>
      </c>
      <c r="CW23" s="67">
        <f t="shared" si="38"/>
        <v>17</v>
      </c>
    </row>
    <row r="24" spans="1:101" ht="25.5" customHeight="1" thickBot="1" x14ac:dyDescent="0.45">
      <c r="A24" s="63">
        <v>44429</v>
      </c>
      <c r="B24" s="44"/>
      <c r="C24" s="58">
        <v>2.4020999999999999</v>
      </c>
      <c r="D24" s="64">
        <f t="shared" si="0"/>
        <v>1700.0000000000348</v>
      </c>
      <c r="E24" s="58">
        <v>3.4039000000000001</v>
      </c>
      <c r="F24" s="64">
        <f t="shared" si="1"/>
        <v>3000.0000000001137</v>
      </c>
      <c r="G24" s="58">
        <v>3.4619</v>
      </c>
      <c r="H24" s="64">
        <f t="shared" si="2"/>
        <v>2699.9999999999245</v>
      </c>
      <c r="I24" s="58">
        <v>1.7059</v>
      </c>
      <c r="J24" s="64">
        <f t="shared" si="3"/>
        <v>1400.0000000000678</v>
      </c>
      <c r="K24" s="58">
        <v>2.7542</v>
      </c>
      <c r="L24" s="64">
        <f t="shared" si="4"/>
        <v>1999.9999999997797</v>
      </c>
      <c r="M24" s="58">
        <v>1.5061</v>
      </c>
      <c r="N24" s="64">
        <f t="shared" si="5"/>
        <v>799.99999999991189</v>
      </c>
      <c r="O24" s="58">
        <v>14663</v>
      </c>
      <c r="P24" s="67">
        <f t="shared" si="44"/>
        <v>13</v>
      </c>
      <c r="Q24" s="58">
        <v>1147</v>
      </c>
      <c r="R24" s="67">
        <f t="shared" si="6"/>
        <v>3</v>
      </c>
      <c r="S24" s="58">
        <v>1037.4000000000001</v>
      </c>
      <c r="T24" s="67">
        <f t="shared" si="7"/>
        <v>0.90000000000009095</v>
      </c>
      <c r="U24" s="58">
        <v>434459</v>
      </c>
      <c r="V24" s="67">
        <f t="shared" si="8"/>
        <v>350.09999999997672</v>
      </c>
      <c r="W24" s="58">
        <v>412.03</v>
      </c>
      <c r="X24" s="65">
        <f t="shared" si="9"/>
        <v>269.99999999998181</v>
      </c>
      <c r="Y24" s="58">
        <v>2.9780000000000002</v>
      </c>
      <c r="Z24" s="65">
        <f t="shared" si="10"/>
        <v>2700.0000000003688</v>
      </c>
      <c r="AA24" s="58">
        <v>410.87</v>
      </c>
      <c r="AB24" s="65">
        <f t="shared" si="11"/>
        <v>180.00000000000682</v>
      </c>
      <c r="AC24" s="58">
        <v>384.33</v>
      </c>
      <c r="AD24" s="65">
        <f t="shared" si="12"/>
        <v>310.00000000000227</v>
      </c>
      <c r="AE24" s="58">
        <v>579.99</v>
      </c>
      <c r="AF24" s="65">
        <f t="shared" si="13"/>
        <v>240.00000000000909</v>
      </c>
      <c r="AG24" s="58">
        <v>6335</v>
      </c>
      <c r="AH24" s="67">
        <f t="shared" si="14"/>
        <v>32</v>
      </c>
      <c r="AI24" s="58">
        <v>648.44000000000005</v>
      </c>
      <c r="AJ24" s="65">
        <f t="shared" si="15"/>
        <v>540.00000000007731</v>
      </c>
      <c r="AK24" s="58">
        <v>214.71</v>
      </c>
      <c r="AL24" s="65">
        <f t="shared" si="15"/>
        <v>189.99999999999773</v>
      </c>
      <c r="AM24" s="58">
        <v>203.6</v>
      </c>
      <c r="AN24" s="65">
        <f t="shared" si="15"/>
        <v>120.00000000000455</v>
      </c>
      <c r="AO24" s="58">
        <v>196.48</v>
      </c>
      <c r="AP24" s="65">
        <f t="shared" si="15"/>
        <v>129.99999999999545</v>
      </c>
      <c r="AQ24" s="58">
        <v>255.81</v>
      </c>
      <c r="AR24" s="65">
        <f t="shared" si="16"/>
        <v>120.00000000000455</v>
      </c>
      <c r="AS24" s="58">
        <v>382.02</v>
      </c>
      <c r="AT24" s="65">
        <f t="shared" si="17"/>
        <v>139.99999999998636</v>
      </c>
      <c r="AU24" s="58">
        <v>292.16000000000003</v>
      </c>
      <c r="AV24" s="65">
        <f t="shared" si="18"/>
        <v>90.000000000031832</v>
      </c>
      <c r="AW24" s="58">
        <v>324.54000000000002</v>
      </c>
      <c r="AX24" s="65">
        <f t="shared" si="19"/>
        <v>50.000000000011369</v>
      </c>
      <c r="AY24" s="58">
        <v>363.77</v>
      </c>
      <c r="AZ24" s="65">
        <f t="shared" si="20"/>
        <v>19.99999999998181</v>
      </c>
      <c r="BA24" s="58">
        <v>382.56</v>
      </c>
      <c r="BB24" s="65">
        <f t="shared" si="21"/>
        <v>9.9999999999909051</v>
      </c>
      <c r="BC24" s="58">
        <v>245.95</v>
      </c>
      <c r="BD24" s="65">
        <f t="shared" si="22"/>
        <v>19.99999999998181</v>
      </c>
      <c r="BE24" s="59">
        <v>41973</v>
      </c>
      <c r="BF24" s="67">
        <f t="shared" si="39"/>
        <v>45</v>
      </c>
      <c r="BG24" s="60">
        <v>236.23</v>
      </c>
      <c r="BH24" s="65">
        <f t="shared" si="23"/>
        <v>39.999999999992042</v>
      </c>
      <c r="BI24" s="60">
        <v>294.62</v>
      </c>
      <c r="BJ24" s="65">
        <f t="shared" si="40"/>
        <v>19.99999999998181</v>
      </c>
      <c r="BK24" s="60">
        <v>238.54</v>
      </c>
      <c r="BL24" s="65">
        <f t="shared" si="24"/>
        <v>30.000000000001137</v>
      </c>
      <c r="BM24" s="60">
        <v>225.92</v>
      </c>
      <c r="BN24" s="65">
        <f t="shared" si="25"/>
        <v>39.999999999992042</v>
      </c>
      <c r="BO24" s="60">
        <v>289.81</v>
      </c>
      <c r="BP24" s="65">
        <f t="shared" si="26"/>
        <v>50.000000000011369</v>
      </c>
      <c r="BQ24" s="60">
        <v>46721</v>
      </c>
      <c r="BR24" s="65">
        <f t="shared" si="27"/>
        <v>32</v>
      </c>
      <c r="BS24" s="60">
        <v>202.53</v>
      </c>
      <c r="BT24" s="65">
        <f t="shared" si="42"/>
        <v>39.999999999992042</v>
      </c>
      <c r="BU24" s="60">
        <v>42836</v>
      </c>
      <c r="BV24" s="65">
        <f t="shared" si="29"/>
        <v>40</v>
      </c>
      <c r="BW24" s="60">
        <v>233.14</v>
      </c>
      <c r="BX24" s="65">
        <f t="shared" si="30"/>
        <v>19.99999999998181</v>
      </c>
      <c r="BY24" s="60">
        <v>62535</v>
      </c>
      <c r="BZ24" s="67">
        <f t="shared" si="31"/>
        <v>24</v>
      </c>
      <c r="CA24" s="60">
        <v>33836.699999999997</v>
      </c>
      <c r="CB24" s="67">
        <f t="shared" si="32"/>
        <v>35.69999999999709</v>
      </c>
      <c r="CC24" s="60">
        <v>12594.7</v>
      </c>
      <c r="CD24" s="67">
        <f t="shared" si="33"/>
        <v>7.5</v>
      </c>
      <c r="CE24" s="60">
        <v>6694.7</v>
      </c>
      <c r="CF24" s="67">
        <f t="shared" si="34"/>
        <v>0.5999999999994543</v>
      </c>
      <c r="CG24" s="60">
        <v>61778.5</v>
      </c>
      <c r="CH24" s="67">
        <f t="shared" si="35"/>
        <v>42.19999999999709</v>
      </c>
      <c r="CI24" s="60">
        <v>963688</v>
      </c>
      <c r="CJ24" s="67">
        <f t="shared" si="36"/>
        <v>276</v>
      </c>
      <c r="CK24" s="60">
        <v>800.91</v>
      </c>
      <c r="CL24" s="64">
        <f t="shared" si="37"/>
        <v>679.99999999994998</v>
      </c>
      <c r="CM24" s="65">
        <f t="shared" si="41"/>
        <v>48</v>
      </c>
      <c r="CN24" s="62">
        <v>15</v>
      </c>
      <c r="CO24" s="62">
        <v>30</v>
      </c>
      <c r="CP24" s="68">
        <v>12112</v>
      </c>
      <c r="CQ24" s="67">
        <f t="shared" si="38"/>
        <v>34</v>
      </c>
      <c r="CR24" s="68">
        <v>15525</v>
      </c>
      <c r="CS24" s="67">
        <f t="shared" si="38"/>
        <v>14</v>
      </c>
      <c r="CT24" s="75">
        <v>7079</v>
      </c>
      <c r="CU24" s="67">
        <f t="shared" si="38"/>
        <v>9</v>
      </c>
      <c r="CV24" s="68">
        <v>17105</v>
      </c>
      <c r="CW24" s="67">
        <f t="shared" si="38"/>
        <v>17</v>
      </c>
    </row>
    <row r="25" spans="1:101" ht="25.5" customHeight="1" thickBot="1" x14ac:dyDescent="0.45">
      <c r="A25" s="63">
        <v>44430</v>
      </c>
      <c r="B25" s="44"/>
      <c r="C25" s="58">
        <v>2.4037000000000002</v>
      </c>
      <c r="D25" s="64">
        <f t="shared" si="0"/>
        <v>1600.0000000002678</v>
      </c>
      <c r="E25" s="58">
        <v>3.4064999999999999</v>
      </c>
      <c r="F25" s="64">
        <f t="shared" si="1"/>
        <v>2599.9999999997135</v>
      </c>
      <c r="G25" s="58">
        <v>3.4643000000000002</v>
      </c>
      <c r="H25" s="64">
        <f t="shared" si="2"/>
        <v>2400.0000000001796</v>
      </c>
      <c r="I25" s="58">
        <v>1.7072000000000001</v>
      </c>
      <c r="J25" s="64">
        <f t="shared" si="3"/>
        <v>1300.0000000000789</v>
      </c>
      <c r="K25" s="58">
        <v>2.7562000000000002</v>
      </c>
      <c r="L25" s="64">
        <f t="shared" si="4"/>
        <v>2000.0000000002237</v>
      </c>
      <c r="M25" s="58">
        <v>1.5069999999999999</v>
      </c>
      <c r="N25" s="64">
        <f t="shared" si="5"/>
        <v>899.99999999990087</v>
      </c>
      <c r="O25" s="58">
        <v>14669</v>
      </c>
      <c r="P25" s="67">
        <f t="shared" si="44"/>
        <v>6</v>
      </c>
      <c r="Q25" s="58">
        <v>1151</v>
      </c>
      <c r="R25" s="67">
        <f t="shared" si="6"/>
        <v>4</v>
      </c>
      <c r="S25" s="58">
        <v>1038</v>
      </c>
      <c r="T25" s="67">
        <f t="shared" si="7"/>
        <v>0.59999999999990905</v>
      </c>
      <c r="U25" s="58">
        <v>434724.2</v>
      </c>
      <c r="V25" s="67">
        <f t="shared" si="8"/>
        <v>265.20000000001164</v>
      </c>
      <c r="W25" s="58">
        <v>412.34</v>
      </c>
      <c r="X25" s="65">
        <f t="shared" si="9"/>
        <v>310.00000000000227</v>
      </c>
      <c r="Y25" s="58">
        <v>2.9802</v>
      </c>
      <c r="Z25" s="65">
        <f t="shared" si="10"/>
        <v>2199.9999999997576</v>
      </c>
      <c r="AA25" s="58">
        <v>411.17</v>
      </c>
      <c r="AB25" s="65">
        <f t="shared" si="11"/>
        <v>300.00000000001137</v>
      </c>
      <c r="AC25" s="58">
        <v>384.6</v>
      </c>
      <c r="AD25" s="65">
        <f t="shared" si="12"/>
        <v>270.00000000003865</v>
      </c>
      <c r="AE25" s="58">
        <v>580.22</v>
      </c>
      <c r="AF25" s="65">
        <f t="shared" si="13"/>
        <v>230.00000000001819</v>
      </c>
      <c r="AG25" s="58">
        <v>6362</v>
      </c>
      <c r="AH25" s="67">
        <f t="shared" si="14"/>
        <v>27</v>
      </c>
      <c r="AI25" s="58">
        <v>648.95000000000005</v>
      </c>
      <c r="AJ25" s="65">
        <f t="shared" si="15"/>
        <v>509.99999999999091</v>
      </c>
      <c r="AK25" s="58">
        <v>214.91</v>
      </c>
      <c r="AL25" s="65">
        <f t="shared" si="15"/>
        <v>199.99999999998863</v>
      </c>
      <c r="AM25" s="58">
        <v>203.75</v>
      </c>
      <c r="AN25" s="65">
        <f t="shared" si="15"/>
        <v>150.00000000000568</v>
      </c>
      <c r="AO25" s="58">
        <v>196.61</v>
      </c>
      <c r="AP25" s="65">
        <f t="shared" si="15"/>
        <v>130.00000000002387</v>
      </c>
      <c r="AQ25" s="58">
        <v>255.9</v>
      </c>
      <c r="AR25" s="65">
        <f t="shared" si="16"/>
        <v>90.000000000003411</v>
      </c>
      <c r="AS25" s="58">
        <v>382.17</v>
      </c>
      <c r="AT25" s="65">
        <f t="shared" si="17"/>
        <v>150.00000000003411</v>
      </c>
      <c r="AU25" s="58">
        <v>292.22000000000003</v>
      </c>
      <c r="AV25" s="65">
        <f t="shared" si="18"/>
        <v>60.000000000002274</v>
      </c>
      <c r="AW25" s="58">
        <v>324.58</v>
      </c>
      <c r="AX25" s="65">
        <f t="shared" si="19"/>
        <v>39.99999999996362</v>
      </c>
      <c r="AY25" s="58">
        <v>363.79</v>
      </c>
      <c r="AZ25" s="65">
        <f t="shared" si="20"/>
        <v>20.000000000038654</v>
      </c>
      <c r="BA25" s="58">
        <v>382.59</v>
      </c>
      <c r="BB25" s="65">
        <f t="shared" si="21"/>
        <v>29.999999999972715</v>
      </c>
      <c r="BC25" s="58">
        <v>245.97</v>
      </c>
      <c r="BD25" s="65">
        <f t="shared" si="22"/>
        <v>20.000000000010232</v>
      </c>
      <c r="BE25" s="59">
        <v>42012</v>
      </c>
      <c r="BF25" s="67">
        <f t="shared" si="39"/>
        <v>39</v>
      </c>
      <c r="BG25" s="60">
        <v>236.27</v>
      </c>
      <c r="BH25" s="65">
        <f t="shared" si="23"/>
        <v>40.000000000020464</v>
      </c>
      <c r="BI25" s="60">
        <v>294.64999999999998</v>
      </c>
      <c r="BJ25" s="65">
        <f t="shared" si="40"/>
        <v>29.999999999972715</v>
      </c>
      <c r="BK25" s="60">
        <v>238.59</v>
      </c>
      <c r="BL25" s="65">
        <f t="shared" si="24"/>
        <v>50.000000000011369</v>
      </c>
      <c r="BM25" s="60">
        <v>225.96</v>
      </c>
      <c r="BN25" s="65">
        <f t="shared" si="25"/>
        <v>40.000000000020464</v>
      </c>
      <c r="BO25" s="60">
        <v>289.86</v>
      </c>
      <c r="BP25" s="65">
        <f t="shared" si="26"/>
        <v>50.000000000011369</v>
      </c>
      <c r="BQ25" s="60">
        <v>46751</v>
      </c>
      <c r="BR25" s="65">
        <f t="shared" si="27"/>
        <v>30</v>
      </c>
      <c r="BS25" s="60">
        <v>202.57</v>
      </c>
      <c r="BT25" s="65">
        <f t="shared" si="42"/>
        <v>39.999999999992042</v>
      </c>
      <c r="BU25" s="60">
        <v>42875</v>
      </c>
      <c r="BV25" s="65">
        <f t="shared" si="29"/>
        <v>39</v>
      </c>
      <c r="BW25" s="60">
        <v>233.17</v>
      </c>
      <c r="BX25" s="65">
        <f t="shared" si="30"/>
        <v>30.000000000001137</v>
      </c>
      <c r="BY25" s="60">
        <v>62561</v>
      </c>
      <c r="BZ25" s="67">
        <f t="shared" si="31"/>
        <v>26</v>
      </c>
      <c r="CA25" s="60">
        <v>33880.400000000001</v>
      </c>
      <c r="CB25" s="67">
        <f t="shared" si="32"/>
        <v>43.700000000004366</v>
      </c>
      <c r="CC25" s="60">
        <v>12599.7</v>
      </c>
      <c r="CD25" s="67">
        <f t="shared" si="33"/>
        <v>5</v>
      </c>
      <c r="CE25" s="60">
        <v>6700.2</v>
      </c>
      <c r="CF25" s="67">
        <f t="shared" si="34"/>
        <v>5.5</v>
      </c>
      <c r="CG25" s="60">
        <v>61831.8</v>
      </c>
      <c r="CH25" s="67">
        <f t="shared" si="35"/>
        <v>53.30000000000291</v>
      </c>
      <c r="CI25" s="60">
        <v>963955</v>
      </c>
      <c r="CJ25" s="67">
        <f t="shared" si="36"/>
        <v>267</v>
      </c>
      <c r="CK25" s="60">
        <v>801.48</v>
      </c>
      <c r="CL25" s="64">
        <f t="shared" si="37"/>
        <v>570.00000000005002</v>
      </c>
      <c r="CM25" s="65">
        <f t="shared" si="41"/>
        <v>54</v>
      </c>
      <c r="CN25" s="62">
        <v>15</v>
      </c>
      <c r="CO25" s="62">
        <v>30</v>
      </c>
      <c r="CP25" s="68">
        <v>12149</v>
      </c>
      <c r="CQ25" s="67">
        <f t="shared" si="38"/>
        <v>37</v>
      </c>
      <c r="CR25" s="68">
        <v>15542</v>
      </c>
      <c r="CS25" s="67">
        <f t="shared" si="38"/>
        <v>17</v>
      </c>
      <c r="CT25" s="75">
        <v>7089</v>
      </c>
      <c r="CU25" s="67">
        <f t="shared" si="38"/>
        <v>10</v>
      </c>
      <c r="CV25" s="68">
        <v>17122</v>
      </c>
      <c r="CW25" s="67">
        <f t="shared" si="38"/>
        <v>17</v>
      </c>
    </row>
    <row r="26" spans="1:101" ht="25.5" customHeight="1" thickBot="1" x14ac:dyDescent="0.45">
      <c r="A26" s="63">
        <v>44431</v>
      </c>
      <c r="B26" s="44"/>
      <c r="C26" s="58">
        <v>2.4054000000000002</v>
      </c>
      <c r="D26" s="64">
        <f t="shared" si="0"/>
        <v>1700.0000000000348</v>
      </c>
      <c r="E26" s="58">
        <v>3.4089999999999998</v>
      </c>
      <c r="F26" s="64">
        <f t="shared" si="1"/>
        <v>2499.9999999999468</v>
      </c>
      <c r="G26" s="58">
        <v>3.4666999999999999</v>
      </c>
      <c r="H26" s="64">
        <f t="shared" si="2"/>
        <v>2399.9999999997358</v>
      </c>
      <c r="I26" s="58">
        <v>1.7084999999999999</v>
      </c>
      <c r="J26" s="64">
        <f t="shared" si="3"/>
        <v>1299.9999999998568</v>
      </c>
      <c r="K26" s="58">
        <v>2.758</v>
      </c>
      <c r="L26" s="64">
        <f t="shared" si="4"/>
        <v>1799.9999999998017</v>
      </c>
      <c r="M26" s="58">
        <v>1.508</v>
      </c>
      <c r="N26" s="64">
        <f t="shared" si="5"/>
        <v>1000.0000000001119</v>
      </c>
      <c r="O26" s="58">
        <v>14676</v>
      </c>
      <c r="P26" s="67">
        <f t="shared" si="44"/>
        <v>7</v>
      </c>
      <c r="Q26" s="58">
        <v>1153</v>
      </c>
      <c r="R26" s="67">
        <f t="shared" si="6"/>
        <v>2</v>
      </c>
      <c r="S26" s="58">
        <v>1038.7</v>
      </c>
      <c r="T26" s="67">
        <f t="shared" si="7"/>
        <v>0.70000000000004547</v>
      </c>
      <c r="U26" s="58">
        <v>435024.7</v>
      </c>
      <c r="V26" s="67">
        <f t="shared" si="8"/>
        <v>300.5</v>
      </c>
      <c r="W26" s="58">
        <v>412.6</v>
      </c>
      <c r="X26" s="65">
        <f t="shared" si="9"/>
        <v>260.00000000004775</v>
      </c>
      <c r="Y26" s="58">
        <v>2.9823</v>
      </c>
      <c r="Z26" s="65">
        <f t="shared" si="10"/>
        <v>2099.9999999999909</v>
      </c>
      <c r="AA26" s="58">
        <v>411.46</v>
      </c>
      <c r="AB26" s="65">
        <f t="shared" si="11"/>
        <v>289.99999999996362</v>
      </c>
      <c r="AC26" s="58">
        <v>384.86</v>
      </c>
      <c r="AD26" s="65">
        <f t="shared" si="12"/>
        <v>259.99999999999091</v>
      </c>
      <c r="AE26" s="58">
        <v>580.51</v>
      </c>
      <c r="AF26" s="65">
        <f t="shared" si="13"/>
        <v>289.99999999996362</v>
      </c>
      <c r="AG26" s="58">
        <v>6390</v>
      </c>
      <c r="AH26" s="67">
        <f t="shared" si="14"/>
        <v>28</v>
      </c>
      <c r="AI26" s="58">
        <v>649.46</v>
      </c>
      <c r="AJ26" s="65">
        <f t="shared" si="15"/>
        <v>509.99999999999091</v>
      </c>
      <c r="AK26" s="58">
        <v>215.07</v>
      </c>
      <c r="AL26" s="65">
        <f t="shared" si="15"/>
        <v>159.99999999999659</v>
      </c>
      <c r="AM26" s="58">
        <v>203.9</v>
      </c>
      <c r="AN26" s="65">
        <f t="shared" si="15"/>
        <v>150.00000000000568</v>
      </c>
      <c r="AO26" s="58">
        <v>196.73</v>
      </c>
      <c r="AP26" s="65">
        <f t="shared" si="15"/>
        <v>119.99999999997613</v>
      </c>
      <c r="AQ26" s="58">
        <v>256.01</v>
      </c>
      <c r="AR26" s="65">
        <f t="shared" si="16"/>
        <v>109.99999999998522</v>
      </c>
      <c r="AS26" s="58">
        <v>382.33</v>
      </c>
      <c r="AT26" s="65">
        <f t="shared" si="17"/>
        <v>159.99999999996817</v>
      </c>
      <c r="AU26" s="58">
        <v>292.31</v>
      </c>
      <c r="AV26" s="65">
        <f t="shared" si="18"/>
        <v>89.999999999974989</v>
      </c>
      <c r="AW26" s="58">
        <v>324.63</v>
      </c>
      <c r="AX26" s="65">
        <f t="shared" si="19"/>
        <v>50.000000000011369</v>
      </c>
      <c r="AY26" s="58">
        <v>363.83</v>
      </c>
      <c r="AZ26" s="65">
        <f t="shared" si="20"/>
        <v>39.99999999996362</v>
      </c>
      <c r="BA26" s="58">
        <v>382.61</v>
      </c>
      <c r="BB26" s="65">
        <f t="shared" si="21"/>
        <v>20.000000000038654</v>
      </c>
      <c r="BC26" s="58">
        <v>246</v>
      </c>
      <c r="BD26" s="65">
        <f t="shared" si="22"/>
        <v>30.000000000001137</v>
      </c>
      <c r="BE26" s="59">
        <v>42052</v>
      </c>
      <c r="BF26" s="67">
        <f t="shared" si="39"/>
        <v>40</v>
      </c>
      <c r="BG26" s="60">
        <v>236.32</v>
      </c>
      <c r="BH26" s="65">
        <f t="shared" si="23"/>
        <v>49.999999999982947</v>
      </c>
      <c r="BI26" s="60">
        <v>294.68</v>
      </c>
      <c r="BJ26" s="65">
        <f t="shared" si="40"/>
        <v>30.000000000029559</v>
      </c>
      <c r="BK26" s="60">
        <v>238.62</v>
      </c>
      <c r="BL26" s="65">
        <f t="shared" si="24"/>
        <v>30.000000000001137</v>
      </c>
      <c r="BM26" s="60">
        <v>226</v>
      </c>
      <c r="BN26" s="65">
        <f t="shared" si="25"/>
        <v>39.999999999992042</v>
      </c>
      <c r="BO26" s="60">
        <v>289.91000000000003</v>
      </c>
      <c r="BP26" s="65">
        <f t="shared" si="26"/>
        <v>50.000000000011369</v>
      </c>
      <c r="BQ26" s="60">
        <v>46779</v>
      </c>
      <c r="BR26" s="65">
        <f t="shared" si="27"/>
        <v>28</v>
      </c>
      <c r="BS26" s="60">
        <v>202.6</v>
      </c>
      <c r="BT26" s="65">
        <f t="shared" si="42"/>
        <v>30.000000000001137</v>
      </c>
      <c r="BU26" s="60">
        <v>42915</v>
      </c>
      <c r="BV26" s="65">
        <f t="shared" si="29"/>
        <v>40</v>
      </c>
      <c r="BW26" s="60">
        <v>233.2</v>
      </c>
      <c r="BX26" s="65">
        <f t="shared" si="30"/>
        <v>30.000000000001137</v>
      </c>
      <c r="BY26" s="60">
        <v>62588</v>
      </c>
      <c r="BZ26" s="67">
        <f t="shared" si="31"/>
        <v>27</v>
      </c>
      <c r="CA26" s="60">
        <v>33919.4</v>
      </c>
      <c r="CB26" s="67">
        <f t="shared" si="32"/>
        <v>39</v>
      </c>
      <c r="CC26" s="60">
        <v>12604.7</v>
      </c>
      <c r="CD26" s="67">
        <f t="shared" si="33"/>
        <v>5</v>
      </c>
      <c r="CE26" s="60">
        <v>6702.9</v>
      </c>
      <c r="CF26" s="67">
        <f t="shared" si="34"/>
        <v>2.6999999999998181</v>
      </c>
      <c r="CG26" s="60">
        <v>61879.6</v>
      </c>
      <c r="CH26" s="67">
        <f t="shared" si="35"/>
        <v>47.799999999995634</v>
      </c>
      <c r="CI26" s="60">
        <v>964245</v>
      </c>
      <c r="CJ26" s="67">
        <f t="shared" si="36"/>
        <v>290</v>
      </c>
      <c r="CK26" s="60">
        <v>802.09</v>
      </c>
      <c r="CL26" s="64">
        <f t="shared" si="37"/>
        <v>610.00000000001364</v>
      </c>
      <c r="CM26" s="65">
        <f t="shared" si="41"/>
        <v>58</v>
      </c>
      <c r="CN26" s="62">
        <v>0</v>
      </c>
      <c r="CO26" s="62">
        <v>0</v>
      </c>
      <c r="CP26" s="68">
        <v>12188</v>
      </c>
      <c r="CQ26" s="67">
        <f t="shared" si="38"/>
        <v>39</v>
      </c>
      <c r="CR26" s="68">
        <v>15561</v>
      </c>
      <c r="CS26" s="67">
        <f t="shared" si="38"/>
        <v>19</v>
      </c>
      <c r="CT26" s="75">
        <v>7099</v>
      </c>
      <c r="CU26" s="67">
        <f t="shared" si="38"/>
        <v>10</v>
      </c>
      <c r="CV26" s="68">
        <v>17144</v>
      </c>
      <c r="CW26" s="67">
        <f t="shared" si="38"/>
        <v>22</v>
      </c>
    </row>
    <row r="27" spans="1:101" ht="25.5" customHeight="1" thickBot="1" x14ac:dyDescent="0.45">
      <c r="A27" s="63">
        <v>44432</v>
      </c>
      <c r="B27" s="44"/>
      <c r="C27" s="58">
        <v>2.4072</v>
      </c>
      <c r="D27" s="64">
        <f t="shared" si="0"/>
        <v>1799.9999999998017</v>
      </c>
      <c r="E27" s="58">
        <v>3.4117999999999999</v>
      </c>
      <c r="F27" s="64">
        <f t="shared" si="1"/>
        <v>2800.0000000001355</v>
      </c>
      <c r="G27" s="58">
        <v>3.4695</v>
      </c>
      <c r="H27" s="64">
        <f t="shared" si="2"/>
        <v>2800.0000000001355</v>
      </c>
      <c r="I27" s="58">
        <v>1.7099</v>
      </c>
      <c r="J27" s="64">
        <f t="shared" si="3"/>
        <v>1400.0000000000678</v>
      </c>
      <c r="K27" s="58">
        <v>2.7601</v>
      </c>
      <c r="L27" s="64">
        <f t="shared" si="4"/>
        <v>2099.9999999999909</v>
      </c>
      <c r="M27" s="58">
        <v>1.5087999999999999</v>
      </c>
      <c r="N27" s="64">
        <f t="shared" si="5"/>
        <v>799.99999999991189</v>
      </c>
      <c r="O27" s="58">
        <v>14681</v>
      </c>
      <c r="P27" s="67">
        <f t="shared" si="44"/>
        <v>5</v>
      </c>
      <c r="Q27" s="58">
        <v>1156</v>
      </c>
      <c r="R27" s="67">
        <f t="shared" si="6"/>
        <v>3</v>
      </c>
      <c r="S27" s="58">
        <v>1039.5</v>
      </c>
      <c r="T27" s="67">
        <f t="shared" si="7"/>
        <v>0.79999999999995453</v>
      </c>
      <c r="U27" s="58">
        <v>435341.4</v>
      </c>
      <c r="V27" s="67">
        <f t="shared" si="8"/>
        <v>316.70000000001164</v>
      </c>
      <c r="W27" s="58">
        <v>412.88</v>
      </c>
      <c r="X27" s="65">
        <f t="shared" si="9"/>
        <v>279.99999999997272</v>
      </c>
      <c r="Y27" s="58">
        <v>2.9851000000000001</v>
      </c>
      <c r="Z27" s="65">
        <f t="shared" si="10"/>
        <v>2800.0000000001355</v>
      </c>
      <c r="AA27" s="58">
        <v>411.68</v>
      </c>
      <c r="AB27" s="65">
        <f t="shared" si="11"/>
        <v>220.00000000002728</v>
      </c>
      <c r="AC27" s="58">
        <v>385.15</v>
      </c>
      <c r="AD27" s="65">
        <f t="shared" si="12"/>
        <v>289.99999999996362</v>
      </c>
      <c r="AE27" s="58">
        <v>580.72</v>
      </c>
      <c r="AF27" s="65">
        <f t="shared" si="13"/>
        <v>210.00000000003638</v>
      </c>
      <c r="AG27" s="58">
        <v>6421</v>
      </c>
      <c r="AH27" s="67">
        <f t="shared" si="14"/>
        <v>31</v>
      </c>
      <c r="AI27" s="58">
        <v>649.99</v>
      </c>
      <c r="AJ27" s="65">
        <f t="shared" si="15"/>
        <v>529.99999999997272</v>
      </c>
      <c r="AK27" s="58">
        <v>215.23</v>
      </c>
      <c r="AL27" s="65">
        <f t="shared" si="15"/>
        <v>159.99999999999659</v>
      </c>
      <c r="AM27" s="58">
        <v>204.05</v>
      </c>
      <c r="AN27" s="65">
        <f t="shared" si="15"/>
        <v>150.00000000000568</v>
      </c>
      <c r="AO27" s="58">
        <v>196.87</v>
      </c>
      <c r="AP27" s="65">
        <f t="shared" si="15"/>
        <v>140.00000000001478</v>
      </c>
      <c r="AQ27" s="58">
        <v>256.14</v>
      </c>
      <c r="AR27" s="65">
        <f t="shared" si="16"/>
        <v>129.99999999999545</v>
      </c>
      <c r="AS27" s="58">
        <v>382.5</v>
      </c>
      <c r="AT27" s="65">
        <f t="shared" si="17"/>
        <v>170.00000000001592</v>
      </c>
      <c r="AU27" s="58">
        <v>292.41000000000003</v>
      </c>
      <c r="AV27" s="65">
        <f t="shared" si="18"/>
        <v>100.00000000002274</v>
      </c>
      <c r="AW27" s="58">
        <v>324.70999999999998</v>
      </c>
      <c r="AX27" s="65">
        <f t="shared" si="19"/>
        <v>79.999999999984084</v>
      </c>
      <c r="AY27" s="58">
        <v>363.87</v>
      </c>
      <c r="AZ27" s="65">
        <f t="shared" si="20"/>
        <v>40.000000000020464</v>
      </c>
      <c r="BA27" s="58">
        <v>382.63</v>
      </c>
      <c r="BB27" s="65">
        <f t="shared" si="21"/>
        <v>19.99999999998181</v>
      </c>
      <c r="BC27" s="58">
        <v>246.03</v>
      </c>
      <c r="BD27" s="65">
        <f t="shared" si="22"/>
        <v>30.000000000001137</v>
      </c>
      <c r="BE27" s="59">
        <v>42092</v>
      </c>
      <c r="BF27" s="67">
        <f t="shared" si="39"/>
        <v>40</v>
      </c>
      <c r="BG27" s="60">
        <v>236.37</v>
      </c>
      <c r="BH27" s="65">
        <f t="shared" si="23"/>
        <v>50.000000000011369</v>
      </c>
      <c r="BI27" s="60">
        <v>294.70999999999998</v>
      </c>
      <c r="BJ27" s="65">
        <f t="shared" si="40"/>
        <v>29.999999999972715</v>
      </c>
      <c r="BK27" s="60">
        <v>238.67</v>
      </c>
      <c r="BL27" s="65">
        <f t="shared" si="24"/>
        <v>49.999999999982947</v>
      </c>
      <c r="BM27" s="60">
        <v>226.04</v>
      </c>
      <c r="BN27" s="65">
        <f t="shared" si="25"/>
        <v>39.999999999992042</v>
      </c>
      <c r="BO27" s="60">
        <v>289.97000000000003</v>
      </c>
      <c r="BP27" s="65">
        <f t="shared" si="26"/>
        <v>60.000000000002274</v>
      </c>
      <c r="BQ27" s="60">
        <v>46811</v>
      </c>
      <c r="BR27" s="65">
        <f t="shared" si="27"/>
        <v>32</v>
      </c>
      <c r="BS27" s="60">
        <v>202.63</v>
      </c>
      <c r="BT27" s="65">
        <f t="shared" si="42"/>
        <v>30.000000000001137</v>
      </c>
      <c r="BU27" s="60">
        <v>42962</v>
      </c>
      <c r="BV27" s="65">
        <f t="shared" si="29"/>
        <v>47</v>
      </c>
      <c r="BW27" s="60">
        <v>233.24</v>
      </c>
      <c r="BX27" s="65">
        <f t="shared" si="30"/>
        <v>40.000000000020464</v>
      </c>
      <c r="BY27" s="60">
        <v>62617</v>
      </c>
      <c r="BZ27" s="67">
        <f t="shared" si="31"/>
        <v>29</v>
      </c>
      <c r="CA27" s="60">
        <v>33954.400000000001</v>
      </c>
      <c r="CB27" s="67">
        <f t="shared" si="32"/>
        <v>35</v>
      </c>
      <c r="CC27" s="60">
        <v>12612.8</v>
      </c>
      <c r="CD27" s="67">
        <f t="shared" si="33"/>
        <v>8.0999999999985448</v>
      </c>
      <c r="CE27" s="60">
        <v>6703.5</v>
      </c>
      <c r="CF27" s="67">
        <f t="shared" si="34"/>
        <v>0.6000000000003638</v>
      </c>
      <c r="CG27" s="60">
        <v>61941</v>
      </c>
      <c r="CH27" s="67">
        <f t="shared" si="35"/>
        <v>61.400000000001455</v>
      </c>
      <c r="CI27" s="60">
        <v>964535</v>
      </c>
      <c r="CJ27" s="67">
        <f t="shared" si="36"/>
        <v>290</v>
      </c>
      <c r="CK27" s="60">
        <v>802.92</v>
      </c>
      <c r="CL27" s="64">
        <f t="shared" si="37"/>
        <v>829.99999999992724</v>
      </c>
      <c r="CM27" s="65">
        <f t="shared" si="41"/>
        <v>59</v>
      </c>
      <c r="CN27" s="62">
        <v>0</v>
      </c>
      <c r="CO27" s="62">
        <v>0</v>
      </c>
      <c r="CP27" s="68">
        <v>12228</v>
      </c>
      <c r="CQ27" s="67">
        <f t="shared" si="38"/>
        <v>40</v>
      </c>
      <c r="CR27" s="68">
        <v>15580</v>
      </c>
      <c r="CS27" s="67">
        <f t="shared" si="38"/>
        <v>19</v>
      </c>
      <c r="CT27" s="75">
        <v>7109</v>
      </c>
      <c r="CU27" s="67">
        <f t="shared" si="38"/>
        <v>10</v>
      </c>
      <c r="CV27" s="68">
        <v>17158</v>
      </c>
      <c r="CW27" s="67">
        <f t="shared" si="38"/>
        <v>14</v>
      </c>
    </row>
    <row r="28" spans="1:101" ht="25.5" customHeight="1" thickBot="1" x14ac:dyDescent="0.45">
      <c r="A28" s="63">
        <v>44433</v>
      </c>
      <c r="B28" s="44"/>
      <c r="C28" s="58">
        <v>2.4087999999999998</v>
      </c>
      <c r="D28" s="64">
        <f t="shared" si="0"/>
        <v>1599.9999999998238</v>
      </c>
      <c r="E28" s="58">
        <v>3.4142999999999999</v>
      </c>
      <c r="F28" s="64">
        <f t="shared" si="1"/>
        <v>2499.9999999999468</v>
      </c>
      <c r="G28" s="58">
        <v>3.4718</v>
      </c>
      <c r="H28" s="64">
        <f t="shared" si="2"/>
        <v>2299.9999999999686</v>
      </c>
      <c r="I28" s="58">
        <v>1.7111000000000001</v>
      </c>
      <c r="J28" s="64">
        <f t="shared" si="3"/>
        <v>1200.0000000000898</v>
      </c>
      <c r="K28" s="58">
        <v>2.762</v>
      </c>
      <c r="L28" s="64">
        <f t="shared" si="4"/>
        <v>1900.0000000000127</v>
      </c>
      <c r="M28" s="58">
        <v>1.5097</v>
      </c>
      <c r="N28" s="64">
        <f t="shared" si="5"/>
        <v>900.0000000001229</v>
      </c>
      <c r="O28" s="58">
        <v>14688</v>
      </c>
      <c r="P28" s="67">
        <f t="shared" si="44"/>
        <v>7</v>
      </c>
      <c r="Q28" s="58">
        <v>1160</v>
      </c>
      <c r="R28" s="67">
        <f t="shared" si="6"/>
        <v>4</v>
      </c>
      <c r="S28" s="58">
        <v>1040.0999999999999</v>
      </c>
      <c r="T28" s="67">
        <f t="shared" si="7"/>
        <v>0.59999999999990905</v>
      </c>
      <c r="U28" s="58">
        <v>435624.4</v>
      </c>
      <c r="V28" s="67">
        <f t="shared" si="8"/>
        <v>283</v>
      </c>
      <c r="W28" s="58">
        <v>413.15</v>
      </c>
      <c r="X28" s="65">
        <f t="shared" si="9"/>
        <v>269.99999999998181</v>
      </c>
      <c r="Y28" s="58">
        <v>2.9872000000000001</v>
      </c>
      <c r="Z28" s="65">
        <f t="shared" si="10"/>
        <v>2099.9999999999909</v>
      </c>
      <c r="AA28" s="58">
        <v>412.04</v>
      </c>
      <c r="AB28" s="65">
        <f t="shared" si="11"/>
        <v>360.00000000001364</v>
      </c>
      <c r="AC28" s="58">
        <v>385.4</v>
      </c>
      <c r="AD28" s="65">
        <f t="shared" si="12"/>
        <v>250</v>
      </c>
      <c r="AE28" s="58">
        <v>580.91</v>
      </c>
      <c r="AF28" s="65">
        <f t="shared" si="13"/>
        <v>189.99999999994088</v>
      </c>
      <c r="AG28" s="58">
        <v>6476</v>
      </c>
      <c r="AH28" s="67">
        <f t="shared" si="14"/>
        <v>55</v>
      </c>
      <c r="AI28" s="58">
        <v>650.49</v>
      </c>
      <c r="AJ28" s="65">
        <f t="shared" si="15"/>
        <v>500</v>
      </c>
      <c r="AK28" s="58">
        <v>215.36</v>
      </c>
      <c r="AL28" s="65">
        <f t="shared" si="15"/>
        <v>130.00000000002387</v>
      </c>
      <c r="AM28" s="58">
        <v>204.16</v>
      </c>
      <c r="AN28" s="65">
        <f t="shared" si="15"/>
        <v>109.99999999998522</v>
      </c>
      <c r="AO28" s="58">
        <v>196.98</v>
      </c>
      <c r="AP28" s="65">
        <f t="shared" si="15"/>
        <v>109.99999999998522</v>
      </c>
      <c r="AQ28" s="58">
        <v>256.23</v>
      </c>
      <c r="AR28" s="65">
        <f t="shared" si="16"/>
        <v>90.000000000031832</v>
      </c>
      <c r="AS28" s="58">
        <v>382.63</v>
      </c>
      <c r="AT28" s="65">
        <f t="shared" si="17"/>
        <v>129.99999999999545</v>
      </c>
      <c r="AU28" s="58">
        <v>292.48</v>
      </c>
      <c r="AV28" s="65">
        <f t="shared" si="18"/>
        <v>69.999999999993179</v>
      </c>
      <c r="AW28" s="58">
        <v>324.76</v>
      </c>
      <c r="AX28" s="65">
        <f t="shared" si="19"/>
        <v>50.000000000011369</v>
      </c>
      <c r="AY28" s="58">
        <v>363.9</v>
      </c>
      <c r="AZ28" s="65">
        <f t="shared" si="20"/>
        <v>29.999999999972715</v>
      </c>
      <c r="BA28" s="58">
        <v>382.65</v>
      </c>
      <c r="BB28" s="65">
        <f t="shared" si="21"/>
        <v>19.99999999998181</v>
      </c>
      <c r="BC28" s="58">
        <v>246.06</v>
      </c>
      <c r="BD28" s="65">
        <f t="shared" si="22"/>
        <v>30.000000000001137</v>
      </c>
      <c r="BE28" s="59">
        <v>42125</v>
      </c>
      <c r="BF28" s="67">
        <f t="shared" si="39"/>
        <v>33</v>
      </c>
      <c r="BG28" s="60">
        <v>236.41</v>
      </c>
      <c r="BH28" s="65">
        <f t="shared" si="23"/>
        <v>39.999999999992042</v>
      </c>
      <c r="BI28" s="60">
        <v>294.73</v>
      </c>
      <c r="BJ28" s="65">
        <f t="shared" si="40"/>
        <v>20.000000000038654</v>
      </c>
      <c r="BK28" s="60">
        <v>238.7</v>
      </c>
      <c r="BL28" s="65">
        <f t="shared" si="24"/>
        <v>30.000000000001137</v>
      </c>
      <c r="BM28" s="60">
        <v>226.08</v>
      </c>
      <c r="BN28" s="65">
        <f t="shared" si="25"/>
        <v>40.000000000020464</v>
      </c>
      <c r="BO28" s="60">
        <v>290.01</v>
      </c>
      <c r="BP28" s="65">
        <f t="shared" si="26"/>
        <v>39.99999999996362</v>
      </c>
      <c r="BQ28" s="60">
        <v>46834</v>
      </c>
      <c r="BR28" s="65">
        <f t="shared" si="27"/>
        <v>23</v>
      </c>
      <c r="BS28" s="60">
        <v>202.66</v>
      </c>
      <c r="BT28" s="65">
        <f t="shared" si="42"/>
        <v>30.000000000001137</v>
      </c>
      <c r="BU28" s="60">
        <v>42997</v>
      </c>
      <c r="BV28" s="65">
        <f t="shared" si="29"/>
        <v>35</v>
      </c>
      <c r="BW28" s="60">
        <v>233.26</v>
      </c>
      <c r="BX28" s="65">
        <f t="shared" si="30"/>
        <v>19.99999999998181</v>
      </c>
      <c r="BY28" s="60">
        <v>62641</v>
      </c>
      <c r="BZ28" s="67">
        <f t="shared" si="31"/>
        <v>24</v>
      </c>
      <c r="CA28" s="60">
        <v>33995.800000000003</v>
      </c>
      <c r="CB28" s="67">
        <f t="shared" si="32"/>
        <v>41.400000000001455</v>
      </c>
      <c r="CC28" s="60">
        <v>12616.9</v>
      </c>
      <c r="CD28" s="67">
        <f t="shared" si="33"/>
        <v>4.1000000000003638</v>
      </c>
      <c r="CE28" s="60">
        <v>6712.5</v>
      </c>
      <c r="CF28" s="67">
        <f t="shared" si="34"/>
        <v>9</v>
      </c>
      <c r="CG28" s="60">
        <v>61981.599999999999</v>
      </c>
      <c r="CH28" s="67">
        <f t="shared" si="35"/>
        <v>40.599999999998545</v>
      </c>
      <c r="CI28" s="60">
        <v>964792</v>
      </c>
      <c r="CJ28" s="67">
        <f t="shared" si="36"/>
        <v>257</v>
      </c>
      <c r="CK28" s="60">
        <v>803.49</v>
      </c>
      <c r="CL28" s="64">
        <f t="shared" si="37"/>
        <v>570.00000000005002</v>
      </c>
      <c r="CM28" s="65">
        <f t="shared" si="41"/>
        <v>52</v>
      </c>
      <c r="CN28" s="62">
        <v>10</v>
      </c>
      <c r="CO28" s="62">
        <v>22</v>
      </c>
      <c r="CP28" s="68">
        <v>12263</v>
      </c>
      <c r="CQ28" s="67">
        <f t="shared" si="38"/>
        <v>35</v>
      </c>
      <c r="CR28" s="68">
        <v>15597</v>
      </c>
      <c r="CS28" s="67">
        <f t="shared" si="38"/>
        <v>17</v>
      </c>
      <c r="CT28" s="75">
        <v>7118</v>
      </c>
      <c r="CU28" s="67">
        <f t="shared" si="38"/>
        <v>9</v>
      </c>
      <c r="CV28" s="68">
        <v>17173</v>
      </c>
      <c r="CW28" s="67">
        <f t="shared" si="38"/>
        <v>15</v>
      </c>
    </row>
    <row r="29" spans="1:101" ht="25.5" customHeight="1" thickBot="1" x14ac:dyDescent="0.45">
      <c r="A29" s="63">
        <v>44434</v>
      </c>
      <c r="B29" s="44"/>
      <c r="C29" s="58">
        <v>2.4104000000000001</v>
      </c>
      <c r="D29" s="64">
        <f t="shared" si="0"/>
        <v>1600.0000000002678</v>
      </c>
      <c r="E29" s="58">
        <v>3.4167000000000001</v>
      </c>
      <c r="F29" s="64">
        <f t="shared" si="1"/>
        <v>2400.0000000001796</v>
      </c>
      <c r="G29" s="58">
        <v>3.4740000000000002</v>
      </c>
      <c r="H29" s="64">
        <f t="shared" si="2"/>
        <v>2200.0000000002019</v>
      </c>
      <c r="I29" s="58">
        <v>1.7123999999999999</v>
      </c>
      <c r="J29" s="64">
        <f t="shared" si="3"/>
        <v>1299.9999999998568</v>
      </c>
      <c r="K29" s="58">
        <v>2.7637999999999998</v>
      </c>
      <c r="L29" s="64">
        <f t="shared" si="4"/>
        <v>1799.9999999998017</v>
      </c>
      <c r="M29" s="58">
        <v>1.5105</v>
      </c>
      <c r="N29" s="64">
        <f t="shared" si="5"/>
        <v>799.99999999991189</v>
      </c>
      <c r="O29" s="58">
        <v>14696</v>
      </c>
      <c r="P29" s="67">
        <f t="shared" si="44"/>
        <v>8</v>
      </c>
      <c r="Q29" s="58">
        <v>1163</v>
      </c>
      <c r="R29" s="67">
        <f t="shared" si="6"/>
        <v>3</v>
      </c>
      <c r="S29" s="58">
        <v>1040.8</v>
      </c>
      <c r="T29" s="67">
        <f t="shared" si="7"/>
        <v>0.70000000000004547</v>
      </c>
      <c r="U29" s="58">
        <v>435913.9</v>
      </c>
      <c r="V29" s="67">
        <f t="shared" si="8"/>
        <v>289.5</v>
      </c>
      <c r="W29" s="58">
        <v>413.39</v>
      </c>
      <c r="X29" s="65">
        <f t="shared" si="9"/>
        <v>240.00000000000909</v>
      </c>
      <c r="Y29" s="58">
        <v>2.9893999999999998</v>
      </c>
      <c r="Z29" s="65">
        <f t="shared" si="10"/>
        <v>2199.9999999997576</v>
      </c>
      <c r="AA29" s="58">
        <v>412.24</v>
      </c>
      <c r="AB29" s="65">
        <f t="shared" si="11"/>
        <v>199.99999999998863</v>
      </c>
      <c r="AC29" s="58">
        <v>385.63</v>
      </c>
      <c r="AD29" s="65">
        <f t="shared" si="12"/>
        <v>230.00000000001819</v>
      </c>
      <c r="AE29" s="58">
        <v>581.13</v>
      </c>
      <c r="AF29" s="65">
        <f t="shared" si="13"/>
        <v>220.00000000002728</v>
      </c>
      <c r="AG29" s="58">
        <v>6517</v>
      </c>
      <c r="AH29" s="67">
        <f t="shared" si="14"/>
        <v>41</v>
      </c>
      <c r="AI29" s="58">
        <v>650.98</v>
      </c>
      <c r="AJ29" s="65">
        <f t="shared" si="15"/>
        <v>490.00000000000909</v>
      </c>
      <c r="AK29" s="58">
        <v>215.52</v>
      </c>
      <c r="AL29" s="65">
        <f t="shared" si="15"/>
        <v>159.99999999999659</v>
      </c>
      <c r="AM29" s="58">
        <v>204.3</v>
      </c>
      <c r="AN29" s="65">
        <f t="shared" si="15"/>
        <v>140.00000000001478</v>
      </c>
      <c r="AO29" s="58">
        <v>197.1</v>
      </c>
      <c r="AP29" s="65">
        <f t="shared" si="15"/>
        <v>120.00000000000455</v>
      </c>
      <c r="AQ29" s="58">
        <v>256.32</v>
      </c>
      <c r="AR29" s="65">
        <f t="shared" si="16"/>
        <v>89.999999999974989</v>
      </c>
      <c r="AS29" s="58">
        <v>382.73</v>
      </c>
      <c r="AT29" s="65">
        <f t="shared" si="17"/>
        <v>100.00000000002274</v>
      </c>
      <c r="AU29" s="58">
        <v>292.56</v>
      </c>
      <c r="AV29" s="65">
        <f t="shared" si="18"/>
        <v>79.999999999984084</v>
      </c>
      <c r="AW29" s="58">
        <v>324.85000000000002</v>
      </c>
      <c r="AX29" s="65">
        <f t="shared" si="19"/>
        <v>90.000000000031832</v>
      </c>
      <c r="AY29" s="58">
        <v>363.93</v>
      </c>
      <c r="AZ29" s="65">
        <f t="shared" si="20"/>
        <v>30.000000000029559</v>
      </c>
      <c r="BA29" s="58">
        <v>382.68</v>
      </c>
      <c r="BB29" s="65">
        <f t="shared" si="21"/>
        <v>30.000000000029559</v>
      </c>
      <c r="BC29" s="58">
        <v>246.09</v>
      </c>
      <c r="BD29" s="65">
        <f t="shared" si="22"/>
        <v>30.000000000001137</v>
      </c>
      <c r="BE29" s="59">
        <v>42162</v>
      </c>
      <c r="BF29" s="67">
        <f t="shared" si="39"/>
        <v>37</v>
      </c>
      <c r="BG29" s="60">
        <v>236.44</v>
      </c>
      <c r="BH29" s="65">
        <f t="shared" si="23"/>
        <v>30.000000000001137</v>
      </c>
      <c r="BI29" s="60">
        <v>294.75</v>
      </c>
      <c r="BJ29" s="65">
        <f t="shared" si="40"/>
        <v>19.99999999998181</v>
      </c>
      <c r="BK29" s="60">
        <v>238.74</v>
      </c>
      <c r="BL29" s="65">
        <f t="shared" si="24"/>
        <v>40.000000000020464</v>
      </c>
      <c r="BM29" s="60">
        <v>226.12</v>
      </c>
      <c r="BN29" s="65">
        <f t="shared" si="25"/>
        <v>39.999999999992042</v>
      </c>
      <c r="BO29" s="60">
        <v>290.06</v>
      </c>
      <c r="BP29" s="65">
        <f t="shared" si="26"/>
        <v>50.000000000011369</v>
      </c>
      <c r="BQ29" s="60">
        <v>46862</v>
      </c>
      <c r="BR29" s="65">
        <f t="shared" si="27"/>
        <v>28</v>
      </c>
      <c r="BS29" s="60">
        <v>202.69</v>
      </c>
      <c r="BT29" s="65">
        <f t="shared" si="42"/>
        <v>30.000000000001137</v>
      </c>
      <c r="BU29" s="60">
        <v>43049</v>
      </c>
      <c r="BV29" s="65">
        <f t="shared" si="29"/>
        <v>52</v>
      </c>
      <c r="BW29" s="60">
        <v>233.29</v>
      </c>
      <c r="BX29" s="65">
        <f t="shared" si="30"/>
        <v>30.000000000001137</v>
      </c>
      <c r="BY29" s="60">
        <v>62672</v>
      </c>
      <c r="BZ29" s="67">
        <f t="shared" si="31"/>
        <v>31</v>
      </c>
      <c r="CA29" s="60">
        <v>34025.300000000003</v>
      </c>
      <c r="CB29" s="67">
        <f t="shared" si="32"/>
        <v>29.5</v>
      </c>
      <c r="CC29" s="60">
        <v>12621.4</v>
      </c>
      <c r="CD29" s="67">
        <f t="shared" si="33"/>
        <v>4.5</v>
      </c>
      <c r="CE29" s="60">
        <v>6713.1</v>
      </c>
      <c r="CF29" s="67">
        <f t="shared" si="34"/>
        <v>0.6000000000003638</v>
      </c>
      <c r="CG29" s="60">
        <v>62023.4</v>
      </c>
      <c r="CH29" s="67">
        <f t="shared" si="35"/>
        <v>41.80000000000291</v>
      </c>
      <c r="CI29" s="60">
        <v>965053</v>
      </c>
      <c r="CJ29" s="67">
        <f t="shared" si="36"/>
        <v>261</v>
      </c>
      <c r="CK29" s="60">
        <v>803.9</v>
      </c>
      <c r="CL29" s="64">
        <f t="shared" si="37"/>
        <v>409.99999999996817</v>
      </c>
      <c r="CM29" s="65">
        <f t="shared" si="41"/>
        <v>53</v>
      </c>
      <c r="CN29" s="62">
        <v>8</v>
      </c>
      <c r="CO29" s="62">
        <v>17</v>
      </c>
      <c r="CP29" s="68">
        <v>12298</v>
      </c>
      <c r="CQ29" s="67">
        <f t="shared" si="38"/>
        <v>35</v>
      </c>
      <c r="CR29" s="68">
        <v>15615</v>
      </c>
      <c r="CS29" s="67">
        <f t="shared" si="38"/>
        <v>18</v>
      </c>
      <c r="CT29" s="75">
        <v>7128</v>
      </c>
      <c r="CU29" s="67">
        <f t="shared" si="38"/>
        <v>10</v>
      </c>
      <c r="CV29" s="68">
        <v>17188</v>
      </c>
      <c r="CW29" s="67">
        <f t="shared" si="38"/>
        <v>15</v>
      </c>
    </row>
    <row r="30" spans="1:101" ht="25.5" customHeight="1" thickBot="1" x14ac:dyDescent="0.45">
      <c r="A30" s="63">
        <v>44435</v>
      </c>
      <c r="B30" s="44"/>
      <c r="C30" s="58">
        <v>2.4121000000000001</v>
      </c>
      <c r="D30" s="64">
        <f t="shared" si="0"/>
        <v>1700.0000000000348</v>
      </c>
      <c r="E30" s="58">
        <v>3.4190999999999998</v>
      </c>
      <c r="F30" s="64">
        <f t="shared" si="1"/>
        <v>2399.9999999997358</v>
      </c>
      <c r="G30" s="58">
        <v>3.4763999999999999</v>
      </c>
      <c r="H30" s="64">
        <f t="shared" si="2"/>
        <v>2399.9999999997358</v>
      </c>
      <c r="I30" s="58">
        <v>1.7136</v>
      </c>
      <c r="J30" s="64">
        <f t="shared" si="3"/>
        <v>1200.0000000000898</v>
      </c>
      <c r="K30" s="58">
        <v>2.7658</v>
      </c>
      <c r="L30" s="64">
        <f t="shared" si="4"/>
        <v>2000.0000000002237</v>
      </c>
      <c r="M30" s="58">
        <v>1.5114000000000001</v>
      </c>
      <c r="N30" s="64">
        <f t="shared" si="5"/>
        <v>900.0000000001229</v>
      </c>
      <c r="O30" s="58">
        <v>14702</v>
      </c>
      <c r="P30" s="67">
        <f t="shared" si="44"/>
        <v>6</v>
      </c>
      <c r="Q30" s="58">
        <v>1165</v>
      </c>
      <c r="R30" s="67">
        <f t="shared" si="6"/>
        <v>2</v>
      </c>
      <c r="S30" s="58">
        <v>1041.5</v>
      </c>
      <c r="T30" s="67">
        <f t="shared" si="7"/>
        <v>0.70000000000004547</v>
      </c>
      <c r="U30" s="58">
        <v>436201</v>
      </c>
      <c r="V30" s="67">
        <f t="shared" si="8"/>
        <v>287.09999999997672</v>
      </c>
      <c r="W30" s="58">
        <v>413.6</v>
      </c>
      <c r="X30" s="65">
        <f t="shared" si="9"/>
        <v>210.00000000003638</v>
      </c>
      <c r="Y30" s="58">
        <v>2.9914999999999998</v>
      </c>
      <c r="Z30" s="65">
        <f t="shared" si="10"/>
        <v>2099.9999999999909</v>
      </c>
      <c r="AA30" s="58">
        <v>412.57</v>
      </c>
      <c r="AB30" s="65">
        <f t="shared" si="11"/>
        <v>329.99999999998408</v>
      </c>
      <c r="AC30" s="58">
        <v>385.87</v>
      </c>
      <c r="AD30" s="65">
        <f t="shared" si="12"/>
        <v>240.00000000000909</v>
      </c>
      <c r="AE30" s="58">
        <v>581.38</v>
      </c>
      <c r="AF30" s="65">
        <f t="shared" si="13"/>
        <v>250</v>
      </c>
      <c r="AG30" s="58">
        <v>6545</v>
      </c>
      <c r="AH30" s="67">
        <f t="shared" si="14"/>
        <v>28</v>
      </c>
      <c r="AI30" s="58">
        <v>651.48</v>
      </c>
      <c r="AJ30" s="65">
        <f t="shared" si="15"/>
        <v>500</v>
      </c>
      <c r="AK30" s="58">
        <v>215.65</v>
      </c>
      <c r="AL30" s="65">
        <f t="shared" si="15"/>
        <v>129.99999999999545</v>
      </c>
      <c r="AM30" s="58">
        <v>204.46</v>
      </c>
      <c r="AN30" s="65">
        <f t="shared" si="15"/>
        <v>159.99999999999659</v>
      </c>
      <c r="AO30" s="58">
        <v>197.2</v>
      </c>
      <c r="AP30" s="65">
        <f t="shared" si="15"/>
        <v>99.999999999994316</v>
      </c>
      <c r="AQ30" s="58">
        <v>256.42</v>
      </c>
      <c r="AR30" s="65">
        <f t="shared" si="16"/>
        <v>100.00000000002274</v>
      </c>
      <c r="AS30" s="58">
        <v>382.85</v>
      </c>
      <c r="AT30" s="65">
        <f t="shared" si="17"/>
        <v>120.00000000000455</v>
      </c>
      <c r="AU30" s="58">
        <v>292.64999999999998</v>
      </c>
      <c r="AV30" s="65">
        <f t="shared" si="18"/>
        <v>89.999999999974989</v>
      </c>
      <c r="AW30" s="58">
        <v>324.93</v>
      </c>
      <c r="AX30" s="65">
        <f t="shared" si="19"/>
        <v>79.999999999984084</v>
      </c>
      <c r="AY30" s="58">
        <v>363.98</v>
      </c>
      <c r="AZ30" s="65">
        <f t="shared" si="20"/>
        <v>50.000000000011369</v>
      </c>
      <c r="BA30" s="58">
        <v>382.74</v>
      </c>
      <c r="BB30" s="65">
        <f t="shared" si="21"/>
        <v>60.000000000002274</v>
      </c>
      <c r="BC30" s="58">
        <v>246.12</v>
      </c>
      <c r="BD30" s="65">
        <f t="shared" si="22"/>
        <v>30.000000000001137</v>
      </c>
      <c r="BE30" s="59">
        <v>42196</v>
      </c>
      <c r="BF30" s="67">
        <f t="shared" si="39"/>
        <v>34</v>
      </c>
      <c r="BG30" s="60">
        <v>236.48</v>
      </c>
      <c r="BH30" s="65">
        <f t="shared" si="23"/>
        <v>39.999999999992042</v>
      </c>
      <c r="BI30" s="60">
        <v>294.77999999999997</v>
      </c>
      <c r="BJ30" s="65">
        <f t="shared" si="40"/>
        <v>29.999999999972715</v>
      </c>
      <c r="BK30" s="60">
        <v>238.77</v>
      </c>
      <c r="BL30" s="65">
        <f t="shared" si="24"/>
        <v>30.000000000001137</v>
      </c>
      <c r="BM30" s="60">
        <v>226.17</v>
      </c>
      <c r="BN30" s="65">
        <f t="shared" si="25"/>
        <v>49.999999999982947</v>
      </c>
      <c r="BO30" s="60">
        <v>290.11</v>
      </c>
      <c r="BP30" s="65">
        <f t="shared" si="26"/>
        <v>50.000000000011369</v>
      </c>
      <c r="BQ30" s="60">
        <v>46889</v>
      </c>
      <c r="BR30" s="65">
        <f t="shared" si="27"/>
        <v>27</v>
      </c>
      <c r="BS30" s="60">
        <v>202.72</v>
      </c>
      <c r="BT30" s="65">
        <f t="shared" si="42"/>
        <v>30.000000000001137</v>
      </c>
      <c r="BU30" s="60">
        <v>43088</v>
      </c>
      <c r="BV30" s="65">
        <f t="shared" si="29"/>
        <v>39</v>
      </c>
      <c r="BW30" s="60">
        <v>233.33</v>
      </c>
      <c r="BX30" s="65">
        <f t="shared" si="30"/>
        <v>40.000000000020464</v>
      </c>
      <c r="BY30" s="60">
        <v>62692</v>
      </c>
      <c r="BZ30" s="67">
        <f t="shared" si="31"/>
        <v>20</v>
      </c>
      <c r="CA30" s="60">
        <v>34045.5</v>
      </c>
      <c r="CB30" s="67">
        <f t="shared" si="32"/>
        <v>20.19999999999709</v>
      </c>
      <c r="CC30" s="60">
        <v>12626.1</v>
      </c>
      <c r="CD30" s="67">
        <f t="shared" si="33"/>
        <v>4.7000000000007276</v>
      </c>
      <c r="CE30" s="60">
        <v>6717</v>
      </c>
      <c r="CF30" s="67">
        <f t="shared" si="34"/>
        <v>3.8999999999996362</v>
      </c>
      <c r="CG30" s="60">
        <v>62050.3</v>
      </c>
      <c r="CH30" s="67">
        <f t="shared" si="35"/>
        <v>26.900000000001455</v>
      </c>
      <c r="CI30" s="60">
        <v>965303</v>
      </c>
      <c r="CJ30" s="67">
        <f t="shared" si="36"/>
        <v>250</v>
      </c>
      <c r="CK30" s="60">
        <v>804.51</v>
      </c>
      <c r="CL30" s="64">
        <f t="shared" si="37"/>
        <v>610.00000000001364</v>
      </c>
      <c r="CM30" s="65">
        <f t="shared" si="41"/>
        <v>46</v>
      </c>
      <c r="CN30" s="62">
        <v>8</v>
      </c>
      <c r="CO30" s="62">
        <v>17</v>
      </c>
      <c r="CP30" s="68">
        <v>12328</v>
      </c>
      <c r="CQ30" s="67">
        <f t="shared" si="38"/>
        <v>30</v>
      </c>
      <c r="CR30" s="68">
        <v>15631</v>
      </c>
      <c r="CS30" s="67">
        <f t="shared" si="38"/>
        <v>16</v>
      </c>
      <c r="CT30" s="75">
        <v>7137</v>
      </c>
      <c r="CU30" s="67">
        <f t="shared" si="38"/>
        <v>9</v>
      </c>
      <c r="CV30" s="68">
        <v>17205</v>
      </c>
      <c r="CW30" s="67">
        <f t="shared" si="38"/>
        <v>17</v>
      </c>
    </row>
    <row r="31" spans="1:101" ht="25.5" customHeight="1" thickBot="1" x14ac:dyDescent="0.45">
      <c r="A31" s="63">
        <v>44436</v>
      </c>
      <c r="B31" s="66"/>
      <c r="C31" s="58">
        <v>2.4138999999999999</v>
      </c>
      <c r="D31" s="64">
        <f t="shared" si="0"/>
        <v>1799.9999999998017</v>
      </c>
      <c r="E31" s="58">
        <v>3.4214000000000002</v>
      </c>
      <c r="F31" s="64">
        <f t="shared" si="1"/>
        <v>2300.0000000004129</v>
      </c>
      <c r="G31" s="58">
        <v>3.4788999999999999</v>
      </c>
      <c r="H31" s="64">
        <f t="shared" si="2"/>
        <v>2499.9999999999468</v>
      </c>
      <c r="I31" s="58">
        <v>1.7149000000000001</v>
      </c>
      <c r="J31" s="64">
        <f t="shared" si="3"/>
        <v>1300.0000000000789</v>
      </c>
      <c r="K31" s="58">
        <v>2.7677999999999998</v>
      </c>
      <c r="L31" s="64">
        <f t="shared" si="4"/>
        <v>1999.9999999997797</v>
      </c>
      <c r="M31" s="58">
        <v>1.5122</v>
      </c>
      <c r="N31" s="64">
        <f t="shared" si="5"/>
        <v>799.99999999991189</v>
      </c>
      <c r="O31" s="58">
        <v>14711</v>
      </c>
      <c r="P31" s="67">
        <f t="shared" si="44"/>
        <v>9</v>
      </c>
      <c r="Q31" s="58">
        <v>1168</v>
      </c>
      <c r="R31" s="67">
        <f t="shared" si="6"/>
        <v>3</v>
      </c>
      <c r="S31" s="58">
        <v>1042.2</v>
      </c>
      <c r="T31" s="67">
        <f t="shared" si="7"/>
        <v>0.70000000000004547</v>
      </c>
      <c r="U31" s="58">
        <v>436503.5</v>
      </c>
      <c r="V31" s="67">
        <f t="shared" si="8"/>
        <v>302.5</v>
      </c>
      <c r="W31" s="58">
        <v>413.82</v>
      </c>
      <c r="X31" s="65">
        <f t="shared" si="9"/>
        <v>219.99999999997044</v>
      </c>
      <c r="Y31" s="58">
        <v>2.9935999999999998</v>
      </c>
      <c r="Z31" s="65">
        <f t="shared" si="10"/>
        <v>2099.9999999999909</v>
      </c>
      <c r="AA31" s="58">
        <v>412.78</v>
      </c>
      <c r="AB31" s="65">
        <f t="shared" si="11"/>
        <v>209.99999999997954</v>
      </c>
      <c r="AC31" s="58">
        <v>386.1</v>
      </c>
      <c r="AD31" s="65">
        <f t="shared" si="12"/>
        <v>230.00000000001819</v>
      </c>
      <c r="AE31" s="58">
        <v>581.6</v>
      </c>
      <c r="AF31" s="65">
        <f t="shared" si="13"/>
        <v>220.00000000002728</v>
      </c>
      <c r="AG31" s="58">
        <v>6573</v>
      </c>
      <c r="AH31" s="67">
        <f t="shared" si="14"/>
        <v>28</v>
      </c>
      <c r="AI31" s="58">
        <v>651.97</v>
      </c>
      <c r="AJ31" s="65">
        <f t="shared" si="15"/>
        <v>490.00000000000909</v>
      </c>
      <c r="AK31" s="58">
        <v>215.87</v>
      </c>
      <c r="AL31" s="65">
        <f t="shared" si="15"/>
        <v>219.99999999999886</v>
      </c>
      <c r="AM31" s="58">
        <v>204.65</v>
      </c>
      <c r="AN31" s="65">
        <f t="shared" si="15"/>
        <v>189.99999999999773</v>
      </c>
      <c r="AO31" s="58">
        <v>197.34</v>
      </c>
      <c r="AP31" s="65">
        <f t="shared" si="15"/>
        <v>140.00000000001478</v>
      </c>
      <c r="AQ31" s="58">
        <v>256.52999999999997</v>
      </c>
      <c r="AR31" s="65">
        <f t="shared" si="16"/>
        <v>109.9999999999568</v>
      </c>
      <c r="AS31" s="58">
        <v>382.98</v>
      </c>
      <c r="AT31" s="65">
        <f t="shared" si="17"/>
        <v>129.99999999999545</v>
      </c>
      <c r="AU31" s="58">
        <v>292.72000000000003</v>
      </c>
      <c r="AV31" s="65">
        <f t="shared" si="18"/>
        <v>70.000000000050022</v>
      </c>
      <c r="AW31" s="58">
        <v>325.01</v>
      </c>
      <c r="AX31" s="65">
        <f t="shared" si="19"/>
        <v>79.999999999984084</v>
      </c>
      <c r="AY31" s="58">
        <v>364.03</v>
      </c>
      <c r="AZ31" s="65">
        <f t="shared" si="20"/>
        <v>49.999999999954525</v>
      </c>
      <c r="BA31" s="58">
        <v>382.79</v>
      </c>
      <c r="BB31" s="65">
        <f t="shared" si="21"/>
        <v>50.000000000011369</v>
      </c>
      <c r="BC31" s="58">
        <v>246.15</v>
      </c>
      <c r="BD31" s="65">
        <f t="shared" si="22"/>
        <v>30.000000000001137</v>
      </c>
      <c r="BE31" s="59"/>
      <c r="BF31" s="67" t="str">
        <f t="shared" si="39"/>
        <v/>
      </c>
      <c r="BG31" s="60">
        <v>236.51</v>
      </c>
      <c r="BH31" s="65">
        <f t="shared" si="23"/>
        <v>30.000000000001137</v>
      </c>
      <c r="BI31" s="60">
        <v>294.8</v>
      </c>
      <c r="BJ31" s="65">
        <f t="shared" si="40"/>
        <v>20.000000000038654</v>
      </c>
      <c r="BK31" s="60">
        <v>238.81</v>
      </c>
      <c r="BL31" s="65">
        <f t="shared" si="24"/>
        <v>39.999999999992042</v>
      </c>
      <c r="BM31" s="60">
        <v>226.21</v>
      </c>
      <c r="BN31" s="65">
        <f t="shared" si="25"/>
        <v>40.000000000020464</v>
      </c>
      <c r="BO31" s="60">
        <v>290.14999999999998</v>
      </c>
      <c r="BP31" s="65">
        <f t="shared" si="26"/>
        <v>39.99999999996362</v>
      </c>
      <c r="BQ31" s="60">
        <v>46911</v>
      </c>
      <c r="BR31" s="65">
        <f t="shared" si="27"/>
        <v>22</v>
      </c>
      <c r="BS31" s="60">
        <v>202.75</v>
      </c>
      <c r="BT31" s="65">
        <f t="shared" si="42"/>
        <v>30.000000000001137</v>
      </c>
      <c r="BU31" s="60">
        <v>43124</v>
      </c>
      <c r="BV31" s="65">
        <f t="shared" si="29"/>
        <v>36</v>
      </c>
      <c r="BW31" s="60">
        <v>233.35</v>
      </c>
      <c r="BX31" s="65">
        <f t="shared" si="30"/>
        <v>19.99999999998181</v>
      </c>
      <c r="BY31" s="60">
        <v>62712</v>
      </c>
      <c r="BZ31" s="67">
        <f t="shared" si="31"/>
        <v>20</v>
      </c>
      <c r="CA31" s="60">
        <v>34076.9</v>
      </c>
      <c r="CB31" s="67">
        <f t="shared" si="32"/>
        <v>31.400000000001455</v>
      </c>
      <c r="CC31" s="60">
        <v>12633</v>
      </c>
      <c r="CD31" s="67">
        <f t="shared" si="33"/>
        <v>6.8999999999996362</v>
      </c>
      <c r="CE31" s="60">
        <v>6719.9</v>
      </c>
      <c r="CF31" s="67">
        <f t="shared" si="34"/>
        <v>2.8999999999996362</v>
      </c>
      <c r="CG31" s="60">
        <v>62105.4</v>
      </c>
      <c r="CH31" s="67">
        <f t="shared" si="35"/>
        <v>55.099999999998545</v>
      </c>
      <c r="CI31" s="60">
        <v>965563</v>
      </c>
      <c r="CJ31" s="67">
        <f t="shared" si="36"/>
        <v>260</v>
      </c>
      <c r="CK31" s="60">
        <v>805.2</v>
      </c>
      <c r="CL31" s="64">
        <f t="shared" si="37"/>
        <v>690.00000000005457</v>
      </c>
      <c r="CM31" s="65">
        <f t="shared" si="41"/>
        <v>54</v>
      </c>
      <c r="CN31" s="62">
        <v>0</v>
      </c>
      <c r="CO31" s="62">
        <v>0</v>
      </c>
      <c r="CP31" s="68">
        <v>12363</v>
      </c>
      <c r="CQ31" s="67">
        <f t="shared" si="38"/>
        <v>35</v>
      </c>
      <c r="CR31" s="68">
        <v>15650</v>
      </c>
      <c r="CS31" s="67">
        <f t="shared" si="38"/>
        <v>19</v>
      </c>
      <c r="CT31" s="75">
        <v>7147</v>
      </c>
      <c r="CU31" s="67">
        <f t="shared" si="38"/>
        <v>10</v>
      </c>
      <c r="CV31" s="68">
        <v>17220</v>
      </c>
      <c r="CW31" s="67">
        <f t="shared" si="38"/>
        <v>15</v>
      </c>
    </row>
    <row r="32" spans="1:101" ht="25.5" customHeight="1" thickBot="1" x14ac:dyDescent="0.45">
      <c r="A32" s="63">
        <v>44437</v>
      </c>
      <c r="B32" s="68"/>
      <c r="C32" s="58"/>
      <c r="D32" s="64" t="str">
        <f t="shared" si="0"/>
        <v>0</v>
      </c>
      <c r="E32" s="58"/>
      <c r="F32" s="64" t="str">
        <f t="shared" si="1"/>
        <v>0</v>
      </c>
      <c r="G32" s="58"/>
      <c r="H32" s="64" t="str">
        <f t="shared" si="2"/>
        <v>0</v>
      </c>
      <c r="I32" s="58"/>
      <c r="J32" s="64" t="str">
        <f t="shared" si="3"/>
        <v>0</v>
      </c>
      <c r="K32" s="58"/>
      <c r="L32" s="64" t="str">
        <f t="shared" si="4"/>
        <v>0</v>
      </c>
      <c r="M32" s="58"/>
      <c r="N32" s="64" t="str">
        <f t="shared" si="5"/>
        <v/>
      </c>
      <c r="O32" s="58"/>
      <c r="P32" s="67" t="str">
        <f t="shared" si="44"/>
        <v/>
      </c>
      <c r="Q32" s="58"/>
      <c r="R32" s="67" t="str">
        <f t="shared" si="6"/>
        <v/>
      </c>
      <c r="S32" s="58"/>
      <c r="T32" s="67" t="str">
        <f t="shared" si="7"/>
        <v/>
      </c>
      <c r="U32" s="58"/>
      <c r="V32" s="67" t="str">
        <f t="shared" si="8"/>
        <v/>
      </c>
      <c r="W32" s="58"/>
      <c r="X32" s="65" t="str">
        <f t="shared" si="9"/>
        <v/>
      </c>
      <c r="Y32" s="58"/>
      <c r="Z32" s="65" t="str">
        <f t="shared" si="10"/>
        <v/>
      </c>
      <c r="AA32" s="58"/>
      <c r="AB32" s="65" t="str">
        <f t="shared" si="11"/>
        <v/>
      </c>
      <c r="AC32" s="58"/>
      <c r="AD32" s="65" t="str">
        <f t="shared" si="12"/>
        <v/>
      </c>
      <c r="AE32" s="58"/>
      <c r="AF32" s="65" t="str">
        <f t="shared" si="13"/>
        <v/>
      </c>
      <c r="AG32" s="58"/>
      <c r="AH32" s="67" t="str">
        <f t="shared" si="14"/>
        <v/>
      </c>
      <c r="AI32" s="58"/>
      <c r="AJ32" s="65" t="str">
        <f t="shared" si="15"/>
        <v/>
      </c>
      <c r="AK32" s="58"/>
      <c r="AL32" s="65" t="str">
        <f t="shared" si="15"/>
        <v/>
      </c>
      <c r="AM32" s="58"/>
      <c r="AN32" s="65" t="str">
        <f t="shared" si="15"/>
        <v/>
      </c>
      <c r="AO32" s="58"/>
      <c r="AP32" s="65" t="str">
        <f t="shared" si="15"/>
        <v/>
      </c>
      <c r="AQ32" s="58"/>
      <c r="AR32" s="65" t="str">
        <f t="shared" si="16"/>
        <v/>
      </c>
      <c r="AS32" s="58"/>
      <c r="AT32" s="65" t="str">
        <f t="shared" si="17"/>
        <v/>
      </c>
      <c r="AU32" s="58"/>
      <c r="AV32" s="65" t="str">
        <f t="shared" si="18"/>
        <v/>
      </c>
      <c r="AW32" s="58"/>
      <c r="AX32" s="65" t="str">
        <f t="shared" si="19"/>
        <v/>
      </c>
      <c r="AY32" s="58"/>
      <c r="AZ32" s="65" t="str">
        <f t="shared" si="20"/>
        <v/>
      </c>
      <c r="BA32" s="58"/>
      <c r="BB32" s="65" t="str">
        <f t="shared" si="21"/>
        <v/>
      </c>
      <c r="BC32" s="58"/>
      <c r="BD32" s="65" t="str">
        <f t="shared" si="22"/>
        <v/>
      </c>
      <c r="BE32" s="59"/>
      <c r="BF32" s="67">
        <f t="shared" si="39"/>
        <v>0</v>
      </c>
      <c r="BG32" s="60"/>
      <c r="BH32" s="65" t="str">
        <f t="shared" si="23"/>
        <v/>
      </c>
      <c r="BI32" s="60"/>
      <c r="BJ32" s="65" t="str">
        <f t="shared" si="40"/>
        <v/>
      </c>
      <c r="BK32" s="60"/>
      <c r="BL32" s="65" t="str">
        <f t="shared" si="24"/>
        <v/>
      </c>
      <c r="BM32" s="60"/>
      <c r="BN32" s="65" t="str">
        <f t="shared" si="25"/>
        <v/>
      </c>
      <c r="BO32" s="60"/>
      <c r="BP32" s="65" t="str">
        <f t="shared" si="26"/>
        <v/>
      </c>
      <c r="BQ32" s="60"/>
      <c r="BR32" s="65" t="str">
        <f t="shared" si="27"/>
        <v/>
      </c>
      <c r="BS32" s="60"/>
      <c r="BT32" s="65" t="str">
        <f t="shared" si="42"/>
        <v/>
      </c>
      <c r="BU32" s="60"/>
      <c r="BV32" s="65" t="str">
        <f t="shared" si="29"/>
        <v/>
      </c>
      <c r="BW32" s="60"/>
      <c r="BX32" s="65" t="str">
        <f t="shared" si="30"/>
        <v/>
      </c>
      <c r="BY32" s="60"/>
      <c r="BZ32" s="67" t="str">
        <f t="shared" si="31"/>
        <v/>
      </c>
      <c r="CA32" s="60"/>
      <c r="CB32" s="67" t="str">
        <f t="shared" si="32"/>
        <v/>
      </c>
      <c r="CC32" s="60"/>
      <c r="CD32" s="67" t="str">
        <f t="shared" si="33"/>
        <v/>
      </c>
      <c r="CE32" s="60"/>
      <c r="CF32" s="67" t="str">
        <f t="shared" si="34"/>
        <v/>
      </c>
      <c r="CG32" s="60"/>
      <c r="CH32" s="67" t="str">
        <f t="shared" si="35"/>
        <v/>
      </c>
      <c r="CI32" s="60"/>
      <c r="CJ32" s="67" t="str">
        <f t="shared" si="36"/>
        <v/>
      </c>
      <c r="CK32" s="60"/>
      <c r="CL32" s="64" t="str">
        <f t="shared" si="37"/>
        <v/>
      </c>
      <c r="CM32" s="65" t="e">
        <f t="shared" si="41"/>
        <v>#VALUE!</v>
      </c>
      <c r="CN32" s="62">
        <v>0</v>
      </c>
      <c r="CO32" s="62">
        <v>0</v>
      </c>
      <c r="CP32" s="68"/>
      <c r="CQ32" s="67" t="str">
        <f t="shared" si="38"/>
        <v/>
      </c>
      <c r="CR32" s="68"/>
      <c r="CS32" s="67" t="str">
        <f t="shared" si="38"/>
        <v/>
      </c>
      <c r="CT32" s="75"/>
      <c r="CU32" s="67" t="str">
        <f t="shared" si="38"/>
        <v/>
      </c>
      <c r="CV32" s="68"/>
      <c r="CW32" s="67" t="str">
        <f t="shared" si="38"/>
        <v/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10" zoomScaleNormal="100" workbookViewId="0">
      <selection activeCell="Q37" sqref="Q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10</v>
      </c>
      <c r="D25" s="40">
        <v>20</v>
      </c>
      <c r="E25" s="41">
        <v>20</v>
      </c>
      <c r="F25" s="41">
        <v>5642</v>
      </c>
      <c r="G25" s="41">
        <v>10</v>
      </c>
      <c r="H25" s="41">
        <v>1669</v>
      </c>
      <c r="I25" s="41">
        <v>0</v>
      </c>
      <c r="J25" s="41">
        <v>405</v>
      </c>
      <c r="K25" s="42">
        <v>85</v>
      </c>
      <c r="L25" s="42">
        <v>15</v>
      </c>
      <c r="M25" s="42">
        <v>1398</v>
      </c>
      <c r="N25" s="39">
        <v>0</v>
      </c>
      <c r="O25" s="39">
        <v>0</v>
      </c>
      <c r="P25" s="39">
        <v>25</v>
      </c>
      <c r="Q25" s="39">
        <v>4073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10</v>
      </c>
      <c r="D26" s="40">
        <v>20</v>
      </c>
      <c r="E26" s="41">
        <v>20</v>
      </c>
      <c r="F26" s="41">
        <v>5643</v>
      </c>
      <c r="G26" s="41">
        <v>10</v>
      </c>
      <c r="H26" s="41">
        <v>1670</v>
      </c>
      <c r="I26" s="41">
        <v>0</v>
      </c>
      <c r="J26" s="41">
        <v>406</v>
      </c>
      <c r="K26" s="42">
        <v>85</v>
      </c>
      <c r="L26" s="42">
        <v>14</v>
      </c>
      <c r="M26" s="42">
        <v>1398</v>
      </c>
      <c r="N26" s="39">
        <v>0</v>
      </c>
      <c r="O26" s="39">
        <v>0</v>
      </c>
      <c r="P26" s="39">
        <v>25</v>
      </c>
      <c r="Q26" s="39">
        <v>4074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13</v>
      </c>
      <c r="D27" s="40">
        <v>26</v>
      </c>
      <c r="E27" s="41">
        <v>19</v>
      </c>
      <c r="F27" s="41">
        <v>5648</v>
      </c>
      <c r="G27" s="41">
        <v>0</v>
      </c>
      <c r="H27" s="41">
        <v>1671</v>
      </c>
      <c r="I27" s="41">
        <v>0</v>
      </c>
      <c r="J27" s="41">
        <v>407</v>
      </c>
      <c r="K27" s="42">
        <v>85</v>
      </c>
      <c r="L27" s="42">
        <v>13</v>
      </c>
      <c r="M27" s="42">
        <v>1399</v>
      </c>
      <c r="N27" s="39">
        <v>0</v>
      </c>
      <c r="O27" s="39">
        <v>0</v>
      </c>
      <c r="P27" s="39">
        <v>18</v>
      </c>
      <c r="Q27" s="39">
        <v>4079</v>
      </c>
      <c r="R27" s="78">
        <v>45</v>
      </c>
      <c r="S27" s="78">
        <v>217</v>
      </c>
      <c r="T27">
        <f t="shared" si="0"/>
        <v>0</v>
      </c>
    </row>
    <row r="28" spans="1:20" x14ac:dyDescent="0.25">
      <c r="A28" s="73">
        <v>44429</v>
      </c>
      <c r="B28" s="40">
        <v>0</v>
      </c>
      <c r="C28" s="40">
        <v>15</v>
      </c>
      <c r="D28" s="40">
        <v>30</v>
      </c>
      <c r="E28" s="41">
        <v>85</v>
      </c>
      <c r="F28" s="41">
        <v>5646</v>
      </c>
      <c r="G28" s="41">
        <v>80</v>
      </c>
      <c r="H28" s="41">
        <v>1674</v>
      </c>
      <c r="I28" s="41">
        <v>85</v>
      </c>
      <c r="J28" s="41">
        <v>408</v>
      </c>
      <c r="K28" s="42">
        <v>85</v>
      </c>
      <c r="L28" s="42">
        <v>85</v>
      </c>
      <c r="M28" s="42">
        <v>1399</v>
      </c>
      <c r="N28" s="39">
        <v>85</v>
      </c>
      <c r="O28" s="39">
        <v>85</v>
      </c>
      <c r="P28" s="39">
        <v>85</v>
      </c>
      <c r="Q28" s="39">
        <v>4084</v>
      </c>
      <c r="R28" s="78">
        <v>45</v>
      </c>
      <c r="S28" s="78">
        <v>217</v>
      </c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15</v>
      </c>
      <c r="D29" s="40">
        <v>30</v>
      </c>
      <c r="E29" s="41">
        <v>85</v>
      </c>
      <c r="F29" s="41">
        <v>5659</v>
      </c>
      <c r="G29" s="41">
        <v>65</v>
      </c>
      <c r="H29" s="41">
        <v>1675</v>
      </c>
      <c r="I29" s="41">
        <v>85</v>
      </c>
      <c r="J29" s="41">
        <v>409</v>
      </c>
      <c r="K29" s="42">
        <v>85</v>
      </c>
      <c r="L29" s="42">
        <v>85</v>
      </c>
      <c r="M29" s="42">
        <v>1401</v>
      </c>
      <c r="N29" s="39">
        <v>85</v>
      </c>
      <c r="O29" s="39">
        <v>80</v>
      </c>
      <c r="P29" s="39">
        <v>85</v>
      </c>
      <c r="Q29" s="39">
        <v>4087</v>
      </c>
      <c r="R29" s="78">
        <v>45</v>
      </c>
      <c r="S29" s="78">
        <v>217</v>
      </c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15</v>
      </c>
      <c r="D30" s="40">
        <v>10</v>
      </c>
      <c r="E30" s="41">
        <v>85</v>
      </c>
      <c r="F30" s="41">
        <v>5664</v>
      </c>
      <c r="G30" s="41">
        <v>55</v>
      </c>
      <c r="H30" s="41">
        <v>1678</v>
      </c>
      <c r="I30" s="41">
        <v>85</v>
      </c>
      <c r="J30" s="41">
        <v>411</v>
      </c>
      <c r="K30" s="42">
        <v>85</v>
      </c>
      <c r="L30" s="42">
        <v>85</v>
      </c>
      <c r="M30" s="42">
        <v>1402</v>
      </c>
      <c r="N30" s="39">
        <v>85</v>
      </c>
      <c r="O30" s="39">
        <v>75</v>
      </c>
      <c r="P30" s="39">
        <v>85</v>
      </c>
      <c r="Q30" s="39">
        <v>4092</v>
      </c>
      <c r="R30" s="78">
        <v>45</v>
      </c>
      <c r="S30" s="78">
        <v>217</v>
      </c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10</v>
      </c>
      <c r="D31" s="40">
        <v>22</v>
      </c>
      <c r="E31" s="41">
        <v>85</v>
      </c>
      <c r="F31" s="41">
        <v>5669</v>
      </c>
      <c r="G31" s="41">
        <v>40</v>
      </c>
      <c r="H31" s="41">
        <v>1681</v>
      </c>
      <c r="I31" s="41">
        <v>85</v>
      </c>
      <c r="J31" s="41">
        <v>415</v>
      </c>
      <c r="K31" s="42">
        <v>85</v>
      </c>
      <c r="L31" s="42">
        <v>85</v>
      </c>
      <c r="M31" s="42">
        <v>1402</v>
      </c>
      <c r="N31" s="39">
        <v>85</v>
      </c>
      <c r="O31" s="39">
        <v>70</v>
      </c>
      <c r="P31" s="39">
        <v>85</v>
      </c>
      <c r="Q31" s="39">
        <v>4096</v>
      </c>
      <c r="R31" s="78">
        <v>45</v>
      </c>
      <c r="S31" s="78">
        <v>217</v>
      </c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10</v>
      </c>
      <c r="D32" s="40">
        <v>22</v>
      </c>
      <c r="E32" s="41">
        <v>85</v>
      </c>
      <c r="F32" s="41">
        <v>5674</v>
      </c>
      <c r="G32" s="41">
        <v>30</v>
      </c>
      <c r="H32" s="41">
        <v>1682</v>
      </c>
      <c r="I32" s="41">
        <v>85</v>
      </c>
      <c r="J32" s="41">
        <v>416</v>
      </c>
      <c r="K32" s="42">
        <v>85</v>
      </c>
      <c r="L32" s="42">
        <v>85</v>
      </c>
      <c r="M32" s="42">
        <v>1403</v>
      </c>
      <c r="N32" s="39">
        <v>85</v>
      </c>
      <c r="O32" s="39">
        <v>65</v>
      </c>
      <c r="P32" s="39">
        <v>85</v>
      </c>
      <c r="Q32" s="39">
        <v>4100</v>
      </c>
      <c r="R32" s="78">
        <v>45</v>
      </c>
      <c r="S32" s="78">
        <v>217</v>
      </c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8</v>
      </c>
      <c r="D33" s="40">
        <v>17</v>
      </c>
      <c r="E33" s="41">
        <v>85</v>
      </c>
      <c r="F33" s="41">
        <v>5679</v>
      </c>
      <c r="G33" s="41">
        <v>20</v>
      </c>
      <c r="H33" s="41">
        <v>1684</v>
      </c>
      <c r="I33" s="41">
        <v>85</v>
      </c>
      <c r="J33" s="41">
        <v>416</v>
      </c>
      <c r="K33" s="42">
        <v>85</v>
      </c>
      <c r="L33" s="42">
        <v>85</v>
      </c>
      <c r="M33" s="42">
        <v>1403</v>
      </c>
      <c r="N33" s="39">
        <v>85</v>
      </c>
      <c r="O33" s="39">
        <v>60</v>
      </c>
      <c r="P33" s="39">
        <v>85</v>
      </c>
      <c r="Q33" s="39">
        <v>4105</v>
      </c>
      <c r="R33" s="78">
        <v>45</v>
      </c>
      <c r="S33" s="78">
        <v>217</v>
      </c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8</v>
      </c>
      <c r="D34" s="40">
        <v>17</v>
      </c>
      <c r="E34" s="41">
        <v>85</v>
      </c>
      <c r="F34" s="41">
        <v>5684</v>
      </c>
      <c r="G34" s="41">
        <v>19</v>
      </c>
      <c r="H34" s="41">
        <v>1685</v>
      </c>
      <c r="I34" s="41">
        <v>85</v>
      </c>
      <c r="J34" s="41">
        <v>416</v>
      </c>
      <c r="K34" s="42">
        <v>85</v>
      </c>
      <c r="L34" s="42">
        <v>83</v>
      </c>
      <c r="M34" s="42">
        <v>1405</v>
      </c>
      <c r="N34" s="39">
        <v>85</v>
      </c>
      <c r="O34" s="39">
        <v>55</v>
      </c>
      <c r="P34" s="39">
        <v>85</v>
      </c>
      <c r="Q34" s="39">
        <v>4110</v>
      </c>
      <c r="R34" s="78">
        <v>45</v>
      </c>
      <c r="S34" s="78">
        <v>217</v>
      </c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>
        <v>85</v>
      </c>
      <c r="F35" s="41">
        <v>5687</v>
      </c>
      <c r="G35" s="41">
        <v>10</v>
      </c>
      <c r="H35" s="41">
        <v>1686</v>
      </c>
      <c r="I35" s="41">
        <v>85</v>
      </c>
      <c r="J35" s="41">
        <v>417</v>
      </c>
      <c r="K35" s="42">
        <v>85</v>
      </c>
      <c r="L35" s="42">
        <v>83</v>
      </c>
      <c r="M35" s="42">
        <v>1405</v>
      </c>
      <c r="N35" s="39">
        <v>85</v>
      </c>
      <c r="O35" s="39">
        <v>50</v>
      </c>
      <c r="P35" s="39">
        <v>85</v>
      </c>
      <c r="Q35" s="39">
        <v>4115</v>
      </c>
      <c r="R35" s="78">
        <v>45</v>
      </c>
      <c r="S35" s="78">
        <v>217</v>
      </c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-217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2021-08-29T15:52:29Z</dcterms:modified>
</cp:coreProperties>
</file>