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5" l="1"/>
  <c r="G3" i="5"/>
  <c r="G4" i="5"/>
  <c r="G5" i="5"/>
  <c r="G6" i="5"/>
  <c r="I3" i="5"/>
  <c r="I4" i="5"/>
  <c r="I5" i="5"/>
  <c r="I6" i="5"/>
  <c r="I4" i="10"/>
  <c r="J4" i="9" l="1"/>
  <c r="H4" i="8"/>
  <c r="I2" i="5" s="1"/>
  <c r="E2" i="5" l="1"/>
  <c r="E3" i="5"/>
  <c r="B32" i="5" l="1"/>
  <c r="G34" i="8" l="1"/>
  <c r="G34" i="9"/>
  <c r="I34" i="9" s="1"/>
  <c r="H34" i="10"/>
  <c r="G5" i="8" l="1"/>
  <c r="G6" i="8"/>
  <c r="G7" i="8"/>
  <c r="H7" i="8" s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H34" i="8" s="1"/>
  <c r="I32" i="5" s="1"/>
  <c r="G4" i="8"/>
  <c r="H30" i="8" l="1"/>
  <c r="H31" i="8"/>
  <c r="H17" i="8"/>
  <c r="H5" i="8"/>
  <c r="H13" i="8"/>
  <c r="H9" i="8"/>
  <c r="H29" i="8"/>
  <c r="H28" i="8"/>
  <c r="H16" i="8"/>
  <c r="H32" i="8"/>
  <c r="H20" i="8"/>
  <c r="H14" i="8"/>
  <c r="H24" i="8"/>
  <c r="H18" i="8"/>
  <c r="H6" i="8"/>
  <c r="H26" i="8"/>
  <c r="H25" i="8"/>
  <c r="H23" i="8"/>
  <c r="H22" i="8"/>
  <c r="H19" i="8"/>
  <c r="H12" i="8"/>
  <c r="H11" i="8"/>
  <c r="H10" i="8"/>
  <c r="H8" i="8"/>
  <c r="H27" i="8"/>
  <c r="H33" i="8"/>
  <c r="I31" i="5" s="1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G10" i="9"/>
  <c r="I10" i="9" s="1"/>
  <c r="G11" i="9"/>
  <c r="I11" i="9" s="1"/>
  <c r="G12" i="9"/>
  <c r="I12" i="9" s="1"/>
  <c r="G13" i="9"/>
  <c r="I13" i="9" s="1"/>
  <c r="G14" i="9"/>
  <c r="I14" i="9" s="1"/>
  <c r="G15" i="9"/>
  <c r="I15" i="9" s="1"/>
  <c r="G16" i="9"/>
  <c r="I16" i="9" s="1"/>
  <c r="G17" i="9"/>
  <c r="I17" i="9" s="1"/>
  <c r="G18" i="9"/>
  <c r="I18" i="9" s="1"/>
  <c r="G19" i="9"/>
  <c r="I19" i="9" s="1"/>
  <c r="G20" i="9"/>
  <c r="I20" i="9" s="1"/>
  <c r="G21" i="9"/>
  <c r="I21" i="9" s="1"/>
  <c r="G22" i="9"/>
  <c r="I22" i="9" s="1"/>
  <c r="G23" i="9"/>
  <c r="I23" i="9" s="1"/>
  <c r="G24" i="9"/>
  <c r="I24" i="9" s="1"/>
  <c r="G25" i="9"/>
  <c r="I25" i="9" s="1"/>
  <c r="G26" i="9"/>
  <c r="I26" i="9" s="1"/>
  <c r="G27" i="9"/>
  <c r="I27" i="9" s="1"/>
  <c r="G28" i="9"/>
  <c r="I28" i="9" s="1"/>
  <c r="G29" i="9"/>
  <c r="I29" i="9" s="1"/>
  <c r="G30" i="9"/>
  <c r="I30" i="9" s="1"/>
  <c r="G31" i="9"/>
  <c r="I31" i="9" s="1"/>
  <c r="G32" i="9"/>
  <c r="I32" i="9" s="1"/>
  <c r="G33" i="9"/>
  <c r="I33" i="9" s="1"/>
  <c r="J34" i="9" s="1"/>
  <c r="G32" i="5" s="1"/>
  <c r="G4" i="9"/>
  <c r="I4" i="9" s="1"/>
  <c r="H5" i="10"/>
  <c r="H6" i="10"/>
  <c r="H7" i="10"/>
  <c r="H8" i="10"/>
  <c r="H9" i="10"/>
  <c r="H10" i="10"/>
  <c r="H11" i="10"/>
  <c r="H12" i="10"/>
  <c r="H13" i="10"/>
  <c r="H14" i="10"/>
  <c r="H15" i="10"/>
  <c r="H16" i="10"/>
  <c r="I16" i="10" s="1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I30" i="10" s="1"/>
  <c r="H31" i="10"/>
  <c r="H32" i="10"/>
  <c r="H33" i="10"/>
  <c r="H4" i="10"/>
  <c r="J12" i="9" l="1"/>
  <c r="I7" i="10"/>
  <c r="E5" i="5" s="1"/>
  <c r="J30" i="9"/>
  <c r="I27" i="10"/>
  <c r="J23" i="9"/>
  <c r="I22" i="10"/>
  <c r="J16" i="9"/>
  <c r="I21" i="10"/>
  <c r="I5" i="10"/>
  <c r="J17" i="9"/>
  <c r="J33" i="9"/>
  <c r="J29" i="9"/>
  <c r="J27" i="9"/>
  <c r="J21" i="9"/>
  <c r="J15" i="9"/>
  <c r="J9" i="9"/>
  <c r="I33" i="10"/>
  <c r="I34" i="10"/>
  <c r="E32" i="5" s="1"/>
  <c r="I29" i="10"/>
  <c r="I26" i="10"/>
  <c r="I23" i="10"/>
  <c r="I11" i="10"/>
  <c r="I6" i="10"/>
  <c r="E4" i="5" s="1"/>
  <c r="I31" i="10"/>
  <c r="J28" i="9"/>
  <c r="I28" i="10"/>
  <c r="J24" i="9"/>
  <c r="I24" i="10"/>
  <c r="J22" i="9"/>
  <c r="I20" i="10"/>
  <c r="J18" i="9"/>
  <c r="I18" i="10"/>
  <c r="I17" i="10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L37" i="9"/>
  <c r="M37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<sst xmlns="http://schemas.openxmlformats.org/spreadsheetml/2006/main" count="76" uniqueCount="40">
  <si>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</si>
  <si>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</si>
  <si>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</si>
  <si>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</si>
  <si>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</si>
  <si>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</si>
  <si>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</si>
  <si>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</si>
  <si>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</si>
  <si>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</si>
  <si>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</si>
  <si>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</si>
  <si>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</si>
  <si>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</si>
  <si>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</si>
  <si>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</si>
  <si>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</si>
  <si>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</si>
  <si>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</si>
  <si>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</si>
  <si>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</si>
  <si>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</si>
  <si>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</si>
  <si>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</si>
  <si>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</si>
  <si>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</si>
  <si>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</si>
  <si>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</si>
  <si>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</si>
  <si>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</si>
  <si>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</si>
  <si>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</si>
  <si>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</si>
  <si>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</si>
  <si>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</si>
  <si>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</si>
  <si>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</si>
  <si>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DEC.2022</t>
  </si>
  <si>
    <t>NATURAL GAS CONSUMPTION , DEC.2022</t>
  </si>
  <si>
    <t>WATER CONSUMPTION , DEC.2022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</si>
</sst>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3" fontId="2" fillId="6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Electricity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G34">
            <v>12568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I34">
            <v>1176540.4133199998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1"/>
      <sheetName val="Kasım 2021  "/>
      <sheetName val="Aralık 2021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H34">
            <v>13192325.280000001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A11" sqref="A11:XFD11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</v>
      </c>
      <c r="D2" s="12">
        <v>2022</v>
      </c>
      <c r="E2" s="13">
        <f>Electricity!I4</f>
        <v>1393.7999999970198</v>
      </c>
      <c r="F2" s="3">
        <v>1.2</v>
      </c>
      <c r="G2" s="13">
        <f>Gas!J4</f>
        <v>0</v>
      </c>
      <c r="H2" s="3">
        <v>1.69</v>
      </c>
      <c r="I2" s="13">
        <f>Water!H4</f>
        <v>8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</v>
      </c>
      <c r="D3" s="12">
        <v>2022</v>
      </c>
      <c r="E3" s="13">
        <f>Electricity!I5</f>
        <v>1192.3200000021607</v>
      </c>
      <c r="F3" s="3">
        <v>1.2</v>
      </c>
      <c r="G3" s="13">
        <f>Gas!J5</f>
        <v>0</v>
      </c>
      <c r="H3" s="3">
        <v>1.69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2" si="0">B3+1</f>
        <v>3</v>
      </c>
      <c r="C4" s="3">
        <v>1</v>
      </c>
      <c r="D4" s="12">
        <v>2022</v>
      </c>
      <c r="E4" s="13">
        <f>Electricity!I6</f>
        <v>1054.320000000298</v>
      </c>
      <c r="F4" s="3">
        <v>1.2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</v>
      </c>
      <c r="D5" s="12">
        <v>2022</v>
      </c>
      <c r="E5" s="13">
        <f>Electricity!I7</f>
        <v>1600.7999999988824</v>
      </c>
      <c r="F5" s="3">
        <v>1.2</v>
      </c>
      <c r="G5" s="13">
        <f>Gas!J7</f>
        <v>0</v>
      </c>
      <c r="H5" s="3">
        <v>1.69</v>
      </c>
      <c r="I5" s="13">
        <f>Water!H7</f>
        <v>0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</v>
      </c>
      <c r="D6" s="12">
        <v>2022</v>
      </c>
      <c r="E6" s="13">
        <f>Electricity!I8</f>
        <v>1288.9200000017881</v>
      </c>
      <c r="F6" s="3">
        <v>1.2</v>
      </c>
      <c r="G6" s="13">
        <f>Gas!J8</f>
        <v>0</v>
      </c>
      <c r="H6" s="3">
        <v>1.69</v>
      </c>
      <c r="I6" s="13">
        <f>Water!H8</f>
        <v>9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</v>
      </c>
      <c r="D7" s="12">
        <v>2022</v>
      </c>
      <c r="E7" s="13">
        <f>Electricity!I9</f>
        <v>1562.160000000149</v>
      </c>
      <c r="F7" s="3">
        <v>1.2</v>
      </c>
      <c r="G7" s="13">
        <f>Gas!J9</f>
        <v>0</v>
      </c>
      <c r="H7" s="3">
        <v>1.69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</v>
      </c>
      <c r="D8" s="12">
        <v>2022</v>
      </c>
      <c r="E8" s="13">
        <f>Electricity!I10</f>
        <v>1965.1199999973178</v>
      </c>
      <c r="F8" s="3">
        <v>1.2</v>
      </c>
      <c r="G8" s="13">
        <f>Gas!J10</f>
        <v>0</v>
      </c>
      <c r="H8" s="3">
        <v>1.69</v>
      </c>
      <c r="I8" s="13">
        <f>Water!H10</f>
        <v>4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</v>
      </c>
      <c r="D9" s="12">
        <v>2022</v>
      </c>
      <c r="E9" s="13">
        <f>Electricity!I11</f>
        <v>1360.6800000015646</v>
      </c>
      <c r="F9" s="3">
        <v>1.2</v>
      </c>
      <c r="G9" s="13">
        <f>Gas!J11</f>
        <v>0</v>
      </c>
      <c r="H9" s="3">
        <v>1.69</v>
      </c>
      <c r="I9" s="13">
        <f>Water!H11</f>
        <v>0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</v>
      </c>
      <c r="D10" s="12">
        <v>2022</v>
      </c>
      <c r="E10" s="13">
        <f>Electricity!I12</f>
        <v>1575.9599999990314</v>
      </c>
      <c r="F10" s="3">
        <v>1.2</v>
      </c>
      <c r="G10" s="13">
        <f>Gas!J12</f>
        <v>0</v>
      </c>
      <c r="H10" s="3">
        <v>1.69</v>
      </c>
      <c r="I10" s="13">
        <f>Water!H12</f>
        <v>12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</v>
      </c>
      <c r="D11" s="12">
        <v>2022</v>
      </c>
      <c r="E11" s="13">
        <f>Electricity!I13</f>
        <v>1167.480000000447</v>
      </c>
      <c r="F11" s="3">
        <v>1.2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</v>
      </c>
      <c r="D12" s="12">
        <v>2022</v>
      </c>
      <c r="E12" s="13">
        <f>Electricity!I14</f>
        <v>-13206486.84</v>
      </c>
      <c r="F12" s="3">
        <v>1.2</v>
      </c>
      <c r="G12" s="13">
        <f>Gas!J14</f>
        <v>-1176540.4133199998</v>
      </c>
      <c r="H12" s="3">
        <v>1.69</v>
      </c>
      <c r="I12" s="13">
        <f>Water!H14</f>
        <v>-11536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</v>
      </c>
      <c r="D13" s="12">
        <v>2022</v>
      </c>
      <c r="E13" s="13">
        <f>Electricity!I15</f>
        <v>0</v>
      </c>
      <c r="F13" s="3">
        <v>1.2</v>
      </c>
      <c r="G13" s="13">
        <f>Gas!J15</f>
        <v>0</v>
      </c>
      <c r="H13" s="3">
        <v>1.69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</v>
      </c>
      <c r="D14" s="12">
        <v>2022</v>
      </c>
      <c r="E14" s="13">
        <f>Electricity!I16</f>
        <v>0</v>
      </c>
      <c r="F14" s="3">
        <v>1.2</v>
      </c>
      <c r="G14" s="13">
        <f>Gas!J16</f>
        <v>0</v>
      </c>
      <c r="H14" s="3">
        <v>1.69</v>
      </c>
      <c r="I14" s="13">
        <f>Water!H16</f>
        <v>0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</v>
      </c>
      <c r="D15" s="12">
        <v>2022</v>
      </c>
      <c r="E15" s="13">
        <f>Electricity!I17</f>
        <v>0</v>
      </c>
      <c r="F15" s="3">
        <v>1.2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</v>
      </c>
      <c r="D16" s="12">
        <v>2022</v>
      </c>
      <c r="E16" s="13">
        <f>Electricity!I18</f>
        <v>0</v>
      </c>
      <c r="F16" s="3">
        <v>1.2</v>
      </c>
      <c r="G16" s="13">
        <f>Gas!J18</f>
        <v>0</v>
      </c>
      <c r="H16" s="3">
        <v>1.69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</v>
      </c>
      <c r="D17" s="12">
        <v>2022</v>
      </c>
      <c r="E17" s="13">
        <f>Electricity!I19</f>
        <v>0</v>
      </c>
      <c r="F17" s="3">
        <v>1.2</v>
      </c>
      <c r="G17" s="13">
        <f>Gas!J19</f>
        <v>0</v>
      </c>
      <c r="H17" s="3">
        <v>1.69</v>
      </c>
      <c r="I17" s="13">
        <f>Water!H19</f>
        <v>0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</v>
      </c>
      <c r="D18" s="12">
        <v>2022</v>
      </c>
      <c r="E18" s="13">
        <f>Electricity!I20</f>
        <v>0</v>
      </c>
      <c r="F18" s="3">
        <v>1.2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</v>
      </c>
      <c r="D19" s="12">
        <v>2022</v>
      </c>
      <c r="E19" s="13">
        <f>Electricity!I21</f>
        <v>0</v>
      </c>
      <c r="F19" s="3">
        <v>1.2</v>
      </c>
      <c r="G19" s="13">
        <f>Gas!J21</f>
        <v>0</v>
      </c>
      <c r="H19" s="3">
        <v>1.69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</v>
      </c>
      <c r="D20" s="12">
        <v>2022</v>
      </c>
      <c r="E20" s="13">
        <f>Electricity!I22</f>
        <v>0</v>
      </c>
      <c r="F20" s="3">
        <v>1.2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</v>
      </c>
      <c r="D21" s="12">
        <v>2022</v>
      </c>
      <c r="E21" s="13">
        <f>Electricity!I23</f>
        <v>0</v>
      </c>
      <c r="F21" s="3">
        <v>1.2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</v>
      </c>
      <c r="D22" s="12">
        <v>2022</v>
      </c>
      <c r="E22" s="13">
        <f>Electricity!I24</f>
        <v>0</v>
      </c>
      <c r="F22" s="3">
        <v>1.2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</v>
      </c>
      <c r="D23" s="12">
        <v>2022</v>
      </c>
      <c r="E23" s="13">
        <f>Electricity!I25</f>
        <v>0</v>
      </c>
      <c r="F23" s="3">
        <v>1.2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</v>
      </c>
      <c r="D24" s="12">
        <v>2022</v>
      </c>
      <c r="E24" s="13">
        <f>Electricity!I26</f>
        <v>0</v>
      </c>
      <c r="F24" s="3">
        <v>1.2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</v>
      </c>
      <c r="D25" s="12">
        <v>2022</v>
      </c>
      <c r="E25" s="13">
        <f>Electricity!I27</f>
        <v>0</v>
      </c>
      <c r="F25" s="3">
        <v>1.2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</v>
      </c>
      <c r="D26" s="12">
        <v>2022</v>
      </c>
      <c r="E26" s="13">
        <f>Electricity!I28</f>
        <v>0</v>
      </c>
      <c r="F26" s="3">
        <v>1.2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</v>
      </c>
      <c r="D27" s="12">
        <v>2022</v>
      </c>
      <c r="E27" s="13">
        <f>Electricity!I29</f>
        <v>0</v>
      </c>
      <c r="F27" s="3">
        <v>1.2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</v>
      </c>
      <c r="D28" s="12">
        <v>2022</v>
      </c>
      <c r="E28" s="13">
        <f>Electricity!I30</f>
        <v>0</v>
      </c>
      <c r="F28" s="3">
        <v>1.2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</v>
      </c>
      <c r="D29" s="12">
        <v>2022</v>
      </c>
      <c r="E29" s="13">
        <f>Electricity!I31</f>
        <v>0</v>
      </c>
      <c r="F29" s="3">
        <v>1.2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</v>
      </c>
      <c r="D30" s="12">
        <v>2022</v>
      </c>
      <c r="E30" s="13">
        <f>Electricity!I32</f>
        <v>0</v>
      </c>
      <c r="F30" s="3">
        <v>1.2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</v>
      </c>
      <c r="D31" s="12">
        <v>2022</v>
      </c>
      <c r="E31" s="13">
        <f>Electricity!I33</f>
        <v>0</v>
      </c>
      <c r="F31" s="3">
        <v>1.2</v>
      </c>
      <c r="G31" s="13">
        <f>Gas!J33</f>
        <v>0</v>
      </c>
      <c r="H31" s="3">
        <v>1.69</v>
      </c>
      <c r="I31" s="13">
        <f>Water!H33</f>
        <v>0</v>
      </c>
      <c r="J31" s="3">
        <v>14.95</v>
      </c>
      <c r="K31" s="12">
        <v>0</v>
      </c>
    </row>
    <row r="32" spans="1:11" x14ac:dyDescent="0.25">
      <c r="A32" s="26" t="s">
        <v>36</v>
      </c>
      <c r="B32" s="15">
        <f t="shared" si="0"/>
        <v>31</v>
      </c>
      <c r="C32" s="3">
        <v>1</v>
      </c>
      <c r="D32" s="12">
        <v>2022</v>
      </c>
      <c r="E32" s="13">
        <f>Electricity!I34</f>
        <v>0</v>
      </c>
      <c r="F32" s="3">
        <v>1.2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14" sqref="E1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2" t="s">
        <v>39</v>
      </c>
      <c r="E1" s="112"/>
      <c r="F1" s="112"/>
      <c r="G1" s="112"/>
      <c r="H1" s="112"/>
      <c r="I1" s="112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8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44562</v>
      </c>
      <c r="E4" s="24">
        <v>11511</v>
      </c>
      <c r="F4" s="24">
        <v>1065</v>
      </c>
      <c r="G4" s="24">
        <f>E4+F4</f>
        <v>12576</v>
      </c>
      <c r="H4" s="25">
        <f>+(G4-[1]Dec.2021!$G$34)</f>
        <v>8</v>
      </c>
      <c r="I4" s="25">
        <v>52.5</v>
      </c>
      <c r="J4" s="40">
        <v>1</v>
      </c>
      <c r="K4" s="109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44563</v>
      </c>
      <c r="E5" s="24">
        <v>11511</v>
      </c>
      <c r="F5" s="24">
        <v>1065</v>
      </c>
      <c r="G5" s="24">
        <f t="shared" ref="G5:G34" si="0">E5+F5</f>
        <v>12576</v>
      </c>
      <c r="H5" s="25">
        <f>G5-G4</f>
        <v>0</v>
      </c>
      <c r="I5" s="25">
        <v>52.5</v>
      </c>
      <c r="J5" s="40">
        <v>6</v>
      </c>
      <c r="K5" s="109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44564</v>
      </c>
      <c r="E6" s="24">
        <v>11511</v>
      </c>
      <c r="F6" s="24">
        <v>1065</v>
      </c>
      <c r="G6" s="24">
        <f t="shared" si="0"/>
        <v>12576</v>
      </c>
      <c r="H6" s="25">
        <f t="shared" ref="H6:H34" si="1">G6-G5</f>
        <v>0</v>
      </c>
      <c r="I6" s="25">
        <v>52.5</v>
      </c>
      <c r="J6" s="40">
        <v>4</v>
      </c>
      <c r="K6" s="109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44565</v>
      </c>
      <c r="E7" s="24">
        <v>11511</v>
      </c>
      <c r="F7" s="24">
        <v>1065</v>
      </c>
      <c r="G7" s="24">
        <f t="shared" si="0"/>
        <v>12576</v>
      </c>
      <c r="H7" s="25">
        <f t="shared" si="1"/>
        <v>0</v>
      </c>
      <c r="I7" s="25">
        <v>52.5</v>
      </c>
      <c r="J7" s="40">
        <v>6</v>
      </c>
      <c r="K7" s="109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44566</v>
      </c>
      <c r="E8" s="24">
        <v>11520</v>
      </c>
      <c r="F8" s="24">
        <v>1065</v>
      </c>
      <c r="G8" s="24">
        <f t="shared" si="0"/>
        <v>12585</v>
      </c>
      <c r="H8" s="25">
        <f t="shared" si="1"/>
        <v>9</v>
      </c>
      <c r="I8" s="25">
        <v>52.5</v>
      </c>
      <c r="J8" s="40">
        <v>0</v>
      </c>
      <c r="K8" s="109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44567</v>
      </c>
      <c r="E9" s="24">
        <v>11520</v>
      </c>
      <c r="F9" s="24">
        <v>1065</v>
      </c>
      <c r="G9" s="24">
        <f t="shared" si="0"/>
        <v>12585</v>
      </c>
      <c r="H9" s="25">
        <f t="shared" si="1"/>
        <v>0</v>
      </c>
      <c r="I9" s="25">
        <v>52.5</v>
      </c>
      <c r="J9" s="40">
        <v>1</v>
      </c>
      <c r="K9" s="109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44568</v>
      </c>
      <c r="E10" s="24">
        <v>11524</v>
      </c>
      <c r="F10" s="24">
        <v>1065</v>
      </c>
      <c r="G10" s="24">
        <f t="shared" si="0"/>
        <v>12589</v>
      </c>
      <c r="H10" s="25">
        <f t="shared" si="1"/>
        <v>4</v>
      </c>
      <c r="I10" s="25">
        <v>52.5</v>
      </c>
      <c r="J10" s="40">
        <v>6</v>
      </c>
      <c r="K10" s="109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44569</v>
      </c>
      <c r="E11" s="24">
        <v>11524</v>
      </c>
      <c r="F11" s="24">
        <v>1065</v>
      </c>
      <c r="G11" s="24">
        <f t="shared" si="0"/>
        <v>12589</v>
      </c>
      <c r="H11" s="25">
        <f t="shared" si="1"/>
        <v>0</v>
      </c>
      <c r="I11" s="25">
        <v>52.5</v>
      </c>
      <c r="J11" s="40">
        <v>6</v>
      </c>
      <c r="K11" s="109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44570</v>
      </c>
      <c r="E12" s="24">
        <v>11536</v>
      </c>
      <c r="F12" s="24">
        <v>1065</v>
      </c>
      <c r="G12" s="24">
        <f t="shared" si="0"/>
        <v>12601</v>
      </c>
      <c r="H12" s="25">
        <f t="shared" si="1"/>
        <v>12</v>
      </c>
      <c r="I12" s="25">
        <v>52.5</v>
      </c>
      <c r="J12" s="40">
        <v>1</v>
      </c>
      <c r="K12" s="109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44571</v>
      </c>
      <c r="E13" s="24">
        <v>11536</v>
      </c>
      <c r="F13" s="24">
        <v>1065</v>
      </c>
      <c r="G13" s="24">
        <f t="shared" si="0"/>
        <v>12601</v>
      </c>
      <c r="H13" s="25">
        <f t="shared" si="1"/>
        <v>0</v>
      </c>
      <c r="I13" s="25">
        <v>52.5</v>
      </c>
      <c r="J13" s="40">
        <v>3</v>
      </c>
      <c r="K13" s="109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44572</v>
      </c>
      <c r="E14" s="24"/>
      <c r="F14" s="24">
        <v>1065</v>
      </c>
      <c r="G14" s="24">
        <f t="shared" si="0"/>
        <v>1065</v>
      </c>
      <c r="H14" s="25">
        <f t="shared" si="1"/>
        <v>-11536</v>
      </c>
      <c r="I14" s="25">
        <v>52.5</v>
      </c>
      <c r="J14" s="40">
        <v>6</v>
      </c>
      <c r="K14" s="109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44573</v>
      </c>
      <c r="E15" s="110"/>
      <c r="F15" s="24">
        <v>1065</v>
      </c>
      <c r="G15" s="24">
        <f t="shared" si="0"/>
        <v>1065</v>
      </c>
      <c r="H15" s="25">
        <f t="shared" si="1"/>
        <v>0</v>
      </c>
      <c r="I15" s="25">
        <v>52.5</v>
      </c>
      <c r="J15" s="40">
        <v>2</v>
      </c>
      <c r="K15" s="109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44574</v>
      </c>
      <c r="E16" s="24"/>
      <c r="F16" s="24">
        <v>1065</v>
      </c>
      <c r="G16" s="24">
        <f t="shared" si="0"/>
        <v>1065</v>
      </c>
      <c r="H16" s="25">
        <f t="shared" si="1"/>
        <v>0</v>
      </c>
      <c r="I16" s="25">
        <v>52.5</v>
      </c>
      <c r="J16" s="40">
        <v>8</v>
      </c>
      <c r="K16" s="109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44575</v>
      </c>
      <c r="E17" s="24"/>
      <c r="F17" s="24">
        <v>1065</v>
      </c>
      <c r="G17" s="24">
        <f t="shared" si="0"/>
        <v>1065</v>
      </c>
      <c r="H17" s="25">
        <f t="shared" si="1"/>
        <v>0</v>
      </c>
      <c r="I17" s="25">
        <v>52.5</v>
      </c>
      <c r="J17" s="40">
        <v>6</v>
      </c>
      <c r="K17" s="109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44576</v>
      </c>
      <c r="E18" s="24"/>
      <c r="F18" s="24">
        <v>1065</v>
      </c>
      <c r="G18" s="24">
        <f t="shared" si="0"/>
        <v>1065</v>
      </c>
      <c r="H18" s="25">
        <f t="shared" si="1"/>
        <v>0</v>
      </c>
      <c r="I18" s="25">
        <v>52.5</v>
      </c>
      <c r="J18" s="40">
        <v>0</v>
      </c>
      <c r="K18" s="109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44577</v>
      </c>
      <c r="E19" s="24"/>
      <c r="F19" s="24">
        <v>1065</v>
      </c>
      <c r="G19" s="24">
        <f t="shared" si="0"/>
        <v>1065</v>
      </c>
      <c r="H19" s="25">
        <f t="shared" si="1"/>
        <v>0</v>
      </c>
      <c r="I19" s="25">
        <v>52.5</v>
      </c>
      <c r="J19" s="40">
        <v>1</v>
      </c>
      <c r="K19" s="109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44578</v>
      </c>
      <c r="E20" s="24"/>
      <c r="F20" s="24">
        <v>1065</v>
      </c>
      <c r="G20" s="24">
        <f t="shared" si="0"/>
        <v>1065</v>
      </c>
      <c r="H20" s="25">
        <f t="shared" si="1"/>
        <v>0</v>
      </c>
      <c r="I20" s="25">
        <v>52.5</v>
      </c>
      <c r="J20" s="40">
        <v>7</v>
      </c>
      <c r="K20" s="109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44579</v>
      </c>
      <c r="E21" s="24"/>
      <c r="F21" s="24">
        <v>1065</v>
      </c>
      <c r="G21" s="24">
        <f t="shared" si="0"/>
        <v>1065</v>
      </c>
      <c r="H21" s="25">
        <f t="shared" si="1"/>
        <v>0</v>
      </c>
      <c r="I21" s="25">
        <v>52.5</v>
      </c>
      <c r="J21" s="40">
        <v>1</v>
      </c>
      <c r="K21" s="109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44580</v>
      </c>
      <c r="E22" s="24"/>
      <c r="F22" s="24">
        <v>1065</v>
      </c>
      <c r="G22" s="24">
        <f t="shared" si="0"/>
        <v>1065</v>
      </c>
      <c r="H22" s="25">
        <f t="shared" si="1"/>
        <v>0</v>
      </c>
      <c r="I22" s="25">
        <v>52.5</v>
      </c>
      <c r="J22" s="40">
        <v>0</v>
      </c>
      <c r="K22" s="109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44581</v>
      </c>
      <c r="E23" s="24"/>
      <c r="F23" s="24">
        <v>1065</v>
      </c>
      <c r="G23" s="24">
        <f t="shared" si="0"/>
        <v>1065</v>
      </c>
      <c r="H23" s="25">
        <f t="shared" si="1"/>
        <v>0</v>
      </c>
      <c r="I23" s="25">
        <v>52.5</v>
      </c>
      <c r="J23" s="40">
        <v>5</v>
      </c>
      <c r="K23" s="109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44582</v>
      </c>
      <c r="E24" s="24"/>
      <c r="F24" s="24">
        <v>1065</v>
      </c>
      <c r="G24" s="24">
        <f t="shared" si="0"/>
        <v>1065</v>
      </c>
      <c r="H24" s="25">
        <f t="shared" si="1"/>
        <v>0</v>
      </c>
      <c r="I24" s="25">
        <v>52.5</v>
      </c>
      <c r="J24" s="40">
        <v>7</v>
      </c>
      <c r="K24" s="109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44583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>
        <v>52.5</v>
      </c>
      <c r="J25" s="40">
        <v>1</v>
      </c>
      <c r="K25" s="109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44584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>
        <v>52.5</v>
      </c>
      <c r="J26" s="40">
        <v>0</v>
      </c>
      <c r="K26" s="109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44585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>
        <v>52.5</v>
      </c>
      <c r="J27" s="40">
        <v>9</v>
      </c>
      <c r="K27" s="109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44586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>
        <v>52.5</v>
      </c>
      <c r="J28" s="40">
        <v>0</v>
      </c>
      <c r="K28" s="109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44587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>
        <v>52.5</v>
      </c>
      <c r="J29" s="40">
        <v>7</v>
      </c>
      <c r="K29" s="109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44588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>
        <v>52.5</v>
      </c>
      <c r="J30" s="40">
        <v>5</v>
      </c>
      <c r="K30" s="109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44589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>
        <v>52.5</v>
      </c>
      <c r="J31" s="40">
        <v>0</v>
      </c>
      <c r="K31" s="109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44590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>
        <v>52.5</v>
      </c>
      <c r="J32" s="40">
        <v>6</v>
      </c>
      <c r="K32" s="109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44591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09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B34" s="34"/>
      <c r="C34" s="34"/>
      <c r="D34" s="39">
        <v>44592</v>
      </c>
      <c r="E34" s="24"/>
      <c r="F34" s="24">
        <v>1065</v>
      </c>
      <c r="G34" s="24">
        <f t="shared" si="0"/>
        <v>1065</v>
      </c>
      <c r="H34" s="25">
        <f t="shared" si="1"/>
        <v>0</v>
      </c>
      <c r="I34" s="25">
        <v>52.5</v>
      </c>
      <c r="J34" s="40">
        <v>1</v>
      </c>
      <c r="K34" s="109"/>
      <c r="L34" s="41"/>
      <c r="M34" s="42"/>
      <c r="N34" s="43"/>
    </row>
    <row r="35" spans="2:14" s="33" customFormat="1" ht="11.25" customHeight="1" x14ac:dyDescent="0.25">
      <c r="D35" s="45" t="s">
        <v>29</v>
      </c>
      <c r="E35" s="60"/>
      <c r="F35" s="60"/>
      <c r="G35" s="61"/>
      <c r="H35" s="47">
        <v>0</v>
      </c>
      <c r="I35" s="93">
        <v>1575</v>
      </c>
      <c r="J35" s="40">
        <v>106</v>
      </c>
      <c r="K35" s="109">
        <v>1625</v>
      </c>
      <c r="L35" s="41">
        <v>1539</v>
      </c>
      <c r="M35" s="42">
        <v>1188</v>
      </c>
      <c r="N35" s="43">
        <v>968</v>
      </c>
    </row>
    <row r="36" spans="2:14" x14ac:dyDescent="0.25">
      <c r="H36" s="49"/>
      <c r="L36" s="32"/>
    </row>
    <row r="37" spans="2:14" x14ac:dyDescent="0.25">
      <c r="D37" s="50"/>
      <c r="L37" s="32"/>
    </row>
    <row r="38" spans="2:14" x14ac:dyDescent="0.25">
      <c r="L38" s="32"/>
    </row>
    <row r="39" spans="2:14" x14ac:dyDescent="0.25">
      <c r="D39" s="51"/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6"/>
  <sheetViews>
    <sheetView workbookViewId="0">
      <selection activeCell="F15" sqref="F1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2" t="s">
        <v>38</v>
      </c>
      <c r="E1" s="112"/>
      <c r="F1" s="112"/>
      <c r="G1" s="112"/>
      <c r="H1" s="112"/>
      <c r="I1" s="112"/>
      <c r="J1" s="112"/>
      <c r="K1" s="112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6">
        <v>2016</v>
      </c>
    </row>
    <row r="4" spans="2:19" s="33" customFormat="1" ht="11.25" customHeight="1" x14ac:dyDescent="0.25">
      <c r="D4" s="39">
        <v>44562</v>
      </c>
      <c r="E4" s="24">
        <v>760788</v>
      </c>
      <c r="F4" s="24">
        <v>172142</v>
      </c>
      <c r="G4" s="24">
        <f>E4+F4</f>
        <v>932930</v>
      </c>
      <c r="H4" s="18">
        <v>1.2611239999999999</v>
      </c>
      <c r="I4" s="24">
        <f>H4*G4</f>
        <v>1176540.4133199998</v>
      </c>
      <c r="J4" s="25">
        <f>I4-[2]Dec.2021!$I$34</f>
        <v>0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5">
        <v>70.155524999834597</v>
      </c>
      <c r="P4" s="57">
        <v>529.74840400007088</v>
      </c>
      <c r="Q4" s="58">
        <v>445.89521400001831</v>
      </c>
      <c r="R4" s="59">
        <v>528.11395999998786</v>
      </c>
      <c r="S4" s="107">
        <v>358.82758600002853</v>
      </c>
    </row>
    <row r="5" spans="2:19" s="33" customFormat="1" ht="11.25" customHeight="1" x14ac:dyDescent="0.25">
      <c r="D5" s="39">
        <v>44563</v>
      </c>
      <c r="E5" s="24">
        <v>760788</v>
      </c>
      <c r="F5" s="24">
        <v>172142</v>
      </c>
      <c r="G5" s="24">
        <f t="shared" ref="G5:G34" si="0">E5+F5</f>
        <v>932930</v>
      </c>
      <c r="H5" s="18">
        <v>1.2611239999999999</v>
      </c>
      <c r="I5" s="24">
        <f t="shared" ref="I5:I34" si="1">H5*G5</f>
        <v>1176540.4133199998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5">
        <v>68.879970000125468</v>
      </c>
      <c r="P5" s="57">
        <v>632.1579999999376</v>
      </c>
      <c r="Q5" s="58">
        <v>473.1</v>
      </c>
      <c r="R5" s="59">
        <v>656.29696000006516</v>
      </c>
      <c r="S5" s="107">
        <v>376.57877399999416</v>
      </c>
    </row>
    <row r="6" spans="2:19" s="33" customFormat="1" ht="11.25" customHeight="1" x14ac:dyDescent="0.25">
      <c r="D6" s="39">
        <v>44564</v>
      </c>
      <c r="E6" s="24">
        <v>760788</v>
      </c>
      <c r="F6" s="24">
        <v>172142</v>
      </c>
      <c r="G6" s="24">
        <f t="shared" si="0"/>
        <v>932930</v>
      </c>
      <c r="H6" s="18">
        <v>1.2611239999999999</v>
      </c>
      <c r="I6" s="24">
        <f t="shared" si="1"/>
        <v>1176540.4133199998</v>
      </c>
      <c r="J6" s="25">
        <f t="shared" ref="J6:J34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5">
        <v>67.604414999950677</v>
      </c>
      <c r="P6" s="57">
        <v>666.2945320000872</v>
      </c>
      <c r="Q6" s="58">
        <v>461.64846399996895</v>
      </c>
      <c r="R6" s="59">
        <v>775.50714999996126</v>
      </c>
      <c r="S6" s="107">
        <v>374.04288999998244</v>
      </c>
    </row>
    <row r="7" spans="2:19" s="33" customFormat="1" ht="11.25" customHeight="1" x14ac:dyDescent="0.25">
      <c r="D7" s="39">
        <v>44565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5">
        <v>72.706634999951348</v>
      </c>
      <c r="P7" s="57">
        <v>627.10073599999305</v>
      </c>
      <c r="Q7" s="58">
        <v>493.53026400005911</v>
      </c>
      <c r="R7" s="59">
        <v>840.88048000005074</v>
      </c>
      <c r="S7" s="107">
        <v>368.9711220000172</v>
      </c>
    </row>
    <row r="8" spans="2:19" s="33" customFormat="1" ht="11.25" customHeight="1" x14ac:dyDescent="0.25">
      <c r="D8" s="39">
        <v>44566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5">
        <v>67.604415000183508</v>
      </c>
      <c r="P8" s="57">
        <v>534.80566799989901</v>
      </c>
      <c r="Q8" s="58">
        <v>480.7775439999532</v>
      </c>
      <c r="R8" s="59">
        <v>819.0893699999433</v>
      </c>
      <c r="S8" s="107">
        <v>420.95674399996642</v>
      </c>
    </row>
    <row r="9" spans="2:19" s="33" customFormat="1" ht="11.25" customHeight="1" x14ac:dyDescent="0.25">
      <c r="D9" s="39">
        <v>44567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5">
        <v>57.399974999949336</v>
      </c>
      <c r="P9" s="57">
        <v>501.93345200002659</v>
      </c>
      <c r="Q9" s="58">
        <v>485.87863200006541</v>
      </c>
      <c r="R9" s="59">
        <v>788.3</v>
      </c>
      <c r="S9" s="107">
        <v>437.4399900000426</v>
      </c>
    </row>
    <row r="10" spans="2:19" s="33" customFormat="1" ht="11.25" x14ac:dyDescent="0.25">
      <c r="D10" s="39">
        <v>44568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5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7">
        <v>409.54526599997189</v>
      </c>
    </row>
    <row r="11" spans="2:19" s="33" customFormat="1" ht="11.25" customHeight="1" x14ac:dyDescent="0.25">
      <c r="D11" s="39">
        <v>44569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5">
        <v>45.919980000006035</v>
      </c>
      <c r="P11" s="57">
        <v>496.87618799996562</v>
      </c>
      <c r="Q11" s="58">
        <v>513.9346160000423</v>
      </c>
      <c r="R11" s="59">
        <v>735.7704200000735</v>
      </c>
      <c r="S11" s="107">
        <v>341.0763980000047</v>
      </c>
    </row>
    <row r="12" spans="2:19" s="33" customFormat="1" ht="11.25" customHeight="1" x14ac:dyDescent="0.25">
      <c r="D12" s="39">
        <v>44570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5">
        <v>44.644425000064075</v>
      </c>
      <c r="P12" s="57">
        <v>514.57661200000439</v>
      </c>
      <c r="Q12" s="58">
        <v>519.03570399992168</v>
      </c>
      <c r="R12" s="59">
        <v>743.7</v>
      </c>
      <c r="S12" s="107">
        <v>352.48787599999923</v>
      </c>
    </row>
    <row r="13" spans="2:19" s="33" customFormat="1" ht="11.25" customHeight="1" x14ac:dyDescent="0.25">
      <c r="D13" s="39">
        <v>44571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5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7">
        <v>330.93286200001603</v>
      </c>
    </row>
    <row r="14" spans="2:19" s="33" customFormat="1" ht="11.25" customHeight="1" x14ac:dyDescent="0.25">
      <c r="D14" s="39">
        <v>44572</v>
      </c>
      <c r="E14" s="24"/>
      <c r="F14" s="24"/>
      <c r="G14" s="24">
        <f t="shared" si="0"/>
        <v>0</v>
      </c>
      <c r="H14" s="18">
        <v>1.2611239999999999</v>
      </c>
      <c r="I14" s="24">
        <f t="shared" si="1"/>
        <v>0</v>
      </c>
      <c r="J14" s="25">
        <f t="shared" si="2"/>
        <v>-1176540.4133199998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5">
        <v>45.919980000006035</v>
      </c>
      <c r="P14" s="57">
        <v>513.31229599996004</v>
      </c>
      <c r="Q14" s="58">
        <v>557.29386400000658</v>
      </c>
      <c r="R14" s="59">
        <v>696.4595819999231</v>
      </c>
      <c r="S14" s="107">
        <v>374.04288999998244</v>
      </c>
    </row>
    <row r="15" spans="2:19" s="33" customFormat="1" ht="11.25" customHeight="1" x14ac:dyDescent="0.25">
      <c r="D15" s="39">
        <v>44573</v>
      </c>
      <c r="E15" s="24"/>
      <c r="F15" s="24"/>
      <c r="G15" s="24">
        <f t="shared" si="0"/>
        <v>0</v>
      </c>
      <c r="H15" s="18">
        <v>1.2611239999999999</v>
      </c>
      <c r="I15" s="24">
        <f t="shared" si="1"/>
        <v>0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5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7">
        <v>423.49262799997814</v>
      </c>
    </row>
    <row r="16" spans="2:19" s="33" customFormat="1" ht="11.25" customHeight="1" x14ac:dyDescent="0.25">
      <c r="D16" s="39">
        <v>44574</v>
      </c>
      <c r="E16" s="24"/>
      <c r="F16" s="24"/>
      <c r="G16" s="24">
        <f t="shared" si="0"/>
        <v>0</v>
      </c>
      <c r="H16" s="18">
        <v>1.2611239999999999</v>
      </c>
      <c r="I16" s="24">
        <f t="shared" si="1"/>
        <v>0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5">
        <v>94.391070000128821</v>
      </c>
      <c r="P16" s="57">
        <v>488.02597600000445</v>
      </c>
      <c r="Q16" s="58">
        <v>548.36696000001393</v>
      </c>
      <c r="R16" s="59">
        <v>647.9880360000534</v>
      </c>
      <c r="S16" s="107">
        <v>424.8</v>
      </c>
    </row>
    <row r="17" spans="4:19" s="33" customFormat="1" ht="11.25" customHeight="1" x14ac:dyDescent="0.25">
      <c r="D17" s="39">
        <v>44575</v>
      </c>
      <c r="E17" s="24"/>
      <c r="F17" s="24"/>
      <c r="G17" s="24">
        <f t="shared" si="0"/>
        <v>0</v>
      </c>
      <c r="H17" s="18">
        <v>1.2611239999999999</v>
      </c>
      <c r="I17" s="24">
        <f t="shared" si="1"/>
        <v>0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5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7">
        <v>424</v>
      </c>
    </row>
    <row r="18" spans="4:19" s="33" customFormat="1" ht="11.25" customHeight="1" x14ac:dyDescent="0.25">
      <c r="D18" s="39">
        <v>44576</v>
      </c>
      <c r="E18" s="24"/>
      <c r="F18" s="24"/>
      <c r="G18" s="24">
        <f t="shared" si="0"/>
        <v>0</v>
      </c>
      <c r="H18" s="18">
        <v>1.2611239999999999</v>
      </c>
      <c r="I18" s="24">
        <f t="shared" si="1"/>
        <v>0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5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7">
        <v>420.80420100002084</v>
      </c>
    </row>
    <row r="19" spans="4:19" s="33" customFormat="1" ht="11.25" customHeight="1" x14ac:dyDescent="0.25">
      <c r="D19" s="39">
        <v>44577</v>
      </c>
      <c r="E19" s="24"/>
      <c r="F19" s="24"/>
      <c r="G19" s="24">
        <f t="shared" si="0"/>
        <v>0</v>
      </c>
      <c r="H19" s="18">
        <v>1.2611239999999999</v>
      </c>
      <c r="I19" s="24">
        <f t="shared" si="1"/>
        <v>0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5">
        <v>94.39106999989599</v>
      </c>
      <c r="P19" s="57">
        <v>536.06998399994336</v>
      </c>
      <c r="Q19" s="58">
        <v>702.67487200000323</v>
      </c>
      <c r="R19" s="59">
        <v>616.09886100003496</v>
      </c>
      <c r="S19" s="107">
        <v>458.12322799995309</v>
      </c>
    </row>
    <row r="20" spans="4:19" s="33" customFormat="1" ht="11.25" customHeight="1" x14ac:dyDescent="0.25">
      <c r="D20" s="39">
        <v>44578</v>
      </c>
      <c r="E20" s="24"/>
      <c r="F20" s="24"/>
      <c r="G20" s="24">
        <f t="shared" si="0"/>
        <v>0</v>
      </c>
      <c r="H20" s="18">
        <v>1.2611239999999999</v>
      </c>
      <c r="I20" s="24">
        <f t="shared" si="1"/>
        <v>0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5">
        <v>93.11551499995403</v>
      </c>
      <c r="P20" s="57">
        <v>557.56335599999875</v>
      </c>
      <c r="Q20" s="58">
        <v>740.93303200008813</v>
      </c>
      <c r="R20" s="59">
        <v>539.56484100001398</v>
      </c>
      <c r="S20" s="107">
        <v>527.61383000004571</v>
      </c>
    </row>
    <row r="21" spans="4:19" s="33" customFormat="1" ht="11.25" customHeight="1" x14ac:dyDescent="0.25">
      <c r="D21" s="39">
        <v>44579</v>
      </c>
      <c r="E21" s="24"/>
      <c r="F21" s="24"/>
      <c r="G21" s="24">
        <f t="shared" si="0"/>
        <v>0</v>
      </c>
      <c r="H21" s="18">
        <v>1.2611239999999999</v>
      </c>
      <c r="I21" s="24">
        <f t="shared" si="1"/>
        <v>0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5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7">
        <v>477.42617299995618</v>
      </c>
    </row>
    <row r="22" spans="4:19" s="33" customFormat="1" ht="11.25" customHeight="1" x14ac:dyDescent="0.25">
      <c r="D22" s="39">
        <v>44580</v>
      </c>
      <c r="E22" s="24"/>
      <c r="F22" s="24"/>
      <c r="G22" s="24">
        <f t="shared" si="0"/>
        <v>0</v>
      </c>
      <c r="H22" s="18">
        <v>1.2611239999999999</v>
      </c>
      <c r="I22" s="24">
        <f t="shared" si="1"/>
        <v>0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5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7">
        <v>535.33500800002366</v>
      </c>
    </row>
    <row r="23" spans="4:19" s="33" customFormat="1" ht="11.25" customHeight="1" x14ac:dyDescent="0.25">
      <c r="D23" s="39">
        <v>44581</v>
      </c>
      <c r="E23" s="24"/>
      <c r="F23" s="24"/>
      <c r="G23" s="24">
        <f t="shared" si="0"/>
        <v>0</v>
      </c>
      <c r="H23" s="18">
        <v>1.2611239999999999</v>
      </c>
      <c r="I23" s="24">
        <f t="shared" si="1"/>
        <v>0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5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7">
        <v>423.37792699999409</v>
      </c>
    </row>
    <row r="24" spans="4:19" s="33" customFormat="1" ht="11.25" customHeight="1" x14ac:dyDescent="0.25">
      <c r="D24" s="39">
        <v>44582</v>
      </c>
      <c r="E24" s="24"/>
      <c r="F24" s="24"/>
      <c r="G24" s="24">
        <f t="shared" si="0"/>
        <v>0</v>
      </c>
      <c r="H24" s="18">
        <v>1.2611239999999999</v>
      </c>
      <c r="I24" s="24">
        <f t="shared" si="1"/>
        <v>0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5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7">
        <v>400.21439300000202</v>
      </c>
    </row>
    <row r="25" spans="4:19" s="33" customFormat="1" ht="11.25" customHeight="1" x14ac:dyDescent="0.25">
      <c r="D25" s="39">
        <v>44583</v>
      </c>
      <c r="E25" s="24"/>
      <c r="F25" s="24"/>
      <c r="G25" s="24">
        <f t="shared" si="0"/>
        <v>0</v>
      </c>
      <c r="H25" s="18">
        <v>1.2611239999999999</v>
      </c>
      <c r="I25" s="24">
        <f t="shared" si="1"/>
        <v>0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5">
        <v>71.431080000009388</v>
      </c>
      <c r="P25" s="57">
        <v>619.5148399999598</v>
      </c>
      <c r="Q25" s="58">
        <v>642.73708800005261</v>
      </c>
      <c r="R25" s="59">
        <v>849.52762199996505</v>
      </c>
      <c r="S25" s="107">
        <v>404.074981999991</v>
      </c>
    </row>
    <row r="26" spans="4:19" s="33" customFormat="1" ht="11.25" customHeight="1" x14ac:dyDescent="0.25">
      <c r="D26" s="39">
        <v>44584</v>
      </c>
      <c r="E26" s="24"/>
      <c r="F26" s="24"/>
      <c r="G26" s="24">
        <f t="shared" si="0"/>
        <v>0</v>
      </c>
      <c r="H26" s="18">
        <v>1.2611239999999999</v>
      </c>
      <c r="I26" s="24">
        <f t="shared" si="1"/>
        <v>0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5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7">
        <v>419.51733800000511</v>
      </c>
    </row>
    <row r="27" spans="4:19" s="33" customFormat="1" ht="11.25" customHeight="1" x14ac:dyDescent="0.25">
      <c r="D27" s="39">
        <v>44585</v>
      </c>
      <c r="E27" s="24"/>
      <c r="F27" s="24"/>
      <c r="G27" s="24">
        <f t="shared" si="0"/>
        <v>0</v>
      </c>
      <c r="H27" s="18">
        <v>1.2611239999999999</v>
      </c>
      <c r="I27" s="24">
        <f t="shared" si="1"/>
        <v>0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5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7">
        <v>410.50929700001143</v>
      </c>
    </row>
    <row r="28" spans="4:19" s="33" customFormat="1" ht="11.25" customHeight="1" x14ac:dyDescent="0.25">
      <c r="D28" s="39">
        <v>44586</v>
      </c>
      <c r="E28" s="24"/>
      <c r="F28" s="24"/>
      <c r="G28" s="24">
        <f t="shared" si="0"/>
        <v>0</v>
      </c>
      <c r="H28" s="18">
        <v>1.2611239999999999</v>
      </c>
      <c r="I28" s="24">
        <f t="shared" si="1"/>
        <v>0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5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7">
        <v>422.09106399997836</v>
      </c>
    </row>
    <row r="29" spans="4:19" s="33" customFormat="1" ht="11.25" customHeight="1" x14ac:dyDescent="0.25">
      <c r="D29" s="39">
        <v>44587</v>
      </c>
      <c r="E29" s="24"/>
      <c r="F29" s="24"/>
      <c r="G29" s="24">
        <f t="shared" si="0"/>
        <v>0</v>
      </c>
      <c r="H29" s="18">
        <v>1.2611239999999999</v>
      </c>
      <c r="I29" s="24">
        <f t="shared" si="1"/>
        <v>0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5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7">
        <v>437.53341999999247</v>
      </c>
    </row>
    <row r="30" spans="4:19" s="33" customFormat="1" ht="11.25" customHeight="1" x14ac:dyDescent="0.25">
      <c r="D30" s="39">
        <v>44588</v>
      </c>
      <c r="E30" s="24"/>
      <c r="F30" s="24"/>
      <c r="G30" s="24">
        <f t="shared" si="0"/>
        <v>0</v>
      </c>
      <c r="H30" s="18">
        <v>1.2611239999999999</v>
      </c>
      <c r="I30" s="24">
        <f t="shared" si="1"/>
        <v>0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5">
        <v>84.6</v>
      </c>
      <c r="P30" s="57">
        <v>615.77379500004463</v>
      </c>
      <c r="Q30" s="58">
        <v>599.37783999997191</v>
      </c>
      <c r="R30" s="59">
        <v>656.91700499993749</v>
      </c>
      <c r="S30" s="107">
        <v>415.65674900001613</v>
      </c>
    </row>
    <row r="31" spans="4:19" s="33" customFormat="1" ht="11.25" customHeight="1" x14ac:dyDescent="0.25">
      <c r="D31" s="39">
        <v>44589</v>
      </c>
      <c r="E31" s="24"/>
      <c r="F31" s="24"/>
      <c r="G31" s="24">
        <f t="shared" si="0"/>
        <v>0</v>
      </c>
      <c r="H31" s="18">
        <v>1.2611239999999999</v>
      </c>
      <c r="I31" s="24">
        <f t="shared" si="1"/>
        <v>0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5">
        <v>77.04480000003241</v>
      </c>
      <c r="P31" s="57">
        <v>634.97671999991871</v>
      </c>
      <c r="Q31" s="58">
        <v>626.15855200006627</v>
      </c>
      <c r="R31" s="59">
        <v>639.05906700005289</v>
      </c>
      <c r="S31" s="107">
        <v>418.23047499998938</v>
      </c>
    </row>
    <row r="32" spans="4:19" s="33" customFormat="1" ht="11.25" customHeight="1" x14ac:dyDescent="0.25">
      <c r="D32" s="39">
        <v>44590</v>
      </c>
      <c r="E32" s="24"/>
      <c r="F32" s="24"/>
      <c r="G32" s="24">
        <f t="shared" si="0"/>
        <v>0</v>
      </c>
      <c r="H32" s="18">
        <v>1.2611239999999999</v>
      </c>
      <c r="I32" s="24">
        <f t="shared" si="1"/>
        <v>0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5">
        <v>73.19255999987945</v>
      </c>
      <c r="P32" s="57">
        <v>567.12638500006869</v>
      </c>
      <c r="Q32" s="58">
        <v>700.12432800000533</v>
      </c>
      <c r="R32" s="59">
        <v>684.97947899997234</v>
      </c>
      <c r="S32" s="107">
        <v>459.41009100002702</v>
      </c>
    </row>
    <row r="33" spans="4:19" s="33" customFormat="1" ht="11.25" customHeight="1" x14ac:dyDescent="0.25">
      <c r="D33" s="39">
        <v>44591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5">
        <v>53.93136000004597</v>
      </c>
      <c r="P33" s="57">
        <v>547.92345999996178</v>
      </c>
      <c r="Q33" s="58">
        <v>828.92680000001565</v>
      </c>
      <c r="R33" s="59">
        <v>709.21525200002361</v>
      </c>
      <c r="S33" s="107">
        <v>528.90069300000323</v>
      </c>
    </row>
    <row r="34" spans="4:19" s="33" customFormat="1" ht="11.25" customHeight="1" x14ac:dyDescent="0.25">
      <c r="D34" s="39">
        <v>44592</v>
      </c>
      <c r="E34" s="24"/>
      <c r="F34" s="24"/>
      <c r="G34" s="24">
        <f t="shared" si="0"/>
        <v>0</v>
      </c>
      <c r="H34" s="18">
        <v>1.2611239999999999</v>
      </c>
      <c r="I34" s="24">
        <f t="shared" si="1"/>
        <v>0</v>
      </c>
      <c r="J34" s="25">
        <f t="shared" si="2"/>
        <v>0</v>
      </c>
      <c r="K34" s="23">
        <v>791.66600000000005</v>
      </c>
      <c r="L34" s="94"/>
      <c r="M34" s="95"/>
      <c r="N34" s="96"/>
      <c r="O34" s="105"/>
      <c r="P34" s="57"/>
      <c r="Q34" s="58"/>
      <c r="R34" s="59"/>
      <c r="S34" s="107"/>
    </row>
    <row r="35" spans="4:19" s="33" customFormat="1" ht="11.25" customHeight="1" x14ac:dyDescent="0.25">
      <c r="D35" s="45" t="s">
        <v>29</v>
      </c>
      <c r="E35" s="60"/>
      <c r="F35" s="60"/>
      <c r="G35" s="60"/>
      <c r="H35" s="60"/>
      <c r="I35" s="61"/>
      <c r="J35" s="47">
        <v>0</v>
      </c>
      <c r="K35" s="93">
        <v>23749.980000000003</v>
      </c>
      <c r="L35" s="98">
        <v>13094.398660000017</v>
      </c>
      <c r="M35" s="99">
        <v>20025</v>
      </c>
      <c r="N35" s="100">
        <v>20076.483000000007</v>
      </c>
      <c r="O35" s="105">
        <v>2134.4968049997929</v>
      </c>
      <c r="P35" s="57">
        <v>17200.661169000017</v>
      </c>
      <c r="Q35" s="58">
        <v>18257.593326000053</v>
      </c>
      <c r="R35" s="59">
        <v>20690.438003000105</v>
      </c>
      <c r="S35" s="107">
        <v>12576.013894999993</v>
      </c>
    </row>
    <row r="36" spans="4:19" ht="12" customHeight="1" x14ac:dyDescent="0.25"/>
    <row r="37" spans="4:19" ht="12.75" customHeight="1" x14ac:dyDescent="0.25">
      <c r="L37" s="49">
        <f>+AVERAGE(J4:J8)</f>
        <v>0</v>
      </c>
      <c r="M37" s="17">
        <f>+(L37*31)</f>
        <v>0</v>
      </c>
    </row>
    <row r="38" spans="4:19" ht="12.75" customHeight="1" x14ac:dyDescent="0.25">
      <c r="D38" s="50"/>
    </row>
    <row r="39" spans="4:19" ht="12.75" customHeight="1" x14ac:dyDescent="0.25">
      <c r="D39" s="51"/>
    </row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2" workbookViewId="0">
      <selection activeCell="F14" sqref="F14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2" t="s">
        <v>37</v>
      </c>
      <c r="F1" s="112"/>
      <c r="G1" s="112"/>
      <c r="H1" s="112"/>
      <c r="I1" s="112"/>
      <c r="J1" s="112"/>
      <c r="K1" s="31"/>
      <c r="L1" s="31"/>
      <c r="M1" s="31"/>
      <c r="N1" s="31"/>
      <c r="O1" s="17"/>
      <c r="P1" s="17"/>
      <c r="Q1" s="112"/>
      <c r="R1" s="112"/>
      <c r="S1" s="112"/>
      <c r="T1" s="112"/>
      <c r="U1" s="112"/>
      <c r="V1" s="112"/>
      <c r="W1" s="112"/>
      <c r="X1" s="112"/>
      <c r="Y1" s="17"/>
      <c r="Z1" s="112"/>
      <c r="AA1" s="112"/>
      <c r="AB1" s="112"/>
      <c r="AC1" s="112"/>
      <c r="AD1" s="112"/>
      <c r="AE1" s="112"/>
      <c r="AF1" s="112"/>
      <c r="AG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3"/>
      <c r="AP3" s="114"/>
      <c r="AQ3" s="113"/>
      <c r="AR3" s="114"/>
      <c r="AS3" s="113"/>
      <c r="AT3" s="114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44562</v>
      </c>
      <c r="F4" s="92">
        <v>4780.3329999999996</v>
      </c>
      <c r="G4" s="23">
        <v>2760</v>
      </c>
      <c r="H4" s="24">
        <f>G4*F4</f>
        <v>13193719.079999998</v>
      </c>
      <c r="I4" s="25">
        <f>H4-'[3]Aralık 2021   '!$H$34</f>
        <v>1393.7999999970198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44563</v>
      </c>
      <c r="F5" s="92">
        <v>4780.7650000000003</v>
      </c>
      <c r="G5" s="23">
        <v>2760</v>
      </c>
      <c r="H5" s="24">
        <f t="shared" ref="H5:H34" si="0">G5*F5</f>
        <v>13194911.4</v>
      </c>
      <c r="I5" s="25">
        <f>+(H5-H4)</f>
        <v>1192.3200000021607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44564</v>
      </c>
      <c r="F6" s="92">
        <v>4781.1469999999999</v>
      </c>
      <c r="G6" s="23">
        <v>2760</v>
      </c>
      <c r="H6" s="24">
        <f t="shared" si="0"/>
        <v>13195965.720000001</v>
      </c>
      <c r="I6" s="25">
        <f t="shared" ref="I6:I34" si="1">+(H6-H5)</f>
        <v>1054.320000000298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44565</v>
      </c>
      <c r="F7" s="92">
        <v>4781.7269999999999</v>
      </c>
      <c r="G7" s="23">
        <v>2760</v>
      </c>
      <c r="H7" s="24">
        <f t="shared" si="0"/>
        <v>13197566.52</v>
      </c>
      <c r="I7" s="25">
        <f t="shared" si="1"/>
        <v>1600.7999999988824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44566</v>
      </c>
      <c r="F8" s="92">
        <v>4782.1940000000004</v>
      </c>
      <c r="G8" s="23">
        <v>2760</v>
      </c>
      <c r="H8" s="24">
        <f t="shared" si="0"/>
        <v>13198855.440000001</v>
      </c>
      <c r="I8" s="25">
        <f t="shared" si="1"/>
        <v>1288.9200000017881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44567</v>
      </c>
      <c r="F9" s="92">
        <v>4782.76</v>
      </c>
      <c r="G9" s="23">
        <v>2760</v>
      </c>
      <c r="H9" s="24">
        <f t="shared" si="0"/>
        <v>13200417.600000001</v>
      </c>
      <c r="I9" s="25">
        <f t="shared" si="1"/>
        <v>1562.160000000149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44568</v>
      </c>
      <c r="F10" s="92">
        <v>4783.4719999999998</v>
      </c>
      <c r="G10" s="23">
        <v>2760</v>
      </c>
      <c r="H10" s="24">
        <f t="shared" si="0"/>
        <v>13202382.719999999</v>
      </c>
      <c r="I10" s="25">
        <f t="shared" si="1"/>
        <v>1965.1199999973178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44569</v>
      </c>
      <c r="F11" s="92">
        <v>4783.9650000000001</v>
      </c>
      <c r="G11" s="23">
        <v>2760</v>
      </c>
      <c r="H11" s="24">
        <f t="shared" si="0"/>
        <v>13203743.4</v>
      </c>
      <c r="I11" s="25">
        <f t="shared" si="1"/>
        <v>1360.6800000015646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44570</v>
      </c>
      <c r="F12" s="92">
        <v>4784.5360000000001</v>
      </c>
      <c r="G12" s="23">
        <v>2760</v>
      </c>
      <c r="H12" s="24">
        <f t="shared" si="0"/>
        <v>13205319.359999999</v>
      </c>
      <c r="I12" s="25">
        <f t="shared" si="1"/>
        <v>1575.9599999990314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44571</v>
      </c>
      <c r="F13" s="92">
        <v>4784.9589999999998</v>
      </c>
      <c r="G13" s="23">
        <v>2760</v>
      </c>
      <c r="H13" s="24">
        <f t="shared" si="0"/>
        <v>13206486.84</v>
      </c>
      <c r="I13" s="25">
        <f t="shared" si="1"/>
        <v>1167.480000000447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44572</v>
      </c>
      <c r="F14" s="92"/>
      <c r="G14" s="23">
        <v>2760</v>
      </c>
      <c r="H14" s="24">
        <f t="shared" si="0"/>
        <v>0</v>
      </c>
      <c r="I14" s="25">
        <f t="shared" si="1"/>
        <v>-13206486.84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44573</v>
      </c>
      <c r="F15" s="92"/>
      <c r="G15" s="23">
        <v>2760</v>
      </c>
      <c r="H15" s="24">
        <f t="shared" si="0"/>
        <v>0</v>
      </c>
      <c r="I15" s="25">
        <f t="shared" si="1"/>
        <v>0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44574</v>
      </c>
      <c r="F16" s="92"/>
      <c r="G16" s="23">
        <v>2760</v>
      </c>
      <c r="H16" s="24">
        <f t="shared" si="0"/>
        <v>0</v>
      </c>
      <c r="I16" s="25">
        <f t="shared" si="1"/>
        <v>0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44575</v>
      </c>
      <c r="F17" s="92"/>
      <c r="G17" s="23">
        <v>2760</v>
      </c>
      <c r="H17" s="24">
        <f t="shared" si="0"/>
        <v>0</v>
      </c>
      <c r="I17" s="25">
        <f t="shared" si="1"/>
        <v>0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44576</v>
      </c>
      <c r="F18" s="92"/>
      <c r="G18" s="23">
        <v>2760</v>
      </c>
      <c r="H18" s="24">
        <f t="shared" si="0"/>
        <v>0</v>
      </c>
      <c r="I18" s="25">
        <f t="shared" si="1"/>
        <v>0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44577</v>
      </c>
      <c r="F19" s="92"/>
      <c r="G19" s="23">
        <v>2760</v>
      </c>
      <c r="H19" s="24">
        <f t="shared" si="0"/>
        <v>0</v>
      </c>
      <c r="I19" s="25">
        <f t="shared" si="1"/>
        <v>0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44578</v>
      </c>
      <c r="F20" s="92"/>
      <c r="G20" s="23">
        <v>2760</v>
      </c>
      <c r="H20" s="24">
        <f t="shared" si="0"/>
        <v>0</v>
      </c>
      <c r="I20" s="25">
        <f t="shared" si="1"/>
        <v>0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44579</v>
      </c>
      <c r="F21" s="92"/>
      <c r="G21" s="23">
        <v>2760</v>
      </c>
      <c r="H21" s="24">
        <f t="shared" si="0"/>
        <v>0</v>
      </c>
      <c r="I21" s="25">
        <f t="shared" si="1"/>
        <v>0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44580</v>
      </c>
      <c r="F22" s="92"/>
      <c r="G22" s="23">
        <v>2760</v>
      </c>
      <c r="H22" s="24">
        <f t="shared" si="0"/>
        <v>0</v>
      </c>
      <c r="I22" s="25">
        <f t="shared" si="1"/>
        <v>0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44581</v>
      </c>
      <c r="F23" s="92"/>
      <c r="G23" s="23">
        <v>2760</v>
      </c>
      <c r="H23" s="24">
        <f t="shared" si="0"/>
        <v>0</v>
      </c>
      <c r="I23" s="25">
        <f t="shared" si="1"/>
        <v>0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44582</v>
      </c>
      <c r="F24" s="92"/>
      <c r="G24" s="23">
        <v>2760</v>
      </c>
      <c r="H24" s="24">
        <f t="shared" si="0"/>
        <v>0</v>
      </c>
      <c r="I24" s="25">
        <f t="shared" si="1"/>
        <v>0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44583</v>
      </c>
      <c r="F25" s="92"/>
      <c r="G25" s="23">
        <v>2760</v>
      </c>
      <c r="H25" s="24">
        <f t="shared" si="0"/>
        <v>0</v>
      </c>
      <c r="I25" s="25">
        <f t="shared" si="1"/>
        <v>0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44584</v>
      </c>
      <c r="F26" s="92"/>
      <c r="G26" s="23">
        <v>2760</v>
      </c>
      <c r="H26" s="24">
        <f t="shared" si="0"/>
        <v>0</v>
      </c>
      <c r="I26" s="25">
        <f t="shared" si="1"/>
        <v>0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2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44585</v>
      </c>
      <c r="F27" s="92"/>
      <c r="G27" s="23">
        <v>2760</v>
      </c>
      <c r="H27" s="24">
        <f t="shared" si="0"/>
        <v>0</v>
      </c>
      <c r="I27" s="25">
        <f t="shared" si="1"/>
        <v>0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2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44586</v>
      </c>
      <c r="F28" s="92"/>
      <c r="G28" s="23">
        <v>2760</v>
      </c>
      <c r="H28" s="24">
        <f t="shared" si="0"/>
        <v>0</v>
      </c>
      <c r="I28" s="25">
        <f t="shared" si="1"/>
        <v>0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2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44587</v>
      </c>
      <c r="F29" s="111"/>
      <c r="G29" s="23">
        <v>2760</v>
      </c>
      <c r="H29" s="24">
        <f t="shared" si="0"/>
        <v>0</v>
      </c>
      <c r="I29" s="25">
        <f t="shared" si="1"/>
        <v>0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2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44588</v>
      </c>
      <c r="F30" s="92"/>
      <c r="G30" s="23">
        <v>2760</v>
      </c>
      <c r="H30" s="24">
        <f t="shared" si="0"/>
        <v>0</v>
      </c>
      <c r="I30" s="25">
        <f t="shared" si="1"/>
        <v>0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2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44589</v>
      </c>
      <c r="F31" s="92"/>
      <c r="G31" s="23">
        <v>2760</v>
      </c>
      <c r="H31" s="24">
        <f t="shared" si="0"/>
        <v>0</v>
      </c>
      <c r="I31" s="25">
        <f t="shared" si="1"/>
        <v>0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2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44590</v>
      </c>
      <c r="F32" s="92"/>
      <c r="G32" s="23">
        <v>2760</v>
      </c>
      <c r="H32" s="24">
        <f t="shared" si="0"/>
        <v>0</v>
      </c>
      <c r="I32" s="25">
        <f t="shared" si="1"/>
        <v>0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2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44591</v>
      </c>
      <c r="F33" s="92"/>
      <c r="G33" s="23">
        <v>2760</v>
      </c>
      <c r="H33" s="24">
        <f t="shared" si="0"/>
        <v>0</v>
      </c>
      <c r="I33" s="25">
        <f t="shared" si="1"/>
        <v>0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2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>
        <v>44592</v>
      </c>
      <c r="F34" s="92"/>
      <c r="G34" s="23">
        <v>2760</v>
      </c>
      <c r="H34" s="24">
        <f t="shared" si="0"/>
        <v>0</v>
      </c>
      <c r="I34" s="25">
        <f t="shared" si="1"/>
        <v>0</v>
      </c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2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3">
        <v>-12616180.799999999</v>
      </c>
      <c r="J35" s="93">
        <v>244999.98</v>
      </c>
      <c r="K35" s="101">
        <v>43475.520000001416</v>
      </c>
      <c r="L35" s="87">
        <v>243180.83999999985</v>
      </c>
      <c r="M35" s="104">
        <v>206103</v>
      </c>
      <c r="N35" s="102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2022-01-10T05:24:19Z</dcterms:modified>
</cp:coreProperties>
</file>