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W29" i="7" l="1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<sst xmlns="http://schemas.openxmlformats.org/spreadsheetml/2006/main" count="128" uniqueCount="49">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</sst>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53590</v>
      </c>
      <c r="F19" s="11">
        <v>5.0000000000000001E-3</v>
      </c>
      <c r="G19" s="12">
        <f>Submetering!R19</f>
        <v>786.22965699999997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57780</v>
      </c>
      <c r="F20" s="11">
        <v>5.0000000000000001E-3</v>
      </c>
      <c r="G20" s="12">
        <f>Submetering!R20</f>
        <v>821.05542899999989</v>
      </c>
      <c r="H20" s="11">
        <v>0.52800000000000002</v>
      </c>
      <c r="I20" s="12">
        <f>Hotel!B25</f>
        <v>66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55930</v>
      </c>
      <c r="F21" s="11">
        <v>5.0000000000000001E-3</v>
      </c>
      <c r="G21" s="12">
        <f>Submetering!R21</f>
        <v>631.40638799999999</v>
      </c>
      <c r="H21" s="11">
        <v>0.52800000000000002</v>
      </c>
      <c r="I21" s="12">
        <f>Hotel!B26</f>
        <v>63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510</v>
      </c>
      <c r="F19" s="4">
        <f>Hotel!R24</f>
        <v>12570</v>
      </c>
      <c r="G19" s="4">
        <f>Hotel!S24</f>
        <v>0</v>
      </c>
      <c r="H19" s="4">
        <f>Hotel!T24</f>
        <v>1490</v>
      </c>
      <c r="I19" s="4">
        <f>Hotel!U24</f>
        <v>4470</v>
      </c>
      <c r="J19" s="4">
        <f>Hotel!V24</f>
        <v>3710</v>
      </c>
      <c r="K19" s="4">
        <f>Hotel!W24</f>
        <v>4740</v>
      </c>
      <c r="L19" s="4">
        <f>Hotel!X24</f>
        <v>3520</v>
      </c>
      <c r="M19" s="4">
        <f>Hotel!Y24</f>
        <v>3550</v>
      </c>
      <c r="N19" s="4">
        <f>Hotel!Z24</f>
        <v>2300</v>
      </c>
      <c r="O19" s="4">
        <f>Hotel!AA24</f>
        <v>2710</v>
      </c>
      <c r="P19" s="4">
        <f>Hotel!AB24</f>
        <v>6850</v>
      </c>
      <c r="Q19" s="4">
        <f>Hotel!AC24</f>
        <v>7170</v>
      </c>
      <c r="R19" s="4">
        <f>Hotel!AV24*0.00378541*100</f>
        <v>786.22965699999997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540</v>
      </c>
      <c r="F20" s="4">
        <f>Hotel!R25</f>
        <v>13620</v>
      </c>
      <c r="G20" s="4">
        <f>Hotel!S25</f>
        <v>0</v>
      </c>
      <c r="H20" s="4">
        <f>Hotel!T25</f>
        <v>1580</v>
      </c>
      <c r="I20" s="4">
        <f>Hotel!U25</f>
        <v>4660</v>
      </c>
      <c r="J20" s="4">
        <f>Hotel!V25</f>
        <v>4050</v>
      </c>
      <c r="K20" s="4">
        <f>Hotel!W25</f>
        <v>4770</v>
      </c>
      <c r="L20" s="4">
        <f>Hotel!X25</f>
        <v>3710</v>
      </c>
      <c r="M20" s="4">
        <f>Hotel!Y25</f>
        <v>3890</v>
      </c>
      <c r="N20" s="4">
        <f>Hotel!Z25</f>
        <v>2450</v>
      </c>
      <c r="O20" s="4">
        <f>Hotel!AA25</f>
        <v>2850</v>
      </c>
      <c r="P20" s="4">
        <f>Hotel!AB25</f>
        <v>7120</v>
      </c>
      <c r="Q20" s="4">
        <f>Hotel!AC25</f>
        <v>8540</v>
      </c>
      <c r="R20" s="4">
        <f>Hotel!AV25*0.00378541*100</f>
        <v>821.05542899999989</v>
      </c>
      <c r="S20" s="4">
        <f>Hotel!B25</f>
        <v>66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490</v>
      </c>
      <c r="F21" s="4">
        <f>Hotel!R26</f>
        <v>12540</v>
      </c>
      <c r="G21" s="4">
        <f>Hotel!S26</f>
        <v>30</v>
      </c>
      <c r="H21" s="4">
        <f>Hotel!T26</f>
        <v>1450</v>
      </c>
      <c r="I21" s="4">
        <f>Hotel!U26</f>
        <v>4430</v>
      </c>
      <c r="J21" s="4">
        <f>Hotel!V26</f>
        <v>3600</v>
      </c>
      <c r="K21" s="4">
        <f>Hotel!W26</f>
        <v>3960</v>
      </c>
      <c r="L21" s="4">
        <f>Hotel!X26</f>
        <v>3380</v>
      </c>
      <c r="M21" s="4">
        <f>Hotel!Y26</f>
        <v>3420</v>
      </c>
      <c r="N21" s="4">
        <f>Hotel!Z26</f>
        <v>2260</v>
      </c>
      <c r="O21" s="4">
        <f>Hotel!AA26</f>
        <v>2590</v>
      </c>
      <c r="P21" s="4">
        <f>Hotel!AB26</f>
        <v>6700</v>
      </c>
      <c r="Q21" s="4">
        <f>Hotel!AC26</f>
        <v>11080</v>
      </c>
      <c r="R21" s="4">
        <f>Hotel!AV26*0.00378541*100</f>
        <v>631.40638799999999</v>
      </c>
      <c r="S21" s="4">
        <f>Hotel!B26</f>
        <v>63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M1" zoomScale="93" zoomScaleNormal="93" workbookViewId="0">
      <selection activeCell="AY24" sqref="AY24:AY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5">
        <f t="shared" si="14"/>
        <v>2.468</v>
      </c>
    </row>
    <row r="17" spans="1:49" x14ac:dyDescent="0.25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5">
        <f t="shared" si="14"/>
        <v>2.4279999999999999</v>
      </c>
    </row>
    <row r="18" spans="1:49" x14ac:dyDescent="0.25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5">
        <f t="shared" si="14"/>
        <v>3.65</v>
      </c>
    </row>
    <row r="19" spans="1:49" x14ac:dyDescent="0.25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5">
        <f t="shared" si="14"/>
        <v>2.0499999999999998</v>
      </c>
    </row>
    <row r="20" spans="1:49" x14ac:dyDescent="0.25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5">
        <f t="shared" si="14"/>
        <v>4.266</v>
      </c>
    </row>
    <row r="21" spans="1:49" x14ac:dyDescent="0.25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5">
        <f t="shared" si="14"/>
        <v>2.802</v>
      </c>
    </row>
    <row r="22" spans="1:49" x14ac:dyDescent="0.25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5">
        <f t="shared" si="14"/>
        <v>2.4660000000000002</v>
      </c>
    </row>
    <row r="23" spans="1:49" x14ac:dyDescent="0.25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5">
        <f t="shared" si="14"/>
        <v>3.7160000000000002</v>
      </c>
    </row>
    <row r="24" spans="1:49" x14ac:dyDescent="0.25">
      <c r="A24" s="23">
        <v>44669</v>
      </c>
      <c r="B24" s="40">
        <v>48</v>
      </c>
      <c r="C24" s="24">
        <v>7836100</v>
      </c>
      <c r="D24" s="24">
        <v>18511610</v>
      </c>
      <c r="E24" s="24">
        <v>3201370</v>
      </c>
      <c r="F24" s="24">
        <v>3988310</v>
      </c>
      <c r="G24" s="24">
        <v>11857380</v>
      </c>
      <c r="H24" s="24">
        <v>6740130</v>
      </c>
      <c r="I24" s="24">
        <v>5896830</v>
      </c>
      <c r="J24" s="24">
        <v>7291900</v>
      </c>
      <c r="K24" s="24">
        <v>10834810</v>
      </c>
      <c r="L24" s="24">
        <v>4644750</v>
      </c>
      <c r="M24" s="24">
        <v>8881560</v>
      </c>
      <c r="N24" s="24">
        <v>14284630</v>
      </c>
      <c r="O24" s="24">
        <v>19951600</v>
      </c>
      <c r="Q24" s="37">
        <f t="shared" si="17"/>
        <v>510</v>
      </c>
      <c r="R24" s="37">
        <f t="shared" si="18"/>
        <v>12570</v>
      </c>
      <c r="S24" s="37">
        <f t="shared" si="16"/>
        <v>0</v>
      </c>
      <c r="T24" s="37">
        <f t="shared" si="19"/>
        <v>1490</v>
      </c>
      <c r="U24" s="37">
        <f t="shared" si="20"/>
        <v>4470</v>
      </c>
      <c r="V24" s="37">
        <f t="shared" si="21"/>
        <v>3710</v>
      </c>
      <c r="W24" s="37">
        <f t="shared" si="22"/>
        <v>4740</v>
      </c>
      <c r="X24" s="37">
        <f t="shared" si="23"/>
        <v>3520</v>
      </c>
      <c r="Y24" s="37">
        <f t="shared" si="24"/>
        <v>3550</v>
      </c>
      <c r="Z24" s="37">
        <f t="shared" si="25"/>
        <v>2300</v>
      </c>
      <c r="AA24" s="37">
        <f t="shared" si="26"/>
        <v>2710</v>
      </c>
      <c r="AB24" s="37">
        <f t="shared" si="27"/>
        <v>6850</v>
      </c>
      <c r="AC24" s="37">
        <f t="shared" si="28"/>
        <v>7170</v>
      </c>
      <c r="AD24" s="35">
        <f t="shared" si="29"/>
        <v>53590</v>
      </c>
      <c r="AF24" s="20">
        <f t="shared" si="1"/>
        <v>2.5500000000000003</v>
      </c>
      <c r="AG24" s="20">
        <f t="shared" si="2"/>
        <v>62.85</v>
      </c>
      <c r="AH24" s="20">
        <f t="shared" si="3"/>
        <v>0</v>
      </c>
      <c r="AI24" s="20">
        <f t="shared" si="4"/>
        <v>7.45</v>
      </c>
      <c r="AJ24" s="20">
        <f t="shared" si="5"/>
        <v>22.35</v>
      </c>
      <c r="AK24" s="20">
        <f t="shared" si="6"/>
        <v>18.55</v>
      </c>
      <c r="AL24" s="20">
        <f t="shared" si="7"/>
        <v>23.7</v>
      </c>
      <c r="AM24" s="20">
        <f t="shared" si="8"/>
        <v>17.600000000000001</v>
      </c>
      <c r="AN24" s="20">
        <f t="shared" si="9"/>
        <v>17.75</v>
      </c>
      <c r="AO24" s="20">
        <f t="shared" si="10"/>
        <v>11.5</v>
      </c>
      <c r="AP24" s="20">
        <f t="shared" si="11"/>
        <v>13.55</v>
      </c>
      <c r="AQ24" s="20">
        <f t="shared" si="12"/>
        <v>34.25</v>
      </c>
      <c r="AR24" s="20">
        <f t="shared" si="13"/>
        <v>35.85</v>
      </c>
      <c r="AS24" s="35">
        <f t="shared" si="30"/>
        <v>267.95000000000005</v>
      </c>
      <c r="AU24" s="47">
        <v>646301</v>
      </c>
      <c r="AV24" s="37">
        <f t="shared" si="31"/>
        <v>2077</v>
      </c>
      <c r="AW24" s="35">
        <f t="shared" si="14"/>
        <v>4.1539999999999999</v>
      </c>
    </row>
    <row r="25" spans="1:49" x14ac:dyDescent="0.25">
      <c r="A25" s="23">
        <v>44670</v>
      </c>
      <c r="B25" s="40">
        <v>66</v>
      </c>
      <c r="C25" s="24">
        <v>7836640</v>
      </c>
      <c r="D25" s="24">
        <v>18525230</v>
      </c>
      <c r="E25" s="24">
        <v>3201370</v>
      </c>
      <c r="F25" s="24">
        <v>3989890</v>
      </c>
      <c r="G25" s="24">
        <v>11862040</v>
      </c>
      <c r="H25" s="24">
        <v>6744180</v>
      </c>
      <c r="I25" s="24">
        <v>5901600</v>
      </c>
      <c r="J25" s="24">
        <v>7295610</v>
      </c>
      <c r="K25" s="24">
        <v>10838700</v>
      </c>
      <c r="L25" s="24">
        <v>4647200</v>
      </c>
      <c r="M25" s="24">
        <v>8884410</v>
      </c>
      <c r="N25" s="24">
        <v>14291750</v>
      </c>
      <c r="O25" s="24">
        <v>19960140</v>
      </c>
      <c r="Q25" s="37">
        <f t="shared" ref="Q25:AC27" si="33">IF((C25-C24&lt;0), "0",C25-C24)</f>
        <v>540</v>
      </c>
      <c r="R25" s="37">
        <f t="shared" si="18"/>
        <v>13620</v>
      </c>
      <c r="S25" s="37">
        <f t="shared" si="33"/>
        <v>0</v>
      </c>
      <c r="T25" s="37">
        <f t="shared" si="33"/>
        <v>1580</v>
      </c>
      <c r="U25" s="37">
        <f t="shared" si="33"/>
        <v>4660</v>
      </c>
      <c r="V25" s="37">
        <f t="shared" si="33"/>
        <v>4050</v>
      </c>
      <c r="W25" s="37">
        <f t="shared" si="33"/>
        <v>4770</v>
      </c>
      <c r="X25" s="37">
        <f t="shared" si="33"/>
        <v>3710</v>
      </c>
      <c r="Y25" s="37">
        <f t="shared" si="33"/>
        <v>3890</v>
      </c>
      <c r="Z25" s="37">
        <f t="shared" si="33"/>
        <v>2450</v>
      </c>
      <c r="AA25" s="37">
        <f t="shared" si="33"/>
        <v>2850</v>
      </c>
      <c r="AB25" s="37">
        <f t="shared" si="33"/>
        <v>7120</v>
      </c>
      <c r="AC25" s="37">
        <f t="shared" si="33"/>
        <v>8540</v>
      </c>
      <c r="AD25" s="35">
        <f t="shared" si="29"/>
        <v>57780</v>
      </c>
      <c r="AF25" s="20">
        <f t="shared" si="1"/>
        <v>2.7</v>
      </c>
      <c r="AG25" s="20">
        <f t="shared" si="2"/>
        <v>68.099999999999994</v>
      </c>
      <c r="AH25" s="20">
        <f t="shared" si="3"/>
        <v>0</v>
      </c>
      <c r="AI25" s="20">
        <f t="shared" si="4"/>
        <v>7.9</v>
      </c>
      <c r="AJ25" s="20">
        <f t="shared" si="5"/>
        <v>23.3</v>
      </c>
      <c r="AK25" s="20">
        <f t="shared" si="6"/>
        <v>20.25</v>
      </c>
      <c r="AL25" s="20">
        <f t="shared" si="7"/>
        <v>23.85</v>
      </c>
      <c r="AM25" s="20">
        <f t="shared" si="8"/>
        <v>18.55</v>
      </c>
      <c r="AN25" s="20">
        <f t="shared" si="9"/>
        <v>19.45</v>
      </c>
      <c r="AO25" s="20">
        <f t="shared" si="10"/>
        <v>12.25</v>
      </c>
      <c r="AP25" s="20">
        <f t="shared" si="11"/>
        <v>14.25</v>
      </c>
      <c r="AQ25" s="20">
        <f t="shared" si="12"/>
        <v>35.6</v>
      </c>
      <c r="AR25" s="20">
        <f t="shared" si="13"/>
        <v>42.7</v>
      </c>
      <c r="AS25" s="35">
        <f t="shared" si="30"/>
        <v>288.89999999999998</v>
      </c>
      <c r="AU25" s="47">
        <v>648470</v>
      </c>
      <c r="AV25" s="37">
        <f t="shared" si="31"/>
        <v>2169</v>
      </c>
      <c r="AW25" s="35">
        <f t="shared" si="14"/>
        <v>4.3380000000000001</v>
      </c>
    </row>
    <row r="26" spans="1:49" x14ac:dyDescent="0.25">
      <c r="A26" s="23">
        <v>44671</v>
      </c>
      <c r="B26" s="40">
        <v>63</v>
      </c>
      <c r="C26" s="24">
        <v>7837130</v>
      </c>
      <c r="D26" s="24">
        <v>18537770</v>
      </c>
      <c r="E26" s="24">
        <v>3201400</v>
      </c>
      <c r="F26" s="24">
        <v>3991340</v>
      </c>
      <c r="G26" s="24">
        <v>11866470</v>
      </c>
      <c r="H26" s="24">
        <v>6747780</v>
      </c>
      <c r="I26" s="24">
        <v>5905560</v>
      </c>
      <c r="J26" s="24">
        <v>7298990</v>
      </c>
      <c r="K26" s="24">
        <v>10842120</v>
      </c>
      <c r="L26" s="24">
        <v>4649460</v>
      </c>
      <c r="M26" s="24">
        <v>8887000</v>
      </c>
      <c r="N26" s="24">
        <v>14298450</v>
      </c>
      <c r="O26" s="24">
        <v>19971220</v>
      </c>
      <c r="Q26" s="37">
        <f t="shared" si="33"/>
        <v>490</v>
      </c>
      <c r="R26" s="37">
        <f t="shared" si="18"/>
        <v>12540</v>
      </c>
      <c r="S26" s="37">
        <f t="shared" si="33"/>
        <v>30</v>
      </c>
      <c r="T26" s="37">
        <f t="shared" si="33"/>
        <v>1450</v>
      </c>
      <c r="U26" s="37">
        <f t="shared" si="33"/>
        <v>4430</v>
      </c>
      <c r="V26" s="37">
        <f t="shared" si="33"/>
        <v>3600</v>
      </c>
      <c r="W26" s="37">
        <f t="shared" si="33"/>
        <v>3960</v>
      </c>
      <c r="X26" s="37">
        <f t="shared" si="33"/>
        <v>3380</v>
      </c>
      <c r="Y26" s="37">
        <f t="shared" si="33"/>
        <v>3420</v>
      </c>
      <c r="Z26" s="37">
        <f t="shared" si="33"/>
        <v>2260</v>
      </c>
      <c r="AA26" s="37">
        <f t="shared" si="33"/>
        <v>2590</v>
      </c>
      <c r="AB26" s="37">
        <f t="shared" si="33"/>
        <v>6700</v>
      </c>
      <c r="AC26" s="37">
        <f t="shared" si="33"/>
        <v>11080</v>
      </c>
      <c r="AD26" s="35">
        <f t="shared" si="29"/>
        <v>55930</v>
      </c>
      <c r="AF26" s="20">
        <f t="shared" si="1"/>
        <v>2.4500000000000002</v>
      </c>
      <c r="AG26" s="20">
        <f t="shared" si="2"/>
        <v>62.7</v>
      </c>
      <c r="AH26" s="20">
        <f t="shared" si="3"/>
        <v>0.15</v>
      </c>
      <c r="AI26" s="20">
        <f t="shared" si="4"/>
        <v>7.25</v>
      </c>
      <c r="AJ26" s="20">
        <f t="shared" si="5"/>
        <v>22.150000000000002</v>
      </c>
      <c r="AK26" s="20">
        <f t="shared" si="6"/>
        <v>18</v>
      </c>
      <c r="AL26" s="20">
        <f t="shared" si="7"/>
        <v>19.8</v>
      </c>
      <c r="AM26" s="20">
        <f t="shared" si="8"/>
        <v>16.899999999999999</v>
      </c>
      <c r="AN26" s="20">
        <f t="shared" si="9"/>
        <v>17.100000000000001</v>
      </c>
      <c r="AO26" s="20">
        <f t="shared" si="10"/>
        <v>11.3</v>
      </c>
      <c r="AP26" s="20">
        <f t="shared" si="11"/>
        <v>12.950000000000001</v>
      </c>
      <c r="AQ26" s="20">
        <f t="shared" si="12"/>
        <v>33.5</v>
      </c>
      <c r="AR26" s="20">
        <f t="shared" si="13"/>
        <v>55.4</v>
      </c>
      <c r="AS26" s="35">
        <f t="shared" si="30"/>
        <v>279.65000000000003</v>
      </c>
      <c r="AU26" s="47">
        <v>650138</v>
      </c>
      <c r="AV26" s="37">
        <f t="shared" si="31"/>
        <v>1668</v>
      </c>
      <c r="AW26" s="35">
        <f t="shared" si="14"/>
        <v>3.3359999999999999</v>
      </c>
    </row>
    <row r="27" spans="1:49" x14ac:dyDescent="0.25">
      <c r="A27" s="23">
        <v>44672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18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 t="str">
        <f>IF((AU27-AU26&lt;0),"0",AU27-AU26)</f>
        <v>0</v>
      </c>
      <c r="AW27" s="35">
        <f t="shared" si="14"/>
        <v>0</v>
      </c>
    </row>
    <row r="28" spans="1:49" x14ac:dyDescent="0.25">
      <c r="A28" s="23">
        <v>44673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44675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5" si="34">IF((AU30-AU29&lt;0),"0",AU30-AU29)</f>
        <v>0</v>
      </c>
      <c r="AW30" s="35">
        <f t="shared" si="14"/>
        <v>0</v>
      </c>
    </row>
    <row r="31" spans="1:49" x14ac:dyDescent="0.25">
      <c r="A31" s="23">
        <v>44676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3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10520</v>
      </c>
      <c r="R38" s="38">
        <f t="shared" ref="R38:AD38" si="60">SUM(R7:R37)</f>
        <v>252320</v>
      </c>
      <c r="S38" s="38">
        <f t="shared" si="60"/>
        <v>590</v>
      </c>
      <c r="T38" s="38">
        <f t="shared" si="60"/>
        <v>30300</v>
      </c>
      <c r="U38" s="38">
        <f t="shared" si="60"/>
        <v>90580</v>
      </c>
      <c r="V38" s="38">
        <f t="shared" si="60"/>
        <v>76650</v>
      </c>
      <c r="W38" s="38">
        <f t="shared" si="60"/>
        <v>86570</v>
      </c>
      <c r="X38" s="38">
        <f t="shared" si="60"/>
        <v>72680</v>
      </c>
      <c r="Y38" s="38">
        <f t="shared" si="60"/>
        <v>76100</v>
      </c>
      <c r="Z38" s="38">
        <f t="shared" si="60"/>
        <v>46930</v>
      </c>
      <c r="AA38" s="38">
        <f t="shared" si="60"/>
        <v>53900</v>
      </c>
      <c r="AB38" s="38">
        <f t="shared" si="60"/>
        <v>136420</v>
      </c>
      <c r="AC38" s="38">
        <f t="shared" si="60"/>
        <v>189430</v>
      </c>
      <c r="AD38" s="38">
        <f t="shared" si="60"/>
        <v>1122990</v>
      </c>
      <c r="AF38" s="35">
        <f>SUM(AF7:AF37)</f>
        <v>52.6</v>
      </c>
      <c r="AG38" s="35">
        <f t="shared" ref="AG38:AS38" si="61">SUM(AG7:AG37)</f>
        <v>1261.5999999999999</v>
      </c>
      <c r="AH38" s="35">
        <f t="shared" si="61"/>
        <v>2.9499999999999997</v>
      </c>
      <c r="AI38" s="35">
        <f t="shared" si="61"/>
        <v>151.5</v>
      </c>
      <c r="AJ38" s="35">
        <f t="shared" si="61"/>
        <v>452.90000000000003</v>
      </c>
      <c r="AK38" s="35">
        <f t="shared" si="61"/>
        <v>383.25</v>
      </c>
      <c r="AL38" s="35">
        <f t="shared" si="61"/>
        <v>432.84999999999997</v>
      </c>
      <c r="AM38" s="35">
        <f t="shared" si="61"/>
        <v>363.40000000000003</v>
      </c>
      <c r="AN38" s="35">
        <f t="shared" si="61"/>
        <v>380.50000000000006</v>
      </c>
      <c r="AO38" s="35">
        <f t="shared" si="61"/>
        <v>234.65000000000003</v>
      </c>
      <c r="AP38" s="35">
        <f t="shared" si="61"/>
        <v>269.5</v>
      </c>
      <c r="AQ38" s="35">
        <f t="shared" si="61"/>
        <v>682.1</v>
      </c>
      <c r="AR38" s="35">
        <f t="shared" si="61"/>
        <v>947.15000000000009</v>
      </c>
      <c r="AS38" s="35">
        <f t="shared" si="61"/>
        <v>5614.9499999999989</v>
      </c>
      <c r="AU38" s="48"/>
      <c r="AV38" s="34">
        <f>SUM(AV7:AV37)</f>
        <v>32746</v>
      </c>
      <c r="AW38" s="35">
        <f>SUM(AW7:AW37)</f>
        <v>65.492000000000004</v>
      </c>
    </row>
    <row r="39" spans="1:49" x14ac:dyDescent="0.25">
      <c r="D39">
        <v>5.0000000000000001E-3</v>
      </c>
      <c r="AV39" s="36">
        <f>AV38*0.00378541*1000</f>
        <v>123957.03585999999</v>
      </c>
    </row>
    <row r="40" spans="1:49" x14ac:dyDescent="0.25">
      <c r="D40">
        <v>2E-3</v>
      </c>
      <c r="AV40">
        <f>AV39/31</f>
        <v>3998.6140599999994</v>
      </c>
    </row>
    <row r="41" spans="1:49" x14ac:dyDescent="0.25">
      <c r="AV41">
        <f>AV38*0.00378541</f>
        <v>123.95703585999999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2022-04-21T09:11:06Z</dcterms:modified>
</cp:coreProperties>
</file>