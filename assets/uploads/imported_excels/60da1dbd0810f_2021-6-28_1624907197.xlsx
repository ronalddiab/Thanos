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M29" i="7" l="1"/>
  <c r="CW24" i="7" l="1"/>
  <c r="T24" i="10" l="1"/>
  <c r="X16" i="7" l="1"/>
  <c r="X17" i="7"/>
  <c r="CL10" i="7" l="1"/>
  <c r="F9" i="7" l="1"/>
  <c r="F8" i="7"/>
  <c r="CL9" i="7"/>
  <c r="G29" i="3" l="1"/>
  <c r="G30" i="3"/>
  <c r="G31" i="3"/>
  <c r="G32" i="3"/>
  <c r="I30" i="3"/>
  <c r="I31" i="3"/>
  <c r="I32" i="3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I6" i="3" s="1"/>
  <c r="CM4" i="7"/>
  <c r="CM7" i="7"/>
  <c r="I5" i="3" s="1"/>
  <c r="CM5" i="7"/>
  <c r="I3" i="3" s="1"/>
  <c r="CM6" i="7"/>
  <c r="I4" i="3" s="1"/>
  <c r="CM9" i="7"/>
  <c r="I7" i="3" s="1"/>
  <c r="CM10" i="7"/>
  <c r="I8" i="3" s="1"/>
  <c r="CM11" i="7"/>
  <c r="I9" i="3" s="1"/>
  <c r="CM12" i="7"/>
  <c r="I10" i="3" s="1"/>
  <c r="CM13" i="7"/>
  <c r="I11" i="3" s="1"/>
  <c r="CM14" i="7"/>
  <c r="I12" i="3" s="1"/>
  <c r="CM15" i="7"/>
  <c r="I13" i="3" s="1"/>
  <c r="CM16" i="7"/>
  <c r="I14" i="3" s="1"/>
  <c r="CM17" i="7"/>
  <c r="I15" i="3" s="1"/>
  <c r="CM18" i="7"/>
  <c r="I16" i="3" s="1"/>
  <c r="CM19" i="7"/>
  <c r="I17" i="3" s="1"/>
  <c r="CM20" i="7"/>
  <c r="I18" i="3" s="1"/>
  <c r="I19" i="3"/>
  <c r="CM22" i="7"/>
  <c r="I20" i="3" s="1"/>
  <c r="CM23" i="7"/>
  <c r="I21" i="3" s="1"/>
  <c r="CM24" i="7"/>
  <c r="I22" i="3" s="1"/>
  <c r="CM25" i="7"/>
  <c r="I23" i="3" s="1"/>
  <c r="CM26" i="7"/>
  <c r="I24" i="3" s="1"/>
  <c r="CM27" i="7"/>
  <c r="I25" i="3" s="1"/>
  <c r="CM28" i="7"/>
  <c r="I26" i="3" s="1"/>
  <c r="I27" i="3"/>
  <c r="CM30" i="7"/>
  <c r="I28" i="3" s="1"/>
  <c r="CM31" i="7"/>
  <c r="I29" i="3" s="1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G10" i="3" l="1"/>
  <c r="G9" i="3"/>
  <c r="BD11" i="7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G28" i="3" s="1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G15" i="3" s="1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27" i="3" l="1"/>
  <c r="G26" i="3"/>
  <c r="G25" i="3"/>
  <c r="G24" i="3"/>
  <c r="G23" i="3"/>
  <c r="G22" i="3"/>
  <c r="G21" i="3"/>
  <c r="G20" i="3"/>
  <c r="G19" i="3"/>
  <c r="G18" i="3"/>
  <c r="G17" i="3"/>
  <c r="G16" i="3"/>
  <c r="G14" i="3"/>
  <c r="G13" i="3"/>
  <c r="G11" i="3"/>
  <c r="G12" i="3"/>
  <c r="G8" i="3"/>
  <c r="G6" i="3"/>
  <c r="G7" i="3"/>
  <c r="G5" i="3"/>
  <c r="G4" i="3"/>
  <c r="G3" i="3"/>
  <c r="BB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<sst xmlns="http://schemas.openxmlformats.org/spreadsheetml/2006/main" count="313" uniqueCount="148">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</sst>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21" sqref="M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>
        <f>Submetering!E3+Submetering!F3+Submetering!G3+Submetering!H3+Submetering!J3-Submetering!AV3</f>
        <v>8640.0000000000473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70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2021</v>
      </c>
      <c r="E4" s="12">
        <f>Submetering!E4+Submetering!F4+Submetering!G4+Submetering!H4+Submetering!J4-Submetering!AV4</f>
        <v>8510.0000000000728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25.640999999999995</v>
      </c>
      <c r="H4" s="11">
        <f t="shared" ref="H4:H32" si="2">H3</f>
        <v>0.99</v>
      </c>
      <c r="I4" s="12">
        <f>'FS Desroches Daily'!CM6</f>
        <v>56.400000000001455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7640.0000000004502</v>
      </c>
      <c r="F5" s="11">
        <f t="shared" si="1"/>
        <v>0.58765030286592534</v>
      </c>
      <c r="G5" s="12">
        <f>(Submetering!AX5+Submetering!AY5+Submetering!AZ5+Submetering!BA5+Submetering!BB5)</f>
        <v>23.8095</v>
      </c>
      <c r="H5" s="11">
        <f t="shared" si="2"/>
        <v>0.99</v>
      </c>
      <c r="I5" s="12">
        <f>'FS Desroches Daily'!CM7</f>
        <v>42.099999999998545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12439.999999999633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89.5</v>
      </c>
      <c r="J6" s="11">
        <f t="shared" si="3"/>
        <v>10.487297712684205</v>
      </c>
      <c r="K6" s="13"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5509.9999999998081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47.400000000001455</v>
      </c>
      <c r="J7" s="11">
        <f t="shared" si="3"/>
        <v>10.487297712684205</v>
      </c>
      <c r="K7" s="13"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7940.0000000001619</v>
      </c>
      <c r="F8" s="11">
        <f t="shared" si="1"/>
        <v>0.58765030286592534</v>
      </c>
      <c r="G8" s="12">
        <f>(Submetering!AX8+Submetering!AY8+Submetering!AZ8+Submetering!BA8+Submetering!BB8)</f>
        <v>38.461500000000001</v>
      </c>
      <c r="H8" s="11">
        <f t="shared" si="2"/>
        <v>0.99</v>
      </c>
      <c r="I8" s="12">
        <f>'FS Desroches Daily'!CM10</f>
        <v>67.099999999998545</v>
      </c>
      <c r="J8" s="11">
        <f t="shared" si="3"/>
        <v>10.487297712684205</v>
      </c>
      <c r="K8" s="13"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8969.999999999578</v>
      </c>
      <c r="F9" s="11">
        <f t="shared" si="1"/>
        <v>0.58765030286592534</v>
      </c>
      <c r="G9" s="12">
        <f>(Submetering!AX9+Submetering!AY9+Submetering!AZ9+Submetering!BA9+Submetering!BB9)</f>
        <v>32.966999999999999</v>
      </c>
      <c r="H9" s="11">
        <f t="shared" si="2"/>
        <v>0.99</v>
      </c>
      <c r="I9" s="12">
        <f>'FS Desroches Daily'!CM11</f>
        <v>69.100000000000364</v>
      </c>
      <c r="J9" s="11">
        <f t="shared" si="3"/>
        <v>10.487297712684205</v>
      </c>
      <c r="K9" s="13"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8830.000000000291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73.100000000000364</v>
      </c>
      <c r="J10" s="11">
        <f t="shared" si="3"/>
        <v>10.487297712684205</v>
      </c>
      <c r="K10" s="13"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8849.9999999998618</v>
      </c>
      <c r="F11" s="11">
        <f t="shared" si="1"/>
        <v>0.58765030286592534</v>
      </c>
      <c r="G11" s="12">
        <f>(Submetering!AX11+Submetering!AY11+Submetering!AZ11+Submetering!BA11+Submetering!BB11)</f>
        <v>25.640999999999995</v>
      </c>
      <c r="H11" s="11">
        <f t="shared" si="2"/>
        <v>0.99</v>
      </c>
      <c r="I11" s="12">
        <f>'FS Desroches Daily'!CM13</f>
        <v>67</v>
      </c>
      <c r="J11" s="11">
        <f t="shared" si="3"/>
        <v>10.487297712684205</v>
      </c>
      <c r="K11" s="13"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13429.999999999975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95.299999999999272</v>
      </c>
      <c r="J12" s="11">
        <f t="shared" si="3"/>
        <v>10.487297712684205</v>
      </c>
      <c r="K12" s="13"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>
        <f>Submetering!E13+Submetering!F13+Submetering!G13+Submetering!H13+Submetering!J13-Submetering!AV13</f>
        <v>3839.9999999999345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30.800000000001091</v>
      </c>
      <c r="J13" s="11">
        <f t="shared" si="3"/>
        <v>10.487297712684205</v>
      </c>
      <c r="K13" s="13"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9780.0000000005566</v>
      </c>
      <c r="F14" s="11">
        <f t="shared" si="1"/>
        <v>0.58765030286592534</v>
      </c>
      <c r="G14" s="12">
        <f>(Submetering!AX14+Submetering!AY14+Submetering!AZ14+Submetering!BA14+Submetering!BB14)</f>
        <v>9703.2870000000021</v>
      </c>
      <c r="H14" s="11">
        <f t="shared" si="2"/>
        <v>0.99</v>
      </c>
      <c r="I14" s="12">
        <f>'FS Desroches Daily'!CM16</f>
        <v>69.799999999999272</v>
      </c>
      <c r="J14" s="11">
        <f t="shared" si="3"/>
        <v>10.487297712684205</v>
      </c>
      <c r="K14" s="13"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7849.9999999993097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46.399999999999636</v>
      </c>
      <c r="J15" s="11">
        <f t="shared" si="3"/>
        <v>10.487297712684205</v>
      </c>
      <c r="K15" s="13"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>
        <f>Submetering!E16+Submetering!F16+Submetering!G16+Submetering!H16+Submetering!J16-Submetering!AV16</f>
        <v>8480.0000000008513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61.400000000001455</v>
      </c>
      <c r="J16" s="11">
        <f t="shared" si="3"/>
        <v>10.487297712684205</v>
      </c>
      <c r="K16" s="13"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8779.9999999991469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65.399999999999636</v>
      </c>
      <c r="J17" s="11">
        <f t="shared" si="3"/>
        <v>10.487297712684205</v>
      </c>
      <c r="K17" s="13"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8860.0000000009677</v>
      </c>
      <c r="F18" s="11">
        <f t="shared" si="1"/>
        <v>0.58765030286592534</v>
      </c>
      <c r="G18" s="12">
        <f>(Submetering!AX18+Submetering!AY18+Submetering!AZ18+Submetering!BA18+Submetering!BB18)</f>
        <v>27.4725</v>
      </c>
      <c r="H18" s="11">
        <f t="shared" si="2"/>
        <v>0.99</v>
      </c>
      <c r="I18" s="12">
        <f>'FS Desroches Daily'!CM20</f>
        <v>62.299999999999272</v>
      </c>
      <c r="J18" s="11">
        <f t="shared" si="3"/>
        <v>10.487297712684205</v>
      </c>
      <c r="K18" s="13"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>
        <f>Submetering!E19+Submetering!F19+Submetering!G19+Submetering!H19+Submetering!J19-Submetering!AV19</f>
        <v>8669.9999999996126</v>
      </c>
      <c r="F19" s="11">
        <f t="shared" si="1"/>
        <v>0.58765030286592534</v>
      </c>
      <c r="G19" s="12">
        <f>(Submetering!AX19+Submetering!AY19+Submetering!AZ19+Submetering!BA19+Submetering!BB19)</f>
        <v>21.977999999999994</v>
      </c>
      <c r="H19" s="11">
        <f t="shared" si="2"/>
        <v>0.99</v>
      </c>
      <c r="I19" s="12">
        <f>'FS Desroches Daily'!CM21</f>
        <v>54</v>
      </c>
      <c r="J19" s="11">
        <f t="shared" si="3"/>
        <v>10.487297712684205</v>
      </c>
      <c r="K19" s="13"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>
        <f>Submetering!E20+Submetering!F20+Submetering!G20+Submetering!H20+Submetering!J20-Submetering!AV20</f>
        <v>9320.0000000000236</v>
      </c>
      <c r="F20" s="11">
        <f t="shared" si="1"/>
        <v>0.58765030286592534</v>
      </c>
      <c r="G20" s="12">
        <f>(Submetering!AX20+Submetering!AY20+Submetering!AZ20+Submetering!BA20+Submetering!BB20)</f>
        <v>21.977999999999998</v>
      </c>
      <c r="H20" s="11">
        <f t="shared" si="2"/>
        <v>0.99</v>
      </c>
      <c r="I20" s="12">
        <f>'FS Desroches Daily'!CM22</f>
        <v>84.399999999999636</v>
      </c>
      <c r="J20" s="11">
        <f t="shared" si="3"/>
        <v>10.487297712684205</v>
      </c>
      <c r="K20" s="13"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>
        <f>Submetering!E21+Submetering!F21+Submetering!G21+Submetering!H21+Submetering!J21-Submetering!AV21</f>
        <v>8659.9999999998417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63.100000000000364</v>
      </c>
      <c r="J21" s="11">
        <f t="shared" si="3"/>
        <v>10.487297712684205</v>
      </c>
      <c r="K21" s="13"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>
        <f>Submetering!E22+Submetering!F22+Submetering!G22+Submetering!H22+Submetering!J22-Submetering!AV22</f>
        <v>8609.9999999997781</v>
      </c>
      <c r="F22" s="11">
        <f t="shared" si="1"/>
        <v>0.58765030286592534</v>
      </c>
      <c r="G22" s="12">
        <f>(Submetering!AX22+Submetering!AY22+Submetering!AZ22+Submetering!BA22+Submetering!BB22)</f>
        <v>23.8095</v>
      </c>
      <c r="H22" s="11">
        <f t="shared" si="2"/>
        <v>0.99</v>
      </c>
      <c r="I22" s="12">
        <f>'FS Desroches Daily'!CM24</f>
        <v>66.699999999998909</v>
      </c>
      <c r="J22" s="11">
        <f t="shared" si="3"/>
        <v>10.487297712684205</v>
      </c>
      <c r="K22" s="13"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>
        <f>Submetering!E23+Submetering!F23+Submetering!G23+Submetering!H23+Submetering!J23-Submetering!AV23</f>
        <v>8400.0000000001437</v>
      </c>
      <c r="F23" s="11">
        <f t="shared" si="1"/>
        <v>0.58765030286592534</v>
      </c>
      <c r="G23" s="12">
        <f>(Submetering!AX23+Submetering!AY23+Submetering!AZ23+Submetering!BA23+Submetering!BB23)</f>
        <v>21.977999999999998</v>
      </c>
      <c r="H23" s="11">
        <f t="shared" si="2"/>
        <v>0.99</v>
      </c>
      <c r="I23" s="12">
        <f>'FS Desroches Daily'!CM25</f>
        <v>58.100000000000364</v>
      </c>
      <c r="J23" s="11">
        <f t="shared" si="3"/>
        <v>10.487297712684205</v>
      </c>
      <c r="K23" s="13"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7729.9999999997808</v>
      </c>
      <c r="F24" s="11">
        <f t="shared" si="1"/>
        <v>0.58765030286592534</v>
      </c>
      <c r="G24" s="12">
        <f>(Submetering!AX24+Submetering!AY24+Submetering!AZ24+Submetering!BA24+Submetering!BB24)</f>
        <v>18.314999999999998</v>
      </c>
      <c r="H24" s="11">
        <f t="shared" si="2"/>
        <v>0.99</v>
      </c>
      <c r="I24" s="12">
        <f>'FS Desroches Daily'!CM26</f>
        <v>58.600000000000364</v>
      </c>
      <c r="J24" s="11">
        <f t="shared" si="3"/>
        <v>10.487297712684205</v>
      </c>
      <c r="K24" s="13"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>
        <f>Submetering!E25+Submetering!F25+Submetering!G25+Submetering!H25+Submetering!J25-Submetering!AV25</f>
        <v>8420.0000000000764</v>
      </c>
      <c r="F25" s="11">
        <f t="shared" si="1"/>
        <v>0.58765030286592534</v>
      </c>
      <c r="G25" s="12">
        <f>(Submetering!AX25+Submetering!AY25+Submetering!AZ25+Submetering!BA25+Submetering!BB25)</f>
        <v>18.314999999999998</v>
      </c>
      <c r="H25" s="11">
        <f t="shared" si="2"/>
        <v>0.99</v>
      </c>
      <c r="I25" s="12">
        <f>'FS Desroches Daily'!CM27</f>
        <v>69.100000000000364</v>
      </c>
      <c r="J25" s="11">
        <f t="shared" si="3"/>
        <v>10.487297712684205</v>
      </c>
      <c r="K25" s="13"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8070.000000000191</v>
      </c>
      <c r="F26" s="11">
        <f t="shared" si="1"/>
        <v>0.58765030286592534</v>
      </c>
      <c r="G26" s="12">
        <f>(Submetering!AX26+Submetering!AY26+Submetering!AZ26+Submetering!BA26+Submetering!BB26)</f>
        <v>25.640999999999998</v>
      </c>
      <c r="H26" s="11">
        <f t="shared" si="2"/>
        <v>0.99</v>
      </c>
      <c r="I26" s="12">
        <f>'FS Desroches Daily'!CM28</f>
        <v>54.600000000000364</v>
      </c>
      <c r="J26" s="11">
        <f t="shared" si="3"/>
        <v>10.487297712684205</v>
      </c>
      <c r="K26" s="13"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8710.0000000000509</v>
      </c>
      <c r="F27" s="11">
        <f t="shared" si="1"/>
        <v>0.58765030286592534</v>
      </c>
      <c r="G27" s="12">
        <f>(Submetering!AX27+Submetering!AY27+Submetering!AZ27+Submetering!BA27+Submetering!BB27)</f>
        <v>9.1574999999999989</v>
      </c>
      <c r="H27" s="11">
        <f t="shared" si="2"/>
        <v>0.99</v>
      </c>
      <c r="I27" s="12">
        <f>'FS Desroches Daily'!CM29</f>
        <v>57.799999999999272</v>
      </c>
      <c r="J27" s="11">
        <f t="shared" si="3"/>
        <v>10.487297712684205</v>
      </c>
      <c r="K27" s="13"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>
        <f>Submetering!E28+Submetering!F28+Submetering!G28+Submetering!H28+Submetering!J28-Submetering!AV28</f>
        <v>8879.999999999869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49</v>
      </c>
      <c r="J28" s="11">
        <f t="shared" si="3"/>
        <v>10.487297712684205</v>
      </c>
      <c r="K28" s="13"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 t="e">
        <f>Submetering!E29+Submetering!F29+Submetering!G29+Submetering!H29+Submetering!J29-Submetering!AV29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 t="e">
        <f>'FS Desroches Daily'!CM31</f>
        <v>#VALUE!</v>
      </c>
      <c r="J29" s="11">
        <f t="shared" si="3"/>
        <v>10.487297712684205</v>
      </c>
      <c r="K29" s="13"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D35" sqref="D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20.000000000010232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1.8314999999999999</v>
      </c>
      <c r="BB2" s="31">
        <f>IF(LPG!Q9-LPG!Q8&lt;0,"0",(LPG!Q9-LPG!Q8)*1.8315)</f>
        <v>9.1574999999999989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>
        <f>'FS Desroches Daily'!D5</f>
        <v>1799.9999999998017</v>
      </c>
      <c r="F3" s="32">
        <f>'FS Desroches Daily'!F5</f>
        <v>3000.0000000001137</v>
      </c>
      <c r="G3" s="31">
        <f>'FS Desroches Daily'!H5</f>
        <v>2499.9999999999468</v>
      </c>
      <c r="H3" s="32">
        <f>'FS Desroches Daily'!J5</f>
        <v>1200.0000000000898</v>
      </c>
      <c r="I3" s="31">
        <f>'FS Desroches Daily'!L5</f>
        <v>2100.0000000004347</v>
      </c>
      <c r="J3" s="32">
        <f>'FS Desroches Daily'!N5</f>
        <v>1000.0000000001119</v>
      </c>
      <c r="K3" s="13">
        <f>'FS Desroches Daily'!P5</f>
        <v>11</v>
      </c>
      <c r="L3" s="31">
        <f>'FS Desroches Daily'!R5</f>
        <v>5</v>
      </c>
      <c r="M3" s="31">
        <f>'FS Desroches Daily'!T5</f>
        <v>621.40000000002328</v>
      </c>
      <c r="N3" s="31">
        <f>'FS Desroches Daily'!V5</f>
        <v>301.80000000004657</v>
      </c>
      <c r="O3" s="31">
        <f>'FS Desroches Daily'!X6</f>
        <v>310.00000000000227</v>
      </c>
      <c r="P3" s="31">
        <f>'FS Desroches Daily'!Z5</f>
        <v>2699.9999999999245</v>
      </c>
      <c r="Q3" s="31">
        <f>'FS Desroches Daily'!AB5</f>
        <v>319.99999999999318</v>
      </c>
      <c r="R3" s="31">
        <f>'FS Desroches Daily'!AD5</f>
        <v>310.00000000000227</v>
      </c>
      <c r="S3" s="31">
        <f>'FS Desroches Daily'!AF5</f>
        <v>230.00000000001819</v>
      </c>
      <c r="T3" s="31">
        <f>'FS Desroches Daily'!AH5</f>
        <v>34</v>
      </c>
      <c r="U3" s="35">
        <f>'FS Desroches Daily'!AJ5</f>
        <v>479.9999999999045</v>
      </c>
      <c r="V3" s="35">
        <f>'FS Desroches Daily'!AL5</f>
        <v>270.00000000001023</v>
      </c>
      <c r="W3" s="35">
        <f>'FS Desroches Daily'!AN5</f>
        <v>129.99999999999545</v>
      </c>
      <c r="X3" s="35">
        <f>'FS Desroches Daily'!AP5</f>
        <v>60.000000000002274</v>
      </c>
      <c r="Y3" s="35">
        <f>'FS Desroches Daily'!AR5</f>
        <v>210.00000000000796</v>
      </c>
      <c r="Z3" s="35">
        <f>'FS Desroches Daily'!AT5</f>
        <v>169.99999999995907</v>
      </c>
      <c r="AA3" s="35">
        <f>'FS Desroches Daily'!AT5</f>
        <v>169.99999999995907</v>
      </c>
      <c r="AB3" s="35">
        <f>'FS Desroches Daily'!AV5</f>
        <v>40.000000000020464</v>
      </c>
      <c r="AC3" s="35">
        <f>'FS Desroches Daily'!AZ5</f>
        <v>39.99999999996362</v>
      </c>
      <c r="AD3" s="35">
        <f>'FS Desroches Daily'!BB5</f>
        <v>30.000000000029559</v>
      </c>
      <c r="AE3" s="35">
        <f>'FS Desroches Daily'!BD5</f>
        <v>39.999999999992042</v>
      </c>
      <c r="AF3" s="31">
        <f>'FS Desroches Daily'!BF5</f>
        <v>34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46</v>
      </c>
      <c r="AO3" s="32">
        <f>'FS Desroches Daily'!BX5</f>
        <v>30.000000000001137</v>
      </c>
      <c r="AP3" s="32">
        <f>'FS Desroches Daily'!BZ5</f>
        <v>34</v>
      </c>
      <c r="AQ3" s="31">
        <f>'FS Desroches Daily'!CB5</f>
        <v>28.700000000000728</v>
      </c>
      <c r="AR3" s="31">
        <f>'FS Desroches Daily'!CD5</f>
        <v>10.100000000000364</v>
      </c>
      <c r="AS3" s="31">
        <f>'FS Desroches Daily'!CF5</f>
        <v>3.8999999999996362</v>
      </c>
      <c r="AT3" s="31">
        <f>'FS Desroches Daily'!CH5</f>
        <v>27.5</v>
      </c>
      <c r="AU3" s="31">
        <f>'FS Desroches Daily'!CJ5</f>
        <v>277</v>
      </c>
      <c r="AV3" s="31">
        <f>'FS Desroches Daily'!CL5</f>
        <v>860.00000000001364</v>
      </c>
      <c r="AW3" s="31">
        <f>'FS Desroches Daily'!CM5</f>
        <v>70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6</v>
      </c>
      <c r="D4" s="27">
        <v>2021</v>
      </c>
      <c r="E4" s="31">
        <f>'FS Desroches Daily'!D6</f>
        <v>1700.0000000000348</v>
      </c>
      <c r="F4" s="32">
        <f>'FS Desroches Daily'!F6</f>
        <v>2800.0000000001355</v>
      </c>
      <c r="G4" s="31">
        <f>'FS Desroches Daily'!H6</f>
        <v>2400.0000000001796</v>
      </c>
      <c r="H4" s="32">
        <f>'FS Desroches Daily'!J6</f>
        <v>1299.9999999998568</v>
      </c>
      <c r="I4" s="31">
        <f>'FS Desroches Daily'!L6</f>
        <v>1999.9999999997797</v>
      </c>
      <c r="J4" s="32">
        <f>'FS Desroches Daily'!N6</f>
        <v>899.99999999990087</v>
      </c>
      <c r="K4" s="13">
        <f>'FS Desroches Daily'!P6</f>
        <v>2</v>
      </c>
      <c r="L4" s="31">
        <f>'FS Desroches Daily'!R6</f>
        <v>3</v>
      </c>
      <c r="M4" s="31">
        <f>'FS Desroches Daily'!T6</f>
        <v>687.80000000004657</v>
      </c>
      <c r="N4" s="31">
        <f>'FS Desroches Daily'!V6</f>
        <v>295.69999999995343</v>
      </c>
      <c r="O4" s="31">
        <f>'FS Desroches Daily'!X7</f>
        <v>299.99999999995453</v>
      </c>
      <c r="P4" s="31">
        <f>'FS Desroches Daily'!Z6</f>
        <v>2500.0000000003906</v>
      </c>
      <c r="Q4" s="31">
        <f>'FS Desroches Daily'!AB6</f>
        <v>240.00000000000909</v>
      </c>
      <c r="R4" s="31">
        <f>'FS Desroches Daily'!AD6</f>
        <v>290.00000000002046</v>
      </c>
      <c r="S4" s="31">
        <f>'FS Desroches Daily'!AF6</f>
        <v>240.00000000000909</v>
      </c>
      <c r="T4" s="31">
        <f>'FS Desroches Daily'!AH6</f>
        <v>33</v>
      </c>
      <c r="U4" s="35">
        <f>'FS Desroches Daily'!AJ6</f>
        <v>460.00000000003638</v>
      </c>
      <c r="V4" s="35">
        <f>'FS Desroches Daily'!AL6</f>
        <v>259.99999999999091</v>
      </c>
      <c r="W4" s="35">
        <f>'FS Desroches Daily'!AN6</f>
        <v>120.00000000000455</v>
      </c>
      <c r="X4" s="35">
        <f>'FS Desroches Daily'!AP6</f>
        <v>90.000000000003411</v>
      </c>
      <c r="Y4" s="35">
        <f>'FS Desroches Daily'!AR6</f>
        <v>189.99999999999773</v>
      </c>
      <c r="Z4" s="35">
        <f>'FS Desroches Daily'!AT6</f>
        <v>150.00000000003411</v>
      </c>
      <c r="AA4" s="35">
        <f>'FS Desroches Daily'!AT6</f>
        <v>150.00000000003411</v>
      </c>
      <c r="AB4" s="35">
        <f>'FS Desroches Daily'!AV6</f>
        <v>39.99999999996362</v>
      </c>
      <c r="AC4" s="35">
        <f>'FS Desroches Daily'!AZ6</f>
        <v>30.000000000029559</v>
      </c>
      <c r="AD4" s="35">
        <f>'FS Desroches Daily'!BB6</f>
        <v>9.9999999999909051</v>
      </c>
      <c r="AE4" s="35">
        <f>'FS Desroches Daily'!BD6</f>
        <v>9.9999999999909051</v>
      </c>
      <c r="AF4" s="31">
        <f>'FS Desroches Daily'!BF6</f>
        <v>36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40.000000000020464</v>
      </c>
      <c r="AK4" s="32">
        <f>'FS Desroches Daily'!BP6</f>
        <v>29.999999999972715</v>
      </c>
      <c r="AL4" s="32">
        <f>'FS Desroches Daily'!BR6</f>
        <v>23</v>
      </c>
      <c r="AM4" s="32">
        <f>'FS Desroches Daily'!BT6</f>
        <v>20.000000000010232</v>
      </c>
      <c r="AN4" s="32">
        <f>'FS Desroches Daily'!BV6</f>
        <v>45</v>
      </c>
      <c r="AO4" s="32">
        <f>'FS Desroches Daily'!BX6</f>
        <v>20.000000000010232</v>
      </c>
      <c r="AP4" s="32">
        <f>'FS Desroches Daily'!BZ6</f>
        <v>35</v>
      </c>
      <c r="AQ4" s="31">
        <f>'FS Desroches Daily'!CB6</f>
        <v>27.5</v>
      </c>
      <c r="AR4" s="31">
        <f>'FS Desroches Daily'!CD6</f>
        <v>7.7999999999992724</v>
      </c>
      <c r="AS4" s="31">
        <f>'FS Desroches Daily'!CF6</f>
        <v>0.6000000000003638</v>
      </c>
      <c r="AT4" s="31">
        <f>'FS Desroches Daily'!CH6</f>
        <v>24.799999999995634</v>
      </c>
      <c r="AU4" s="31">
        <f>'FS Desroches Daily'!CJ6</f>
        <v>273</v>
      </c>
      <c r="AV4" s="31">
        <f>'FS Desroches Daily'!CL6</f>
        <v>590.00000000003183</v>
      </c>
      <c r="AW4" s="31">
        <f>'FS Desroches Daily'!CM6</f>
        <v>56.400000000001455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5.4944999999999995</v>
      </c>
      <c r="BC4" s="13">
        <f>'FS Desroches Daily'!CN6</f>
        <v>6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1600.0000000002678</v>
      </c>
      <c r="F5" s="32">
        <f>'FS Desroches Daily'!F7</f>
        <v>2499.9999999999468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1799.9999999998017</v>
      </c>
      <c r="J5" s="32">
        <f>'FS Desroches Daily'!N7</f>
        <v>900.0000000001229</v>
      </c>
      <c r="K5" s="13">
        <f>'FS Desroches Daily'!P7</f>
        <v>9</v>
      </c>
      <c r="L5" s="31">
        <f>'FS Desroches Daily'!R7</f>
        <v>1</v>
      </c>
      <c r="M5" s="31">
        <f>'FS Desroches Daily'!T7</f>
        <v>802</v>
      </c>
      <c r="N5" s="31">
        <f>'FS Desroches Daily'!V7</f>
        <v>358.80000000004657</v>
      </c>
      <c r="O5" s="31">
        <f>'FS Desroches Daily'!X8</f>
        <v>300.00000000001137</v>
      </c>
      <c r="P5" s="31">
        <f>'FS Desroches Daily'!Z7</f>
        <v>2699.9999999999245</v>
      </c>
      <c r="Q5" s="31">
        <f>'FS Desroches Daily'!AB7</f>
        <v>310.00000000000227</v>
      </c>
      <c r="R5" s="31">
        <f>'FS Desroches Daily'!AD7</f>
        <v>300.00000000001137</v>
      </c>
      <c r="S5" s="31">
        <f>'FS Desroches Daily'!AF7</f>
        <v>309.99999999994543</v>
      </c>
      <c r="T5" s="31">
        <f>'FS Desroches Daily'!AH7</f>
        <v>36</v>
      </c>
      <c r="U5" s="35">
        <f>'FS Desroches Daily'!AJ7</f>
        <v>500</v>
      </c>
      <c r="V5" s="35">
        <f>'FS Desroches Daily'!AL7</f>
        <v>270.00000000001023</v>
      </c>
      <c r="W5" s="35">
        <f>'FS Desroches Daily'!AN7</f>
        <v>139.99999999998636</v>
      </c>
      <c r="X5" s="35">
        <f>'FS Desroches Daily'!AP7</f>
        <v>109.99999999998522</v>
      </c>
      <c r="Y5" s="35">
        <f>'FS Desroches Daily'!AR7</f>
        <v>180.00000000000682</v>
      </c>
      <c r="Z5" s="35">
        <f>'FS Desroches Daily'!AT7</f>
        <v>199.99999999998863</v>
      </c>
      <c r="AA5" s="35">
        <f>'FS Desroches Daily'!AT7</f>
        <v>199.99999999998863</v>
      </c>
      <c r="AB5" s="35">
        <f>'FS Desroches Daily'!AV7</f>
        <v>40.000000000020464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30.000000000001137</v>
      </c>
      <c r="AF5" s="31">
        <f>'FS Desroches Daily'!BF7</f>
        <v>51</v>
      </c>
      <c r="AG5" s="32">
        <f>'FS Desroches Daily'!BH7</f>
        <v>40.000000000020464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28</v>
      </c>
      <c r="AM5" s="32">
        <f>'FS Desroches Daily'!BT7</f>
        <v>30.000000000001137</v>
      </c>
      <c r="AN5" s="32">
        <f>'FS Desroches Daily'!BV7</f>
        <v>44</v>
      </c>
      <c r="AO5" s="32">
        <f>'FS Desroches Daily'!BX7</f>
        <v>20.000000000010232</v>
      </c>
      <c r="AP5" s="32">
        <f>'FS Desroches Daily'!BZ7</f>
        <v>41</v>
      </c>
      <c r="AQ5" s="31">
        <f>'FS Desroches Daily'!CB7</f>
        <v>32.900000000001455</v>
      </c>
      <c r="AR5" s="31">
        <f>'FS Desroches Daily'!CD7</f>
        <v>10.200000000000728</v>
      </c>
      <c r="AS5" s="31">
        <f>'FS Desroches Daily'!CF7</f>
        <v>1.1000000000003638</v>
      </c>
      <c r="AT5" s="31">
        <f>'FS Desroches Daily'!CH7</f>
        <v>35</v>
      </c>
      <c r="AU5" s="31">
        <f>'FS Desroches Daily'!CJ7</f>
        <v>280</v>
      </c>
      <c r="AV5" s="31">
        <f>'FS Desroches Daily'!CL7</f>
        <v>659.99999999996817</v>
      </c>
      <c r="AW5" s="31">
        <f>'FS Desroches Daily'!CM7</f>
        <v>42.099999999998545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10.988999999999999</v>
      </c>
      <c r="BC5" s="13">
        <f>'FS Desroches Daily'!CN7</f>
        <v>6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2699.9999999999245</v>
      </c>
      <c r="F6" s="32">
        <f>'FS Desroches Daily'!F8</f>
        <v>4199.9999999999818</v>
      </c>
      <c r="G6" s="31">
        <f>'FS Desroches Daily'!H8</f>
        <v>3499.9999999998367</v>
      </c>
      <c r="H6" s="32">
        <f>'FS Desroches Daily'!J8</f>
        <v>1700.0000000000348</v>
      </c>
      <c r="I6" s="31">
        <f>'FS Desroches Daily'!L8</f>
        <v>2600.0000000001578</v>
      </c>
      <c r="J6" s="32">
        <f>'FS Desroches Daily'!N8</f>
        <v>1199.9999999998679</v>
      </c>
      <c r="K6" s="13">
        <f>'FS Desroches Daily'!P8</f>
        <v>0</v>
      </c>
      <c r="L6" s="31">
        <f>'FS Desroches Daily'!R8</f>
        <v>3</v>
      </c>
      <c r="M6" s="31">
        <f>'FS Desroches Daily'!T8</f>
        <v>558.39999999990687</v>
      </c>
      <c r="N6" s="31">
        <f>'FS Desroches Daily'!V8</f>
        <v>272.09999999997672</v>
      </c>
      <c r="O6" s="31">
        <f>'FS Desroches Daily'!X8</f>
        <v>300.00000000001137</v>
      </c>
      <c r="P6" s="31">
        <f>'FS Desroches Daily'!Z8</f>
        <v>2799.9999999996917</v>
      </c>
      <c r="Q6" s="31">
        <f>'FS Desroches Daily'!AB8</f>
        <v>199.99999999998863</v>
      </c>
      <c r="R6" s="31">
        <f>'FS Desroches Daily'!AD8</f>
        <v>259.99999999999091</v>
      </c>
      <c r="S6" s="31">
        <f>'FS Desroches Daily'!AF8</f>
        <v>250</v>
      </c>
      <c r="T6" s="31">
        <f>'FS Desroches Daily'!AH8</f>
        <v>37</v>
      </c>
      <c r="U6" s="35">
        <f>'FS Desroches Daily'!AJ8</f>
        <v>500</v>
      </c>
      <c r="V6" s="35">
        <f>'FS Desroches Daily'!AL8</f>
        <v>259.99999999999091</v>
      </c>
      <c r="W6" s="35">
        <f>'FS Desroches Daily'!AN8</f>
        <v>169.99999999998749</v>
      </c>
      <c r="X6" s="35">
        <f>'FS Desroches Daily'!AP8</f>
        <v>99.999999999994316</v>
      </c>
      <c r="Y6" s="35">
        <f>'FS Desroches Daily'!AR8</f>
        <v>139.99999999998636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30.000000000029559</v>
      </c>
      <c r="AC6" s="35">
        <f>'FS Desroches Daily'!AZ8</f>
        <v>29.999999999972715</v>
      </c>
      <c r="AD6" s="35">
        <f>'FS Desroches Daily'!BB8</f>
        <v>10.000000000047748</v>
      </c>
      <c r="AE6" s="35">
        <f>'FS Desroches Daily'!BD8</f>
        <v>20.000000000010232</v>
      </c>
      <c r="AF6" s="31">
        <f>'FS Desroches Daily'!BF8</f>
        <v>27</v>
      </c>
      <c r="AG6" s="32">
        <f>'FS Desroches Daily'!BH8</f>
        <v>9.9999999999909051</v>
      </c>
      <c r="AH6" s="32">
        <f>'FS Desroches Daily'!BJ8</f>
        <v>19.99999999998181</v>
      </c>
      <c r="AI6" s="32">
        <f>'FS Desroches Daily'!BL8</f>
        <v>30.000000000001137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25</v>
      </c>
      <c r="AM6" s="32">
        <f>'FS Desroches Daily'!BT8</f>
        <v>20.000000000010232</v>
      </c>
      <c r="AN6" s="32">
        <f>'FS Desroches Daily'!BV8</f>
        <v>43</v>
      </c>
      <c r="AO6" s="32">
        <f>'FS Desroches Daily'!BX8</f>
        <v>19.99999999998181</v>
      </c>
      <c r="AP6" s="32">
        <f>'FS Desroches Daily'!BZ8</f>
        <v>34</v>
      </c>
      <c r="AQ6" s="31">
        <f>'FS Desroches Daily'!CB8</f>
        <v>36.299999999999272</v>
      </c>
      <c r="AR6" s="31">
        <f>'FS Desroches Daily'!CD8</f>
        <v>7.8999999999996362</v>
      </c>
      <c r="AS6" s="31">
        <f>'FS Desroches Daily'!CF8</f>
        <v>5.5999999999994543</v>
      </c>
      <c r="AT6" s="31">
        <f>'FS Desroches Daily'!CH8</f>
        <v>39</v>
      </c>
      <c r="AU6" s="31">
        <f>'FS Desroches Daily'!CJ8</f>
        <v>269</v>
      </c>
      <c r="AV6" s="31">
        <f>'FS Desroches Daily'!CL8</f>
        <v>860.00000000001364</v>
      </c>
      <c r="AW6" s="31">
        <f>'FS Desroches Daily'!CM8</f>
        <v>89.5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1099.9999999996569</v>
      </c>
      <c r="F7" s="32">
        <f>'FS Desroches Daily'!F9</f>
        <v>1900.0000000000127</v>
      </c>
      <c r="G7" s="31">
        <f>'FS Desroches Daily'!H9</f>
        <v>1400.0000000002899</v>
      </c>
      <c r="H7" s="32">
        <f>'FS Desroches Daily'!J9</f>
        <v>899.99999999990087</v>
      </c>
      <c r="I7" s="31">
        <f>'FS Desroches Daily'!L9</f>
        <v>1399.9999999998458</v>
      </c>
      <c r="J7" s="32">
        <f>'FS Desroches Daily'!N9</f>
        <v>599.99999999993395</v>
      </c>
      <c r="K7" s="13">
        <f>'FS Desroches Daily'!P9</f>
        <v>19</v>
      </c>
      <c r="L7" s="31">
        <f>'FS Desroches Daily'!R9</f>
        <v>4</v>
      </c>
      <c r="M7" s="31">
        <f>'FS Desroches Daily'!T9</f>
        <v>690.40000000002328</v>
      </c>
      <c r="N7" s="31">
        <f>'FS Desroches Daily'!V9</f>
        <v>282</v>
      </c>
      <c r="O7" s="31">
        <f>'FS Desroches Daily'!X9</f>
        <v>319.99999999999318</v>
      </c>
      <c r="P7" s="31">
        <f>'FS Desroches Daily'!Z9</f>
        <v>2500.0000000003906</v>
      </c>
      <c r="Q7" s="31">
        <f>'FS Desroches Daily'!AB9</f>
        <v>370.00000000000455</v>
      </c>
      <c r="R7" s="31">
        <f>'FS Desroches Daily'!AD9</f>
        <v>250</v>
      </c>
      <c r="S7" s="31">
        <f>'FS Desroches Daily'!AF9</f>
        <v>279.99999999997272</v>
      </c>
      <c r="T7" s="31">
        <f>'FS Desroches Daily'!AH9</f>
        <v>34</v>
      </c>
      <c r="U7" s="35">
        <f>'FS Desroches Daily'!AJ9</f>
        <v>509.99999999999091</v>
      </c>
      <c r="V7" s="35">
        <f>'FS Desroches Daily'!AL9</f>
        <v>210.00000000000796</v>
      </c>
      <c r="W7" s="35">
        <f>'FS Desroches Daily'!AN9</f>
        <v>140.00000000001478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69.999999999993179</v>
      </c>
      <c r="AC7" s="35">
        <f>'FS Desroches Daily'!AZ9</f>
        <v>40.000000000020464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30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25</v>
      </c>
      <c r="AM7" s="32">
        <f>'FS Desroches Daily'!BT9</f>
        <v>19.99999999998181</v>
      </c>
      <c r="AN7" s="32">
        <f>'FS Desroches Daily'!BV9</f>
        <v>41</v>
      </c>
      <c r="AO7" s="32">
        <f>'FS Desroches Daily'!BX9</f>
        <v>30.000000000001137</v>
      </c>
      <c r="AP7" s="32">
        <f>'FS Desroches Daily'!BZ9</f>
        <v>36</v>
      </c>
      <c r="AQ7" s="31">
        <f>'FS Desroches Daily'!CB9</f>
        <v>34.799999999999272</v>
      </c>
      <c r="AR7" s="31">
        <f>'FS Desroches Daily'!CD9</f>
        <v>6.2999999999992724</v>
      </c>
      <c r="AS7" s="31">
        <f>'FS Desroches Daily'!CF9</f>
        <v>9</v>
      </c>
      <c r="AT7" s="31">
        <f>'FS Desroches Daily'!CH9</f>
        <v>38.5</v>
      </c>
      <c r="AU7" s="31">
        <f>'FS Desroches Daily'!CJ9</f>
        <v>280</v>
      </c>
      <c r="AV7" s="31">
        <f>'FS Desroches Daily'!CL9</f>
        <v>389.99999999998636</v>
      </c>
      <c r="AW7" s="31">
        <f>'FS Desroches Daily'!CM9</f>
        <v>47.400000000001455</v>
      </c>
      <c r="AX7" s="31">
        <f>IF(LPG!F14-LPG!F13&lt;0,"0",(LPG!F14-LPG!F13)*1.8315)</f>
        <v>7.3259999999999996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1700.0000000000348</v>
      </c>
      <c r="F8" s="32">
        <f>'FS Desroches Daily'!F10</f>
        <v>2499.9999999999468</v>
      </c>
      <c r="G8" s="31">
        <f>'FS Desroches Daily'!H10</f>
        <v>2299.9999999999686</v>
      </c>
      <c r="H8" s="32">
        <f>'FS Desroches Daily'!J10</f>
        <v>1100.000000000101</v>
      </c>
      <c r="I8" s="31">
        <f>'FS Desroches Daily'!L10</f>
        <v>1800.0000000002458</v>
      </c>
      <c r="J8" s="32">
        <f>'FS Desroches Daily'!N10</f>
        <v>1100.000000000101</v>
      </c>
      <c r="K8" s="13">
        <f>'FS Desroches Daily'!P10</f>
        <v>15</v>
      </c>
      <c r="L8" s="31">
        <f>'FS Desroches Daily'!R10</f>
        <v>3</v>
      </c>
      <c r="M8" s="31">
        <f>'FS Desroches Daily'!T10</f>
        <v>874.80000000004657</v>
      </c>
      <c r="N8" s="31">
        <f>'FS Desroches Daily'!V10</f>
        <v>340.79999999998836</v>
      </c>
      <c r="O8" s="31">
        <f>'FS Desroches Daily'!X10</f>
        <v>319.99999999999318</v>
      </c>
      <c r="P8" s="31">
        <f>'FS Desroches Daily'!Z10</f>
        <v>2499.9999999999468</v>
      </c>
      <c r="Q8" s="31">
        <f>'FS Desroches Daily'!AB10</f>
        <v>399.99999999997726</v>
      </c>
      <c r="R8" s="31">
        <f>'FS Desroches Daily'!AD10</f>
        <v>259.99999999999091</v>
      </c>
      <c r="S8" s="31">
        <f>'FS Desroches Daily'!AF10</f>
        <v>330.00000000004093</v>
      </c>
      <c r="T8" s="31">
        <f>'FS Desroches Daily'!AH10</f>
        <v>35</v>
      </c>
      <c r="U8" s="35">
        <f>'FS Desroches Daily'!AJ10</f>
        <v>409.99999999996817</v>
      </c>
      <c r="V8" s="35">
        <f>'FS Desroches Daily'!AL10</f>
        <v>189.99999999999773</v>
      </c>
      <c r="W8" s="35">
        <f>'FS Desroches Daily'!AN10</f>
        <v>180.00000000000682</v>
      </c>
      <c r="X8" s="35">
        <f>'FS Desroches Daily'!AP10</f>
        <v>79.999999999984084</v>
      </c>
      <c r="Y8" s="35">
        <f>'FS Desroches Daily'!AR10</f>
        <v>129.99999999999545</v>
      </c>
      <c r="Z8" s="35">
        <f>'FS Desroches Daily'!AT10</f>
        <v>230.00000000001819</v>
      </c>
      <c r="AA8" s="35">
        <f>'FS Desroches Daily'!AT10</f>
        <v>230.00000000001819</v>
      </c>
      <c r="AB8" s="35">
        <f>'FS Desroches Daily'!AV10</f>
        <v>60.000000000002274</v>
      </c>
      <c r="AC8" s="35">
        <f>'FS Desroches Daily'!AZ10</f>
        <v>39.99999999996362</v>
      </c>
      <c r="AD8" s="35">
        <f>'FS Desroches Daily'!BB10</f>
        <v>19.99999999998181</v>
      </c>
      <c r="AE8" s="35">
        <f>'FS Desroches Daily'!BD10</f>
        <v>30.000000000001137</v>
      </c>
      <c r="AF8" s="31">
        <f>'FS Desroches Daily'!BF10</f>
        <v>13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30.000000000001137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26</v>
      </c>
      <c r="AM8" s="32">
        <f>'FS Desroches Daily'!BT10</f>
        <v>30.000000000001137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41</v>
      </c>
      <c r="AQ8" s="31">
        <f>'FS Desroches Daily'!CB10</f>
        <v>24.900000000001455</v>
      </c>
      <c r="AR8" s="31">
        <f>'FS Desroches Daily'!CD10</f>
        <v>6.8000000000010914</v>
      </c>
      <c r="AS8" s="31">
        <f>'FS Desroches Daily'!CF10</f>
        <v>1.3000000000001819</v>
      </c>
      <c r="AT8" s="31">
        <f>'FS Desroches Daily'!CH10</f>
        <v>31.200000000004366</v>
      </c>
      <c r="AU8" s="31">
        <f>'FS Desroches Daily'!CJ10</f>
        <v>302</v>
      </c>
      <c r="AV8" s="31">
        <f>'FS Desroches Daily'!CL10</f>
        <v>759.99999999999091</v>
      </c>
      <c r="AW8" s="31">
        <f>'FS Desroches Daily'!CM10</f>
        <v>67.099999999998545</v>
      </c>
      <c r="AX8" s="31">
        <f>IF(LPG!F16-LPG!F14&lt;0,"0",(LPG!F16-LPG!F14)*1.8315)</f>
        <v>16.483499999999999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9.1574999999999989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1700.0000000000348</v>
      </c>
      <c r="F9" s="32">
        <f>'FS Desroches Daily'!F11</f>
        <v>3000.0000000001137</v>
      </c>
      <c r="G9" s="31">
        <f>'FS Desroches Daily'!H11</f>
        <v>2799.9999999996917</v>
      </c>
      <c r="H9" s="32">
        <f>'FS Desroches Daily'!J11</f>
        <v>1299.9999999998568</v>
      </c>
      <c r="I9" s="31">
        <f>'FS Desroches Daily'!L11</f>
        <v>1999.9999999997797</v>
      </c>
      <c r="J9" s="32">
        <f>'FS Desroches Daily'!N11</f>
        <v>899.99999999990087</v>
      </c>
      <c r="K9" s="13">
        <f>'FS Desroches Daily'!P11</f>
        <v>9</v>
      </c>
      <c r="L9" s="31">
        <f>'FS Desroches Daily'!R11</f>
        <v>3</v>
      </c>
      <c r="M9" s="31">
        <f>'FS Desroches Daily'!T11</f>
        <v>884.19999999995343</v>
      </c>
      <c r="N9" s="31">
        <f>'FS Desroches Daily'!V11</f>
        <v>339.60000000003492</v>
      </c>
      <c r="O9" s="31">
        <f>'FS Desroches Daily'!X11</f>
        <v>320.00000000005002</v>
      </c>
      <c r="P9" s="31">
        <f>'FS Desroches Daily'!Z11</f>
        <v>2699.9999999999245</v>
      </c>
      <c r="Q9" s="31">
        <f>'FS Desroches Daily'!AB11</f>
        <v>240.00000000000909</v>
      </c>
      <c r="R9" s="31">
        <f>'FS Desroches Daily'!AD11</f>
        <v>240.00000000000909</v>
      </c>
      <c r="S9" s="31">
        <f>'FS Desroches Daily'!AF11</f>
        <v>330.00000000004093</v>
      </c>
      <c r="T9" s="31">
        <f>'FS Desroches Daily'!AH11</f>
        <v>32</v>
      </c>
      <c r="U9" s="35">
        <f>'FS Desroches Daily'!AJ11</f>
        <v>400.00000000009095</v>
      </c>
      <c r="V9" s="35">
        <f>'FS Desroches Daily'!AL11</f>
        <v>189.99999999999773</v>
      </c>
      <c r="W9" s="35">
        <f>'FS Desroches Daily'!AN11</f>
        <v>169.99999999998749</v>
      </c>
      <c r="X9" s="35">
        <f>'FS Desroches Daily'!AP11</f>
        <v>120.00000000000455</v>
      </c>
      <c r="Y9" s="35">
        <f>'FS Desroches Daily'!AR11</f>
        <v>120.00000000000455</v>
      </c>
      <c r="Z9" s="35">
        <f>'FS Desroches Daily'!AT11</f>
        <v>189.99999999999773</v>
      </c>
      <c r="AA9" s="35">
        <f>'FS Desroches Daily'!AT11</f>
        <v>189.99999999999773</v>
      </c>
      <c r="AB9" s="35">
        <f>'FS Desroches Daily'!AV11</f>
        <v>60.000000000002274</v>
      </c>
      <c r="AC9" s="35">
        <f>'FS Desroches Daily'!AZ11</f>
        <v>50.000000000011369</v>
      </c>
      <c r="AD9" s="35">
        <f>'FS Desroches Daily'!BB11</f>
        <v>30.000000000029559</v>
      </c>
      <c r="AE9" s="35">
        <f>'FS Desroches Daily'!BD11</f>
        <v>30.000000000001137</v>
      </c>
      <c r="AF9" s="31">
        <f>'FS Desroches Daily'!BF11</f>
        <v>30</v>
      </c>
      <c r="AG9" s="32">
        <f>'FS Desroches Daily'!BH11</f>
        <v>39.999999999992042</v>
      </c>
      <c r="AH9" s="32">
        <f>'FS Desroches Daily'!BJ11</f>
        <v>20.000000000038654</v>
      </c>
      <c r="AI9" s="32">
        <f>'FS Desroches Daily'!BL11</f>
        <v>30.000000000001137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19</v>
      </c>
      <c r="AM9" s="32">
        <f>'FS Desroches Daily'!BT11</f>
        <v>20.000000000010232</v>
      </c>
      <c r="AN9" s="32">
        <f>'FS Desroches Daily'!BV11</f>
        <v>40</v>
      </c>
      <c r="AO9" s="32">
        <f>'FS Desroches Daily'!BX11</f>
        <v>20.000000000010232</v>
      </c>
      <c r="AP9" s="32">
        <f>'FS Desroches Daily'!BZ11</f>
        <v>31</v>
      </c>
      <c r="AQ9" s="31">
        <f>'FS Desroches Daily'!CB11</f>
        <v>16.099999999998545</v>
      </c>
      <c r="AR9" s="31">
        <f>'FS Desroches Daily'!CD11</f>
        <v>9.1999999999989086</v>
      </c>
      <c r="AS9" s="31">
        <f>'FS Desroches Daily'!CF11</f>
        <v>8.8999999999996362</v>
      </c>
      <c r="AT9" s="31">
        <f>'FS Desroches Daily'!CH11</f>
        <v>31.599999999998545</v>
      </c>
      <c r="AU9" s="31">
        <f>'FS Desroches Daily'!CJ11</f>
        <v>231</v>
      </c>
      <c r="AV9" s="31">
        <f>'FS Desroches Daily'!CL11</f>
        <v>730.00000000001819</v>
      </c>
      <c r="AW9" s="31">
        <f>'FS Desroches Daily'!CM11</f>
        <v>69.100000000000364</v>
      </c>
      <c r="AX9" s="31">
        <f>IF(LPG!F17-LPG!F15&lt;0,"0",(LPG!F17-LPG!F15)*1.8315)</f>
        <v>14.651999999999999</v>
      </c>
      <c r="AY9" s="31">
        <f>IF(LPG!H17-LPG!H15&lt;0,"0",(LPG!H17-LPG!H15)*1.8315)</f>
        <v>5.4944999999999995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2000.0000000002237</v>
      </c>
      <c r="F10" s="32">
        <f>'FS Desroches Daily'!F12</f>
        <v>2799.9999999996917</v>
      </c>
      <c r="G10" s="31">
        <f>'FS Desroches Daily'!H12</f>
        <v>2600.0000000001578</v>
      </c>
      <c r="H10" s="32">
        <f>'FS Desroches Daily'!J12</f>
        <v>1200.0000000000898</v>
      </c>
      <c r="I10" s="31">
        <f>'FS Desroches Daily'!L12</f>
        <v>2000.0000000002237</v>
      </c>
      <c r="J10" s="32">
        <f>'FS Desroches Daily'!N12</f>
        <v>1000.0000000001119</v>
      </c>
      <c r="K10" s="13">
        <f>'FS Desroches Daily'!P12</f>
        <v>9</v>
      </c>
      <c r="L10" s="31">
        <f>'FS Desroches Daily'!R12</f>
        <v>3</v>
      </c>
      <c r="M10" s="31">
        <f>'FS Desroches Daily'!T12</f>
        <v>692.40000000002328</v>
      </c>
      <c r="N10" s="31">
        <f>'FS Desroches Daily'!V12</f>
        <v>306.19999999995343</v>
      </c>
      <c r="O10" s="31">
        <f>'FS Desroches Daily'!X12</f>
        <v>319.99999999999318</v>
      </c>
      <c r="P10" s="31">
        <f>'FS Desroches Daily'!Z12</f>
        <v>2499.9999999999468</v>
      </c>
      <c r="Q10" s="31">
        <f>'FS Desroches Daily'!AB12</f>
        <v>350.00000000002274</v>
      </c>
      <c r="R10" s="31">
        <f>'FS Desroches Daily'!AD12</f>
        <v>289.99999999996362</v>
      </c>
      <c r="S10" s="31">
        <f>'FS Desroches Daily'!AF12</f>
        <v>329.99999999992724</v>
      </c>
      <c r="T10" s="31">
        <f>'FS Desroches Daily'!AH12</f>
        <v>33</v>
      </c>
      <c r="U10" s="35">
        <f>'FS Desroches Daily'!AJ12</f>
        <v>519.99999999998181</v>
      </c>
      <c r="V10" s="35">
        <f>'FS Desroches Daily'!AL12</f>
        <v>180.00000000000682</v>
      </c>
      <c r="W10" s="35">
        <f>'FS Desroches Daily'!AN12</f>
        <v>180.00000000000682</v>
      </c>
      <c r="X10" s="35">
        <f>'FS Desroches Daily'!AP12</f>
        <v>129.99999999999545</v>
      </c>
      <c r="Y10" s="35">
        <f>'FS Desroches Daily'!AR12</f>
        <v>129.99999999999545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31</v>
      </c>
      <c r="AG10" s="32">
        <f>'FS Desroches Daily'!BH12</f>
        <v>30.000000000001137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17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30.000000000001137</v>
      </c>
      <c r="AP10" s="32">
        <f>'FS Desroches Daily'!BZ12</f>
        <v>30</v>
      </c>
      <c r="AQ10" s="31">
        <f>'FS Desroches Daily'!CB12</f>
        <v>31.299999999999272</v>
      </c>
      <c r="AR10" s="31">
        <f>'FS Desroches Daily'!CD12</f>
        <v>6.5</v>
      </c>
      <c r="AS10" s="31">
        <f>'FS Desroches Daily'!CF12</f>
        <v>2</v>
      </c>
      <c r="AT10" s="31">
        <f>'FS Desroches Daily'!CH12</f>
        <v>37.900000000001455</v>
      </c>
      <c r="AU10" s="31">
        <f>'FS Desroches Daily'!CJ12</f>
        <v>317</v>
      </c>
      <c r="AV10" s="31">
        <f>'FS Desroches Daily'!CL12</f>
        <v>769.99999999998181</v>
      </c>
      <c r="AW10" s="31">
        <f>'FS Desroches Daily'!CM12</f>
        <v>73.100000000000364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5.4944999999999995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1999.9999999997797</v>
      </c>
      <c r="F11" s="32">
        <f>'FS Desroches Daily'!F13</f>
        <v>2800.0000000001355</v>
      </c>
      <c r="G11" s="31">
        <f>'FS Desroches Daily'!H13</f>
        <v>2600.0000000001578</v>
      </c>
      <c r="H11" s="32">
        <f>'FS Desroches Daily'!J13</f>
        <v>1199.9999999998679</v>
      </c>
      <c r="I11" s="31">
        <f>'FS Desroches Daily'!L13</f>
        <v>2099.9999999999909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3</v>
      </c>
      <c r="M11" s="31">
        <f>'FS Desroches Daily'!T13</f>
        <v>678.5</v>
      </c>
      <c r="N11" s="31">
        <f>'FS Desroches Daily'!V13</f>
        <v>291.70000000001164</v>
      </c>
      <c r="O11" s="31">
        <f>'FS Desroches Daily'!X13</f>
        <v>339.99999999997499</v>
      </c>
      <c r="P11" s="31">
        <f>'FS Desroches Daily'!Z13</f>
        <v>2400.0000000001796</v>
      </c>
      <c r="Q11" s="31">
        <f>'FS Desroches Daily'!AB13</f>
        <v>170.00000000001592</v>
      </c>
      <c r="R11" s="31">
        <f>'FS Desroches Daily'!AD13</f>
        <v>280.00000000002956</v>
      </c>
      <c r="S11" s="31">
        <f>'FS Desroches Daily'!AF13</f>
        <v>269.99999999998181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189.99999999999773</v>
      </c>
      <c r="W11" s="35">
        <f>'FS Desroches Daily'!AN13</f>
        <v>189.99999999999773</v>
      </c>
      <c r="X11" s="35">
        <f>'FS Desroches Daily'!AP13</f>
        <v>110.00000000001364</v>
      </c>
      <c r="Y11" s="35">
        <f>'FS Desroches Daily'!AR13</f>
        <v>120.00000000000455</v>
      </c>
      <c r="Z11" s="35">
        <f>'FS Desroches Daily'!AT13</f>
        <v>210.00000000003638</v>
      </c>
      <c r="AA11" s="35">
        <f>'FS Desroches Daily'!AT13</f>
        <v>210.00000000003638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40.000000000020464</v>
      </c>
      <c r="AE11" s="35">
        <f>'FS Desroches Daily'!BD13</f>
        <v>30.000000000001137</v>
      </c>
      <c r="AF11" s="31">
        <f>'FS Desroches Daily'!BF13</f>
        <v>31</v>
      </c>
      <c r="AG11" s="32">
        <f>'FS Desroches Daily'!BH13</f>
        <v>30.000000000001137</v>
      </c>
      <c r="AH11" s="32">
        <f>'FS Desroches Daily'!BJ13</f>
        <v>9.9999999999909051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30.000000000029559</v>
      </c>
      <c r="AL11" s="32">
        <f>'FS Desroches Daily'!BR13</f>
        <v>18</v>
      </c>
      <c r="AM11" s="32">
        <f>'FS Desroches Daily'!BT13</f>
        <v>20.000000000010232</v>
      </c>
      <c r="AN11" s="32">
        <f>'FS Desroches Daily'!BV13</f>
        <v>43</v>
      </c>
      <c r="AO11" s="32">
        <f>'FS Desroches Daily'!BX13</f>
        <v>19.99999999998181</v>
      </c>
      <c r="AP11" s="32">
        <f>'FS Desroches Daily'!BZ13</f>
        <v>34</v>
      </c>
      <c r="AQ11" s="31">
        <f>'FS Desroches Daily'!CB13</f>
        <v>26.200000000000728</v>
      </c>
      <c r="AR11" s="31">
        <f>'FS Desroches Daily'!CD13</f>
        <v>6.6000000000003638</v>
      </c>
      <c r="AS11" s="31">
        <f>'FS Desroches Daily'!CF13</f>
        <v>5.6000000000003638</v>
      </c>
      <c r="AT11" s="31">
        <f>'FS Desroches Daily'!CH13</f>
        <v>30.099999999998545</v>
      </c>
      <c r="AU11" s="31">
        <f>'FS Desroches Daily'!CJ13</f>
        <v>267</v>
      </c>
      <c r="AV11" s="31">
        <f>'FS Desroches Daily'!CL13</f>
        <v>649.99999999997726</v>
      </c>
      <c r="AW11" s="31">
        <f>'FS Desroches Daily'!CM13</f>
        <v>67</v>
      </c>
      <c r="AX11" s="31">
        <f>IF(LPG!F18-LPG!F17&lt;0,"0",(LPG!F18-LPG!F17)*1.8315)</f>
        <v>9.1574999999999989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5.4944999999999995</v>
      </c>
      <c r="BB11" s="31">
        <f>IF(LPG!Q18-LPG!Q17&lt;0,"0",(LPG!Q18-LPG!Q17)*1.8315)</f>
        <v>3.6629999999999998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2900.0000000003465</v>
      </c>
      <c r="F12" s="32">
        <f>'FS Desroches Daily'!F14</f>
        <v>4099.9999999997708</v>
      </c>
      <c r="G12" s="31">
        <f>'FS Desroches Daily'!H14</f>
        <v>3899.9999999997926</v>
      </c>
      <c r="H12" s="32">
        <f>'FS Desroches Daily'!J14</f>
        <v>1800.0000000000239</v>
      </c>
      <c r="I12" s="31">
        <f>'FS Desroches Daily'!L14</f>
        <v>3000.0000000001137</v>
      </c>
      <c r="J12" s="32">
        <f>'FS Desroches Daily'!N14</f>
        <v>1600.0000000000459</v>
      </c>
      <c r="K12" s="13">
        <f>'FS Desroches Daily'!P14</f>
        <v>0</v>
      </c>
      <c r="L12" s="31">
        <f>'FS Desroches Daily'!R14</f>
        <v>2</v>
      </c>
      <c r="M12" s="31">
        <f>'FS Desroches Daily'!T14</f>
        <v>677.5</v>
      </c>
      <c r="N12" s="31">
        <f>'FS Desroches Daily'!V14</f>
        <v>284.70000000001164</v>
      </c>
      <c r="O12" s="31">
        <f>'FS Desroches Daily'!X14</f>
        <v>319.99999999999318</v>
      </c>
      <c r="P12" s="31">
        <f>'FS Desroches Daily'!Z14</f>
        <v>2299.9999999999686</v>
      </c>
      <c r="Q12" s="31">
        <f>'FS Desroches Daily'!AB14</f>
        <v>359.9999999999568</v>
      </c>
      <c r="R12" s="31">
        <f>'FS Desroches Daily'!AD14</f>
        <v>279.99999999997272</v>
      </c>
      <c r="S12" s="31">
        <f>'FS Desroches Daily'!AF14</f>
        <v>310.00000000005912</v>
      </c>
      <c r="T12" s="31">
        <f>'FS Desroches Daily'!AH14</f>
        <v>31</v>
      </c>
      <c r="U12" s="35">
        <f>'FS Desroches Daily'!AJ14</f>
        <v>480.00000000001819</v>
      </c>
      <c r="V12" s="35">
        <f>'FS Desroches Daily'!AL14</f>
        <v>139.99999999998636</v>
      </c>
      <c r="W12" s="35">
        <f>'FS Desroches Daily'!AN14</f>
        <v>189.99999999999773</v>
      </c>
      <c r="X12" s="35">
        <f>'FS Desroches Daily'!AP14</f>
        <v>90.000000000003411</v>
      </c>
      <c r="Y12" s="35">
        <f>'FS Desroches Daily'!AR14</f>
        <v>90.000000000003411</v>
      </c>
      <c r="Z12" s="35">
        <f>'FS Desroches Daily'!AT14</f>
        <v>179.99999999994998</v>
      </c>
      <c r="AA12" s="35">
        <f>'FS Desroches Daily'!AT14</f>
        <v>179.99999999994998</v>
      </c>
      <c r="AB12" s="35">
        <f>'FS Desroches Daily'!AV14</f>
        <v>79.999999999984084</v>
      </c>
      <c r="AC12" s="35">
        <f>'FS Desroches Daily'!AZ14</f>
        <v>39.99999999996362</v>
      </c>
      <c r="AD12" s="35">
        <f>'FS Desroches Daily'!BB14</f>
        <v>19.99999999998181</v>
      </c>
      <c r="AE12" s="35">
        <f>'FS Desroches Daily'!BD14</f>
        <v>30.000000000001137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30.000000000001137</v>
      </c>
      <c r="AJ12" s="32">
        <f>'FS Desroches Daily'!BN14</f>
        <v>40.000000000020464</v>
      </c>
      <c r="AK12" s="32">
        <f>'FS Desroches Daily'!BP14</f>
        <v>29.999999999972715</v>
      </c>
      <c r="AL12" s="32">
        <f>'FS Desroches Daily'!BR14</f>
        <v>17</v>
      </c>
      <c r="AM12" s="32">
        <f>'FS Desroches Daily'!BT14</f>
        <v>19.99999999998181</v>
      </c>
      <c r="AN12" s="32">
        <f>'FS Desroches Daily'!BV14</f>
        <v>41</v>
      </c>
      <c r="AO12" s="32">
        <f>'FS Desroches Daily'!BX14</f>
        <v>20.000000000010232</v>
      </c>
      <c r="AP12" s="32">
        <f>'FS Desroches Daily'!BZ14</f>
        <v>29</v>
      </c>
      <c r="AQ12" s="31">
        <f>'FS Desroches Daily'!CB14</f>
        <v>27.099999999998545</v>
      </c>
      <c r="AR12" s="31">
        <f>'FS Desroches Daily'!CD14</f>
        <v>7.3999999999996362</v>
      </c>
      <c r="AS12" s="31">
        <f>'FS Desroches Daily'!CF14</f>
        <v>2</v>
      </c>
      <c r="AT12" s="31">
        <f>'FS Desroches Daily'!CH14</f>
        <v>31.099999999998545</v>
      </c>
      <c r="AU12" s="31">
        <f>'FS Desroches Daily'!CJ14</f>
        <v>276</v>
      </c>
      <c r="AV12" s="31">
        <f>'FS Desroches Daily'!CL14</f>
        <v>870.00000000000455</v>
      </c>
      <c r="AW12" s="31">
        <f>'FS Desroches Daily'!CM14</f>
        <v>95.299999999999272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1.8314999999999999</v>
      </c>
      <c r="BA12" s="31">
        <f>IF(LPG!M19-LPG!M18&lt;0,"0",(LPG!M19-LPG!M18)*1.8315)</f>
        <v>0</v>
      </c>
      <c r="BB12" s="31">
        <f>IF(LPG!Q20-LPG!Q18&lt;0,"0",(LPG!Q20-LPG!Q18)*1.8315)</f>
        <v>20.1465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>
        <f>'FS Desroches Daily'!D15</f>
        <v>899.99999999967883</v>
      </c>
      <c r="F13" s="32">
        <f>'FS Desroches Daily'!F15</f>
        <v>1300.0000000000789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1099.9999999996569</v>
      </c>
      <c r="J13" s="32">
        <f>'FS Desroches Daily'!N15</f>
        <v>299.99999999996697</v>
      </c>
      <c r="K13" s="13">
        <f>'FS Desroches Daily'!P15</f>
        <v>15</v>
      </c>
      <c r="L13" s="31">
        <f>'FS Desroches Daily'!R15</f>
        <v>3</v>
      </c>
      <c r="M13" s="31">
        <f>'FS Desroches Daily'!T15</f>
        <v>865.59999999997672</v>
      </c>
      <c r="N13" s="31">
        <f>'FS Desroches Daily'!V15</f>
        <v>311.09999999997672</v>
      </c>
      <c r="O13" s="31">
        <f>'FS Desroches Daily'!X15</f>
        <v>280.00000000002956</v>
      </c>
      <c r="P13" s="31">
        <f>'FS Desroches Daily'!Z15</f>
        <v>2399.9999999997358</v>
      </c>
      <c r="Q13" s="31">
        <f>'FS Desroches Daily'!AB15</f>
        <v>200.00000000004547</v>
      </c>
      <c r="R13" s="31">
        <f>'FS Desroches Daily'!AD15</f>
        <v>260.00000000004775</v>
      </c>
      <c r="S13" s="31">
        <f>'FS Desroches Daily'!AF15</f>
        <v>340.00000000003183</v>
      </c>
      <c r="T13" s="31">
        <f>'FS Desroches Daily'!AH15</f>
        <v>36</v>
      </c>
      <c r="U13" s="35">
        <f>'FS Desroches Daily'!AJ15</f>
        <v>579.99999999992724</v>
      </c>
      <c r="V13" s="35">
        <f>'FS Desroches Daily'!AL15</f>
        <v>170.00000000001592</v>
      </c>
      <c r="W13" s="35">
        <f>'FS Desroches Daily'!AN15</f>
        <v>129.99999999999545</v>
      </c>
      <c r="X13" s="35">
        <f>'FS Desroches Daily'!AP15</f>
        <v>79.999999999984084</v>
      </c>
      <c r="Y13" s="35">
        <f>'FS Desroches Daily'!AR15</f>
        <v>159.99999999999659</v>
      </c>
      <c r="Z13" s="35">
        <f>'FS Desroches Daily'!AT15</f>
        <v>230.00000000001819</v>
      </c>
      <c r="AA13" s="35">
        <f>'FS Desroches Daily'!AT15</f>
        <v>230.00000000001819</v>
      </c>
      <c r="AB13" s="35">
        <f>'FS Desroches Daily'!AV15</f>
        <v>79.999999999984084</v>
      </c>
      <c r="AC13" s="35">
        <f>'FS Desroches Daily'!AZ15</f>
        <v>30.000000000029559</v>
      </c>
      <c r="AD13" s="35">
        <f>'FS Desroches Daily'!BB15</f>
        <v>40.000000000020464</v>
      </c>
      <c r="AE13" s="35">
        <f>'FS Desroches Daily'!BD15</f>
        <v>30.000000000001137</v>
      </c>
      <c r="AF13" s="31">
        <f>'FS Desroches Daily'!BF15</f>
        <v>38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24</v>
      </c>
      <c r="AM13" s="32">
        <f>'FS Desroches Daily'!BT15</f>
        <v>30.000000000001137</v>
      </c>
      <c r="AN13" s="32">
        <f>'FS Desroches Daily'!BV15</f>
        <v>42</v>
      </c>
      <c r="AO13" s="32">
        <f>'FS Desroches Daily'!BX15</f>
        <v>30.000000000001137</v>
      </c>
      <c r="AP13" s="32">
        <f>'FS Desroches Daily'!BZ15</f>
        <v>46</v>
      </c>
      <c r="AQ13" s="31">
        <f>'FS Desroches Daily'!CB15</f>
        <v>33.400000000001455</v>
      </c>
      <c r="AR13" s="31">
        <f>'FS Desroches Daily'!CD15</f>
        <v>7.2000000000007276</v>
      </c>
      <c r="AS13" s="31">
        <f>'FS Desroches Daily'!CF15</f>
        <v>2</v>
      </c>
      <c r="AT13" s="31">
        <f>'FS Desroches Daily'!CH15</f>
        <v>30.19999999999709</v>
      </c>
      <c r="AU13" s="31">
        <f>'FS Desroches Daily'!CJ15</f>
        <v>286</v>
      </c>
      <c r="AV13" s="31">
        <f>'FS Desroches Daily'!CL15</f>
        <v>460.00000000003638</v>
      </c>
      <c r="AW13" s="31">
        <f>'FS Desroches Daily'!CM15</f>
        <v>30.800000000001091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5.4944999999999995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2200.0000000002019</v>
      </c>
      <c r="F14" s="32">
        <f>'FS Desroches Daily'!F16</f>
        <v>3100.0000000003247</v>
      </c>
      <c r="G14" s="31">
        <f>'FS Desroches Daily'!H16</f>
        <v>2800.0000000001355</v>
      </c>
      <c r="H14" s="32">
        <f>'FS Desroches Daily'!J16</f>
        <v>1399.9999999998458</v>
      </c>
      <c r="I14" s="31">
        <f>'FS Desroches Daily'!L16</f>
        <v>2299.9999999999686</v>
      </c>
      <c r="J14" s="32">
        <f>'FS Desroches Daily'!N16</f>
        <v>1100.000000000101</v>
      </c>
      <c r="K14" s="13">
        <f>'FS Desroches Daily'!P16</f>
        <v>8</v>
      </c>
      <c r="L14" s="31">
        <f>'FS Desroches Daily'!R16</f>
        <v>3</v>
      </c>
      <c r="M14" s="31">
        <f>'FS Desroches Daily'!T16</f>
        <v>496.40000000002328</v>
      </c>
      <c r="N14" s="31">
        <f>'FS Desroches Daily'!V16</f>
        <v>266.20000000001164</v>
      </c>
      <c r="O14" s="31">
        <f>'FS Desroches Daily'!X16</f>
        <v>569.99999999999318</v>
      </c>
      <c r="P14" s="31">
        <f>'FS Desroches Daily'!Z16</f>
        <v>2499.9999999999468</v>
      </c>
      <c r="Q14" s="31">
        <f>'FS Desroches Daily'!AB16</f>
        <v>329.99999999998408</v>
      </c>
      <c r="R14" s="31">
        <f>'FS Desroches Daily'!AD16</f>
        <v>250</v>
      </c>
      <c r="S14" s="31">
        <f>'FS Desroches Daily'!AF16</f>
        <v>279.99999999997272</v>
      </c>
      <c r="T14" s="31">
        <f>'FS Desroches Daily'!AH16</f>
        <v>35</v>
      </c>
      <c r="U14" s="35">
        <f>'FS Desroches Daily'!AJ16</f>
        <v>570.00000000005002</v>
      </c>
      <c r="V14" s="35">
        <f>'FS Desroches Daily'!AL16</f>
        <v>169.99999999998749</v>
      </c>
      <c r="W14" s="35">
        <f>'FS Desroches Daily'!AN16</f>
        <v>129.99999999999545</v>
      </c>
      <c r="X14" s="35">
        <f>'FS Desroches Daily'!AP16</f>
        <v>100.00000000002274</v>
      </c>
      <c r="Y14" s="35">
        <f>'FS Desroches Daily'!AR16</f>
        <v>210.00000000000796</v>
      </c>
      <c r="Z14" s="35">
        <f>'FS Desroches Daily'!AT16</f>
        <v>220.00000000002728</v>
      </c>
      <c r="AA14" s="35">
        <f>'FS Desroches Daily'!AT16</f>
        <v>220.00000000002728</v>
      </c>
      <c r="AB14" s="35">
        <f>'FS Desroches Daily'!AV16</f>
        <v>90.000000000031832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45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20</v>
      </c>
      <c r="AM14" s="32">
        <f>'FS Desroches Daily'!BT16</f>
        <v>20.000000000010232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35.400000000001455</v>
      </c>
      <c r="AR14" s="31">
        <f>'FS Desroches Daily'!CD16</f>
        <v>7</v>
      </c>
      <c r="AS14" s="31">
        <f>'FS Desroches Daily'!CF16</f>
        <v>10</v>
      </c>
      <c r="AT14" s="31">
        <f>'FS Desroches Daily'!CH16</f>
        <v>37.900000000001455</v>
      </c>
      <c r="AU14" s="31">
        <f>'FS Desroches Daily'!CJ16</f>
        <v>270</v>
      </c>
      <c r="AV14" s="31">
        <f>'FS Desroches Daily'!CL16</f>
        <v>820.00000000005002</v>
      </c>
      <c r="AW14" s="31">
        <f>'FS Desroches Daily'!CM16</f>
        <v>69.799999999999272</v>
      </c>
      <c r="AX14" s="31">
        <f>IF(LPG!F21-LPG!G21&lt;0,"0",(LPG!F21-LPG!G21)*1.8315)</f>
        <v>9686.8035</v>
      </c>
      <c r="AY14" s="31">
        <f>IF(LPG!H21-LPG!H20&lt;0,"0",(LPG!H21-LPG!H20)*1.8315)</f>
        <v>5.4944999999999995</v>
      </c>
      <c r="AZ14" s="31">
        <f>IF(LPG!J21-LPG!J20&lt;0,"0",(LPG!J21-LPG!J20)*1.8315)</f>
        <v>1.8314999999999999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1799.9999999998017</v>
      </c>
      <c r="F15" s="32">
        <f>'FS Desroches Daily'!F17</f>
        <v>2399.9999999997358</v>
      </c>
      <c r="G15" s="31">
        <f>'FS Desroches Daily'!H17</f>
        <v>2199.9999999997576</v>
      </c>
      <c r="H15" s="32">
        <f>'FS Desroches Daily'!J17</f>
        <v>1200.0000000000898</v>
      </c>
      <c r="I15" s="31">
        <f>'FS Desroches Daily'!L17</f>
        <v>1800.0000000002458</v>
      </c>
      <c r="J15" s="32">
        <f>'FS Desroches Daily'!N17</f>
        <v>899.99999999990087</v>
      </c>
      <c r="K15" s="13">
        <f>'FS Desroches Daily'!P17</f>
        <v>7</v>
      </c>
      <c r="L15" s="31">
        <f>'FS Desroches Daily'!R17</f>
        <v>3</v>
      </c>
      <c r="M15" s="31">
        <f>'FS Desroches Daily'!T17</f>
        <v>654.59999999997672</v>
      </c>
      <c r="N15" s="31">
        <f>'FS Desroches Daily'!V17</f>
        <v>254.90000000002328</v>
      </c>
      <c r="O15" s="31">
        <f>'FS Desroches Daily'!X17</f>
        <v>269.99999999998181</v>
      </c>
      <c r="P15" s="31">
        <f>'FS Desroches Daily'!Z17</f>
        <v>2400.0000000001796</v>
      </c>
      <c r="Q15" s="31">
        <f>'FS Desroches Daily'!AB17</f>
        <v>319.99999999999318</v>
      </c>
      <c r="R15" s="31">
        <f>'FS Desroches Daily'!AD17</f>
        <v>239.99999999995225</v>
      </c>
      <c r="S15" s="31">
        <f>'FS Desroches Daily'!AF17</f>
        <v>309.99999999994543</v>
      </c>
      <c r="T15" s="31">
        <f>'FS Desroches Daily'!AH17</f>
        <v>32</v>
      </c>
      <c r="U15" s="35">
        <f>'FS Desroches Daily'!AJ17</f>
        <v>580.00000000004093</v>
      </c>
      <c r="V15" s="35">
        <f>'FS Desroches Daily'!AL17</f>
        <v>150.00000000000568</v>
      </c>
      <c r="W15" s="35">
        <f>'FS Desroches Daily'!AN17</f>
        <v>130.00000000002387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229.99999999996135</v>
      </c>
      <c r="AA15" s="35">
        <f>'FS Desroches Daily'!AT17</f>
        <v>229.99999999996135</v>
      </c>
      <c r="AB15" s="35">
        <f>'FS Desroches Daily'!AV17</f>
        <v>40.000000000020464</v>
      </c>
      <c r="AC15" s="35">
        <f>'FS Desroches Daily'!AZ17</f>
        <v>69.999999999993179</v>
      </c>
      <c r="AD15" s="35">
        <f>'FS Desroches Daily'!BB17</f>
        <v>30.000000000029559</v>
      </c>
      <c r="AE15" s="35">
        <f>'FS Desroches Daily'!BD17</f>
        <v>30.000000000001137</v>
      </c>
      <c r="AF15" s="31">
        <f>'FS Desroches Daily'!BF17</f>
        <v>31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23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63</v>
      </c>
      <c r="AQ15" s="31">
        <f>'FS Desroches Daily'!CB17</f>
        <v>34.5</v>
      </c>
      <c r="AR15" s="31">
        <f>'FS Desroches Daily'!CD17</f>
        <v>7.1000000000003638</v>
      </c>
      <c r="AS15" s="31">
        <f>'FS Desroches Daily'!CF17</f>
        <v>9.5</v>
      </c>
      <c r="AT15" s="31">
        <f>'FS Desroches Daily'!CH17</f>
        <v>35.099999999998545</v>
      </c>
      <c r="AU15" s="31">
        <f>'FS Desroches Daily'!CJ17</f>
        <v>292</v>
      </c>
      <c r="AV15" s="31">
        <f>'FS Desroches Daily'!CL17</f>
        <v>649.99999999997726</v>
      </c>
      <c r="AW15" s="31">
        <f>'FS Desroches Daily'!CM17</f>
        <v>46.399999999999636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>
        <f>'FS Desroches Daily'!D18</f>
        <v>1800.0000000002458</v>
      </c>
      <c r="F16" s="32">
        <f>'FS Desroches Daily'!F18</f>
        <v>2600.0000000001578</v>
      </c>
      <c r="G16" s="31">
        <f>'FS Desroches Daily'!H18</f>
        <v>2600.0000000001578</v>
      </c>
      <c r="H16" s="32">
        <f>'FS Desroches Daily'!J18</f>
        <v>1300.0000000000789</v>
      </c>
      <c r="I16" s="31">
        <f>'FS Desroches Daily'!L18</f>
        <v>2299.9999999999686</v>
      </c>
      <c r="J16" s="32">
        <f>'FS Desroches Daily'!N18</f>
        <v>900.0000000001229</v>
      </c>
      <c r="K16" s="13">
        <f>'FS Desroches Daily'!P18</f>
        <v>7</v>
      </c>
      <c r="L16" s="31">
        <f>'FS Desroches Daily'!R18</f>
        <v>3</v>
      </c>
      <c r="M16" s="31">
        <f>'FS Desroches Daily'!T18</f>
        <v>800</v>
      </c>
      <c r="N16" s="31">
        <f>'FS Desroches Daily'!V18</f>
        <v>344.89999999996508</v>
      </c>
      <c r="O16" s="31">
        <f>'FS Desroches Daily'!X18</f>
        <v>160.00000000002501</v>
      </c>
      <c r="P16" s="31">
        <f>'FS Desroches Daily'!Z18</f>
        <v>2299.9999999999686</v>
      </c>
      <c r="Q16" s="31">
        <f>'FS Desroches Daily'!AB18</f>
        <v>189.99999999999773</v>
      </c>
      <c r="R16" s="31">
        <f>'FS Desroches Daily'!AD18</f>
        <v>330.00000000004093</v>
      </c>
      <c r="S16" s="31">
        <f>'FS Desroches Daily'!AF18</f>
        <v>300.00000000006821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129.99999999999545</v>
      </c>
      <c r="W16" s="35">
        <f>'FS Desroches Daily'!AN18</f>
        <v>139.99999999998636</v>
      </c>
      <c r="X16" s="35">
        <f>'FS Desroches Daily'!AP18</f>
        <v>80.000000000012506</v>
      </c>
      <c r="Y16" s="35">
        <f>'FS Desroches Daily'!AR18</f>
        <v>129.99999999999545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79.999999999984084</v>
      </c>
      <c r="AC16" s="35">
        <f>'FS Desroches Daily'!AZ18</f>
        <v>50.000000000011369</v>
      </c>
      <c r="AD16" s="35">
        <f>'FS Desroches Daily'!BB18</f>
        <v>39.99999999996362</v>
      </c>
      <c r="AE16" s="35">
        <f>'FS Desroches Daily'!BD18</f>
        <v>19.99999999998181</v>
      </c>
      <c r="AF16" s="31">
        <f>'FS Desroches Daily'!BF18</f>
        <v>28</v>
      </c>
      <c r="AG16" s="32">
        <f>'FS Desroches Daily'!BH18</f>
        <v>30.000000000001137</v>
      </c>
      <c r="AH16" s="32">
        <f>'FS Desroches Daily'!BJ18</f>
        <v>9.9999999999909051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21</v>
      </c>
      <c r="AM16" s="32">
        <f>'FS Desroches Daily'!BT18</f>
        <v>30.000000000001137</v>
      </c>
      <c r="AN16" s="32">
        <f>'FS Desroches Daily'!BV18</f>
        <v>41</v>
      </c>
      <c r="AO16" s="32">
        <f>'FS Desroches Daily'!BX18</f>
        <v>19.99999999998181</v>
      </c>
      <c r="AP16" s="32">
        <f>'FS Desroches Daily'!BZ18</f>
        <v>62</v>
      </c>
      <c r="AQ16" s="31">
        <f>'FS Desroches Daily'!CB18</f>
        <v>33.69999999999709</v>
      </c>
      <c r="AR16" s="31">
        <f>'FS Desroches Daily'!CD18</f>
        <v>6.7999999999992724</v>
      </c>
      <c r="AS16" s="31">
        <f>'FS Desroches Daily'!CF18</f>
        <v>0.6000000000003638</v>
      </c>
      <c r="AT16" s="31">
        <f>'FS Desroches Daily'!CH18</f>
        <v>36.200000000004366</v>
      </c>
      <c r="AU16" s="31">
        <f>'FS Desroches Daily'!CJ18</f>
        <v>261</v>
      </c>
      <c r="AV16" s="31">
        <f>'FS Desroches Daily'!CL18</f>
        <v>719.9999999999136</v>
      </c>
      <c r="AW16" s="31">
        <f>'FS Desroches Daily'!CM18</f>
        <v>61.400000000001455</v>
      </c>
      <c r="AX16" s="31">
        <f>IF(LPG!F23-LPG!F22&lt;0,"0",(LPG!F23-LPG!F22)*1.8315)</f>
        <v>7.3259999999999996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1999.9999999997797</v>
      </c>
      <c r="F17" s="32">
        <f>'FS Desroches Daily'!F19</f>
        <v>2599.9999999997135</v>
      </c>
      <c r="G17" s="31">
        <f>'FS Desroches Daily'!H19</f>
        <v>2499.9999999999468</v>
      </c>
      <c r="H17" s="32">
        <f>'FS Desroches Daily'!J19</f>
        <v>1299.9999999998568</v>
      </c>
      <c r="I17" s="31">
        <f>'FS Desroches Daily'!L19</f>
        <v>2200.0000000002019</v>
      </c>
      <c r="J17" s="32">
        <f>'FS Desroches Daily'!N19</f>
        <v>1099.9999999998788</v>
      </c>
      <c r="K17" s="13">
        <f>'FS Desroches Daily'!P19</f>
        <v>1</v>
      </c>
      <c r="L17" s="31">
        <f>'FS Desroches Daily'!R19</f>
        <v>2</v>
      </c>
      <c r="M17" s="31">
        <f>'FS Desroches Daily'!T19</f>
        <v>630.80000000004657</v>
      </c>
      <c r="N17" s="31">
        <f>'FS Desroches Daily'!V19</f>
        <v>291.70000000001164</v>
      </c>
      <c r="O17" s="31">
        <f>'FS Desroches Daily'!X19</f>
        <v>139.99999999998636</v>
      </c>
      <c r="P17" s="31">
        <f>'FS Desroches Daily'!Z19</f>
        <v>2299.9999999999686</v>
      </c>
      <c r="Q17" s="31">
        <f>'FS Desroches Daily'!AB19</f>
        <v>360.00000000001364</v>
      </c>
      <c r="R17" s="31">
        <f>'FS Desroches Daily'!AD19</f>
        <v>299.99999999995453</v>
      </c>
      <c r="S17" s="31">
        <f>'FS Desroches Daily'!AF19</f>
        <v>279.99999999997272</v>
      </c>
      <c r="T17" s="31">
        <f>'FS Desroches Daily'!AH19</f>
        <v>37</v>
      </c>
      <c r="U17" s="35">
        <f>'FS Desroches Daily'!AJ19</f>
        <v>580.00000000004093</v>
      </c>
      <c r="V17" s="35">
        <f>'FS Desroches Daily'!AL19</f>
        <v>159.99999999999659</v>
      </c>
      <c r="W17" s="35">
        <f>'FS Desroches Daily'!AN19</f>
        <v>139.99999999998636</v>
      </c>
      <c r="X17" s="35">
        <f>'FS Desroches Daily'!AP19</f>
        <v>169.99999999998749</v>
      </c>
      <c r="Y17" s="35">
        <f>'FS Desroches Daily'!AR19</f>
        <v>140.00000000001478</v>
      </c>
      <c r="Z17" s="35">
        <f>'FS Desroches Daily'!AU20</f>
        <v>284.95</v>
      </c>
      <c r="AA17" s="35">
        <f>'FS Desroches Daily'!AU20</f>
        <v>284.95</v>
      </c>
      <c r="AB17" s="35">
        <f>'FS Desroches Daily'!AV19</f>
        <v>79.999999999984084</v>
      </c>
      <c r="AC17" s="35">
        <f>'FS Desroches Daily'!AZ19</f>
        <v>69.999999999993179</v>
      </c>
      <c r="AD17" s="35">
        <f>'FS Desroches Daily'!BB19</f>
        <v>30.000000000029559</v>
      </c>
      <c r="AE17" s="35">
        <f>'FS Desroches Daily'!BD19</f>
        <v>30.000000000001137</v>
      </c>
      <c r="AF17" s="31">
        <f>'FS Desroches Daily'!BF19</f>
        <v>6</v>
      </c>
      <c r="AG17" s="32">
        <f>'FS Desroches Daily'!BH19</f>
        <v>50.000000000011369</v>
      </c>
      <c r="AH17" s="32">
        <f>'FS Desroches Daily'!BJ19</f>
        <v>50.000000000011369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18</v>
      </c>
      <c r="AM17" s="32">
        <f>'FS Desroches Daily'!BT19</f>
        <v>19.99999999998181</v>
      </c>
      <c r="AN17" s="32">
        <f>'FS Desroches Daily'!BV19</f>
        <v>43</v>
      </c>
      <c r="AO17" s="32">
        <f>'FS Desroches Daily'!BX19</f>
        <v>30.000000000001137</v>
      </c>
      <c r="AP17" s="32">
        <f>'FS Desroches Daily'!BZ19</f>
        <v>49</v>
      </c>
      <c r="AQ17" s="31">
        <f>'FS Desroches Daily'!CB19</f>
        <v>32.700000000000728</v>
      </c>
      <c r="AR17" s="31">
        <f>'FS Desroches Daily'!CD19</f>
        <v>5.8000000000010914</v>
      </c>
      <c r="AS17" s="31">
        <f>'FS Desroches Daily'!CF19</f>
        <v>8.8999999999996362</v>
      </c>
      <c r="AT17" s="31">
        <f>'FS Desroches Daily'!CH19</f>
        <v>34.19999999999709</v>
      </c>
      <c r="AU17" s="31">
        <f>'FS Desroches Daily'!CJ19</f>
        <v>267</v>
      </c>
      <c r="AV17" s="31">
        <f>'FS Desroches Daily'!CL19</f>
        <v>720.00000000002728</v>
      </c>
      <c r="AW17" s="31">
        <f>'FS Desroches Daily'!CM19</f>
        <v>65.399999999999636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2000.0000000002237</v>
      </c>
      <c r="F18" s="32">
        <f>'FS Desroches Daily'!F20</f>
        <v>2700.0000000003688</v>
      </c>
      <c r="G18" s="31">
        <f>'FS Desroches Daily'!H20</f>
        <v>2600.0000000001578</v>
      </c>
      <c r="H18" s="32">
        <f>'FS Desroches Daily'!J20</f>
        <v>1300.0000000000789</v>
      </c>
      <c r="I18" s="31">
        <f>'FS Desroches Daily'!L20</f>
        <v>2699.9999999999245</v>
      </c>
      <c r="J18" s="32">
        <f>'FS Desroches Daily'!N20</f>
        <v>900.0000000001229</v>
      </c>
      <c r="K18" s="13">
        <f>'FS Desroches Daily'!P20</f>
        <v>8</v>
      </c>
      <c r="L18" s="31">
        <f>'FS Desroches Daily'!R20</f>
        <v>3</v>
      </c>
      <c r="M18" s="31">
        <f>'FS Desroches Daily'!T20</f>
        <v>867.19999999995343</v>
      </c>
      <c r="N18" s="31">
        <f>'FS Desroches Daily'!V20</f>
        <v>383.79999999998836</v>
      </c>
      <c r="O18" s="31">
        <f>'FS Desroches Daily'!X20</f>
        <v>310.00000000000227</v>
      </c>
      <c r="P18" s="31">
        <f>'FS Desroches Daily'!Z20</f>
        <v>2400.0000000001796</v>
      </c>
      <c r="Q18" s="31">
        <f>'FS Desroches Daily'!AB20</f>
        <v>250</v>
      </c>
      <c r="R18" s="31">
        <f>'FS Desroches Daily'!AD20</f>
        <v>310.00000000000227</v>
      </c>
      <c r="S18" s="31">
        <f>'FS Desroches Daily'!AF20</f>
        <v>299.99999999995453</v>
      </c>
      <c r="T18" s="31">
        <f>'FS Desroches Daily'!AH20</f>
        <v>37</v>
      </c>
      <c r="U18" s="35">
        <f>'FS Desroches Daily'!AJ20</f>
        <v>889.99999999998636</v>
      </c>
      <c r="V18" s="35">
        <f>'FS Desroches Daily'!AL20</f>
        <v>200.00000000001705</v>
      </c>
      <c r="W18" s="35">
        <f>'FS Desroches Daily'!AN20</f>
        <v>160.00000000002501</v>
      </c>
      <c r="X18" s="35">
        <f>'FS Desroches Daily'!AP20</f>
        <v>160.00000000002501</v>
      </c>
      <c r="Y18" s="35">
        <f>'FS Desroches Daily'!AR20</f>
        <v>159.99999999999659</v>
      </c>
      <c r="Z18" s="35">
        <f>'FS Desroches Daily'!AT20</f>
        <v>229.99999999996135</v>
      </c>
      <c r="AA18" s="35">
        <f>'FS Desroches Daily'!AT20</f>
        <v>229.99999999996135</v>
      </c>
      <c r="AB18" s="35">
        <f>'FS Desroches Daily'!AV20</f>
        <v>69.999999999993179</v>
      </c>
      <c r="AC18" s="35">
        <f>'FS Desroches Daily'!AZ20</f>
        <v>60.000000000002274</v>
      </c>
      <c r="AD18" s="35">
        <f>'FS Desroches Daily'!BB20</f>
        <v>29.999999999972715</v>
      </c>
      <c r="AE18" s="35">
        <f>'FS Desroches Daily'!BD20</f>
        <v>30.000000000001137</v>
      </c>
      <c r="AF18" s="31">
        <f>'FS Desroches Daily'!BF20</f>
        <v>17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39.999999999992042</v>
      </c>
      <c r="AJ18" s="32">
        <f>'FS Desroches Daily'!BN20</f>
        <v>40.000000000020464</v>
      </c>
      <c r="AK18" s="32">
        <f>'FS Desroches Daily'!BP20</f>
        <v>29.999999999972715</v>
      </c>
      <c r="AL18" s="32">
        <f>'FS Desroches Daily'!BR20</f>
        <v>25</v>
      </c>
      <c r="AM18" s="32">
        <f>'FS Desroches Daily'!BT20</f>
        <v>30.000000000001137</v>
      </c>
      <c r="AN18" s="32">
        <f>'FS Desroches Daily'!BV20</f>
        <v>41</v>
      </c>
      <c r="AO18" s="32">
        <f>'FS Desroches Daily'!BX20</f>
        <v>30.000000000001137</v>
      </c>
      <c r="AP18" s="32">
        <f>'FS Desroches Daily'!BZ20</f>
        <v>60</v>
      </c>
      <c r="AQ18" s="31">
        <f>'FS Desroches Daily'!CB20</f>
        <v>34.200000000000728</v>
      </c>
      <c r="AR18" s="31">
        <f>'FS Desroches Daily'!CD20</f>
        <v>5.0999999999985448</v>
      </c>
      <c r="AS18" s="31">
        <f>'FS Desroches Daily'!CF20</f>
        <v>0.8999999999996362</v>
      </c>
      <c r="AT18" s="31">
        <f>'FS Desroches Daily'!CH20</f>
        <v>36.099999999998545</v>
      </c>
      <c r="AU18" s="31">
        <f>'FS Desroches Daily'!CJ20</f>
        <v>265</v>
      </c>
      <c r="AV18" s="31">
        <f>'FS Desroches Daily'!CL20</f>
        <v>639.99999999998636</v>
      </c>
      <c r="AW18" s="31">
        <f>'FS Desroches Daily'!CM20</f>
        <v>62.299999999999272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5.4944999999999995</v>
      </c>
      <c r="BB18" s="31">
        <f>IF(LPG!Q25-LPG!Q24&lt;0,"0",(LPG!Q25-LPG!Q24)*1.8315)</f>
        <v>7.3259999999999996</v>
      </c>
      <c r="BC18" s="13">
        <f>'FS Desroches Daily'!CN20</f>
        <v>8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2399.9999999997358</v>
      </c>
      <c r="H19" s="32">
        <f>'FS Desroches Daily'!J21</f>
        <v>1300.0000000000789</v>
      </c>
      <c r="I19" s="31">
        <f>'FS Desroches Daily'!L21</f>
        <v>1700.0000000000348</v>
      </c>
      <c r="J19" s="32">
        <f>'FS Desroches Daily'!N21</f>
        <v>1099.9999999998788</v>
      </c>
      <c r="K19" s="13">
        <f>'FS Desroches Daily'!P21</f>
        <v>1</v>
      </c>
      <c r="L19" s="31">
        <f>'FS Desroches Daily'!R21</f>
        <v>2</v>
      </c>
      <c r="M19" s="31">
        <f>'FS Desroches Daily'!T21</f>
        <v>757</v>
      </c>
      <c r="N19" s="31">
        <f>'FS Desroches Daily'!V21</f>
        <v>297.60000000003492</v>
      </c>
      <c r="O19" s="31">
        <f>'FS Desroches Daily'!X21</f>
        <v>300.00000000001137</v>
      </c>
      <c r="P19" s="31">
        <f>'FS Desroches Daily'!Z21</f>
        <v>2199.9999999997576</v>
      </c>
      <c r="Q19" s="31">
        <f>'FS Desroches Daily'!AB21</f>
        <v>379.99999999999545</v>
      </c>
      <c r="R19" s="31">
        <f>'FS Desroches Daily'!AD21</f>
        <v>310.00000000000227</v>
      </c>
      <c r="S19" s="31">
        <f>'FS Desroches Daily'!AF21</f>
        <v>320.00000000005002</v>
      </c>
      <c r="T19" s="31">
        <f>'FS Desroches Daily'!AH21</f>
        <v>38</v>
      </c>
      <c r="U19" s="35">
        <f>'FS Desroches Daily'!AJ21</f>
        <v>299.99999999995453</v>
      </c>
      <c r="V19" s="35">
        <f>'FS Desroches Daily'!AL21</f>
        <v>189.99999999999773</v>
      </c>
      <c r="W19" s="35">
        <f>'FS Desroches Daily'!AN21</f>
        <v>189.99999999999773</v>
      </c>
      <c r="X19" s="35">
        <f>'FS Desroches Daily'!AP21</f>
        <v>149.99999999997726</v>
      </c>
      <c r="Y19" s="35">
        <f>'FS Desroches Daily'!AR21</f>
        <v>129.99999999999545</v>
      </c>
      <c r="Z19" s="35">
        <f>'FS Desroches Daily'!AT21</f>
        <v>280.00000000002956</v>
      </c>
      <c r="AA19" s="35">
        <f>'FS Desroches Daily'!AT21</f>
        <v>280.00000000002956</v>
      </c>
      <c r="AB19" s="35">
        <f>'FS Desroches Daily'!AV21</f>
        <v>60.000000000002274</v>
      </c>
      <c r="AC19" s="35">
        <f>'FS Desroches Daily'!AZ21</f>
        <v>50.000000000011369</v>
      </c>
      <c r="AD19" s="35">
        <f>'FS Desroches Daily'!BB21</f>
        <v>20.000000000038654</v>
      </c>
      <c r="AE19" s="35">
        <f>'FS Desroches Daily'!BD21</f>
        <v>20.000000000010232</v>
      </c>
      <c r="AF19" s="31">
        <f>'FS Desroches Daily'!BF21</f>
        <v>36</v>
      </c>
      <c r="AG19" s="32">
        <f>'FS Desroches Daily'!BH21</f>
        <v>39.999999999992042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19.99999999998181</v>
      </c>
      <c r="AL19" s="32">
        <f>'FS Desroches Daily'!BR21</f>
        <v>31</v>
      </c>
      <c r="AM19" s="32">
        <f>'FS Desroches Daily'!BT21</f>
        <v>20.000000000010232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55</v>
      </c>
      <c r="AQ19" s="31">
        <f>'FS Desroches Daily'!CB21</f>
        <v>28.099999999998545</v>
      </c>
      <c r="AR19" s="31">
        <f>'FS Desroches Daily'!CD21</f>
        <v>7.9000000000014552</v>
      </c>
      <c r="AS19" s="31">
        <f>'FS Desroches Daily'!CF21</f>
        <v>7.9000000000005457</v>
      </c>
      <c r="AT19" s="31">
        <f>'FS Desroches Daily'!CH21</f>
        <v>35.900000000001455</v>
      </c>
      <c r="AU19" s="31">
        <f>'FS Desroches Daily'!CJ21</f>
        <v>275</v>
      </c>
      <c r="AV19" s="31">
        <f>'FS Desroches Daily'!CL21</f>
        <v>730.00000000001819</v>
      </c>
      <c r="AW19" s="31">
        <f>'FS Desroches Daily'!CM21</f>
        <v>54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8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>
        <f>'FS Desroches Daily'!D22</f>
        <v>2099.9999999999909</v>
      </c>
      <c r="F20" s="32">
        <f>'FS Desroches Daily'!F22</f>
        <v>2699.9999999999245</v>
      </c>
      <c r="G20" s="31">
        <f>'FS Desroches Daily'!H22</f>
        <v>3000.0000000001137</v>
      </c>
      <c r="H20" s="32">
        <f>'FS Desroches Daily'!J22</f>
        <v>1299.9999999998568</v>
      </c>
      <c r="I20" s="31">
        <f>'FS Desroches Daily'!L22</f>
        <v>2199.9999999997576</v>
      </c>
      <c r="J20" s="32">
        <f>'FS Desroches Daily'!N22</f>
        <v>1000.0000000001119</v>
      </c>
      <c r="K20" s="13">
        <f>'FS Desroches Daily'!P22</f>
        <v>17</v>
      </c>
      <c r="L20" s="31">
        <f>'FS Desroches Daily'!R22</f>
        <v>4</v>
      </c>
      <c r="M20" s="31">
        <f>'FS Desroches Daily'!T22</f>
        <v>928.40000000002328</v>
      </c>
      <c r="N20" s="31">
        <f>'FS Desroches Daily'!V22</f>
        <v>332.59999999997672</v>
      </c>
      <c r="O20" s="31">
        <f>'FS Desroches Daily'!X22</f>
        <v>299.99999999995453</v>
      </c>
      <c r="P20" s="31">
        <f>'FS Desroches Daily'!Z22</f>
        <v>2400.0000000001796</v>
      </c>
      <c r="Q20" s="31">
        <f>'FS Desroches Daily'!AB22</f>
        <v>269.99999999998181</v>
      </c>
      <c r="R20" s="31">
        <f>'FS Desroches Daily'!AD22</f>
        <v>280.00000000002956</v>
      </c>
      <c r="S20" s="31">
        <f>'FS Desroches Daily'!AF22</f>
        <v>289.99999999996362</v>
      </c>
      <c r="T20" s="31">
        <f>'FS Desroches Daily'!AH22</f>
        <v>34</v>
      </c>
      <c r="U20" s="35">
        <f>'FS Desroches Daily'!AJ22</f>
        <v>370.00000000000455</v>
      </c>
      <c r="V20" s="35">
        <f>'FS Desroches Daily'!AL22</f>
        <v>229.99999999998977</v>
      </c>
      <c r="W20" s="35">
        <f>'FS Desroches Daily'!AN22</f>
        <v>250</v>
      </c>
      <c r="X20" s="35">
        <f>'FS Desroches Daily'!AP22</f>
        <v>140.00000000001478</v>
      </c>
      <c r="Y20" s="35">
        <f>'FS Desroches Daily'!AR22</f>
        <v>129.99999999999545</v>
      </c>
      <c r="Z20" s="35">
        <f>'FS Desroches Daily'!AT22</f>
        <v>279.99999999997272</v>
      </c>
      <c r="AA20" s="35">
        <f>'FS Desroches Daily'!AT22</f>
        <v>279.99999999997272</v>
      </c>
      <c r="AB20" s="35">
        <f>'FS Desroches Daily'!AV22</f>
        <v>60.000000000002274</v>
      </c>
      <c r="AC20" s="35">
        <f>'FS Desroches Daily'!AZ22</f>
        <v>40.000000000020464</v>
      </c>
      <c r="AD20" s="35">
        <f>'FS Desroches Daily'!BB22</f>
        <v>19.99999999998181</v>
      </c>
      <c r="AE20" s="35">
        <f>'FS Desroches Daily'!BD22</f>
        <v>20.000000000010232</v>
      </c>
      <c r="AF20" s="31">
        <f>'FS Desroches Daily'!BF22</f>
        <v>28</v>
      </c>
      <c r="AG20" s="32">
        <f>'FS Desroches Daily'!BH22</f>
        <v>40.000000000020464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30.000000000001137</v>
      </c>
      <c r="AK20" s="32">
        <f>'FS Desroches Daily'!BP22</f>
        <v>30.000000000029559</v>
      </c>
      <c r="AL20" s="32">
        <f>'FS Desroches Daily'!BR22</f>
        <v>35</v>
      </c>
      <c r="AM20" s="32">
        <f>'FS Desroches Daily'!BT22</f>
        <v>0</v>
      </c>
      <c r="AN20" s="32">
        <f>'FS Desroches Daily'!BV22</f>
        <v>38</v>
      </c>
      <c r="AO20" s="32">
        <f>'FS Desroches Daily'!BX22</f>
        <v>20.000000000010232</v>
      </c>
      <c r="AP20" s="32">
        <f>'FS Desroches Daily'!BZ22</f>
        <v>54</v>
      </c>
      <c r="AQ20" s="31">
        <f>'FS Desroches Daily'!CB22</f>
        <v>30.900000000001455</v>
      </c>
      <c r="AR20" s="31">
        <f>'FS Desroches Daily'!CD22</f>
        <v>6.5</v>
      </c>
      <c r="AS20" s="31">
        <f>'FS Desroches Daily'!CF22</f>
        <v>0.3000000000001819</v>
      </c>
      <c r="AT20" s="31">
        <f>'FS Desroches Daily'!CH22</f>
        <v>30.400000000001455</v>
      </c>
      <c r="AU20" s="31">
        <f>'FS Desroches Daily'!CJ22</f>
        <v>269</v>
      </c>
      <c r="AV20" s="31">
        <f>'FS Desroches Daily'!CL22</f>
        <v>779.99999999997272</v>
      </c>
      <c r="AW20" s="31">
        <f>'FS Desroches Daily'!CM22</f>
        <v>84.399999999999636</v>
      </c>
      <c r="AX20" s="31">
        <f>IF(LPG!F27-LPG!F26&lt;0,"0",(LPG!F27-LPG!F26)*1.8315)</f>
        <v>9.1574999999999989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>
        <f>'FS Desroches Daily'!D23</f>
        <v>1900.0000000000127</v>
      </c>
      <c r="F21" s="32">
        <f>'FS Desroches Daily'!F23</f>
        <v>2699.9999999999245</v>
      </c>
      <c r="G21" s="31">
        <f>'FS Desroches Daily'!H23</f>
        <v>2499.9999999999468</v>
      </c>
      <c r="H21" s="32">
        <f>'FS Desroches Daily'!J23</f>
        <v>1300.0000000000789</v>
      </c>
      <c r="I21" s="31">
        <f>'FS Desroches Daily'!L23</f>
        <v>1900.0000000000127</v>
      </c>
      <c r="J21" s="32">
        <f>'FS Desroches Daily'!N23</f>
        <v>999.99999999988984</v>
      </c>
      <c r="K21" s="13">
        <f>'FS Desroches Daily'!P23</f>
        <v>9</v>
      </c>
      <c r="L21" s="31">
        <f>'FS Desroches Daily'!R23</f>
        <v>2</v>
      </c>
      <c r="M21" s="31">
        <f>'FS Desroches Daily'!T23</f>
        <v>797.40000000002328</v>
      </c>
      <c r="N21" s="31">
        <f>'FS Desroches Daily'!V23</f>
        <v>323.10000000003492</v>
      </c>
      <c r="O21" s="31">
        <f>'FS Desroches Daily'!X23</f>
        <v>280.00000000002956</v>
      </c>
      <c r="P21" s="31">
        <f>'FS Desroches Daily'!Z23</f>
        <v>2399.9999999997358</v>
      </c>
      <c r="Q21" s="31">
        <f>'FS Desroches Daily'!AB23</f>
        <v>340.00000000003183</v>
      </c>
      <c r="R21" s="31">
        <f>'FS Desroches Daily'!AD23</f>
        <v>250</v>
      </c>
      <c r="S21" s="31">
        <f>'FS Desroches Daily'!AF23</f>
        <v>279.99999999997272</v>
      </c>
      <c r="T21" s="31">
        <f>'FS Desroches Daily'!AH23</f>
        <v>37</v>
      </c>
      <c r="U21" s="35">
        <f>'FS Desroches Daily'!AJ23</f>
        <v>759.99999999999091</v>
      </c>
      <c r="V21" s="35">
        <f>'FS Desroches Daily'!AL23</f>
        <v>180.00000000000682</v>
      </c>
      <c r="W21" s="35">
        <f>'FS Desroches Daily'!AN23</f>
        <v>229.99999999998977</v>
      </c>
      <c r="X21" s="35">
        <f>'FS Desroches Daily'!AP23</f>
        <v>99.999999999994316</v>
      </c>
      <c r="Y21" s="35">
        <f>'FS Desroches Daily'!AR23</f>
        <v>120.00000000000455</v>
      </c>
      <c r="Z21" s="35">
        <f>'FS Desroches Daily'!AT23</f>
        <v>259.99999999999091</v>
      </c>
      <c r="AA21" s="35">
        <f>'FS Desroches Daily'!AT23</f>
        <v>259.99999999999091</v>
      </c>
      <c r="AB21" s="35">
        <f>'FS Desroches Daily'!AV23</f>
        <v>69.999999999993179</v>
      </c>
      <c r="AC21" s="35">
        <f>'FS Desroches Daily'!AZ23</f>
        <v>49.999999999954525</v>
      </c>
      <c r="AD21" s="35">
        <f>'FS Desroches Daily'!BB23</f>
        <v>29.999999999972715</v>
      </c>
      <c r="AE21" s="35">
        <f>'FS Desroches Daily'!BD23</f>
        <v>39.999999999992042</v>
      </c>
      <c r="AF21" s="31">
        <f>'FS Desroches Daily'!BF23</f>
        <v>20</v>
      </c>
      <c r="AG21" s="32">
        <f>'FS Desroches Daily'!BH23</f>
        <v>49.999999999982947</v>
      </c>
      <c r="AH21" s="32">
        <f>'FS Desroches Daily'!BJ23</f>
        <v>29.999999999972715</v>
      </c>
      <c r="AI21" s="32">
        <f>'FS Desroches Daily'!BL23</f>
        <v>39.999999999992042</v>
      </c>
      <c r="AJ21" s="32">
        <f>'FS Desroches Daily'!BN23</f>
        <v>50.000000000011369</v>
      </c>
      <c r="AK21" s="32">
        <f>'FS Desroches Daily'!BP23</f>
        <v>19.99999999998181</v>
      </c>
      <c r="AL21" s="32">
        <f>'FS Desroches Daily'!BR23</f>
        <v>40</v>
      </c>
      <c r="AM21" s="32">
        <f>'FS Desroches Daily'!BT23</f>
        <v>50.000000000011369</v>
      </c>
      <c r="AN21" s="32">
        <f>'FS Desroches Daily'!BV23</f>
        <v>49</v>
      </c>
      <c r="AO21" s="32">
        <f>'FS Desroches Daily'!BX23</f>
        <v>30.000000000001137</v>
      </c>
      <c r="AP21" s="32">
        <f>'FS Desroches Daily'!BZ23</f>
        <v>75</v>
      </c>
      <c r="AQ21" s="31">
        <f>'FS Desroches Daily'!CB23</f>
        <v>43.599999999998545</v>
      </c>
      <c r="AR21" s="31">
        <f>'FS Desroches Daily'!CD23</f>
        <v>7.0999999999985448</v>
      </c>
      <c r="AS21" s="31">
        <f>'FS Desroches Daily'!CF23</f>
        <v>10.599999999999454</v>
      </c>
      <c r="AT21" s="31">
        <f>'FS Desroches Daily'!CH23</f>
        <v>11.69999999999709</v>
      </c>
      <c r="AU21" s="31">
        <f>'FS Desroches Daily'!CJ23</f>
        <v>252</v>
      </c>
      <c r="AV21" s="31">
        <f>'FS Desroches Daily'!CL23</f>
        <v>740.00000000000909</v>
      </c>
      <c r="AW21" s="31">
        <f>'FS Desroches Daily'!CM23</f>
        <v>63.100000000000364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9.1574999999999989</v>
      </c>
      <c r="BC21" s="13">
        <f>'FS Desroches Daily'!CN23</f>
        <v>8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>
        <f>'FS Desroches Daily'!D24</f>
        <v>1799.9999999998017</v>
      </c>
      <c r="F22" s="32">
        <f>'FS Desroches Daily'!F24</f>
        <v>2499.9999999999468</v>
      </c>
      <c r="G22" s="31">
        <f>'FS Desroches Daily'!H24</f>
        <v>2699.9999999999245</v>
      </c>
      <c r="H22" s="32">
        <f>'FS Desroches Daily'!J24</f>
        <v>1400.0000000000678</v>
      </c>
      <c r="I22" s="31">
        <f>'FS Desroches Daily'!L24</f>
        <v>2000.0000000002237</v>
      </c>
      <c r="J22" s="32">
        <f>'FS Desroches Daily'!N24</f>
        <v>1000.0000000001119</v>
      </c>
      <c r="K22" s="13">
        <f>'FS Desroches Daily'!P24</f>
        <v>5</v>
      </c>
      <c r="L22" s="31">
        <f>'FS Desroches Daily'!R24</f>
        <v>3</v>
      </c>
      <c r="M22" s="31">
        <f>'FS Desroches Daily'!T24</f>
        <v>647.59999999997672</v>
      </c>
      <c r="N22" s="31">
        <f>'FS Desroches Daily'!V24</f>
        <v>295</v>
      </c>
      <c r="O22" s="31">
        <f>'FS Desroches Daily'!X24</f>
        <v>300.00000000001137</v>
      </c>
      <c r="P22" s="31">
        <f>'FS Desroches Daily'!Z24</f>
        <v>2200.0000000002019</v>
      </c>
      <c r="Q22" s="31">
        <f>'FS Desroches Daily'!AB24</f>
        <v>310.00000000000227</v>
      </c>
      <c r="R22" s="31">
        <f>'FS Desroches Daily'!AD24</f>
        <v>259.99999999999091</v>
      </c>
      <c r="S22" s="31">
        <f>'FS Desroches Daily'!AF24</f>
        <v>360.00000000001364</v>
      </c>
      <c r="T22" s="31">
        <f>'FS Desroches Daily'!AH24</f>
        <v>36</v>
      </c>
      <c r="U22" s="35">
        <f>'FS Desroches Daily'!AJ24</f>
        <v>509.99999999999091</v>
      </c>
      <c r="V22" s="35">
        <f>'FS Desroches Daily'!AL24</f>
        <v>169.99999999998749</v>
      </c>
      <c r="W22" s="35">
        <f>'FS Desroches Daily'!AN24</f>
        <v>189.99999999999773</v>
      </c>
      <c r="X22" s="35">
        <f>'FS Desroches Daily'!AP24</f>
        <v>120.00000000000455</v>
      </c>
      <c r="Y22" s="35">
        <f>'FS Desroches Daily'!AR24</f>
        <v>80.000000000012506</v>
      </c>
      <c r="Z22" s="35">
        <f>'FS Desroches Daily'!AT24</f>
        <v>230.00000000001819</v>
      </c>
      <c r="AA22" s="35">
        <f>'FS Desroches Daily'!AT24</f>
        <v>230.00000000001819</v>
      </c>
      <c r="AB22" s="35">
        <f>'FS Desroches Daily'!AV24</f>
        <v>60.000000000002274</v>
      </c>
      <c r="AC22" s="35">
        <f>'FS Desroches Daily'!AZ24</f>
        <v>50.000000000011369</v>
      </c>
      <c r="AD22" s="35">
        <f>'FS Desroches Daily'!BB24</f>
        <v>30.000000000029559</v>
      </c>
      <c r="AE22" s="35">
        <f>'FS Desroches Daily'!BD24</f>
        <v>30.000000000001137</v>
      </c>
      <c r="AF22" s="31">
        <f>'FS Desroches Daily'!BF24</f>
        <v>35</v>
      </c>
      <c r="AG22" s="32">
        <f>'FS Desroches Daily'!BH24</f>
        <v>30.000000000001137</v>
      </c>
      <c r="AH22" s="32">
        <f>'FS Desroches Daily'!BJ24</f>
        <v>30.000000000029559</v>
      </c>
      <c r="AI22" s="32">
        <f>'FS Desroches Daily'!BL24</f>
        <v>30.000000000001137</v>
      </c>
      <c r="AJ22" s="32">
        <f>'FS Desroches Daily'!BN24</f>
        <v>30.000000000001137</v>
      </c>
      <c r="AK22" s="32">
        <f>'FS Desroches Daily'!BP24</f>
        <v>30.000000000029559</v>
      </c>
      <c r="AL22" s="32">
        <f>'FS Desroches Daily'!BR24</f>
        <v>29</v>
      </c>
      <c r="AM22" s="32">
        <f>'FS Desroches Daily'!BT24</f>
        <v>29.999999999972715</v>
      </c>
      <c r="AN22" s="32">
        <f>'FS Desroches Daily'!BV24</f>
        <v>38</v>
      </c>
      <c r="AO22" s="32">
        <f>'FS Desroches Daily'!BX24</f>
        <v>30.000000000001137</v>
      </c>
      <c r="AP22" s="32">
        <f>'FS Desroches Daily'!BZ24</f>
        <v>66</v>
      </c>
      <c r="AQ22" s="31">
        <f>'FS Desroches Daily'!CB24</f>
        <v>17.100000000002183</v>
      </c>
      <c r="AR22" s="31">
        <f>'FS Desroches Daily'!CD24</f>
        <v>5.7000000000007276</v>
      </c>
      <c r="AS22" s="31">
        <f>'FS Desroches Daily'!CF24</f>
        <v>7.5</v>
      </c>
      <c r="AT22" s="31">
        <f>'FS Desroches Daily'!CH24</f>
        <v>32.30000000000291</v>
      </c>
      <c r="AU22" s="31">
        <f>'FS Desroches Daily'!CJ24</f>
        <v>290</v>
      </c>
      <c r="AV22" s="31">
        <f>'FS Desroches Daily'!CL24</f>
        <v>790.00000000007731</v>
      </c>
      <c r="AW22" s="31">
        <f>'FS Desroches Daily'!CM24</f>
        <v>66.699999999998909</v>
      </c>
      <c r="AX22" s="31">
        <f>IF(LPG!F29-LPG!F28&lt;0,"0",(LPG!F29-LPG!F28)*1.8315)</f>
        <v>9.1574999999999989</v>
      </c>
      <c r="AY22" s="31">
        <f>IF(LPG!H29-LPG!H28&lt;0,"0",(LPG!H29-LPG!H28)*1.8315)</f>
        <v>1.8314999999999999</v>
      </c>
      <c r="AZ22" s="31">
        <f>IF(LPG!J29-LPG!J28&lt;0,"0",(LPG!J29-LPG!J28)*1.8315)</f>
        <v>5.4944999999999995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8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>
        <f>'FS Desroches Daily'!D25</f>
        <v>1800.0000000002458</v>
      </c>
      <c r="F23" s="32">
        <f>'FS Desroches Daily'!F25</f>
        <v>2600.0000000001578</v>
      </c>
      <c r="G23" s="31">
        <f>'FS Desroches Daily'!H25</f>
        <v>2699.9999999999245</v>
      </c>
      <c r="H23" s="32">
        <f>'FS Desroches Daily'!J25</f>
        <v>1199.9999999998679</v>
      </c>
      <c r="I23" s="31">
        <f>'FS Desroches Daily'!L25</f>
        <v>1999.9999999997797</v>
      </c>
      <c r="J23" s="32">
        <f>'FS Desroches Daily'!N25</f>
        <v>899.99999999990087</v>
      </c>
      <c r="K23" s="13">
        <f>'FS Desroches Daily'!P25</f>
        <v>8</v>
      </c>
      <c r="L23" s="31">
        <f>'FS Desroches Daily'!R25</f>
        <v>3</v>
      </c>
      <c r="M23" s="31">
        <f>'FS Desroches Daily'!T25</f>
        <v>787.19999999995343</v>
      </c>
      <c r="N23" s="31">
        <f>'FS Desroches Daily'!V25</f>
        <v>278.39999999996508</v>
      </c>
      <c r="O23" s="31">
        <f>'FS Desroches Daily'!X25</f>
        <v>279.99999999997272</v>
      </c>
      <c r="P23" s="31">
        <f>'FS Desroches Daily'!Z25</f>
        <v>2299.9999999999686</v>
      </c>
      <c r="Q23" s="31">
        <f>'FS Desroches Daily'!AB25</f>
        <v>189.99999999999773</v>
      </c>
      <c r="R23" s="31">
        <f>'FS Desroches Daily'!AD25</f>
        <v>269.99999999998181</v>
      </c>
      <c r="S23" s="31">
        <f>'FS Desroches Daily'!AF25</f>
        <v>290.00000000007731</v>
      </c>
      <c r="T23" s="31">
        <f>'FS Desroches Daily'!AH25</f>
        <v>35</v>
      </c>
      <c r="U23" s="35">
        <f>'FS Desroches Daily'!AJ25</f>
        <v>519.99999999998181</v>
      </c>
      <c r="V23" s="35">
        <f>'FS Desroches Daily'!AL25</f>
        <v>180.00000000000682</v>
      </c>
      <c r="W23" s="35">
        <f>'FS Desroches Daily'!AN25</f>
        <v>189.99999999999773</v>
      </c>
      <c r="X23" s="35">
        <f>'FS Desroches Daily'!AP25</f>
        <v>120.00000000000455</v>
      </c>
      <c r="Y23" s="35">
        <f>'FS Desroches Daily'!AR25</f>
        <v>79.999999999984084</v>
      </c>
      <c r="Z23" s="35">
        <f>'FS Desroches Daily'!AT25</f>
        <v>209.99999999997954</v>
      </c>
      <c r="AA23" s="35">
        <f>'FS Desroches Daily'!AT25</f>
        <v>209.99999999997954</v>
      </c>
      <c r="AB23" s="35">
        <f>'FS Desroches Daily'!AV25</f>
        <v>40.000000000020464</v>
      </c>
      <c r="AC23" s="35">
        <f>'FS Desroches Daily'!AZ25</f>
        <v>40.000000000020464</v>
      </c>
      <c r="AD23" s="35">
        <f>'FS Desroches Daily'!BB25</f>
        <v>19.99999999998181</v>
      </c>
      <c r="AE23" s="35">
        <f>'FS Desroches Daily'!BD25</f>
        <v>19.99999999998181</v>
      </c>
      <c r="AF23" s="31">
        <f>'FS Desroches Daily'!BF25</f>
        <v>17</v>
      </c>
      <c r="AG23" s="32">
        <f>'FS Desroches Daily'!BH25</f>
        <v>39.999999999992042</v>
      </c>
      <c r="AH23" s="32">
        <f>'FS Desroches Daily'!BJ25</f>
        <v>19.99999999998181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19.99999999998181</v>
      </c>
      <c r="AL23" s="32">
        <f>'FS Desroches Daily'!BR25</f>
        <v>25</v>
      </c>
      <c r="AM23" s="32">
        <f>'FS Desroches Daily'!BT25</f>
        <v>20.000000000010232</v>
      </c>
      <c r="AN23" s="32">
        <f>'FS Desroches Daily'!BV25</f>
        <v>36</v>
      </c>
      <c r="AO23" s="32">
        <f>'FS Desroches Daily'!BX25</f>
        <v>30.000000000001137</v>
      </c>
      <c r="AP23" s="32">
        <f>'FS Desroches Daily'!BZ25</f>
        <v>58</v>
      </c>
      <c r="AQ23" s="31">
        <f>'FS Desroches Daily'!CB25</f>
        <v>48</v>
      </c>
      <c r="AR23" s="31">
        <f>'FS Desroches Daily'!CD25</f>
        <v>6.8999999999996362</v>
      </c>
      <c r="AS23" s="31">
        <f>'FS Desroches Daily'!CF25</f>
        <v>2.3000000000001819</v>
      </c>
      <c r="AT23" s="31">
        <f>'FS Desroches Daily'!CH25</f>
        <v>18.099999999998545</v>
      </c>
      <c r="AU23" s="31">
        <f>'FS Desroches Daily'!CJ25</f>
        <v>280</v>
      </c>
      <c r="AV23" s="31">
        <f>'FS Desroches Daily'!CL25</f>
        <v>799.99999999995453</v>
      </c>
      <c r="AW23" s="31">
        <f>'FS Desroches Daily'!CM25</f>
        <v>58.100000000000364</v>
      </c>
      <c r="AX23" s="31">
        <f>IF(LPG!F30-LPG!F29&lt;0,"0",(LPG!F30-LPG!F29)*1.8315)</f>
        <v>9.1574999999999989</v>
      </c>
      <c r="AY23" s="31">
        <f>IF(LPG!H30-LPG!H29&lt;0,"0",(LPG!H30-LPG!H29)*1.8315)</f>
        <v>3.6629999999999998</v>
      </c>
      <c r="AZ23" s="31">
        <f>IF(LPG!J30-LPG!J29&lt;0,"0",(LPG!J30-LPG!J29)*1.8315)</f>
        <v>1.8314999999999999</v>
      </c>
      <c r="BA23" s="31">
        <f>IF(LPG!M30-LPG!M29&lt;0,"0",(LPG!M30-LPG!M29)*1.8315)</f>
        <v>1.8314999999999999</v>
      </c>
      <c r="BB23" s="31">
        <f>IF(LPG!Q30-LPG!Q29&lt;0,"0",(LPG!Q30-LPG!Q29)*1.8315)</f>
        <v>5.4944999999999995</v>
      </c>
      <c r="BC23" s="13">
        <f>'FS Desroches Daily'!CN25</f>
        <v>8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1499.9999999996128</v>
      </c>
      <c r="F24" s="32">
        <f>'FS Desroches Daily'!F26</f>
        <v>2599.9999999997135</v>
      </c>
      <c r="G24" s="31">
        <f>'FS Desroches Daily'!H26</f>
        <v>2400.0000000001796</v>
      </c>
      <c r="H24" s="32">
        <f>'FS Desroches Daily'!J26</f>
        <v>1100.000000000101</v>
      </c>
      <c r="I24" s="31">
        <f>'FS Desroches Daily'!L26</f>
        <v>1900.0000000000127</v>
      </c>
      <c r="J24" s="32">
        <f>'FS Desroches Daily'!N26</f>
        <v>800.00000000013392</v>
      </c>
      <c r="K24" s="13">
        <f>'FS Desroches Daily'!P26</f>
        <v>0</v>
      </c>
      <c r="L24" s="31">
        <f>'FS Desroches Daily'!R26</f>
        <v>1</v>
      </c>
      <c r="M24" s="31">
        <f>'FS Desroches Daily'!T26</f>
        <v>892</v>
      </c>
      <c r="N24" s="31">
        <f>'FS Desroches Daily'!V26</f>
        <v>309.40000000002328</v>
      </c>
      <c r="O24" s="31">
        <f>'FS Desroches Daily'!X26</f>
        <v>270.00000000003865</v>
      </c>
      <c r="P24" s="31">
        <f>'FS Desroches Daily'!Z26</f>
        <v>2299.9999999999686</v>
      </c>
      <c r="Q24" s="31">
        <f>'FS Desroches Daily'!AB26</f>
        <v>289.99999999996362</v>
      </c>
      <c r="R24" s="31">
        <f>'FS Desroches Daily'!AD26</f>
        <v>170.00000000001592</v>
      </c>
      <c r="S24" s="31">
        <f>'FS Desroches Daily'!AF26</f>
        <v>259.99999999999091</v>
      </c>
      <c r="T24" s="31">
        <f>'FS Desroches Daily'!AH26</f>
        <v>33</v>
      </c>
      <c r="U24" s="35">
        <f>'FS Desroches Daily'!AJ26</f>
        <v>450.00000000004547</v>
      </c>
      <c r="V24" s="35">
        <f>'FS Desroches Daily'!AL26</f>
        <v>169.99999999998749</v>
      </c>
      <c r="W24" s="35">
        <f>'FS Desroches Daily'!AN26</f>
        <v>140.00000000001478</v>
      </c>
      <c r="X24" s="35">
        <f>'FS Desroches Daily'!AP26</f>
        <v>109.99999999998522</v>
      </c>
      <c r="Y24" s="35">
        <f>'FS Desroches Daily'!AR26</f>
        <v>60.000000000002274</v>
      </c>
      <c r="Z24" s="35">
        <f>'FS Desroches Daily'!AT26</f>
        <v>150.00000000003411</v>
      </c>
      <c r="AA24" s="35">
        <f>'FS Desroches Daily'!AT26</f>
        <v>150.00000000003411</v>
      </c>
      <c r="AB24" s="35">
        <f>'FS Desroches Daily'!AV26</f>
        <v>60.000000000002274</v>
      </c>
      <c r="AC24" s="35">
        <f>'FS Desroches Daily'!AZ26</f>
        <v>50.000000000011369</v>
      </c>
      <c r="AD24" s="35">
        <f>'FS Desroches Daily'!BB26</f>
        <v>19.99999999998181</v>
      </c>
      <c r="AE24" s="35">
        <f>'FS Desroches Daily'!BD26</f>
        <v>20.000000000010232</v>
      </c>
      <c r="AF24" s="31">
        <f>'FS Desroches Daily'!BF26</f>
        <v>26</v>
      </c>
      <c r="AG24" s="32">
        <f>'FS Desroches Daily'!BH26</f>
        <v>30.000000000001137</v>
      </c>
      <c r="AH24" s="32">
        <f>'FS Desroches Daily'!BJ26</f>
        <v>29.999999999972715</v>
      </c>
      <c r="AI24" s="32">
        <f>'FS Desroches Daily'!BL26</f>
        <v>30.000000000001137</v>
      </c>
      <c r="AJ24" s="32">
        <f>'FS Desroches Daily'!BN26</f>
        <v>39.999999999992042</v>
      </c>
      <c r="AK24" s="32">
        <f>'FS Desroches Daily'!BP26</f>
        <v>29.999999999972715</v>
      </c>
      <c r="AL24" s="32">
        <f>'FS Desroches Daily'!BR26</f>
        <v>23</v>
      </c>
      <c r="AM24" s="32">
        <f>'FS Desroches Daily'!BT26</f>
        <v>9.9999999999909051</v>
      </c>
      <c r="AN24" s="32">
        <f>'FS Desroches Daily'!BV26</f>
        <v>37</v>
      </c>
      <c r="AO24" s="32">
        <f>'FS Desroches Daily'!BX26</f>
        <v>20.000000000010232</v>
      </c>
      <c r="AP24" s="32">
        <f>'FS Desroches Daily'!BZ26</f>
        <v>45</v>
      </c>
      <c r="AQ24" s="31">
        <f>'FS Desroches Daily'!CB26</f>
        <v>60.799999999999272</v>
      </c>
      <c r="AR24" s="31">
        <f>'FS Desroches Daily'!CD26</f>
        <v>6.3999999999996362</v>
      </c>
      <c r="AS24" s="31">
        <f>'FS Desroches Daily'!CF26</f>
        <v>8.3999999999996362</v>
      </c>
      <c r="AT24" s="31">
        <f>'FS Desroches Daily'!CH26</f>
        <v>33.700000000004366</v>
      </c>
      <c r="AU24" s="31">
        <f>'FS Desroches Daily'!CJ26</f>
        <v>271</v>
      </c>
      <c r="AV24" s="31">
        <f>'FS Desroches Daily'!CL26</f>
        <v>669.99999999995907</v>
      </c>
      <c r="AW24" s="31">
        <f>'FS Desroches Daily'!CM26</f>
        <v>58.600000000000364</v>
      </c>
      <c r="AX24" s="31">
        <f>IF(LPG!F31-LPG!F30&lt;0,"0",(LPG!F31-LPG!F30)*1.8315)</f>
        <v>9.1574999999999989</v>
      </c>
      <c r="AY24" s="31">
        <f>IF(LPG!H31-LPG!H30&lt;0,"0",(LPG!H31-LPG!H30)*1.8315)</f>
        <v>1.8314999999999999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8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>
        <f>'FS Desroches Daily'!D27</f>
        <v>1700.0000000000348</v>
      </c>
      <c r="F25" s="32">
        <f>'FS Desroches Daily'!F27</f>
        <v>2800.0000000001355</v>
      </c>
      <c r="G25" s="31">
        <f>'FS Desroches Daily'!H27</f>
        <v>2400.0000000001796</v>
      </c>
      <c r="H25" s="32">
        <f>'FS Desroches Daily'!J27</f>
        <v>1299.9999999998568</v>
      </c>
      <c r="I25" s="31">
        <f>'FS Desroches Daily'!L27</f>
        <v>999.99999999988984</v>
      </c>
      <c r="J25" s="32">
        <f>'FS Desroches Daily'!N27</f>
        <v>799.99999999991189</v>
      </c>
      <c r="K25" s="13">
        <f>'FS Desroches Daily'!P27</f>
        <v>5</v>
      </c>
      <c r="L25" s="31">
        <f>'FS Desroches Daily'!R27</f>
        <v>2</v>
      </c>
      <c r="M25" s="31">
        <f>'FS Desroches Daily'!T27</f>
        <v>603.40000000002328</v>
      </c>
      <c r="N25" s="31">
        <f>'FS Desroches Daily'!V27</f>
        <v>266.20000000001164</v>
      </c>
      <c r="O25" s="31">
        <f>'FS Desroches Daily'!X27</f>
        <v>279.99999999997272</v>
      </c>
      <c r="P25" s="31">
        <f>'FS Desroches Daily'!Z27</f>
        <v>2499.9999999999468</v>
      </c>
      <c r="Q25" s="31">
        <f>'FS Desroches Daily'!AB27</f>
        <v>160.00000000002501</v>
      </c>
      <c r="R25" s="31">
        <f>'FS Desroches Daily'!AD27</f>
        <v>230.00000000001819</v>
      </c>
      <c r="S25" s="31">
        <f>'FS Desroches Daily'!AF27</f>
        <v>279.99999999997272</v>
      </c>
      <c r="T25" s="31">
        <f>'FS Desroches Daily'!AH27</f>
        <v>35</v>
      </c>
      <c r="U25" s="35">
        <f>'FS Desroches Daily'!AJ27</f>
        <v>529.99999999997272</v>
      </c>
      <c r="V25" s="35">
        <f>'FS Desroches Daily'!AL27</f>
        <v>180.00000000000682</v>
      </c>
      <c r="W25" s="35">
        <f>'FS Desroches Daily'!AN27</f>
        <v>149.99999999997726</v>
      </c>
      <c r="X25" s="35">
        <f>'FS Desroches Daily'!AP27</f>
        <v>120.00000000000455</v>
      </c>
      <c r="Y25" s="35">
        <f>'FS Desroches Daily'!AR27</f>
        <v>80.000000000012506</v>
      </c>
      <c r="Z25" s="35">
        <f>'FS Desroches Daily'!AT27</f>
        <v>129.99999999999545</v>
      </c>
      <c r="AA25" s="35">
        <f>'FS Desroches Daily'!AT27</f>
        <v>129.99999999999545</v>
      </c>
      <c r="AB25" s="35">
        <f>'FS Desroches Daily'!AV27</f>
        <v>60.000000000002274</v>
      </c>
      <c r="AC25" s="35">
        <f>'FS Desroches Daily'!AZ27</f>
        <v>60.000000000002274</v>
      </c>
      <c r="AD25" s="35">
        <f>'FS Desroches Daily'!BB27</f>
        <v>30.000000000029559</v>
      </c>
      <c r="AE25" s="35">
        <f>'FS Desroches Daily'!BD27</f>
        <v>39.999999999992042</v>
      </c>
      <c r="AF25" s="31">
        <f>'FS Desroches Daily'!BF27</f>
        <v>20</v>
      </c>
      <c r="AG25" s="32">
        <f>'FS Desroches Daily'!BH27</f>
        <v>40.000000000020464</v>
      </c>
      <c r="AH25" s="32">
        <f>'FS Desroches Daily'!BJ27</f>
        <v>30.000000000029559</v>
      </c>
      <c r="AI25" s="32">
        <f>'FS Desroches Daily'!BL27</f>
        <v>30.000000000001137</v>
      </c>
      <c r="AJ25" s="32">
        <f>'FS Desroches Daily'!BN27</f>
        <v>30.000000000001137</v>
      </c>
      <c r="AK25" s="32">
        <f>'FS Desroches Daily'!BP27</f>
        <v>30.000000000029559</v>
      </c>
      <c r="AL25" s="32">
        <f>'FS Desroches Daily'!BR27</f>
        <v>27</v>
      </c>
      <c r="AM25" s="32">
        <f>'FS Desroches Daily'!BT27</f>
        <v>20.000000000010232</v>
      </c>
      <c r="AN25" s="32">
        <f>'FS Desroches Daily'!BV27</f>
        <v>36</v>
      </c>
      <c r="AO25" s="32">
        <f>'FS Desroches Daily'!BX27</f>
        <v>19.99999999998181</v>
      </c>
      <c r="AP25" s="32">
        <f>'FS Desroches Daily'!BZ27</f>
        <v>57</v>
      </c>
      <c r="AQ25" s="31">
        <f>'FS Desroches Daily'!CB27</f>
        <v>28.099999999998545</v>
      </c>
      <c r="AR25" s="31">
        <f>'FS Desroches Daily'!CD27</f>
        <v>4</v>
      </c>
      <c r="AS25" s="31">
        <f>'FS Desroches Daily'!CF27</f>
        <v>8.1000000000003638</v>
      </c>
      <c r="AT25" s="31">
        <f>'FS Desroches Daily'!CH27</f>
        <v>38.299999999995634</v>
      </c>
      <c r="AU25" s="31">
        <f>'FS Desroches Daily'!CJ27</f>
        <v>294</v>
      </c>
      <c r="AV25" s="31">
        <f>'FS Desroches Daily'!CL27</f>
        <v>580.00000000004093</v>
      </c>
      <c r="AW25" s="31">
        <f>'FS Desroches Daily'!CM27</f>
        <v>69.100000000000364</v>
      </c>
      <c r="AX25" s="31">
        <f>IF(LPG!F32-LPG!F31&lt;0,"0",(LPG!F32-LPG!F31)*1.8315)</f>
        <v>7.3259999999999996</v>
      </c>
      <c r="AY25" s="31">
        <f>IF(LPG!H32-LPG!H31&lt;0,"0",(LPG!H32-LPG!H31)*1.8315)</f>
        <v>1.8314999999999999</v>
      </c>
      <c r="AZ25" s="31">
        <f>IF(LPG!J32-LPG!J31&lt;0,"0",(LPG!J32-LPG!J31)*1.8315)</f>
        <v>1.8314999999999999</v>
      </c>
      <c r="BA25" s="31">
        <f>IF(LPG!M32-LPG!M31&lt;0,"0",(LPG!M32-LPG!M31)*1.8315)</f>
        <v>1.8314999999999999</v>
      </c>
      <c r="BB25" s="31">
        <f>IF(LPG!Q32-LPG!Q31&lt;0,"0",(LPG!Q32-LPG!Q31)*1.8315)</f>
        <v>5.4944999999999995</v>
      </c>
      <c r="BC25" s="13">
        <f>'FS Desroches Daily'!CN27</f>
        <v>8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1700.0000000000348</v>
      </c>
      <c r="F26" s="32">
        <f>'FS Desroches Daily'!F28</f>
        <v>2600.0000000001578</v>
      </c>
      <c r="G26" s="31">
        <f>'FS Desroches Daily'!H28</f>
        <v>2199.9999999997576</v>
      </c>
      <c r="H26" s="32">
        <f>'FS Desroches Daily'!J28</f>
        <v>1200.0000000000898</v>
      </c>
      <c r="I26" s="31">
        <f>'FS Desroches Daily'!L28</f>
        <v>3000.0000000001137</v>
      </c>
      <c r="J26" s="32">
        <f>'FS Desroches Daily'!N28</f>
        <v>900.0000000001229</v>
      </c>
      <c r="K26" s="13">
        <f>'FS Desroches Daily'!P28</f>
        <v>4</v>
      </c>
      <c r="L26" s="31">
        <f>'FS Desroches Daily'!R28</f>
        <v>2</v>
      </c>
      <c r="M26" s="31">
        <f>'FS Desroches Daily'!T28</f>
        <v>546.59999999997672</v>
      </c>
      <c r="N26" s="31">
        <f>'FS Desroches Daily'!V28</f>
        <v>252.89999999996508</v>
      </c>
      <c r="O26" s="31">
        <f>'FS Desroches Daily'!X28</f>
        <v>240.00000000000909</v>
      </c>
      <c r="P26" s="31">
        <f>'FS Desroches Daily'!Z28</f>
        <v>2299.9999999999686</v>
      </c>
      <c r="Q26" s="31">
        <f>'FS Desroches Daily'!AB28</f>
        <v>289.99999999996362</v>
      </c>
      <c r="R26" s="31">
        <f>'FS Desroches Daily'!AD28</f>
        <v>229.99999999996135</v>
      </c>
      <c r="S26" s="31">
        <f>'FS Desroches Daily'!AF28</f>
        <v>320.00000000005002</v>
      </c>
      <c r="T26" s="31">
        <f>'FS Desroches Daily'!AH28</f>
        <v>34</v>
      </c>
      <c r="U26" s="35">
        <f>'FS Desroches Daily'!AJ28</f>
        <v>519.99999999998181</v>
      </c>
      <c r="V26" s="35">
        <f>'FS Desroches Daily'!AL28</f>
        <v>189.99999999999773</v>
      </c>
      <c r="W26" s="35">
        <f>'FS Desroches Daily'!AN28</f>
        <v>150.00000000000568</v>
      </c>
      <c r="X26" s="35">
        <f>'FS Desroches Daily'!AP28</f>
        <v>189.99999999999773</v>
      </c>
      <c r="Y26" s="35">
        <f>'FS Desroches Daily'!AR28</f>
        <v>79.999999999984084</v>
      </c>
      <c r="Z26" s="35">
        <f>'FS Desroches Daily'!AT28</f>
        <v>99.999999999965894</v>
      </c>
      <c r="AA26" s="35">
        <f>'FS Desroches Daily'!AT28</f>
        <v>99.999999999965894</v>
      </c>
      <c r="AB26" s="35">
        <f>'FS Desroches Daily'!AV28</f>
        <v>39.99999999996362</v>
      </c>
      <c r="AC26" s="35">
        <f>'FS Desroches Daily'!AZ28</f>
        <v>49.999999999954525</v>
      </c>
      <c r="AD26" s="35">
        <f>'FS Desroches Daily'!BB28</f>
        <v>29.999999999972715</v>
      </c>
      <c r="AE26" s="35">
        <f>'FS Desroches Daily'!BD28</f>
        <v>20.000000000010232</v>
      </c>
      <c r="AF26" s="31">
        <f>'FS Desroches Daily'!BF28</f>
        <v>49</v>
      </c>
      <c r="AG26" s="32">
        <f>'FS Desroches Daily'!BH28</f>
        <v>39.999999999992042</v>
      </c>
      <c r="AH26" s="32">
        <f>'FS Desroches Daily'!BJ28</f>
        <v>9.9999999999909051</v>
      </c>
      <c r="AI26" s="32">
        <f>'FS Desroches Daily'!BL28</f>
        <v>30.000000000001137</v>
      </c>
      <c r="AJ26" s="32">
        <f>'FS Desroches Daily'!BN28</f>
        <v>30.000000000001137</v>
      </c>
      <c r="AK26" s="32">
        <f>'FS Desroches Daily'!BP28</f>
        <v>19.99999999998181</v>
      </c>
      <c r="AL26" s="32">
        <f>'FS Desroches Daily'!BR28</f>
        <v>25</v>
      </c>
      <c r="AM26" s="32">
        <f>'FS Desroches Daily'!BT28</f>
        <v>20.000000000010232</v>
      </c>
      <c r="AN26" s="32">
        <f>'FS Desroches Daily'!BV28</f>
        <v>35</v>
      </c>
      <c r="AO26" s="32">
        <f>'FS Desroches Daily'!BX28</f>
        <v>30.000000000001137</v>
      </c>
      <c r="AP26" s="32">
        <f>'FS Desroches Daily'!BZ28</f>
        <v>41</v>
      </c>
      <c r="AQ26" s="31">
        <f>'FS Desroches Daily'!CB28</f>
        <v>25.700000000000728</v>
      </c>
      <c r="AR26" s="31">
        <f>'FS Desroches Daily'!CD28</f>
        <v>6.8000000000010914</v>
      </c>
      <c r="AS26" s="31">
        <f>'FS Desroches Daily'!CF28</f>
        <v>0</v>
      </c>
      <c r="AT26" s="31">
        <f>'FS Desroches Daily'!CH28</f>
        <v>37.30000000000291</v>
      </c>
      <c r="AU26" s="31">
        <f>'FS Desroches Daily'!CJ28</f>
        <v>326</v>
      </c>
      <c r="AV26" s="31">
        <f>'FS Desroches Daily'!CL28</f>
        <v>529.99999999997272</v>
      </c>
      <c r="AW26" s="31">
        <f>'FS Desroches Daily'!CM28</f>
        <v>54.600000000000364</v>
      </c>
      <c r="AX26" s="31">
        <f>IF(LPG!F33-LPG!F32&lt;0,"0",(LPG!F33-LPG!F32)*1.8315)</f>
        <v>10.988999999999999</v>
      </c>
      <c r="AY26" s="31">
        <f>IF(LPG!H33-LPG!H32&lt;0,"0",(LPG!H33-LPG!H32)*1.8315)</f>
        <v>3.6629999999999998</v>
      </c>
      <c r="AZ26" s="31">
        <f>IF(LPG!J33-LPG!J32&lt;0,"0",(LPG!J33-LPG!J32)*1.8315)</f>
        <v>1.8314999999999999</v>
      </c>
      <c r="BA26" s="31">
        <f>IF(LPG!M33-LPG!M32&lt;0,"0",(LPG!M33-LPG!M32)*1.8315)</f>
        <v>0</v>
      </c>
      <c r="BB26" s="31">
        <f>IF(LPG!Q33-LPG!Q32&lt;0,"0",(LPG!Q33-LPG!Q32)*1.8315)</f>
        <v>9.1574999999999989</v>
      </c>
      <c r="BC26" s="13">
        <f>'FS Desroches Daily'!CN28</f>
        <v>9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1800.0000000002458</v>
      </c>
      <c r="F27" s="32">
        <f>'FS Desroches Daily'!F29</f>
        <v>2799.9999999996917</v>
      </c>
      <c r="G27" s="31">
        <f>'FS Desroches Daily'!H29</f>
        <v>2400.0000000001796</v>
      </c>
      <c r="H27" s="32">
        <f>'FS Desroches Daily'!J29</f>
        <v>1400.0000000000678</v>
      </c>
      <c r="I27" s="31">
        <f>'FS Desroches Daily'!L29</f>
        <v>2000.0000000002237</v>
      </c>
      <c r="J27" s="32">
        <f>'FS Desroches Daily'!N29</f>
        <v>899.99999999990087</v>
      </c>
      <c r="K27" s="13">
        <f>'FS Desroches Daily'!P29</f>
        <v>9</v>
      </c>
      <c r="L27" s="31">
        <f>'FS Desroches Daily'!R29</f>
        <v>3</v>
      </c>
      <c r="M27" s="31">
        <f>'FS Desroches Daily'!T29</f>
        <v>809</v>
      </c>
      <c r="N27" s="31">
        <f>'FS Desroches Daily'!V29</f>
        <v>304.90000000002328</v>
      </c>
      <c r="O27" s="31">
        <f>'FS Desroches Daily'!X29</f>
        <v>279.99999999997272</v>
      </c>
      <c r="P27" s="31">
        <f>'FS Desroches Daily'!Z29</f>
        <v>2600.0000000001578</v>
      </c>
      <c r="Q27" s="31">
        <f>'FS Desroches Daily'!AB29</f>
        <v>260.00000000004775</v>
      </c>
      <c r="R27" s="31">
        <f>'FS Desroches Daily'!AD29</f>
        <v>260.00000000004775</v>
      </c>
      <c r="S27" s="31">
        <f>'FS Desroches Daily'!AF29</f>
        <v>279.99999999997272</v>
      </c>
      <c r="T27" s="31">
        <f>'FS Desroches Daily'!AH29</f>
        <v>33</v>
      </c>
      <c r="U27" s="35">
        <f>'FS Desroches Daily'!AJ29</f>
        <v>730.00000000001819</v>
      </c>
      <c r="V27" s="35">
        <f>'FS Desroches Daily'!AL29</f>
        <v>189.99999999999773</v>
      </c>
      <c r="W27" s="35">
        <f>'FS Desroches Daily'!AN29</f>
        <v>159.99999999999659</v>
      </c>
      <c r="X27" s="35">
        <f>'FS Desroches Daily'!AP29</f>
        <v>219.99999999999886</v>
      </c>
      <c r="Y27" s="35">
        <f>'FS Desroches Daily'!AR29</f>
        <v>60.000000000002274</v>
      </c>
      <c r="Z27" s="35">
        <f>'FS Desroches Daily'!AT29</f>
        <v>110.00000000001364</v>
      </c>
      <c r="AA27" s="35">
        <f>'FS Desroches Daily'!AT29</f>
        <v>110.00000000001364</v>
      </c>
      <c r="AB27" s="35">
        <f>'FS Desroches Daily'!AV29</f>
        <v>60.000000000002274</v>
      </c>
      <c r="AC27" s="35">
        <f>'FS Desroches Daily'!AZ29</f>
        <v>40.000000000020464</v>
      </c>
      <c r="AD27" s="35">
        <f>'FS Desroches Daily'!BB29</f>
        <v>20.000000000038654</v>
      </c>
      <c r="AE27" s="35">
        <f>'FS Desroches Daily'!BD29</f>
        <v>30.000000000001137</v>
      </c>
      <c r="AF27" s="31">
        <f>'FS Desroches Daily'!BF29</f>
        <v>38</v>
      </c>
      <c r="AG27" s="32">
        <f>'FS Desroches Daily'!BH29</f>
        <v>60.000000000002274</v>
      </c>
      <c r="AH27" s="32">
        <f>'FS Desroches Daily'!BJ29</f>
        <v>30.000000000029559</v>
      </c>
      <c r="AI27" s="32">
        <f>'FS Desroches Daily'!BL29</f>
        <v>20.000000000010232</v>
      </c>
      <c r="AJ27" s="32">
        <f>'FS Desroches Daily'!BN29</f>
        <v>39.999999999992042</v>
      </c>
      <c r="AK27" s="32">
        <f>'FS Desroches Daily'!BP29</f>
        <v>30.000000000029559</v>
      </c>
      <c r="AL27" s="32">
        <f>'FS Desroches Daily'!BR29</f>
        <v>25</v>
      </c>
      <c r="AM27" s="32">
        <f>'FS Desroches Daily'!BT29</f>
        <v>30.000000000001137</v>
      </c>
      <c r="AN27" s="32">
        <f>'FS Desroches Daily'!BV29</f>
        <v>39</v>
      </c>
      <c r="AO27" s="32">
        <f>'FS Desroches Daily'!BX29</f>
        <v>30.000000000001137</v>
      </c>
      <c r="AP27" s="32">
        <f>'FS Desroches Daily'!BZ29</f>
        <v>65</v>
      </c>
      <c r="AQ27" s="31">
        <f>'FS Desroches Daily'!CB29</f>
        <v>18.100000000002183</v>
      </c>
      <c r="AR27" s="31">
        <f>'FS Desroches Daily'!CD29</f>
        <v>8.6000000000003638</v>
      </c>
      <c r="AS27" s="31">
        <f>'FS Desroches Daily'!CF29</f>
        <v>2.3000000000001819</v>
      </c>
      <c r="AT27" s="31">
        <f>'FS Desroches Daily'!CH29</f>
        <v>36.69999999999709</v>
      </c>
      <c r="AU27" s="31">
        <f>'FS Desroches Daily'!CJ29</f>
        <v>370</v>
      </c>
      <c r="AV27" s="31">
        <f>'FS Desroches Daily'!CL29</f>
        <v>590.00000000003183</v>
      </c>
      <c r="AW27" s="31">
        <f>'FS Desroches Daily'!CM29</f>
        <v>57.799999999999272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>
        <f>IF(LPG!Q34-LPG!Q33&lt;0,"0",(LPG!Q34-LPG!Q33)*1.8315)</f>
        <v>9.1574999999999989</v>
      </c>
      <c r="BC27" s="13">
        <f>'FS Desroches Daily'!CN29</f>
        <v>9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>
        <f>'FS Desroches Daily'!D30</f>
        <v>1999.9999999997797</v>
      </c>
      <c r="F28" s="32">
        <f>'FS Desroches Daily'!F30</f>
        <v>2700.0000000003688</v>
      </c>
      <c r="G28" s="31">
        <f>'FS Desroches Daily'!H30</f>
        <v>2299.9999999999686</v>
      </c>
      <c r="H28" s="32">
        <f>'FS Desroches Daily'!J30</f>
        <v>1399.9999999998458</v>
      </c>
      <c r="I28" s="31">
        <f>'FS Desroches Daily'!L30</f>
        <v>1900.0000000000127</v>
      </c>
      <c r="J28" s="32">
        <f>'FS Desroches Daily'!N30</f>
        <v>999.99999999988984</v>
      </c>
      <c r="K28" s="13">
        <f>'FS Desroches Daily'!P30</f>
        <v>9</v>
      </c>
      <c r="L28" s="31">
        <f>'FS Desroches Daily'!R30</f>
        <v>2</v>
      </c>
      <c r="M28" s="31">
        <f>'FS Desroches Daily'!T30</f>
        <v>647.20000000006985</v>
      </c>
      <c r="N28" s="31">
        <f>'FS Desroches Daily'!V30</f>
        <v>254.89999999996508</v>
      </c>
      <c r="O28" s="31">
        <f>'FS Desroches Daily'!X30</f>
        <v>260.00000000004775</v>
      </c>
      <c r="P28" s="31">
        <f>'FS Desroches Daily'!Z30</f>
        <v>2400.0000000001796</v>
      </c>
      <c r="Q28" s="31">
        <f>'FS Desroches Daily'!AB30</f>
        <v>349.99999999996589</v>
      </c>
      <c r="R28" s="31">
        <f>'FS Desroches Daily'!AD30</f>
        <v>250</v>
      </c>
      <c r="S28" s="31">
        <f>'FS Desroches Daily'!AF30</f>
        <v>279.99999999997272</v>
      </c>
      <c r="T28" s="31">
        <f>'FS Desroches Daily'!AH30</f>
        <v>36</v>
      </c>
      <c r="U28" s="35">
        <f>'FS Desroches Daily'!AJ30</f>
        <v>850.00000000002274</v>
      </c>
      <c r="V28" s="35">
        <f>'FS Desroches Daily'!AL30</f>
        <v>180.00000000000682</v>
      </c>
      <c r="W28" s="35">
        <f>'FS Desroches Daily'!AN30</f>
        <v>210.00000000000796</v>
      </c>
      <c r="X28" s="35">
        <f>'FS Desroches Daily'!AP30</f>
        <v>180.00000000000682</v>
      </c>
      <c r="Y28" s="35">
        <f>'FS Desroches Daily'!AR30</f>
        <v>80.000000000012506</v>
      </c>
      <c r="Z28" s="35">
        <f>'FS Desroches Daily'!AT30</f>
        <v>100.00000000002274</v>
      </c>
      <c r="AA28" s="35">
        <f>'FS Desroches Daily'!AT30</f>
        <v>100.00000000002274</v>
      </c>
      <c r="AB28" s="35">
        <f>'FS Desroches Daily'!AV30</f>
        <v>60.000000000002274</v>
      </c>
      <c r="AC28" s="35">
        <f>'FS Desroches Daily'!AZ30</f>
        <v>40.000000000020464</v>
      </c>
      <c r="AD28" s="35">
        <f>'FS Desroches Daily'!BB30</f>
        <v>9.9999999999909051</v>
      </c>
      <c r="AE28" s="35">
        <f>'FS Desroches Daily'!BD30</f>
        <v>9.9999999999909051</v>
      </c>
      <c r="AF28" s="31">
        <f>'FS Desroches Daily'!BF30</f>
        <v>30</v>
      </c>
      <c r="AG28" s="32">
        <f>'FS Desroches Daily'!BH30</f>
        <v>39.999999999992042</v>
      </c>
      <c r="AH28" s="32">
        <f>'FS Desroches Daily'!BJ30</f>
        <v>19.99999999998181</v>
      </c>
      <c r="AI28" s="32">
        <f>'FS Desroches Daily'!BL30</f>
        <v>30.000000000001137</v>
      </c>
      <c r="AJ28" s="32">
        <f>'FS Desroches Daily'!BN30</f>
        <v>30.000000000001137</v>
      </c>
      <c r="AK28" s="32">
        <f>'FS Desroches Daily'!BP30</f>
        <v>29.999999999972715</v>
      </c>
      <c r="AL28" s="32">
        <f>'FS Desroches Daily'!BR30</f>
        <v>26</v>
      </c>
      <c r="AM28" s="32">
        <f>'FS Desroches Daily'!BT30</f>
        <v>19.99999999998181</v>
      </c>
      <c r="AN28" s="32">
        <f>'FS Desroches Daily'!BV30</f>
        <v>39</v>
      </c>
      <c r="AO28" s="32">
        <f>'FS Desroches Daily'!BX30</f>
        <v>30.000000000001137</v>
      </c>
      <c r="AP28" s="32">
        <f>'FS Desroches Daily'!BZ30</f>
        <v>71</v>
      </c>
      <c r="AQ28" s="31">
        <f>'FS Desroches Daily'!CB30</f>
        <v>31.899999999997817</v>
      </c>
      <c r="AR28" s="31">
        <f>'FS Desroches Daily'!CD30</f>
        <v>8.2999999999992724</v>
      </c>
      <c r="AS28" s="31">
        <f>'FS Desroches Daily'!CF30</f>
        <v>9</v>
      </c>
      <c r="AT28" s="31">
        <f>'FS Desroches Daily'!CH30</f>
        <v>44.200000000004366</v>
      </c>
      <c r="AU28" s="31">
        <f>'FS Desroches Daily'!CJ30</f>
        <v>286</v>
      </c>
      <c r="AV28" s="31">
        <f>'FS Desroches Daily'!CL30</f>
        <v>519.99999999998181</v>
      </c>
      <c r="AW28" s="31">
        <f>'FS Desroches Daily'!CM30</f>
        <v>49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 t="str">
        <f>IF(LPG!Q35-LPG!Q34&lt;0,"0",(LPG!Q35-LPG!Q34)*1.8315)</f>
        <v>0</v>
      </c>
      <c r="BC28" s="13">
        <f>'FS Desroches Daily'!CN30</f>
        <v>9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 t="str">
        <f>'FS Desroches Daily'!D31</f>
        <v>0</v>
      </c>
      <c r="F29" s="32" t="str">
        <f>'FS Desroches Daily'!F31</f>
        <v>0</v>
      </c>
      <c r="G29" s="31" t="str">
        <f>'FS Desroches Daily'!H31</f>
        <v>0</v>
      </c>
      <c r="H29" s="32" t="str">
        <f>'FS Desroches Daily'!J31</f>
        <v>0</v>
      </c>
      <c r="I29" s="31" t="str">
        <f>'FS Desroches Daily'!L31</f>
        <v>0</v>
      </c>
      <c r="J29" s="32" t="str">
        <f>'FS Desroches Daily'!N31</f>
        <v/>
      </c>
      <c r="K29" s="13" t="str">
        <f>'FS Desroches Daily'!P31</f>
        <v/>
      </c>
      <c r="L29" s="31" t="str">
        <f>'FS Desroches Daily'!R31</f>
        <v/>
      </c>
      <c r="M29" s="31" t="str">
        <f>'FS Desroches Daily'!T31</f>
        <v/>
      </c>
      <c r="N29" s="31" t="str">
        <f>'FS Desroches Daily'!V31</f>
        <v/>
      </c>
      <c r="O29" s="31" t="str">
        <f>'FS Desroches Daily'!X31</f>
        <v/>
      </c>
      <c r="P29" s="31" t="str">
        <f>'FS Desroches Daily'!Z31</f>
        <v/>
      </c>
      <c r="Q29" s="31" t="str">
        <f>'FS Desroches Daily'!AB31</f>
        <v/>
      </c>
      <c r="R29" s="31" t="str">
        <f>'FS Desroches Daily'!AD31</f>
        <v/>
      </c>
      <c r="S29" s="31" t="str">
        <f>'FS Desroches Daily'!AF31</f>
        <v/>
      </c>
      <c r="T29" s="31" t="str">
        <f>'FS Desroches Daily'!AH31</f>
        <v/>
      </c>
      <c r="U29" s="35" t="str">
        <f>'FS Desroches Daily'!AJ31</f>
        <v/>
      </c>
      <c r="V29" s="35" t="str">
        <f>'FS Desroches Daily'!AL31</f>
        <v/>
      </c>
      <c r="W29" s="35" t="str">
        <f>'FS Desroches Daily'!AN31</f>
        <v/>
      </c>
      <c r="X29" s="35" t="str">
        <f>'FS Desroches Daily'!AP31</f>
        <v/>
      </c>
      <c r="Y29" s="35" t="str">
        <f>'FS Desroches Daily'!AR31</f>
        <v/>
      </c>
      <c r="Z29" s="35" t="str">
        <f>'FS Desroches Daily'!AT31</f>
        <v/>
      </c>
      <c r="AA29" s="35" t="str">
        <f>'FS Desroches Daily'!AT31</f>
        <v/>
      </c>
      <c r="AB29" s="35" t="str">
        <f>'FS Desroches Daily'!AV31</f>
        <v/>
      </c>
      <c r="AC29" s="35" t="str">
        <f>'FS Desroches Daily'!AZ31</f>
        <v/>
      </c>
      <c r="AD29" s="35" t="str">
        <f>'FS Desroches Daily'!BB31</f>
        <v/>
      </c>
      <c r="AE29" s="35" t="str">
        <f>'FS Desroches Daily'!BD31</f>
        <v/>
      </c>
      <c r="AF29" s="31" t="str">
        <f>'FS Desroches Daily'!BF31</f>
        <v/>
      </c>
      <c r="AG29" s="32" t="str">
        <f>'FS Desroches Daily'!BH31</f>
        <v/>
      </c>
      <c r="AH29" s="32" t="str">
        <f>'FS Desroches Daily'!BJ31</f>
        <v/>
      </c>
      <c r="AI29" s="32" t="str">
        <f>'FS Desroches Daily'!BL31</f>
        <v/>
      </c>
      <c r="AJ29" s="32" t="str">
        <f>'FS Desroches Daily'!BN31</f>
        <v/>
      </c>
      <c r="AK29" s="32" t="str">
        <f>'FS Desroches Daily'!BP31</f>
        <v/>
      </c>
      <c r="AL29" s="32" t="str">
        <f>'FS Desroches Daily'!BR31</f>
        <v/>
      </c>
      <c r="AM29" s="32" t="str">
        <f>'FS Desroches Daily'!BT31</f>
        <v/>
      </c>
      <c r="AN29" s="32" t="str">
        <f>'FS Desroches Daily'!BV31</f>
        <v/>
      </c>
      <c r="AO29" s="32" t="str">
        <f>'FS Desroches Daily'!BX31</f>
        <v/>
      </c>
      <c r="AP29" s="32" t="str">
        <f>'FS Desroches Daily'!BZ31</f>
        <v/>
      </c>
      <c r="AQ29" s="31" t="str">
        <f>'FS Desroches Daily'!CB31</f>
        <v/>
      </c>
      <c r="AR29" s="31" t="str">
        <f>'FS Desroches Daily'!CD31</f>
        <v/>
      </c>
      <c r="AS29" s="31" t="str">
        <f>'FS Desroches Daily'!CF31</f>
        <v/>
      </c>
      <c r="AT29" s="31" t="str">
        <f>'FS Desroches Daily'!CH31</f>
        <v/>
      </c>
      <c r="AU29" s="31" t="str">
        <f>'FS Desroches Daily'!CJ31</f>
        <v/>
      </c>
      <c r="AV29" s="31" t="str">
        <f>'FS Desroches Daily'!CL31</f>
        <v/>
      </c>
      <c r="AW29" s="31" t="e">
        <f>'FS Desroches Daily'!CM31</f>
        <v>#VALUE!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6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50500</v>
      </c>
      <c r="F33" s="17">
        <f t="shared" ref="F33:BC33" si="1">SUM(F2:F32)</f>
        <v>74500.000000000044</v>
      </c>
      <c r="G33" s="17">
        <f t="shared" si="1"/>
        <v>68300.000000000276</v>
      </c>
      <c r="H33" s="17">
        <f t="shared" si="1"/>
        <v>34499.999999999985</v>
      </c>
      <c r="I33" s="17">
        <f t="shared" si="1"/>
        <v>55300.000000000371</v>
      </c>
      <c r="J33" s="17">
        <f t="shared" si="1"/>
        <v>25699.999999999844</v>
      </c>
      <c r="K33" s="17">
        <f t="shared" si="1"/>
        <v>196</v>
      </c>
      <c r="L33" s="17">
        <f t="shared" si="1"/>
        <v>75</v>
      </c>
      <c r="M33" s="17">
        <f t="shared" si="1"/>
        <v>19605.400000000023</v>
      </c>
      <c r="N33" s="17">
        <f t="shared" si="1"/>
        <v>8133.6999999999534</v>
      </c>
      <c r="O33" s="17">
        <f t="shared" si="1"/>
        <v>7990.0000000000073</v>
      </c>
      <c r="P33" s="17">
        <f t="shared" si="1"/>
        <v>66100.000000000073</v>
      </c>
      <c r="Q33" s="17">
        <f t="shared" si="1"/>
        <v>7639.9999999999873</v>
      </c>
      <c r="R33" s="17">
        <f t="shared" si="1"/>
        <v>7270.0000000000382</v>
      </c>
      <c r="S33" s="17">
        <f t="shared" si="1"/>
        <v>7879.9999999999955</v>
      </c>
      <c r="T33" s="17">
        <f t="shared" si="1"/>
        <v>935</v>
      </c>
      <c r="U33" s="35">
        <f t="shared" si="1"/>
        <v>14559.999999999945</v>
      </c>
      <c r="V33" s="35">
        <f t="shared" si="1"/>
        <v>5259.9999999999927</v>
      </c>
      <c r="W33" s="35">
        <f t="shared" si="1"/>
        <v>4430.0000000000064</v>
      </c>
      <c r="X33" s="35">
        <f t="shared" si="1"/>
        <v>3140.000000000015</v>
      </c>
      <c r="Y33" s="35">
        <f t="shared" si="1"/>
        <v>3490.0000000000091</v>
      </c>
      <c r="Z33" s="35">
        <f t="shared" si="1"/>
        <v>5384.9499999999662</v>
      </c>
      <c r="AA33" s="35">
        <f t="shared" si="1"/>
        <v>5384.9499999999662</v>
      </c>
      <c r="AB33" s="35">
        <f t="shared" si="1"/>
        <v>1629.9999999999955</v>
      </c>
      <c r="AC33" s="35">
        <f t="shared" si="1"/>
        <v>1240.0000000000091</v>
      </c>
      <c r="AD33" s="35">
        <f t="shared" si="1"/>
        <v>680.00000000000682</v>
      </c>
      <c r="AE33" s="35">
        <f t="shared" si="1"/>
        <v>689.99999999999773</v>
      </c>
      <c r="AF33" s="17">
        <f t="shared" si="1"/>
        <v>813</v>
      </c>
      <c r="AG33" s="32">
        <f t="shared" si="1"/>
        <v>949.99999999998863</v>
      </c>
      <c r="AH33" s="32">
        <f t="shared" si="1"/>
        <v>750</v>
      </c>
      <c r="AI33" s="32">
        <f t="shared" si="1"/>
        <v>860.00000000001364</v>
      </c>
      <c r="AJ33" s="32">
        <f t="shared" si="1"/>
        <v>979.99999999998977</v>
      </c>
      <c r="AK33" s="32">
        <f t="shared" si="1"/>
        <v>789.99999999996362</v>
      </c>
      <c r="AL33" s="32">
        <f t="shared" si="1"/>
        <v>664</v>
      </c>
      <c r="AM33" s="32">
        <f t="shared" si="1"/>
        <v>639.99999999998636</v>
      </c>
      <c r="AN33" s="32">
        <f t="shared" si="1"/>
        <v>1106</v>
      </c>
      <c r="AO33" s="32">
        <f t="shared" si="1"/>
        <v>710.00000000000796</v>
      </c>
      <c r="AP33" s="32">
        <f t="shared" si="1"/>
        <v>1293</v>
      </c>
      <c r="AQ33" s="17">
        <f t="shared" si="1"/>
        <v>849.29999999999927</v>
      </c>
      <c r="AR33" s="17">
        <f t="shared" si="1"/>
        <v>195.5</v>
      </c>
      <c r="AS33" s="17">
        <f t="shared" si="1"/>
        <v>128.80000000000018</v>
      </c>
      <c r="AT33" s="17">
        <f t="shared" si="1"/>
        <v>894.20000000000437</v>
      </c>
      <c r="AU33" s="17">
        <f t="shared" si="1"/>
        <v>7600</v>
      </c>
      <c r="AV33" s="17">
        <f t="shared" si="1"/>
        <v>18819.999999999935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208.79099999999994</v>
      </c>
      <c r="BC33" s="17">
        <f t="shared" si="1"/>
        <v>233</v>
      </c>
    </row>
    <row r="35" spans="5:55" x14ac:dyDescent="0.25">
      <c r="E35" s="38">
        <f>E33/E37</f>
        <v>0.20642745607795995</v>
      </c>
      <c r="G35" s="29">
        <f>G33-M36</f>
        <v>40560.9000000003</v>
      </c>
      <c r="AE35" s="35">
        <f>SUM(U33:AE33)</f>
        <v>45889.899999999914</v>
      </c>
      <c r="AG35" s="32">
        <f>SUM(AG33:AP33)</f>
        <v>8742.9999999999491</v>
      </c>
    </row>
    <row r="36" spans="5:55" x14ac:dyDescent="0.25">
      <c r="G36" s="29">
        <f>G35-633*14</f>
        <v>31698.9000000003</v>
      </c>
      <c r="M36" s="29">
        <f>M33+N33</f>
        <v>27739.099999999977</v>
      </c>
    </row>
    <row r="37" spans="5:55" x14ac:dyDescent="0.25">
      <c r="E37" s="17">
        <f>E33+F33+G33+H33+J33-633*14</f>
        <v>244638.00000000015</v>
      </c>
      <c r="G37" s="37">
        <f>M36/E37</f>
        <v>0.11338835340380464</v>
      </c>
      <c r="M37" s="35">
        <f>AE35</f>
        <v>45889.899999999914</v>
      </c>
    </row>
    <row r="38" spans="5:55" x14ac:dyDescent="0.25">
      <c r="L38" s="27">
        <f>M38/E37</f>
        <v>3.573851977207116E-2</v>
      </c>
      <c r="M38" s="29">
        <f>AG35</f>
        <v>8742.9999999999491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BV1" zoomScale="80" zoomScaleNormal="80" workbookViewId="0">
      <pane ySplit="1" topLeftCell="A12" activePane="bottomLeft" state="frozen"/>
      <selection pane="bottomLeft" activeCell="CP34" sqref="CP3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241.15</v>
      </c>
      <c r="BD4" s="65">
        <f t="shared" ref="BD4:BD34" si="22">IF((BC4-BC3&lt;0), "",(BC4-BC3)*1000)</f>
        <v>20.000000000010232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>
        <v>2.2446999999999999</v>
      </c>
      <c r="D5" s="64">
        <f t="shared" si="0"/>
        <v>1799.9999999998017</v>
      </c>
      <c r="E5" s="58">
        <v>3.1949000000000001</v>
      </c>
      <c r="F5" s="64">
        <f t="shared" si="1"/>
        <v>3000.0000000001137</v>
      </c>
      <c r="G5" s="58">
        <v>3.2574999999999998</v>
      </c>
      <c r="H5" s="64">
        <f t="shared" si="2"/>
        <v>2499.9999999999468</v>
      </c>
      <c r="I5" s="58">
        <v>1.6060000000000001</v>
      </c>
      <c r="J5" s="64">
        <f t="shared" si="3"/>
        <v>1200.0000000000898</v>
      </c>
      <c r="K5" s="58">
        <v>2.5948000000000002</v>
      </c>
      <c r="L5" s="64">
        <f t="shared" si="4"/>
        <v>2100.0000000004347</v>
      </c>
      <c r="M5" s="58">
        <v>1.4349000000000001</v>
      </c>
      <c r="N5" s="64">
        <f t="shared" si="5"/>
        <v>1000.0000000001119</v>
      </c>
      <c r="O5" s="58">
        <v>14220</v>
      </c>
      <c r="P5" s="67">
        <f>IF((O5-O4&lt;0), "",O5-O4)</f>
        <v>11</v>
      </c>
      <c r="Q5" s="58">
        <v>960</v>
      </c>
      <c r="R5" s="67">
        <f t="shared" si="6"/>
        <v>5</v>
      </c>
      <c r="S5" s="58">
        <v>974471</v>
      </c>
      <c r="T5" s="67">
        <f t="shared" si="7"/>
        <v>621.40000000002328</v>
      </c>
      <c r="U5" s="58">
        <v>409802.4</v>
      </c>
      <c r="V5" s="67">
        <f t="shared" si="8"/>
        <v>301.80000000004657</v>
      </c>
      <c r="W5" s="58">
        <v>390.85</v>
      </c>
      <c r="X5" s="65">
        <f t="shared" si="9"/>
        <v>310.00000000000227</v>
      </c>
      <c r="Y5" s="58">
        <v>2.7902999999999998</v>
      </c>
      <c r="Z5" s="65">
        <f t="shared" si="10"/>
        <v>2699.9999999999245</v>
      </c>
      <c r="AA5" s="58">
        <v>389.07</v>
      </c>
      <c r="AB5" s="65">
        <f t="shared" si="11"/>
        <v>319.99999999999318</v>
      </c>
      <c r="AC5" s="58">
        <v>364.01</v>
      </c>
      <c r="AD5" s="65">
        <f t="shared" si="12"/>
        <v>310.00000000000227</v>
      </c>
      <c r="AE5" s="58">
        <v>559.33000000000004</v>
      </c>
      <c r="AF5" s="65">
        <f t="shared" si="13"/>
        <v>230.00000000001819</v>
      </c>
      <c r="AG5" s="58">
        <v>3593</v>
      </c>
      <c r="AH5" s="67">
        <f t="shared" si="14"/>
        <v>34</v>
      </c>
      <c r="AI5" s="58">
        <v>599.66999999999996</v>
      </c>
      <c r="AJ5" s="65">
        <f t="shared" si="15"/>
        <v>479.9999999999045</v>
      </c>
      <c r="AK5" s="58">
        <v>199.93</v>
      </c>
      <c r="AL5" s="65">
        <f t="shared" si="15"/>
        <v>270.00000000001023</v>
      </c>
      <c r="AM5" s="58">
        <v>190.74</v>
      </c>
      <c r="AN5" s="65">
        <f t="shared" si="15"/>
        <v>129.99999999999545</v>
      </c>
      <c r="AO5" s="58">
        <v>186.27</v>
      </c>
      <c r="AP5" s="65">
        <f t="shared" si="15"/>
        <v>60.000000000002274</v>
      </c>
      <c r="AQ5" s="58">
        <v>244.15</v>
      </c>
      <c r="AR5" s="65">
        <f t="shared" si="16"/>
        <v>210.00000000000796</v>
      </c>
      <c r="AS5" s="58">
        <v>367.77</v>
      </c>
      <c r="AT5" s="65">
        <f t="shared" si="17"/>
        <v>169.99999999995907</v>
      </c>
      <c r="AU5" s="58">
        <v>283.99</v>
      </c>
      <c r="AV5" s="65">
        <f t="shared" si="18"/>
        <v>40.000000000020464</v>
      </c>
      <c r="AW5" s="58">
        <v>316.85000000000002</v>
      </c>
      <c r="AX5" s="65">
        <f t="shared" si="19"/>
        <v>90.000000000031832</v>
      </c>
      <c r="AY5" s="58">
        <v>360.34</v>
      </c>
      <c r="AZ5" s="65">
        <f t="shared" si="20"/>
        <v>39.99999999996362</v>
      </c>
      <c r="BA5" s="58">
        <v>380.55</v>
      </c>
      <c r="BB5" s="65">
        <f t="shared" si="21"/>
        <v>30.000000000029559</v>
      </c>
      <c r="BC5" s="58">
        <v>241.19</v>
      </c>
      <c r="BD5" s="65">
        <f t="shared" si="22"/>
        <v>39.999999999992042</v>
      </c>
      <c r="BE5" s="59">
        <v>39611</v>
      </c>
      <c r="BF5" s="67">
        <f t="shared" ref="BF5:BF34" si="39">IF((BE5-BE4&lt;0), "",BE5-BE4)</f>
        <v>34</v>
      </c>
      <c r="BG5" s="60">
        <v>233.23</v>
      </c>
      <c r="BH5" s="65">
        <f t="shared" si="23"/>
        <v>30.000000000001137</v>
      </c>
      <c r="BI5" s="60">
        <v>292.5</v>
      </c>
      <c r="BJ5" s="65">
        <f t="shared" ref="BJ5:BJ34" si="40">IF((BI5-BI4&lt;0), "",(BI5-BI4)*1000)</f>
        <v>29.999999999972715</v>
      </c>
      <c r="BK5" s="60">
        <v>236.15</v>
      </c>
      <c r="BL5" s="65">
        <f t="shared" si="24"/>
        <v>30.000000000001137</v>
      </c>
      <c r="BM5" s="60">
        <v>222.92</v>
      </c>
      <c r="BN5" s="65">
        <f t="shared" si="25"/>
        <v>39.999999999992042</v>
      </c>
      <c r="BO5" s="60">
        <v>286.91000000000003</v>
      </c>
      <c r="BP5" s="65">
        <f t="shared" si="26"/>
        <v>30.000000000029559</v>
      </c>
      <c r="BQ5" s="60">
        <v>44646</v>
      </c>
      <c r="BR5" s="65">
        <f t="shared" si="27"/>
        <v>25</v>
      </c>
      <c r="BS5" s="60">
        <v>200.17</v>
      </c>
      <c r="BT5" s="65">
        <f>IF((BS5-BS4&lt;0), "",(BS5-BS4)*1000)</f>
        <v>19.99999999998181</v>
      </c>
      <c r="BU5" s="60">
        <v>39666</v>
      </c>
      <c r="BV5" s="65">
        <f t="shared" si="29"/>
        <v>46</v>
      </c>
      <c r="BW5" s="60">
        <v>231.29</v>
      </c>
      <c r="BX5" s="65">
        <f t="shared" si="30"/>
        <v>30.000000000001137</v>
      </c>
      <c r="BY5" s="60">
        <v>59057</v>
      </c>
      <c r="BZ5" s="67">
        <f t="shared" si="31"/>
        <v>34</v>
      </c>
      <c r="CA5" s="60">
        <v>31166</v>
      </c>
      <c r="CB5" s="67">
        <f t="shared" si="32"/>
        <v>28.700000000000728</v>
      </c>
      <c r="CC5" s="60">
        <v>11985.1</v>
      </c>
      <c r="CD5" s="67">
        <f t="shared" si="33"/>
        <v>10.100000000000364</v>
      </c>
      <c r="CE5" s="60">
        <v>6291.9</v>
      </c>
      <c r="CF5" s="67">
        <f t="shared" si="34"/>
        <v>3.8999999999996362</v>
      </c>
      <c r="CG5" s="60">
        <v>58706.3</v>
      </c>
      <c r="CH5" s="67">
        <f t="shared" si="35"/>
        <v>27.5</v>
      </c>
      <c r="CI5" s="60">
        <v>941692</v>
      </c>
      <c r="CJ5" s="67">
        <f t="shared" si="36"/>
        <v>277</v>
      </c>
      <c r="CK5" s="60">
        <v>746.88</v>
      </c>
      <c r="CL5" s="64">
        <f t="shared" si="37"/>
        <v>860.00000000001364</v>
      </c>
      <c r="CM5" s="65">
        <f t="shared" ref="CM5:CM34" si="41">CQ5+CS5</f>
        <v>70</v>
      </c>
      <c r="CN5" s="62">
        <v>6</v>
      </c>
      <c r="CO5" s="62">
        <v>16</v>
      </c>
      <c r="CP5" s="68">
        <v>8452.2999999999993</v>
      </c>
      <c r="CQ5" s="67">
        <f t="shared" si="38"/>
        <v>53</v>
      </c>
      <c r="CR5" s="68">
        <v>13672</v>
      </c>
      <c r="CS5" s="67">
        <f t="shared" si="38"/>
        <v>17</v>
      </c>
      <c r="CT5" s="75">
        <v>6145</v>
      </c>
      <c r="CU5" s="67">
        <f t="shared" si="38"/>
        <v>13</v>
      </c>
      <c r="CV5" s="68">
        <v>14790</v>
      </c>
      <c r="CW5" s="67">
        <f t="shared" si="38"/>
        <v>18</v>
      </c>
    </row>
    <row r="6" spans="1:102" ht="24.75" customHeight="1" thickBot="1" x14ac:dyDescent="0.45">
      <c r="A6" s="63">
        <v>44350</v>
      </c>
      <c r="B6" s="44"/>
      <c r="C6" s="58">
        <v>2.2464</v>
      </c>
      <c r="D6" s="64">
        <f t="shared" si="0"/>
        <v>1700.0000000000348</v>
      </c>
      <c r="E6" s="58">
        <v>3.1977000000000002</v>
      </c>
      <c r="F6" s="64">
        <f t="shared" si="1"/>
        <v>2800.0000000001355</v>
      </c>
      <c r="G6" s="58">
        <v>3.2599</v>
      </c>
      <c r="H6" s="64">
        <f t="shared" si="2"/>
        <v>2400.0000000001796</v>
      </c>
      <c r="I6" s="58">
        <v>1.6073</v>
      </c>
      <c r="J6" s="64">
        <f t="shared" si="3"/>
        <v>1299.9999999998568</v>
      </c>
      <c r="K6" s="58">
        <v>2.5968</v>
      </c>
      <c r="L6" s="64">
        <f t="shared" si="4"/>
        <v>1999.9999999997797</v>
      </c>
      <c r="M6" s="58">
        <v>1.4358</v>
      </c>
      <c r="N6" s="64">
        <f t="shared" si="5"/>
        <v>899.99999999990087</v>
      </c>
      <c r="O6" s="58">
        <v>14222</v>
      </c>
      <c r="P6" s="67">
        <f>IF((O6-O5&lt;0), "",O6-O5)</f>
        <v>2</v>
      </c>
      <c r="Q6" s="58">
        <v>963</v>
      </c>
      <c r="R6" s="67">
        <f t="shared" si="6"/>
        <v>3</v>
      </c>
      <c r="S6" s="58">
        <v>975158.8</v>
      </c>
      <c r="T6" s="67">
        <f t="shared" si="7"/>
        <v>687.80000000004657</v>
      </c>
      <c r="U6" s="58">
        <v>410098.1</v>
      </c>
      <c r="V6" s="67">
        <f t="shared" si="8"/>
        <v>295.69999999995343</v>
      </c>
      <c r="W6" s="58">
        <v>391.16</v>
      </c>
      <c r="X6" s="65">
        <f t="shared" si="9"/>
        <v>310.00000000000227</v>
      </c>
      <c r="Y6" s="58">
        <v>2.7928000000000002</v>
      </c>
      <c r="Z6" s="65">
        <f t="shared" si="10"/>
        <v>2500.0000000003906</v>
      </c>
      <c r="AA6" s="58">
        <v>389.31</v>
      </c>
      <c r="AB6" s="65">
        <f t="shared" si="11"/>
        <v>240.00000000000909</v>
      </c>
      <c r="AC6" s="58">
        <v>364.3</v>
      </c>
      <c r="AD6" s="65">
        <f t="shared" si="12"/>
        <v>290.00000000002046</v>
      </c>
      <c r="AE6" s="58">
        <v>559.57000000000005</v>
      </c>
      <c r="AF6" s="65">
        <f t="shared" si="13"/>
        <v>240.00000000000909</v>
      </c>
      <c r="AG6" s="58">
        <v>3626</v>
      </c>
      <c r="AH6" s="67">
        <f t="shared" si="14"/>
        <v>33</v>
      </c>
      <c r="AI6" s="58">
        <v>600.13</v>
      </c>
      <c r="AJ6" s="65">
        <f t="shared" si="15"/>
        <v>460.00000000003638</v>
      </c>
      <c r="AK6" s="58">
        <v>200.19</v>
      </c>
      <c r="AL6" s="65">
        <f t="shared" si="15"/>
        <v>259.99999999999091</v>
      </c>
      <c r="AM6" s="58">
        <v>190.86</v>
      </c>
      <c r="AN6" s="65">
        <f t="shared" si="15"/>
        <v>120.00000000000455</v>
      </c>
      <c r="AO6" s="58">
        <v>186.36</v>
      </c>
      <c r="AP6" s="65">
        <f t="shared" si="15"/>
        <v>90.000000000003411</v>
      </c>
      <c r="AQ6" s="58">
        <v>244.34</v>
      </c>
      <c r="AR6" s="65">
        <f t="shared" si="16"/>
        <v>189.99999999999773</v>
      </c>
      <c r="AS6" s="58">
        <v>367.92</v>
      </c>
      <c r="AT6" s="65">
        <f t="shared" si="17"/>
        <v>150.00000000003411</v>
      </c>
      <c r="AU6" s="58">
        <v>284.02999999999997</v>
      </c>
      <c r="AV6" s="65">
        <f t="shared" si="18"/>
        <v>39.99999999996362</v>
      </c>
      <c r="AW6" s="58">
        <v>316.94</v>
      </c>
      <c r="AX6" s="65">
        <f t="shared" si="19"/>
        <v>89.999999999974989</v>
      </c>
      <c r="AY6" s="58">
        <v>360.37</v>
      </c>
      <c r="AZ6" s="65">
        <f t="shared" si="20"/>
        <v>30.000000000029559</v>
      </c>
      <c r="BA6" s="58">
        <v>380.56</v>
      </c>
      <c r="BB6" s="65">
        <f t="shared" si="21"/>
        <v>9.9999999999909051</v>
      </c>
      <c r="BC6" s="58">
        <v>241.2</v>
      </c>
      <c r="BD6" s="65">
        <f t="shared" si="22"/>
        <v>9.9999999999909051</v>
      </c>
      <c r="BE6" s="59">
        <v>39647</v>
      </c>
      <c r="BF6" s="67">
        <f t="shared" si="39"/>
        <v>36</v>
      </c>
      <c r="BG6" s="60">
        <v>233.26</v>
      </c>
      <c r="BH6" s="65">
        <f t="shared" si="23"/>
        <v>30.000000000001137</v>
      </c>
      <c r="BI6" s="60">
        <v>292.52999999999997</v>
      </c>
      <c r="BJ6" s="65">
        <f t="shared" si="40"/>
        <v>29.999999999972715</v>
      </c>
      <c r="BK6" s="60">
        <v>236.18</v>
      </c>
      <c r="BL6" s="65">
        <f t="shared" si="24"/>
        <v>30.000000000001137</v>
      </c>
      <c r="BM6" s="60">
        <v>222.96</v>
      </c>
      <c r="BN6" s="65">
        <f t="shared" si="25"/>
        <v>40.000000000020464</v>
      </c>
      <c r="BO6" s="60">
        <v>286.94</v>
      </c>
      <c r="BP6" s="65">
        <f t="shared" si="26"/>
        <v>29.999999999972715</v>
      </c>
      <c r="BQ6" s="60">
        <v>44669</v>
      </c>
      <c r="BR6" s="65">
        <f t="shared" si="27"/>
        <v>23</v>
      </c>
      <c r="BS6" s="60">
        <v>200.19</v>
      </c>
      <c r="BT6" s="65">
        <f t="shared" ref="BT6:BT35" si="42">IF((BS6-BS5&lt;0), "",(BS6-BS5)*1000)</f>
        <v>20.000000000010232</v>
      </c>
      <c r="BU6" s="60">
        <v>39711</v>
      </c>
      <c r="BV6" s="65">
        <f t="shared" si="29"/>
        <v>45</v>
      </c>
      <c r="BW6" s="60">
        <v>231.31</v>
      </c>
      <c r="BX6" s="65">
        <f t="shared" si="30"/>
        <v>20.000000000010232</v>
      </c>
      <c r="BY6" s="60">
        <v>59092</v>
      </c>
      <c r="BZ6" s="67">
        <f t="shared" si="31"/>
        <v>35</v>
      </c>
      <c r="CA6" s="60">
        <v>31193.5</v>
      </c>
      <c r="CB6" s="67">
        <f t="shared" si="32"/>
        <v>27.5</v>
      </c>
      <c r="CC6" s="60">
        <v>11992.9</v>
      </c>
      <c r="CD6" s="67">
        <f t="shared" si="33"/>
        <v>7.7999999999992724</v>
      </c>
      <c r="CE6" s="60">
        <v>6292.5</v>
      </c>
      <c r="CF6" s="67">
        <f t="shared" si="34"/>
        <v>0.6000000000003638</v>
      </c>
      <c r="CG6" s="60">
        <v>58731.1</v>
      </c>
      <c r="CH6" s="67">
        <f t="shared" si="35"/>
        <v>24.799999999995634</v>
      </c>
      <c r="CI6" s="60">
        <v>941965</v>
      </c>
      <c r="CJ6" s="67">
        <f t="shared" si="36"/>
        <v>273</v>
      </c>
      <c r="CK6" s="60">
        <v>747.47</v>
      </c>
      <c r="CL6" s="64">
        <f t="shared" si="37"/>
        <v>590.00000000003183</v>
      </c>
      <c r="CM6" s="65">
        <f t="shared" si="41"/>
        <v>56.400000000001455</v>
      </c>
      <c r="CN6" s="62">
        <v>6</v>
      </c>
      <c r="CO6" s="62">
        <v>16</v>
      </c>
      <c r="CP6" s="68">
        <v>8494.7000000000007</v>
      </c>
      <c r="CQ6" s="67">
        <f t="shared" si="38"/>
        <v>42.400000000001455</v>
      </c>
      <c r="CR6" s="68">
        <v>13686</v>
      </c>
      <c r="CS6" s="67">
        <f t="shared" si="38"/>
        <v>14</v>
      </c>
      <c r="CT6" s="75">
        <v>6156</v>
      </c>
      <c r="CU6" s="67">
        <f t="shared" si="38"/>
        <v>11</v>
      </c>
      <c r="CV6" s="68">
        <v>14806</v>
      </c>
      <c r="CW6" s="67">
        <f t="shared" si="38"/>
        <v>16</v>
      </c>
    </row>
    <row r="7" spans="1:102" ht="25.5" customHeight="1" thickBot="1" x14ac:dyDescent="0.45">
      <c r="A7" s="63">
        <v>44351</v>
      </c>
      <c r="B7" s="44"/>
      <c r="C7" s="58">
        <v>2.2480000000000002</v>
      </c>
      <c r="D7" s="64">
        <f t="shared" si="0"/>
        <v>1600.0000000002678</v>
      </c>
      <c r="E7" s="58">
        <v>3.2002000000000002</v>
      </c>
      <c r="F7" s="64">
        <f t="shared" si="1"/>
        <v>2499.9999999999468</v>
      </c>
      <c r="G7" s="58">
        <v>3.262</v>
      </c>
      <c r="H7" s="64">
        <f t="shared" si="2"/>
        <v>2099.9999999999909</v>
      </c>
      <c r="I7" s="58">
        <v>1.6085</v>
      </c>
      <c r="J7" s="64">
        <f t="shared" si="3"/>
        <v>1200.0000000000898</v>
      </c>
      <c r="K7" s="58">
        <v>2.5985999999999998</v>
      </c>
      <c r="L7" s="64">
        <f t="shared" si="4"/>
        <v>1799.9999999998017</v>
      </c>
      <c r="M7" s="58">
        <v>1.4367000000000001</v>
      </c>
      <c r="N7" s="64">
        <f t="shared" si="5"/>
        <v>900.0000000001229</v>
      </c>
      <c r="O7" s="58">
        <v>14231</v>
      </c>
      <c r="P7" s="67">
        <f t="shared" ref="P7:P10" si="43">IF((O7-O6&lt;0), "",O7-O6)</f>
        <v>9</v>
      </c>
      <c r="Q7" s="58">
        <v>964</v>
      </c>
      <c r="R7" s="67">
        <f t="shared" si="6"/>
        <v>1</v>
      </c>
      <c r="S7" s="58">
        <v>975960.8</v>
      </c>
      <c r="T7" s="67">
        <f t="shared" si="7"/>
        <v>802</v>
      </c>
      <c r="U7" s="58">
        <v>410456.9</v>
      </c>
      <c r="V7" s="67">
        <f t="shared" si="8"/>
        <v>358.80000000004657</v>
      </c>
      <c r="W7" s="58">
        <v>391.46</v>
      </c>
      <c r="X7" s="65">
        <f t="shared" si="9"/>
        <v>299.99999999995453</v>
      </c>
      <c r="Y7" s="58">
        <v>2.7955000000000001</v>
      </c>
      <c r="Z7" s="65">
        <f t="shared" si="10"/>
        <v>2699.9999999999245</v>
      </c>
      <c r="AA7" s="58">
        <v>389.62</v>
      </c>
      <c r="AB7" s="65">
        <f t="shared" si="11"/>
        <v>310.00000000000227</v>
      </c>
      <c r="AC7" s="58">
        <v>364.6</v>
      </c>
      <c r="AD7" s="65">
        <f t="shared" si="12"/>
        <v>300.00000000001137</v>
      </c>
      <c r="AE7" s="58">
        <v>559.88</v>
      </c>
      <c r="AF7" s="65">
        <f t="shared" si="13"/>
        <v>309.99999999994543</v>
      </c>
      <c r="AG7" s="58">
        <v>3662</v>
      </c>
      <c r="AH7" s="67">
        <f t="shared" si="14"/>
        <v>36</v>
      </c>
      <c r="AI7" s="58">
        <v>600.63</v>
      </c>
      <c r="AJ7" s="65">
        <f t="shared" si="15"/>
        <v>500</v>
      </c>
      <c r="AK7" s="58">
        <v>200.46</v>
      </c>
      <c r="AL7" s="65">
        <f t="shared" si="15"/>
        <v>270.00000000001023</v>
      </c>
      <c r="AM7" s="58">
        <v>191</v>
      </c>
      <c r="AN7" s="65">
        <f t="shared" si="15"/>
        <v>139.99999999998636</v>
      </c>
      <c r="AO7" s="58">
        <v>186.47</v>
      </c>
      <c r="AP7" s="65">
        <f t="shared" si="15"/>
        <v>109.99999999998522</v>
      </c>
      <c r="AQ7" s="58">
        <v>244.52</v>
      </c>
      <c r="AR7" s="65">
        <f t="shared" si="16"/>
        <v>180.00000000000682</v>
      </c>
      <c r="AS7" s="58">
        <v>368.12</v>
      </c>
      <c r="AT7" s="65">
        <f t="shared" si="17"/>
        <v>199.99999999998863</v>
      </c>
      <c r="AU7" s="58">
        <v>284.07</v>
      </c>
      <c r="AV7" s="65">
        <f t="shared" si="18"/>
        <v>40.000000000020464</v>
      </c>
      <c r="AW7" s="58">
        <v>317.04000000000002</v>
      </c>
      <c r="AX7" s="65">
        <f t="shared" si="19"/>
        <v>100.00000000002274</v>
      </c>
      <c r="AY7" s="58">
        <v>360.41</v>
      </c>
      <c r="AZ7" s="65">
        <f t="shared" si="20"/>
        <v>40.000000000020464</v>
      </c>
      <c r="BA7" s="58">
        <v>380.59</v>
      </c>
      <c r="BB7" s="65">
        <f t="shared" si="21"/>
        <v>29.999999999972715</v>
      </c>
      <c r="BC7" s="58">
        <v>241.23</v>
      </c>
      <c r="BD7" s="65">
        <f t="shared" si="22"/>
        <v>30.000000000001137</v>
      </c>
      <c r="BE7" s="59">
        <v>39698</v>
      </c>
      <c r="BF7" s="67">
        <f t="shared" si="39"/>
        <v>51</v>
      </c>
      <c r="BG7" s="60">
        <v>233.3</v>
      </c>
      <c r="BH7" s="65">
        <f t="shared" si="23"/>
        <v>40.000000000020464</v>
      </c>
      <c r="BI7" s="60">
        <v>292.56</v>
      </c>
      <c r="BJ7" s="65">
        <f t="shared" si="40"/>
        <v>30.000000000029559</v>
      </c>
      <c r="BK7" s="60">
        <v>236.22</v>
      </c>
      <c r="BL7" s="65">
        <f t="shared" si="24"/>
        <v>39.999999999992042</v>
      </c>
      <c r="BM7" s="60">
        <v>222.99</v>
      </c>
      <c r="BN7" s="65">
        <f t="shared" si="25"/>
        <v>30.000000000001137</v>
      </c>
      <c r="BO7" s="60">
        <v>286.98</v>
      </c>
      <c r="BP7" s="65">
        <f t="shared" si="26"/>
        <v>40.000000000020464</v>
      </c>
      <c r="BQ7" s="60">
        <v>44697</v>
      </c>
      <c r="BR7" s="65">
        <f t="shared" si="27"/>
        <v>28</v>
      </c>
      <c r="BS7" s="60">
        <v>200.22</v>
      </c>
      <c r="BT7" s="65">
        <f t="shared" si="42"/>
        <v>30.000000000001137</v>
      </c>
      <c r="BU7" s="60">
        <v>39755</v>
      </c>
      <c r="BV7" s="65">
        <f t="shared" si="29"/>
        <v>44</v>
      </c>
      <c r="BW7" s="60">
        <v>231.33</v>
      </c>
      <c r="BX7" s="65">
        <f t="shared" si="30"/>
        <v>20.000000000010232</v>
      </c>
      <c r="BY7" s="60">
        <v>59133</v>
      </c>
      <c r="BZ7" s="67">
        <f t="shared" si="31"/>
        <v>41</v>
      </c>
      <c r="CA7" s="60">
        <v>31226.400000000001</v>
      </c>
      <c r="CB7" s="67">
        <f t="shared" si="32"/>
        <v>32.900000000001455</v>
      </c>
      <c r="CC7" s="60">
        <v>12003.1</v>
      </c>
      <c r="CD7" s="67">
        <f t="shared" si="33"/>
        <v>10.200000000000728</v>
      </c>
      <c r="CE7" s="60">
        <v>6293.6</v>
      </c>
      <c r="CF7" s="67">
        <f t="shared" si="34"/>
        <v>1.1000000000003638</v>
      </c>
      <c r="CG7" s="60">
        <v>58766.1</v>
      </c>
      <c r="CH7" s="67">
        <f t="shared" si="35"/>
        <v>35</v>
      </c>
      <c r="CI7" s="60">
        <v>942245</v>
      </c>
      <c r="CJ7" s="67">
        <f t="shared" si="36"/>
        <v>280</v>
      </c>
      <c r="CK7" s="60">
        <v>748.13</v>
      </c>
      <c r="CL7" s="64">
        <f t="shared" si="37"/>
        <v>659.99999999996817</v>
      </c>
      <c r="CM7" s="65">
        <f t="shared" si="41"/>
        <v>42.099999999998545</v>
      </c>
      <c r="CN7" s="62">
        <v>6</v>
      </c>
      <c r="CO7" s="62">
        <v>16</v>
      </c>
      <c r="CP7" s="68">
        <v>8519.7999999999993</v>
      </c>
      <c r="CQ7" s="67">
        <f t="shared" si="38"/>
        <v>25.099999999998545</v>
      </c>
      <c r="CR7" s="68">
        <v>13703</v>
      </c>
      <c r="CS7" s="67">
        <f t="shared" si="38"/>
        <v>17</v>
      </c>
      <c r="CT7" s="75">
        <v>6168</v>
      </c>
      <c r="CU7" s="67">
        <f t="shared" si="38"/>
        <v>12</v>
      </c>
      <c r="CV7" s="68">
        <v>14832</v>
      </c>
      <c r="CW7" s="67">
        <f t="shared" si="38"/>
        <v>26</v>
      </c>
    </row>
    <row r="8" spans="1:102" ht="25.5" customHeight="1" thickBot="1" x14ac:dyDescent="0.45">
      <c r="A8" s="63">
        <v>44352</v>
      </c>
      <c r="B8" s="44"/>
      <c r="C8" s="58">
        <v>2.2507000000000001</v>
      </c>
      <c r="D8" s="64">
        <f t="shared" si="0"/>
        <v>2699.9999999999245</v>
      </c>
      <c r="E8" s="58">
        <v>3.2044000000000001</v>
      </c>
      <c r="F8" s="64">
        <f t="shared" si="1"/>
        <v>4199.9999999999818</v>
      </c>
      <c r="G8" s="58">
        <v>3.2654999999999998</v>
      </c>
      <c r="H8" s="64">
        <f t="shared" si="2"/>
        <v>3499.9999999998367</v>
      </c>
      <c r="I8" s="58">
        <v>1.6102000000000001</v>
      </c>
      <c r="J8" s="64">
        <f t="shared" si="3"/>
        <v>1700.0000000000348</v>
      </c>
      <c r="K8" s="58">
        <v>2.6012</v>
      </c>
      <c r="L8" s="64">
        <f t="shared" si="4"/>
        <v>2600.0000000001578</v>
      </c>
      <c r="M8" s="58">
        <v>1.4379</v>
      </c>
      <c r="N8" s="64">
        <f t="shared" si="5"/>
        <v>1199.9999999998679</v>
      </c>
      <c r="O8" s="58">
        <v>14231</v>
      </c>
      <c r="P8" s="67">
        <f t="shared" si="43"/>
        <v>0</v>
      </c>
      <c r="Q8" s="58">
        <v>967</v>
      </c>
      <c r="R8" s="67">
        <f t="shared" si="6"/>
        <v>3</v>
      </c>
      <c r="S8" s="58">
        <v>976519.2</v>
      </c>
      <c r="T8" s="67">
        <f t="shared" si="7"/>
        <v>558.39999999990687</v>
      </c>
      <c r="U8" s="58">
        <v>410729</v>
      </c>
      <c r="V8" s="67">
        <f t="shared" si="8"/>
        <v>272.09999999997672</v>
      </c>
      <c r="W8" s="58">
        <v>391.76</v>
      </c>
      <c r="X8" s="65">
        <f t="shared" si="9"/>
        <v>300.00000000001137</v>
      </c>
      <c r="Y8" s="58">
        <v>2.7982999999999998</v>
      </c>
      <c r="Z8" s="65">
        <f t="shared" si="10"/>
        <v>2799.9999999996917</v>
      </c>
      <c r="AA8" s="58">
        <v>389.82</v>
      </c>
      <c r="AB8" s="65">
        <f t="shared" si="11"/>
        <v>199.99999999998863</v>
      </c>
      <c r="AC8" s="58">
        <v>364.86</v>
      </c>
      <c r="AD8" s="65">
        <f t="shared" si="12"/>
        <v>259.99999999999091</v>
      </c>
      <c r="AE8" s="58">
        <v>560.13</v>
      </c>
      <c r="AF8" s="65">
        <f t="shared" si="13"/>
        <v>250</v>
      </c>
      <c r="AG8" s="58">
        <v>3699</v>
      </c>
      <c r="AH8" s="67">
        <f t="shared" si="14"/>
        <v>37</v>
      </c>
      <c r="AI8" s="58">
        <v>601.13</v>
      </c>
      <c r="AJ8" s="65">
        <f t="shared" si="15"/>
        <v>500</v>
      </c>
      <c r="AK8" s="58">
        <v>200.72</v>
      </c>
      <c r="AL8" s="65">
        <f t="shared" si="15"/>
        <v>259.99999999999091</v>
      </c>
      <c r="AM8" s="58">
        <v>191.17</v>
      </c>
      <c r="AN8" s="65">
        <f t="shared" si="15"/>
        <v>169.99999999998749</v>
      </c>
      <c r="AO8" s="58">
        <v>186.57</v>
      </c>
      <c r="AP8" s="65">
        <f t="shared" si="15"/>
        <v>99.999999999994316</v>
      </c>
      <c r="AQ8" s="58">
        <v>244.66</v>
      </c>
      <c r="AR8" s="65">
        <f t="shared" si="16"/>
        <v>139.99999999998636</v>
      </c>
      <c r="AS8" s="58">
        <v>368.36</v>
      </c>
      <c r="AT8" s="65">
        <f t="shared" si="17"/>
        <v>240.00000000000909</v>
      </c>
      <c r="AU8" s="58">
        <v>284.10000000000002</v>
      </c>
      <c r="AV8" s="65">
        <f t="shared" si="18"/>
        <v>30.000000000029559</v>
      </c>
      <c r="AW8" s="58">
        <v>317.29000000000002</v>
      </c>
      <c r="AX8" s="65">
        <f t="shared" si="19"/>
        <v>250</v>
      </c>
      <c r="AY8" s="58">
        <v>360.44</v>
      </c>
      <c r="AZ8" s="65">
        <f t="shared" si="20"/>
        <v>29.999999999972715</v>
      </c>
      <c r="BA8" s="58">
        <v>380.6</v>
      </c>
      <c r="BB8" s="65">
        <f t="shared" si="21"/>
        <v>10.000000000047748</v>
      </c>
      <c r="BC8" s="58">
        <v>241.25</v>
      </c>
      <c r="BD8" s="65">
        <f t="shared" si="22"/>
        <v>20.000000000010232</v>
      </c>
      <c r="BE8" s="59">
        <v>39725</v>
      </c>
      <c r="BF8" s="67">
        <f t="shared" si="39"/>
        <v>27</v>
      </c>
      <c r="BG8" s="60">
        <v>233.31</v>
      </c>
      <c r="BH8" s="65">
        <f t="shared" si="23"/>
        <v>9.9999999999909051</v>
      </c>
      <c r="BI8" s="60">
        <v>292.58</v>
      </c>
      <c r="BJ8" s="65">
        <f t="shared" si="40"/>
        <v>19.99999999998181</v>
      </c>
      <c r="BK8" s="60">
        <v>236.25</v>
      </c>
      <c r="BL8" s="65">
        <f t="shared" si="24"/>
        <v>30.000000000001137</v>
      </c>
      <c r="BM8" s="60">
        <v>223.03</v>
      </c>
      <c r="BN8" s="65">
        <f t="shared" si="25"/>
        <v>39.999999999992042</v>
      </c>
      <c r="BO8" s="60">
        <v>287.01</v>
      </c>
      <c r="BP8" s="65">
        <f t="shared" si="26"/>
        <v>29.999999999972715</v>
      </c>
      <c r="BQ8" s="60">
        <v>44722</v>
      </c>
      <c r="BR8" s="65">
        <f t="shared" si="27"/>
        <v>25</v>
      </c>
      <c r="BS8" s="60">
        <v>200.24</v>
      </c>
      <c r="BT8" s="65">
        <f t="shared" si="42"/>
        <v>20.000000000010232</v>
      </c>
      <c r="BU8" s="60">
        <v>39798</v>
      </c>
      <c r="BV8" s="65">
        <f t="shared" si="29"/>
        <v>43</v>
      </c>
      <c r="BW8" s="60">
        <v>231.35</v>
      </c>
      <c r="BX8" s="65">
        <f t="shared" si="30"/>
        <v>19.99999999998181</v>
      </c>
      <c r="BY8" s="60">
        <v>59167</v>
      </c>
      <c r="BZ8" s="67">
        <f t="shared" si="31"/>
        <v>34</v>
      </c>
      <c r="CA8" s="60">
        <v>31262.7</v>
      </c>
      <c r="CB8" s="67">
        <f t="shared" si="32"/>
        <v>36.299999999999272</v>
      </c>
      <c r="CC8" s="60">
        <v>12011</v>
      </c>
      <c r="CD8" s="67">
        <f t="shared" si="33"/>
        <v>7.8999999999996362</v>
      </c>
      <c r="CE8" s="60">
        <v>6299.2</v>
      </c>
      <c r="CF8" s="67">
        <f t="shared" si="34"/>
        <v>5.5999999999994543</v>
      </c>
      <c r="CG8" s="60">
        <v>58805.1</v>
      </c>
      <c r="CH8" s="67">
        <f t="shared" si="35"/>
        <v>39</v>
      </c>
      <c r="CI8" s="60">
        <v>942514</v>
      </c>
      <c r="CJ8" s="67">
        <f t="shared" si="36"/>
        <v>269</v>
      </c>
      <c r="CK8" s="60">
        <v>748.99</v>
      </c>
      <c r="CL8" s="64">
        <f t="shared" si="37"/>
        <v>860.00000000001364</v>
      </c>
      <c r="CM8" s="65">
        <f t="shared" si="41"/>
        <v>89.5</v>
      </c>
      <c r="CN8" s="62">
        <v>12</v>
      </c>
      <c r="CO8" s="62">
        <v>32</v>
      </c>
      <c r="CP8" s="68">
        <v>8588.2999999999993</v>
      </c>
      <c r="CQ8" s="67">
        <f t="shared" si="38"/>
        <v>68.5</v>
      </c>
      <c r="CR8" s="68">
        <v>13724</v>
      </c>
      <c r="CS8" s="67">
        <f t="shared" si="38"/>
        <v>21</v>
      </c>
      <c r="CT8" s="75">
        <v>6180</v>
      </c>
      <c r="CU8" s="67">
        <f t="shared" si="38"/>
        <v>12</v>
      </c>
      <c r="CV8" s="68">
        <v>14850</v>
      </c>
      <c r="CW8" s="67">
        <f t="shared" si="38"/>
        <v>18</v>
      </c>
    </row>
    <row r="9" spans="1:102" ht="25.5" customHeight="1" thickBot="1" x14ac:dyDescent="0.45">
      <c r="A9" s="63">
        <v>44353</v>
      </c>
      <c r="B9" s="44"/>
      <c r="C9" s="58">
        <v>2.2517999999999998</v>
      </c>
      <c r="D9" s="64">
        <f t="shared" si="0"/>
        <v>1099.9999999996569</v>
      </c>
      <c r="E9" s="58">
        <v>3.2063000000000001</v>
      </c>
      <c r="F9" s="64">
        <f t="shared" si="1"/>
        <v>1900.0000000000127</v>
      </c>
      <c r="G9" s="58">
        <v>3.2669000000000001</v>
      </c>
      <c r="H9" s="64">
        <f t="shared" si="2"/>
        <v>1400.0000000002899</v>
      </c>
      <c r="I9" s="58">
        <v>1.6111</v>
      </c>
      <c r="J9" s="64">
        <f t="shared" si="3"/>
        <v>899.99999999990087</v>
      </c>
      <c r="K9" s="58">
        <v>2.6025999999999998</v>
      </c>
      <c r="L9" s="64">
        <f t="shared" si="4"/>
        <v>1399.9999999998458</v>
      </c>
      <c r="M9" s="58">
        <v>1.4384999999999999</v>
      </c>
      <c r="N9" s="64">
        <f t="shared" si="5"/>
        <v>599.99999999993395</v>
      </c>
      <c r="O9" s="58">
        <v>14250</v>
      </c>
      <c r="P9" s="67">
        <f t="shared" si="43"/>
        <v>19</v>
      </c>
      <c r="Q9" s="58">
        <v>971</v>
      </c>
      <c r="R9" s="67">
        <f t="shared" si="6"/>
        <v>4</v>
      </c>
      <c r="S9" s="58">
        <v>977209.6</v>
      </c>
      <c r="T9" s="67">
        <f t="shared" si="7"/>
        <v>690.40000000002328</v>
      </c>
      <c r="U9" s="58">
        <v>411011</v>
      </c>
      <c r="V9" s="67">
        <f t="shared" si="8"/>
        <v>282</v>
      </c>
      <c r="W9" s="58">
        <v>392.08</v>
      </c>
      <c r="X9" s="65">
        <f t="shared" si="9"/>
        <v>319.99999999999318</v>
      </c>
      <c r="Y9" s="58">
        <v>2.8008000000000002</v>
      </c>
      <c r="Z9" s="65">
        <f t="shared" si="10"/>
        <v>2500.0000000003906</v>
      </c>
      <c r="AA9" s="58">
        <v>390.19</v>
      </c>
      <c r="AB9" s="65">
        <f t="shared" si="11"/>
        <v>370.00000000000455</v>
      </c>
      <c r="AC9" s="58">
        <v>365.11</v>
      </c>
      <c r="AD9" s="65">
        <f t="shared" si="12"/>
        <v>250</v>
      </c>
      <c r="AE9" s="58">
        <v>560.41</v>
      </c>
      <c r="AF9" s="65">
        <f t="shared" si="13"/>
        <v>279.99999999997272</v>
      </c>
      <c r="AG9" s="58">
        <v>3733</v>
      </c>
      <c r="AH9" s="67">
        <f t="shared" si="14"/>
        <v>34</v>
      </c>
      <c r="AI9" s="58">
        <v>601.64</v>
      </c>
      <c r="AJ9" s="65">
        <f t="shared" si="15"/>
        <v>509.99999999999091</v>
      </c>
      <c r="AK9" s="58">
        <v>200.93</v>
      </c>
      <c r="AL9" s="65">
        <f t="shared" si="15"/>
        <v>210.00000000000796</v>
      </c>
      <c r="AM9" s="58">
        <v>191.31</v>
      </c>
      <c r="AN9" s="65">
        <f t="shared" si="15"/>
        <v>140.00000000001478</v>
      </c>
      <c r="AO9" s="58">
        <v>186.62</v>
      </c>
      <c r="AP9" s="65">
        <f t="shared" si="15"/>
        <v>50.000000000011369</v>
      </c>
      <c r="AQ9" s="58">
        <v>244.79</v>
      </c>
      <c r="AR9" s="65">
        <f t="shared" si="16"/>
        <v>129.99999999999545</v>
      </c>
      <c r="AS9" s="58">
        <v>368.58</v>
      </c>
      <c r="AT9" s="65">
        <f t="shared" si="17"/>
        <v>219.99999999997044</v>
      </c>
      <c r="AU9" s="58">
        <v>284.17</v>
      </c>
      <c r="AV9" s="65">
        <f t="shared" si="18"/>
        <v>69.999999999993179</v>
      </c>
      <c r="AW9" s="58">
        <v>317.47000000000003</v>
      </c>
      <c r="AX9" s="65">
        <f t="shared" si="19"/>
        <v>180.00000000000682</v>
      </c>
      <c r="AY9" s="58">
        <v>360.48</v>
      </c>
      <c r="AZ9" s="65">
        <f t="shared" si="20"/>
        <v>40.000000000020464</v>
      </c>
      <c r="BA9" s="58">
        <v>380.63</v>
      </c>
      <c r="BB9" s="65">
        <f t="shared" si="21"/>
        <v>29.999999999972715</v>
      </c>
      <c r="BC9" s="58">
        <v>241.27</v>
      </c>
      <c r="BD9" s="65">
        <f t="shared" si="22"/>
        <v>20.000000000010232</v>
      </c>
      <c r="BE9" s="59">
        <v>39755</v>
      </c>
      <c r="BF9" s="67">
        <f t="shared" si="39"/>
        <v>30</v>
      </c>
      <c r="BG9" s="60">
        <v>233.34</v>
      </c>
      <c r="BH9" s="65">
        <f t="shared" si="23"/>
        <v>30.000000000001137</v>
      </c>
      <c r="BI9" s="60">
        <v>292.61</v>
      </c>
      <c r="BJ9" s="65">
        <f t="shared" si="40"/>
        <v>30.000000000029559</v>
      </c>
      <c r="BK9" s="60">
        <v>236.29</v>
      </c>
      <c r="BL9" s="65">
        <f t="shared" si="24"/>
        <v>39.999999999992042</v>
      </c>
      <c r="BM9" s="60">
        <v>223.07</v>
      </c>
      <c r="BN9" s="65">
        <f t="shared" si="25"/>
        <v>39.999999999992042</v>
      </c>
      <c r="BO9" s="60">
        <v>287.04000000000002</v>
      </c>
      <c r="BP9" s="65">
        <f t="shared" si="26"/>
        <v>30.000000000029559</v>
      </c>
      <c r="BQ9" s="60">
        <v>44747</v>
      </c>
      <c r="BR9" s="65">
        <f t="shared" si="27"/>
        <v>25</v>
      </c>
      <c r="BS9" s="60">
        <v>200.26</v>
      </c>
      <c r="BT9" s="65">
        <f t="shared" si="42"/>
        <v>19.99999999998181</v>
      </c>
      <c r="BU9" s="60">
        <v>39839</v>
      </c>
      <c r="BV9" s="65">
        <f t="shared" si="29"/>
        <v>41</v>
      </c>
      <c r="BW9" s="60">
        <v>231.38</v>
      </c>
      <c r="BX9" s="65">
        <f t="shared" si="30"/>
        <v>30.000000000001137</v>
      </c>
      <c r="BY9" s="60">
        <v>59203</v>
      </c>
      <c r="BZ9" s="67">
        <f t="shared" si="31"/>
        <v>36</v>
      </c>
      <c r="CA9" s="60">
        <v>31297.5</v>
      </c>
      <c r="CB9" s="67">
        <f t="shared" si="32"/>
        <v>34.799999999999272</v>
      </c>
      <c r="CC9" s="60">
        <v>12017.3</v>
      </c>
      <c r="CD9" s="67">
        <f t="shared" si="33"/>
        <v>6.2999999999992724</v>
      </c>
      <c r="CE9" s="60">
        <v>6308.2</v>
      </c>
      <c r="CF9" s="67">
        <f t="shared" si="34"/>
        <v>9</v>
      </c>
      <c r="CG9" s="60">
        <v>58843.6</v>
      </c>
      <c r="CH9" s="67">
        <f t="shared" si="35"/>
        <v>38.5</v>
      </c>
      <c r="CI9" s="60">
        <v>942794</v>
      </c>
      <c r="CJ9" s="67">
        <f t="shared" si="36"/>
        <v>280</v>
      </c>
      <c r="CK9" s="60">
        <v>749.38</v>
      </c>
      <c r="CL9" s="64">
        <f t="shared" si="37"/>
        <v>389.99999999998636</v>
      </c>
      <c r="CM9" s="65">
        <f t="shared" si="41"/>
        <v>47.400000000001455</v>
      </c>
      <c r="CN9" s="62">
        <v>12</v>
      </c>
      <c r="CO9" s="62">
        <v>32</v>
      </c>
      <c r="CP9" s="68">
        <v>8618.7000000000007</v>
      </c>
      <c r="CQ9" s="67">
        <f t="shared" si="38"/>
        <v>30.400000000001455</v>
      </c>
      <c r="CR9" s="68">
        <v>13741</v>
      </c>
      <c r="CS9" s="67">
        <f t="shared" si="38"/>
        <v>17</v>
      </c>
      <c r="CT9" s="75">
        <v>6193</v>
      </c>
      <c r="CU9" s="67">
        <f t="shared" si="38"/>
        <v>13</v>
      </c>
      <c r="CV9" s="68">
        <v>14876</v>
      </c>
      <c r="CW9" s="67">
        <f t="shared" si="38"/>
        <v>26</v>
      </c>
    </row>
    <row r="10" spans="1:102" ht="25.5" customHeight="1" thickBot="1" x14ac:dyDescent="0.45">
      <c r="A10" s="63">
        <v>44354</v>
      </c>
      <c r="B10" s="44"/>
      <c r="C10" s="58">
        <v>2.2534999999999998</v>
      </c>
      <c r="D10" s="64">
        <f t="shared" si="0"/>
        <v>1700.0000000000348</v>
      </c>
      <c r="E10" s="58">
        <v>3.2088000000000001</v>
      </c>
      <c r="F10" s="64">
        <f t="shared" si="1"/>
        <v>2499.9999999999468</v>
      </c>
      <c r="G10" s="58">
        <v>3.2692000000000001</v>
      </c>
      <c r="H10" s="64">
        <f t="shared" si="2"/>
        <v>2299.9999999999686</v>
      </c>
      <c r="I10" s="58">
        <v>1.6122000000000001</v>
      </c>
      <c r="J10" s="64">
        <f t="shared" si="3"/>
        <v>1100.000000000101</v>
      </c>
      <c r="K10" s="58">
        <v>2.6044</v>
      </c>
      <c r="L10" s="64">
        <f t="shared" si="4"/>
        <v>1800.0000000002458</v>
      </c>
      <c r="M10" s="58">
        <v>1.4396</v>
      </c>
      <c r="N10" s="64">
        <f t="shared" si="5"/>
        <v>1100.000000000101</v>
      </c>
      <c r="O10" s="58">
        <v>14265</v>
      </c>
      <c r="P10" s="67">
        <f t="shared" si="43"/>
        <v>15</v>
      </c>
      <c r="Q10" s="58">
        <v>974</v>
      </c>
      <c r="R10" s="67">
        <f t="shared" si="6"/>
        <v>3</v>
      </c>
      <c r="S10" s="58">
        <v>978084.4</v>
      </c>
      <c r="T10" s="67">
        <f t="shared" si="7"/>
        <v>874.80000000004657</v>
      </c>
      <c r="U10" s="58">
        <v>411351.8</v>
      </c>
      <c r="V10" s="67">
        <f t="shared" si="8"/>
        <v>340.79999999998836</v>
      </c>
      <c r="W10" s="58">
        <v>392.4</v>
      </c>
      <c r="X10" s="65">
        <f t="shared" si="9"/>
        <v>319.99999999999318</v>
      </c>
      <c r="Y10" s="58">
        <v>2.8033000000000001</v>
      </c>
      <c r="Z10" s="65">
        <f t="shared" si="10"/>
        <v>2499.9999999999468</v>
      </c>
      <c r="AA10" s="58">
        <v>390.59</v>
      </c>
      <c r="AB10" s="65">
        <f t="shared" si="11"/>
        <v>399.99999999997726</v>
      </c>
      <c r="AC10" s="58">
        <v>365.37</v>
      </c>
      <c r="AD10" s="65">
        <f t="shared" si="12"/>
        <v>259.99999999999091</v>
      </c>
      <c r="AE10" s="58">
        <v>560.74</v>
      </c>
      <c r="AF10" s="65">
        <f t="shared" si="13"/>
        <v>330.00000000004093</v>
      </c>
      <c r="AG10" s="58">
        <v>3768</v>
      </c>
      <c r="AH10" s="67">
        <f t="shared" si="14"/>
        <v>35</v>
      </c>
      <c r="AI10" s="58">
        <v>602.04999999999995</v>
      </c>
      <c r="AJ10" s="65">
        <f t="shared" si="15"/>
        <v>409.99999999996817</v>
      </c>
      <c r="AK10" s="58">
        <v>201.12</v>
      </c>
      <c r="AL10" s="65">
        <f t="shared" si="15"/>
        <v>189.99999999999773</v>
      </c>
      <c r="AM10" s="58">
        <v>191.49</v>
      </c>
      <c r="AN10" s="65">
        <f t="shared" si="15"/>
        <v>180.00000000000682</v>
      </c>
      <c r="AO10" s="58">
        <v>186.7</v>
      </c>
      <c r="AP10" s="65">
        <f t="shared" si="15"/>
        <v>79.999999999984084</v>
      </c>
      <c r="AQ10" s="58">
        <v>244.92</v>
      </c>
      <c r="AR10" s="65">
        <f t="shared" si="16"/>
        <v>129.99999999999545</v>
      </c>
      <c r="AS10" s="58">
        <v>368.81</v>
      </c>
      <c r="AT10" s="65">
        <f t="shared" si="17"/>
        <v>230.00000000001819</v>
      </c>
      <c r="AU10" s="58">
        <v>284.23</v>
      </c>
      <c r="AV10" s="65">
        <f t="shared" si="18"/>
        <v>60.000000000002274</v>
      </c>
      <c r="AW10" s="58">
        <v>317.66000000000003</v>
      </c>
      <c r="AX10" s="65">
        <f t="shared" si="19"/>
        <v>189.99999999999773</v>
      </c>
      <c r="AY10" s="58">
        <v>360.52</v>
      </c>
      <c r="AZ10" s="65">
        <f t="shared" si="20"/>
        <v>39.99999999996362</v>
      </c>
      <c r="BA10" s="58">
        <v>380.65</v>
      </c>
      <c r="BB10" s="65">
        <f t="shared" si="21"/>
        <v>19.99999999998181</v>
      </c>
      <c r="BC10" s="58">
        <v>241.3</v>
      </c>
      <c r="BD10" s="65">
        <f t="shared" si="22"/>
        <v>30.000000000001137</v>
      </c>
      <c r="BE10" s="59">
        <v>39768</v>
      </c>
      <c r="BF10" s="67">
        <f t="shared" si="39"/>
        <v>13</v>
      </c>
      <c r="BG10" s="60">
        <v>233.37</v>
      </c>
      <c r="BH10" s="65">
        <f t="shared" si="23"/>
        <v>30.000000000001137</v>
      </c>
      <c r="BI10" s="60">
        <v>292.64</v>
      </c>
      <c r="BJ10" s="65">
        <f t="shared" si="40"/>
        <v>29.999999999972715</v>
      </c>
      <c r="BK10" s="60">
        <v>236.32</v>
      </c>
      <c r="BL10" s="65">
        <f t="shared" si="24"/>
        <v>30.000000000001137</v>
      </c>
      <c r="BM10" s="60">
        <v>223.1</v>
      </c>
      <c r="BN10" s="65">
        <f t="shared" si="25"/>
        <v>30.000000000001137</v>
      </c>
      <c r="BO10" s="60">
        <v>287.08</v>
      </c>
      <c r="BP10" s="65">
        <f t="shared" si="26"/>
        <v>39.99999999996362</v>
      </c>
      <c r="BQ10" s="60">
        <v>44773</v>
      </c>
      <c r="BR10" s="65">
        <f t="shared" si="27"/>
        <v>26</v>
      </c>
      <c r="BS10" s="60">
        <v>200.29</v>
      </c>
      <c r="BT10" s="65">
        <f t="shared" si="42"/>
        <v>30.000000000001137</v>
      </c>
      <c r="BU10" s="60">
        <v>39883</v>
      </c>
      <c r="BV10" s="65">
        <f t="shared" si="29"/>
        <v>44</v>
      </c>
      <c r="BW10" s="60">
        <v>231.41</v>
      </c>
      <c r="BX10" s="65">
        <f t="shared" si="30"/>
        <v>30.000000000001137</v>
      </c>
      <c r="BY10" s="60">
        <v>59244</v>
      </c>
      <c r="BZ10" s="67">
        <f t="shared" si="31"/>
        <v>41</v>
      </c>
      <c r="CA10" s="60">
        <v>31322.400000000001</v>
      </c>
      <c r="CB10" s="67">
        <f t="shared" si="32"/>
        <v>24.900000000001455</v>
      </c>
      <c r="CC10" s="60">
        <v>12024.1</v>
      </c>
      <c r="CD10" s="67">
        <f t="shared" si="33"/>
        <v>6.8000000000010914</v>
      </c>
      <c r="CE10" s="60">
        <v>6309.5</v>
      </c>
      <c r="CF10" s="67">
        <f t="shared" si="34"/>
        <v>1.3000000000001819</v>
      </c>
      <c r="CG10" s="60">
        <v>58874.8</v>
      </c>
      <c r="CH10" s="67">
        <f t="shared" si="35"/>
        <v>31.200000000004366</v>
      </c>
      <c r="CI10" s="60">
        <v>943096</v>
      </c>
      <c r="CJ10" s="67">
        <f t="shared" si="36"/>
        <v>302</v>
      </c>
      <c r="CK10" s="60">
        <v>750.14</v>
      </c>
      <c r="CL10" s="64">
        <f t="shared" si="37"/>
        <v>759.99999999999091</v>
      </c>
      <c r="CM10" s="65">
        <f t="shared" si="41"/>
        <v>67.099999999998545</v>
      </c>
      <c r="CN10" s="62">
        <v>12</v>
      </c>
      <c r="CO10" s="62">
        <v>32</v>
      </c>
      <c r="CP10" s="68">
        <v>8659.7999999999993</v>
      </c>
      <c r="CQ10" s="67">
        <f>IF((CP10-CP9&lt;0), "",CP10-CP9)</f>
        <v>41.099999999998545</v>
      </c>
      <c r="CR10" s="68">
        <v>13767</v>
      </c>
      <c r="CS10" s="67">
        <f t="shared" si="38"/>
        <v>26</v>
      </c>
      <c r="CT10" s="75">
        <v>6204</v>
      </c>
      <c r="CU10" s="67">
        <f t="shared" si="38"/>
        <v>11</v>
      </c>
      <c r="CV10" s="68">
        <v>14895</v>
      </c>
      <c r="CW10" s="67">
        <f t="shared" si="38"/>
        <v>19</v>
      </c>
    </row>
    <row r="11" spans="1:102" ht="25.5" customHeight="1" thickBot="1" x14ac:dyDescent="0.45">
      <c r="A11" s="63">
        <v>44355</v>
      </c>
      <c r="B11" s="44"/>
      <c r="C11" s="58">
        <v>2.2551999999999999</v>
      </c>
      <c r="D11" s="64">
        <f t="shared" si="0"/>
        <v>1700.0000000000348</v>
      </c>
      <c r="E11" s="58">
        <v>3.2118000000000002</v>
      </c>
      <c r="F11" s="64">
        <f t="shared" si="1"/>
        <v>3000.0000000001137</v>
      </c>
      <c r="G11" s="58">
        <v>3.2719999999999998</v>
      </c>
      <c r="H11" s="64">
        <f t="shared" si="2"/>
        <v>2799.9999999996917</v>
      </c>
      <c r="I11" s="58">
        <v>1.6134999999999999</v>
      </c>
      <c r="J11" s="64">
        <f t="shared" si="3"/>
        <v>1299.9999999998568</v>
      </c>
      <c r="K11" s="58">
        <v>2.6063999999999998</v>
      </c>
      <c r="L11" s="64">
        <f t="shared" si="4"/>
        <v>1999.9999999997797</v>
      </c>
      <c r="M11" s="58">
        <v>1.4404999999999999</v>
      </c>
      <c r="N11" s="64">
        <f t="shared" si="5"/>
        <v>899.99999999990087</v>
      </c>
      <c r="O11" s="58">
        <v>14274</v>
      </c>
      <c r="P11" s="67">
        <f t="shared" ref="P11:P34" si="44">IF((O11-O10&lt;0), "",O11-O10)</f>
        <v>9</v>
      </c>
      <c r="Q11" s="58">
        <v>977</v>
      </c>
      <c r="R11" s="67">
        <f t="shared" si="6"/>
        <v>3</v>
      </c>
      <c r="S11" s="58">
        <v>978968.6</v>
      </c>
      <c r="T11" s="67">
        <f t="shared" si="7"/>
        <v>884.19999999995343</v>
      </c>
      <c r="U11" s="58">
        <v>411691.4</v>
      </c>
      <c r="V11" s="67">
        <f t="shared" si="8"/>
        <v>339.60000000003492</v>
      </c>
      <c r="W11" s="58">
        <v>392.72</v>
      </c>
      <c r="X11" s="65">
        <f t="shared" si="9"/>
        <v>320.00000000005002</v>
      </c>
      <c r="Y11" s="58">
        <v>2.806</v>
      </c>
      <c r="Z11" s="65">
        <f t="shared" si="10"/>
        <v>2699.9999999999245</v>
      </c>
      <c r="AA11" s="58">
        <v>390.83</v>
      </c>
      <c r="AB11" s="65">
        <f t="shared" si="11"/>
        <v>240.00000000000909</v>
      </c>
      <c r="AC11" s="58">
        <v>365.61</v>
      </c>
      <c r="AD11" s="65">
        <f t="shared" si="12"/>
        <v>240.00000000000909</v>
      </c>
      <c r="AE11" s="58">
        <v>561.07000000000005</v>
      </c>
      <c r="AF11" s="65">
        <f t="shared" si="13"/>
        <v>330.00000000004093</v>
      </c>
      <c r="AG11" s="58">
        <v>3800</v>
      </c>
      <c r="AH11" s="67">
        <f t="shared" si="14"/>
        <v>32</v>
      </c>
      <c r="AI11" s="58">
        <v>602.45000000000005</v>
      </c>
      <c r="AJ11" s="65">
        <f t="shared" si="15"/>
        <v>400.00000000009095</v>
      </c>
      <c r="AK11" s="58">
        <v>201.31</v>
      </c>
      <c r="AL11" s="65">
        <f t="shared" si="15"/>
        <v>189.99999999999773</v>
      </c>
      <c r="AM11" s="58">
        <v>191.66</v>
      </c>
      <c r="AN11" s="65">
        <f t="shared" si="15"/>
        <v>169.99999999998749</v>
      </c>
      <c r="AO11" s="58">
        <v>186.82</v>
      </c>
      <c r="AP11" s="65">
        <f t="shared" si="15"/>
        <v>120.00000000000455</v>
      </c>
      <c r="AQ11" s="58">
        <v>245.04</v>
      </c>
      <c r="AR11" s="65">
        <f t="shared" si="16"/>
        <v>120.00000000000455</v>
      </c>
      <c r="AS11" s="58">
        <v>369</v>
      </c>
      <c r="AT11" s="65">
        <f t="shared" si="17"/>
        <v>189.99999999999773</v>
      </c>
      <c r="AU11" s="58">
        <v>284.29000000000002</v>
      </c>
      <c r="AV11" s="65">
        <f t="shared" si="18"/>
        <v>60.000000000002274</v>
      </c>
      <c r="AW11" s="58">
        <v>317.85000000000002</v>
      </c>
      <c r="AX11" s="65">
        <f t="shared" si="19"/>
        <v>189.99999999999773</v>
      </c>
      <c r="AY11" s="58">
        <v>360.57</v>
      </c>
      <c r="AZ11" s="65">
        <f t="shared" si="20"/>
        <v>50.000000000011369</v>
      </c>
      <c r="BA11" s="58">
        <v>380.68</v>
      </c>
      <c r="BB11" s="65">
        <f t="shared" si="21"/>
        <v>30.000000000029559</v>
      </c>
      <c r="BC11" s="58">
        <v>241.33</v>
      </c>
      <c r="BD11" s="65">
        <f>IF((BC11-BC10&lt;0), "",(BC11-BC10)*1000)</f>
        <v>30.000000000001137</v>
      </c>
      <c r="BE11" s="59">
        <v>39798</v>
      </c>
      <c r="BF11" s="67">
        <f t="shared" si="39"/>
        <v>30</v>
      </c>
      <c r="BG11" s="60">
        <v>233.41</v>
      </c>
      <c r="BH11" s="65">
        <f t="shared" si="23"/>
        <v>39.999999999992042</v>
      </c>
      <c r="BI11" s="60">
        <v>292.66000000000003</v>
      </c>
      <c r="BJ11" s="65">
        <f t="shared" si="40"/>
        <v>20.000000000038654</v>
      </c>
      <c r="BK11" s="60">
        <v>236.35</v>
      </c>
      <c r="BL11" s="65">
        <f t="shared" si="24"/>
        <v>30.000000000001137</v>
      </c>
      <c r="BM11" s="60">
        <v>223.14</v>
      </c>
      <c r="BN11" s="65">
        <f t="shared" si="25"/>
        <v>39.999999999992042</v>
      </c>
      <c r="BO11" s="60">
        <v>287.11</v>
      </c>
      <c r="BP11" s="65">
        <f t="shared" si="26"/>
        <v>30.000000000029559</v>
      </c>
      <c r="BQ11" s="60">
        <v>44792</v>
      </c>
      <c r="BR11" s="65">
        <f t="shared" si="27"/>
        <v>19</v>
      </c>
      <c r="BS11" s="60">
        <v>200.31</v>
      </c>
      <c r="BT11" s="65">
        <f t="shared" si="42"/>
        <v>20.000000000010232</v>
      </c>
      <c r="BU11" s="60">
        <v>39923</v>
      </c>
      <c r="BV11" s="65">
        <f t="shared" si="29"/>
        <v>40</v>
      </c>
      <c r="BW11" s="60">
        <v>231.43</v>
      </c>
      <c r="BX11" s="65">
        <f t="shared" si="30"/>
        <v>20.000000000010232</v>
      </c>
      <c r="BY11" s="60">
        <v>59275</v>
      </c>
      <c r="BZ11" s="67">
        <f t="shared" si="31"/>
        <v>31</v>
      </c>
      <c r="CA11" s="60">
        <v>31338.5</v>
      </c>
      <c r="CB11" s="67">
        <f t="shared" si="32"/>
        <v>16.099999999998545</v>
      </c>
      <c r="CC11" s="60">
        <v>12033.3</v>
      </c>
      <c r="CD11" s="67">
        <f t="shared" si="33"/>
        <v>9.1999999999989086</v>
      </c>
      <c r="CE11" s="60">
        <v>6318.4</v>
      </c>
      <c r="CF11" s="67">
        <f t="shared" si="34"/>
        <v>8.8999999999996362</v>
      </c>
      <c r="CG11" s="60">
        <v>58906.400000000001</v>
      </c>
      <c r="CH11" s="67">
        <f t="shared" si="35"/>
        <v>31.599999999998545</v>
      </c>
      <c r="CI11" s="60">
        <v>943327</v>
      </c>
      <c r="CJ11" s="67">
        <f t="shared" si="36"/>
        <v>231</v>
      </c>
      <c r="CK11" s="60">
        <v>750.87</v>
      </c>
      <c r="CL11" s="64">
        <f t="shared" si="37"/>
        <v>730.00000000001819</v>
      </c>
      <c r="CM11" s="65">
        <f t="shared" si="41"/>
        <v>69.100000000000364</v>
      </c>
      <c r="CN11" s="62">
        <v>12</v>
      </c>
      <c r="CO11" s="62">
        <v>32</v>
      </c>
      <c r="CP11" s="68">
        <v>8711.9</v>
      </c>
      <c r="CQ11" s="67">
        <f>IF((CP11-CP10&lt;0), "",CP11-CP10)</f>
        <v>52.100000000000364</v>
      </c>
      <c r="CR11" s="68">
        <v>13784</v>
      </c>
      <c r="CS11" s="67">
        <f t="shared" si="38"/>
        <v>17</v>
      </c>
      <c r="CT11" s="75">
        <v>6216</v>
      </c>
      <c r="CU11" s="67">
        <f t="shared" si="38"/>
        <v>12</v>
      </c>
      <c r="CV11" s="68">
        <v>14917</v>
      </c>
      <c r="CW11" s="67">
        <f t="shared" si="38"/>
        <v>22</v>
      </c>
    </row>
    <row r="12" spans="1:102" ht="25.5" customHeight="1" thickBot="1" x14ac:dyDescent="0.45">
      <c r="A12" s="63">
        <v>44356</v>
      </c>
      <c r="B12" s="44"/>
      <c r="C12" s="58">
        <v>2.2572000000000001</v>
      </c>
      <c r="D12" s="64">
        <f t="shared" si="0"/>
        <v>2000.0000000002237</v>
      </c>
      <c r="E12" s="58">
        <v>3.2145999999999999</v>
      </c>
      <c r="F12" s="64">
        <f t="shared" si="1"/>
        <v>2799.9999999996917</v>
      </c>
      <c r="G12" s="58">
        <v>3.2746</v>
      </c>
      <c r="H12" s="64">
        <f t="shared" si="2"/>
        <v>2600.0000000001578</v>
      </c>
      <c r="I12" s="58">
        <v>1.6147</v>
      </c>
      <c r="J12" s="64">
        <f t="shared" si="3"/>
        <v>1200.0000000000898</v>
      </c>
      <c r="K12" s="58">
        <v>2.6084000000000001</v>
      </c>
      <c r="L12" s="64">
        <f t="shared" si="4"/>
        <v>2000.0000000002237</v>
      </c>
      <c r="M12" s="58">
        <v>1.4415</v>
      </c>
      <c r="N12" s="64">
        <f t="shared" si="5"/>
        <v>1000.0000000001119</v>
      </c>
      <c r="O12" s="58">
        <v>14283</v>
      </c>
      <c r="P12" s="67">
        <f t="shared" si="44"/>
        <v>9</v>
      </c>
      <c r="Q12" s="58">
        <v>980</v>
      </c>
      <c r="R12" s="67">
        <f t="shared" si="6"/>
        <v>3</v>
      </c>
      <c r="S12" s="58">
        <v>979661</v>
      </c>
      <c r="T12" s="67">
        <f t="shared" si="7"/>
        <v>692.40000000002328</v>
      </c>
      <c r="U12" s="58">
        <v>411997.6</v>
      </c>
      <c r="V12" s="67">
        <f t="shared" si="8"/>
        <v>306.19999999995343</v>
      </c>
      <c r="W12" s="58">
        <v>393.04</v>
      </c>
      <c r="X12" s="65">
        <f t="shared" si="9"/>
        <v>319.99999999999318</v>
      </c>
      <c r="Y12" s="58">
        <v>2.8085</v>
      </c>
      <c r="Z12" s="65">
        <f t="shared" si="10"/>
        <v>2499.9999999999468</v>
      </c>
      <c r="AA12" s="58">
        <v>391.18</v>
      </c>
      <c r="AB12" s="65">
        <f t="shared" si="11"/>
        <v>350.00000000002274</v>
      </c>
      <c r="AC12" s="58">
        <v>365.9</v>
      </c>
      <c r="AD12" s="65">
        <f t="shared" si="12"/>
        <v>289.99999999996362</v>
      </c>
      <c r="AE12" s="58">
        <v>561.4</v>
      </c>
      <c r="AF12" s="65">
        <f t="shared" si="13"/>
        <v>329.99999999992724</v>
      </c>
      <c r="AG12" s="58">
        <v>3833</v>
      </c>
      <c r="AH12" s="67">
        <f t="shared" si="14"/>
        <v>33</v>
      </c>
      <c r="AI12" s="58">
        <v>602.97</v>
      </c>
      <c r="AJ12" s="65">
        <f t="shared" si="15"/>
        <v>519.99999999998181</v>
      </c>
      <c r="AK12" s="58">
        <v>201.49</v>
      </c>
      <c r="AL12" s="65">
        <f t="shared" si="15"/>
        <v>180.00000000000682</v>
      </c>
      <c r="AM12" s="58">
        <v>191.84</v>
      </c>
      <c r="AN12" s="65">
        <f t="shared" si="15"/>
        <v>180.00000000000682</v>
      </c>
      <c r="AO12" s="58">
        <v>186.95</v>
      </c>
      <c r="AP12" s="65">
        <f t="shared" si="15"/>
        <v>129.99999999999545</v>
      </c>
      <c r="AQ12" s="58">
        <v>245.17</v>
      </c>
      <c r="AR12" s="65">
        <f t="shared" si="16"/>
        <v>129.99999999999545</v>
      </c>
      <c r="AS12" s="58">
        <v>369.2</v>
      </c>
      <c r="AT12" s="65">
        <f t="shared" si="17"/>
        <v>199.99999999998863</v>
      </c>
      <c r="AU12" s="58">
        <v>284.37</v>
      </c>
      <c r="AV12" s="65">
        <f t="shared" si="18"/>
        <v>79.999999999984084</v>
      </c>
      <c r="AW12" s="58">
        <v>318.07</v>
      </c>
      <c r="AX12" s="65">
        <f t="shared" si="19"/>
        <v>219.99999999997044</v>
      </c>
      <c r="AY12" s="58">
        <v>360.62</v>
      </c>
      <c r="AZ12" s="65">
        <f t="shared" si="20"/>
        <v>50.000000000011369</v>
      </c>
      <c r="BA12" s="58">
        <v>380.7</v>
      </c>
      <c r="BB12" s="65">
        <f t="shared" si="21"/>
        <v>19.99999999998181</v>
      </c>
      <c r="BC12" s="58">
        <v>241.35</v>
      </c>
      <c r="BD12" s="65">
        <f t="shared" si="22"/>
        <v>19.99999999998181</v>
      </c>
      <c r="BE12" s="59">
        <v>39829</v>
      </c>
      <c r="BF12" s="67">
        <f t="shared" si="39"/>
        <v>31</v>
      </c>
      <c r="BG12" s="60">
        <v>233.44</v>
      </c>
      <c r="BH12" s="65">
        <f t="shared" si="23"/>
        <v>30.000000000001137</v>
      </c>
      <c r="BI12" s="60">
        <v>292.69</v>
      </c>
      <c r="BJ12" s="65">
        <f t="shared" si="40"/>
        <v>29.999999999972715</v>
      </c>
      <c r="BK12" s="60">
        <v>236.39</v>
      </c>
      <c r="BL12" s="65">
        <f t="shared" si="24"/>
        <v>39.999999999992042</v>
      </c>
      <c r="BM12" s="60">
        <v>223.17</v>
      </c>
      <c r="BN12" s="65">
        <f t="shared" si="25"/>
        <v>30.000000000001137</v>
      </c>
      <c r="BO12" s="60">
        <v>287.14</v>
      </c>
      <c r="BP12" s="65">
        <f t="shared" si="26"/>
        <v>29.999999999972715</v>
      </c>
      <c r="BQ12" s="60">
        <v>44809</v>
      </c>
      <c r="BR12" s="65">
        <f t="shared" si="27"/>
        <v>17</v>
      </c>
      <c r="BS12" s="60">
        <v>200.34</v>
      </c>
      <c r="BT12" s="65">
        <f t="shared" si="42"/>
        <v>30.000000000001137</v>
      </c>
      <c r="BU12" s="60">
        <v>39962</v>
      </c>
      <c r="BV12" s="65">
        <f t="shared" si="29"/>
        <v>39</v>
      </c>
      <c r="BW12" s="60">
        <v>231.46</v>
      </c>
      <c r="BX12" s="65">
        <f t="shared" si="30"/>
        <v>30.000000000001137</v>
      </c>
      <c r="BY12" s="60">
        <v>59305</v>
      </c>
      <c r="BZ12" s="67">
        <f t="shared" si="31"/>
        <v>30</v>
      </c>
      <c r="CA12" s="60">
        <v>31369.8</v>
      </c>
      <c r="CB12" s="67">
        <f t="shared" si="32"/>
        <v>31.299999999999272</v>
      </c>
      <c r="CC12" s="60">
        <v>12039.8</v>
      </c>
      <c r="CD12" s="67">
        <f t="shared" si="33"/>
        <v>6.5</v>
      </c>
      <c r="CE12" s="60">
        <v>6320.4</v>
      </c>
      <c r="CF12" s="67">
        <f t="shared" si="34"/>
        <v>2</v>
      </c>
      <c r="CG12" s="60">
        <v>58944.3</v>
      </c>
      <c r="CH12" s="67">
        <f t="shared" si="35"/>
        <v>37.900000000001455</v>
      </c>
      <c r="CI12" s="60">
        <v>943644</v>
      </c>
      <c r="CJ12" s="67">
        <f t="shared" si="36"/>
        <v>317</v>
      </c>
      <c r="CK12" s="60">
        <v>751.64</v>
      </c>
      <c r="CL12" s="64">
        <f t="shared" si="37"/>
        <v>769.99999999998181</v>
      </c>
      <c r="CM12" s="65">
        <f t="shared" si="41"/>
        <v>73.100000000000364</v>
      </c>
      <c r="CN12" s="62">
        <v>12</v>
      </c>
      <c r="CO12" s="62">
        <v>32</v>
      </c>
      <c r="CP12" s="68">
        <v>8755</v>
      </c>
      <c r="CQ12" s="67">
        <f>IF((CP12-CP11&lt;0), "",CP12-CP11)</f>
        <v>43.100000000000364</v>
      </c>
      <c r="CR12" s="68">
        <v>13814</v>
      </c>
      <c r="CS12" s="67">
        <f t="shared" si="38"/>
        <v>30</v>
      </c>
      <c r="CT12" s="75">
        <v>6228</v>
      </c>
      <c r="CU12" s="67">
        <f t="shared" si="38"/>
        <v>12</v>
      </c>
      <c r="CV12" s="68">
        <v>14942</v>
      </c>
      <c r="CW12" s="67">
        <f t="shared" si="38"/>
        <v>25</v>
      </c>
    </row>
    <row r="13" spans="1:102" ht="25.5" customHeight="1" thickBot="1" x14ac:dyDescent="0.45">
      <c r="A13" s="63">
        <v>44357</v>
      </c>
      <c r="B13" s="44"/>
      <c r="C13" s="58">
        <v>2.2591999999999999</v>
      </c>
      <c r="D13" s="64">
        <f t="shared" si="0"/>
        <v>1999.9999999997797</v>
      </c>
      <c r="E13" s="58">
        <v>3.2174</v>
      </c>
      <c r="F13" s="64">
        <f t="shared" si="1"/>
        <v>2800.0000000001355</v>
      </c>
      <c r="G13" s="58">
        <v>3.2772000000000001</v>
      </c>
      <c r="H13" s="64">
        <f t="shared" si="2"/>
        <v>2600.0000000001578</v>
      </c>
      <c r="I13" s="58">
        <v>1.6158999999999999</v>
      </c>
      <c r="J13" s="64">
        <f t="shared" si="3"/>
        <v>1199.9999999998679</v>
      </c>
      <c r="K13" s="58">
        <v>2.6105</v>
      </c>
      <c r="L13" s="64">
        <f t="shared" si="4"/>
        <v>2099.9999999999909</v>
      </c>
      <c r="M13" s="58">
        <v>1.4423999999999999</v>
      </c>
      <c r="N13" s="64">
        <f t="shared" si="5"/>
        <v>899.99999999990087</v>
      </c>
      <c r="O13" s="58">
        <v>14284</v>
      </c>
      <c r="P13" s="67">
        <f t="shared" si="44"/>
        <v>1</v>
      </c>
      <c r="Q13" s="58">
        <v>983</v>
      </c>
      <c r="R13" s="67">
        <f t="shared" si="6"/>
        <v>3</v>
      </c>
      <c r="S13" s="58">
        <v>980339.5</v>
      </c>
      <c r="T13" s="67">
        <f t="shared" si="7"/>
        <v>678.5</v>
      </c>
      <c r="U13" s="58">
        <v>412289.3</v>
      </c>
      <c r="V13" s="67">
        <f t="shared" si="8"/>
        <v>291.70000000001164</v>
      </c>
      <c r="W13" s="58">
        <v>393.38</v>
      </c>
      <c r="X13" s="65">
        <f t="shared" si="9"/>
        <v>339.99999999997499</v>
      </c>
      <c r="Y13" s="58">
        <v>2.8109000000000002</v>
      </c>
      <c r="Z13" s="65">
        <f t="shared" si="10"/>
        <v>2400.0000000001796</v>
      </c>
      <c r="AA13" s="58">
        <v>391.35</v>
      </c>
      <c r="AB13" s="65">
        <f t="shared" si="11"/>
        <v>170.00000000001592</v>
      </c>
      <c r="AC13" s="58">
        <v>366.18</v>
      </c>
      <c r="AD13" s="65">
        <f t="shared" si="12"/>
        <v>280.00000000002956</v>
      </c>
      <c r="AE13" s="58">
        <v>561.66999999999996</v>
      </c>
      <c r="AF13" s="65">
        <f t="shared" si="13"/>
        <v>269.99999999998181</v>
      </c>
      <c r="AG13" s="58">
        <v>3867</v>
      </c>
      <c r="AH13" s="67">
        <f t="shared" si="14"/>
        <v>34</v>
      </c>
      <c r="AI13" s="58">
        <v>603.48</v>
      </c>
      <c r="AJ13" s="65">
        <f t="shared" si="15"/>
        <v>509.99999999999091</v>
      </c>
      <c r="AK13" s="58">
        <v>201.68</v>
      </c>
      <c r="AL13" s="65">
        <f t="shared" si="15"/>
        <v>189.99999999999773</v>
      </c>
      <c r="AM13" s="58">
        <v>192.03</v>
      </c>
      <c r="AN13" s="65">
        <f t="shared" si="15"/>
        <v>189.99999999999773</v>
      </c>
      <c r="AO13" s="58">
        <v>187.06</v>
      </c>
      <c r="AP13" s="65">
        <f t="shared" si="15"/>
        <v>110.00000000001364</v>
      </c>
      <c r="AQ13" s="58">
        <v>245.29</v>
      </c>
      <c r="AR13" s="65">
        <f t="shared" si="16"/>
        <v>120.00000000000455</v>
      </c>
      <c r="AS13" s="58">
        <v>369.41</v>
      </c>
      <c r="AT13" s="65">
        <f t="shared" si="17"/>
        <v>210.00000000003638</v>
      </c>
      <c r="AU13" s="58">
        <v>284.43</v>
      </c>
      <c r="AV13" s="65">
        <f t="shared" si="18"/>
        <v>60.000000000002274</v>
      </c>
      <c r="AW13" s="58">
        <v>318.29000000000002</v>
      </c>
      <c r="AX13" s="65">
        <f t="shared" si="19"/>
        <v>220.00000000002728</v>
      </c>
      <c r="AY13" s="58">
        <v>360.67</v>
      </c>
      <c r="AZ13" s="65">
        <f t="shared" si="20"/>
        <v>50.000000000011369</v>
      </c>
      <c r="BA13" s="58">
        <v>380.74</v>
      </c>
      <c r="BB13" s="65">
        <f t="shared" si="21"/>
        <v>40.000000000020464</v>
      </c>
      <c r="BC13" s="58">
        <v>241.38</v>
      </c>
      <c r="BD13" s="65">
        <f t="shared" si="22"/>
        <v>30.000000000001137</v>
      </c>
      <c r="BE13" s="59">
        <v>39860</v>
      </c>
      <c r="BF13" s="67">
        <f t="shared" si="39"/>
        <v>31</v>
      </c>
      <c r="BG13" s="60">
        <v>233.47</v>
      </c>
      <c r="BH13" s="65">
        <f t="shared" si="23"/>
        <v>30.000000000001137</v>
      </c>
      <c r="BI13" s="60">
        <v>292.7</v>
      </c>
      <c r="BJ13" s="65">
        <f t="shared" si="40"/>
        <v>9.9999999999909051</v>
      </c>
      <c r="BK13" s="60">
        <v>236.42</v>
      </c>
      <c r="BL13" s="65">
        <f t="shared" si="24"/>
        <v>30.000000000001137</v>
      </c>
      <c r="BM13" s="60">
        <v>223.2</v>
      </c>
      <c r="BN13" s="65">
        <f t="shared" si="25"/>
        <v>30.000000000001137</v>
      </c>
      <c r="BO13" s="60">
        <v>287.17</v>
      </c>
      <c r="BP13" s="65">
        <f t="shared" si="26"/>
        <v>30.000000000029559</v>
      </c>
      <c r="BQ13" s="60">
        <v>44827</v>
      </c>
      <c r="BR13" s="65">
        <f t="shared" si="27"/>
        <v>18</v>
      </c>
      <c r="BS13" s="60">
        <v>200.36</v>
      </c>
      <c r="BT13" s="65">
        <f t="shared" si="42"/>
        <v>20.000000000010232</v>
      </c>
      <c r="BU13" s="60">
        <v>40005</v>
      </c>
      <c r="BV13" s="65">
        <f t="shared" si="29"/>
        <v>43</v>
      </c>
      <c r="BW13" s="60">
        <v>231.48</v>
      </c>
      <c r="BX13" s="65">
        <f t="shared" si="30"/>
        <v>19.99999999998181</v>
      </c>
      <c r="BY13" s="60">
        <v>59339</v>
      </c>
      <c r="BZ13" s="67">
        <f t="shared" si="31"/>
        <v>34</v>
      </c>
      <c r="CA13" s="60">
        <v>31396</v>
      </c>
      <c r="CB13" s="67">
        <f t="shared" si="32"/>
        <v>26.200000000000728</v>
      </c>
      <c r="CC13" s="60">
        <v>12046.4</v>
      </c>
      <c r="CD13" s="67">
        <f t="shared" si="33"/>
        <v>6.6000000000003638</v>
      </c>
      <c r="CE13" s="60">
        <v>6326</v>
      </c>
      <c r="CF13" s="67">
        <f t="shared" si="34"/>
        <v>5.6000000000003638</v>
      </c>
      <c r="CG13" s="60">
        <v>58974.400000000001</v>
      </c>
      <c r="CH13" s="67">
        <f t="shared" si="35"/>
        <v>30.099999999998545</v>
      </c>
      <c r="CI13" s="60">
        <v>943911</v>
      </c>
      <c r="CJ13" s="67">
        <f t="shared" si="36"/>
        <v>267</v>
      </c>
      <c r="CK13" s="60">
        <v>752.29</v>
      </c>
      <c r="CL13" s="64">
        <f t="shared" si="37"/>
        <v>649.99999999997726</v>
      </c>
      <c r="CM13" s="65">
        <f t="shared" si="41"/>
        <v>67</v>
      </c>
      <c r="CN13" s="62">
        <v>10</v>
      </c>
      <c r="CO13" s="62">
        <v>29</v>
      </c>
      <c r="CP13" s="68">
        <v>8796</v>
      </c>
      <c r="CQ13" s="67">
        <f>IF((CP13-CP12&lt;0), "",CP13-CP12)</f>
        <v>41</v>
      </c>
      <c r="CR13" s="68">
        <v>13840</v>
      </c>
      <c r="CS13" s="67">
        <f t="shared" si="38"/>
        <v>26</v>
      </c>
      <c r="CT13" s="75">
        <v>6240</v>
      </c>
      <c r="CU13" s="67">
        <f t="shared" si="38"/>
        <v>12</v>
      </c>
      <c r="CV13" s="68">
        <v>14959</v>
      </c>
      <c r="CW13" s="67">
        <f t="shared" si="38"/>
        <v>17</v>
      </c>
    </row>
    <row r="14" spans="1:102" ht="25.5" customHeight="1" thickBot="1" x14ac:dyDescent="0.45">
      <c r="A14" s="63">
        <v>44358</v>
      </c>
      <c r="B14" s="44"/>
      <c r="C14" s="58">
        <v>2.2621000000000002</v>
      </c>
      <c r="D14" s="64">
        <f t="shared" si="0"/>
        <v>2900.0000000003465</v>
      </c>
      <c r="E14" s="58">
        <v>3.2214999999999998</v>
      </c>
      <c r="F14" s="64">
        <f t="shared" si="1"/>
        <v>4099.9999999997708</v>
      </c>
      <c r="G14" s="58">
        <v>3.2810999999999999</v>
      </c>
      <c r="H14" s="64">
        <f t="shared" si="2"/>
        <v>3899.9999999997926</v>
      </c>
      <c r="I14" s="58">
        <v>1.6176999999999999</v>
      </c>
      <c r="J14" s="64">
        <f t="shared" si="3"/>
        <v>1800.0000000000239</v>
      </c>
      <c r="K14" s="58">
        <v>2.6135000000000002</v>
      </c>
      <c r="L14" s="64">
        <f t="shared" si="4"/>
        <v>3000.0000000001137</v>
      </c>
      <c r="M14" s="58">
        <v>1.444</v>
      </c>
      <c r="N14" s="64">
        <f t="shared" si="5"/>
        <v>1600.0000000000459</v>
      </c>
      <c r="O14" s="58">
        <v>14284</v>
      </c>
      <c r="P14" s="67">
        <f t="shared" si="44"/>
        <v>0</v>
      </c>
      <c r="Q14" s="58">
        <v>985</v>
      </c>
      <c r="R14" s="67">
        <f t="shared" si="6"/>
        <v>2</v>
      </c>
      <c r="S14" s="58">
        <v>981017</v>
      </c>
      <c r="T14" s="67">
        <f t="shared" si="7"/>
        <v>677.5</v>
      </c>
      <c r="U14" s="58">
        <v>412574</v>
      </c>
      <c r="V14" s="67">
        <f t="shared" si="8"/>
        <v>284.70000000001164</v>
      </c>
      <c r="W14" s="58">
        <v>393.7</v>
      </c>
      <c r="X14" s="65">
        <f t="shared" si="9"/>
        <v>319.99999999999318</v>
      </c>
      <c r="Y14" s="58">
        <v>2.8132000000000001</v>
      </c>
      <c r="Z14" s="65">
        <f t="shared" si="10"/>
        <v>2299.9999999999686</v>
      </c>
      <c r="AA14" s="58">
        <v>391.71</v>
      </c>
      <c r="AB14" s="65">
        <f t="shared" si="11"/>
        <v>359.9999999999568</v>
      </c>
      <c r="AC14" s="58">
        <v>366.46</v>
      </c>
      <c r="AD14" s="65">
        <f t="shared" si="12"/>
        <v>279.99999999997272</v>
      </c>
      <c r="AE14" s="58">
        <v>561.98</v>
      </c>
      <c r="AF14" s="65">
        <f t="shared" si="13"/>
        <v>310.00000000005912</v>
      </c>
      <c r="AG14" s="58">
        <v>3898</v>
      </c>
      <c r="AH14" s="67">
        <f t="shared" si="14"/>
        <v>31</v>
      </c>
      <c r="AI14" s="58">
        <v>603.96</v>
      </c>
      <c r="AJ14" s="65">
        <f t="shared" si="15"/>
        <v>480.00000000001819</v>
      </c>
      <c r="AK14" s="58">
        <v>201.82</v>
      </c>
      <c r="AL14" s="65">
        <f t="shared" si="15"/>
        <v>139.99999999998636</v>
      </c>
      <c r="AM14" s="58">
        <v>192.22</v>
      </c>
      <c r="AN14" s="65">
        <f t="shared" si="15"/>
        <v>189.99999999999773</v>
      </c>
      <c r="AO14" s="58">
        <v>187.15</v>
      </c>
      <c r="AP14" s="65">
        <f t="shared" si="15"/>
        <v>90.000000000003411</v>
      </c>
      <c r="AQ14" s="58">
        <v>245.38</v>
      </c>
      <c r="AR14" s="65">
        <f t="shared" si="16"/>
        <v>90.000000000003411</v>
      </c>
      <c r="AS14" s="58">
        <v>369.59</v>
      </c>
      <c r="AT14" s="65">
        <f t="shared" si="17"/>
        <v>179.99999999994998</v>
      </c>
      <c r="AU14" s="58">
        <v>284.51</v>
      </c>
      <c r="AV14" s="65">
        <f t="shared" si="18"/>
        <v>79.999999999984084</v>
      </c>
      <c r="AW14" s="58">
        <v>318.52999999999997</v>
      </c>
      <c r="AX14" s="65">
        <f t="shared" si="19"/>
        <v>239.99999999995225</v>
      </c>
      <c r="AY14" s="58">
        <v>360.71</v>
      </c>
      <c r="AZ14" s="65">
        <f t="shared" si="20"/>
        <v>39.99999999996362</v>
      </c>
      <c r="BA14" s="58">
        <v>380.76</v>
      </c>
      <c r="BB14" s="65">
        <f t="shared" si="21"/>
        <v>19.99999999998181</v>
      </c>
      <c r="BC14" s="58">
        <v>241.41</v>
      </c>
      <c r="BD14" s="65">
        <f t="shared" si="22"/>
        <v>30.000000000001137</v>
      </c>
      <c r="BE14" s="59">
        <v>39902</v>
      </c>
      <c r="BF14" s="67">
        <f t="shared" si="39"/>
        <v>42</v>
      </c>
      <c r="BG14" s="60">
        <v>233.51</v>
      </c>
      <c r="BH14" s="65">
        <f t="shared" si="23"/>
        <v>39.999999999992042</v>
      </c>
      <c r="BI14" s="60">
        <v>292.73</v>
      </c>
      <c r="BJ14" s="65">
        <f t="shared" si="40"/>
        <v>30.000000000029559</v>
      </c>
      <c r="BK14" s="60">
        <v>236.45</v>
      </c>
      <c r="BL14" s="65">
        <f t="shared" si="24"/>
        <v>30.000000000001137</v>
      </c>
      <c r="BM14" s="60">
        <v>223.24</v>
      </c>
      <c r="BN14" s="65">
        <f t="shared" si="25"/>
        <v>40.000000000020464</v>
      </c>
      <c r="BO14" s="60">
        <v>287.2</v>
      </c>
      <c r="BP14" s="65">
        <f t="shared" si="26"/>
        <v>29.999999999972715</v>
      </c>
      <c r="BQ14" s="60">
        <v>44844</v>
      </c>
      <c r="BR14" s="65">
        <f t="shared" si="27"/>
        <v>17</v>
      </c>
      <c r="BS14" s="60">
        <v>200.38</v>
      </c>
      <c r="BT14" s="65">
        <f t="shared" si="42"/>
        <v>19.99999999998181</v>
      </c>
      <c r="BU14" s="60">
        <v>40046</v>
      </c>
      <c r="BV14" s="65">
        <f t="shared" si="29"/>
        <v>41</v>
      </c>
      <c r="BW14" s="60">
        <v>231.5</v>
      </c>
      <c r="BX14" s="65">
        <f t="shared" si="30"/>
        <v>20.000000000010232</v>
      </c>
      <c r="BY14" s="60">
        <v>59368</v>
      </c>
      <c r="BZ14" s="67">
        <f t="shared" si="31"/>
        <v>29</v>
      </c>
      <c r="CA14" s="60">
        <v>31423.1</v>
      </c>
      <c r="CB14" s="67">
        <f t="shared" si="32"/>
        <v>27.099999999998545</v>
      </c>
      <c r="CC14" s="60">
        <v>12053.8</v>
      </c>
      <c r="CD14" s="67">
        <f t="shared" si="33"/>
        <v>7.3999999999996362</v>
      </c>
      <c r="CE14" s="60">
        <v>6328</v>
      </c>
      <c r="CF14" s="67">
        <f t="shared" si="34"/>
        <v>2</v>
      </c>
      <c r="CG14" s="60">
        <v>59005.5</v>
      </c>
      <c r="CH14" s="67">
        <f t="shared" si="35"/>
        <v>31.099999999998545</v>
      </c>
      <c r="CI14" s="60">
        <v>944187</v>
      </c>
      <c r="CJ14" s="67">
        <f t="shared" si="36"/>
        <v>276</v>
      </c>
      <c r="CK14" s="60">
        <v>753.16</v>
      </c>
      <c r="CL14" s="64">
        <f t="shared" si="37"/>
        <v>870.00000000000455</v>
      </c>
      <c r="CM14" s="65">
        <f t="shared" si="41"/>
        <v>95.299999999999272</v>
      </c>
      <c r="CN14" s="62">
        <v>8</v>
      </c>
      <c r="CO14" s="62">
        <v>25</v>
      </c>
      <c r="CP14" s="68">
        <v>8870.2999999999993</v>
      </c>
      <c r="CQ14" s="67">
        <f t="shared" si="38"/>
        <v>74.299999999999272</v>
      </c>
      <c r="CR14" s="68">
        <v>13861</v>
      </c>
      <c r="CS14" s="67">
        <f t="shared" si="38"/>
        <v>21</v>
      </c>
      <c r="CT14" s="75">
        <v>6251</v>
      </c>
      <c r="CU14" s="67">
        <f t="shared" si="38"/>
        <v>11</v>
      </c>
      <c r="CV14" s="68">
        <v>14981</v>
      </c>
      <c r="CW14" s="67">
        <f t="shared" si="38"/>
        <v>22</v>
      </c>
    </row>
    <row r="15" spans="1:102" ht="25.5" customHeight="1" thickBot="1" x14ac:dyDescent="0.45">
      <c r="A15" s="63">
        <v>44359</v>
      </c>
      <c r="B15" s="44"/>
      <c r="C15" s="58">
        <v>2.2629999999999999</v>
      </c>
      <c r="D15" s="64">
        <f t="shared" si="0"/>
        <v>899.99999999967883</v>
      </c>
      <c r="E15" s="58">
        <v>3.2227999999999999</v>
      </c>
      <c r="F15" s="64">
        <f t="shared" si="1"/>
        <v>1300.0000000000789</v>
      </c>
      <c r="G15" s="58">
        <v>3.2822</v>
      </c>
      <c r="H15" s="64">
        <f t="shared" si="2"/>
        <v>1100.000000000101</v>
      </c>
      <c r="I15" s="58">
        <v>1.6184000000000001</v>
      </c>
      <c r="J15" s="64">
        <f t="shared" si="3"/>
        <v>700.00000000014495</v>
      </c>
      <c r="K15" s="58">
        <v>2.6145999999999998</v>
      </c>
      <c r="L15" s="64">
        <f t="shared" si="4"/>
        <v>1099.9999999996569</v>
      </c>
      <c r="M15" s="58">
        <v>1.4442999999999999</v>
      </c>
      <c r="N15" s="64">
        <f t="shared" si="5"/>
        <v>299.99999999996697</v>
      </c>
      <c r="O15" s="58">
        <v>14299</v>
      </c>
      <c r="P15" s="67">
        <f t="shared" si="44"/>
        <v>15</v>
      </c>
      <c r="Q15" s="58">
        <v>988</v>
      </c>
      <c r="R15" s="67">
        <f t="shared" si="6"/>
        <v>3</v>
      </c>
      <c r="S15" s="58">
        <v>981882.6</v>
      </c>
      <c r="T15" s="67">
        <f t="shared" si="7"/>
        <v>865.59999999997672</v>
      </c>
      <c r="U15" s="58">
        <v>412885.1</v>
      </c>
      <c r="V15" s="67">
        <f t="shared" si="8"/>
        <v>311.09999999997672</v>
      </c>
      <c r="W15" s="58">
        <v>393.98</v>
      </c>
      <c r="X15" s="65">
        <f t="shared" si="9"/>
        <v>280.00000000002956</v>
      </c>
      <c r="Y15" s="58">
        <v>2.8155999999999999</v>
      </c>
      <c r="Z15" s="65">
        <f t="shared" si="10"/>
        <v>2399.9999999997358</v>
      </c>
      <c r="AA15" s="58">
        <v>391.91</v>
      </c>
      <c r="AB15" s="65">
        <f t="shared" si="11"/>
        <v>200.00000000004547</v>
      </c>
      <c r="AC15" s="58">
        <v>366.72</v>
      </c>
      <c r="AD15" s="65">
        <f t="shared" si="12"/>
        <v>260.00000000004775</v>
      </c>
      <c r="AE15" s="58">
        <v>562.32000000000005</v>
      </c>
      <c r="AF15" s="65">
        <f t="shared" si="13"/>
        <v>340.00000000003183</v>
      </c>
      <c r="AG15" s="58">
        <v>3934</v>
      </c>
      <c r="AH15" s="67">
        <f t="shared" si="14"/>
        <v>36</v>
      </c>
      <c r="AI15" s="58">
        <v>604.54</v>
      </c>
      <c r="AJ15" s="65">
        <f t="shared" si="15"/>
        <v>579.99999999992724</v>
      </c>
      <c r="AK15" s="58">
        <v>201.99</v>
      </c>
      <c r="AL15" s="65">
        <f t="shared" si="15"/>
        <v>170.00000000001592</v>
      </c>
      <c r="AM15" s="58">
        <v>192.35</v>
      </c>
      <c r="AN15" s="65">
        <f t="shared" si="15"/>
        <v>129.99999999999545</v>
      </c>
      <c r="AO15" s="58">
        <v>187.23</v>
      </c>
      <c r="AP15" s="65">
        <f t="shared" si="15"/>
        <v>79.999999999984084</v>
      </c>
      <c r="AQ15" s="58">
        <v>245.54</v>
      </c>
      <c r="AR15" s="65">
        <f t="shared" si="16"/>
        <v>159.99999999999659</v>
      </c>
      <c r="AS15" s="58">
        <v>369.82</v>
      </c>
      <c r="AT15" s="65">
        <f t="shared" si="17"/>
        <v>230.00000000001819</v>
      </c>
      <c r="AU15" s="58">
        <v>284.58999999999997</v>
      </c>
      <c r="AV15" s="65">
        <f t="shared" si="18"/>
        <v>79.999999999984084</v>
      </c>
      <c r="AW15" s="58">
        <v>318.77</v>
      </c>
      <c r="AX15" s="65">
        <f t="shared" si="19"/>
        <v>240.00000000000909</v>
      </c>
      <c r="AY15" s="58">
        <v>360.74</v>
      </c>
      <c r="AZ15" s="65">
        <f t="shared" si="20"/>
        <v>30.000000000029559</v>
      </c>
      <c r="BA15" s="58">
        <v>380.8</v>
      </c>
      <c r="BB15" s="65">
        <f t="shared" si="21"/>
        <v>40.000000000020464</v>
      </c>
      <c r="BC15" s="58">
        <v>241.44</v>
      </c>
      <c r="BD15" s="65">
        <f t="shared" si="22"/>
        <v>30.000000000001137</v>
      </c>
      <c r="BE15" s="59">
        <v>39940</v>
      </c>
      <c r="BF15" s="67">
        <f t="shared" si="39"/>
        <v>38</v>
      </c>
      <c r="BG15" s="60">
        <v>233.54</v>
      </c>
      <c r="BH15" s="65">
        <f t="shared" si="23"/>
        <v>30.000000000001137</v>
      </c>
      <c r="BI15" s="60">
        <v>292.76</v>
      </c>
      <c r="BJ15" s="65">
        <f t="shared" si="40"/>
        <v>29.999999999972715</v>
      </c>
      <c r="BK15" s="60">
        <v>236.48</v>
      </c>
      <c r="BL15" s="65">
        <f t="shared" si="24"/>
        <v>30.000000000001137</v>
      </c>
      <c r="BM15" s="60">
        <v>223.28</v>
      </c>
      <c r="BN15" s="65">
        <f t="shared" si="25"/>
        <v>39.999999999992042</v>
      </c>
      <c r="BO15" s="60">
        <v>287.24</v>
      </c>
      <c r="BP15" s="65">
        <f t="shared" si="26"/>
        <v>40.000000000020464</v>
      </c>
      <c r="BQ15" s="60">
        <v>44868</v>
      </c>
      <c r="BR15" s="65">
        <f t="shared" si="27"/>
        <v>24</v>
      </c>
      <c r="BS15" s="60">
        <v>200.41</v>
      </c>
      <c r="BT15" s="65">
        <f t="shared" si="42"/>
        <v>30.000000000001137</v>
      </c>
      <c r="BU15" s="60">
        <v>40088</v>
      </c>
      <c r="BV15" s="65">
        <f t="shared" si="29"/>
        <v>42</v>
      </c>
      <c r="BW15" s="60">
        <v>231.53</v>
      </c>
      <c r="BX15" s="65">
        <f t="shared" si="30"/>
        <v>30.000000000001137</v>
      </c>
      <c r="BY15" s="60">
        <v>59414</v>
      </c>
      <c r="BZ15" s="67">
        <f t="shared" si="31"/>
        <v>46</v>
      </c>
      <c r="CA15" s="60">
        <v>31456.5</v>
      </c>
      <c r="CB15" s="67">
        <f t="shared" si="32"/>
        <v>33.400000000001455</v>
      </c>
      <c r="CC15" s="60">
        <v>12061</v>
      </c>
      <c r="CD15" s="67">
        <f t="shared" si="33"/>
        <v>7.2000000000007276</v>
      </c>
      <c r="CE15" s="60">
        <v>6330</v>
      </c>
      <c r="CF15" s="67">
        <f t="shared" si="34"/>
        <v>2</v>
      </c>
      <c r="CG15" s="60">
        <v>59035.7</v>
      </c>
      <c r="CH15" s="67">
        <f t="shared" si="35"/>
        <v>30.19999999999709</v>
      </c>
      <c r="CI15" s="60">
        <v>944473</v>
      </c>
      <c r="CJ15" s="67">
        <f t="shared" si="36"/>
        <v>286</v>
      </c>
      <c r="CK15" s="60">
        <v>753.62</v>
      </c>
      <c r="CL15" s="64">
        <f t="shared" si="37"/>
        <v>460.00000000003638</v>
      </c>
      <c r="CM15" s="65">
        <f t="shared" si="41"/>
        <v>30.800000000001091</v>
      </c>
      <c r="CN15" s="62">
        <v>8</v>
      </c>
      <c r="CO15" s="62">
        <v>25</v>
      </c>
      <c r="CP15" s="68">
        <v>8883.1</v>
      </c>
      <c r="CQ15" s="67">
        <f t="shared" si="38"/>
        <v>12.800000000001091</v>
      </c>
      <c r="CR15" s="68">
        <v>13879</v>
      </c>
      <c r="CS15" s="67">
        <f t="shared" si="38"/>
        <v>18</v>
      </c>
      <c r="CT15" s="75">
        <v>6264</v>
      </c>
      <c r="CU15" s="67">
        <f t="shared" si="38"/>
        <v>13</v>
      </c>
      <c r="CV15" s="68">
        <v>15003</v>
      </c>
      <c r="CW15" s="67">
        <f t="shared" si="38"/>
        <v>22</v>
      </c>
    </row>
    <row r="16" spans="1:102" ht="25.5" customHeight="1" thickBot="1" x14ac:dyDescent="0.45">
      <c r="A16" s="63">
        <v>44360</v>
      </c>
      <c r="B16" s="44"/>
      <c r="C16" s="58">
        <v>2.2652000000000001</v>
      </c>
      <c r="D16" s="64">
        <f t="shared" si="0"/>
        <v>2200.0000000002019</v>
      </c>
      <c r="E16" s="58">
        <v>3.2259000000000002</v>
      </c>
      <c r="F16" s="64">
        <f t="shared" si="1"/>
        <v>3100.0000000003247</v>
      </c>
      <c r="G16" s="58">
        <v>3.2850000000000001</v>
      </c>
      <c r="H16" s="64">
        <f t="shared" si="2"/>
        <v>2800.0000000001355</v>
      </c>
      <c r="I16" s="58">
        <v>1.6197999999999999</v>
      </c>
      <c r="J16" s="64">
        <f t="shared" si="3"/>
        <v>1399.9999999998458</v>
      </c>
      <c r="K16" s="58">
        <v>2.6168999999999998</v>
      </c>
      <c r="L16" s="64">
        <f t="shared" si="4"/>
        <v>2299.9999999999686</v>
      </c>
      <c r="M16" s="58">
        <v>1.4454</v>
      </c>
      <c r="N16" s="64">
        <f t="shared" si="5"/>
        <v>1100.000000000101</v>
      </c>
      <c r="O16" s="58">
        <v>14307</v>
      </c>
      <c r="P16" s="67">
        <f t="shared" si="44"/>
        <v>8</v>
      </c>
      <c r="Q16" s="58">
        <v>991</v>
      </c>
      <c r="R16" s="67">
        <f t="shared" si="6"/>
        <v>3</v>
      </c>
      <c r="S16" s="58">
        <v>982379</v>
      </c>
      <c r="T16" s="67">
        <f t="shared" si="7"/>
        <v>496.40000000002328</v>
      </c>
      <c r="U16" s="58">
        <v>413151.3</v>
      </c>
      <c r="V16" s="67">
        <f t="shared" si="8"/>
        <v>266.20000000001164</v>
      </c>
      <c r="W16" s="58">
        <v>394.55</v>
      </c>
      <c r="X16" s="65">
        <f t="shared" si="9"/>
        <v>569.99999999999318</v>
      </c>
      <c r="Y16" s="58">
        <v>2.8180999999999998</v>
      </c>
      <c r="Z16" s="65">
        <f t="shared" si="10"/>
        <v>2499.9999999999468</v>
      </c>
      <c r="AA16" s="58">
        <v>392.24</v>
      </c>
      <c r="AB16" s="65">
        <f t="shared" si="11"/>
        <v>329.99999999998408</v>
      </c>
      <c r="AC16" s="58">
        <v>366.97</v>
      </c>
      <c r="AD16" s="65">
        <f t="shared" si="12"/>
        <v>250</v>
      </c>
      <c r="AE16" s="58">
        <v>562.6</v>
      </c>
      <c r="AF16" s="65">
        <f t="shared" si="13"/>
        <v>279.99999999997272</v>
      </c>
      <c r="AG16" s="58">
        <v>3969</v>
      </c>
      <c r="AH16" s="67">
        <f t="shared" si="14"/>
        <v>35</v>
      </c>
      <c r="AI16" s="58">
        <v>605.11</v>
      </c>
      <c r="AJ16" s="65">
        <f t="shared" si="15"/>
        <v>570.00000000005002</v>
      </c>
      <c r="AK16" s="58">
        <v>202.16</v>
      </c>
      <c r="AL16" s="65">
        <f t="shared" si="15"/>
        <v>169.99999999998749</v>
      </c>
      <c r="AM16" s="58">
        <v>192.48</v>
      </c>
      <c r="AN16" s="65">
        <f t="shared" si="15"/>
        <v>129.99999999999545</v>
      </c>
      <c r="AO16" s="58">
        <v>187.33</v>
      </c>
      <c r="AP16" s="65">
        <f t="shared" si="15"/>
        <v>100.00000000002274</v>
      </c>
      <c r="AQ16" s="58">
        <v>245.75</v>
      </c>
      <c r="AR16" s="65">
        <f t="shared" si="16"/>
        <v>210.00000000000796</v>
      </c>
      <c r="AS16" s="58">
        <v>370.04</v>
      </c>
      <c r="AT16" s="65">
        <f t="shared" si="17"/>
        <v>220.00000000002728</v>
      </c>
      <c r="AU16" s="58">
        <v>284.68</v>
      </c>
      <c r="AV16" s="65">
        <f t="shared" si="18"/>
        <v>90.000000000031832</v>
      </c>
      <c r="AW16" s="58">
        <v>319</v>
      </c>
      <c r="AX16" s="65">
        <f t="shared" si="19"/>
        <v>230.00000000001819</v>
      </c>
      <c r="AY16" s="58">
        <v>360.76</v>
      </c>
      <c r="AZ16" s="65">
        <f t="shared" si="20"/>
        <v>19.99999999998181</v>
      </c>
      <c r="BA16" s="58">
        <v>380.82</v>
      </c>
      <c r="BB16" s="65">
        <f t="shared" si="21"/>
        <v>19.99999999998181</v>
      </c>
      <c r="BC16" s="58">
        <v>241.46</v>
      </c>
      <c r="BD16" s="65">
        <f t="shared" si="22"/>
        <v>20.000000000010232</v>
      </c>
      <c r="BE16" s="59">
        <v>39985</v>
      </c>
      <c r="BF16" s="67">
        <f t="shared" si="39"/>
        <v>45</v>
      </c>
      <c r="BG16" s="60">
        <v>233.57</v>
      </c>
      <c r="BH16" s="65">
        <f t="shared" si="23"/>
        <v>30.000000000001137</v>
      </c>
      <c r="BI16" s="60">
        <v>292.79000000000002</v>
      </c>
      <c r="BJ16" s="65">
        <f t="shared" si="40"/>
        <v>30.000000000029559</v>
      </c>
      <c r="BK16" s="60">
        <v>236.52</v>
      </c>
      <c r="BL16" s="65">
        <f t="shared" si="24"/>
        <v>40.000000000020464</v>
      </c>
      <c r="BM16" s="60">
        <v>223.32</v>
      </c>
      <c r="BN16" s="65">
        <f t="shared" si="25"/>
        <v>39.999999999992042</v>
      </c>
      <c r="BO16" s="60">
        <v>287.27</v>
      </c>
      <c r="BP16" s="65">
        <f t="shared" si="26"/>
        <v>29.999999999972715</v>
      </c>
      <c r="BQ16" s="60">
        <v>44888</v>
      </c>
      <c r="BR16" s="65">
        <f t="shared" si="27"/>
        <v>20</v>
      </c>
      <c r="BS16" s="60">
        <v>200.43</v>
      </c>
      <c r="BT16" s="65">
        <f t="shared" si="42"/>
        <v>20.000000000010232</v>
      </c>
      <c r="BU16" s="60">
        <v>40127</v>
      </c>
      <c r="BV16" s="65">
        <f t="shared" si="29"/>
        <v>39</v>
      </c>
      <c r="BW16" s="60">
        <v>231.55</v>
      </c>
      <c r="BX16" s="65">
        <f t="shared" si="30"/>
        <v>20.000000000010232</v>
      </c>
      <c r="BY16" s="60">
        <v>59457</v>
      </c>
      <c r="BZ16" s="67">
        <f t="shared" si="31"/>
        <v>43</v>
      </c>
      <c r="CA16" s="60">
        <v>31491.9</v>
      </c>
      <c r="CB16" s="67">
        <f t="shared" si="32"/>
        <v>35.400000000001455</v>
      </c>
      <c r="CC16" s="60">
        <v>12068</v>
      </c>
      <c r="CD16" s="67">
        <f t="shared" si="33"/>
        <v>7</v>
      </c>
      <c r="CE16" s="60">
        <v>6340</v>
      </c>
      <c r="CF16" s="67">
        <f t="shared" si="34"/>
        <v>10</v>
      </c>
      <c r="CG16" s="60">
        <v>59073.599999999999</v>
      </c>
      <c r="CH16" s="67">
        <f t="shared" si="35"/>
        <v>37.900000000001455</v>
      </c>
      <c r="CI16" s="60">
        <v>944743</v>
      </c>
      <c r="CJ16" s="67">
        <f t="shared" si="36"/>
        <v>270</v>
      </c>
      <c r="CK16" s="60">
        <v>754.44</v>
      </c>
      <c r="CL16" s="64">
        <f t="shared" si="37"/>
        <v>820.00000000005002</v>
      </c>
      <c r="CM16" s="65">
        <f t="shared" si="41"/>
        <v>69.799999999999272</v>
      </c>
      <c r="CN16" s="62">
        <v>10</v>
      </c>
      <c r="CO16" s="62">
        <v>25</v>
      </c>
      <c r="CP16" s="68">
        <v>8934.9</v>
      </c>
      <c r="CQ16" s="67">
        <f t="shared" si="38"/>
        <v>51.799999999999272</v>
      </c>
      <c r="CR16" s="68">
        <v>13897</v>
      </c>
      <c r="CS16" s="67">
        <f t="shared" si="38"/>
        <v>18</v>
      </c>
      <c r="CT16" s="75">
        <v>6275</v>
      </c>
      <c r="CU16" s="67">
        <f t="shared" si="38"/>
        <v>11</v>
      </c>
      <c r="CV16" s="68">
        <v>15026</v>
      </c>
      <c r="CW16" s="67">
        <f t="shared" si="38"/>
        <v>23</v>
      </c>
    </row>
    <row r="17" spans="1:101" ht="25.5" customHeight="1" thickBot="1" x14ac:dyDescent="0.45">
      <c r="A17" s="63">
        <v>44361</v>
      </c>
      <c r="B17" s="44"/>
      <c r="C17" s="58">
        <v>2.2669999999999999</v>
      </c>
      <c r="D17" s="64">
        <f t="shared" si="0"/>
        <v>1799.9999999998017</v>
      </c>
      <c r="E17" s="58">
        <v>3.2282999999999999</v>
      </c>
      <c r="F17" s="64">
        <f t="shared" si="1"/>
        <v>2399.9999999997358</v>
      </c>
      <c r="G17" s="58">
        <v>3.2871999999999999</v>
      </c>
      <c r="H17" s="64">
        <f t="shared" si="2"/>
        <v>2199.9999999997576</v>
      </c>
      <c r="I17" s="58">
        <v>1.621</v>
      </c>
      <c r="J17" s="64">
        <f t="shared" si="3"/>
        <v>1200.0000000000898</v>
      </c>
      <c r="K17" s="58">
        <v>2.6187</v>
      </c>
      <c r="L17" s="64">
        <f t="shared" si="4"/>
        <v>1800.0000000002458</v>
      </c>
      <c r="M17" s="58">
        <v>1.4462999999999999</v>
      </c>
      <c r="N17" s="64">
        <f t="shared" si="5"/>
        <v>899.99999999990087</v>
      </c>
      <c r="O17" s="58">
        <v>14314</v>
      </c>
      <c r="P17" s="67">
        <f t="shared" si="44"/>
        <v>7</v>
      </c>
      <c r="Q17" s="58">
        <v>994</v>
      </c>
      <c r="R17" s="67">
        <f t="shared" si="6"/>
        <v>3</v>
      </c>
      <c r="S17" s="58">
        <v>983033.6</v>
      </c>
      <c r="T17" s="67">
        <f t="shared" si="7"/>
        <v>654.59999999997672</v>
      </c>
      <c r="U17" s="58">
        <v>413406.2</v>
      </c>
      <c r="V17" s="67">
        <f t="shared" si="8"/>
        <v>254.90000000002328</v>
      </c>
      <c r="W17" s="58">
        <v>394.82</v>
      </c>
      <c r="X17" s="65">
        <f t="shared" si="9"/>
        <v>269.99999999998181</v>
      </c>
      <c r="Y17" s="58">
        <v>2.8205</v>
      </c>
      <c r="Z17" s="65">
        <f t="shared" si="10"/>
        <v>2400.0000000001796</v>
      </c>
      <c r="AA17" s="58">
        <v>392.56</v>
      </c>
      <c r="AB17" s="65">
        <f t="shared" si="11"/>
        <v>319.99999999999318</v>
      </c>
      <c r="AC17" s="58">
        <v>367.21</v>
      </c>
      <c r="AD17" s="65">
        <f t="shared" si="12"/>
        <v>239.99999999995225</v>
      </c>
      <c r="AE17" s="58">
        <v>562.91</v>
      </c>
      <c r="AF17" s="65">
        <f t="shared" si="13"/>
        <v>309.99999999994543</v>
      </c>
      <c r="AG17" s="58">
        <v>4001</v>
      </c>
      <c r="AH17" s="67">
        <f t="shared" si="14"/>
        <v>32</v>
      </c>
      <c r="AI17" s="58">
        <v>605.69000000000005</v>
      </c>
      <c r="AJ17" s="65">
        <f t="shared" si="15"/>
        <v>580.00000000004093</v>
      </c>
      <c r="AK17" s="58">
        <v>202.31</v>
      </c>
      <c r="AL17" s="65">
        <f t="shared" si="15"/>
        <v>150.00000000000568</v>
      </c>
      <c r="AM17" s="58">
        <v>192.61</v>
      </c>
      <c r="AN17" s="65">
        <f t="shared" si="15"/>
        <v>130.00000000002387</v>
      </c>
      <c r="AO17" s="58">
        <v>187.42</v>
      </c>
      <c r="AP17" s="65">
        <f t="shared" si="15"/>
        <v>89.999999999974989</v>
      </c>
      <c r="AQ17" s="58">
        <v>245.91</v>
      </c>
      <c r="AR17" s="65">
        <f t="shared" si="16"/>
        <v>159.99999999999659</v>
      </c>
      <c r="AS17" s="58">
        <v>370.27</v>
      </c>
      <c r="AT17" s="65">
        <f t="shared" si="17"/>
        <v>229.99999999996135</v>
      </c>
      <c r="AU17" s="58">
        <v>284.72000000000003</v>
      </c>
      <c r="AV17" s="65">
        <f t="shared" si="18"/>
        <v>40.000000000020464</v>
      </c>
      <c r="AW17" s="58">
        <v>319.16000000000003</v>
      </c>
      <c r="AX17" s="65">
        <f t="shared" si="19"/>
        <v>160.00000000002501</v>
      </c>
      <c r="AY17" s="58">
        <v>360.83</v>
      </c>
      <c r="AZ17" s="65">
        <f t="shared" si="20"/>
        <v>69.999999999993179</v>
      </c>
      <c r="BA17" s="58">
        <v>380.85</v>
      </c>
      <c r="BB17" s="65">
        <f t="shared" si="21"/>
        <v>30.000000000029559</v>
      </c>
      <c r="BC17" s="58">
        <v>241.49</v>
      </c>
      <c r="BD17" s="65">
        <f t="shared" si="22"/>
        <v>30.000000000001137</v>
      </c>
      <c r="BE17" s="59">
        <v>40016</v>
      </c>
      <c r="BF17" s="67">
        <f t="shared" si="39"/>
        <v>31</v>
      </c>
      <c r="BG17" s="60">
        <v>233.6</v>
      </c>
      <c r="BH17" s="65">
        <f t="shared" si="23"/>
        <v>30.000000000001137</v>
      </c>
      <c r="BI17" s="60">
        <v>292.82</v>
      </c>
      <c r="BJ17" s="65">
        <f t="shared" si="40"/>
        <v>29.999999999972715</v>
      </c>
      <c r="BK17" s="60">
        <v>236.55</v>
      </c>
      <c r="BL17" s="65">
        <f t="shared" si="24"/>
        <v>30.000000000001137</v>
      </c>
      <c r="BM17" s="60">
        <v>223.35</v>
      </c>
      <c r="BN17" s="65">
        <f t="shared" si="25"/>
        <v>30.000000000001137</v>
      </c>
      <c r="BO17" s="60">
        <v>287.29000000000002</v>
      </c>
      <c r="BP17" s="65">
        <f t="shared" si="26"/>
        <v>20.000000000038654</v>
      </c>
      <c r="BQ17" s="60">
        <v>44911</v>
      </c>
      <c r="BR17" s="65">
        <f t="shared" si="27"/>
        <v>23</v>
      </c>
      <c r="BS17" s="60">
        <v>200.46</v>
      </c>
      <c r="BT17" s="65">
        <f t="shared" si="42"/>
        <v>30.000000000001137</v>
      </c>
      <c r="BU17" s="60">
        <v>40169</v>
      </c>
      <c r="BV17" s="65">
        <f t="shared" si="29"/>
        <v>42</v>
      </c>
      <c r="BW17" s="60">
        <v>231.58</v>
      </c>
      <c r="BX17" s="65">
        <f t="shared" si="30"/>
        <v>30.000000000001137</v>
      </c>
      <c r="BY17" s="60">
        <v>59520</v>
      </c>
      <c r="BZ17" s="67">
        <f t="shared" si="31"/>
        <v>63</v>
      </c>
      <c r="CA17" s="60">
        <v>31526.400000000001</v>
      </c>
      <c r="CB17" s="67">
        <f t="shared" si="32"/>
        <v>34.5</v>
      </c>
      <c r="CC17" s="60">
        <v>12075.1</v>
      </c>
      <c r="CD17" s="67">
        <f t="shared" si="33"/>
        <v>7.1000000000003638</v>
      </c>
      <c r="CE17" s="60">
        <v>6349.5</v>
      </c>
      <c r="CF17" s="67">
        <f t="shared" si="34"/>
        <v>9.5</v>
      </c>
      <c r="CG17" s="60">
        <v>59108.7</v>
      </c>
      <c r="CH17" s="67">
        <f t="shared" si="35"/>
        <v>35.099999999998545</v>
      </c>
      <c r="CI17" s="60">
        <v>945035</v>
      </c>
      <c r="CJ17" s="67">
        <f t="shared" si="36"/>
        <v>292</v>
      </c>
      <c r="CK17" s="60">
        <v>755.09</v>
      </c>
      <c r="CL17" s="64">
        <f t="shared" si="37"/>
        <v>649.99999999997726</v>
      </c>
      <c r="CM17" s="65">
        <f t="shared" si="41"/>
        <v>46.399999999999636</v>
      </c>
      <c r="CN17" s="62">
        <v>10</v>
      </c>
      <c r="CO17" s="62">
        <v>25</v>
      </c>
      <c r="CP17" s="68">
        <v>8964.2999999999993</v>
      </c>
      <c r="CQ17" s="67">
        <f t="shared" si="38"/>
        <v>29.399999999999636</v>
      </c>
      <c r="CR17" s="68">
        <v>13914</v>
      </c>
      <c r="CS17" s="67">
        <f t="shared" si="38"/>
        <v>17</v>
      </c>
      <c r="CT17" s="75">
        <v>6288</v>
      </c>
      <c r="CU17" s="67">
        <f t="shared" si="38"/>
        <v>13</v>
      </c>
      <c r="CV17" s="68">
        <v>15050</v>
      </c>
      <c r="CW17" s="67">
        <f t="shared" si="38"/>
        <v>24</v>
      </c>
    </row>
    <row r="18" spans="1:101" ht="25.5" customHeight="1" thickBot="1" x14ac:dyDescent="0.45">
      <c r="A18" s="63">
        <v>44362</v>
      </c>
      <c r="B18" s="44"/>
      <c r="C18" s="58">
        <v>2.2688000000000001</v>
      </c>
      <c r="D18" s="64">
        <f t="shared" si="0"/>
        <v>1800.0000000002458</v>
      </c>
      <c r="E18" s="58">
        <v>3.2309000000000001</v>
      </c>
      <c r="F18" s="64">
        <f t="shared" si="1"/>
        <v>2600.0000000001578</v>
      </c>
      <c r="G18" s="58">
        <v>3.2898000000000001</v>
      </c>
      <c r="H18" s="64">
        <f t="shared" si="2"/>
        <v>2600.0000000001578</v>
      </c>
      <c r="I18" s="58">
        <v>1.6223000000000001</v>
      </c>
      <c r="J18" s="64">
        <f t="shared" si="3"/>
        <v>1300.0000000000789</v>
      </c>
      <c r="K18" s="58">
        <v>2.621</v>
      </c>
      <c r="L18" s="64">
        <f t="shared" si="4"/>
        <v>2299.9999999999686</v>
      </c>
      <c r="M18" s="58">
        <v>1.4472</v>
      </c>
      <c r="N18" s="64">
        <f t="shared" si="5"/>
        <v>900.0000000001229</v>
      </c>
      <c r="O18" s="58">
        <v>14321</v>
      </c>
      <c r="P18" s="67">
        <f t="shared" si="44"/>
        <v>7</v>
      </c>
      <c r="Q18" s="58">
        <v>997</v>
      </c>
      <c r="R18" s="67">
        <f t="shared" si="6"/>
        <v>3</v>
      </c>
      <c r="S18" s="58">
        <v>983833.59999999998</v>
      </c>
      <c r="T18" s="67">
        <f t="shared" si="7"/>
        <v>800</v>
      </c>
      <c r="U18" s="58">
        <v>413751.1</v>
      </c>
      <c r="V18" s="67">
        <f t="shared" si="8"/>
        <v>344.89999999996508</v>
      </c>
      <c r="W18" s="58">
        <v>394.98</v>
      </c>
      <c r="X18" s="65">
        <f t="shared" si="9"/>
        <v>160.00000000002501</v>
      </c>
      <c r="Y18" s="58">
        <v>2.8228</v>
      </c>
      <c r="Z18" s="65">
        <f t="shared" si="10"/>
        <v>2299.9999999999686</v>
      </c>
      <c r="AA18" s="58">
        <v>392.75</v>
      </c>
      <c r="AB18" s="65">
        <f t="shared" si="11"/>
        <v>189.99999999999773</v>
      </c>
      <c r="AC18" s="58">
        <v>367.54</v>
      </c>
      <c r="AD18" s="65">
        <f t="shared" si="12"/>
        <v>330.00000000004093</v>
      </c>
      <c r="AE18" s="58">
        <v>563.21</v>
      </c>
      <c r="AF18" s="65">
        <f t="shared" si="13"/>
        <v>300.00000000006821</v>
      </c>
      <c r="AG18" s="58">
        <v>4037</v>
      </c>
      <c r="AH18" s="67">
        <f t="shared" si="14"/>
        <v>36</v>
      </c>
      <c r="AI18" s="58">
        <v>606.24</v>
      </c>
      <c r="AJ18" s="65">
        <f t="shared" si="15"/>
        <v>549.99999999995453</v>
      </c>
      <c r="AK18" s="58">
        <v>202.44</v>
      </c>
      <c r="AL18" s="65">
        <f t="shared" si="15"/>
        <v>129.99999999999545</v>
      </c>
      <c r="AM18" s="58">
        <v>192.75</v>
      </c>
      <c r="AN18" s="65">
        <f t="shared" si="15"/>
        <v>139.99999999998636</v>
      </c>
      <c r="AO18" s="58">
        <v>187.5</v>
      </c>
      <c r="AP18" s="65">
        <f t="shared" si="15"/>
        <v>80.000000000012506</v>
      </c>
      <c r="AQ18" s="58">
        <v>246.04</v>
      </c>
      <c r="AR18" s="65">
        <f t="shared" si="16"/>
        <v>129.99999999999545</v>
      </c>
      <c r="AS18" s="58">
        <v>370.49</v>
      </c>
      <c r="AT18" s="65">
        <f t="shared" si="17"/>
        <v>220.00000000002728</v>
      </c>
      <c r="AU18" s="58">
        <v>284.8</v>
      </c>
      <c r="AV18" s="65">
        <f t="shared" si="18"/>
        <v>79.999999999984084</v>
      </c>
      <c r="AW18" s="58">
        <v>319.22000000000003</v>
      </c>
      <c r="AX18" s="65">
        <f t="shared" si="19"/>
        <v>60.000000000002274</v>
      </c>
      <c r="AY18" s="58">
        <v>360.88</v>
      </c>
      <c r="AZ18" s="65">
        <f t="shared" si="20"/>
        <v>50.000000000011369</v>
      </c>
      <c r="BA18" s="58">
        <v>380.89</v>
      </c>
      <c r="BB18" s="65">
        <f t="shared" si="21"/>
        <v>39.99999999996362</v>
      </c>
      <c r="BC18" s="58">
        <v>241.51</v>
      </c>
      <c r="BD18" s="65">
        <f t="shared" si="22"/>
        <v>19.99999999998181</v>
      </c>
      <c r="BE18" s="59">
        <v>40044</v>
      </c>
      <c r="BF18" s="67">
        <f t="shared" si="39"/>
        <v>28</v>
      </c>
      <c r="BG18" s="60">
        <v>233.63</v>
      </c>
      <c r="BH18" s="65">
        <f t="shared" si="23"/>
        <v>30.000000000001137</v>
      </c>
      <c r="BI18" s="60">
        <v>292.83</v>
      </c>
      <c r="BJ18" s="65">
        <f t="shared" si="40"/>
        <v>9.9999999999909051</v>
      </c>
      <c r="BK18" s="60">
        <v>236.58</v>
      </c>
      <c r="BL18" s="65">
        <f t="shared" si="24"/>
        <v>30.000000000001137</v>
      </c>
      <c r="BM18" s="60">
        <v>223.38</v>
      </c>
      <c r="BN18" s="65">
        <f t="shared" si="25"/>
        <v>30.000000000001137</v>
      </c>
      <c r="BO18" s="60">
        <v>287.32</v>
      </c>
      <c r="BP18" s="65">
        <f t="shared" si="26"/>
        <v>29.999999999972715</v>
      </c>
      <c r="BQ18" s="60">
        <v>44932</v>
      </c>
      <c r="BR18" s="65">
        <f t="shared" si="27"/>
        <v>21</v>
      </c>
      <c r="BS18" s="60">
        <v>200.49</v>
      </c>
      <c r="BT18" s="65">
        <f t="shared" si="42"/>
        <v>30.000000000001137</v>
      </c>
      <c r="BU18" s="60">
        <v>40210</v>
      </c>
      <c r="BV18" s="65">
        <f t="shared" si="29"/>
        <v>41</v>
      </c>
      <c r="BW18" s="60">
        <v>231.6</v>
      </c>
      <c r="BX18" s="65">
        <f t="shared" si="30"/>
        <v>19.99999999998181</v>
      </c>
      <c r="BY18" s="60">
        <v>59582</v>
      </c>
      <c r="BZ18" s="67">
        <f t="shared" si="31"/>
        <v>62</v>
      </c>
      <c r="CA18" s="60">
        <v>31560.1</v>
      </c>
      <c r="CB18" s="67">
        <f t="shared" si="32"/>
        <v>33.69999999999709</v>
      </c>
      <c r="CC18" s="60">
        <v>12081.9</v>
      </c>
      <c r="CD18" s="67">
        <f t="shared" si="33"/>
        <v>6.7999999999992724</v>
      </c>
      <c r="CE18" s="60">
        <v>6350.1</v>
      </c>
      <c r="CF18" s="67">
        <f t="shared" si="34"/>
        <v>0.6000000000003638</v>
      </c>
      <c r="CG18" s="60">
        <v>59144.9</v>
      </c>
      <c r="CH18" s="67">
        <f t="shared" si="35"/>
        <v>36.200000000004366</v>
      </c>
      <c r="CI18" s="60">
        <v>945296</v>
      </c>
      <c r="CJ18" s="67">
        <f t="shared" si="36"/>
        <v>261</v>
      </c>
      <c r="CK18" s="60">
        <v>755.81</v>
      </c>
      <c r="CL18" s="64">
        <f t="shared" si="37"/>
        <v>719.9999999999136</v>
      </c>
      <c r="CM18" s="65">
        <f t="shared" si="41"/>
        <v>61.400000000001455</v>
      </c>
      <c r="CN18" s="62">
        <v>6</v>
      </c>
      <c r="CO18" s="62">
        <v>16</v>
      </c>
      <c r="CP18" s="68">
        <v>9010.7000000000007</v>
      </c>
      <c r="CQ18" s="67">
        <f t="shared" si="38"/>
        <v>46.400000000001455</v>
      </c>
      <c r="CR18" s="68">
        <v>13929</v>
      </c>
      <c r="CS18" s="67">
        <f t="shared" si="38"/>
        <v>15</v>
      </c>
      <c r="CT18" s="75">
        <v>6300</v>
      </c>
      <c r="CU18" s="67">
        <f t="shared" si="38"/>
        <v>12</v>
      </c>
      <c r="CV18" s="68">
        <v>15068</v>
      </c>
      <c r="CW18" s="67">
        <f t="shared" si="38"/>
        <v>18</v>
      </c>
    </row>
    <row r="19" spans="1:101" ht="25.5" customHeight="1" thickBot="1" x14ac:dyDescent="0.45">
      <c r="A19" s="63">
        <v>44363</v>
      </c>
      <c r="B19" s="44"/>
      <c r="C19" s="58">
        <v>2.2707999999999999</v>
      </c>
      <c r="D19" s="64">
        <f t="shared" si="0"/>
        <v>1999.9999999997797</v>
      </c>
      <c r="E19" s="58">
        <v>3.2334999999999998</v>
      </c>
      <c r="F19" s="64">
        <f t="shared" si="1"/>
        <v>2599.9999999997135</v>
      </c>
      <c r="G19" s="58">
        <v>3.2923</v>
      </c>
      <c r="H19" s="64">
        <f t="shared" si="2"/>
        <v>2499.9999999999468</v>
      </c>
      <c r="I19" s="58">
        <v>1.6235999999999999</v>
      </c>
      <c r="J19" s="64">
        <f t="shared" si="3"/>
        <v>1299.9999999998568</v>
      </c>
      <c r="K19" s="58">
        <v>2.6232000000000002</v>
      </c>
      <c r="L19" s="64">
        <f t="shared" si="4"/>
        <v>2200.0000000002019</v>
      </c>
      <c r="M19" s="58">
        <v>1.4482999999999999</v>
      </c>
      <c r="N19" s="64">
        <f t="shared" si="5"/>
        <v>1099.9999999998788</v>
      </c>
      <c r="O19" s="58">
        <v>14322</v>
      </c>
      <c r="P19" s="67">
        <f t="shared" si="44"/>
        <v>1</v>
      </c>
      <c r="Q19" s="58">
        <v>999</v>
      </c>
      <c r="R19" s="67">
        <f t="shared" si="6"/>
        <v>2</v>
      </c>
      <c r="S19" s="58">
        <v>984464.4</v>
      </c>
      <c r="T19" s="67">
        <f t="shared" si="7"/>
        <v>630.80000000004657</v>
      </c>
      <c r="U19" s="58">
        <v>414042.8</v>
      </c>
      <c r="V19" s="67">
        <f t="shared" si="8"/>
        <v>291.70000000001164</v>
      </c>
      <c r="W19" s="58">
        <v>395.12</v>
      </c>
      <c r="X19" s="65">
        <f t="shared" si="9"/>
        <v>139.99999999998636</v>
      </c>
      <c r="Y19" s="58">
        <v>2.8250999999999999</v>
      </c>
      <c r="Z19" s="65">
        <f t="shared" si="10"/>
        <v>2299.9999999999686</v>
      </c>
      <c r="AA19" s="58">
        <v>393.11</v>
      </c>
      <c r="AB19" s="65">
        <f t="shared" si="11"/>
        <v>360.00000000001364</v>
      </c>
      <c r="AC19" s="58">
        <v>367.84</v>
      </c>
      <c r="AD19" s="65">
        <f t="shared" si="12"/>
        <v>299.99999999995453</v>
      </c>
      <c r="AE19" s="58">
        <v>563.49</v>
      </c>
      <c r="AF19" s="65">
        <f t="shared" si="13"/>
        <v>279.99999999997272</v>
      </c>
      <c r="AG19" s="58">
        <v>4074</v>
      </c>
      <c r="AH19" s="67">
        <f t="shared" si="14"/>
        <v>37</v>
      </c>
      <c r="AI19" s="58">
        <v>606.82000000000005</v>
      </c>
      <c r="AJ19" s="65">
        <f t="shared" si="15"/>
        <v>580.00000000004093</v>
      </c>
      <c r="AK19" s="58">
        <v>202.6</v>
      </c>
      <c r="AL19" s="65">
        <f t="shared" si="15"/>
        <v>159.99999999999659</v>
      </c>
      <c r="AM19" s="58">
        <v>192.89</v>
      </c>
      <c r="AN19" s="65">
        <f t="shared" si="15"/>
        <v>139.99999999998636</v>
      </c>
      <c r="AO19" s="58">
        <v>187.67</v>
      </c>
      <c r="AP19" s="65">
        <f t="shared" si="15"/>
        <v>169.99999999998749</v>
      </c>
      <c r="AQ19" s="58">
        <v>246.18</v>
      </c>
      <c r="AR19" s="65">
        <f t="shared" si="16"/>
        <v>140.00000000001478</v>
      </c>
      <c r="AS19" s="58">
        <v>370.72</v>
      </c>
      <c r="AT19" s="65">
        <f t="shared" si="17"/>
        <v>230.00000000001819</v>
      </c>
      <c r="AU19" s="58">
        <v>284.88</v>
      </c>
      <c r="AV19" s="65">
        <f t="shared" si="18"/>
        <v>79.999999999984084</v>
      </c>
      <c r="AW19" s="58">
        <v>319.31</v>
      </c>
      <c r="AX19" s="65">
        <f t="shared" si="19"/>
        <v>89.999999999974989</v>
      </c>
      <c r="AY19" s="58">
        <v>360.95</v>
      </c>
      <c r="AZ19" s="65">
        <f t="shared" si="20"/>
        <v>69.999999999993179</v>
      </c>
      <c r="BA19" s="58">
        <v>380.92</v>
      </c>
      <c r="BB19" s="65">
        <f t="shared" si="21"/>
        <v>30.000000000029559</v>
      </c>
      <c r="BC19" s="58">
        <v>241.54</v>
      </c>
      <c r="BD19" s="65">
        <f t="shared" si="22"/>
        <v>30.000000000001137</v>
      </c>
      <c r="BE19" s="59">
        <v>40050</v>
      </c>
      <c r="BF19" s="67">
        <f t="shared" si="39"/>
        <v>6</v>
      </c>
      <c r="BG19" s="60">
        <v>233.68</v>
      </c>
      <c r="BH19" s="65">
        <f t="shared" si="23"/>
        <v>50.000000000011369</v>
      </c>
      <c r="BI19" s="60">
        <v>292.88</v>
      </c>
      <c r="BJ19" s="65">
        <f t="shared" si="40"/>
        <v>50.000000000011369</v>
      </c>
      <c r="BK19" s="60">
        <v>236.61</v>
      </c>
      <c r="BL19" s="65">
        <f t="shared" si="24"/>
        <v>30.000000000001137</v>
      </c>
      <c r="BM19" s="60">
        <v>223.42</v>
      </c>
      <c r="BN19" s="65">
        <f t="shared" si="25"/>
        <v>39.999999999992042</v>
      </c>
      <c r="BO19" s="60">
        <v>287.35000000000002</v>
      </c>
      <c r="BP19" s="65">
        <f t="shared" si="26"/>
        <v>30.000000000029559</v>
      </c>
      <c r="BQ19" s="60">
        <v>44950</v>
      </c>
      <c r="BR19" s="65">
        <f t="shared" si="27"/>
        <v>18</v>
      </c>
      <c r="BS19" s="60">
        <v>200.51</v>
      </c>
      <c r="BT19" s="65">
        <f t="shared" si="42"/>
        <v>19.99999999998181</v>
      </c>
      <c r="BU19" s="60">
        <v>40253</v>
      </c>
      <c r="BV19" s="65">
        <f t="shared" si="29"/>
        <v>43</v>
      </c>
      <c r="BW19" s="60">
        <v>231.63</v>
      </c>
      <c r="BX19" s="65">
        <f t="shared" si="30"/>
        <v>30.000000000001137</v>
      </c>
      <c r="BY19" s="60">
        <v>59631</v>
      </c>
      <c r="BZ19" s="67">
        <f t="shared" si="31"/>
        <v>49</v>
      </c>
      <c r="CA19" s="60">
        <v>31592.799999999999</v>
      </c>
      <c r="CB19" s="67">
        <f t="shared" si="32"/>
        <v>32.700000000000728</v>
      </c>
      <c r="CC19" s="60">
        <v>12087.7</v>
      </c>
      <c r="CD19" s="67">
        <f t="shared" si="33"/>
        <v>5.8000000000010914</v>
      </c>
      <c r="CE19" s="60">
        <v>6359</v>
      </c>
      <c r="CF19" s="67">
        <f t="shared" si="34"/>
        <v>8.8999999999996362</v>
      </c>
      <c r="CG19" s="60">
        <v>59179.1</v>
      </c>
      <c r="CH19" s="67">
        <f t="shared" si="35"/>
        <v>34.19999999999709</v>
      </c>
      <c r="CI19" s="60">
        <v>945563</v>
      </c>
      <c r="CJ19" s="67">
        <f t="shared" si="36"/>
        <v>267</v>
      </c>
      <c r="CK19" s="60">
        <v>756.53</v>
      </c>
      <c r="CL19" s="64">
        <f t="shared" si="37"/>
        <v>720.00000000002728</v>
      </c>
      <c r="CM19" s="65">
        <f t="shared" si="41"/>
        <v>65.399999999999636</v>
      </c>
      <c r="CN19" s="62">
        <v>6</v>
      </c>
      <c r="CO19" s="62">
        <v>16</v>
      </c>
      <c r="CP19" s="68">
        <v>9055.1</v>
      </c>
      <c r="CQ19" s="67">
        <f t="shared" si="38"/>
        <v>44.399999999999636</v>
      </c>
      <c r="CR19" s="68">
        <v>13950</v>
      </c>
      <c r="CS19" s="67">
        <f t="shared" si="38"/>
        <v>21</v>
      </c>
      <c r="CT19" s="75">
        <v>6312</v>
      </c>
      <c r="CU19" s="67">
        <f t="shared" si="38"/>
        <v>12</v>
      </c>
      <c r="CV19" s="68">
        <v>15092</v>
      </c>
      <c r="CW19" s="67">
        <f t="shared" si="38"/>
        <v>24</v>
      </c>
    </row>
    <row r="20" spans="1:101" ht="25.5" customHeight="1" thickBot="1" x14ac:dyDescent="0.45">
      <c r="A20" s="63">
        <v>44364</v>
      </c>
      <c r="B20" s="44"/>
      <c r="C20" s="58">
        <v>2.2728000000000002</v>
      </c>
      <c r="D20" s="64">
        <f t="shared" si="0"/>
        <v>2000.0000000002237</v>
      </c>
      <c r="E20" s="58">
        <v>3.2362000000000002</v>
      </c>
      <c r="F20" s="64">
        <f t="shared" si="1"/>
        <v>2700.0000000003688</v>
      </c>
      <c r="G20" s="58">
        <v>3.2949000000000002</v>
      </c>
      <c r="H20" s="64">
        <f t="shared" si="2"/>
        <v>2600.0000000001578</v>
      </c>
      <c r="I20" s="58">
        <v>1.6249</v>
      </c>
      <c r="J20" s="64">
        <f t="shared" si="3"/>
        <v>1300.0000000000789</v>
      </c>
      <c r="K20" s="58">
        <v>2.6259000000000001</v>
      </c>
      <c r="L20" s="64">
        <f t="shared" si="4"/>
        <v>2699.9999999999245</v>
      </c>
      <c r="M20" s="58">
        <v>1.4492</v>
      </c>
      <c r="N20" s="64">
        <f t="shared" si="5"/>
        <v>900.0000000001229</v>
      </c>
      <c r="O20" s="58">
        <v>14330</v>
      </c>
      <c r="P20" s="67">
        <f t="shared" si="44"/>
        <v>8</v>
      </c>
      <c r="Q20" s="58">
        <v>1002</v>
      </c>
      <c r="R20" s="67">
        <f t="shared" si="6"/>
        <v>3</v>
      </c>
      <c r="S20" s="58">
        <v>985331.6</v>
      </c>
      <c r="T20" s="67">
        <f t="shared" si="7"/>
        <v>867.19999999995343</v>
      </c>
      <c r="U20" s="58">
        <v>414426.6</v>
      </c>
      <c r="V20" s="67">
        <f t="shared" si="8"/>
        <v>383.79999999998836</v>
      </c>
      <c r="W20" s="58">
        <v>395.43</v>
      </c>
      <c r="X20" s="65">
        <f t="shared" si="9"/>
        <v>310.00000000000227</v>
      </c>
      <c r="Y20" s="58">
        <v>2.8275000000000001</v>
      </c>
      <c r="Z20" s="65">
        <f t="shared" si="10"/>
        <v>2400.0000000001796</v>
      </c>
      <c r="AA20" s="58">
        <v>393.36</v>
      </c>
      <c r="AB20" s="65">
        <f t="shared" si="11"/>
        <v>250</v>
      </c>
      <c r="AC20" s="58">
        <v>368.15</v>
      </c>
      <c r="AD20" s="65">
        <f t="shared" si="12"/>
        <v>310.00000000000227</v>
      </c>
      <c r="AE20" s="58">
        <v>563.79</v>
      </c>
      <c r="AF20" s="65">
        <f t="shared" si="13"/>
        <v>299.99999999995453</v>
      </c>
      <c r="AG20" s="58">
        <v>4111</v>
      </c>
      <c r="AH20" s="67">
        <f t="shared" si="14"/>
        <v>37</v>
      </c>
      <c r="AI20" s="58">
        <v>607.71</v>
      </c>
      <c r="AJ20" s="65">
        <f t="shared" si="15"/>
        <v>889.99999999998636</v>
      </c>
      <c r="AK20" s="58">
        <v>202.8</v>
      </c>
      <c r="AL20" s="65">
        <f t="shared" si="15"/>
        <v>200.00000000001705</v>
      </c>
      <c r="AM20" s="58">
        <v>193.05</v>
      </c>
      <c r="AN20" s="65">
        <f t="shared" si="15"/>
        <v>160.00000000002501</v>
      </c>
      <c r="AO20" s="58">
        <v>187.83</v>
      </c>
      <c r="AP20" s="65">
        <f t="shared" si="15"/>
        <v>160.00000000002501</v>
      </c>
      <c r="AQ20" s="58">
        <v>246.34</v>
      </c>
      <c r="AR20" s="65">
        <f t="shared" si="16"/>
        <v>159.99999999999659</v>
      </c>
      <c r="AS20" s="58">
        <v>370.95</v>
      </c>
      <c r="AT20" s="65">
        <f t="shared" si="17"/>
        <v>229.99999999996135</v>
      </c>
      <c r="AU20" s="58">
        <v>284.95</v>
      </c>
      <c r="AV20" s="65">
        <f t="shared" si="18"/>
        <v>69.999999999993179</v>
      </c>
      <c r="AW20" s="58">
        <v>319.39999999999998</v>
      </c>
      <c r="AX20" s="65">
        <f t="shared" si="19"/>
        <v>89.999999999974989</v>
      </c>
      <c r="AY20" s="58">
        <v>361.01</v>
      </c>
      <c r="AZ20" s="65">
        <f t="shared" si="20"/>
        <v>60.000000000002274</v>
      </c>
      <c r="BA20" s="58">
        <v>380.95</v>
      </c>
      <c r="BB20" s="65">
        <f t="shared" si="21"/>
        <v>29.999999999972715</v>
      </c>
      <c r="BC20" s="58">
        <v>241.57</v>
      </c>
      <c r="BD20" s="65">
        <f t="shared" si="22"/>
        <v>30.000000000001137</v>
      </c>
      <c r="BE20" s="59">
        <v>40067</v>
      </c>
      <c r="BF20" s="67">
        <f t="shared" si="39"/>
        <v>17</v>
      </c>
      <c r="BG20" s="60">
        <v>233.72</v>
      </c>
      <c r="BH20" s="65">
        <f t="shared" si="23"/>
        <v>39.999999999992042</v>
      </c>
      <c r="BI20" s="60">
        <v>292.91000000000003</v>
      </c>
      <c r="BJ20" s="65">
        <f t="shared" si="40"/>
        <v>30.000000000029559</v>
      </c>
      <c r="BK20" s="60">
        <v>236.65</v>
      </c>
      <c r="BL20" s="65">
        <f t="shared" si="24"/>
        <v>39.999999999992042</v>
      </c>
      <c r="BM20" s="60">
        <v>223.46</v>
      </c>
      <c r="BN20" s="65">
        <f t="shared" si="25"/>
        <v>40.000000000020464</v>
      </c>
      <c r="BO20" s="60">
        <v>287.38</v>
      </c>
      <c r="BP20" s="65">
        <f t="shared" si="26"/>
        <v>29.999999999972715</v>
      </c>
      <c r="BQ20" s="60">
        <v>44975</v>
      </c>
      <c r="BR20" s="65">
        <f t="shared" si="27"/>
        <v>25</v>
      </c>
      <c r="BS20" s="60">
        <v>200.54</v>
      </c>
      <c r="BT20" s="65">
        <f t="shared" si="42"/>
        <v>30.000000000001137</v>
      </c>
      <c r="BU20" s="60">
        <v>40294</v>
      </c>
      <c r="BV20" s="65">
        <f t="shared" si="29"/>
        <v>41</v>
      </c>
      <c r="BW20" s="60">
        <v>231.66</v>
      </c>
      <c r="BX20" s="65">
        <f t="shared" si="30"/>
        <v>30.000000000001137</v>
      </c>
      <c r="BY20" s="60">
        <v>59691</v>
      </c>
      <c r="BZ20" s="67">
        <f t="shared" si="31"/>
        <v>60</v>
      </c>
      <c r="CA20" s="60">
        <v>31627</v>
      </c>
      <c r="CB20" s="67">
        <f t="shared" si="32"/>
        <v>34.200000000000728</v>
      </c>
      <c r="CC20" s="60">
        <v>12092.8</v>
      </c>
      <c r="CD20" s="67">
        <f t="shared" si="33"/>
        <v>5.0999999999985448</v>
      </c>
      <c r="CE20" s="60">
        <v>6359.9</v>
      </c>
      <c r="CF20" s="67">
        <f t="shared" si="34"/>
        <v>0.8999999999996362</v>
      </c>
      <c r="CG20" s="60">
        <v>59215.199999999997</v>
      </c>
      <c r="CH20" s="67">
        <f t="shared" si="35"/>
        <v>36.099999999998545</v>
      </c>
      <c r="CI20" s="60">
        <v>945828</v>
      </c>
      <c r="CJ20" s="67">
        <f t="shared" si="36"/>
        <v>265</v>
      </c>
      <c r="CK20" s="60">
        <v>757.17</v>
      </c>
      <c r="CL20" s="64">
        <f t="shared" si="37"/>
        <v>639.99999999998636</v>
      </c>
      <c r="CM20" s="65">
        <f t="shared" si="41"/>
        <v>62.299999999999272</v>
      </c>
      <c r="CN20" s="62">
        <v>8</v>
      </c>
      <c r="CO20" s="62">
        <v>25</v>
      </c>
      <c r="CP20" s="68">
        <v>9100.4</v>
      </c>
      <c r="CQ20" s="67">
        <f t="shared" si="38"/>
        <v>45.299999999999272</v>
      </c>
      <c r="CR20" s="68">
        <v>13967</v>
      </c>
      <c r="CS20" s="67">
        <f t="shared" si="38"/>
        <v>17</v>
      </c>
      <c r="CT20" s="75">
        <v>6324</v>
      </c>
      <c r="CU20" s="67">
        <f t="shared" si="38"/>
        <v>12</v>
      </c>
      <c r="CV20" s="68">
        <v>15114</v>
      </c>
      <c r="CW20" s="67">
        <f t="shared" si="38"/>
        <v>22</v>
      </c>
    </row>
    <row r="21" spans="1:101" ht="25.5" customHeight="1" thickBot="1" x14ac:dyDescent="0.45">
      <c r="A21" s="63">
        <v>44365</v>
      </c>
      <c r="B21" s="44"/>
      <c r="C21" s="58">
        <v>2.2749000000000001</v>
      </c>
      <c r="D21" s="64">
        <f t="shared" si="0"/>
        <v>2099.9999999999909</v>
      </c>
      <c r="E21" s="58">
        <v>3.2387000000000001</v>
      </c>
      <c r="F21" s="64">
        <f t="shared" si="1"/>
        <v>2499.9999999999468</v>
      </c>
      <c r="G21" s="58">
        <v>3.2972999999999999</v>
      </c>
      <c r="H21" s="64">
        <f t="shared" si="2"/>
        <v>2399.9999999997358</v>
      </c>
      <c r="I21" s="58">
        <v>1.6262000000000001</v>
      </c>
      <c r="J21" s="64">
        <f t="shared" si="3"/>
        <v>1300.0000000000789</v>
      </c>
      <c r="K21" s="58">
        <v>2.6276000000000002</v>
      </c>
      <c r="L21" s="64">
        <f t="shared" si="4"/>
        <v>1700.0000000000348</v>
      </c>
      <c r="M21" s="58">
        <v>1.4502999999999999</v>
      </c>
      <c r="N21" s="64">
        <f t="shared" si="5"/>
        <v>1099.9999999998788</v>
      </c>
      <c r="O21" s="58">
        <v>14331</v>
      </c>
      <c r="P21" s="67">
        <f t="shared" si="44"/>
        <v>1</v>
      </c>
      <c r="Q21" s="58">
        <v>1004</v>
      </c>
      <c r="R21" s="67">
        <f t="shared" si="6"/>
        <v>2</v>
      </c>
      <c r="S21" s="58">
        <v>986088.6</v>
      </c>
      <c r="T21" s="67">
        <f t="shared" si="7"/>
        <v>757</v>
      </c>
      <c r="U21" s="58">
        <v>414724.2</v>
      </c>
      <c r="V21" s="67">
        <f t="shared" si="8"/>
        <v>297.60000000003492</v>
      </c>
      <c r="W21" s="58">
        <v>395.73</v>
      </c>
      <c r="X21" s="65">
        <f t="shared" si="9"/>
        <v>300.00000000001137</v>
      </c>
      <c r="Y21" s="58">
        <v>2.8296999999999999</v>
      </c>
      <c r="Z21" s="65">
        <f t="shared" si="10"/>
        <v>2199.9999999997576</v>
      </c>
      <c r="AA21" s="58">
        <v>393.74</v>
      </c>
      <c r="AB21" s="65">
        <f t="shared" si="11"/>
        <v>379.99999999999545</v>
      </c>
      <c r="AC21" s="58">
        <v>368.46</v>
      </c>
      <c r="AD21" s="65">
        <f t="shared" si="12"/>
        <v>310.00000000000227</v>
      </c>
      <c r="AE21" s="58">
        <v>564.11</v>
      </c>
      <c r="AF21" s="65">
        <f t="shared" si="13"/>
        <v>320.00000000005002</v>
      </c>
      <c r="AG21" s="58">
        <v>4149</v>
      </c>
      <c r="AH21" s="67">
        <f t="shared" si="14"/>
        <v>38</v>
      </c>
      <c r="AI21" s="58">
        <v>608.01</v>
      </c>
      <c r="AJ21" s="65">
        <f t="shared" si="15"/>
        <v>299.99999999995453</v>
      </c>
      <c r="AK21" s="58">
        <v>202.99</v>
      </c>
      <c r="AL21" s="65">
        <f t="shared" si="15"/>
        <v>189.99999999999773</v>
      </c>
      <c r="AM21" s="58">
        <v>193.24</v>
      </c>
      <c r="AN21" s="65">
        <f t="shared" si="15"/>
        <v>189.99999999999773</v>
      </c>
      <c r="AO21" s="58">
        <v>187.98</v>
      </c>
      <c r="AP21" s="65">
        <f t="shared" si="15"/>
        <v>149.99999999997726</v>
      </c>
      <c r="AQ21" s="58">
        <v>246.47</v>
      </c>
      <c r="AR21" s="65">
        <f t="shared" si="16"/>
        <v>129.99999999999545</v>
      </c>
      <c r="AS21" s="58">
        <v>371.23</v>
      </c>
      <c r="AT21" s="65">
        <f t="shared" si="17"/>
        <v>280.00000000002956</v>
      </c>
      <c r="AU21" s="58">
        <v>285.01</v>
      </c>
      <c r="AV21" s="65">
        <f t="shared" si="18"/>
        <v>60.000000000002274</v>
      </c>
      <c r="AW21" s="58">
        <v>319.49</v>
      </c>
      <c r="AX21" s="65">
        <f t="shared" si="19"/>
        <v>90.000000000031832</v>
      </c>
      <c r="AY21" s="58">
        <v>361.06</v>
      </c>
      <c r="AZ21" s="65">
        <f t="shared" si="20"/>
        <v>50.000000000011369</v>
      </c>
      <c r="BA21" s="58">
        <v>380.97</v>
      </c>
      <c r="BB21" s="65">
        <f t="shared" si="21"/>
        <v>20.000000000038654</v>
      </c>
      <c r="BC21" s="58">
        <v>241.59</v>
      </c>
      <c r="BD21" s="65">
        <f t="shared" si="22"/>
        <v>20.000000000010232</v>
      </c>
      <c r="BE21" s="59">
        <v>40103</v>
      </c>
      <c r="BF21" s="67">
        <f t="shared" si="39"/>
        <v>36</v>
      </c>
      <c r="BG21" s="60">
        <v>233.76</v>
      </c>
      <c r="BH21" s="65">
        <f t="shared" si="23"/>
        <v>39.999999999992042</v>
      </c>
      <c r="BI21" s="60">
        <v>292.95</v>
      </c>
      <c r="BJ21" s="65">
        <f t="shared" si="40"/>
        <v>39.99999999996362</v>
      </c>
      <c r="BK21" s="60">
        <v>236.68</v>
      </c>
      <c r="BL21" s="65">
        <f t="shared" si="24"/>
        <v>30.000000000001137</v>
      </c>
      <c r="BM21" s="60">
        <v>223.5</v>
      </c>
      <c r="BN21" s="65">
        <f t="shared" si="25"/>
        <v>39.999999999992042</v>
      </c>
      <c r="BO21" s="60">
        <v>287.39999999999998</v>
      </c>
      <c r="BP21" s="65">
        <f t="shared" si="26"/>
        <v>19.99999999998181</v>
      </c>
      <c r="BQ21" s="60">
        <v>45006</v>
      </c>
      <c r="BR21" s="65">
        <f t="shared" si="27"/>
        <v>31</v>
      </c>
      <c r="BS21" s="60">
        <v>200.56</v>
      </c>
      <c r="BT21" s="65">
        <f t="shared" si="42"/>
        <v>20.000000000010232</v>
      </c>
      <c r="BU21" s="60">
        <v>40337</v>
      </c>
      <c r="BV21" s="65">
        <f t="shared" si="29"/>
        <v>43</v>
      </c>
      <c r="BW21" s="60">
        <v>231.7</v>
      </c>
      <c r="BX21" s="65">
        <f t="shared" si="30"/>
        <v>39.999999999992042</v>
      </c>
      <c r="BY21" s="60">
        <v>59746</v>
      </c>
      <c r="BZ21" s="67">
        <f t="shared" si="31"/>
        <v>55</v>
      </c>
      <c r="CA21" s="60">
        <v>31655.1</v>
      </c>
      <c r="CB21" s="67">
        <f t="shared" si="32"/>
        <v>28.099999999998545</v>
      </c>
      <c r="CC21" s="60">
        <v>12100.7</v>
      </c>
      <c r="CD21" s="67">
        <f t="shared" si="33"/>
        <v>7.9000000000014552</v>
      </c>
      <c r="CE21" s="60">
        <v>6367.8</v>
      </c>
      <c r="CF21" s="67">
        <f t="shared" si="34"/>
        <v>7.9000000000005457</v>
      </c>
      <c r="CG21" s="60">
        <v>59251.1</v>
      </c>
      <c r="CH21" s="67">
        <f t="shared" si="35"/>
        <v>35.900000000001455</v>
      </c>
      <c r="CI21" s="60">
        <v>946103</v>
      </c>
      <c r="CJ21" s="67">
        <f t="shared" si="36"/>
        <v>275</v>
      </c>
      <c r="CK21" s="60">
        <v>757.9</v>
      </c>
      <c r="CL21" s="64">
        <f t="shared" si="37"/>
        <v>730.00000000001819</v>
      </c>
      <c r="CM21" s="65">
        <v>54</v>
      </c>
      <c r="CN21" s="62">
        <v>8</v>
      </c>
      <c r="CO21" s="62">
        <v>25</v>
      </c>
      <c r="CP21" s="68">
        <v>9130.6</v>
      </c>
      <c r="CQ21" s="67">
        <f t="shared" si="38"/>
        <v>30.200000000000728</v>
      </c>
      <c r="CR21" s="68">
        <v>13991</v>
      </c>
      <c r="CS21" s="67">
        <f t="shared" si="38"/>
        <v>24</v>
      </c>
      <c r="CT21" s="75">
        <v>6336</v>
      </c>
      <c r="CU21" s="67">
        <f t="shared" si="38"/>
        <v>12</v>
      </c>
      <c r="CV21" s="68">
        <v>15137</v>
      </c>
      <c r="CW21" s="67">
        <f t="shared" si="38"/>
        <v>23</v>
      </c>
    </row>
    <row r="22" spans="1:101" ht="25.5" customHeight="1" thickBot="1" x14ac:dyDescent="0.45">
      <c r="A22" s="63">
        <v>44366</v>
      </c>
      <c r="B22" s="44"/>
      <c r="C22" s="58">
        <v>2.2770000000000001</v>
      </c>
      <c r="D22" s="64">
        <f t="shared" si="0"/>
        <v>2099.9999999999909</v>
      </c>
      <c r="E22" s="58">
        <v>3.2414000000000001</v>
      </c>
      <c r="F22" s="64">
        <f t="shared" si="1"/>
        <v>2699.9999999999245</v>
      </c>
      <c r="G22" s="58">
        <v>3.3003</v>
      </c>
      <c r="H22" s="64">
        <f t="shared" si="2"/>
        <v>3000.0000000001137</v>
      </c>
      <c r="I22" s="58">
        <v>1.6274999999999999</v>
      </c>
      <c r="J22" s="64">
        <f t="shared" si="3"/>
        <v>1299.9999999998568</v>
      </c>
      <c r="K22" s="58">
        <v>2.6297999999999999</v>
      </c>
      <c r="L22" s="64">
        <f t="shared" si="4"/>
        <v>2199.9999999997576</v>
      </c>
      <c r="M22" s="58">
        <v>1.4513</v>
      </c>
      <c r="N22" s="64">
        <f t="shared" si="5"/>
        <v>1000.0000000001119</v>
      </c>
      <c r="O22" s="58">
        <v>14348</v>
      </c>
      <c r="P22" s="67">
        <f t="shared" si="44"/>
        <v>17</v>
      </c>
      <c r="Q22" s="58">
        <v>1008</v>
      </c>
      <c r="R22" s="67">
        <f t="shared" si="6"/>
        <v>4</v>
      </c>
      <c r="S22" s="58">
        <v>987017</v>
      </c>
      <c r="T22" s="67">
        <f t="shared" si="7"/>
        <v>928.40000000002328</v>
      </c>
      <c r="U22" s="58">
        <v>415056.8</v>
      </c>
      <c r="V22" s="67">
        <f t="shared" si="8"/>
        <v>332.59999999997672</v>
      </c>
      <c r="W22" s="58">
        <v>396.03</v>
      </c>
      <c r="X22" s="65">
        <f t="shared" si="9"/>
        <v>299.99999999995453</v>
      </c>
      <c r="Y22" s="58">
        <v>2.8321000000000001</v>
      </c>
      <c r="Z22" s="65">
        <f t="shared" si="10"/>
        <v>2400.0000000001796</v>
      </c>
      <c r="AA22" s="58">
        <v>394.01</v>
      </c>
      <c r="AB22" s="65">
        <f t="shared" si="11"/>
        <v>269.99999999998181</v>
      </c>
      <c r="AC22" s="58">
        <v>368.74</v>
      </c>
      <c r="AD22" s="65">
        <f t="shared" si="12"/>
        <v>280.00000000002956</v>
      </c>
      <c r="AE22" s="58">
        <v>564.4</v>
      </c>
      <c r="AF22" s="65">
        <f t="shared" si="13"/>
        <v>289.99999999996362</v>
      </c>
      <c r="AG22" s="58">
        <v>4183</v>
      </c>
      <c r="AH22" s="67">
        <f t="shared" si="14"/>
        <v>34</v>
      </c>
      <c r="AI22" s="58">
        <v>608.38</v>
      </c>
      <c r="AJ22" s="65">
        <f t="shared" si="15"/>
        <v>370.00000000000455</v>
      </c>
      <c r="AK22" s="58">
        <v>203.22</v>
      </c>
      <c r="AL22" s="65">
        <f t="shared" si="15"/>
        <v>229.99999999998977</v>
      </c>
      <c r="AM22" s="58">
        <v>193.49</v>
      </c>
      <c r="AN22" s="65">
        <f t="shared" si="15"/>
        <v>250</v>
      </c>
      <c r="AO22" s="58">
        <v>188.12</v>
      </c>
      <c r="AP22" s="65">
        <f t="shared" si="15"/>
        <v>140.00000000001478</v>
      </c>
      <c r="AQ22" s="58">
        <v>246.6</v>
      </c>
      <c r="AR22" s="65">
        <f t="shared" si="16"/>
        <v>129.99999999999545</v>
      </c>
      <c r="AS22" s="58">
        <v>371.51</v>
      </c>
      <c r="AT22" s="65">
        <f t="shared" si="17"/>
        <v>279.99999999997272</v>
      </c>
      <c r="AU22" s="58">
        <v>285.07</v>
      </c>
      <c r="AV22" s="65">
        <f t="shared" si="18"/>
        <v>60.000000000002274</v>
      </c>
      <c r="AW22" s="58">
        <v>319.56</v>
      </c>
      <c r="AX22" s="65">
        <f t="shared" si="19"/>
        <v>69.999999999993179</v>
      </c>
      <c r="AY22" s="58">
        <v>361.1</v>
      </c>
      <c r="AZ22" s="65">
        <f t="shared" si="20"/>
        <v>40.000000000020464</v>
      </c>
      <c r="BA22" s="58">
        <v>380.99</v>
      </c>
      <c r="BB22" s="65">
        <f t="shared" si="21"/>
        <v>19.99999999998181</v>
      </c>
      <c r="BC22" s="58">
        <v>241.61</v>
      </c>
      <c r="BD22" s="65">
        <f t="shared" si="22"/>
        <v>20.000000000010232</v>
      </c>
      <c r="BE22" s="59">
        <v>40131</v>
      </c>
      <c r="BF22" s="67">
        <f t="shared" si="39"/>
        <v>28</v>
      </c>
      <c r="BG22" s="60">
        <v>233.8</v>
      </c>
      <c r="BH22" s="65">
        <f t="shared" si="23"/>
        <v>40.000000000020464</v>
      </c>
      <c r="BI22" s="60">
        <v>292.98</v>
      </c>
      <c r="BJ22" s="65">
        <f t="shared" si="40"/>
        <v>30.000000000029559</v>
      </c>
      <c r="BK22" s="60">
        <v>236.71</v>
      </c>
      <c r="BL22" s="65">
        <f t="shared" si="24"/>
        <v>30.000000000001137</v>
      </c>
      <c r="BM22" s="60">
        <v>223.53</v>
      </c>
      <c r="BN22" s="65">
        <f t="shared" si="25"/>
        <v>30.000000000001137</v>
      </c>
      <c r="BO22" s="60">
        <v>287.43</v>
      </c>
      <c r="BP22" s="65">
        <f t="shared" si="26"/>
        <v>30.000000000029559</v>
      </c>
      <c r="BQ22" s="60">
        <v>45041</v>
      </c>
      <c r="BR22" s="65">
        <f t="shared" si="27"/>
        <v>35</v>
      </c>
      <c r="BS22" s="60">
        <v>200.56</v>
      </c>
      <c r="BT22" s="65">
        <f t="shared" si="42"/>
        <v>0</v>
      </c>
      <c r="BU22" s="60">
        <v>40375</v>
      </c>
      <c r="BV22" s="65">
        <f t="shared" si="29"/>
        <v>38</v>
      </c>
      <c r="BW22" s="60">
        <v>231.72</v>
      </c>
      <c r="BX22" s="65">
        <f t="shared" si="30"/>
        <v>20.000000000010232</v>
      </c>
      <c r="BY22" s="60">
        <v>59800</v>
      </c>
      <c r="BZ22" s="67">
        <f t="shared" si="31"/>
        <v>54</v>
      </c>
      <c r="CA22" s="60">
        <v>31686</v>
      </c>
      <c r="CB22" s="67">
        <f t="shared" si="32"/>
        <v>30.900000000001455</v>
      </c>
      <c r="CC22" s="60">
        <v>12107.2</v>
      </c>
      <c r="CD22" s="67">
        <f t="shared" si="33"/>
        <v>6.5</v>
      </c>
      <c r="CE22" s="60">
        <v>6368.1</v>
      </c>
      <c r="CF22" s="67">
        <f t="shared" si="34"/>
        <v>0.3000000000001819</v>
      </c>
      <c r="CG22" s="60">
        <v>59281.5</v>
      </c>
      <c r="CH22" s="67">
        <f t="shared" si="35"/>
        <v>30.400000000001455</v>
      </c>
      <c r="CI22" s="60">
        <v>946372</v>
      </c>
      <c r="CJ22" s="67">
        <f t="shared" si="36"/>
        <v>269</v>
      </c>
      <c r="CK22" s="60">
        <v>758.68</v>
      </c>
      <c r="CL22" s="64">
        <f t="shared" si="37"/>
        <v>779.99999999997272</v>
      </c>
      <c r="CM22" s="65">
        <f t="shared" si="41"/>
        <v>84.399999999999636</v>
      </c>
      <c r="CN22" s="62">
        <v>8</v>
      </c>
      <c r="CO22" s="62">
        <v>25</v>
      </c>
      <c r="CP22" s="68">
        <v>9192</v>
      </c>
      <c r="CQ22" s="67">
        <f t="shared" si="38"/>
        <v>61.399999999999636</v>
      </c>
      <c r="CR22" s="68">
        <v>14014</v>
      </c>
      <c r="CS22" s="67">
        <f t="shared" si="38"/>
        <v>23</v>
      </c>
      <c r="CT22" s="75">
        <v>6349</v>
      </c>
      <c r="CU22" s="67">
        <f t="shared" si="38"/>
        <v>13</v>
      </c>
      <c r="CV22" s="68">
        <v>15161</v>
      </c>
      <c r="CW22" s="67">
        <f t="shared" si="38"/>
        <v>24</v>
      </c>
    </row>
    <row r="23" spans="1:101" ht="25.5" customHeight="1" thickBot="1" x14ac:dyDescent="0.45">
      <c r="A23" s="63">
        <v>44367</v>
      </c>
      <c r="B23" s="44"/>
      <c r="C23" s="58">
        <v>2.2789000000000001</v>
      </c>
      <c r="D23" s="64">
        <f t="shared" si="0"/>
        <v>1900.0000000000127</v>
      </c>
      <c r="E23" s="58">
        <v>3.2441</v>
      </c>
      <c r="F23" s="64">
        <f t="shared" si="1"/>
        <v>2699.9999999999245</v>
      </c>
      <c r="G23" s="58">
        <v>3.3028</v>
      </c>
      <c r="H23" s="64">
        <f t="shared" si="2"/>
        <v>2499.9999999999468</v>
      </c>
      <c r="I23" s="58">
        <v>1.6288</v>
      </c>
      <c r="J23" s="64">
        <f t="shared" si="3"/>
        <v>1300.0000000000789</v>
      </c>
      <c r="K23" s="58">
        <v>2.6316999999999999</v>
      </c>
      <c r="L23" s="64">
        <f t="shared" si="4"/>
        <v>1900.0000000000127</v>
      </c>
      <c r="M23" s="58">
        <v>1.4522999999999999</v>
      </c>
      <c r="N23" s="64">
        <f t="shared" si="5"/>
        <v>999.99999999988984</v>
      </c>
      <c r="O23" s="58">
        <v>14357</v>
      </c>
      <c r="P23" s="67">
        <f t="shared" si="44"/>
        <v>9</v>
      </c>
      <c r="Q23" s="58">
        <v>1010</v>
      </c>
      <c r="R23" s="67">
        <f t="shared" si="6"/>
        <v>2</v>
      </c>
      <c r="S23" s="58">
        <v>987814.40000000002</v>
      </c>
      <c r="T23" s="67">
        <f t="shared" si="7"/>
        <v>797.40000000002328</v>
      </c>
      <c r="U23" s="58">
        <v>415379.9</v>
      </c>
      <c r="V23" s="67">
        <f t="shared" si="8"/>
        <v>323.10000000003492</v>
      </c>
      <c r="W23" s="58">
        <v>396.31</v>
      </c>
      <c r="X23" s="65">
        <f t="shared" si="9"/>
        <v>280.00000000002956</v>
      </c>
      <c r="Y23" s="58">
        <v>2.8344999999999998</v>
      </c>
      <c r="Z23" s="65">
        <f t="shared" si="10"/>
        <v>2399.9999999997358</v>
      </c>
      <c r="AA23" s="58">
        <v>394.35</v>
      </c>
      <c r="AB23" s="65">
        <f t="shared" si="11"/>
        <v>340.00000000003183</v>
      </c>
      <c r="AC23" s="58">
        <v>368.99</v>
      </c>
      <c r="AD23" s="65">
        <f t="shared" si="12"/>
        <v>250</v>
      </c>
      <c r="AE23" s="58">
        <v>564.67999999999995</v>
      </c>
      <c r="AF23" s="65">
        <f t="shared" si="13"/>
        <v>279.99999999997272</v>
      </c>
      <c r="AG23" s="58">
        <v>4220</v>
      </c>
      <c r="AH23" s="67">
        <f t="shared" si="14"/>
        <v>37</v>
      </c>
      <c r="AI23" s="58">
        <v>609.14</v>
      </c>
      <c r="AJ23" s="65">
        <f t="shared" si="15"/>
        <v>759.99999999999091</v>
      </c>
      <c r="AK23" s="58">
        <v>203.4</v>
      </c>
      <c r="AL23" s="65">
        <f t="shared" si="15"/>
        <v>180.00000000000682</v>
      </c>
      <c r="AM23" s="58">
        <v>193.72</v>
      </c>
      <c r="AN23" s="65">
        <f t="shared" si="15"/>
        <v>229.99999999998977</v>
      </c>
      <c r="AO23" s="58">
        <v>188.22</v>
      </c>
      <c r="AP23" s="65">
        <f t="shared" si="15"/>
        <v>99.999999999994316</v>
      </c>
      <c r="AQ23" s="58">
        <v>246.72</v>
      </c>
      <c r="AR23" s="65">
        <f t="shared" si="16"/>
        <v>120.00000000000455</v>
      </c>
      <c r="AS23" s="58">
        <v>371.77</v>
      </c>
      <c r="AT23" s="65">
        <f t="shared" si="17"/>
        <v>259.99999999999091</v>
      </c>
      <c r="AU23" s="58">
        <v>285.14</v>
      </c>
      <c r="AV23" s="65">
        <f t="shared" si="18"/>
        <v>69.999999999993179</v>
      </c>
      <c r="AW23" s="58">
        <v>319.66000000000003</v>
      </c>
      <c r="AX23" s="65">
        <f t="shared" si="19"/>
        <v>100.00000000002274</v>
      </c>
      <c r="AY23" s="58">
        <v>361.15</v>
      </c>
      <c r="AZ23" s="65">
        <f t="shared" si="20"/>
        <v>49.999999999954525</v>
      </c>
      <c r="BA23" s="58">
        <v>381.02</v>
      </c>
      <c r="BB23" s="65">
        <f t="shared" si="21"/>
        <v>29.999999999972715</v>
      </c>
      <c r="BC23" s="58">
        <v>241.65</v>
      </c>
      <c r="BD23" s="65">
        <f t="shared" si="22"/>
        <v>39.999999999992042</v>
      </c>
      <c r="BE23" s="59">
        <v>40151</v>
      </c>
      <c r="BF23" s="67">
        <f t="shared" si="39"/>
        <v>20</v>
      </c>
      <c r="BG23" s="60">
        <v>233.85</v>
      </c>
      <c r="BH23" s="65">
        <f t="shared" si="23"/>
        <v>49.999999999982947</v>
      </c>
      <c r="BI23" s="60">
        <v>293.01</v>
      </c>
      <c r="BJ23" s="65">
        <f t="shared" si="40"/>
        <v>29.999999999972715</v>
      </c>
      <c r="BK23" s="60">
        <v>236.75</v>
      </c>
      <c r="BL23" s="65">
        <f t="shared" si="24"/>
        <v>39.999999999992042</v>
      </c>
      <c r="BM23" s="60">
        <v>223.58</v>
      </c>
      <c r="BN23" s="65">
        <f t="shared" si="25"/>
        <v>50.000000000011369</v>
      </c>
      <c r="BO23" s="60">
        <v>287.45</v>
      </c>
      <c r="BP23" s="65">
        <f t="shared" si="26"/>
        <v>19.99999999998181</v>
      </c>
      <c r="BQ23" s="60">
        <v>45081</v>
      </c>
      <c r="BR23" s="65">
        <f t="shared" si="27"/>
        <v>40</v>
      </c>
      <c r="BS23" s="60">
        <v>200.61</v>
      </c>
      <c r="BT23" s="65">
        <f t="shared" si="42"/>
        <v>50.000000000011369</v>
      </c>
      <c r="BU23" s="60">
        <v>40424</v>
      </c>
      <c r="BV23" s="65">
        <f t="shared" si="29"/>
        <v>49</v>
      </c>
      <c r="BW23" s="60">
        <v>231.75</v>
      </c>
      <c r="BX23" s="65">
        <f t="shared" si="30"/>
        <v>30.000000000001137</v>
      </c>
      <c r="BY23" s="60">
        <v>59875</v>
      </c>
      <c r="BZ23" s="67">
        <f t="shared" si="31"/>
        <v>75</v>
      </c>
      <c r="CA23" s="60">
        <v>31729.599999999999</v>
      </c>
      <c r="CB23" s="67">
        <f t="shared" si="32"/>
        <v>43.599999999998545</v>
      </c>
      <c r="CC23" s="60">
        <v>12114.3</v>
      </c>
      <c r="CD23" s="67">
        <f t="shared" si="33"/>
        <v>7.0999999999985448</v>
      </c>
      <c r="CE23" s="60">
        <v>6378.7</v>
      </c>
      <c r="CF23" s="67">
        <f t="shared" si="34"/>
        <v>10.599999999999454</v>
      </c>
      <c r="CG23" s="60">
        <v>59293.2</v>
      </c>
      <c r="CH23" s="67">
        <f t="shared" si="35"/>
        <v>11.69999999999709</v>
      </c>
      <c r="CI23" s="60">
        <v>946624</v>
      </c>
      <c r="CJ23" s="67">
        <f t="shared" si="36"/>
        <v>252</v>
      </c>
      <c r="CK23" s="60">
        <v>759.42</v>
      </c>
      <c r="CL23" s="64">
        <f t="shared" si="37"/>
        <v>740.00000000000909</v>
      </c>
      <c r="CM23" s="65">
        <f t="shared" si="41"/>
        <v>63.100000000000364</v>
      </c>
      <c r="CN23" s="62">
        <v>8</v>
      </c>
      <c r="CO23" s="62">
        <v>25</v>
      </c>
      <c r="CP23" s="68">
        <v>9237.1</v>
      </c>
      <c r="CQ23" s="67">
        <f t="shared" si="38"/>
        <v>45.100000000000364</v>
      </c>
      <c r="CR23" s="68">
        <v>14032</v>
      </c>
      <c r="CS23" s="67">
        <f t="shared" si="38"/>
        <v>18</v>
      </c>
      <c r="CT23" s="75">
        <v>6362</v>
      </c>
      <c r="CU23" s="67">
        <f t="shared" si="38"/>
        <v>13</v>
      </c>
      <c r="CV23" s="68">
        <v>15182</v>
      </c>
      <c r="CW23" s="67">
        <f t="shared" si="38"/>
        <v>21</v>
      </c>
    </row>
    <row r="24" spans="1:101" ht="25.5" customHeight="1" thickBot="1" x14ac:dyDescent="0.45">
      <c r="A24" s="63">
        <v>44368</v>
      </c>
      <c r="B24" s="44"/>
      <c r="C24" s="58">
        <v>2.2806999999999999</v>
      </c>
      <c r="D24" s="64">
        <f t="shared" si="0"/>
        <v>1799.9999999998017</v>
      </c>
      <c r="E24" s="58">
        <v>3.2465999999999999</v>
      </c>
      <c r="F24" s="64">
        <f t="shared" si="1"/>
        <v>2499.9999999999468</v>
      </c>
      <c r="G24" s="58">
        <v>3.3054999999999999</v>
      </c>
      <c r="H24" s="64">
        <f t="shared" si="2"/>
        <v>2699.9999999999245</v>
      </c>
      <c r="I24" s="58">
        <v>1.6302000000000001</v>
      </c>
      <c r="J24" s="64">
        <f t="shared" si="3"/>
        <v>1400.0000000000678</v>
      </c>
      <c r="K24" s="58">
        <v>2.6337000000000002</v>
      </c>
      <c r="L24" s="64">
        <f t="shared" si="4"/>
        <v>2000.0000000002237</v>
      </c>
      <c r="M24" s="58">
        <v>1.4533</v>
      </c>
      <c r="N24" s="64">
        <f t="shared" si="5"/>
        <v>1000.0000000001119</v>
      </c>
      <c r="O24" s="58">
        <v>14362</v>
      </c>
      <c r="P24" s="67">
        <f t="shared" si="44"/>
        <v>5</v>
      </c>
      <c r="Q24" s="58">
        <v>1013</v>
      </c>
      <c r="R24" s="67">
        <f t="shared" si="6"/>
        <v>3</v>
      </c>
      <c r="S24" s="58">
        <v>988462</v>
      </c>
      <c r="T24" s="67">
        <f t="shared" si="7"/>
        <v>647.59999999997672</v>
      </c>
      <c r="U24" s="58">
        <v>415674.9</v>
      </c>
      <c r="V24" s="67">
        <f t="shared" si="8"/>
        <v>295</v>
      </c>
      <c r="W24" s="58">
        <v>396.61</v>
      </c>
      <c r="X24" s="65">
        <f t="shared" si="9"/>
        <v>300.00000000001137</v>
      </c>
      <c r="Y24" s="58">
        <v>2.8367</v>
      </c>
      <c r="Z24" s="65">
        <f t="shared" si="10"/>
        <v>2200.0000000002019</v>
      </c>
      <c r="AA24" s="58">
        <v>394.66</v>
      </c>
      <c r="AB24" s="65">
        <f t="shared" si="11"/>
        <v>310.00000000000227</v>
      </c>
      <c r="AC24" s="58">
        <v>369.25</v>
      </c>
      <c r="AD24" s="65">
        <f t="shared" si="12"/>
        <v>259.99999999999091</v>
      </c>
      <c r="AE24" s="58">
        <v>565.04</v>
      </c>
      <c r="AF24" s="65">
        <f t="shared" si="13"/>
        <v>360.00000000001364</v>
      </c>
      <c r="AG24" s="58">
        <v>4256</v>
      </c>
      <c r="AH24" s="67">
        <f t="shared" si="14"/>
        <v>36</v>
      </c>
      <c r="AI24" s="58">
        <v>609.65</v>
      </c>
      <c r="AJ24" s="65">
        <f t="shared" si="15"/>
        <v>509.99999999999091</v>
      </c>
      <c r="AK24" s="58">
        <v>203.57</v>
      </c>
      <c r="AL24" s="65">
        <f t="shared" si="15"/>
        <v>169.99999999998749</v>
      </c>
      <c r="AM24" s="58">
        <v>193.91</v>
      </c>
      <c r="AN24" s="65">
        <f t="shared" si="15"/>
        <v>189.99999999999773</v>
      </c>
      <c r="AO24" s="58">
        <v>188.34</v>
      </c>
      <c r="AP24" s="65">
        <f t="shared" si="15"/>
        <v>120.00000000000455</v>
      </c>
      <c r="AQ24" s="58">
        <v>246.8</v>
      </c>
      <c r="AR24" s="65">
        <f t="shared" si="16"/>
        <v>80.000000000012506</v>
      </c>
      <c r="AS24" s="58">
        <v>372</v>
      </c>
      <c r="AT24" s="65">
        <f t="shared" si="17"/>
        <v>230.00000000001819</v>
      </c>
      <c r="AU24" s="58">
        <v>285.2</v>
      </c>
      <c r="AV24" s="65">
        <f t="shared" si="18"/>
        <v>60.000000000002274</v>
      </c>
      <c r="AW24" s="58">
        <v>319.74</v>
      </c>
      <c r="AX24" s="65">
        <f t="shared" si="19"/>
        <v>79.999999999984084</v>
      </c>
      <c r="AY24" s="58">
        <v>361.2</v>
      </c>
      <c r="AZ24" s="65">
        <f t="shared" si="20"/>
        <v>50.000000000011369</v>
      </c>
      <c r="BA24" s="58">
        <v>381.05</v>
      </c>
      <c r="BB24" s="65">
        <f t="shared" si="21"/>
        <v>30.000000000029559</v>
      </c>
      <c r="BC24" s="58">
        <v>241.68</v>
      </c>
      <c r="BD24" s="65">
        <f t="shared" si="22"/>
        <v>30.000000000001137</v>
      </c>
      <c r="BE24" s="59">
        <v>40186</v>
      </c>
      <c r="BF24" s="67">
        <f t="shared" si="39"/>
        <v>35</v>
      </c>
      <c r="BG24" s="60">
        <v>233.88</v>
      </c>
      <c r="BH24" s="65">
        <f t="shared" si="23"/>
        <v>30.000000000001137</v>
      </c>
      <c r="BI24" s="60">
        <v>293.04000000000002</v>
      </c>
      <c r="BJ24" s="65">
        <f t="shared" si="40"/>
        <v>30.000000000029559</v>
      </c>
      <c r="BK24" s="60">
        <v>236.78</v>
      </c>
      <c r="BL24" s="65">
        <f t="shared" si="24"/>
        <v>30.000000000001137</v>
      </c>
      <c r="BM24" s="60">
        <v>223.61</v>
      </c>
      <c r="BN24" s="65">
        <f t="shared" si="25"/>
        <v>30.000000000001137</v>
      </c>
      <c r="BO24" s="60">
        <v>287.48</v>
      </c>
      <c r="BP24" s="65">
        <f t="shared" si="26"/>
        <v>30.000000000029559</v>
      </c>
      <c r="BQ24" s="60">
        <v>45110</v>
      </c>
      <c r="BR24" s="65">
        <f t="shared" si="27"/>
        <v>29</v>
      </c>
      <c r="BS24" s="60">
        <v>200.64</v>
      </c>
      <c r="BT24" s="65">
        <f t="shared" si="42"/>
        <v>29.999999999972715</v>
      </c>
      <c r="BU24" s="60">
        <v>40462</v>
      </c>
      <c r="BV24" s="65">
        <f t="shared" si="29"/>
        <v>38</v>
      </c>
      <c r="BW24" s="60">
        <v>231.78</v>
      </c>
      <c r="BX24" s="65">
        <f t="shared" si="30"/>
        <v>30.000000000001137</v>
      </c>
      <c r="BY24" s="60">
        <v>59941</v>
      </c>
      <c r="BZ24" s="67">
        <f t="shared" si="31"/>
        <v>66</v>
      </c>
      <c r="CA24" s="60">
        <v>31746.7</v>
      </c>
      <c r="CB24" s="67">
        <f t="shared" si="32"/>
        <v>17.100000000002183</v>
      </c>
      <c r="CC24" s="60">
        <v>12120</v>
      </c>
      <c r="CD24" s="67">
        <f t="shared" si="33"/>
        <v>5.7000000000007276</v>
      </c>
      <c r="CE24" s="60">
        <v>6386.2</v>
      </c>
      <c r="CF24" s="67">
        <f t="shared" si="34"/>
        <v>7.5</v>
      </c>
      <c r="CG24" s="60">
        <v>59325.5</v>
      </c>
      <c r="CH24" s="67">
        <f t="shared" si="35"/>
        <v>32.30000000000291</v>
      </c>
      <c r="CI24" s="60">
        <v>946914</v>
      </c>
      <c r="CJ24" s="67">
        <f t="shared" si="36"/>
        <v>290</v>
      </c>
      <c r="CK24" s="60">
        <v>760.21</v>
      </c>
      <c r="CL24" s="64">
        <f t="shared" si="37"/>
        <v>790.00000000007731</v>
      </c>
      <c r="CM24" s="65">
        <f t="shared" si="41"/>
        <v>66.699999999998909</v>
      </c>
      <c r="CN24" s="62">
        <v>8</v>
      </c>
      <c r="CO24" s="62">
        <v>25</v>
      </c>
      <c r="CP24" s="68">
        <v>9281.7999999999993</v>
      </c>
      <c r="CQ24" s="67">
        <f t="shared" si="38"/>
        <v>44.699999999998909</v>
      </c>
      <c r="CR24" s="68">
        <v>14054</v>
      </c>
      <c r="CS24" s="67">
        <f t="shared" si="38"/>
        <v>22</v>
      </c>
      <c r="CT24" s="75">
        <v>6377</v>
      </c>
      <c r="CU24" s="67">
        <f t="shared" si="38"/>
        <v>15</v>
      </c>
      <c r="CV24" s="68">
        <v>15199</v>
      </c>
      <c r="CW24" s="67">
        <f t="shared" si="38"/>
        <v>17</v>
      </c>
    </row>
    <row r="25" spans="1:101" ht="25.5" customHeight="1" thickBot="1" x14ac:dyDescent="0.45">
      <c r="A25" s="63">
        <v>44369</v>
      </c>
      <c r="B25" s="44"/>
      <c r="C25" s="58">
        <v>2.2825000000000002</v>
      </c>
      <c r="D25" s="64">
        <f t="shared" si="0"/>
        <v>1800.0000000002458</v>
      </c>
      <c r="E25" s="58">
        <v>3.2492000000000001</v>
      </c>
      <c r="F25" s="64">
        <f t="shared" si="1"/>
        <v>2600.0000000001578</v>
      </c>
      <c r="G25" s="58">
        <v>3.3081999999999998</v>
      </c>
      <c r="H25" s="64">
        <f t="shared" si="2"/>
        <v>2699.9999999999245</v>
      </c>
      <c r="I25" s="58">
        <v>1.6314</v>
      </c>
      <c r="J25" s="64">
        <f t="shared" si="3"/>
        <v>1199.9999999998679</v>
      </c>
      <c r="K25" s="58">
        <v>2.6356999999999999</v>
      </c>
      <c r="L25" s="64">
        <f t="shared" si="4"/>
        <v>1999.9999999997797</v>
      </c>
      <c r="M25" s="58">
        <v>1.4541999999999999</v>
      </c>
      <c r="N25" s="64">
        <f t="shared" si="5"/>
        <v>899.99999999990087</v>
      </c>
      <c r="O25" s="58">
        <v>14370</v>
      </c>
      <c r="P25" s="67">
        <f t="shared" si="44"/>
        <v>8</v>
      </c>
      <c r="Q25" s="58">
        <v>1016</v>
      </c>
      <c r="R25" s="67">
        <f t="shared" si="6"/>
        <v>3</v>
      </c>
      <c r="S25" s="58">
        <v>989249.2</v>
      </c>
      <c r="T25" s="67">
        <f t="shared" si="7"/>
        <v>787.19999999995343</v>
      </c>
      <c r="U25" s="58">
        <v>415953.3</v>
      </c>
      <c r="V25" s="67">
        <f t="shared" si="8"/>
        <v>278.39999999996508</v>
      </c>
      <c r="W25" s="58">
        <v>396.89</v>
      </c>
      <c r="X25" s="65">
        <f t="shared" si="9"/>
        <v>279.99999999997272</v>
      </c>
      <c r="Y25" s="58">
        <v>2.839</v>
      </c>
      <c r="Z25" s="65">
        <f t="shared" si="10"/>
        <v>2299.9999999999686</v>
      </c>
      <c r="AA25" s="58">
        <v>394.85</v>
      </c>
      <c r="AB25" s="65">
        <f t="shared" si="11"/>
        <v>189.99999999999773</v>
      </c>
      <c r="AC25" s="58">
        <v>369.52</v>
      </c>
      <c r="AD25" s="65">
        <f t="shared" si="12"/>
        <v>269.99999999998181</v>
      </c>
      <c r="AE25" s="58">
        <v>565.33000000000004</v>
      </c>
      <c r="AF25" s="65">
        <f t="shared" si="13"/>
        <v>290.00000000007731</v>
      </c>
      <c r="AG25" s="58">
        <v>4291</v>
      </c>
      <c r="AH25" s="67">
        <f t="shared" si="14"/>
        <v>35</v>
      </c>
      <c r="AI25" s="58">
        <v>610.16999999999996</v>
      </c>
      <c r="AJ25" s="65">
        <f t="shared" si="15"/>
        <v>519.99999999998181</v>
      </c>
      <c r="AK25" s="58">
        <v>203.75</v>
      </c>
      <c r="AL25" s="65">
        <f t="shared" si="15"/>
        <v>180.00000000000682</v>
      </c>
      <c r="AM25" s="58">
        <v>194.1</v>
      </c>
      <c r="AN25" s="65">
        <f t="shared" si="15"/>
        <v>189.99999999999773</v>
      </c>
      <c r="AO25" s="58">
        <v>188.46</v>
      </c>
      <c r="AP25" s="65">
        <f t="shared" si="15"/>
        <v>120.00000000000455</v>
      </c>
      <c r="AQ25" s="58">
        <v>246.88</v>
      </c>
      <c r="AR25" s="65">
        <f t="shared" si="16"/>
        <v>79.999999999984084</v>
      </c>
      <c r="AS25" s="58">
        <v>372.21</v>
      </c>
      <c r="AT25" s="65">
        <f t="shared" si="17"/>
        <v>209.99999999997954</v>
      </c>
      <c r="AU25" s="58">
        <v>285.24</v>
      </c>
      <c r="AV25" s="65">
        <f t="shared" si="18"/>
        <v>40.000000000020464</v>
      </c>
      <c r="AW25" s="58">
        <v>319.81</v>
      </c>
      <c r="AX25" s="65">
        <f t="shared" si="19"/>
        <v>69.999999999993179</v>
      </c>
      <c r="AY25" s="58">
        <v>361.24</v>
      </c>
      <c r="AZ25" s="65">
        <f t="shared" si="20"/>
        <v>40.000000000020464</v>
      </c>
      <c r="BA25" s="58">
        <v>381.07</v>
      </c>
      <c r="BB25" s="65">
        <f t="shared" si="21"/>
        <v>19.99999999998181</v>
      </c>
      <c r="BC25" s="58">
        <v>241.7</v>
      </c>
      <c r="BD25" s="65">
        <f t="shared" si="22"/>
        <v>19.99999999998181</v>
      </c>
      <c r="BE25" s="59">
        <v>40203</v>
      </c>
      <c r="BF25" s="67">
        <f t="shared" si="39"/>
        <v>17</v>
      </c>
      <c r="BG25" s="60">
        <v>233.92</v>
      </c>
      <c r="BH25" s="65">
        <f t="shared" si="23"/>
        <v>39.999999999992042</v>
      </c>
      <c r="BI25" s="60">
        <v>293.06</v>
      </c>
      <c r="BJ25" s="65">
        <f t="shared" si="40"/>
        <v>19.99999999998181</v>
      </c>
      <c r="BK25" s="60">
        <v>236.82</v>
      </c>
      <c r="BL25" s="65">
        <f t="shared" si="24"/>
        <v>39.999999999992042</v>
      </c>
      <c r="BM25" s="60">
        <v>223.65</v>
      </c>
      <c r="BN25" s="65">
        <f t="shared" si="25"/>
        <v>39.999999999992042</v>
      </c>
      <c r="BO25" s="60">
        <v>287.5</v>
      </c>
      <c r="BP25" s="65">
        <f t="shared" si="26"/>
        <v>19.99999999998181</v>
      </c>
      <c r="BQ25" s="60">
        <v>45135</v>
      </c>
      <c r="BR25" s="65">
        <f t="shared" si="27"/>
        <v>25</v>
      </c>
      <c r="BS25" s="60">
        <v>200.66</v>
      </c>
      <c r="BT25" s="65">
        <f t="shared" si="42"/>
        <v>20.000000000010232</v>
      </c>
      <c r="BU25" s="60">
        <v>40498</v>
      </c>
      <c r="BV25" s="65">
        <f t="shared" si="29"/>
        <v>36</v>
      </c>
      <c r="BW25" s="60">
        <v>231.81</v>
      </c>
      <c r="BX25" s="65">
        <f t="shared" si="30"/>
        <v>30.000000000001137</v>
      </c>
      <c r="BY25" s="60">
        <v>59999</v>
      </c>
      <c r="BZ25" s="67">
        <f t="shared" si="31"/>
        <v>58</v>
      </c>
      <c r="CA25" s="60">
        <v>31794.7</v>
      </c>
      <c r="CB25" s="67">
        <f t="shared" si="32"/>
        <v>48</v>
      </c>
      <c r="CC25" s="60">
        <v>12126.9</v>
      </c>
      <c r="CD25" s="67">
        <f t="shared" si="33"/>
        <v>6.8999999999996362</v>
      </c>
      <c r="CE25" s="60">
        <v>6388.5</v>
      </c>
      <c r="CF25" s="67">
        <f t="shared" si="34"/>
        <v>2.3000000000001819</v>
      </c>
      <c r="CG25" s="60">
        <v>59343.6</v>
      </c>
      <c r="CH25" s="67">
        <f t="shared" si="35"/>
        <v>18.099999999998545</v>
      </c>
      <c r="CI25" s="60">
        <v>947194</v>
      </c>
      <c r="CJ25" s="67">
        <f t="shared" si="36"/>
        <v>280</v>
      </c>
      <c r="CK25" s="60">
        <v>761.01</v>
      </c>
      <c r="CL25" s="64">
        <f t="shared" si="37"/>
        <v>799.99999999995453</v>
      </c>
      <c r="CM25" s="65">
        <f t="shared" si="41"/>
        <v>58.100000000000364</v>
      </c>
      <c r="CN25" s="62">
        <v>8</v>
      </c>
      <c r="CO25" s="62">
        <v>25</v>
      </c>
      <c r="CP25" s="68">
        <v>9320.9</v>
      </c>
      <c r="CQ25" s="67">
        <f t="shared" si="38"/>
        <v>39.100000000000364</v>
      </c>
      <c r="CR25" s="68">
        <v>14073</v>
      </c>
      <c r="CS25" s="67">
        <f t="shared" si="38"/>
        <v>19</v>
      </c>
      <c r="CT25" s="75">
        <v>6388</v>
      </c>
      <c r="CU25" s="67">
        <f t="shared" si="38"/>
        <v>11</v>
      </c>
      <c r="CV25" s="68">
        <v>15223</v>
      </c>
      <c r="CW25" s="67">
        <f t="shared" si="38"/>
        <v>24</v>
      </c>
    </row>
    <row r="26" spans="1:101" ht="25.5" customHeight="1" thickBot="1" x14ac:dyDescent="0.45">
      <c r="A26" s="63">
        <v>44370</v>
      </c>
      <c r="B26" s="44"/>
      <c r="C26" s="58">
        <v>2.2839999999999998</v>
      </c>
      <c r="D26" s="64">
        <f t="shared" si="0"/>
        <v>1499.9999999996128</v>
      </c>
      <c r="E26" s="58">
        <v>3.2517999999999998</v>
      </c>
      <c r="F26" s="64">
        <f t="shared" si="1"/>
        <v>2599.9999999997135</v>
      </c>
      <c r="G26" s="58">
        <v>3.3106</v>
      </c>
      <c r="H26" s="64">
        <f t="shared" si="2"/>
        <v>2400.0000000001796</v>
      </c>
      <c r="I26" s="58">
        <v>1.6325000000000001</v>
      </c>
      <c r="J26" s="64">
        <f t="shared" si="3"/>
        <v>1100.000000000101</v>
      </c>
      <c r="K26" s="58">
        <v>2.6375999999999999</v>
      </c>
      <c r="L26" s="64">
        <f t="shared" si="4"/>
        <v>1900.0000000000127</v>
      </c>
      <c r="M26" s="58">
        <v>1.4550000000000001</v>
      </c>
      <c r="N26" s="64">
        <f t="shared" si="5"/>
        <v>800.00000000013392</v>
      </c>
      <c r="O26" s="58">
        <v>14370</v>
      </c>
      <c r="P26" s="67">
        <f t="shared" si="44"/>
        <v>0</v>
      </c>
      <c r="Q26" s="58">
        <v>1017</v>
      </c>
      <c r="R26" s="67">
        <f t="shared" si="6"/>
        <v>1</v>
      </c>
      <c r="S26" s="58">
        <v>990141.2</v>
      </c>
      <c r="T26" s="67">
        <f t="shared" si="7"/>
        <v>892</v>
      </c>
      <c r="U26" s="58">
        <v>416262.7</v>
      </c>
      <c r="V26" s="67">
        <f t="shared" si="8"/>
        <v>309.40000000002328</v>
      </c>
      <c r="W26" s="58">
        <v>397.16</v>
      </c>
      <c r="X26" s="65">
        <f t="shared" si="9"/>
        <v>270.00000000003865</v>
      </c>
      <c r="Y26" s="58">
        <v>2.8412999999999999</v>
      </c>
      <c r="Z26" s="65">
        <f t="shared" si="10"/>
        <v>2299.9999999999686</v>
      </c>
      <c r="AA26" s="58">
        <v>395.14</v>
      </c>
      <c r="AB26" s="65">
        <f t="shared" si="11"/>
        <v>289.99999999996362</v>
      </c>
      <c r="AC26" s="58">
        <v>369.69</v>
      </c>
      <c r="AD26" s="65">
        <f t="shared" si="12"/>
        <v>170.00000000001592</v>
      </c>
      <c r="AE26" s="58">
        <v>565.59</v>
      </c>
      <c r="AF26" s="65">
        <f t="shared" si="13"/>
        <v>259.99999999999091</v>
      </c>
      <c r="AG26" s="58">
        <v>4324</v>
      </c>
      <c r="AH26" s="67">
        <f t="shared" si="14"/>
        <v>33</v>
      </c>
      <c r="AI26" s="58">
        <v>610.62</v>
      </c>
      <c r="AJ26" s="65">
        <f t="shared" si="15"/>
        <v>450.00000000004547</v>
      </c>
      <c r="AK26" s="58">
        <v>203.92</v>
      </c>
      <c r="AL26" s="65">
        <f t="shared" si="15"/>
        <v>169.99999999998749</v>
      </c>
      <c r="AM26" s="58">
        <v>194.24</v>
      </c>
      <c r="AN26" s="65">
        <f t="shared" si="15"/>
        <v>140.00000000001478</v>
      </c>
      <c r="AO26" s="58">
        <v>188.57</v>
      </c>
      <c r="AP26" s="65">
        <f t="shared" si="15"/>
        <v>109.99999999998522</v>
      </c>
      <c r="AQ26" s="58">
        <v>246.94</v>
      </c>
      <c r="AR26" s="65">
        <f t="shared" si="16"/>
        <v>60.000000000002274</v>
      </c>
      <c r="AS26" s="58">
        <v>372.36</v>
      </c>
      <c r="AT26" s="65">
        <f t="shared" si="17"/>
        <v>150.00000000003411</v>
      </c>
      <c r="AU26" s="58">
        <v>285.3</v>
      </c>
      <c r="AV26" s="65">
        <f t="shared" si="18"/>
        <v>60.000000000002274</v>
      </c>
      <c r="AW26" s="58">
        <v>319.88</v>
      </c>
      <c r="AX26" s="65">
        <f t="shared" si="19"/>
        <v>69.999999999993179</v>
      </c>
      <c r="AY26" s="58">
        <v>361.29</v>
      </c>
      <c r="AZ26" s="65">
        <f t="shared" si="20"/>
        <v>50.000000000011369</v>
      </c>
      <c r="BA26" s="58">
        <v>381.09</v>
      </c>
      <c r="BB26" s="65">
        <f t="shared" si="21"/>
        <v>19.99999999998181</v>
      </c>
      <c r="BC26" s="58">
        <v>241.72</v>
      </c>
      <c r="BD26" s="65">
        <f t="shared" si="22"/>
        <v>20.000000000010232</v>
      </c>
      <c r="BE26" s="59">
        <v>40229</v>
      </c>
      <c r="BF26" s="67">
        <f t="shared" si="39"/>
        <v>26</v>
      </c>
      <c r="BG26" s="60">
        <v>233.95</v>
      </c>
      <c r="BH26" s="65">
        <f t="shared" si="23"/>
        <v>30.000000000001137</v>
      </c>
      <c r="BI26" s="60">
        <v>293.08999999999997</v>
      </c>
      <c r="BJ26" s="65">
        <f t="shared" si="40"/>
        <v>29.999999999972715</v>
      </c>
      <c r="BK26" s="60">
        <v>236.85</v>
      </c>
      <c r="BL26" s="65">
        <f t="shared" si="24"/>
        <v>30.000000000001137</v>
      </c>
      <c r="BM26" s="60">
        <v>223.69</v>
      </c>
      <c r="BN26" s="65">
        <f t="shared" si="25"/>
        <v>39.999999999992042</v>
      </c>
      <c r="BO26" s="60">
        <v>287.52999999999997</v>
      </c>
      <c r="BP26" s="65">
        <f t="shared" si="26"/>
        <v>29.999999999972715</v>
      </c>
      <c r="BQ26" s="60">
        <v>45158</v>
      </c>
      <c r="BR26" s="65">
        <f t="shared" si="27"/>
        <v>23</v>
      </c>
      <c r="BS26" s="60">
        <v>200.67</v>
      </c>
      <c r="BT26" s="65">
        <f t="shared" si="42"/>
        <v>9.9999999999909051</v>
      </c>
      <c r="BU26" s="60">
        <v>40535</v>
      </c>
      <c r="BV26" s="65">
        <f t="shared" si="29"/>
        <v>37</v>
      </c>
      <c r="BW26" s="60">
        <v>231.83</v>
      </c>
      <c r="BX26" s="65">
        <f t="shared" si="30"/>
        <v>20.000000000010232</v>
      </c>
      <c r="BY26" s="60">
        <v>60044</v>
      </c>
      <c r="BZ26" s="67">
        <f t="shared" si="31"/>
        <v>45</v>
      </c>
      <c r="CA26" s="60">
        <v>31855.5</v>
      </c>
      <c r="CB26" s="67">
        <f t="shared" si="32"/>
        <v>60.799999999999272</v>
      </c>
      <c r="CC26" s="60">
        <v>12133.3</v>
      </c>
      <c r="CD26" s="67">
        <f t="shared" si="33"/>
        <v>6.3999999999996362</v>
      </c>
      <c r="CE26" s="60">
        <v>6396.9</v>
      </c>
      <c r="CF26" s="67">
        <f t="shared" si="34"/>
        <v>8.3999999999996362</v>
      </c>
      <c r="CG26" s="60">
        <v>59377.3</v>
      </c>
      <c r="CH26" s="67">
        <f t="shared" si="35"/>
        <v>33.700000000004366</v>
      </c>
      <c r="CI26" s="60">
        <v>947465</v>
      </c>
      <c r="CJ26" s="67">
        <f t="shared" si="36"/>
        <v>271</v>
      </c>
      <c r="CK26" s="60">
        <v>761.68</v>
      </c>
      <c r="CL26" s="64">
        <f t="shared" si="37"/>
        <v>669.99999999995907</v>
      </c>
      <c r="CM26" s="65">
        <f t="shared" si="41"/>
        <v>58.600000000000364</v>
      </c>
      <c r="CN26" s="62">
        <v>8</v>
      </c>
      <c r="CO26" s="62">
        <v>25</v>
      </c>
      <c r="CP26" s="68">
        <v>9363.5</v>
      </c>
      <c r="CQ26" s="67">
        <f t="shared" si="38"/>
        <v>42.600000000000364</v>
      </c>
      <c r="CR26" s="68">
        <v>14089</v>
      </c>
      <c r="CS26" s="67">
        <f t="shared" si="38"/>
        <v>16</v>
      </c>
      <c r="CT26" s="75">
        <v>6401</v>
      </c>
      <c r="CU26" s="67">
        <f t="shared" si="38"/>
        <v>13</v>
      </c>
      <c r="CV26" s="68">
        <v>15244</v>
      </c>
      <c r="CW26" s="67">
        <f t="shared" si="38"/>
        <v>21</v>
      </c>
    </row>
    <row r="27" spans="1:101" ht="25.5" customHeight="1" thickBot="1" x14ac:dyDescent="0.45">
      <c r="A27" s="63">
        <v>44371</v>
      </c>
      <c r="B27" s="44"/>
      <c r="C27" s="58">
        <v>2.2856999999999998</v>
      </c>
      <c r="D27" s="64">
        <f t="shared" si="0"/>
        <v>1700.0000000000348</v>
      </c>
      <c r="E27" s="58">
        <v>3.2545999999999999</v>
      </c>
      <c r="F27" s="64">
        <f t="shared" si="1"/>
        <v>2800.0000000001355</v>
      </c>
      <c r="G27" s="58">
        <v>3.3130000000000002</v>
      </c>
      <c r="H27" s="64">
        <f t="shared" si="2"/>
        <v>2400.0000000001796</v>
      </c>
      <c r="I27" s="58">
        <v>1.6337999999999999</v>
      </c>
      <c r="J27" s="64">
        <f t="shared" si="3"/>
        <v>1299.9999999998568</v>
      </c>
      <c r="K27" s="58">
        <v>2.6385999999999998</v>
      </c>
      <c r="L27" s="64">
        <f t="shared" si="4"/>
        <v>999.99999999988984</v>
      </c>
      <c r="M27" s="58">
        <v>1.4558</v>
      </c>
      <c r="N27" s="64">
        <f t="shared" si="5"/>
        <v>799.99999999991189</v>
      </c>
      <c r="O27" s="58">
        <v>14375</v>
      </c>
      <c r="P27" s="67">
        <f t="shared" si="44"/>
        <v>5</v>
      </c>
      <c r="Q27" s="58">
        <v>1019</v>
      </c>
      <c r="R27" s="67">
        <f t="shared" si="6"/>
        <v>2</v>
      </c>
      <c r="S27" s="58">
        <v>990744.6</v>
      </c>
      <c r="T27" s="67">
        <f t="shared" si="7"/>
        <v>603.40000000002328</v>
      </c>
      <c r="U27" s="58">
        <v>416528.9</v>
      </c>
      <c r="V27" s="67">
        <f t="shared" si="8"/>
        <v>266.20000000001164</v>
      </c>
      <c r="W27" s="58">
        <v>397.44</v>
      </c>
      <c r="X27" s="65">
        <f t="shared" si="9"/>
        <v>279.99999999997272</v>
      </c>
      <c r="Y27" s="58">
        <v>2.8437999999999999</v>
      </c>
      <c r="Z27" s="65">
        <f t="shared" si="10"/>
        <v>2499.9999999999468</v>
      </c>
      <c r="AA27" s="58">
        <v>395.3</v>
      </c>
      <c r="AB27" s="65">
        <f t="shared" si="11"/>
        <v>160.00000000002501</v>
      </c>
      <c r="AC27" s="58">
        <v>369.92</v>
      </c>
      <c r="AD27" s="65">
        <f t="shared" si="12"/>
        <v>230.00000000001819</v>
      </c>
      <c r="AE27" s="58">
        <v>565.87</v>
      </c>
      <c r="AF27" s="65">
        <f t="shared" si="13"/>
        <v>279.99999999997272</v>
      </c>
      <c r="AG27" s="58">
        <v>4359</v>
      </c>
      <c r="AH27" s="67">
        <f t="shared" si="14"/>
        <v>35</v>
      </c>
      <c r="AI27" s="58">
        <v>611.15</v>
      </c>
      <c r="AJ27" s="65">
        <f t="shared" si="15"/>
        <v>529.99999999997272</v>
      </c>
      <c r="AK27" s="58">
        <v>204.1</v>
      </c>
      <c r="AL27" s="65">
        <f t="shared" si="15"/>
        <v>180.00000000000682</v>
      </c>
      <c r="AM27" s="58">
        <v>194.39</v>
      </c>
      <c r="AN27" s="65">
        <f t="shared" si="15"/>
        <v>149.99999999997726</v>
      </c>
      <c r="AO27" s="58">
        <v>188.69</v>
      </c>
      <c r="AP27" s="65">
        <f t="shared" si="15"/>
        <v>120.00000000000455</v>
      </c>
      <c r="AQ27" s="58">
        <v>247.02</v>
      </c>
      <c r="AR27" s="65">
        <f t="shared" si="16"/>
        <v>80.000000000012506</v>
      </c>
      <c r="AS27" s="58">
        <v>372.49</v>
      </c>
      <c r="AT27" s="65">
        <f t="shared" si="17"/>
        <v>129.99999999999545</v>
      </c>
      <c r="AU27" s="58">
        <v>285.36</v>
      </c>
      <c r="AV27" s="65">
        <f t="shared" si="18"/>
        <v>60.000000000002274</v>
      </c>
      <c r="AW27" s="58">
        <v>319.95999999999998</v>
      </c>
      <c r="AX27" s="65">
        <f t="shared" si="19"/>
        <v>79.999999999984084</v>
      </c>
      <c r="AY27" s="58">
        <v>361.35</v>
      </c>
      <c r="AZ27" s="65">
        <f t="shared" si="20"/>
        <v>60.000000000002274</v>
      </c>
      <c r="BA27" s="58">
        <v>381.12</v>
      </c>
      <c r="BB27" s="65">
        <f t="shared" si="21"/>
        <v>30.000000000029559</v>
      </c>
      <c r="BC27" s="58">
        <v>241.76</v>
      </c>
      <c r="BD27" s="65">
        <f t="shared" si="22"/>
        <v>39.999999999992042</v>
      </c>
      <c r="BE27" s="59">
        <v>40249</v>
      </c>
      <c r="BF27" s="67">
        <f t="shared" si="39"/>
        <v>20</v>
      </c>
      <c r="BG27" s="60">
        <v>233.99</v>
      </c>
      <c r="BH27" s="65">
        <f t="shared" si="23"/>
        <v>40.000000000020464</v>
      </c>
      <c r="BI27" s="60">
        <v>293.12</v>
      </c>
      <c r="BJ27" s="65">
        <f t="shared" si="40"/>
        <v>30.000000000029559</v>
      </c>
      <c r="BK27" s="60">
        <v>236.88</v>
      </c>
      <c r="BL27" s="65">
        <f t="shared" si="24"/>
        <v>30.000000000001137</v>
      </c>
      <c r="BM27" s="60">
        <v>223.72</v>
      </c>
      <c r="BN27" s="65">
        <f t="shared" si="25"/>
        <v>30.000000000001137</v>
      </c>
      <c r="BO27" s="60">
        <v>287.56</v>
      </c>
      <c r="BP27" s="65">
        <f t="shared" si="26"/>
        <v>30.000000000029559</v>
      </c>
      <c r="BQ27" s="60">
        <v>45185</v>
      </c>
      <c r="BR27" s="65">
        <f t="shared" si="27"/>
        <v>27</v>
      </c>
      <c r="BS27" s="60">
        <v>200.69</v>
      </c>
      <c r="BT27" s="65">
        <f t="shared" si="42"/>
        <v>20.000000000010232</v>
      </c>
      <c r="BU27" s="60">
        <v>40571</v>
      </c>
      <c r="BV27" s="65">
        <f t="shared" si="29"/>
        <v>36</v>
      </c>
      <c r="BW27" s="60">
        <v>231.85</v>
      </c>
      <c r="BX27" s="65">
        <f t="shared" si="30"/>
        <v>19.99999999998181</v>
      </c>
      <c r="BY27" s="60">
        <v>60101</v>
      </c>
      <c r="BZ27" s="67">
        <f t="shared" si="31"/>
        <v>57</v>
      </c>
      <c r="CA27" s="60">
        <v>31883.599999999999</v>
      </c>
      <c r="CB27" s="67">
        <f t="shared" si="32"/>
        <v>28.099999999998545</v>
      </c>
      <c r="CC27" s="60">
        <v>12137.3</v>
      </c>
      <c r="CD27" s="67">
        <f t="shared" si="33"/>
        <v>4</v>
      </c>
      <c r="CE27" s="60">
        <v>6405</v>
      </c>
      <c r="CF27" s="67">
        <f t="shared" si="34"/>
        <v>8.1000000000003638</v>
      </c>
      <c r="CG27" s="60">
        <v>59415.6</v>
      </c>
      <c r="CH27" s="67">
        <f t="shared" si="35"/>
        <v>38.299999999995634</v>
      </c>
      <c r="CI27" s="60">
        <v>947759</v>
      </c>
      <c r="CJ27" s="67">
        <f t="shared" si="36"/>
        <v>294</v>
      </c>
      <c r="CK27" s="60">
        <v>762.26</v>
      </c>
      <c r="CL27" s="64">
        <f t="shared" si="37"/>
        <v>580.00000000004093</v>
      </c>
      <c r="CM27" s="65">
        <f t="shared" si="41"/>
        <v>69.100000000000364</v>
      </c>
      <c r="CN27" s="62">
        <v>8</v>
      </c>
      <c r="CO27" s="62">
        <v>25</v>
      </c>
      <c r="CP27" s="68">
        <v>9405.6</v>
      </c>
      <c r="CQ27" s="67">
        <f t="shared" si="38"/>
        <v>42.100000000000364</v>
      </c>
      <c r="CR27" s="68">
        <v>14116</v>
      </c>
      <c r="CS27" s="67">
        <f t="shared" si="38"/>
        <v>27</v>
      </c>
      <c r="CT27" s="75">
        <v>6412</v>
      </c>
      <c r="CU27" s="67">
        <f t="shared" si="38"/>
        <v>11</v>
      </c>
      <c r="CV27" s="68">
        <v>15260</v>
      </c>
      <c r="CW27" s="67">
        <f t="shared" si="38"/>
        <v>16</v>
      </c>
    </row>
    <row r="28" spans="1:101" ht="25.5" customHeight="1" thickBot="1" x14ac:dyDescent="0.45">
      <c r="A28" s="63">
        <v>44372</v>
      </c>
      <c r="B28" s="44"/>
      <c r="C28" s="58">
        <v>2.2873999999999999</v>
      </c>
      <c r="D28" s="64">
        <f t="shared" si="0"/>
        <v>1700.0000000000348</v>
      </c>
      <c r="E28" s="58">
        <v>3.2572000000000001</v>
      </c>
      <c r="F28" s="64">
        <f t="shared" si="1"/>
        <v>2600.0000000001578</v>
      </c>
      <c r="G28" s="58">
        <v>3.3151999999999999</v>
      </c>
      <c r="H28" s="64">
        <f t="shared" si="2"/>
        <v>2199.9999999997576</v>
      </c>
      <c r="I28" s="58">
        <v>1.635</v>
      </c>
      <c r="J28" s="64">
        <f t="shared" si="3"/>
        <v>1200.0000000000898</v>
      </c>
      <c r="K28" s="58">
        <v>2.6415999999999999</v>
      </c>
      <c r="L28" s="64">
        <f t="shared" si="4"/>
        <v>3000.0000000001137</v>
      </c>
      <c r="M28" s="58">
        <v>1.4567000000000001</v>
      </c>
      <c r="N28" s="64">
        <f t="shared" si="5"/>
        <v>900.0000000001229</v>
      </c>
      <c r="O28" s="58">
        <v>14379</v>
      </c>
      <c r="P28" s="67">
        <f t="shared" si="44"/>
        <v>4</v>
      </c>
      <c r="Q28" s="58">
        <v>1021</v>
      </c>
      <c r="R28" s="67">
        <f t="shared" si="6"/>
        <v>2</v>
      </c>
      <c r="S28" s="58">
        <v>991291.2</v>
      </c>
      <c r="T28" s="67">
        <f t="shared" si="7"/>
        <v>546.59999999997672</v>
      </c>
      <c r="U28" s="58">
        <v>416781.8</v>
      </c>
      <c r="V28" s="67">
        <f t="shared" si="8"/>
        <v>252.89999999996508</v>
      </c>
      <c r="W28" s="58">
        <v>397.68</v>
      </c>
      <c r="X28" s="65">
        <f t="shared" si="9"/>
        <v>240.00000000000909</v>
      </c>
      <c r="Y28" s="58">
        <v>2.8460999999999999</v>
      </c>
      <c r="Z28" s="65">
        <f t="shared" si="10"/>
        <v>2299.9999999999686</v>
      </c>
      <c r="AA28" s="58">
        <v>395.59</v>
      </c>
      <c r="AB28" s="65">
        <f t="shared" si="11"/>
        <v>289.99999999996362</v>
      </c>
      <c r="AC28" s="58">
        <v>370.15</v>
      </c>
      <c r="AD28" s="65">
        <f t="shared" si="12"/>
        <v>229.99999999996135</v>
      </c>
      <c r="AE28" s="58">
        <v>566.19000000000005</v>
      </c>
      <c r="AF28" s="65">
        <f t="shared" si="13"/>
        <v>320.00000000005002</v>
      </c>
      <c r="AG28" s="58">
        <v>4393</v>
      </c>
      <c r="AH28" s="67">
        <f t="shared" si="14"/>
        <v>34</v>
      </c>
      <c r="AI28" s="58">
        <v>611.66999999999996</v>
      </c>
      <c r="AJ28" s="65">
        <f t="shared" si="15"/>
        <v>519.99999999998181</v>
      </c>
      <c r="AK28" s="58">
        <v>204.29</v>
      </c>
      <c r="AL28" s="65">
        <f t="shared" si="15"/>
        <v>189.99999999999773</v>
      </c>
      <c r="AM28" s="58">
        <v>194.54</v>
      </c>
      <c r="AN28" s="65">
        <f t="shared" si="15"/>
        <v>150.00000000000568</v>
      </c>
      <c r="AO28" s="58">
        <v>188.88</v>
      </c>
      <c r="AP28" s="65">
        <f t="shared" si="15"/>
        <v>189.99999999999773</v>
      </c>
      <c r="AQ28" s="58">
        <v>247.1</v>
      </c>
      <c r="AR28" s="65">
        <f t="shared" si="16"/>
        <v>79.999999999984084</v>
      </c>
      <c r="AS28" s="58">
        <v>372.59</v>
      </c>
      <c r="AT28" s="65">
        <f t="shared" si="17"/>
        <v>99.999999999965894</v>
      </c>
      <c r="AU28" s="58">
        <v>285.39999999999998</v>
      </c>
      <c r="AV28" s="65">
        <f t="shared" si="18"/>
        <v>39.99999999996362</v>
      </c>
      <c r="AW28" s="58">
        <v>320.04000000000002</v>
      </c>
      <c r="AX28" s="65">
        <f t="shared" si="19"/>
        <v>80.000000000040927</v>
      </c>
      <c r="AY28" s="58">
        <v>361.4</v>
      </c>
      <c r="AZ28" s="65">
        <f t="shared" si="20"/>
        <v>49.999999999954525</v>
      </c>
      <c r="BA28" s="58">
        <v>381.15</v>
      </c>
      <c r="BB28" s="65">
        <f t="shared" si="21"/>
        <v>29.999999999972715</v>
      </c>
      <c r="BC28" s="58">
        <v>241.78</v>
      </c>
      <c r="BD28" s="65">
        <f t="shared" si="22"/>
        <v>20.000000000010232</v>
      </c>
      <c r="BE28" s="59">
        <v>40298</v>
      </c>
      <c r="BF28" s="67">
        <f t="shared" si="39"/>
        <v>49</v>
      </c>
      <c r="BG28" s="60">
        <v>234.03</v>
      </c>
      <c r="BH28" s="65">
        <f t="shared" si="23"/>
        <v>39.999999999992042</v>
      </c>
      <c r="BI28" s="60">
        <v>293.13</v>
      </c>
      <c r="BJ28" s="65">
        <f t="shared" si="40"/>
        <v>9.9999999999909051</v>
      </c>
      <c r="BK28" s="60">
        <v>236.91</v>
      </c>
      <c r="BL28" s="65">
        <f t="shared" si="24"/>
        <v>30.000000000001137</v>
      </c>
      <c r="BM28" s="60">
        <v>223.75</v>
      </c>
      <c r="BN28" s="65">
        <f t="shared" si="25"/>
        <v>30.000000000001137</v>
      </c>
      <c r="BO28" s="60">
        <v>287.58</v>
      </c>
      <c r="BP28" s="65">
        <f t="shared" si="26"/>
        <v>19.99999999998181</v>
      </c>
      <c r="BQ28" s="60">
        <v>45210</v>
      </c>
      <c r="BR28" s="65">
        <f t="shared" si="27"/>
        <v>25</v>
      </c>
      <c r="BS28" s="60">
        <v>200.71</v>
      </c>
      <c r="BT28" s="65">
        <f t="shared" si="42"/>
        <v>20.000000000010232</v>
      </c>
      <c r="BU28" s="60">
        <v>40606</v>
      </c>
      <c r="BV28" s="65">
        <f t="shared" si="29"/>
        <v>35</v>
      </c>
      <c r="BW28" s="60">
        <v>231.88</v>
      </c>
      <c r="BX28" s="65">
        <f t="shared" si="30"/>
        <v>30.000000000001137</v>
      </c>
      <c r="BY28" s="60">
        <v>60142</v>
      </c>
      <c r="BZ28" s="67">
        <f t="shared" si="31"/>
        <v>41</v>
      </c>
      <c r="CA28" s="60">
        <v>31909.3</v>
      </c>
      <c r="CB28" s="67">
        <f t="shared" si="32"/>
        <v>25.700000000000728</v>
      </c>
      <c r="CC28" s="60">
        <v>12144.1</v>
      </c>
      <c r="CD28" s="67">
        <f t="shared" si="33"/>
        <v>6.8000000000010914</v>
      </c>
      <c r="CE28" s="60">
        <v>6405</v>
      </c>
      <c r="CF28" s="67">
        <f t="shared" si="34"/>
        <v>0</v>
      </c>
      <c r="CG28" s="60">
        <v>59452.9</v>
      </c>
      <c r="CH28" s="67">
        <f t="shared" si="35"/>
        <v>37.30000000000291</v>
      </c>
      <c r="CI28" s="60">
        <v>948085</v>
      </c>
      <c r="CJ28" s="67">
        <f t="shared" si="36"/>
        <v>326</v>
      </c>
      <c r="CK28" s="60">
        <v>762.79</v>
      </c>
      <c r="CL28" s="64">
        <f t="shared" si="37"/>
        <v>529.99999999997272</v>
      </c>
      <c r="CM28" s="65">
        <f t="shared" si="41"/>
        <v>54.600000000000364</v>
      </c>
      <c r="CN28" s="62">
        <v>9</v>
      </c>
      <c r="CO28" s="62">
        <v>26</v>
      </c>
      <c r="CP28" s="68">
        <v>9437.2000000000007</v>
      </c>
      <c r="CQ28" s="67">
        <f t="shared" si="38"/>
        <v>31.600000000000364</v>
      </c>
      <c r="CR28" s="68">
        <v>14139</v>
      </c>
      <c r="CS28" s="67">
        <f t="shared" si="38"/>
        <v>23</v>
      </c>
      <c r="CT28" s="75">
        <v>6424</v>
      </c>
      <c r="CU28" s="67">
        <f t="shared" si="38"/>
        <v>12</v>
      </c>
      <c r="CV28" s="68">
        <v>15283</v>
      </c>
      <c r="CW28" s="67">
        <f t="shared" si="38"/>
        <v>23</v>
      </c>
    </row>
    <row r="29" spans="1:101" ht="25.5" customHeight="1" thickBot="1" x14ac:dyDescent="0.45">
      <c r="A29" s="63">
        <v>44373</v>
      </c>
      <c r="B29" s="44"/>
      <c r="C29" s="58">
        <v>2.2892000000000001</v>
      </c>
      <c r="D29" s="64">
        <f t="shared" si="0"/>
        <v>1800.0000000002458</v>
      </c>
      <c r="E29" s="58">
        <v>3.26</v>
      </c>
      <c r="F29" s="64">
        <f t="shared" si="1"/>
        <v>2799.9999999996917</v>
      </c>
      <c r="G29" s="58">
        <v>3.3176000000000001</v>
      </c>
      <c r="H29" s="64">
        <f t="shared" si="2"/>
        <v>2400.0000000001796</v>
      </c>
      <c r="I29" s="58">
        <v>1.6364000000000001</v>
      </c>
      <c r="J29" s="64">
        <f t="shared" si="3"/>
        <v>1400.0000000000678</v>
      </c>
      <c r="K29" s="58">
        <v>2.6436000000000002</v>
      </c>
      <c r="L29" s="64">
        <f t="shared" si="4"/>
        <v>2000.0000000002237</v>
      </c>
      <c r="M29" s="58">
        <v>1.4576</v>
      </c>
      <c r="N29" s="64">
        <f t="shared" si="5"/>
        <v>899.99999999990087</v>
      </c>
      <c r="O29" s="58">
        <v>14388</v>
      </c>
      <c r="P29" s="67">
        <f t="shared" si="44"/>
        <v>9</v>
      </c>
      <c r="Q29" s="58">
        <v>1024</v>
      </c>
      <c r="R29" s="67">
        <f t="shared" si="6"/>
        <v>3</v>
      </c>
      <c r="S29" s="58">
        <v>992100.2</v>
      </c>
      <c r="T29" s="67">
        <f t="shared" si="7"/>
        <v>809</v>
      </c>
      <c r="U29" s="58">
        <v>417086.7</v>
      </c>
      <c r="V29" s="67">
        <f t="shared" si="8"/>
        <v>304.90000000002328</v>
      </c>
      <c r="W29" s="58">
        <v>397.96</v>
      </c>
      <c r="X29" s="65">
        <f t="shared" si="9"/>
        <v>279.99999999997272</v>
      </c>
      <c r="Y29" s="58">
        <v>2.8487</v>
      </c>
      <c r="Z29" s="65">
        <f t="shared" si="10"/>
        <v>2600.0000000001578</v>
      </c>
      <c r="AA29" s="58">
        <v>395.85</v>
      </c>
      <c r="AB29" s="65">
        <f t="shared" si="11"/>
        <v>260.00000000004775</v>
      </c>
      <c r="AC29" s="58">
        <v>370.41</v>
      </c>
      <c r="AD29" s="65">
        <f t="shared" si="12"/>
        <v>260.00000000004775</v>
      </c>
      <c r="AE29" s="58">
        <v>566.47</v>
      </c>
      <c r="AF29" s="65">
        <f t="shared" si="13"/>
        <v>279.99999999997272</v>
      </c>
      <c r="AG29" s="58">
        <v>4426</v>
      </c>
      <c r="AH29" s="67">
        <f t="shared" si="14"/>
        <v>33</v>
      </c>
      <c r="AI29" s="58">
        <v>612.4</v>
      </c>
      <c r="AJ29" s="65">
        <f t="shared" si="15"/>
        <v>730.00000000001819</v>
      </c>
      <c r="AK29" s="58">
        <v>204.48</v>
      </c>
      <c r="AL29" s="65">
        <f t="shared" si="15"/>
        <v>189.99999999999773</v>
      </c>
      <c r="AM29" s="58">
        <v>194.7</v>
      </c>
      <c r="AN29" s="65">
        <f t="shared" si="15"/>
        <v>159.99999999999659</v>
      </c>
      <c r="AO29" s="58">
        <v>189.1</v>
      </c>
      <c r="AP29" s="65">
        <f t="shared" si="15"/>
        <v>219.99999999999886</v>
      </c>
      <c r="AQ29" s="58">
        <v>247.16</v>
      </c>
      <c r="AR29" s="65">
        <f t="shared" si="16"/>
        <v>60.000000000002274</v>
      </c>
      <c r="AS29" s="58">
        <v>372.7</v>
      </c>
      <c r="AT29" s="65">
        <f t="shared" si="17"/>
        <v>110.00000000001364</v>
      </c>
      <c r="AU29" s="58">
        <v>285.45999999999998</v>
      </c>
      <c r="AV29" s="65">
        <f t="shared" si="18"/>
        <v>60.000000000002274</v>
      </c>
      <c r="AW29" s="58">
        <v>320.11</v>
      </c>
      <c r="AX29" s="65">
        <f t="shared" si="19"/>
        <v>69.999999999993179</v>
      </c>
      <c r="AY29" s="58">
        <v>361.44</v>
      </c>
      <c r="AZ29" s="65">
        <f t="shared" si="20"/>
        <v>40.000000000020464</v>
      </c>
      <c r="BA29" s="58">
        <v>381.17</v>
      </c>
      <c r="BB29" s="65">
        <f t="shared" si="21"/>
        <v>20.000000000038654</v>
      </c>
      <c r="BC29" s="58">
        <v>241.81</v>
      </c>
      <c r="BD29" s="65">
        <f t="shared" si="22"/>
        <v>30.000000000001137</v>
      </c>
      <c r="BE29" s="59">
        <v>40336</v>
      </c>
      <c r="BF29" s="67">
        <f t="shared" si="39"/>
        <v>38</v>
      </c>
      <c r="BG29" s="60">
        <v>234.09</v>
      </c>
      <c r="BH29" s="65">
        <f t="shared" si="23"/>
        <v>60.000000000002274</v>
      </c>
      <c r="BI29" s="60">
        <v>293.16000000000003</v>
      </c>
      <c r="BJ29" s="65">
        <f t="shared" si="40"/>
        <v>30.000000000029559</v>
      </c>
      <c r="BK29" s="60">
        <v>236.93</v>
      </c>
      <c r="BL29" s="65">
        <f t="shared" si="24"/>
        <v>20.000000000010232</v>
      </c>
      <c r="BM29" s="60">
        <v>223.79</v>
      </c>
      <c r="BN29" s="65">
        <f t="shared" si="25"/>
        <v>39.999999999992042</v>
      </c>
      <c r="BO29" s="60">
        <v>287.61</v>
      </c>
      <c r="BP29" s="65">
        <f t="shared" si="26"/>
        <v>30.000000000029559</v>
      </c>
      <c r="BQ29" s="60">
        <v>45235</v>
      </c>
      <c r="BR29" s="65">
        <f t="shared" si="27"/>
        <v>25</v>
      </c>
      <c r="BS29" s="60">
        <v>200.74</v>
      </c>
      <c r="BT29" s="65">
        <f t="shared" si="42"/>
        <v>30.000000000001137</v>
      </c>
      <c r="BU29" s="60">
        <v>40645</v>
      </c>
      <c r="BV29" s="65">
        <f t="shared" si="29"/>
        <v>39</v>
      </c>
      <c r="BW29" s="60">
        <v>231.91</v>
      </c>
      <c r="BX29" s="65">
        <f t="shared" si="30"/>
        <v>30.000000000001137</v>
      </c>
      <c r="BY29" s="60">
        <v>60207</v>
      </c>
      <c r="BZ29" s="67">
        <f t="shared" si="31"/>
        <v>65</v>
      </c>
      <c r="CA29" s="60">
        <v>31927.4</v>
      </c>
      <c r="CB29" s="67">
        <f t="shared" si="32"/>
        <v>18.100000000002183</v>
      </c>
      <c r="CC29" s="60">
        <v>12152.7</v>
      </c>
      <c r="CD29" s="67">
        <f t="shared" si="33"/>
        <v>8.6000000000003638</v>
      </c>
      <c r="CE29" s="60">
        <v>6407.3</v>
      </c>
      <c r="CF29" s="67">
        <f t="shared" si="34"/>
        <v>2.3000000000001819</v>
      </c>
      <c r="CG29" s="60">
        <v>59489.599999999999</v>
      </c>
      <c r="CH29" s="67">
        <f t="shared" si="35"/>
        <v>36.69999999999709</v>
      </c>
      <c r="CI29" s="60">
        <v>948455</v>
      </c>
      <c r="CJ29" s="67">
        <f t="shared" si="36"/>
        <v>370</v>
      </c>
      <c r="CK29" s="60">
        <v>763.38</v>
      </c>
      <c r="CL29" s="64">
        <f t="shared" si="37"/>
        <v>590.00000000003183</v>
      </c>
      <c r="CM29" s="65">
        <f t="shared" si="41"/>
        <v>57.799999999999272</v>
      </c>
      <c r="CN29" s="62">
        <v>9</v>
      </c>
      <c r="CO29" s="62">
        <v>22</v>
      </c>
      <c r="CP29" s="68">
        <v>9475</v>
      </c>
      <c r="CQ29" s="67">
        <f t="shared" si="38"/>
        <v>37.799999999999272</v>
      </c>
      <c r="CR29" s="68">
        <v>14159</v>
      </c>
      <c r="CS29" s="67">
        <f t="shared" si="38"/>
        <v>20</v>
      </c>
      <c r="CT29" s="75">
        <v>6436</v>
      </c>
      <c r="CU29" s="67">
        <f t="shared" si="38"/>
        <v>12</v>
      </c>
      <c r="CV29" s="68">
        <v>15307</v>
      </c>
      <c r="CW29" s="67">
        <f t="shared" si="38"/>
        <v>24</v>
      </c>
    </row>
    <row r="30" spans="1:101" ht="25.5" customHeight="1" thickBot="1" x14ac:dyDescent="0.45">
      <c r="A30" s="63">
        <v>44374</v>
      </c>
      <c r="B30" s="44"/>
      <c r="C30" s="58">
        <v>2.2911999999999999</v>
      </c>
      <c r="D30" s="64">
        <f t="shared" si="0"/>
        <v>1999.9999999997797</v>
      </c>
      <c r="E30" s="58">
        <v>3.2627000000000002</v>
      </c>
      <c r="F30" s="64">
        <f t="shared" si="1"/>
        <v>2700.0000000003688</v>
      </c>
      <c r="G30" s="58">
        <v>3.3199000000000001</v>
      </c>
      <c r="H30" s="64">
        <f t="shared" si="2"/>
        <v>2299.9999999999686</v>
      </c>
      <c r="I30" s="58">
        <v>1.6377999999999999</v>
      </c>
      <c r="J30" s="64">
        <f t="shared" si="3"/>
        <v>1399.9999999998458</v>
      </c>
      <c r="K30" s="58">
        <v>2.6455000000000002</v>
      </c>
      <c r="L30" s="64">
        <f t="shared" si="4"/>
        <v>1900.0000000000127</v>
      </c>
      <c r="M30" s="58">
        <v>1.4585999999999999</v>
      </c>
      <c r="N30" s="64">
        <f t="shared" si="5"/>
        <v>999.99999999988984</v>
      </c>
      <c r="O30" s="58">
        <v>14397</v>
      </c>
      <c r="P30" s="67">
        <f t="shared" si="44"/>
        <v>9</v>
      </c>
      <c r="Q30" s="58">
        <v>1026</v>
      </c>
      <c r="R30" s="67">
        <f t="shared" si="6"/>
        <v>2</v>
      </c>
      <c r="S30" s="58">
        <v>992747.4</v>
      </c>
      <c r="T30" s="67">
        <f t="shared" si="7"/>
        <v>647.20000000006985</v>
      </c>
      <c r="U30" s="58">
        <v>417341.6</v>
      </c>
      <c r="V30" s="67">
        <f t="shared" si="8"/>
        <v>254.89999999996508</v>
      </c>
      <c r="W30" s="58">
        <v>398.22</v>
      </c>
      <c r="X30" s="65">
        <f t="shared" si="9"/>
        <v>260.00000000004775</v>
      </c>
      <c r="Y30" s="58">
        <v>2.8511000000000002</v>
      </c>
      <c r="Z30" s="65">
        <f t="shared" si="10"/>
        <v>2400.0000000001796</v>
      </c>
      <c r="AA30" s="58">
        <v>396.2</v>
      </c>
      <c r="AB30" s="65">
        <f t="shared" si="11"/>
        <v>349.99999999996589</v>
      </c>
      <c r="AC30" s="58">
        <v>370.66</v>
      </c>
      <c r="AD30" s="65">
        <f t="shared" si="12"/>
        <v>250</v>
      </c>
      <c r="AE30" s="58">
        <v>566.75</v>
      </c>
      <c r="AF30" s="65">
        <f t="shared" si="13"/>
        <v>279.99999999997272</v>
      </c>
      <c r="AG30" s="58">
        <v>4462</v>
      </c>
      <c r="AH30" s="67">
        <f t="shared" si="14"/>
        <v>36</v>
      </c>
      <c r="AI30" s="58">
        <v>613.25</v>
      </c>
      <c r="AJ30" s="65">
        <f t="shared" si="15"/>
        <v>850.00000000002274</v>
      </c>
      <c r="AK30" s="58">
        <v>204.66</v>
      </c>
      <c r="AL30" s="65">
        <f t="shared" si="15"/>
        <v>180.00000000000682</v>
      </c>
      <c r="AM30" s="58">
        <v>194.91</v>
      </c>
      <c r="AN30" s="65">
        <f t="shared" si="15"/>
        <v>210.00000000000796</v>
      </c>
      <c r="AO30" s="58">
        <v>189.28</v>
      </c>
      <c r="AP30" s="65">
        <f t="shared" si="15"/>
        <v>180.00000000000682</v>
      </c>
      <c r="AQ30" s="58">
        <v>247.24</v>
      </c>
      <c r="AR30" s="65">
        <f t="shared" si="16"/>
        <v>80.000000000012506</v>
      </c>
      <c r="AS30" s="58">
        <v>372.8</v>
      </c>
      <c r="AT30" s="65">
        <f t="shared" si="17"/>
        <v>100.00000000002274</v>
      </c>
      <c r="AU30" s="58">
        <v>285.52</v>
      </c>
      <c r="AV30" s="65">
        <f t="shared" si="18"/>
        <v>60.000000000002274</v>
      </c>
      <c r="AW30" s="58">
        <v>320.17</v>
      </c>
      <c r="AX30" s="65">
        <f t="shared" si="19"/>
        <v>60.000000000002274</v>
      </c>
      <c r="AY30" s="58">
        <v>361.48</v>
      </c>
      <c r="AZ30" s="65">
        <f t="shared" si="20"/>
        <v>40.000000000020464</v>
      </c>
      <c r="BA30" s="58">
        <v>381.18</v>
      </c>
      <c r="BB30" s="65">
        <f t="shared" si="21"/>
        <v>9.9999999999909051</v>
      </c>
      <c r="BC30" s="58">
        <v>241.82</v>
      </c>
      <c r="BD30" s="65">
        <f t="shared" si="22"/>
        <v>9.9999999999909051</v>
      </c>
      <c r="BE30" s="59">
        <v>40366</v>
      </c>
      <c r="BF30" s="67">
        <f t="shared" si="39"/>
        <v>30</v>
      </c>
      <c r="BG30" s="60">
        <v>234.13</v>
      </c>
      <c r="BH30" s="65">
        <f t="shared" si="23"/>
        <v>39.999999999992042</v>
      </c>
      <c r="BI30" s="60">
        <v>293.18</v>
      </c>
      <c r="BJ30" s="65">
        <f t="shared" si="40"/>
        <v>19.99999999998181</v>
      </c>
      <c r="BK30" s="60">
        <v>236.96</v>
      </c>
      <c r="BL30" s="65">
        <f t="shared" si="24"/>
        <v>30.000000000001137</v>
      </c>
      <c r="BM30" s="60">
        <v>223.82</v>
      </c>
      <c r="BN30" s="65">
        <f t="shared" si="25"/>
        <v>30.000000000001137</v>
      </c>
      <c r="BO30" s="60">
        <v>287.64</v>
      </c>
      <c r="BP30" s="65">
        <f t="shared" si="26"/>
        <v>29.999999999972715</v>
      </c>
      <c r="BQ30" s="60">
        <v>45261</v>
      </c>
      <c r="BR30" s="65">
        <f t="shared" si="27"/>
        <v>26</v>
      </c>
      <c r="BS30" s="60">
        <v>200.76</v>
      </c>
      <c r="BT30" s="65">
        <f t="shared" si="42"/>
        <v>19.99999999998181</v>
      </c>
      <c r="BU30" s="60">
        <v>40684</v>
      </c>
      <c r="BV30" s="65">
        <f t="shared" si="29"/>
        <v>39</v>
      </c>
      <c r="BW30" s="60">
        <v>231.94</v>
      </c>
      <c r="BX30" s="65">
        <f t="shared" si="30"/>
        <v>30.000000000001137</v>
      </c>
      <c r="BY30" s="60">
        <v>60278</v>
      </c>
      <c r="BZ30" s="67">
        <f t="shared" si="31"/>
        <v>71</v>
      </c>
      <c r="CA30" s="60">
        <v>31959.3</v>
      </c>
      <c r="CB30" s="67">
        <f t="shared" si="32"/>
        <v>31.899999999997817</v>
      </c>
      <c r="CC30" s="60">
        <v>12161</v>
      </c>
      <c r="CD30" s="67">
        <f t="shared" si="33"/>
        <v>8.2999999999992724</v>
      </c>
      <c r="CE30" s="60">
        <v>6416.3</v>
      </c>
      <c r="CF30" s="67">
        <f t="shared" si="34"/>
        <v>9</v>
      </c>
      <c r="CG30" s="60">
        <v>59533.8</v>
      </c>
      <c r="CH30" s="67">
        <f t="shared" si="35"/>
        <v>44.200000000004366</v>
      </c>
      <c r="CI30" s="60">
        <v>948741</v>
      </c>
      <c r="CJ30" s="67">
        <f t="shared" si="36"/>
        <v>286</v>
      </c>
      <c r="CK30" s="60">
        <v>763.9</v>
      </c>
      <c r="CL30" s="64">
        <f t="shared" si="37"/>
        <v>519.99999999998181</v>
      </c>
      <c r="CM30" s="65">
        <f t="shared" si="41"/>
        <v>49</v>
      </c>
      <c r="CN30" s="62">
        <v>9</v>
      </c>
      <c r="CO30" s="62">
        <v>25</v>
      </c>
      <c r="CP30" s="68">
        <v>9513</v>
      </c>
      <c r="CQ30" s="67">
        <f t="shared" si="38"/>
        <v>38</v>
      </c>
      <c r="CR30" s="68">
        <v>14170</v>
      </c>
      <c r="CS30" s="67">
        <f t="shared" si="38"/>
        <v>11</v>
      </c>
      <c r="CT30" s="75">
        <v>6448</v>
      </c>
      <c r="CU30" s="67">
        <f t="shared" si="38"/>
        <v>12</v>
      </c>
      <c r="CV30" s="68">
        <v>15328</v>
      </c>
      <c r="CW30" s="67">
        <f t="shared" si="38"/>
        <v>21</v>
      </c>
    </row>
    <row r="31" spans="1:101" ht="25.5" customHeight="1" thickBot="1" x14ac:dyDescent="0.45">
      <c r="A31" s="63">
        <v>44375</v>
      </c>
      <c r="B31" s="66"/>
      <c r="C31" s="58"/>
      <c r="D31" s="64" t="str">
        <f t="shared" si="0"/>
        <v>0</v>
      </c>
      <c r="E31" s="58"/>
      <c r="F31" s="64" t="str">
        <f t="shared" si="1"/>
        <v>0</v>
      </c>
      <c r="G31" s="58"/>
      <c r="H31" s="64" t="str">
        <f t="shared" si="2"/>
        <v>0</v>
      </c>
      <c r="I31" s="58"/>
      <c r="J31" s="64" t="str">
        <f t="shared" si="3"/>
        <v>0</v>
      </c>
      <c r="K31" s="58"/>
      <c r="L31" s="64" t="str">
        <f t="shared" si="4"/>
        <v>0</v>
      </c>
      <c r="M31" s="58"/>
      <c r="N31" s="64" t="str">
        <f t="shared" si="5"/>
        <v/>
      </c>
      <c r="O31" s="58"/>
      <c r="P31" s="67" t="str">
        <f t="shared" si="44"/>
        <v/>
      </c>
      <c r="Q31" s="58"/>
      <c r="R31" s="67" t="str">
        <f t="shared" si="6"/>
        <v/>
      </c>
      <c r="S31" s="58"/>
      <c r="T31" s="67" t="str">
        <f t="shared" si="7"/>
        <v/>
      </c>
      <c r="U31" s="58"/>
      <c r="V31" s="67" t="str">
        <f t="shared" si="8"/>
        <v/>
      </c>
      <c r="W31" s="58"/>
      <c r="X31" s="65" t="str">
        <f t="shared" si="9"/>
        <v/>
      </c>
      <c r="Y31" s="58"/>
      <c r="Z31" s="65" t="str">
        <f t="shared" si="10"/>
        <v/>
      </c>
      <c r="AA31" s="58"/>
      <c r="AB31" s="65" t="str">
        <f t="shared" si="11"/>
        <v/>
      </c>
      <c r="AC31" s="58"/>
      <c r="AD31" s="65" t="str">
        <f t="shared" si="12"/>
        <v/>
      </c>
      <c r="AE31" s="58"/>
      <c r="AF31" s="65" t="str">
        <f t="shared" si="13"/>
        <v/>
      </c>
      <c r="AG31" s="58"/>
      <c r="AH31" s="67" t="str">
        <f t="shared" si="14"/>
        <v/>
      </c>
      <c r="AI31" s="58"/>
      <c r="AJ31" s="65" t="str">
        <f t="shared" si="15"/>
        <v/>
      </c>
      <c r="AK31" s="58"/>
      <c r="AL31" s="65" t="str">
        <f t="shared" si="15"/>
        <v/>
      </c>
      <c r="AM31" s="58"/>
      <c r="AN31" s="65" t="str">
        <f t="shared" si="15"/>
        <v/>
      </c>
      <c r="AO31" s="58"/>
      <c r="AP31" s="65" t="str">
        <f t="shared" si="15"/>
        <v/>
      </c>
      <c r="AQ31" s="58"/>
      <c r="AR31" s="65" t="str">
        <f t="shared" si="16"/>
        <v/>
      </c>
      <c r="AS31" s="58"/>
      <c r="AT31" s="65" t="str">
        <f t="shared" si="17"/>
        <v/>
      </c>
      <c r="AU31" s="58"/>
      <c r="AV31" s="65" t="str">
        <f t="shared" si="18"/>
        <v/>
      </c>
      <c r="AW31" s="58"/>
      <c r="AX31" s="65" t="str">
        <f t="shared" si="19"/>
        <v/>
      </c>
      <c r="AY31" s="58"/>
      <c r="AZ31" s="65" t="str">
        <f t="shared" si="20"/>
        <v/>
      </c>
      <c r="BA31" s="58"/>
      <c r="BB31" s="65" t="str">
        <f t="shared" si="21"/>
        <v/>
      </c>
      <c r="BC31" s="58"/>
      <c r="BD31" s="65" t="str">
        <f t="shared" si="22"/>
        <v/>
      </c>
      <c r="BE31" s="59"/>
      <c r="BF31" s="67" t="str">
        <f t="shared" si="39"/>
        <v/>
      </c>
      <c r="BG31" s="60"/>
      <c r="BH31" s="65" t="str">
        <f t="shared" si="23"/>
        <v/>
      </c>
      <c r="BI31" s="60"/>
      <c r="BJ31" s="65" t="str">
        <f t="shared" si="40"/>
        <v/>
      </c>
      <c r="BK31" s="60"/>
      <c r="BL31" s="65" t="str">
        <f t="shared" si="24"/>
        <v/>
      </c>
      <c r="BM31" s="60"/>
      <c r="BN31" s="65" t="str">
        <f t="shared" si="25"/>
        <v/>
      </c>
      <c r="BO31" s="60"/>
      <c r="BP31" s="65" t="str">
        <f t="shared" si="26"/>
        <v/>
      </c>
      <c r="BQ31" s="60"/>
      <c r="BR31" s="65" t="str">
        <f t="shared" si="27"/>
        <v/>
      </c>
      <c r="BS31" s="60"/>
      <c r="BT31" s="65" t="str">
        <f t="shared" si="42"/>
        <v/>
      </c>
      <c r="BU31" s="60"/>
      <c r="BV31" s="65" t="str">
        <f t="shared" si="29"/>
        <v/>
      </c>
      <c r="BW31" s="60"/>
      <c r="BX31" s="65" t="str">
        <f t="shared" si="30"/>
        <v/>
      </c>
      <c r="BY31" s="60"/>
      <c r="BZ31" s="67" t="str">
        <f t="shared" si="31"/>
        <v/>
      </c>
      <c r="CA31" s="60"/>
      <c r="CB31" s="67" t="str">
        <f t="shared" si="32"/>
        <v/>
      </c>
      <c r="CC31" s="60"/>
      <c r="CD31" s="67" t="str">
        <f t="shared" si="33"/>
        <v/>
      </c>
      <c r="CE31" s="60"/>
      <c r="CF31" s="67" t="str">
        <f t="shared" si="34"/>
        <v/>
      </c>
      <c r="CG31" s="60"/>
      <c r="CH31" s="67" t="str">
        <f t="shared" si="35"/>
        <v/>
      </c>
      <c r="CI31" s="60"/>
      <c r="CJ31" s="67" t="str">
        <f t="shared" si="36"/>
        <v/>
      </c>
      <c r="CK31" s="60"/>
      <c r="CL31" s="64" t="str">
        <f t="shared" si="37"/>
        <v/>
      </c>
      <c r="CM31" s="65" t="e">
        <f t="shared" si="41"/>
        <v>#VALUE!</v>
      </c>
      <c r="CN31" s="62">
        <v>0</v>
      </c>
      <c r="CO31" s="62">
        <v>0</v>
      </c>
      <c r="CP31" s="68"/>
      <c r="CQ31" s="67" t="str">
        <f t="shared" si="38"/>
        <v/>
      </c>
      <c r="CR31" s="68"/>
      <c r="CS31" s="67" t="str">
        <f t="shared" si="38"/>
        <v/>
      </c>
      <c r="CT31" s="75"/>
      <c r="CU31" s="67" t="str">
        <f t="shared" si="38"/>
        <v/>
      </c>
      <c r="CV31" s="68"/>
      <c r="CW31" s="67" t="str">
        <f t="shared" si="38"/>
        <v/>
      </c>
    </row>
    <row r="32" spans="1:101" ht="25.5" customHeight="1" thickBot="1" x14ac:dyDescent="0.45">
      <c r="A32" s="63">
        <v>44376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44377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44378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4" zoomScaleNormal="100" workbookViewId="0">
      <selection activeCell="Z33" sqref="Z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6</v>
      </c>
      <c r="D9" s="40">
        <v>16</v>
      </c>
      <c r="E9" s="41">
        <v>5</v>
      </c>
      <c r="F9" s="41">
        <v>5241</v>
      </c>
      <c r="G9" s="41">
        <v>65</v>
      </c>
      <c r="H9" s="41">
        <v>1484</v>
      </c>
      <c r="I9" s="41">
        <v>85</v>
      </c>
      <c r="J9" s="41">
        <v>336</v>
      </c>
      <c r="K9" s="42">
        <v>65</v>
      </c>
      <c r="L9" s="42">
        <v>85</v>
      </c>
      <c r="M9" s="42">
        <v>1317</v>
      </c>
      <c r="N9" s="39">
        <v>25</v>
      </c>
      <c r="O9" s="39">
        <v>85</v>
      </c>
      <c r="P9" s="39">
        <v>85</v>
      </c>
      <c r="Q9" s="39">
        <v>3766</v>
      </c>
      <c r="R9" s="78">
        <v>70</v>
      </c>
      <c r="S9" s="78">
        <v>197</v>
      </c>
      <c r="T9">
        <f t="shared" ref="T9:T39" si="0">S9-S8</f>
        <v>0</v>
      </c>
    </row>
    <row r="10" spans="1:20" x14ac:dyDescent="0.25">
      <c r="A10" s="73">
        <v>44350</v>
      </c>
      <c r="B10" s="40">
        <v>0</v>
      </c>
      <c r="C10" s="40">
        <v>6</v>
      </c>
      <c r="D10" s="40">
        <v>16</v>
      </c>
      <c r="E10" s="41">
        <v>5</v>
      </c>
      <c r="F10" s="41">
        <v>5244</v>
      </c>
      <c r="G10" s="41">
        <v>60</v>
      </c>
      <c r="H10" s="41">
        <v>1486</v>
      </c>
      <c r="I10" s="41">
        <v>85</v>
      </c>
      <c r="J10" s="41">
        <v>336</v>
      </c>
      <c r="K10" s="42">
        <v>65</v>
      </c>
      <c r="L10" s="42">
        <v>85</v>
      </c>
      <c r="M10" s="42">
        <v>1317</v>
      </c>
      <c r="N10" s="39">
        <v>20</v>
      </c>
      <c r="O10" s="39">
        <v>85</v>
      </c>
      <c r="P10" s="39">
        <v>85</v>
      </c>
      <c r="Q10" s="39">
        <v>3770</v>
      </c>
      <c r="R10" s="78">
        <v>70</v>
      </c>
      <c r="S10" s="78">
        <v>197</v>
      </c>
      <c r="T10">
        <f t="shared" si="0"/>
        <v>0</v>
      </c>
    </row>
    <row r="11" spans="1:20" x14ac:dyDescent="0.25">
      <c r="A11" s="73">
        <v>44351</v>
      </c>
      <c r="B11" s="40">
        <v>0</v>
      </c>
      <c r="C11" s="40">
        <v>6</v>
      </c>
      <c r="D11" s="40">
        <v>16</v>
      </c>
      <c r="E11" s="41">
        <v>5</v>
      </c>
      <c r="F11" s="41">
        <v>5249</v>
      </c>
      <c r="G11" s="41">
        <v>50</v>
      </c>
      <c r="H11" s="41">
        <v>1488</v>
      </c>
      <c r="I11" s="41">
        <v>85</v>
      </c>
      <c r="J11" s="41">
        <v>337</v>
      </c>
      <c r="K11" s="42">
        <v>60</v>
      </c>
      <c r="L11" s="42">
        <v>85</v>
      </c>
      <c r="M11" s="42">
        <v>1318</v>
      </c>
      <c r="N11" s="39">
        <v>18</v>
      </c>
      <c r="O11" s="39">
        <v>85</v>
      </c>
      <c r="P11" s="39">
        <v>85</v>
      </c>
      <c r="Q11" s="39">
        <v>3773</v>
      </c>
      <c r="R11" s="78">
        <v>70</v>
      </c>
      <c r="S11" s="78">
        <v>197</v>
      </c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12</v>
      </c>
      <c r="D12" s="40">
        <v>32</v>
      </c>
      <c r="E12" s="41">
        <v>5</v>
      </c>
      <c r="F12" s="41">
        <v>5254</v>
      </c>
      <c r="G12" s="41">
        <v>40</v>
      </c>
      <c r="H12" s="41">
        <v>1490</v>
      </c>
      <c r="I12" s="41">
        <v>85</v>
      </c>
      <c r="J12" s="41">
        <v>338</v>
      </c>
      <c r="K12" s="42">
        <v>60</v>
      </c>
      <c r="L12" s="42">
        <v>85</v>
      </c>
      <c r="M12" s="42">
        <v>1318</v>
      </c>
      <c r="N12" s="39">
        <v>10</v>
      </c>
      <c r="O12" s="39">
        <v>85</v>
      </c>
      <c r="P12" s="39">
        <v>85</v>
      </c>
      <c r="Q12" s="39">
        <v>3779</v>
      </c>
      <c r="R12" s="78">
        <v>70</v>
      </c>
      <c r="S12" s="78">
        <v>197</v>
      </c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12</v>
      </c>
      <c r="D13" s="40">
        <v>32</v>
      </c>
      <c r="E13" s="41">
        <v>5</v>
      </c>
      <c r="F13" s="41">
        <v>5259</v>
      </c>
      <c r="G13" s="41">
        <v>30</v>
      </c>
      <c r="H13" s="41">
        <v>1491</v>
      </c>
      <c r="I13" s="41">
        <v>85</v>
      </c>
      <c r="J13" s="41">
        <v>339</v>
      </c>
      <c r="K13" s="42">
        <v>55</v>
      </c>
      <c r="L13" s="42">
        <v>85</v>
      </c>
      <c r="M13" s="42">
        <v>1321</v>
      </c>
      <c r="N13" s="39">
        <v>10</v>
      </c>
      <c r="O13" s="39">
        <v>85</v>
      </c>
      <c r="P13" s="39">
        <v>85</v>
      </c>
      <c r="Q13" s="39">
        <v>3784</v>
      </c>
      <c r="R13" s="78">
        <v>70</v>
      </c>
      <c r="S13" s="78">
        <v>197</v>
      </c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12</v>
      </c>
      <c r="D14" s="40">
        <v>32</v>
      </c>
      <c r="E14" s="41">
        <v>5</v>
      </c>
      <c r="F14" s="41">
        <v>5263</v>
      </c>
      <c r="G14" s="41">
        <v>20</v>
      </c>
      <c r="H14" s="41">
        <v>1493</v>
      </c>
      <c r="I14" s="41">
        <v>85</v>
      </c>
      <c r="J14" s="41">
        <v>340</v>
      </c>
      <c r="K14" s="42">
        <v>55</v>
      </c>
      <c r="L14" s="42">
        <v>85</v>
      </c>
      <c r="M14" s="42">
        <v>1323</v>
      </c>
      <c r="N14" s="39">
        <v>6</v>
      </c>
      <c r="O14" s="39">
        <v>85</v>
      </c>
      <c r="P14" s="39">
        <v>85</v>
      </c>
      <c r="Q14" s="39">
        <v>3787</v>
      </c>
      <c r="R14" s="78">
        <v>70</v>
      </c>
      <c r="S14" s="78">
        <v>197</v>
      </c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12</v>
      </c>
      <c r="D15" s="40">
        <v>32</v>
      </c>
      <c r="E15" s="41">
        <v>5</v>
      </c>
      <c r="F15" s="41">
        <v>5268</v>
      </c>
      <c r="G15" s="41">
        <v>15</v>
      </c>
      <c r="H15" s="41">
        <v>1494</v>
      </c>
      <c r="I15" s="41">
        <v>85</v>
      </c>
      <c r="J15" s="41">
        <v>342</v>
      </c>
      <c r="K15" s="42">
        <v>55</v>
      </c>
      <c r="L15" s="42">
        <v>85</v>
      </c>
      <c r="M15" s="42">
        <v>1323</v>
      </c>
      <c r="N15" s="39">
        <v>5</v>
      </c>
      <c r="O15" s="39">
        <v>83</v>
      </c>
      <c r="P15" s="39">
        <v>85</v>
      </c>
      <c r="Q15" s="39">
        <v>3792</v>
      </c>
      <c r="R15" s="78">
        <v>70</v>
      </c>
      <c r="S15" s="78">
        <v>197</v>
      </c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12</v>
      </c>
      <c r="D16" s="40">
        <v>32</v>
      </c>
      <c r="E16" s="41">
        <v>5</v>
      </c>
      <c r="F16" s="41">
        <v>5272</v>
      </c>
      <c r="G16" s="41">
        <v>10</v>
      </c>
      <c r="H16" s="41">
        <v>1495</v>
      </c>
      <c r="I16" s="41">
        <v>85</v>
      </c>
      <c r="J16" s="41">
        <v>342</v>
      </c>
      <c r="K16" s="42">
        <v>50</v>
      </c>
      <c r="L16" s="42">
        <v>85</v>
      </c>
      <c r="M16" s="42">
        <v>1326</v>
      </c>
      <c r="N16" s="39">
        <v>5</v>
      </c>
      <c r="O16" s="39">
        <v>80</v>
      </c>
      <c r="P16" s="39">
        <v>85</v>
      </c>
      <c r="Q16" s="39">
        <v>3795</v>
      </c>
      <c r="R16" s="78">
        <v>70</v>
      </c>
      <c r="S16" s="78">
        <v>197</v>
      </c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10</v>
      </c>
      <c r="D17" s="40">
        <v>29</v>
      </c>
      <c r="E17" s="41">
        <v>5</v>
      </c>
      <c r="F17" s="41">
        <v>5276</v>
      </c>
      <c r="G17" s="41">
        <v>8</v>
      </c>
      <c r="H17" s="41">
        <v>1497</v>
      </c>
      <c r="I17" s="41">
        <v>80</v>
      </c>
      <c r="J17" s="41">
        <v>343</v>
      </c>
      <c r="K17" s="42">
        <v>45</v>
      </c>
      <c r="L17" s="42">
        <v>85</v>
      </c>
      <c r="M17" s="42">
        <v>1326</v>
      </c>
      <c r="N17" s="39">
        <v>5</v>
      </c>
      <c r="O17" s="39">
        <v>75</v>
      </c>
      <c r="P17" s="39">
        <v>85</v>
      </c>
      <c r="Q17" s="39">
        <v>3800</v>
      </c>
      <c r="R17" s="78">
        <v>70</v>
      </c>
      <c r="S17" s="78">
        <v>197</v>
      </c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10</v>
      </c>
      <c r="D18" s="40">
        <v>29</v>
      </c>
      <c r="E18" s="41">
        <v>5</v>
      </c>
      <c r="F18" s="41">
        <v>5281</v>
      </c>
      <c r="G18" s="41">
        <v>8</v>
      </c>
      <c r="H18" s="41">
        <v>1500</v>
      </c>
      <c r="I18" s="41">
        <v>70</v>
      </c>
      <c r="J18" s="41">
        <v>344</v>
      </c>
      <c r="K18" s="42">
        <v>45</v>
      </c>
      <c r="L18" s="42">
        <v>85</v>
      </c>
      <c r="M18" s="42">
        <v>1329</v>
      </c>
      <c r="N18" s="39">
        <v>5</v>
      </c>
      <c r="O18" s="39">
        <v>70</v>
      </c>
      <c r="P18" s="39">
        <v>85</v>
      </c>
      <c r="Q18" s="39">
        <v>3802</v>
      </c>
      <c r="R18" s="78">
        <v>70</v>
      </c>
      <c r="S18" s="78">
        <v>197</v>
      </c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8</v>
      </c>
      <c r="D19" s="40">
        <v>25</v>
      </c>
      <c r="E19" s="41">
        <v>5</v>
      </c>
      <c r="F19" s="41">
        <v>5286</v>
      </c>
      <c r="G19" s="41">
        <v>8</v>
      </c>
      <c r="H19" s="41">
        <v>1502</v>
      </c>
      <c r="I19" s="41">
        <v>65</v>
      </c>
      <c r="J19" s="41">
        <v>345</v>
      </c>
      <c r="K19" s="42">
        <v>45</v>
      </c>
      <c r="L19" s="42">
        <v>85</v>
      </c>
      <c r="M19" s="42">
        <v>1329</v>
      </c>
      <c r="N19" s="39">
        <v>5</v>
      </c>
      <c r="O19" s="39">
        <v>65</v>
      </c>
      <c r="P19" s="39">
        <v>85</v>
      </c>
      <c r="Q19" s="39">
        <v>3808</v>
      </c>
      <c r="R19" s="78">
        <v>70</v>
      </c>
      <c r="S19" s="78">
        <v>197</v>
      </c>
      <c r="T19">
        <f t="shared" si="0"/>
        <v>0</v>
      </c>
    </row>
    <row r="20" spans="1:20" x14ac:dyDescent="0.25">
      <c r="A20" s="73">
        <v>44360</v>
      </c>
      <c r="B20" s="40">
        <v>0</v>
      </c>
      <c r="C20" s="40">
        <v>10</v>
      </c>
      <c r="D20" s="40">
        <v>25</v>
      </c>
      <c r="E20" s="41">
        <v>5</v>
      </c>
      <c r="F20" s="41">
        <v>5294</v>
      </c>
      <c r="G20" s="41">
        <v>8</v>
      </c>
      <c r="H20" s="41">
        <v>1504</v>
      </c>
      <c r="I20" s="41">
        <v>50</v>
      </c>
      <c r="J20" s="41">
        <v>345</v>
      </c>
      <c r="K20" s="42">
        <v>45</v>
      </c>
      <c r="L20" s="42">
        <v>85</v>
      </c>
      <c r="M20" s="42">
        <v>1332</v>
      </c>
      <c r="N20" s="39">
        <v>5</v>
      </c>
      <c r="O20" s="39">
        <v>55</v>
      </c>
      <c r="P20" s="39">
        <v>85</v>
      </c>
      <c r="Q20" s="39">
        <v>3813</v>
      </c>
      <c r="R20" s="78">
        <v>70</v>
      </c>
      <c r="S20" s="78">
        <v>197</v>
      </c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10</v>
      </c>
      <c r="D21" s="40">
        <v>25</v>
      </c>
      <c r="E21" s="41">
        <v>5</v>
      </c>
      <c r="F21" s="41">
        <v>5297</v>
      </c>
      <c r="G21" s="41">
        <v>8</v>
      </c>
      <c r="H21" s="41">
        <v>1507</v>
      </c>
      <c r="I21" s="41">
        <v>40</v>
      </c>
      <c r="J21" s="41">
        <v>346</v>
      </c>
      <c r="K21" s="42">
        <v>40</v>
      </c>
      <c r="L21" s="42">
        <v>85</v>
      </c>
      <c r="M21" s="42">
        <v>1334</v>
      </c>
      <c r="N21" s="39">
        <v>5</v>
      </c>
      <c r="O21" s="39">
        <v>55</v>
      </c>
      <c r="P21" s="39">
        <v>85</v>
      </c>
      <c r="Q21" s="39">
        <v>3816</v>
      </c>
      <c r="R21" s="78">
        <v>70</v>
      </c>
      <c r="S21" s="78">
        <v>197</v>
      </c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6</v>
      </c>
      <c r="D22" s="40">
        <v>16</v>
      </c>
      <c r="E22" s="41">
        <v>5</v>
      </c>
      <c r="F22" s="41">
        <v>5302</v>
      </c>
      <c r="G22" s="41">
        <v>8</v>
      </c>
      <c r="H22" s="41">
        <v>1509</v>
      </c>
      <c r="I22" s="41">
        <v>30</v>
      </c>
      <c r="J22" s="41">
        <v>348</v>
      </c>
      <c r="K22" s="42">
        <v>40</v>
      </c>
      <c r="L22" s="42">
        <v>85</v>
      </c>
      <c r="M22" s="42">
        <v>1334</v>
      </c>
      <c r="N22" s="39">
        <v>5</v>
      </c>
      <c r="O22" s="39">
        <v>50</v>
      </c>
      <c r="P22" s="39">
        <v>85</v>
      </c>
      <c r="Q22" s="39">
        <v>3821</v>
      </c>
      <c r="R22" s="78">
        <v>70</v>
      </c>
      <c r="S22" s="78">
        <v>197</v>
      </c>
      <c r="T22">
        <f t="shared" si="0"/>
        <v>0</v>
      </c>
    </row>
    <row r="23" spans="1:20" x14ac:dyDescent="0.25">
      <c r="A23" s="73">
        <v>44363</v>
      </c>
      <c r="B23" s="40">
        <v>0</v>
      </c>
      <c r="C23" s="40">
        <v>6</v>
      </c>
      <c r="D23" s="40">
        <v>16</v>
      </c>
      <c r="E23" s="41">
        <v>5</v>
      </c>
      <c r="F23" s="41">
        <v>5306</v>
      </c>
      <c r="G23" s="41">
        <v>8</v>
      </c>
      <c r="H23" s="41">
        <v>1511</v>
      </c>
      <c r="I23" s="41">
        <v>25</v>
      </c>
      <c r="J23" s="41">
        <v>348</v>
      </c>
      <c r="K23" s="42">
        <v>40</v>
      </c>
      <c r="L23" s="42">
        <v>85</v>
      </c>
      <c r="M23" s="42">
        <v>1336</v>
      </c>
      <c r="N23" s="39">
        <v>5</v>
      </c>
      <c r="O23" s="39">
        <v>45</v>
      </c>
      <c r="P23" s="39">
        <v>85</v>
      </c>
      <c r="Q23" s="39">
        <v>3825</v>
      </c>
      <c r="R23" s="78">
        <v>70</v>
      </c>
      <c r="S23" s="78">
        <v>197</v>
      </c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13</v>
      </c>
      <c r="D24" s="40">
        <v>29</v>
      </c>
      <c r="E24" s="41">
        <v>5</v>
      </c>
      <c r="F24" s="41">
        <v>5310</v>
      </c>
      <c r="G24" s="41">
        <v>8</v>
      </c>
      <c r="H24" s="41">
        <v>1513</v>
      </c>
      <c r="I24" s="41">
        <v>15</v>
      </c>
      <c r="J24" s="41">
        <v>349</v>
      </c>
      <c r="K24" s="42">
        <v>40</v>
      </c>
      <c r="L24" s="42">
        <v>85</v>
      </c>
      <c r="M24" s="42">
        <v>1336</v>
      </c>
      <c r="N24" s="39">
        <v>5</v>
      </c>
      <c r="O24" s="39">
        <v>40</v>
      </c>
      <c r="P24" s="39">
        <v>85</v>
      </c>
      <c r="Q24" s="39">
        <v>3830</v>
      </c>
      <c r="R24" s="78">
        <v>70</v>
      </c>
      <c r="S24" s="78">
        <v>197</v>
      </c>
      <c r="T24">
        <f>S24-S23</f>
        <v>0</v>
      </c>
    </row>
    <row r="25" spans="1:20" x14ac:dyDescent="0.25">
      <c r="A25" s="73">
        <v>44365</v>
      </c>
      <c r="B25" s="40">
        <v>0</v>
      </c>
      <c r="C25" s="40">
        <v>8</v>
      </c>
      <c r="D25" s="40">
        <v>25</v>
      </c>
      <c r="E25" s="41">
        <v>85</v>
      </c>
      <c r="F25" s="41">
        <v>5315</v>
      </c>
      <c r="G25" s="41">
        <v>80</v>
      </c>
      <c r="H25" s="41">
        <v>1515</v>
      </c>
      <c r="I25" s="41">
        <v>85</v>
      </c>
      <c r="J25" s="41">
        <v>350</v>
      </c>
      <c r="K25" s="42">
        <v>35</v>
      </c>
      <c r="L25" s="42">
        <v>80</v>
      </c>
      <c r="M25" s="42">
        <v>1339</v>
      </c>
      <c r="N25" s="39">
        <v>85</v>
      </c>
      <c r="O25" s="39">
        <v>85</v>
      </c>
      <c r="P25" s="39">
        <v>85</v>
      </c>
      <c r="Q25" s="39">
        <v>3834</v>
      </c>
      <c r="R25" s="78">
        <v>70</v>
      </c>
      <c r="S25" s="78">
        <v>197</v>
      </c>
      <c r="T25">
        <f t="shared" si="0"/>
        <v>0</v>
      </c>
    </row>
    <row r="26" spans="1:20" x14ac:dyDescent="0.25">
      <c r="A26" s="73">
        <v>44366</v>
      </c>
      <c r="B26" s="40">
        <v>0</v>
      </c>
      <c r="C26" s="40">
        <v>8</v>
      </c>
      <c r="D26" s="40">
        <v>25</v>
      </c>
      <c r="E26" s="41">
        <v>85</v>
      </c>
      <c r="F26" s="41">
        <v>5320</v>
      </c>
      <c r="G26" s="41">
        <v>70</v>
      </c>
      <c r="H26" s="41">
        <v>1518</v>
      </c>
      <c r="I26" s="41">
        <v>85</v>
      </c>
      <c r="J26" s="41">
        <v>351</v>
      </c>
      <c r="K26" s="42">
        <v>35</v>
      </c>
      <c r="L26" s="42">
        <v>80</v>
      </c>
      <c r="M26" s="42">
        <v>1339</v>
      </c>
      <c r="N26" s="39">
        <v>85</v>
      </c>
      <c r="O26" s="39">
        <v>80</v>
      </c>
      <c r="P26" s="39">
        <v>85</v>
      </c>
      <c r="Q26" s="39">
        <v>3837</v>
      </c>
      <c r="R26" s="78">
        <v>70</v>
      </c>
      <c r="S26" s="78">
        <v>197</v>
      </c>
      <c r="T26">
        <v>0</v>
      </c>
    </row>
    <row r="27" spans="1:20" x14ac:dyDescent="0.25">
      <c r="A27" s="73">
        <v>44367</v>
      </c>
      <c r="B27" s="40">
        <v>0</v>
      </c>
      <c r="C27" s="40">
        <v>8</v>
      </c>
      <c r="D27" s="40">
        <v>25</v>
      </c>
      <c r="E27" s="41">
        <v>85</v>
      </c>
      <c r="F27" s="41">
        <v>5325</v>
      </c>
      <c r="G27" s="41">
        <v>65</v>
      </c>
      <c r="H27" s="41">
        <v>1519</v>
      </c>
      <c r="I27" s="41">
        <v>85</v>
      </c>
      <c r="J27" s="41">
        <v>352</v>
      </c>
      <c r="K27" s="42">
        <v>35</v>
      </c>
      <c r="L27" s="42">
        <v>80</v>
      </c>
      <c r="M27" s="42">
        <v>1340</v>
      </c>
      <c r="N27" s="39">
        <v>85</v>
      </c>
      <c r="O27" s="39">
        <v>78</v>
      </c>
      <c r="P27" s="39">
        <v>85</v>
      </c>
      <c r="Q27" s="39">
        <v>3841</v>
      </c>
      <c r="R27" s="78">
        <v>70</v>
      </c>
      <c r="S27" s="78">
        <v>197</v>
      </c>
      <c r="T27">
        <f t="shared" si="0"/>
        <v>0</v>
      </c>
    </row>
    <row r="28" spans="1:20" x14ac:dyDescent="0.25">
      <c r="A28" s="73">
        <v>44368</v>
      </c>
      <c r="B28" s="40">
        <v>0</v>
      </c>
      <c r="C28" s="40">
        <v>8</v>
      </c>
      <c r="D28" s="40">
        <v>25</v>
      </c>
      <c r="E28" s="41">
        <v>85</v>
      </c>
      <c r="F28" s="41">
        <v>5330</v>
      </c>
      <c r="G28" s="41">
        <v>55</v>
      </c>
      <c r="H28" s="41">
        <v>1521</v>
      </c>
      <c r="I28" s="41">
        <v>85</v>
      </c>
      <c r="J28" s="41">
        <v>352</v>
      </c>
      <c r="K28" s="42">
        <v>30</v>
      </c>
      <c r="L28" s="42">
        <v>80</v>
      </c>
      <c r="M28" s="42">
        <v>1342</v>
      </c>
      <c r="N28" s="39">
        <v>85</v>
      </c>
      <c r="O28" s="39">
        <v>73</v>
      </c>
      <c r="P28" s="39">
        <v>85</v>
      </c>
      <c r="Q28" s="39">
        <v>3846</v>
      </c>
      <c r="R28" s="78">
        <v>70</v>
      </c>
      <c r="S28" s="78">
        <v>197</v>
      </c>
      <c r="T28">
        <f t="shared" si="0"/>
        <v>0</v>
      </c>
    </row>
    <row r="29" spans="1:20" x14ac:dyDescent="0.25">
      <c r="A29" s="73">
        <v>44369</v>
      </c>
      <c r="B29" s="40">
        <v>0</v>
      </c>
      <c r="C29" s="40">
        <v>8</v>
      </c>
      <c r="D29" s="40">
        <v>25</v>
      </c>
      <c r="E29" s="41">
        <v>85</v>
      </c>
      <c r="F29" s="41">
        <v>5335</v>
      </c>
      <c r="G29" s="41">
        <v>45</v>
      </c>
      <c r="H29" s="41">
        <v>1522</v>
      </c>
      <c r="I29" s="41">
        <v>85</v>
      </c>
      <c r="J29" s="41">
        <v>355</v>
      </c>
      <c r="K29" s="42">
        <v>30</v>
      </c>
      <c r="L29" s="42">
        <v>80</v>
      </c>
      <c r="M29" s="42">
        <v>1342</v>
      </c>
      <c r="N29" s="39">
        <v>85</v>
      </c>
      <c r="O29" s="39">
        <v>70</v>
      </c>
      <c r="P29" s="39">
        <v>85</v>
      </c>
      <c r="Q29" s="39">
        <v>3850</v>
      </c>
      <c r="R29" s="78">
        <v>70</v>
      </c>
      <c r="S29" s="78">
        <v>197</v>
      </c>
      <c r="T29">
        <f t="shared" si="0"/>
        <v>0</v>
      </c>
    </row>
    <row r="30" spans="1:20" x14ac:dyDescent="0.25">
      <c r="A30" s="73">
        <v>44370</v>
      </c>
      <c r="B30" s="40">
        <v>0</v>
      </c>
      <c r="C30" s="40">
        <v>8</v>
      </c>
      <c r="D30" s="40">
        <v>25</v>
      </c>
      <c r="E30" s="41">
        <v>85</v>
      </c>
      <c r="F30" s="41">
        <v>5340</v>
      </c>
      <c r="G30" s="41">
        <v>35</v>
      </c>
      <c r="H30" s="41">
        <v>1524</v>
      </c>
      <c r="I30" s="41">
        <v>85</v>
      </c>
      <c r="J30" s="41">
        <v>356</v>
      </c>
      <c r="K30" s="42">
        <v>30</v>
      </c>
      <c r="L30" s="42">
        <v>80</v>
      </c>
      <c r="M30" s="42">
        <v>1343</v>
      </c>
      <c r="N30" s="39">
        <v>85</v>
      </c>
      <c r="O30" s="39">
        <v>65</v>
      </c>
      <c r="P30" s="39">
        <v>85</v>
      </c>
      <c r="Q30" s="39">
        <v>3853</v>
      </c>
      <c r="R30" s="78">
        <v>70</v>
      </c>
      <c r="S30" s="78">
        <v>197</v>
      </c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8</v>
      </c>
      <c r="D31" s="40">
        <v>25</v>
      </c>
      <c r="E31" s="41">
        <v>85</v>
      </c>
      <c r="F31" s="41">
        <v>5345</v>
      </c>
      <c r="G31" s="41">
        <v>30</v>
      </c>
      <c r="H31" s="41">
        <v>1525</v>
      </c>
      <c r="I31" s="41">
        <v>85</v>
      </c>
      <c r="J31" s="41">
        <v>356</v>
      </c>
      <c r="K31" s="42">
        <v>30</v>
      </c>
      <c r="L31" s="42">
        <v>80</v>
      </c>
      <c r="M31" s="42">
        <v>1343</v>
      </c>
      <c r="N31" s="39">
        <v>85</v>
      </c>
      <c r="O31" s="39">
        <v>60</v>
      </c>
      <c r="P31" s="39">
        <v>85</v>
      </c>
      <c r="Q31" s="39">
        <v>3857</v>
      </c>
      <c r="R31" s="78">
        <v>70</v>
      </c>
      <c r="S31" s="78">
        <v>197</v>
      </c>
      <c r="T31">
        <f t="shared" si="0"/>
        <v>0</v>
      </c>
    </row>
    <row r="32" spans="1:20" x14ac:dyDescent="0.25">
      <c r="A32" s="73">
        <v>44372</v>
      </c>
      <c r="B32" s="40">
        <v>0</v>
      </c>
      <c r="C32" s="40">
        <v>9</v>
      </c>
      <c r="D32" s="40">
        <v>26</v>
      </c>
      <c r="E32" s="41">
        <v>85</v>
      </c>
      <c r="F32" s="41">
        <v>5349</v>
      </c>
      <c r="G32" s="41">
        <v>15</v>
      </c>
      <c r="H32" s="41">
        <v>1526</v>
      </c>
      <c r="I32" s="41">
        <v>85</v>
      </c>
      <c r="J32" s="41">
        <v>357</v>
      </c>
      <c r="K32" s="42">
        <v>25</v>
      </c>
      <c r="L32" s="42">
        <v>80</v>
      </c>
      <c r="M32" s="42">
        <v>1344</v>
      </c>
      <c r="N32" s="39">
        <v>85</v>
      </c>
      <c r="O32" s="39">
        <v>55</v>
      </c>
      <c r="P32" s="39">
        <v>85</v>
      </c>
      <c r="Q32" s="39">
        <v>3860</v>
      </c>
      <c r="R32" s="78">
        <v>70</v>
      </c>
      <c r="S32" s="78">
        <v>198</v>
      </c>
      <c r="T32">
        <f t="shared" si="0"/>
        <v>1</v>
      </c>
    </row>
    <row r="33" spans="1:20" x14ac:dyDescent="0.25">
      <c r="A33" s="73">
        <v>44373</v>
      </c>
      <c r="B33" s="40">
        <v>0</v>
      </c>
      <c r="C33" s="40">
        <v>9</v>
      </c>
      <c r="D33" s="40">
        <v>22</v>
      </c>
      <c r="E33" s="41">
        <v>85</v>
      </c>
      <c r="F33" s="41">
        <v>5355</v>
      </c>
      <c r="G33" s="41">
        <v>80</v>
      </c>
      <c r="H33" s="41">
        <v>1528</v>
      </c>
      <c r="I33" s="41">
        <v>85</v>
      </c>
      <c r="J33" s="41">
        <v>358</v>
      </c>
      <c r="K33" s="42">
        <v>85</v>
      </c>
      <c r="L33" s="42">
        <v>80</v>
      </c>
      <c r="M33" s="42">
        <v>1344</v>
      </c>
      <c r="N33" s="39">
        <v>85</v>
      </c>
      <c r="O33" s="39">
        <v>85</v>
      </c>
      <c r="P33" s="39">
        <v>85</v>
      </c>
      <c r="Q33" s="39">
        <v>3865</v>
      </c>
      <c r="R33" s="78">
        <v>70</v>
      </c>
      <c r="S33" s="78">
        <v>198</v>
      </c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9</v>
      </c>
      <c r="D34" s="40">
        <v>25</v>
      </c>
      <c r="E34" s="41">
        <v>85</v>
      </c>
      <c r="F34" s="41">
        <v>5360</v>
      </c>
      <c r="G34" s="41">
        <v>70</v>
      </c>
      <c r="H34" s="41">
        <v>1531</v>
      </c>
      <c r="I34" s="41">
        <v>85</v>
      </c>
      <c r="J34" s="41">
        <v>359</v>
      </c>
      <c r="K34" s="42">
        <v>85</v>
      </c>
      <c r="L34" s="42">
        <v>80</v>
      </c>
      <c r="M34" s="42">
        <v>1346</v>
      </c>
      <c r="N34" s="39">
        <v>85</v>
      </c>
      <c r="O34" s="39">
        <v>80</v>
      </c>
      <c r="P34" s="39">
        <v>85</v>
      </c>
      <c r="Q34" s="39">
        <v>3870</v>
      </c>
      <c r="R34" s="78">
        <v>70</v>
      </c>
      <c r="S34" s="78">
        <v>198</v>
      </c>
      <c r="T34">
        <f t="shared" si="0"/>
        <v>0</v>
      </c>
    </row>
    <row r="35" spans="1:20" x14ac:dyDescent="0.25">
      <c r="A35" s="73">
        <v>44375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-198</v>
      </c>
    </row>
    <row r="36" spans="1:20" x14ac:dyDescent="0.25">
      <c r="A36" s="73">
        <v>44376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2021-06-28T19:04:44Z</dcterms:modified>
</cp:coreProperties>
</file>