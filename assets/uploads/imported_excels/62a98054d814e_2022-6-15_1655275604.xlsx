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8" i="3" l="1"/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>
  <authors>
    <author>Ilker Sark</author>
  </authors>
  <commentList>
    <comment ref="F168" authorId="0" shapeId="0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<sst xmlns="http://schemas.openxmlformats.org/spreadsheetml/2006/main" count="606" uniqueCount="76">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</sst>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43" workbookViewId="0">
      <selection activeCell="R162" sqref="R16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32">
        <v>2.13</v>
      </c>
      <c r="G148" s="4">
        <f>'Gas Water'!M151</f>
        <v>2141</v>
      </c>
      <c r="H148" s="132">
        <v>12.75</v>
      </c>
      <c r="I148" s="2">
        <f>'Gas Water'!L151</f>
        <v>354</v>
      </c>
      <c r="J148" s="132">
        <v>22.4</v>
      </c>
      <c r="K148" s="5">
        <v>164</v>
      </c>
      <c r="L148" s="5">
        <v>306</v>
      </c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32">
        <v>2.13</v>
      </c>
      <c r="G149" s="4">
        <f>'Gas Water'!M152</f>
        <v>2165</v>
      </c>
      <c r="H149" s="132">
        <v>12.75</v>
      </c>
      <c r="I149" s="2">
        <f>'Gas Water'!L152</f>
        <v>301</v>
      </c>
      <c r="J149" s="132">
        <v>22.4</v>
      </c>
      <c r="K149" s="5">
        <v>155</v>
      </c>
      <c r="L149" s="5">
        <v>285</v>
      </c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32">
        <v>2.13</v>
      </c>
      <c r="G150" s="4">
        <f>'Gas Water'!M153</f>
        <v>2038</v>
      </c>
      <c r="H150" s="132">
        <v>12.75</v>
      </c>
      <c r="I150" s="2">
        <f>'Gas Water'!L153</f>
        <v>298</v>
      </c>
      <c r="J150" s="132">
        <v>22.4</v>
      </c>
      <c r="K150" s="5">
        <v>136</v>
      </c>
      <c r="L150" s="5">
        <v>226</v>
      </c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32">
        <v>2.13</v>
      </c>
      <c r="G151" s="4">
        <f>'Gas Water'!M154</f>
        <v>2065</v>
      </c>
      <c r="H151" s="132">
        <v>12.75</v>
      </c>
      <c r="I151" s="2">
        <f>'Gas Water'!L154</f>
        <v>299</v>
      </c>
      <c r="J151" s="132">
        <v>22.4</v>
      </c>
      <c r="K151" s="5">
        <v>147</v>
      </c>
      <c r="L151" s="5">
        <v>240</v>
      </c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32">
        <v>2.13</v>
      </c>
      <c r="G152" s="4">
        <f>'Gas Water'!M155</f>
        <v>2056</v>
      </c>
      <c r="H152" s="132">
        <v>12.75</v>
      </c>
      <c r="I152" s="2">
        <f>'Gas Water'!L155</f>
        <v>375</v>
      </c>
      <c r="J152" s="132">
        <v>22.4</v>
      </c>
      <c r="K152" s="5">
        <v>116</v>
      </c>
      <c r="L152" s="5">
        <v>194</v>
      </c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32">
        <v>2.4300000000000002</v>
      </c>
      <c r="G153" s="4">
        <f>'Gas Water'!M156</f>
        <v>2104</v>
      </c>
      <c r="H153" s="132">
        <v>16.5</v>
      </c>
      <c r="I153" s="2">
        <f>'Gas Water'!L156</f>
        <v>357</v>
      </c>
      <c r="J153" s="132">
        <v>22.4</v>
      </c>
      <c r="K153" s="5">
        <v>137</v>
      </c>
      <c r="L153" s="5">
        <v>235</v>
      </c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32">
        <v>2.4300000000000002</v>
      </c>
      <c r="G154" s="4">
        <f>'Gas Water'!M157</f>
        <v>2090</v>
      </c>
      <c r="H154" s="132">
        <v>16.5</v>
      </c>
      <c r="I154" s="2">
        <f>'Gas Water'!L157</f>
        <v>334</v>
      </c>
      <c r="J154" s="132">
        <v>22.4</v>
      </c>
      <c r="K154" s="5">
        <v>159</v>
      </c>
      <c r="L154" s="5">
        <v>275</v>
      </c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32">
        <v>2.4300000000000002</v>
      </c>
      <c r="G155" s="4">
        <f>'Gas Water'!M158</f>
        <v>2199</v>
      </c>
      <c r="H155" s="132">
        <v>16.5</v>
      </c>
      <c r="I155" s="2">
        <f>'Gas Water'!L158</f>
        <v>357</v>
      </c>
      <c r="J155" s="132">
        <v>22.4</v>
      </c>
      <c r="K155" s="5">
        <v>155</v>
      </c>
      <c r="L155" s="5">
        <v>284</v>
      </c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32">
        <v>2.4300000000000002</v>
      </c>
      <c r="G156" s="4">
        <f>'Gas Water'!M159</f>
        <v>1989</v>
      </c>
      <c r="H156" s="132">
        <v>16.5</v>
      </c>
      <c r="I156" s="2">
        <f>'Gas Water'!L159</f>
        <v>310</v>
      </c>
      <c r="J156" s="132">
        <v>22.4</v>
      </c>
      <c r="K156" s="5">
        <v>157</v>
      </c>
      <c r="L156" s="5">
        <v>291</v>
      </c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32">
        <v>2.4300000000000002</v>
      </c>
      <c r="G157" s="4">
        <f>'Gas Water'!M160</f>
        <v>1883</v>
      </c>
      <c r="H157" s="132">
        <v>16.5</v>
      </c>
      <c r="I157" s="2">
        <f>'Gas Water'!L160</f>
        <v>325</v>
      </c>
      <c r="J157" s="132">
        <v>22.4</v>
      </c>
      <c r="K157" s="5">
        <v>126</v>
      </c>
      <c r="L157" s="5">
        <v>223</v>
      </c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32">
        <v>2.4300000000000002</v>
      </c>
      <c r="G158" s="4">
        <f>'Gas Water'!M161</f>
        <v>2207</v>
      </c>
      <c r="H158" s="132">
        <v>16.5</v>
      </c>
      <c r="I158" s="2">
        <f>'Gas Water'!L161</f>
        <v>359</v>
      </c>
      <c r="J158" s="132">
        <v>22.4</v>
      </c>
      <c r="K158" s="5">
        <v>147</v>
      </c>
      <c r="L158" s="5">
        <v>261</v>
      </c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32">
        <v>2.4300000000000002</v>
      </c>
      <c r="G159" s="4">
        <f>'Gas Water'!M162</f>
        <v>2211</v>
      </c>
      <c r="H159" s="132">
        <v>16.5</v>
      </c>
      <c r="I159" s="2">
        <f>'Gas Water'!L162</f>
        <v>348</v>
      </c>
      <c r="J159" s="132">
        <v>22.4</v>
      </c>
      <c r="K159" s="5">
        <v>149</v>
      </c>
      <c r="L159" s="5">
        <v>286</v>
      </c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32">
        <v>2.4300000000000002</v>
      </c>
      <c r="G160" s="4">
        <f>'Gas Water'!M163</f>
        <v>1972</v>
      </c>
      <c r="H160" s="132">
        <v>16.5</v>
      </c>
      <c r="I160" s="2">
        <f>'Gas Water'!L163</f>
        <v>312</v>
      </c>
      <c r="J160" s="132">
        <v>22.4</v>
      </c>
      <c r="K160" s="5">
        <v>134</v>
      </c>
      <c r="L160" s="5">
        <v>243</v>
      </c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32">
        <v>2.4300000000000002</v>
      </c>
      <c r="G161" s="4">
        <f>'Gas Water'!M164</f>
        <v>2167</v>
      </c>
      <c r="H161" s="132">
        <v>16.5</v>
      </c>
      <c r="I161" s="2">
        <f>'Gas Water'!L164</f>
        <v>340</v>
      </c>
      <c r="J161" s="132">
        <v>22.4</v>
      </c>
      <c r="K161" s="5">
        <v>135</v>
      </c>
      <c r="L161" s="5">
        <v>272</v>
      </c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32">
        <v>2.4300000000000002</v>
      </c>
      <c r="G162" s="4">
        <f>'Gas Water'!M165</f>
        <v>1791</v>
      </c>
      <c r="H162" s="132">
        <v>16.5</v>
      </c>
      <c r="I162" s="2">
        <f>'Gas Water'!L165</f>
        <v>305</v>
      </c>
      <c r="J162" s="132">
        <v>22.4</v>
      </c>
      <c r="K162" s="5">
        <v>143</v>
      </c>
      <c r="L162" s="5">
        <v>292</v>
      </c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32">
        <v>2.4300000000000002</v>
      </c>
      <c r="G163" s="4">
        <f>'Gas Water'!M166</f>
        <v>2018</v>
      </c>
      <c r="H163" s="132">
        <v>16.5</v>
      </c>
      <c r="I163" s="2">
        <f>'Gas Water'!L166</f>
        <v>279</v>
      </c>
      <c r="J163" s="132">
        <v>22.4</v>
      </c>
      <c r="K163" s="5">
        <v>153</v>
      </c>
      <c r="L163" s="5">
        <v>311</v>
      </c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32">
        <v>2.4300000000000002</v>
      </c>
      <c r="G164" s="4">
        <f>'Gas Water'!M167</f>
        <v>1875</v>
      </c>
      <c r="H164" s="132">
        <v>16.5</v>
      </c>
      <c r="I164" s="2">
        <f>'Gas Water'!L167</f>
        <v>294</v>
      </c>
      <c r="J164" s="132">
        <v>22.4</v>
      </c>
      <c r="K164" s="5">
        <v>147</v>
      </c>
      <c r="L164" s="5">
        <v>273</v>
      </c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32">
        <v>2.4300000000000002</v>
      </c>
      <c r="G165" s="4">
        <f>'Gas Water'!M168</f>
        <v>1967</v>
      </c>
      <c r="H165" s="132">
        <v>16.5</v>
      </c>
      <c r="I165" s="2">
        <f>'Gas Water'!L168</f>
        <v>271</v>
      </c>
      <c r="J165" s="132">
        <v>22.4</v>
      </c>
      <c r="K165" s="5">
        <v>145</v>
      </c>
      <c r="L165" s="5">
        <v>261</v>
      </c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32">
        <v>2.4300000000000002</v>
      </c>
      <c r="G166" s="4">
        <f>'Gas Water'!M169</f>
        <v>1704</v>
      </c>
      <c r="H166" s="132">
        <v>16.5</v>
      </c>
      <c r="I166" s="2">
        <f>'Gas Water'!L169</f>
        <v>271</v>
      </c>
      <c r="J166" s="132">
        <v>22.4</v>
      </c>
      <c r="K166" s="5">
        <v>138</v>
      </c>
      <c r="L166" s="5">
        <v>249</v>
      </c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42" workbookViewId="0">
      <selection activeCell="K170" sqref="K170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4" t="s">
        <v>50</v>
      </c>
      <c r="Q21" s="165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66"/>
      <c r="Q22" s="167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4" t="s">
        <v>62</v>
      </c>
      <c r="Q49" s="165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66"/>
      <c r="Q50" s="167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4" t="s">
        <v>65</v>
      </c>
      <c r="Q81" s="165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66"/>
      <c r="Q82" s="167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4" t="s">
        <v>66</v>
      </c>
      <c r="Q111" s="165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66"/>
      <c r="Q112" s="167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4" t="s">
        <v>67</v>
      </c>
      <c r="Q142" s="165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66"/>
      <c r="Q143" s="167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2.2589995788221948E-2</v>
      </c>
      <c r="Q145" s="66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>
        <v>0.14199999999999999</v>
      </c>
      <c r="E150" s="137">
        <v>2710.3879999999999</v>
      </c>
      <c r="F150" s="138">
        <v>77.92</v>
      </c>
      <c r="G150" s="56"/>
      <c r="H150" s="56">
        <v>4140</v>
      </c>
      <c r="I150" s="56">
        <f t="shared" si="75"/>
        <v>31861.439999999639</v>
      </c>
      <c r="J150" s="56">
        <f t="shared" si="75"/>
        <v>939.780000000016</v>
      </c>
      <c r="K150" s="57">
        <f t="shared" si="72"/>
        <v>2.9495841995842834E-2</v>
      </c>
      <c r="L150" s="56">
        <f t="shared" si="73"/>
        <v>939.780000000016</v>
      </c>
      <c r="M150" s="57">
        <f t="shared" si="74"/>
        <v>2.9495841995842834E-2</v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>
        <v>0.14199999999999999</v>
      </c>
      <c r="E151" s="137">
        <v>2717.9549999999999</v>
      </c>
      <c r="F151" s="138">
        <v>78.165999999999997</v>
      </c>
      <c r="G151" s="56"/>
      <c r="H151" s="56">
        <v>4140</v>
      </c>
      <c r="I151" s="56">
        <f t="shared" si="75"/>
        <v>31327.38000000003</v>
      </c>
      <c r="J151" s="56">
        <f t="shared" si="75"/>
        <v>1018.4399999999798</v>
      </c>
      <c r="K151" s="57">
        <f t="shared" si="72"/>
        <v>3.2509581075722861E-2</v>
      </c>
      <c r="L151" s="56">
        <f t="shared" si="73"/>
        <v>1018.4399999999798</v>
      </c>
      <c r="M151" s="57">
        <f t="shared" si="74"/>
        <v>3.2509581075722861E-2</v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>
        <v>0.14199999999999999</v>
      </c>
      <c r="E152" s="137">
        <v>2726.1669999999999</v>
      </c>
      <c r="F152" s="138">
        <v>78.474999999999994</v>
      </c>
      <c r="G152" s="56"/>
      <c r="H152" s="56">
        <v>4140</v>
      </c>
      <c r="I152" s="56">
        <f t="shared" si="75"/>
        <v>33997.679999999957</v>
      </c>
      <c r="J152" s="56">
        <f t="shared" si="75"/>
        <v>1279.2599999999898</v>
      </c>
      <c r="K152" s="57">
        <f t="shared" si="72"/>
        <v>3.7627861665854592E-2</v>
      </c>
      <c r="L152" s="56">
        <f t="shared" si="73"/>
        <v>1279.2599999999898</v>
      </c>
      <c r="M152" s="57">
        <f t="shared" si="74"/>
        <v>3.7627861665854592E-2</v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>
        <v>0.14199999999999999</v>
      </c>
      <c r="E153" s="137">
        <v>2734.65</v>
      </c>
      <c r="F153" s="138">
        <v>78.778000000000006</v>
      </c>
      <c r="G153" s="56"/>
      <c r="H153" s="56">
        <v>4140</v>
      </c>
      <c r="I153" s="56">
        <f t="shared" si="75"/>
        <v>35119.620000000723</v>
      </c>
      <c r="J153" s="56">
        <f t="shared" si="75"/>
        <v>1254.4200000000476</v>
      </c>
      <c r="K153" s="57">
        <f t="shared" si="72"/>
        <v>3.5718495815160352E-2</v>
      </c>
      <c r="L153" s="56">
        <f t="shared" si="73"/>
        <v>1254.4200000000476</v>
      </c>
      <c r="M153" s="57">
        <f t="shared" si="74"/>
        <v>3.5718495815160352E-2</v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>
        <v>0.14199999999999999</v>
      </c>
      <c r="E154" s="137">
        <v>2743.3589999999999</v>
      </c>
      <c r="F154" s="138">
        <v>78.998000000000005</v>
      </c>
      <c r="G154" s="81"/>
      <c r="H154" s="56">
        <v>4140</v>
      </c>
      <c r="I154" s="56">
        <f t="shared" si="75"/>
        <v>36055.259999999311</v>
      </c>
      <c r="J154" s="56">
        <f t="shared" si="75"/>
        <v>910.79999999999529</v>
      </c>
      <c r="K154" s="57">
        <f t="shared" si="72"/>
        <v>2.5261224021127921E-2</v>
      </c>
      <c r="L154" s="56">
        <f t="shared" si="73"/>
        <v>910.79999999999529</v>
      </c>
      <c r="M154" s="57">
        <f t="shared" si="74"/>
        <v>2.5261224021127921E-2</v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>
        <v>0.14199999999999999</v>
      </c>
      <c r="E155" s="137">
        <v>2752.1060000000002</v>
      </c>
      <c r="F155" s="138">
        <v>79.328999999999994</v>
      </c>
      <c r="G155" s="56"/>
      <c r="H155" s="56">
        <v>4140</v>
      </c>
      <c r="I155" s="56">
        <f t="shared" si="75"/>
        <v>36212.580000001239</v>
      </c>
      <c r="J155" s="56">
        <f t="shared" si="75"/>
        <v>1370.3399999999538</v>
      </c>
      <c r="K155" s="57">
        <f t="shared" si="72"/>
        <v>3.7841545672799536E-2</v>
      </c>
      <c r="L155" s="56">
        <f t="shared" si="73"/>
        <v>1370.3399999999538</v>
      </c>
      <c r="M155" s="57">
        <f t="shared" si="74"/>
        <v>3.7841545672799536E-2</v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>
        <v>0.14199999999999999</v>
      </c>
      <c r="E156" s="137">
        <v>2760.09</v>
      </c>
      <c r="F156" s="138">
        <v>79.616</v>
      </c>
      <c r="G156" s="56"/>
      <c r="H156" s="56">
        <v>4140</v>
      </c>
      <c r="I156" s="56">
        <f t="shared" si="75"/>
        <v>33053.759999999682</v>
      </c>
      <c r="J156" s="56">
        <f t="shared" si="75"/>
        <v>1188.1800000000253</v>
      </c>
      <c r="K156" s="57">
        <f t="shared" si="72"/>
        <v>3.5946893787576262E-2</v>
      </c>
      <c r="L156" s="56">
        <f t="shared" si="73"/>
        <v>1188.1800000000253</v>
      </c>
      <c r="M156" s="57">
        <f t="shared" si="74"/>
        <v>3.5946893787576262E-2</v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>
        <v>0.14199999999999999</v>
      </c>
      <c r="E157" s="137">
        <v>2769.1779999999999</v>
      </c>
      <c r="F157" s="138">
        <v>79.954999999999998</v>
      </c>
      <c r="G157" s="56"/>
      <c r="H157" s="56">
        <v>4140</v>
      </c>
      <c r="I157" s="56">
        <f t="shared" si="75"/>
        <v>37624.319999998916</v>
      </c>
      <c r="J157" s="56">
        <f t="shared" si="75"/>
        <v>1403.4599999999944</v>
      </c>
      <c r="K157" s="57">
        <f t="shared" si="72"/>
        <v>3.7301936619719235E-2</v>
      </c>
      <c r="L157" s="56">
        <f t="shared" si="73"/>
        <v>1403.4599999999944</v>
      </c>
      <c r="M157" s="57">
        <f t="shared" si="74"/>
        <v>3.7301936619719235E-2</v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>
        <v>0.14199999999999999</v>
      </c>
      <c r="E158" s="137">
        <v>2778.098</v>
      </c>
      <c r="F158" s="138">
        <v>80.293999999999997</v>
      </c>
      <c r="G158" s="56"/>
      <c r="H158" s="56">
        <v>4140</v>
      </c>
      <c r="I158" s="56">
        <f t="shared" si="75"/>
        <v>36928.800000000301</v>
      </c>
      <c r="J158" s="56">
        <f t="shared" si="75"/>
        <v>1403.4599999999944</v>
      </c>
      <c r="K158" s="57">
        <f t="shared" si="72"/>
        <v>3.8004484304932272E-2</v>
      </c>
      <c r="L158" s="56">
        <f t="shared" si="73"/>
        <v>1403.4599999999944</v>
      </c>
      <c r="M158" s="57">
        <f t="shared" si="74"/>
        <v>3.8004484304932272E-2</v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>
        <v>0.14199999999999999</v>
      </c>
      <c r="E159" s="137">
        <v>2786.1439999999998</v>
      </c>
      <c r="F159" s="138">
        <v>80.513999999999996</v>
      </c>
      <c r="G159" s="56"/>
      <c r="H159" s="56">
        <v>4140</v>
      </c>
      <c r="I159" s="56">
        <f t="shared" si="75"/>
        <v>33310.43999999926</v>
      </c>
      <c r="J159" s="56">
        <f t="shared" si="75"/>
        <v>910.79999999999529</v>
      </c>
      <c r="K159" s="57">
        <f t="shared" si="72"/>
        <v>2.7342779020631834E-2</v>
      </c>
      <c r="L159" s="56">
        <f t="shared" si="73"/>
        <v>910.79999999999529</v>
      </c>
      <c r="M159" s="57">
        <f t="shared" si="74"/>
        <v>2.7342779020631834E-2</v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>
        <v>0.14199999999999999</v>
      </c>
      <c r="E160" s="137">
        <v>2794.2750000000001</v>
      </c>
      <c r="F160" s="138">
        <v>80.811999999999998</v>
      </c>
      <c r="G160" s="56"/>
      <c r="H160" s="56">
        <v>4140</v>
      </c>
      <c r="I160" s="56">
        <f t="shared" ref="I160:I235" si="76">IF(D160="","",+(E160-E159)*4140)</f>
        <v>33662.340000001292</v>
      </c>
      <c r="J160" s="56">
        <f t="shared" ref="J160:J235" si="77">IF(E160="","",+(F160-F159)*4140)</f>
        <v>1233.7200000000075</v>
      </c>
      <c r="K160" s="57">
        <f t="shared" si="72"/>
        <v>3.664985856598086E-2</v>
      </c>
      <c r="L160" s="56">
        <f t="shared" si="73"/>
        <v>1233.7200000000075</v>
      </c>
      <c r="M160" s="57">
        <f t="shared" si="74"/>
        <v>3.664985856598086E-2</v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>
        <v>0.14199999999999999</v>
      </c>
      <c r="E161" s="137">
        <v>2802.1109999999999</v>
      </c>
      <c r="F161" s="138">
        <v>81.03</v>
      </c>
      <c r="G161" s="56"/>
      <c r="H161" s="56">
        <v>4140</v>
      </c>
      <c r="I161" s="56">
        <f t="shared" si="76"/>
        <v>32441.039999999113</v>
      </c>
      <c r="J161" s="56">
        <f t="shared" si="77"/>
        <v>902.52000000001453</v>
      </c>
      <c r="K161" s="57">
        <f t="shared" si="72"/>
        <v>2.7820316488005294E-2</v>
      </c>
      <c r="L161" s="56">
        <f t="shared" si="73"/>
        <v>902.52000000001453</v>
      </c>
      <c r="M161" s="57">
        <f t="shared" si="74"/>
        <v>2.7820316488005294E-2</v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>
        <v>0.14199999999999999</v>
      </c>
      <c r="E162" s="137">
        <v>2809.7660000000001</v>
      </c>
      <c r="F162" s="138">
        <v>81.334000000000003</v>
      </c>
      <c r="G162" s="56"/>
      <c r="H162" s="56">
        <v>4140</v>
      </c>
      <c r="I162" s="56">
        <f t="shared" si="76"/>
        <v>31691.700000000827</v>
      </c>
      <c r="J162" s="56">
        <f t="shared" si="77"/>
        <v>1258.5600000000086</v>
      </c>
      <c r="K162" s="57">
        <f t="shared" si="72"/>
        <v>3.971260613977716E-2</v>
      </c>
      <c r="L162" s="56">
        <f t="shared" si="73"/>
        <v>1258.5600000000086</v>
      </c>
      <c r="M162" s="57">
        <f t="shared" si="74"/>
        <v>3.971260613977716E-2</v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>
        <v>0.14199999999999999</v>
      </c>
      <c r="E163" s="137">
        <v>2818.3829999999998</v>
      </c>
      <c r="F163" s="138">
        <v>81.548000000000002</v>
      </c>
      <c r="G163" s="56"/>
      <c r="H163" s="56">
        <v>4140</v>
      </c>
      <c r="I163" s="56">
        <f t="shared" si="76"/>
        <v>35674.379999998899</v>
      </c>
      <c r="J163" s="56">
        <f t="shared" si="77"/>
        <v>885.95999999999435</v>
      </c>
      <c r="K163" s="57">
        <f t="shared" si="72"/>
        <v>2.4834629221307327E-2</v>
      </c>
      <c r="L163" s="56">
        <f t="shared" si="73"/>
        <v>885.95999999999435</v>
      </c>
      <c r="M163" s="57">
        <f t="shared" si="74"/>
        <v>2.4834629221307327E-2</v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>
        <v>0.14199999999999999</v>
      </c>
      <c r="E164" s="137">
        <v>2826.4259999999999</v>
      </c>
      <c r="F164" s="138">
        <v>81.813999999999993</v>
      </c>
      <c r="G164" s="56"/>
      <c r="H164" s="56">
        <v>4140</v>
      </c>
      <c r="I164" s="56">
        <f t="shared" si="76"/>
        <v>33298.020000000499</v>
      </c>
      <c r="J164" s="56">
        <f t="shared" si="77"/>
        <v>1101.2399999999634</v>
      </c>
      <c r="K164" s="57">
        <f t="shared" si="72"/>
        <v>3.3072236727587613E-2</v>
      </c>
      <c r="L164" s="56">
        <f t="shared" si="73"/>
        <v>1101.2399999999634</v>
      </c>
      <c r="M164" s="57">
        <f t="shared" si="74"/>
        <v>3.3072236727587613E-2</v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>
        <v>0.14199999999999999</v>
      </c>
      <c r="E165" s="137">
        <v>2834.4360000000001</v>
      </c>
      <c r="F165" s="138">
        <v>82.046000000000006</v>
      </c>
      <c r="G165" s="56"/>
      <c r="H165" s="56">
        <v>4140</v>
      </c>
      <c r="I165" s="56">
        <f t="shared" si="76"/>
        <v>33161.400000000904</v>
      </c>
      <c r="J165" s="56">
        <f t="shared" si="77"/>
        <v>960.48000000005595</v>
      </c>
      <c r="K165" s="57">
        <f t="shared" si="72"/>
        <v>2.8963795255930985E-2</v>
      </c>
      <c r="L165" s="56">
        <f t="shared" si="73"/>
        <v>960.48000000005595</v>
      </c>
      <c r="M165" s="57">
        <f t="shared" si="74"/>
        <v>2.8963795255930985E-2</v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>
        <v>0.14199999999999999</v>
      </c>
      <c r="E166" s="137">
        <v>2842.1860000000001</v>
      </c>
      <c r="F166" s="138">
        <v>82.296000000000006</v>
      </c>
      <c r="G166" s="56"/>
      <c r="H166" s="56">
        <v>4140</v>
      </c>
      <c r="I166" s="56">
        <f t="shared" si="76"/>
        <v>32085</v>
      </c>
      <c r="J166" s="56">
        <f t="shared" si="77"/>
        <v>1035</v>
      </c>
      <c r="K166" s="57">
        <f t="shared" si="72"/>
        <v>3.2258064516129031E-2</v>
      </c>
      <c r="L166" s="56">
        <f t="shared" si="73"/>
        <v>1035</v>
      </c>
      <c r="M166" s="57">
        <f t="shared" si="74"/>
        <v>3.2258064516129031E-2</v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>
        <v>0.14199999999999999</v>
      </c>
      <c r="E167" s="137">
        <v>2850.9740000000002</v>
      </c>
      <c r="F167" s="138">
        <v>82.555000000000007</v>
      </c>
      <c r="G167" s="56"/>
      <c r="H167" s="56">
        <v>4140</v>
      </c>
      <c r="I167" s="56">
        <f t="shared" si="76"/>
        <v>36382.320000000043</v>
      </c>
      <c r="J167" s="56">
        <f t="shared" si="77"/>
        <v>1072.2600000000014</v>
      </c>
      <c r="K167" s="57">
        <f t="shared" si="72"/>
        <v>2.9472007282658173E-2</v>
      </c>
      <c r="L167" s="56">
        <f t="shared" si="73"/>
        <v>1072.2600000000014</v>
      </c>
      <c r="M167" s="57">
        <f t="shared" si="74"/>
        <v>2.9472007282658173E-2</v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>
        <v>0.14199999999999999</v>
      </c>
      <c r="E168" s="137">
        <v>2859.0430000000001</v>
      </c>
      <c r="F168" s="138">
        <v>82.807000000000002</v>
      </c>
      <c r="G168" s="56"/>
      <c r="H168" s="56">
        <v>4140</v>
      </c>
      <c r="I168" s="56">
        <f t="shared" si="76"/>
        <v>33405.659999999836</v>
      </c>
      <c r="J168" s="56">
        <f t="shared" si="77"/>
        <v>1043.2799999999806</v>
      </c>
      <c r="K168" s="57">
        <f t="shared" si="72"/>
        <v>3.1230635766513391E-2</v>
      </c>
      <c r="L168" s="56">
        <f t="shared" si="73"/>
        <v>1043.2799999999806</v>
      </c>
      <c r="M168" s="57">
        <f t="shared" si="74"/>
        <v>3.1230635766513391E-2</v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4" t="s">
        <v>68</v>
      </c>
      <c r="Q172" s="165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66"/>
      <c r="Q173" s="167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3.2925901593997366E-2</v>
      </c>
      <c r="Q175" s="66">
        <f>IF(L155="",0,+SUM(L155:L184)/SUM(I155:I184))</f>
        <v>3.2925901593997366E-2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 t="e">
        <f>IF(J155="",0,+(+(LOOKUP(9.99999999999999E+307,E155:E184)-E154))/(+(LOOKUP(9.99999999999999E+307,D155:D184)-D154)))</f>
        <v>#DIV/0!</v>
      </c>
      <c r="Q176" s="67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68" t="s">
        <v>69</v>
      </c>
      <c r="Q203" s="169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66"/>
      <c r="Q204" s="167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68" t="s">
        <v>70</v>
      </c>
      <c r="Q234" s="169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66"/>
      <c r="Q235" s="167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4" t="s">
        <v>71</v>
      </c>
      <c r="Q264" s="165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66"/>
      <c r="Q265" s="167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4" t="s">
        <v>73</v>
      </c>
      <c r="Q295" s="165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66"/>
      <c r="Q296" s="167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4" t="s">
        <v>74</v>
      </c>
      <c r="Q325" s="165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66"/>
      <c r="Q326" s="167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4" t="s">
        <v>75</v>
      </c>
      <c r="Q356" s="165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66"/>
      <c r="Q357" s="167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97:K65173">
    <cfRule type="cellIs" dxfId="7" priority="10" stopIfTrue="1" operator="between">
      <formula>0.2</formula>
      <formula>100</formula>
    </cfRule>
  </conditionalFormatting>
  <conditionalFormatting sqref="M2 M97:M65173">
    <cfRule type="cellIs" dxfId="6" priority="11" stopIfTrue="1" operator="between">
      <formula>0.15</formula>
      <formula>100</formula>
    </cfRule>
  </conditionalFormatting>
  <conditionalFormatting sqref="K3">
    <cfRule type="cellIs" dxfId="5" priority="3" stopIfTrue="1" operator="between">
      <formula>0.2</formula>
      <formula>100</formula>
    </cfRule>
  </conditionalFormatting>
  <conditionalFormatting sqref="M3">
    <cfRule type="cellIs" dxfId="4" priority="4" stopIfTrue="1" operator="between">
      <formula>0.15</formula>
      <formula>100</formula>
    </cfRule>
  </conditionalFormatting>
  <conditionalFormatting sqref="K4:K96">
    <cfRule type="cellIs" dxfId="3" priority="1" stopIfTrue="1" operator="between">
      <formula>0.2</formula>
      <formula>100</formula>
    </cfRule>
  </conditionalFormatting>
  <conditionalFormatting sqref="M4:M96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95"/>
  <sheetViews>
    <sheetView topLeftCell="B130" workbookViewId="0">
      <selection activeCell="O163" sqref="O163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3"/>
      <c r="C1" s="173"/>
      <c r="D1" s="173"/>
      <c r="E1" s="173"/>
      <c r="F1" s="173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70" t="s">
        <v>25</v>
      </c>
      <c r="O25" s="170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71"/>
      <c r="O26" s="171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72"/>
      <c r="O27" s="172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70" t="s">
        <v>27</v>
      </c>
      <c r="O29" s="170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72"/>
      <c r="O30" s="172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70" t="s">
        <v>25</v>
      </c>
      <c r="O53" s="170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71"/>
      <c r="O54" s="171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72"/>
      <c r="O55" s="172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70" t="s">
        <v>27</v>
      </c>
      <c r="O57" s="170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72"/>
      <c r="O58" s="172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70" t="s">
        <v>29</v>
      </c>
      <c r="O60" s="170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72"/>
      <c r="O61" s="172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70" t="s">
        <v>25</v>
      </c>
      <c r="O84" s="170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71"/>
      <c r="O85" s="171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72"/>
      <c r="O86" s="172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70" t="s">
        <v>27</v>
      </c>
      <c r="O88" s="170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72"/>
      <c r="O89" s="172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70" t="s">
        <v>29</v>
      </c>
      <c r="O91" s="170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72"/>
      <c r="O92" s="172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70" t="s">
        <v>25</v>
      </c>
      <c r="O114" s="170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71"/>
      <c r="O115" s="171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72"/>
      <c r="O116" s="172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70" t="s">
        <v>27</v>
      </c>
      <c r="O118" s="170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72"/>
      <c r="O119" s="172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70" t="s">
        <v>25</v>
      </c>
      <c r="O145" s="170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71"/>
      <c r="O146" s="171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72"/>
      <c r="O147" s="172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70" t="s">
        <v>27</v>
      </c>
      <c r="O149" s="170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72"/>
      <c r="O150" s="172"/>
      <c r="Q150" s="19">
        <f>IF(L150="",1,0)</f>
        <v>0</v>
      </c>
    </row>
    <row r="151" spans="2:18" ht="12.95" customHeight="1" thickBot="1" x14ac:dyDescent="0.25">
      <c r="B151" s="21">
        <v>44343</v>
      </c>
      <c r="C151" s="146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 x14ac:dyDescent="0.2">
      <c r="B152" s="21">
        <v>44344</v>
      </c>
      <c r="C152" s="146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 x14ac:dyDescent="0.2">
      <c r="B153" s="21">
        <v>44345</v>
      </c>
      <c r="C153" s="146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 x14ac:dyDescent="0.2">
      <c r="B154" s="21">
        <v>44346</v>
      </c>
      <c r="C154" s="146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 x14ac:dyDescent="0.2">
      <c r="B155" s="21">
        <v>44347</v>
      </c>
      <c r="C155" s="146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 x14ac:dyDescent="0.2">
      <c r="B156" s="21">
        <v>44348</v>
      </c>
      <c r="C156" s="146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 x14ac:dyDescent="0.2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 x14ac:dyDescent="0.2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 x14ac:dyDescent="0.2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 x14ac:dyDescent="0.2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 x14ac:dyDescent="0.2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 x14ac:dyDescent="0.2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 x14ac:dyDescent="0.2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 x14ac:dyDescent="0.2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 x14ac:dyDescent="0.2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 x14ac:dyDescent="0.2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 x14ac:dyDescent="0.2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 x14ac:dyDescent="0.2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26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 x14ac:dyDescent="0.2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70" t="s">
        <v>25</v>
      </c>
      <c r="O175" s="170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71"/>
      <c r="O176" s="171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72"/>
      <c r="O177" s="172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4462</v>
      </c>
      <c r="O178" s="30">
        <f>SUM(M156:M185)</f>
        <v>28177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70" t="s">
        <v>27</v>
      </c>
      <c r="O179" s="170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72"/>
      <c r="O180" s="172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>
        <f>AVERAGE(L156:L185)</f>
        <v>318.71428571428572</v>
      </c>
      <c r="O181" s="30">
        <f>AVERAGE(M156:M185)</f>
        <v>2012.6428571428571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70" t="s">
        <v>25</v>
      </c>
      <c r="O206" s="170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71"/>
      <c r="O207" s="171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72"/>
      <c r="O208" s="172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70" t="s">
        <v>27</v>
      </c>
      <c r="O210" s="170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72"/>
      <c r="O211" s="172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70" t="s">
        <v>25</v>
      </c>
      <c r="O237" s="170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71"/>
      <c r="O238" s="171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72"/>
      <c r="O239" s="172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70" t="s">
        <v>27</v>
      </c>
      <c r="O241" s="170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72"/>
      <c r="O242" s="172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70" t="s">
        <v>25</v>
      </c>
      <c r="O267" s="170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71"/>
      <c r="O268" s="171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72"/>
      <c r="O269" s="172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70" t="s">
        <v>27</v>
      </c>
      <c r="O271" s="170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72"/>
      <c r="O272" s="172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70" t="s">
        <v>25</v>
      </c>
      <c r="O298" s="170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71"/>
      <c r="O299" s="171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72"/>
      <c r="O300" s="172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70" t="s">
        <v>27</v>
      </c>
      <c r="O302" s="170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72"/>
      <c r="O303" s="172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70" t="s">
        <v>25</v>
      </c>
      <c r="O328" s="170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71"/>
      <c r="O329" s="171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72"/>
      <c r="O330" s="172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70" t="s">
        <v>27</v>
      </c>
      <c r="O332" s="170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72"/>
      <c r="O333" s="172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70" t="s">
        <v>25</v>
      </c>
      <c r="O359" s="170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71"/>
      <c r="O360" s="171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72"/>
      <c r="O361" s="172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70" t="s">
        <v>27</v>
      </c>
      <c r="O363" s="170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72"/>
      <c r="O364" s="172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d07fdfd0-8ece-48a6-a46c-61dc91b6cdb1"/>
    <ds:schemaRef ds:uri="http://purl.org/dc/terms/"/>
    <ds:schemaRef ds:uri="http://schemas.openxmlformats.org/package/2006/metadata/core-properties"/>
    <ds:schemaRef ds:uri="http://purl.org/dc/dcmitype/"/>
    <ds:schemaRef ds:uri="d3bc10bb-75bd-4551-a23f-828185d5ce62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EBED28E-7EB1-4939-B257-E9DD061D1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 </vt:lpstr>
      <vt:lpstr>Gas Water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2022-06-15T06:46:04Z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