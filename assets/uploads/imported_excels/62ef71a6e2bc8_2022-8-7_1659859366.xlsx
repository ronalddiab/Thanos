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1E353D5-BF38-4655-831E-9A7DD887016E}" xr6:coauthVersionLast="47" xr6:coauthVersionMax="47" xr10:uidLastSave="{00000000-0000-0000-0000-000000000000}"/>
  <bookViews>
    <workbookView xWindow="-108" yWindow="-108" windowWidth="23256" windowHeight="12456" tabRatio="193" xr2:uid="{00000000-000D-0000-FFFF-FFFF00000000}"/>
  </bookViews>
  <sheets>
    <sheet name="Monthly" sheetId="1" r:id="rId1"/>
    <sheet name="Sheet4" sheetId="6" r:id="rId2"/>
    <sheet name="Sheet3" sheetId="5" r:id="rId3"/>
    <sheet name="Waste" sheetId="7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9" i="7" l="1"/>
  <c r="F18" i="7"/>
  <c r="K10" i="7"/>
  <c r="K9" i="7"/>
  <c r="K8" i="7"/>
  <c r="K7" i="7"/>
  <c r="K6" i="7"/>
  <c r="K5" i="7"/>
  <c r="J5" i="7"/>
  <c r="N54" i="1"/>
  <c r="N53" i="1"/>
  <c r="N52" i="1"/>
  <c r="N55" i="1"/>
  <c r="N56" i="1"/>
  <c r="N57" i="1"/>
  <c r="N58" i="1"/>
  <c r="N59" i="1"/>
  <c r="N60" i="1"/>
  <c r="N61" i="1"/>
  <c r="N51" i="1"/>
  <c r="N50" i="1"/>
  <c r="D5" i="7"/>
  <c r="J50" i="1"/>
  <c r="F17" i="7"/>
  <c r="F15" i="7"/>
  <c r="F16" i="7"/>
  <c r="F14" i="7"/>
  <c r="J11" i="7"/>
  <c r="J10" i="7"/>
  <c r="J9" i="7"/>
  <c r="J8" i="7"/>
  <c r="J7" i="7"/>
  <c r="J6" i="7"/>
  <c r="I11" i="7"/>
  <c r="F11" i="7"/>
  <c r="G11" i="7"/>
  <c r="H11" i="7"/>
  <c r="I10" i="7"/>
  <c r="I9" i="7"/>
  <c r="I8" i="7"/>
  <c r="I7" i="7"/>
  <c r="I6" i="7"/>
  <c r="I5" i="7"/>
  <c r="H10" i="7"/>
  <c r="H9" i="7"/>
  <c r="H8" i="7"/>
  <c r="H7" i="7"/>
  <c r="H6" i="7"/>
  <c r="H5" i="7"/>
  <c r="G10" i="7"/>
  <c r="G9" i="7"/>
  <c r="G8" i="7"/>
  <c r="G7" i="7"/>
  <c r="G6" i="7"/>
  <c r="G5" i="7"/>
  <c r="F5" i="7"/>
  <c r="F12" i="7"/>
  <c r="F10" i="7"/>
  <c r="F9" i="7"/>
  <c r="F8" i="7"/>
  <c r="F7" i="7"/>
  <c r="F6" i="7"/>
  <c r="C12" i="7"/>
  <c r="F56" i="1"/>
  <c r="J57" i="1"/>
  <c r="F61" i="1"/>
  <c r="F53" i="1"/>
  <c r="J51" i="1"/>
  <c r="J52" i="1"/>
  <c r="J53" i="1"/>
  <c r="J54" i="1"/>
  <c r="J55" i="1"/>
  <c r="J56" i="1"/>
  <c r="J58" i="1"/>
  <c r="J59" i="1"/>
  <c r="J60" i="1"/>
  <c r="J61" i="1"/>
  <c r="F51" i="1"/>
  <c r="F52" i="1"/>
  <c r="F54" i="1"/>
  <c r="F55" i="1"/>
  <c r="F57" i="1"/>
  <c r="F58" i="1"/>
  <c r="F59" i="1"/>
  <c r="F60" i="1"/>
  <c r="F50" i="1"/>
  <c r="E5" i="6"/>
  <c r="E6" i="6"/>
  <c r="E7" i="6"/>
  <c r="E8" i="6"/>
  <c r="E9" i="6"/>
  <c r="E10" i="6"/>
  <c r="E11" i="6"/>
  <c r="E12" i="6"/>
  <c r="E13" i="6"/>
  <c r="E14" i="6"/>
  <c r="E15" i="6"/>
  <c r="E4" i="6"/>
  <c r="D11" i="7" l="1"/>
  <c r="D10" i="7"/>
  <c r="D9" i="7"/>
  <c r="D8" i="7"/>
  <c r="D7" i="7"/>
  <c r="D6" i="7"/>
  <c r="D9" i="5"/>
  <c r="D26" i="5"/>
  <c r="K5" i="6"/>
  <c r="L5" i="6"/>
  <c r="K6" i="6"/>
  <c r="L6" i="6"/>
  <c r="K7" i="6"/>
  <c r="L7" i="6"/>
  <c r="K8" i="6"/>
  <c r="L8" i="6"/>
  <c r="K9" i="6"/>
  <c r="L9" i="6"/>
  <c r="K10" i="6"/>
  <c r="L10" i="6"/>
  <c r="K11" i="6"/>
  <c r="L11" i="6"/>
  <c r="K12" i="6"/>
  <c r="L12" i="6"/>
  <c r="K13" i="6"/>
  <c r="L13" i="6"/>
  <c r="K14" i="6"/>
  <c r="L14" i="6"/>
  <c r="K15" i="6"/>
  <c r="L15" i="6"/>
  <c r="K16" i="6"/>
  <c r="L16" i="6"/>
  <c r="K17" i="6"/>
  <c r="L17" i="6"/>
  <c r="K18" i="6"/>
  <c r="L18" i="6"/>
  <c r="K19" i="6"/>
  <c r="L19" i="6"/>
  <c r="K20" i="6"/>
  <c r="L20" i="6"/>
  <c r="K21" i="6"/>
  <c r="L21" i="6"/>
  <c r="K22" i="6"/>
  <c r="L22" i="6"/>
  <c r="K23" i="6"/>
  <c r="L23" i="6"/>
  <c r="K24" i="6"/>
  <c r="L24" i="6"/>
  <c r="K25" i="6"/>
  <c r="L25" i="6"/>
  <c r="K26" i="6"/>
  <c r="L26" i="6"/>
  <c r="K27" i="6"/>
  <c r="L27" i="6"/>
  <c r="K28" i="6"/>
  <c r="L28" i="6"/>
  <c r="K29" i="6"/>
  <c r="L29" i="6"/>
  <c r="K30" i="6"/>
  <c r="L30" i="6"/>
  <c r="K31" i="6"/>
  <c r="L31" i="6"/>
  <c r="K32" i="6"/>
  <c r="L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tc={C6E3B987-C01B-42D8-A17F-C7EC762042E1}</author>
    <author>tc={51A68A4A-4FCA-4ED7-BC97-42A3F48D1183}</author>
  </authors>
  <commentList>
    <comment ref="Q1" authorId="0" shapeId="0" xr:uid="{C6E3B987-C01B-42D8-A17F-C7EC762042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P&amp;L Page 2
</t>
      </text>
    </comment>
    <comment ref="S1" authorId="1" shapeId="0" xr:uid="{51A68A4A-4FCA-4ED7-BC97-42A3F48D1183}">
      <text>
        <t>[Threaded comment]
Your version of Excel allows you to read this threaded comment; however, any edits to it will get removed if the file is opened in a newer version of Excel. Learn more: https://go.microsoft.com/fwlink/?linkid=870924
Comment:
    P&amp;L 
Page 33</t>
      </text>
    </comment>
  </commentList>
</comments>
</file>

<file path=xl/sharedStrings.xml><?xml version="1.0" encoding="utf-8"?>
<sst xmlns="http://schemas.openxmlformats.org/spreadsheetml/2006/main" count="517" uniqueCount="344">
  <si>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</si>
  <si>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</si>
  <si>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</si>
  <si>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</si>
  <si>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</si>
  <si>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</si>
  <si>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</si>
  <si>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LPG Kitchen (Kg)</t>
  </si>
  <si>
    <t>LPG Kitchen $/Kg</t>
  </si>
  <si>
    <t xml:space="preserve">LPG Total Budgeted </t>
  </si>
  <si>
    <t xml:space="preserve">LPG Total Budgeted Cost ($) </t>
  </si>
  <si>
    <t>Water Utility Supply (m3) m3</t>
  </si>
  <si>
    <t>Water Utility Supply (m3) $/m3</t>
  </si>
  <si>
    <t>Water Total Budgeted</t>
  </si>
  <si>
    <t>Water Total Budgeted Cost ($)</t>
  </si>
  <si>
    <t>Waste Total (Kg)</t>
  </si>
  <si>
    <t xml:space="preserve">Room Nights </t>
  </si>
  <si>
    <t>Total Guests</t>
  </si>
  <si>
    <t>Food Covers</t>
  </si>
  <si>
    <t>Laundry Load</t>
  </si>
  <si>
    <t>Forex</t>
  </si>
  <si>
    <t>Seychelles</t>
  </si>
  <si>
    <t xml:space="preserve"> </t>
  </si>
  <si>
    <t xml:space="preserve">Diesel </t>
  </si>
  <si>
    <t>Cost/Liter</t>
  </si>
  <si>
    <t>Total Cost</t>
  </si>
  <si>
    <t>Cost/Kwh</t>
  </si>
  <si>
    <t>RO</t>
  </si>
  <si>
    <t>Detail</t>
  </si>
  <si>
    <t>Description</t>
  </si>
  <si>
    <t>Total</t>
  </si>
  <si>
    <t>Plant Room Reading</t>
  </si>
  <si>
    <t xml:space="preserve">      688635.00 </t>
  </si>
  <si>
    <t xml:space="preserve">      685,289.00 </t>
  </si>
  <si>
    <t xml:space="preserve">      646,029.00 </t>
  </si>
  <si>
    <t xml:space="preserve">     708,934.00 </t>
  </si>
  <si>
    <t xml:space="preserve">      862,750.00 </t>
  </si>
  <si>
    <t xml:space="preserve">   1,193,472.00 </t>
  </si>
  <si>
    <t xml:space="preserve">   1,066,179.06 </t>
  </si>
  <si>
    <t xml:space="preserve">   1,085,808.36 </t>
  </si>
  <si>
    <t xml:space="preserve">      694,502.70 </t>
  </si>
  <si>
    <t xml:space="preserve">      840,096.48 </t>
  </si>
  <si>
    <t xml:space="preserve">      993,108.72 </t>
  </si>
  <si>
    <t xml:space="preserve"> 10,327,554.32 </t>
  </si>
  <si>
    <t>Price per KW</t>
  </si>
  <si>
    <t xml:space="preserve">      12,968,269 </t>
  </si>
  <si>
    <t>Hotel Reading</t>
  </si>
  <si>
    <t xml:space="preserve">      12,714,880 </t>
  </si>
  <si>
    <r>
      <t xml:space="preserve">Hotel Charge of Plant Room </t>
    </r>
    <r>
      <rPr>
        <sz val="10"/>
        <color indexed="10"/>
        <rFont val="Arial"/>
        <family val="2"/>
      </rPr>
      <t>73.62%</t>
    </r>
  </si>
  <si>
    <t xml:space="preserve">      506,973.09 </t>
  </si>
  <si>
    <t xml:space="preserve">      504,509.76 </t>
  </si>
  <si>
    <t xml:space="preserve">      475,606.55 </t>
  </si>
  <si>
    <t xml:space="preserve">     521,917.21 </t>
  </si>
  <si>
    <t xml:space="preserve">      635,156.55 </t>
  </si>
  <si>
    <t xml:space="preserve">      878,634.09 </t>
  </si>
  <si>
    <t xml:space="preserve">      784,921.02 </t>
  </si>
  <si>
    <t xml:space="preserve">      799,372.11 </t>
  </si>
  <si>
    <t xml:space="preserve">      511,292.89 </t>
  </si>
  <si>
    <t xml:space="preserve">      618,479.03 </t>
  </si>
  <si>
    <t xml:space="preserve">      731,126.64 </t>
  </si>
  <si>
    <t xml:space="preserve">        7,603,145 </t>
  </si>
  <si>
    <t>Total Hotel Charges</t>
  </si>
  <si>
    <t xml:space="preserve">   1,736,304.82 </t>
  </si>
  <si>
    <t xml:space="preserve">   1,608,751.18 </t>
  </si>
  <si>
    <t xml:space="preserve">   1,665,510.76 </t>
  </si>
  <si>
    <t xml:space="preserve">   1,768,643.67 </t>
  </si>
  <si>
    <t xml:space="preserve">   1,915,526.81 </t>
  </si>
  <si>
    <t xml:space="preserve">   1,969,332.51 </t>
  </si>
  <si>
    <t xml:space="preserve">   2,590,670.17 </t>
  </si>
  <si>
    <t xml:space="preserve">   2,641,036.67 </t>
  </si>
  <si>
    <t xml:space="preserve">   2,877,302.57 </t>
  </si>
  <si>
    <t xml:space="preserve">   2,341,274.61 </t>
  </si>
  <si>
    <t xml:space="preserve">   2,218,537.48 </t>
  </si>
  <si>
    <t xml:space="preserve">   2,101,646.72 </t>
  </si>
  <si>
    <t xml:space="preserve">      25,434,538 </t>
  </si>
  <si>
    <t xml:space="preserve">                    -   </t>
  </si>
  <si>
    <t>Plaza Suites Reading</t>
  </si>
  <si>
    <t xml:space="preserve">      175,009.63 </t>
  </si>
  <si>
    <t xml:space="preserve">      155,995.37 </t>
  </si>
  <si>
    <t xml:space="preserve">      169,741.37 </t>
  </si>
  <si>
    <t xml:space="preserve">     177,298.47 </t>
  </si>
  <si>
    <t xml:space="preserve">      179,720.94 </t>
  </si>
  <si>
    <t xml:space="preserve">      186,318.28 </t>
  </si>
  <si>
    <t xml:space="preserve">      188,752.06 </t>
  </si>
  <si>
    <t xml:space="preserve">      176,624.43 </t>
  </si>
  <si>
    <t xml:space="preserve">      239,884.40 </t>
  </si>
  <si>
    <t xml:space="preserve">      219,552.03 </t>
  </si>
  <si>
    <t xml:space="preserve">      184,538.22 </t>
  </si>
  <si>
    <t xml:space="preserve">      160,000.00 </t>
  </si>
  <si>
    <t xml:space="preserve">        2,213,435 </t>
  </si>
  <si>
    <r>
      <t xml:space="preserve">Plaza Suites Charge of Plant Room </t>
    </r>
    <r>
      <rPr>
        <sz val="11"/>
        <color indexed="10"/>
        <rFont val="Times New Roman"/>
        <family val="1"/>
      </rPr>
      <t>11.67%</t>
    </r>
  </si>
  <si>
    <t xml:space="preserve">        1,205,226 </t>
  </si>
  <si>
    <t>Total Plaza Suit Charges</t>
  </si>
  <si>
    <t xml:space="preserve">          295,467 </t>
  </si>
  <si>
    <t xml:space="preserve">          273,016 </t>
  </si>
  <si>
    <t xml:space="preserve">          283,619 </t>
  </si>
  <si>
    <t xml:space="preserve">          300,856 </t>
  </si>
  <si>
    <t xml:space="preserve">          324,427 </t>
  </si>
  <si>
    <t xml:space="preserve">          332,060 </t>
  </si>
  <si>
    <t xml:space="preserve">          436,461 </t>
  </si>
  <si>
    <t xml:space="preserve">          400,559 </t>
  </si>
  <si>
    <t xml:space="preserve">          487,777 </t>
  </si>
  <si>
    <t xml:space="preserve">          399,964 </t>
  </si>
  <si>
    <t xml:space="preserve">          375,983 </t>
  </si>
  <si>
    <t xml:space="preserve">          367,093 </t>
  </si>
  <si>
    <t xml:space="preserve">        4,277,282 </t>
  </si>
  <si>
    <t>Residence Reading</t>
  </si>
  <si>
    <t xml:space="preserve">          279,502 </t>
  </si>
  <si>
    <t xml:space="preserve">          288,795 </t>
  </si>
  <si>
    <t xml:space="preserve">          302,381 </t>
  </si>
  <si>
    <t xml:space="preserve">          295,145 </t>
  </si>
  <si>
    <t xml:space="preserve">          343,107 </t>
  </si>
  <si>
    <t xml:space="preserve">          345,909 </t>
  </si>
  <si>
    <t xml:space="preserve">          401,986 </t>
  </si>
  <si>
    <t xml:space="preserve">          295,010 </t>
  </si>
  <si>
    <t xml:space="preserve">          400,908 </t>
  </si>
  <si>
    <t xml:space="preserve">          338,236 </t>
  </si>
  <si>
    <t xml:space="preserve">          378,517 </t>
  </si>
  <si>
    <t xml:space="preserve">          190,322 </t>
  </si>
  <si>
    <t xml:space="preserve">        3,859,818 </t>
  </si>
  <si>
    <r>
      <t xml:space="preserve">Residence charge of Plant Room </t>
    </r>
    <r>
      <rPr>
        <sz val="11"/>
        <color indexed="10"/>
        <rFont val="Times New Roman"/>
        <family val="1"/>
      </rPr>
      <t>11.39%</t>
    </r>
  </si>
  <si>
    <t xml:space="preserve">            78,436 </t>
  </si>
  <si>
    <t xml:space="preserve">            78,054 </t>
  </si>
  <si>
    <t xml:space="preserve">            73,583 </t>
  </si>
  <si>
    <t xml:space="preserve">            80,748 </t>
  </si>
  <si>
    <t xml:space="preserve">            98,267 </t>
  </si>
  <si>
    <t xml:space="preserve">          135,936 </t>
  </si>
  <si>
    <t xml:space="preserve">          121,438 </t>
  </si>
  <si>
    <t xml:space="preserve">          123,674 </t>
  </si>
  <si>
    <t xml:space="preserve">            79,104 </t>
  </si>
  <si>
    <t xml:space="preserve">            95,687 </t>
  </si>
  <si>
    <t xml:space="preserve">          113,115 </t>
  </si>
  <si>
    <t xml:space="preserve">        1,176,308 </t>
  </si>
  <si>
    <t>Total Residence Charges</t>
  </si>
  <si>
    <t xml:space="preserve">          414,134 </t>
  </si>
  <si>
    <t xml:space="preserve">          424,445 </t>
  </si>
  <si>
    <t xml:space="preserve">          434,990 </t>
  </si>
  <si>
    <t xml:space="preserve">          434,908 </t>
  </si>
  <si>
    <t xml:space="preserve">          510,670 </t>
  </si>
  <si>
    <t xml:space="preserve">          513,912 </t>
  </si>
  <si>
    <t xml:space="preserve">          715,733 </t>
  </si>
  <si>
    <t xml:space="preserve">          554,105 </t>
  </si>
  <si>
    <t xml:space="preserve">          697,982 </t>
  </si>
  <si>
    <t xml:space="preserve">          555,292 </t>
  </si>
  <si>
    <t xml:space="preserve">          630,952 </t>
  </si>
  <si>
    <t xml:space="preserve">          403,738 </t>
  </si>
  <si>
    <t xml:space="preserve">        6,290,859 </t>
  </si>
  <si>
    <t>Gas</t>
  </si>
  <si>
    <t xml:space="preserve">   1,394,968.76 </t>
  </si>
  <si>
    <t>Price per M3</t>
  </si>
  <si>
    <t xml:space="preserve">             3.00 </t>
  </si>
  <si>
    <t xml:space="preserve">              36.00 </t>
  </si>
  <si>
    <t>Total Charges</t>
  </si>
  <si>
    <t xml:space="preserve">        376,500 </t>
  </si>
  <si>
    <t xml:space="preserve">        390,000 </t>
  </si>
  <si>
    <t xml:space="preserve">        387,673 </t>
  </si>
  <si>
    <t xml:space="preserve">        303,966 </t>
  </si>
  <si>
    <t xml:space="preserve">        255,285 </t>
  </si>
  <si>
    <t xml:space="preserve">        272,427 </t>
  </si>
  <si>
    <t xml:space="preserve">        294,584 </t>
  </si>
  <si>
    <t xml:space="preserve">        260,759 </t>
  </si>
  <si>
    <t xml:space="preserve">        359,506 </t>
  </si>
  <si>
    <t xml:space="preserve">        494,840 </t>
  </si>
  <si>
    <t xml:space="preserve">        429,861 </t>
  </si>
  <si>
    <t xml:space="preserve">       4,184,906 </t>
  </si>
  <si>
    <t xml:space="preserve">                   -   </t>
  </si>
  <si>
    <r>
      <t xml:space="preserve">Hotel Charges </t>
    </r>
    <r>
      <rPr>
        <sz val="10"/>
        <color indexed="10"/>
        <rFont val="Arial"/>
        <family val="2"/>
      </rPr>
      <t>67.67%</t>
    </r>
  </si>
  <si>
    <t xml:space="preserve">   254,777.55 </t>
  </si>
  <si>
    <t xml:space="preserve">   263,913.00 </t>
  </si>
  <si>
    <t xml:space="preserve">   262,338.61 </t>
  </si>
  <si>
    <t xml:space="preserve">   205,693.79 </t>
  </si>
  <si>
    <t xml:space="preserve">   172,751.36 </t>
  </si>
  <si>
    <t xml:space="preserve">   184,351.35 </t>
  </si>
  <si>
    <t xml:space="preserve">   199,345.10 </t>
  </si>
  <si>
    <t xml:space="preserve">   176,455.36 </t>
  </si>
  <si>
    <t xml:space="preserve">   243,277.38 </t>
  </si>
  <si>
    <t xml:space="preserve">   334,858.35 </t>
  </si>
  <si>
    <t xml:space="preserve">   290,886.85 </t>
  </si>
  <si>
    <t xml:space="preserve">       2,831,926 </t>
  </si>
  <si>
    <r>
      <t xml:space="preserve">Plaza Suites Charges </t>
    </r>
    <r>
      <rPr>
        <sz val="11"/>
        <color indexed="10"/>
        <rFont val="Times New Roman"/>
        <family val="1"/>
      </rPr>
      <t>10.36%</t>
    </r>
  </si>
  <si>
    <t xml:space="preserve">          39,005 </t>
  </si>
  <si>
    <t xml:space="preserve">          40,404 </t>
  </si>
  <si>
    <t xml:space="preserve">          40,163 </t>
  </si>
  <si>
    <t xml:space="preserve">          31,491 </t>
  </si>
  <si>
    <t xml:space="preserve">          26,448 </t>
  </si>
  <si>
    <t xml:space="preserve">          28,223 </t>
  </si>
  <si>
    <t xml:space="preserve">          30,519 </t>
  </si>
  <si>
    <t xml:space="preserve">          27,015 </t>
  </si>
  <si>
    <t xml:space="preserve">          37,245 </t>
  </si>
  <si>
    <t xml:space="preserve">          51,265 </t>
  </si>
  <si>
    <t xml:space="preserve">          44,534 </t>
  </si>
  <si>
    <t xml:space="preserve">          433,556 </t>
  </si>
  <si>
    <r>
      <t xml:space="preserve">Residence Charges </t>
    </r>
    <r>
      <rPr>
        <sz val="11"/>
        <color indexed="10"/>
        <rFont val="Times New Roman"/>
        <family val="1"/>
      </rPr>
      <t>13.44%</t>
    </r>
  </si>
  <si>
    <t xml:space="preserve">          50,602 </t>
  </si>
  <si>
    <t xml:space="preserve">          52,416 </t>
  </si>
  <si>
    <t xml:space="preserve">          52,103 </t>
  </si>
  <si>
    <t xml:space="preserve">          40,853 </t>
  </si>
  <si>
    <t xml:space="preserve">          34,310 </t>
  </si>
  <si>
    <t xml:space="preserve">          36,614 </t>
  </si>
  <si>
    <t xml:space="preserve">          39,592 </t>
  </si>
  <si>
    <t xml:space="preserve">          35,046 </t>
  </si>
  <si>
    <t xml:space="preserve">          48,318 </t>
  </si>
  <si>
    <t xml:space="preserve">          66,507 </t>
  </si>
  <si>
    <t xml:space="preserve">          57,773 </t>
  </si>
  <si>
    <t xml:space="preserve">          562,451 </t>
  </si>
  <si>
    <t xml:space="preserve">      344,385 </t>
  </si>
  <si>
    <t xml:space="preserve">      356,733 </t>
  </si>
  <si>
    <t xml:space="preserve">      354,605 </t>
  </si>
  <si>
    <t xml:space="preserve">      278,038 </t>
  </si>
  <si>
    <t xml:space="preserve">      233,509 </t>
  </si>
  <si>
    <t xml:space="preserve">      249,189 </t>
  </si>
  <si>
    <t xml:space="preserve">      269,456 </t>
  </si>
  <si>
    <t xml:space="preserve">      238,516 </t>
  </si>
  <si>
    <t xml:space="preserve">      328,840 </t>
  </si>
  <si>
    <t xml:space="preserve">      452,630 </t>
  </si>
  <si>
    <t xml:space="preserve">      393,194 </t>
  </si>
  <si>
    <t xml:space="preserve">      3,827,934 </t>
  </si>
  <si>
    <t>Water</t>
  </si>
  <si>
    <t xml:space="preserve">            3,000.00 </t>
  </si>
  <si>
    <t xml:space="preserve">             36,000 </t>
  </si>
  <si>
    <t xml:space="preserve">                     -   </t>
  </si>
  <si>
    <t xml:space="preserve">           337,564 </t>
  </si>
  <si>
    <t>Hotel Charge of Plant Room 73.62%</t>
  </si>
  <si>
    <t xml:space="preserve">            2,208.60 </t>
  </si>
  <si>
    <t xml:space="preserve">             26,503 </t>
  </si>
  <si>
    <t xml:space="preserve">        217,660.68 </t>
  </si>
  <si>
    <t xml:space="preserve">        238,076.57 </t>
  </si>
  <si>
    <t xml:space="preserve">        309,303.53 </t>
  </si>
  <si>
    <t xml:space="preserve">        253,095.79 </t>
  </si>
  <si>
    <t xml:space="preserve">        321,412.44 </t>
  </si>
  <si>
    <t xml:space="preserve">        346,622.45 </t>
  </si>
  <si>
    <t xml:space="preserve">        358,379.75 </t>
  </si>
  <si>
    <t xml:space="preserve">        331,625.16 </t>
  </si>
  <si>
    <t xml:space="preserve">        247,978.16 </t>
  </si>
  <si>
    <t xml:space="preserve">        302,490.74 </t>
  </si>
  <si>
    <t xml:space="preserve">        290,712.08 </t>
  </si>
  <si>
    <t xml:space="preserve">        266,343.27 </t>
  </si>
  <si>
    <t xml:space="preserve">        3,483,701 </t>
  </si>
  <si>
    <t xml:space="preserve">            3,594.47 </t>
  </si>
  <si>
    <t xml:space="preserve">            3,934.31 </t>
  </si>
  <si>
    <t xml:space="preserve">            5,119.93 </t>
  </si>
  <si>
    <t xml:space="preserve">            4,184.31 </t>
  </si>
  <si>
    <t xml:space="preserve">            4,714.25 </t>
  </si>
  <si>
    <t xml:space="preserve">            4,526.66 </t>
  </si>
  <si>
    <t xml:space="preserve">            4,392.58 </t>
  </si>
  <si>
    <t xml:space="preserve">            4,594.96 </t>
  </si>
  <si>
    <t xml:space="preserve">            3,637.10 </t>
  </si>
  <si>
    <t xml:space="preserve">            2,943.93 </t>
  </si>
  <si>
    <t xml:space="preserve">            2,765.69 </t>
  </si>
  <si>
    <t xml:space="preserve">            2,396.93 </t>
  </si>
  <si>
    <t xml:space="preserve">             46,805 </t>
  </si>
  <si>
    <t>Plaza Suites Charge of Plant Room 11.67%</t>
  </si>
  <si>
    <t xml:space="preserve">               4,201 </t>
  </si>
  <si>
    <t xml:space="preserve">               35,975 </t>
  </si>
  <si>
    <t xml:space="preserve">               39,074 </t>
  </si>
  <si>
    <t xml:space="preserve">               49,887 </t>
  </si>
  <si>
    <t xml:space="preserve">               41,354 </t>
  </si>
  <si>
    <t xml:space="preserve">               46,187 </t>
  </si>
  <si>
    <t xml:space="preserve">               44,476 </t>
  </si>
  <si>
    <t xml:space="preserve">               47,579 </t>
  </si>
  <si>
    <t xml:space="preserve">               49,609 </t>
  </si>
  <si>
    <t xml:space="preserve">               40,000 </t>
  </si>
  <si>
    <t xml:space="preserve">               33,046 </t>
  </si>
  <si>
    <t xml:space="preserve">               31,258 </t>
  </si>
  <si>
    <t xml:space="preserve">               27,558 </t>
  </si>
  <si>
    <t xml:space="preserve">           486,000 </t>
  </si>
  <si>
    <t xml:space="preserve">                   900 </t>
  </si>
  <si>
    <t xml:space="preserve">                 1,100 </t>
  </si>
  <si>
    <t xml:space="preserve">                 1,200 </t>
  </si>
  <si>
    <t xml:space="preserve">                   102 </t>
  </si>
  <si>
    <t xml:space="preserve">                   117 </t>
  </si>
  <si>
    <t xml:space="preserve">                   130 </t>
  </si>
  <si>
    <t xml:space="preserve">                   104 </t>
  </si>
  <si>
    <t xml:space="preserve">                   110 </t>
  </si>
  <si>
    <t xml:space="preserve">                   103 </t>
  </si>
  <si>
    <t xml:space="preserve">               6,565 </t>
  </si>
  <si>
    <t>Residence charge of Plant Room 11.39%</t>
  </si>
  <si>
    <t xml:space="preserve">                   342 </t>
  </si>
  <si>
    <t xml:space="preserve">               4,100 </t>
  </si>
  <si>
    <t xml:space="preserve">               11,324 </t>
  </si>
  <si>
    <t xml:space="preserve">               13,148 </t>
  </si>
  <si>
    <t xml:space="preserve">               14,060 </t>
  </si>
  <si>
    <t xml:space="preserve">                 4,455 </t>
  </si>
  <si>
    <t xml:space="preserve">                 4,601 </t>
  </si>
  <si>
    <t xml:space="preserve">                 4,732 </t>
  </si>
  <si>
    <t xml:space="preserve">                 4,468 </t>
  </si>
  <si>
    <t xml:space="preserve">                 4,528 </t>
  </si>
  <si>
    <t xml:space="preserve">                 4,456 </t>
  </si>
  <si>
    <t xml:space="preserve">               99,746 </t>
  </si>
  <si>
    <t xml:space="preserve">      264,959.48 </t>
  </si>
  <si>
    <t xml:space="preserve">      288,474.68 </t>
  </si>
  <si>
    <t xml:space="preserve">      372,338.48 </t>
  </si>
  <si>
    <t xml:space="preserve">      305,773.94 </t>
  </si>
  <si>
    <t xml:space="preserve">      378,923.66 </t>
  </si>
  <si>
    <t xml:space="preserve">      405,158.79 </t>
  </si>
  <si>
    <t xml:space="preserve">      410,413.13 </t>
  </si>
  <si>
    <t xml:space="preserve">      385,834.73 </t>
  </si>
  <si>
    <t xml:space="preserve">      292,709.87 </t>
  </si>
  <si>
    <t xml:space="preserve">      340,004.54 </t>
  </si>
  <si>
    <t xml:space="preserve">      326,497.46 </t>
  </si>
  <si>
    <t xml:space="preserve">      298,357.70 </t>
  </si>
  <si>
    <t xml:space="preserve">   4,069,446.48 </t>
  </si>
  <si>
    <t xml:space="preserve">We need your kind support to clarify your own criteria of calculating the total hotel consumption. </t>
  </si>
  <si>
    <t>Ahmed Elsawy</t>
  </si>
  <si>
    <t>Maintenance Manager</t>
  </si>
  <si>
    <t>Four Seasons Hotel Cairo at Nile Plaza</t>
  </si>
  <si>
    <t>1089 Corniche El-Nil, Garden City, Cairo, Egypt</t>
  </si>
  <si>
    <t>Outlet</t>
  </si>
  <si>
    <t>Bin per day</t>
  </si>
  <si>
    <t>%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</si>
  <si>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</si>
  <si>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</si>
  <si>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</si>
  <si>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</si>
  <si>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</si>
  <si>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</si>
  <si>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</si>
  <si>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</si>
  <si>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</si>
  <si>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</si>
  <si>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</si>
  <si>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</si>
  <si>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Kannel</t>
  </si>
  <si>
    <t>Zez</t>
  </si>
  <si>
    <t>IVD</t>
  </si>
  <si>
    <t>Buther</t>
  </si>
  <si>
    <t>Sitronel</t>
  </si>
  <si>
    <t>E-housing</t>
  </si>
  <si>
    <t>Residence</t>
  </si>
  <si>
    <t>Total bin</t>
  </si>
  <si>
    <t>Total Inv (kg)</t>
  </si>
  <si>
    <t>Trips</t>
  </si>
  <si>
    <t>Estimated Waste (Excl Outlet No. 6+7)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</si>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</sst>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0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1"/>
      <color indexed="1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1"/>
      <color rgb="FFFF0000"/>
      <name val="Times New Roman"/>
      <family val="1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00B05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7030A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1" fontId="0" fillId="0" borderId="0" xfId="0" applyNumberFormat="1"/>
    <xf numFmtId="0" fontId="7" fillId="0" borderId="0" xfId="0" applyFont="1"/>
    <xf numFmtId="0" fontId="1" fillId="0" borderId="0" xfId="0" applyFont="1"/>
    <xf numFmtId="1" fontId="8" fillId="0" borderId="0" xfId="0" applyNumberFormat="1" applyFont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16" fontId="9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horizontal="right" vertical="center" wrapText="1"/>
    </xf>
    <xf numFmtId="0" fontId="4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4" fontId="0" fillId="0" borderId="2" xfId="0" applyNumberFormat="1" applyBorder="1" applyAlignment="1">
      <alignment horizontal="right" vertical="center" wrapText="1"/>
    </xf>
    <xf numFmtId="4" fontId="0" fillId="3" borderId="2" xfId="0" applyNumberForma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center" vertical="center" wrapText="1"/>
    </xf>
    <xf numFmtId="4" fontId="9" fillId="2" borderId="2" xfId="0" applyNumberFormat="1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" fontId="9" fillId="2" borderId="2" xfId="0" applyNumberFormat="1" applyFon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right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1" fontId="9" fillId="4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right" vertical="center" wrapText="1"/>
    </xf>
    <xf numFmtId="1" fontId="4" fillId="0" borderId="2" xfId="0" applyNumberFormat="1" applyFont="1" applyBorder="1" applyAlignment="1">
      <alignment vertical="center" wrapText="1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17" fontId="0" fillId="0" borderId="0" xfId="0" applyNumberFormat="1"/>
    <xf numFmtId="17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2" fontId="1" fillId="0" borderId="1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8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10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16" fontId="1" fillId="0" borderId="0" xfId="0" applyNumberFormat="1" applyFont="1"/>
    <xf numFmtId="0" fontId="0" fillId="0" borderId="5" xfId="0" applyBorder="1"/>
    <xf numFmtId="1" fontId="0" fillId="0" borderId="5" xfId="0" applyNumberFormat="1" applyBorder="1"/>
    <xf numFmtId="9" fontId="0" fillId="0" borderId="5" xfId="0" applyNumberFormat="1" applyBorder="1"/>
    <xf numFmtId="0" fontId="0" fillId="0" borderId="6" xfId="0" applyBorder="1"/>
    <xf numFmtId="0" fontId="1" fillId="0" borderId="6" xfId="0" applyFont="1" applyBorder="1"/>
    <xf numFmtId="0" fontId="0" fillId="5" borderId="5" xfId="0" applyFill="1" applyBorder="1"/>
    <xf numFmtId="0" fontId="1" fillId="5" borderId="5" xfId="0" applyFont="1" applyFill="1" applyBorder="1" applyAlignment="1">
      <alignment horizontal="center"/>
    </xf>
    <xf numFmtId="0" fontId="1" fillId="5" borderId="5" xfId="0" applyFont="1" applyFill="1" applyBorder="1"/>
    <xf numFmtId="16" fontId="1" fillId="5" borderId="5" xfId="0" applyNumberFormat="1" applyFont="1" applyFill="1" applyBorder="1"/>
    <xf numFmtId="0" fontId="13" fillId="5" borderId="5" xfId="0" applyFont="1" applyFill="1" applyBorder="1" applyAlignment="1">
      <alignment horizontal="center" wrapText="1"/>
    </xf>
    <xf numFmtId="0" fontId="0" fillId="3" borderId="0" xfId="0" applyFill="1"/>
    <xf numFmtId="0" fontId="0" fillId="6" borderId="5" xfId="0" applyFill="1" applyBorder="1"/>
    <xf numFmtId="1" fontId="0" fillId="6" borderId="5" xfId="0" applyNumberFormat="1" applyFill="1" applyBorder="1"/>
    <xf numFmtId="9" fontId="0" fillId="6" borderId="5" xfId="0" applyNumberFormat="1" applyFill="1" applyBorder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2" fontId="14" fillId="3" borderId="0" xfId="0" applyNumberFormat="1" applyFont="1" applyFill="1" applyAlignment="1">
      <alignment horizontal="center"/>
    </xf>
    <xf numFmtId="1" fontId="8" fillId="3" borderId="0" xfId="0" applyNumberFormat="1" applyFont="1" applyFill="1" applyAlignment="1">
      <alignment horizontal="center"/>
    </xf>
    <xf numFmtId="1" fontId="15" fillId="3" borderId="0" xfId="0" applyNumberFormat="1" applyFont="1" applyFill="1" applyAlignment="1">
      <alignment horizontal="center"/>
    </xf>
    <xf numFmtId="1" fontId="1" fillId="3" borderId="0" xfId="0" applyNumberFormat="1" applyFont="1" applyFill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1" fontId="12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FD119461-FC6D-470C-8169-912964718FAF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" dT="2022-07-08T07:49:26.58" personId="{FD119461-FC6D-470C-8169-912964718FAF}" id="{C6E3B987-C01B-42D8-A17F-C7EC762042E1}">
    <text xml:space="preserve">P&amp;L Page 2
</text>
  </threadedComment>
  <threadedComment ref="S1" dT="2022-07-08T07:48:16.27" personId="{FD119461-FC6D-470C-8169-912964718FAF}" id="{51A68A4A-4FCA-4ED7-BC97-42A3F48D1183}">
    <text>P&amp;L 
Page 33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"/>
  <sheetViews>
    <sheetView tabSelected="1" zoomScale="115" zoomScaleNormal="115" workbookViewId="0">
      <pane xSplit="3" ySplit="1" topLeftCell="D36" activePane="bottomRight" state="frozen"/>
      <selection pane="bottomRight" activeCell="R62" sqref="R62"/>
      <selection pane="bottomLeft" activeCell="A3" sqref="A3"/>
      <selection pane="topRight" activeCell="D1" sqref="D1"/>
    </sheetView>
  </sheetViews>
  <sheetFormatPr defaultColWidth="11.5703125" defaultRowHeight="13.15"/>
  <cols>
    <col min="1" max="1" width="15.85546875" style="30" bestFit="1" customWidth="1"/>
    <col min="2" max="2" width="11.5703125" style="30"/>
    <col min="3" max="3" width="13.42578125" style="30" customWidth="1"/>
    <col min="4" max="4" width="12.5703125" style="29" customWidth="1"/>
    <col min="5" max="5" width="12.5703125" style="32" customWidth="1"/>
    <col min="6" max="6" width="11.5703125" style="31"/>
    <col min="7" max="7" width="11.5703125" style="4"/>
    <col min="8" max="8" width="11.5703125" style="29"/>
    <col min="9" max="9" width="11.5703125" style="33"/>
    <col min="10" max="11" width="11.5703125" style="31"/>
    <col min="12" max="12" width="11.5703125" style="29"/>
    <col min="13" max="13" width="11.5703125" style="33"/>
    <col min="14" max="16" width="11.5703125" style="31"/>
    <col min="17" max="17" width="11.5703125" style="53"/>
    <col min="18" max="20" width="11.5703125" style="29"/>
    <col min="21" max="21" width="11.5703125" style="30"/>
  </cols>
  <sheetData>
    <row r="1" spans="1:22" s="3" customFormat="1" ht="60" customHeight="1">
      <c r="A1" s="35" t="s">
        <v>0</v>
      </c>
      <c r="B1" s="35" t="s">
        <v>1</v>
      </c>
      <c r="C1" s="35" t="s">
        <v>2</v>
      </c>
      <c r="D1" s="36" t="s">
        <v>3</v>
      </c>
      <c r="E1" s="45" t="s">
        <v>4</v>
      </c>
      <c r="F1" s="37" t="s">
        <v>5</v>
      </c>
      <c r="G1" s="38" t="s">
        <v>6</v>
      </c>
      <c r="H1" s="36" t="s">
        <v>7</v>
      </c>
      <c r="I1" s="36" t="s">
        <v>8</v>
      </c>
      <c r="J1" s="37" t="s">
        <v>9</v>
      </c>
      <c r="K1" s="37" t="s">
        <v>10</v>
      </c>
      <c r="L1" s="36" t="s">
        <v>11</v>
      </c>
      <c r="M1" s="36" t="s">
        <v>12</v>
      </c>
      <c r="N1" s="37" t="s">
        <v>13</v>
      </c>
      <c r="O1" s="37" t="s">
        <v>14</v>
      </c>
      <c r="P1" s="51" t="s">
        <v>15</v>
      </c>
      <c r="Q1" s="51" t="s">
        <v>16</v>
      </c>
      <c r="R1" s="36" t="s">
        <v>17</v>
      </c>
      <c r="S1" s="36" t="s">
        <v>18</v>
      </c>
      <c r="T1" s="36" t="s">
        <v>19</v>
      </c>
      <c r="U1" s="36" t="s">
        <v>20</v>
      </c>
    </row>
    <row r="2" spans="1:22" ht="12.75">
      <c r="A2" s="30" t="s">
        <v>21</v>
      </c>
      <c r="B2" s="28">
        <v>1</v>
      </c>
      <c r="C2" s="28">
        <v>2018</v>
      </c>
      <c r="D2" s="28">
        <v>893291.42500000005</v>
      </c>
      <c r="E2" s="46">
        <v>0.48</v>
      </c>
      <c r="F2" s="4"/>
      <c r="H2" s="28">
        <v>17304.622050000002</v>
      </c>
      <c r="I2" s="47">
        <v>0.73709999999999998</v>
      </c>
      <c r="J2" s="4"/>
      <c r="K2" s="4"/>
      <c r="L2" s="28">
        <v>15783.999999999998</v>
      </c>
      <c r="M2" s="46">
        <v>2.46</v>
      </c>
      <c r="N2" s="4"/>
      <c r="O2" s="4"/>
      <c r="P2" s="4"/>
      <c r="Q2" s="50" t="s">
        <v>22</v>
      </c>
      <c r="R2" s="30"/>
      <c r="S2" s="30"/>
      <c r="T2" s="30"/>
      <c r="U2" s="47">
        <v>1.24</v>
      </c>
    </row>
    <row r="3" spans="1:22" ht="12.75">
      <c r="A3" s="30" t="s">
        <v>21</v>
      </c>
      <c r="B3" s="28">
        <v>2</v>
      </c>
      <c r="C3" s="28">
        <v>2018</v>
      </c>
      <c r="D3" s="28">
        <v>837668.77500000002</v>
      </c>
      <c r="E3" s="46">
        <v>0.48</v>
      </c>
      <c r="F3" s="4"/>
      <c r="H3" s="28">
        <v>17256.400750000001</v>
      </c>
      <c r="I3" s="47">
        <v>0.73709999999999998</v>
      </c>
      <c r="J3" s="4"/>
      <c r="K3" s="4"/>
      <c r="L3" s="28">
        <v>25926.800000000003</v>
      </c>
      <c r="M3" s="46">
        <v>2.46</v>
      </c>
      <c r="N3" s="4"/>
      <c r="O3" s="4"/>
      <c r="P3" s="4"/>
      <c r="Q3" s="50" t="s">
        <v>22</v>
      </c>
      <c r="R3" s="30"/>
      <c r="S3" s="30"/>
      <c r="T3" s="30"/>
      <c r="U3" s="47">
        <v>1.22</v>
      </c>
    </row>
    <row r="4" spans="1:22" ht="12.75">
      <c r="A4" s="30" t="s">
        <v>21</v>
      </c>
      <c r="B4" s="28">
        <v>3</v>
      </c>
      <c r="C4" s="28">
        <v>2018</v>
      </c>
      <c r="D4" s="28">
        <v>1130910.75</v>
      </c>
      <c r="E4" s="46">
        <v>0.48</v>
      </c>
      <c r="F4" s="4"/>
      <c r="H4" s="28">
        <v>21141.901299999998</v>
      </c>
      <c r="I4" s="47">
        <v>0.73709999999999998</v>
      </c>
      <c r="J4" s="4"/>
      <c r="K4" s="4"/>
      <c r="L4" s="28">
        <v>39707.199999999997</v>
      </c>
      <c r="M4" s="46">
        <v>2.46</v>
      </c>
      <c r="N4" s="4"/>
      <c r="O4" s="4"/>
      <c r="P4" s="4"/>
      <c r="Q4" s="50" t="s">
        <v>22</v>
      </c>
      <c r="R4" s="30"/>
      <c r="S4" s="30"/>
      <c r="T4" s="30"/>
      <c r="U4" s="47">
        <v>1.23</v>
      </c>
    </row>
    <row r="5" spans="1:22" ht="12.75">
      <c r="A5" s="30" t="s">
        <v>21</v>
      </c>
      <c r="B5" s="28">
        <v>4</v>
      </c>
      <c r="C5" s="28">
        <v>2018</v>
      </c>
      <c r="D5" s="28">
        <v>782198.05</v>
      </c>
      <c r="E5" s="46">
        <v>0.48</v>
      </c>
      <c r="F5" s="4"/>
      <c r="H5" s="28">
        <v>18280.164499999999</v>
      </c>
      <c r="I5" s="47">
        <v>0.73709999999999998</v>
      </c>
      <c r="J5" s="4"/>
      <c r="K5" s="4"/>
      <c r="L5" s="28">
        <v>26828.199999999997</v>
      </c>
      <c r="M5" s="46">
        <v>2.46</v>
      </c>
      <c r="N5" s="4"/>
      <c r="O5" s="4"/>
      <c r="P5" s="4"/>
      <c r="Q5" s="50" t="s">
        <v>22</v>
      </c>
      <c r="R5" s="30"/>
      <c r="S5" s="30"/>
      <c r="T5" s="30"/>
      <c r="U5" s="47">
        <v>1.2130000000000001</v>
      </c>
    </row>
    <row r="6" spans="1:22" s="2" customFormat="1" ht="12.75">
      <c r="A6" s="30" t="s">
        <v>21</v>
      </c>
      <c r="B6" s="34">
        <v>5</v>
      </c>
      <c r="C6" s="28">
        <v>2018</v>
      </c>
      <c r="D6" s="28">
        <v>852862.65</v>
      </c>
      <c r="E6" s="46">
        <v>0.48</v>
      </c>
      <c r="F6" s="4"/>
      <c r="G6" s="4"/>
      <c r="H6" s="28">
        <v>14378.014950000001</v>
      </c>
      <c r="I6" s="47">
        <v>0.73709999999999998</v>
      </c>
      <c r="J6" s="4"/>
      <c r="K6" s="4"/>
      <c r="L6" s="28">
        <v>27947.999999999996</v>
      </c>
      <c r="M6" s="46">
        <v>2.46</v>
      </c>
      <c r="N6" s="4"/>
      <c r="O6" s="4"/>
      <c r="P6" s="4"/>
      <c r="Q6" s="50" t="s">
        <v>22</v>
      </c>
      <c r="R6" s="30"/>
      <c r="S6" s="30"/>
      <c r="T6" s="30"/>
      <c r="U6" s="47">
        <v>1.1659999999999999</v>
      </c>
      <c r="V6"/>
    </row>
    <row r="7" spans="1:22" ht="12.75">
      <c r="A7" s="30" t="s">
        <v>21</v>
      </c>
      <c r="B7" s="28">
        <v>6</v>
      </c>
      <c r="C7" s="28">
        <v>2018</v>
      </c>
      <c r="D7" s="28">
        <v>872084.75</v>
      </c>
      <c r="E7" s="46">
        <v>0.48</v>
      </c>
      <c r="F7" s="4"/>
      <c r="H7" s="28">
        <v>16455.854950000001</v>
      </c>
      <c r="I7" s="47">
        <v>0.73709999999999998</v>
      </c>
      <c r="J7" s="4"/>
      <c r="K7" s="4"/>
      <c r="L7" s="28">
        <v>21192.799999999999</v>
      </c>
      <c r="M7" s="46">
        <v>2.46</v>
      </c>
      <c r="N7" s="4"/>
      <c r="O7" s="4"/>
      <c r="P7" s="4"/>
      <c r="Q7" s="50" t="s">
        <v>22</v>
      </c>
      <c r="R7" s="30"/>
      <c r="S7" s="30"/>
      <c r="T7" s="30"/>
      <c r="U7" s="47">
        <v>1.17</v>
      </c>
    </row>
    <row r="8" spans="1:22" ht="12.75">
      <c r="A8" s="30" t="s">
        <v>21</v>
      </c>
      <c r="B8" s="28">
        <v>7</v>
      </c>
      <c r="C8" s="28">
        <v>2018</v>
      </c>
      <c r="D8" s="28">
        <v>792366.15</v>
      </c>
      <c r="E8" s="46">
        <v>0.48</v>
      </c>
      <c r="F8" s="4"/>
      <c r="H8" s="28">
        <v>14847.243550000001</v>
      </c>
      <c r="I8" s="47">
        <v>0.73709999999999998</v>
      </c>
      <c r="J8" s="4"/>
      <c r="K8" s="4"/>
      <c r="L8" s="28">
        <v>26254.6</v>
      </c>
      <c r="M8" s="46">
        <v>2.46</v>
      </c>
      <c r="N8" s="4"/>
      <c r="O8" s="4"/>
      <c r="P8" s="4"/>
      <c r="Q8" s="50">
        <v>1750</v>
      </c>
      <c r="R8" s="30"/>
      <c r="S8" s="30"/>
      <c r="T8" s="30"/>
      <c r="U8" s="47">
        <v>1.17</v>
      </c>
    </row>
    <row r="9" spans="1:22" ht="12.75">
      <c r="A9" s="30" t="s">
        <v>21</v>
      </c>
      <c r="B9" s="28">
        <v>8</v>
      </c>
      <c r="C9" s="28">
        <v>2018</v>
      </c>
      <c r="D9" s="28">
        <v>812085.65</v>
      </c>
      <c r="E9" s="46">
        <v>0.48</v>
      </c>
      <c r="F9" s="4"/>
      <c r="H9" s="28">
        <v>11373.2785</v>
      </c>
      <c r="I9" s="47">
        <v>0.73709999999999998</v>
      </c>
      <c r="J9" s="4"/>
      <c r="K9" s="4"/>
      <c r="L9" s="28">
        <v>27198.800000000003</v>
      </c>
      <c r="M9" s="46">
        <v>2.46</v>
      </c>
      <c r="N9" s="4"/>
      <c r="O9" s="4"/>
      <c r="P9" s="4"/>
      <c r="Q9" s="50" t="s">
        <v>22</v>
      </c>
      <c r="R9" s="30"/>
      <c r="S9" s="30"/>
      <c r="T9" s="30"/>
      <c r="U9" s="47">
        <v>1.1659999999999999</v>
      </c>
    </row>
    <row r="10" spans="1:22" ht="12.75">
      <c r="A10" s="30" t="s">
        <v>21</v>
      </c>
      <c r="B10" s="28">
        <v>9</v>
      </c>
      <c r="C10" s="28">
        <v>2018</v>
      </c>
      <c r="D10" s="28">
        <v>784134.875</v>
      </c>
      <c r="E10" s="46">
        <v>0.48</v>
      </c>
      <c r="F10" s="4"/>
      <c r="H10" s="28">
        <v>12604.71385</v>
      </c>
      <c r="I10" s="47">
        <v>0.73709999999999998</v>
      </c>
      <c r="J10" s="4"/>
      <c r="K10" s="4"/>
      <c r="L10" s="28">
        <v>24467</v>
      </c>
      <c r="M10" s="46">
        <v>2.46</v>
      </c>
      <c r="N10" s="4"/>
      <c r="O10" s="4"/>
      <c r="P10" s="4"/>
      <c r="Q10" s="50" t="s">
        <v>22</v>
      </c>
      <c r="R10" s="30"/>
      <c r="S10" s="30"/>
      <c r="T10" s="30"/>
      <c r="U10" s="47">
        <v>1.1626000000000001</v>
      </c>
    </row>
    <row r="11" spans="1:22" ht="12.75">
      <c r="A11" s="30" t="s">
        <v>21</v>
      </c>
      <c r="B11" s="28">
        <v>10</v>
      </c>
      <c r="C11" s="28">
        <v>2018</v>
      </c>
      <c r="D11" s="28">
        <v>834930.27500000002</v>
      </c>
      <c r="E11" s="46">
        <v>0.48</v>
      </c>
      <c r="F11" s="4"/>
      <c r="H11" s="28">
        <v>15123.88485</v>
      </c>
      <c r="I11" s="47">
        <v>0.73709999999999998</v>
      </c>
      <c r="J11" s="4"/>
      <c r="K11" s="4"/>
      <c r="L11" s="28">
        <v>27337.599999999999</v>
      </c>
      <c r="M11" s="46">
        <v>2.46</v>
      </c>
      <c r="N11" s="4"/>
      <c r="O11" s="4"/>
      <c r="P11" s="4"/>
      <c r="Q11" s="50" t="s">
        <v>22</v>
      </c>
      <c r="R11" s="30"/>
      <c r="S11" s="30"/>
      <c r="T11" s="30"/>
      <c r="U11" s="47">
        <v>1.1345000000000001</v>
      </c>
    </row>
    <row r="12" spans="1:22" ht="12.75">
      <c r="A12" s="30" t="s">
        <v>21</v>
      </c>
      <c r="B12" s="28">
        <v>11</v>
      </c>
      <c r="C12" s="28">
        <v>2018</v>
      </c>
      <c r="D12" s="28">
        <v>768171.3</v>
      </c>
      <c r="E12" s="46">
        <v>0.48</v>
      </c>
      <c r="F12" s="4"/>
      <c r="H12" s="28">
        <v>12729.222800000001</v>
      </c>
      <c r="I12" s="47">
        <v>0.73709999999999998</v>
      </c>
      <c r="J12" s="4"/>
      <c r="K12" s="4"/>
      <c r="L12" s="28">
        <v>25024</v>
      </c>
      <c r="M12" s="46">
        <v>2.46</v>
      </c>
      <c r="N12" s="4"/>
      <c r="O12" s="4"/>
      <c r="P12" s="4"/>
      <c r="Q12" s="50" t="s">
        <v>22</v>
      </c>
      <c r="R12" s="30"/>
      <c r="S12" s="30"/>
      <c r="T12" s="30"/>
      <c r="U12" s="47">
        <v>1.1299999999999999</v>
      </c>
    </row>
    <row r="13" spans="1:22" ht="12.75">
      <c r="A13" s="30" t="s">
        <v>21</v>
      </c>
      <c r="B13" s="28">
        <v>12</v>
      </c>
      <c r="C13" s="28">
        <v>2018</v>
      </c>
      <c r="D13" s="28">
        <v>936278.5</v>
      </c>
      <c r="E13" s="46">
        <v>0.48</v>
      </c>
      <c r="F13" s="48"/>
      <c r="H13" s="28">
        <v>15015.678500000002</v>
      </c>
      <c r="I13" s="47">
        <v>0.73709999999999998</v>
      </c>
      <c r="J13" s="4"/>
      <c r="K13" s="4"/>
      <c r="L13" s="28">
        <v>19744</v>
      </c>
      <c r="M13" s="46">
        <v>2.46</v>
      </c>
      <c r="N13" s="4"/>
      <c r="O13" s="4"/>
      <c r="P13" s="4"/>
      <c r="Q13" s="50" t="s">
        <v>22</v>
      </c>
      <c r="R13" s="30"/>
      <c r="S13" s="30"/>
      <c r="T13" s="30"/>
      <c r="U13" s="47">
        <v>1.1399999999999999</v>
      </c>
    </row>
    <row r="14" spans="1:22" ht="12.75">
      <c r="A14" s="30" t="s">
        <v>21</v>
      </c>
      <c r="B14" s="28">
        <v>1</v>
      </c>
      <c r="C14" s="28">
        <v>2019</v>
      </c>
      <c r="D14" s="49">
        <v>853661.95200000005</v>
      </c>
      <c r="E14" s="46">
        <v>0.49</v>
      </c>
      <c r="F14" s="4">
        <v>424301.95278344507</v>
      </c>
      <c r="G14" s="4">
        <v>77774.547945205486</v>
      </c>
      <c r="H14" s="28">
        <v>12466.121500000001</v>
      </c>
      <c r="I14" s="47">
        <v>0.73709999999999998</v>
      </c>
      <c r="J14" s="4">
        <v>10824.092193955208</v>
      </c>
      <c r="K14" s="4">
        <v>7978.4383561643826</v>
      </c>
      <c r="L14" s="28">
        <v>21246.400000000001</v>
      </c>
      <c r="M14" s="46">
        <v>4.03</v>
      </c>
      <c r="N14" s="4"/>
      <c r="O14" s="4"/>
      <c r="P14" s="4"/>
      <c r="Q14" s="50">
        <v>1031</v>
      </c>
      <c r="R14" s="30"/>
      <c r="S14" s="30"/>
      <c r="T14" s="30"/>
      <c r="U14" s="47">
        <v>1.1399999999999999</v>
      </c>
    </row>
    <row r="15" spans="1:22" ht="12.75">
      <c r="A15" s="30" t="s">
        <v>21</v>
      </c>
      <c r="B15" s="28">
        <v>2</v>
      </c>
      <c r="C15" s="28">
        <v>2019</v>
      </c>
      <c r="D15" s="49">
        <v>864591.87199999997</v>
      </c>
      <c r="E15" s="46">
        <v>0.49</v>
      </c>
      <c r="F15" s="4">
        <v>466831.82745555235</v>
      </c>
      <c r="G15" s="4">
        <v>85570.27397260275</v>
      </c>
      <c r="H15" s="28">
        <v>12466.121500000001</v>
      </c>
      <c r="I15" s="47">
        <v>0.73709999999999998</v>
      </c>
      <c r="J15" s="4">
        <v>10824.092193955208</v>
      </c>
      <c r="K15" s="4">
        <v>7978.4383561643826</v>
      </c>
      <c r="L15" s="28">
        <v>19927.599999999999</v>
      </c>
      <c r="M15" s="46">
        <v>4.03</v>
      </c>
      <c r="N15" s="4"/>
      <c r="O15" s="4"/>
      <c r="P15" s="4"/>
      <c r="Q15" s="50">
        <v>1317</v>
      </c>
      <c r="R15" s="30"/>
      <c r="S15" s="30"/>
      <c r="T15" s="30"/>
      <c r="U15" s="47">
        <v>1.1345000000000001</v>
      </c>
    </row>
    <row r="16" spans="1:22" ht="12.75">
      <c r="A16" s="30" t="s">
        <v>21</v>
      </c>
      <c r="B16" s="28">
        <v>3</v>
      </c>
      <c r="C16" s="28">
        <v>2019</v>
      </c>
      <c r="D16" s="49">
        <v>1062464.2559999998</v>
      </c>
      <c r="E16" s="46">
        <v>0.49</v>
      </c>
      <c r="F16" s="4">
        <v>567508.01515593112</v>
      </c>
      <c r="G16" s="4">
        <v>104024.21917808217</v>
      </c>
      <c r="H16" s="28">
        <v>14162.07215</v>
      </c>
      <c r="I16" s="47">
        <v>0.73709999999999998</v>
      </c>
      <c r="J16" s="4">
        <v>10824.092193955208</v>
      </c>
      <c r="K16" s="4">
        <v>7978.4383561643826</v>
      </c>
      <c r="L16" s="28">
        <v>19452.400000000001</v>
      </c>
      <c r="M16" s="46">
        <v>4.03</v>
      </c>
      <c r="N16" s="4"/>
      <c r="O16" s="4"/>
      <c r="P16" s="4"/>
      <c r="Q16" s="50">
        <v>1537</v>
      </c>
      <c r="R16" s="30"/>
      <c r="S16" s="30"/>
      <c r="T16" s="30"/>
      <c r="U16" s="47">
        <v>1.1345000000000001</v>
      </c>
    </row>
    <row r="17" spans="1:24" ht="12.75">
      <c r="A17" s="30" t="s">
        <v>21</v>
      </c>
      <c r="B17" s="28">
        <v>4</v>
      </c>
      <c r="C17" s="28">
        <v>2019</v>
      </c>
      <c r="D17" s="49">
        <v>1338159.872</v>
      </c>
      <c r="E17" s="46">
        <v>0.49</v>
      </c>
      <c r="F17" s="4">
        <v>493080.73447974358</v>
      </c>
      <c r="G17" s="4">
        <v>90381.698630137005</v>
      </c>
      <c r="H17" s="28">
        <v>13864.428</v>
      </c>
      <c r="I17" s="47">
        <v>0.73709999999999998</v>
      </c>
      <c r="J17" s="4">
        <v>10824.092193955208</v>
      </c>
      <c r="K17" s="4">
        <v>7978.4383561643826</v>
      </c>
      <c r="L17" s="28">
        <v>17103.599999999999</v>
      </c>
      <c r="M17" s="46">
        <v>4.03</v>
      </c>
      <c r="N17" s="4"/>
      <c r="O17" s="4"/>
      <c r="P17" s="4"/>
      <c r="Q17" s="50">
        <v>1558</v>
      </c>
      <c r="R17" s="30"/>
      <c r="S17" s="30"/>
      <c r="T17" s="30"/>
      <c r="U17" s="47">
        <v>1.1200000000000001</v>
      </c>
    </row>
    <row r="18" spans="1:24" ht="12.75">
      <c r="A18" s="30" t="s">
        <v>21</v>
      </c>
      <c r="B18" s="28">
        <v>5</v>
      </c>
      <c r="C18" s="28">
        <v>2019</v>
      </c>
      <c r="D18" s="49">
        <v>887119.61600000015</v>
      </c>
      <c r="E18" s="46">
        <v>0.49</v>
      </c>
      <c r="F18" s="4">
        <v>522320.02331681718</v>
      </c>
      <c r="G18" s="4">
        <v>95741.260273972584</v>
      </c>
      <c r="H18" s="28">
        <v>10698.7873</v>
      </c>
      <c r="I18" s="47">
        <v>0.73709999999999998</v>
      </c>
      <c r="J18" s="4">
        <v>10824.092193955208</v>
      </c>
      <c r="K18" s="4">
        <v>7978.4383561643826</v>
      </c>
      <c r="L18" s="28">
        <v>27418.6</v>
      </c>
      <c r="M18" s="46">
        <v>4.03</v>
      </c>
      <c r="N18" s="4"/>
      <c r="O18" s="4"/>
      <c r="P18" s="4"/>
      <c r="Q18" s="50">
        <v>1232</v>
      </c>
      <c r="R18" s="30"/>
      <c r="S18" s="30"/>
      <c r="T18" s="30"/>
      <c r="U18" s="47">
        <v>1.1200000000000001</v>
      </c>
    </row>
    <row r="19" spans="1:24" ht="12.75">
      <c r="A19" s="30" t="s">
        <v>21</v>
      </c>
      <c r="B19" s="28">
        <v>6</v>
      </c>
      <c r="C19" s="28">
        <v>2019</v>
      </c>
      <c r="D19" s="49">
        <v>1244812.8</v>
      </c>
      <c r="E19" s="46">
        <v>0.49</v>
      </c>
      <c r="F19" s="4">
        <v>408685.51442728069</v>
      </c>
      <c r="G19" s="4">
        <v>74912.054794520547</v>
      </c>
      <c r="H19" s="28">
        <v>9857.4923500000004</v>
      </c>
      <c r="I19" s="47">
        <v>0.73709999999999998</v>
      </c>
      <c r="J19" s="4">
        <v>10824.092193955208</v>
      </c>
      <c r="K19" s="4">
        <v>7978.4383561643826</v>
      </c>
      <c r="L19" s="28">
        <v>24637.4</v>
      </c>
      <c r="M19" s="46">
        <v>4.03</v>
      </c>
      <c r="N19" s="4"/>
      <c r="O19" s="4"/>
      <c r="P19" s="4"/>
      <c r="Q19" s="50">
        <v>1468</v>
      </c>
      <c r="R19" s="30"/>
      <c r="S19" s="30"/>
      <c r="T19" s="30"/>
      <c r="U19" s="47">
        <v>1.1200000000000001</v>
      </c>
    </row>
    <row r="20" spans="1:24" ht="12.75">
      <c r="A20" s="30" t="s">
        <v>21</v>
      </c>
      <c r="B20" s="28">
        <v>7</v>
      </c>
      <c r="C20" s="28">
        <v>2019</v>
      </c>
      <c r="D20" s="49">
        <v>936595.71199999994</v>
      </c>
      <c r="E20" s="46">
        <v>0.49</v>
      </c>
      <c r="F20" s="4">
        <v>525310.40512969973</v>
      </c>
      <c r="G20" s="4">
        <v>96289.397260273967</v>
      </c>
      <c r="H20" s="28">
        <v>13261.389150000001</v>
      </c>
      <c r="I20" s="47">
        <v>0.73709999999999998</v>
      </c>
      <c r="J20" s="4">
        <v>10824.092193955208</v>
      </c>
      <c r="K20" s="4">
        <v>7978.4383561643826</v>
      </c>
      <c r="L20" s="28">
        <v>23867</v>
      </c>
      <c r="M20" s="46">
        <v>4.03</v>
      </c>
      <c r="N20" s="4"/>
      <c r="O20" s="4"/>
      <c r="P20" s="4"/>
      <c r="Q20" s="50">
        <v>1797</v>
      </c>
      <c r="R20" s="30"/>
      <c r="S20" s="30"/>
      <c r="T20" s="30"/>
      <c r="U20" s="47">
        <v>1.1200000000000001</v>
      </c>
    </row>
    <row r="21" spans="1:24" ht="12.75">
      <c r="A21" s="30" t="s">
        <v>21</v>
      </c>
      <c r="B21" s="28">
        <v>8</v>
      </c>
      <c r="C21" s="28">
        <v>2019</v>
      </c>
      <c r="D21" s="49">
        <v>958356.22400000028</v>
      </c>
      <c r="E21" s="46">
        <v>0.49</v>
      </c>
      <c r="F21" s="4">
        <v>587776.15855435724</v>
      </c>
      <c r="G21" s="4">
        <v>107739.36986301369</v>
      </c>
      <c r="H21" s="28">
        <v>13261.389150000001</v>
      </c>
      <c r="I21" s="47">
        <v>0.73709999999999998</v>
      </c>
      <c r="J21" s="4">
        <v>10824.092193955208</v>
      </c>
      <c r="K21" s="4">
        <v>7978.4383561643826</v>
      </c>
      <c r="L21" s="28">
        <v>16304</v>
      </c>
      <c r="M21" s="46">
        <v>4.03</v>
      </c>
      <c r="N21" s="4"/>
      <c r="O21" s="4"/>
      <c r="P21" s="4"/>
      <c r="Q21" s="50">
        <v>1892</v>
      </c>
      <c r="R21" s="30"/>
      <c r="S21" s="30"/>
      <c r="T21" s="30"/>
      <c r="U21" s="47">
        <v>1.1134999999999999</v>
      </c>
    </row>
    <row r="22" spans="1:24" ht="12.75">
      <c r="A22" s="30" t="s">
        <v>21</v>
      </c>
      <c r="B22" s="28">
        <v>9</v>
      </c>
      <c r="C22" s="28">
        <v>2019</v>
      </c>
      <c r="D22" s="49">
        <v>1104526.3359999999</v>
      </c>
      <c r="E22" s="46">
        <v>0.49</v>
      </c>
      <c r="F22" s="4">
        <v>391740.01748761296</v>
      </c>
      <c r="G22" s="4">
        <v>71805.945205479453</v>
      </c>
      <c r="H22" s="28">
        <v>12000</v>
      </c>
      <c r="I22" s="47">
        <v>0.73709999999999998</v>
      </c>
      <c r="J22" s="4">
        <v>10824.092193955208</v>
      </c>
      <c r="K22" s="4">
        <v>7978.4383561643826</v>
      </c>
      <c r="L22" s="28">
        <v>14817</v>
      </c>
      <c r="M22" s="46">
        <v>4.03</v>
      </c>
      <c r="N22" s="4"/>
      <c r="O22" s="4"/>
      <c r="P22" s="4"/>
      <c r="Q22" s="52">
        <v>971</v>
      </c>
      <c r="R22" s="28"/>
      <c r="S22" s="28"/>
      <c r="T22" s="28"/>
      <c r="U22" s="47">
        <v>1.1019000000000001</v>
      </c>
      <c r="X22" s="4"/>
    </row>
    <row r="23" spans="1:24" ht="12.75">
      <c r="A23" s="30" t="s">
        <v>21</v>
      </c>
      <c r="B23" s="28">
        <v>10</v>
      </c>
      <c r="C23" s="28">
        <v>2019</v>
      </c>
      <c r="D23" s="49">
        <v>842405.63199999987</v>
      </c>
      <c r="E23" s="46">
        <v>0.49</v>
      </c>
      <c r="F23" s="4">
        <v>563520.83940542117</v>
      </c>
      <c r="G23" s="4">
        <v>103293.36986301369</v>
      </c>
      <c r="H23" s="28">
        <v>11625</v>
      </c>
      <c r="I23" s="47">
        <v>0.73709999999999998</v>
      </c>
      <c r="J23" s="4">
        <v>10824.092193955208</v>
      </c>
      <c r="K23" s="4">
        <v>7978.4383561643826</v>
      </c>
      <c r="L23" s="28">
        <v>16865</v>
      </c>
      <c r="M23" s="46">
        <v>4.03</v>
      </c>
      <c r="N23" s="4"/>
      <c r="O23" s="4"/>
      <c r="P23" s="4"/>
      <c r="Q23" s="50">
        <v>1539</v>
      </c>
      <c r="R23" s="30"/>
      <c r="S23" s="30"/>
      <c r="T23" s="30"/>
      <c r="U23" s="47">
        <v>1.1052</v>
      </c>
    </row>
    <row r="24" spans="1:24" ht="12.75">
      <c r="A24" s="30" t="s">
        <v>21</v>
      </c>
      <c r="B24" s="28">
        <v>11</v>
      </c>
      <c r="C24" s="28">
        <v>2019</v>
      </c>
      <c r="D24" s="49">
        <v>1184382.9760000003</v>
      </c>
      <c r="E24" s="46">
        <v>0.49</v>
      </c>
      <c r="F24" s="4">
        <v>503380.93850189442</v>
      </c>
      <c r="G24" s="4">
        <v>92269.72602739725</v>
      </c>
      <c r="H24" s="28">
        <v>11250</v>
      </c>
      <c r="I24" s="47">
        <v>0.73709999999999998</v>
      </c>
      <c r="J24" s="4">
        <v>10824.092193955208</v>
      </c>
      <c r="K24" s="4">
        <v>7978.4383561643826</v>
      </c>
      <c r="L24" s="28">
        <v>14146</v>
      </c>
      <c r="M24" s="46">
        <v>4.03</v>
      </c>
      <c r="N24" s="4"/>
      <c r="O24" s="4"/>
      <c r="P24" s="4"/>
      <c r="Q24" s="50">
        <v>1620</v>
      </c>
      <c r="R24" s="30"/>
      <c r="S24" s="30"/>
      <c r="T24" s="30"/>
      <c r="U24" s="47">
        <v>1.1057999999999999</v>
      </c>
    </row>
    <row r="25" spans="1:24" ht="12.75">
      <c r="A25" s="30" t="s">
        <v>21</v>
      </c>
      <c r="B25" s="28">
        <v>12</v>
      </c>
      <c r="C25" s="28">
        <v>2019</v>
      </c>
      <c r="D25" s="49">
        <v>975408.38400000008</v>
      </c>
      <c r="E25" s="46">
        <v>0.49</v>
      </c>
      <c r="F25" s="4">
        <v>513348.87787816953</v>
      </c>
      <c r="G25" s="4">
        <v>94096.849315068481</v>
      </c>
      <c r="H25" s="28">
        <v>15221</v>
      </c>
      <c r="I25" s="47">
        <v>0.73709999999999998</v>
      </c>
      <c r="J25" s="4">
        <v>10824.092193955208</v>
      </c>
      <c r="K25" s="4">
        <v>7978.4383561643826</v>
      </c>
      <c r="L25" s="28">
        <v>15704</v>
      </c>
      <c r="M25" s="46">
        <v>4.03</v>
      </c>
      <c r="N25" s="4"/>
      <c r="O25" s="4"/>
      <c r="P25" s="4"/>
      <c r="Q25" s="50">
        <v>910</v>
      </c>
      <c r="R25" s="30"/>
      <c r="S25" s="30"/>
      <c r="T25" s="30"/>
      <c r="U25" s="47">
        <v>1.1105</v>
      </c>
    </row>
    <row r="26" spans="1:24" ht="12.75">
      <c r="A26" s="30" t="s">
        <v>21</v>
      </c>
      <c r="B26" s="28">
        <v>1</v>
      </c>
      <c r="C26" s="28">
        <v>2020</v>
      </c>
      <c r="D26" s="28">
        <v>731844</v>
      </c>
      <c r="E26" s="46">
        <v>0.4</v>
      </c>
      <c r="F26" s="4">
        <v>802211.02500000002</v>
      </c>
      <c r="G26" s="4">
        <v>3375.8789643631003</v>
      </c>
      <c r="H26" s="28">
        <v>10199</v>
      </c>
      <c r="I26" s="47">
        <v>0.73709999999999998</v>
      </c>
      <c r="J26" s="4">
        <v>10865.913269999999</v>
      </c>
      <c r="K26" s="4">
        <v>8009.2646713169979</v>
      </c>
      <c r="L26" s="28">
        <v>15388</v>
      </c>
      <c r="M26" s="46">
        <v>5.72</v>
      </c>
      <c r="N26" s="4"/>
      <c r="O26" s="4"/>
      <c r="P26" s="4"/>
      <c r="Q26" s="50">
        <v>2073</v>
      </c>
      <c r="R26" s="30"/>
      <c r="S26" s="30"/>
      <c r="T26" s="30"/>
      <c r="U26" s="47">
        <v>1.1108</v>
      </c>
    </row>
    <row r="27" spans="1:24" ht="12.75">
      <c r="A27" s="30" t="s">
        <v>21</v>
      </c>
      <c r="B27" s="28">
        <v>2</v>
      </c>
      <c r="C27" s="28">
        <v>2020</v>
      </c>
      <c r="D27" s="28">
        <v>703534</v>
      </c>
      <c r="E27" s="46">
        <v>0.4</v>
      </c>
      <c r="F27" s="4">
        <v>756001.15</v>
      </c>
      <c r="G27" s="4">
        <v>5597.5214549367101</v>
      </c>
      <c r="H27" s="28">
        <v>13514</v>
      </c>
      <c r="I27" s="47">
        <v>0.73709999999999998</v>
      </c>
      <c r="J27" s="4">
        <v>10865.913269999999</v>
      </c>
      <c r="K27" s="4">
        <v>8009.2646713169979</v>
      </c>
      <c r="L27" s="28">
        <v>12364</v>
      </c>
      <c r="M27" s="46">
        <v>5.72</v>
      </c>
      <c r="N27" s="4"/>
      <c r="O27" s="4"/>
      <c r="P27" s="4"/>
      <c r="Q27" s="50">
        <v>2024</v>
      </c>
      <c r="R27" s="30"/>
      <c r="S27" s="30"/>
      <c r="T27" s="30"/>
      <c r="U27" s="47">
        <v>1.0919000000000001</v>
      </c>
    </row>
    <row r="28" spans="1:24" ht="12.75">
      <c r="A28" s="30" t="s">
        <v>21</v>
      </c>
      <c r="B28" s="28">
        <v>3</v>
      </c>
      <c r="C28" s="28">
        <v>2020</v>
      </c>
      <c r="D28" s="28">
        <v>685972</v>
      </c>
      <c r="E28" s="46">
        <v>0.4</v>
      </c>
      <c r="F28" s="4">
        <v>940129.47499999998</v>
      </c>
      <c r="G28" s="4">
        <v>6241.4758000305101</v>
      </c>
      <c r="H28" s="28">
        <v>9147</v>
      </c>
      <c r="I28" s="47">
        <v>0.73709999999999998</v>
      </c>
      <c r="J28" s="4">
        <v>10865.913269999999</v>
      </c>
      <c r="K28" s="4">
        <v>8009.2646713169979</v>
      </c>
      <c r="L28" s="28">
        <v>12772</v>
      </c>
      <c r="M28" s="46">
        <v>5.72</v>
      </c>
      <c r="N28" s="4"/>
      <c r="O28" s="4"/>
      <c r="P28" s="4"/>
      <c r="Q28" s="50">
        <v>1295</v>
      </c>
      <c r="R28" s="30"/>
      <c r="S28" s="30"/>
      <c r="T28" s="30"/>
      <c r="U28" s="47">
        <v>1.107</v>
      </c>
    </row>
    <row r="29" spans="1:24" ht="12.75">
      <c r="A29" s="30" t="s">
        <v>21</v>
      </c>
      <c r="B29" s="28">
        <v>4</v>
      </c>
      <c r="C29" s="28">
        <v>2020</v>
      </c>
      <c r="D29" s="28">
        <v>668527</v>
      </c>
      <c r="E29" s="46">
        <v>0.4</v>
      </c>
      <c r="F29" s="4">
        <v>897128.52500000002</v>
      </c>
      <c r="G29" s="4">
        <v>5794.285282604259</v>
      </c>
      <c r="H29" s="28">
        <v>1927</v>
      </c>
      <c r="I29" s="47">
        <v>0.73709999999999998</v>
      </c>
      <c r="J29" s="4">
        <v>10865.913269999999</v>
      </c>
      <c r="K29" s="4">
        <v>8009.2646713169979</v>
      </c>
      <c r="L29" s="28">
        <v>9513</v>
      </c>
      <c r="M29" s="46">
        <v>5.72</v>
      </c>
      <c r="N29" s="4"/>
      <c r="O29" s="4"/>
      <c r="P29" s="4"/>
      <c r="Q29" s="50">
        <v>0</v>
      </c>
      <c r="R29" s="30"/>
      <c r="S29" s="30"/>
      <c r="T29" s="30"/>
      <c r="U29" s="47">
        <v>1.087</v>
      </c>
    </row>
    <row r="30" spans="1:24" ht="12.75">
      <c r="A30" s="30" t="s">
        <v>21</v>
      </c>
      <c r="B30" s="28">
        <v>5</v>
      </c>
      <c r="C30" s="28">
        <v>2020</v>
      </c>
      <c r="D30" s="28">
        <v>501710</v>
      </c>
      <c r="E30" s="46">
        <v>0.4</v>
      </c>
      <c r="F30" s="4">
        <v>853815</v>
      </c>
      <c r="G30" s="4">
        <v>5304.1644755050902</v>
      </c>
      <c r="H30" s="28">
        <v>0</v>
      </c>
      <c r="I30" s="47">
        <v>0.73709999999999998</v>
      </c>
      <c r="J30" s="4">
        <v>10865.913269999999</v>
      </c>
      <c r="K30" s="4">
        <v>8009.2646713169979</v>
      </c>
      <c r="L30" s="28">
        <v>8065</v>
      </c>
      <c r="M30" s="46">
        <v>5.72</v>
      </c>
      <c r="N30" s="4"/>
      <c r="O30" s="4"/>
      <c r="P30" s="4"/>
      <c r="Q30" s="50">
        <v>0</v>
      </c>
      <c r="R30" s="30"/>
      <c r="S30" s="30"/>
      <c r="T30" s="30"/>
      <c r="U30" s="47">
        <v>1.0920000000000001</v>
      </c>
    </row>
    <row r="31" spans="1:24" ht="12.75">
      <c r="A31" s="30" t="s">
        <v>21</v>
      </c>
      <c r="B31" s="28">
        <v>6</v>
      </c>
      <c r="C31" s="28">
        <v>2020</v>
      </c>
      <c r="D31" s="28">
        <v>350359</v>
      </c>
      <c r="E31" s="46">
        <v>0.4</v>
      </c>
      <c r="F31" s="4">
        <v>889943.77500000002</v>
      </c>
      <c r="G31" s="4">
        <v>5075.2029305828501</v>
      </c>
      <c r="H31" s="28">
        <v>30</v>
      </c>
      <c r="I31" s="47">
        <v>0.73709999999999998</v>
      </c>
      <c r="J31" s="4">
        <v>10865.913269999999</v>
      </c>
      <c r="K31" s="4">
        <v>8009.2646713169979</v>
      </c>
      <c r="L31" s="28">
        <v>7091</v>
      </c>
      <c r="M31" s="46">
        <v>5.72</v>
      </c>
      <c r="N31" s="4"/>
      <c r="O31" s="4"/>
      <c r="P31" s="4"/>
      <c r="Q31" s="50">
        <v>0</v>
      </c>
      <c r="R31" s="30"/>
      <c r="S31" s="30"/>
      <c r="T31" s="30"/>
      <c r="U31" s="47">
        <v>1.125</v>
      </c>
    </row>
    <row r="32" spans="1:24" ht="12.75">
      <c r="A32" s="30" t="s">
        <v>21</v>
      </c>
      <c r="B32" s="28">
        <v>7</v>
      </c>
      <c r="C32" s="28">
        <v>2020</v>
      </c>
      <c r="D32" s="28">
        <v>663067</v>
      </c>
      <c r="E32" s="46">
        <v>0.4</v>
      </c>
      <c r="F32" s="4">
        <v>877001</v>
      </c>
      <c r="G32" s="4">
        <v>6302.2937104004795</v>
      </c>
      <c r="H32" s="28">
        <v>5890</v>
      </c>
      <c r="I32" s="47">
        <v>0.73709999999999998</v>
      </c>
      <c r="J32" s="4">
        <v>10865.913269999999</v>
      </c>
      <c r="K32" s="4">
        <v>8009.2646713169979</v>
      </c>
      <c r="L32" s="28">
        <v>11536</v>
      </c>
      <c r="M32" s="46">
        <v>5.72</v>
      </c>
      <c r="N32" s="4"/>
      <c r="O32" s="4"/>
      <c r="P32" s="4"/>
      <c r="Q32" s="50">
        <v>0</v>
      </c>
      <c r="R32" s="30"/>
      <c r="S32" s="30"/>
      <c r="T32" s="30"/>
      <c r="U32" s="47">
        <v>1.1438999999999999</v>
      </c>
    </row>
    <row r="33" spans="1:21" ht="12.75">
      <c r="A33" s="30" t="s">
        <v>21</v>
      </c>
      <c r="B33" s="28">
        <v>8</v>
      </c>
      <c r="C33" s="28">
        <v>2020</v>
      </c>
      <c r="D33" s="28">
        <v>976868</v>
      </c>
      <c r="E33" s="46">
        <v>0.4</v>
      </c>
      <c r="F33" s="4">
        <v>947522</v>
      </c>
      <c r="G33" s="4">
        <v>6971.2907244701491</v>
      </c>
      <c r="H33" s="28">
        <v>18569</v>
      </c>
      <c r="I33" s="47">
        <v>0.73709999999999998</v>
      </c>
      <c r="J33" s="4">
        <v>10865.913269999999</v>
      </c>
      <c r="K33" s="4">
        <v>8009.2646713169979</v>
      </c>
      <c r="L33" s="28">
        <v>14851</v>
      </c>
      <c r="M33" s="46">
        <v>5.72</v>
      </c>
      <c r="N33" s="4"/>
      <c r="O33" s="4"/>
      <c r="P33" s="4"/>
      <c r="Q33" s="50">
        <v>0</v>
      </c>
      <c r="R33" s="30"/>
      <c r="S33" s="30"/>
      <c r="T33" s="30"/>
      <c r="U33" s="47">
        <v>1.1825000000000001</v>
      </c>
    </row>
    <row r="34" spans="1:21" ht="12.75">
      <c r="A34" s="30" t="s">
        <v>21</v>
      </c>
      <c r="B34" s="28">
        <v>9</v>
      </c>
      <c r="C34" s="28">
        <v>2020</v>
      </c>
      <c r="D34" s="28">
        <v>993647</v>
      </c>
      <c r="E34" s="46">
        <v>0.4</v>
      </c>
      <c r="F34" s="4">
        <v>788545</v>
      </c>
      <c r="G34" s="4">
        <v>4542.1518338107599</v>
      </c>
      <c r="H34" s="28">
        <v>6030</v>
      </c>
      <c r="I34" s="47">
        <v>0.73709999999999998</v>
      </c>
      <c r="J34" s="4">
        <v>10865.913269999999</v>
      </c>
      <c r="K34" s="4">
        <v>8009.2646713169997</v>
      </c>
      <c r="L34" s="28">
        <v>14022</v>
      </c>
      <c r="M34" s="46">
        <v>5.72</v>
      </c>
      <c r="N34" s="4"/>
      <c r="O34" s="4"/>
      <c r="P34" s="4"/>
      <c r="Q34" s="50">
        <v>0</v>
      </c>
      <c r="R34" s="30"/>
      <c r="S34" s="30"/>
      <c r="T34" s="30"/>
      <c r="U34" s="47">
        <v>1.1794</v>
      </c>
    </row>
    <row r="35" spans="1:21" ht="12.75">
      <c r="A35" s="30" t="s">
        <v>21</v>
      </c>
      <c r="B35" s="28">
        <v>10</v>
      </c>
      <c r="C35" s="28">
        <v>2020</v>
      </c>
      <c r="D35" s="28">
        <v>1046800</v>
      </c>
      <c r="E35" s="46">
        <v>0.4</v>
      </c>
      <c r="F35" s="4">
        <v>839646</v>
      </c>
      <c r="G35" s="4">
        <v>6011.296730529999</v>
      </c>
      <c r="H35" s="28">
        <v>4681</v>
      </c>
      <c r="I35" s="47">
        <v>0.73709999999999998</v>
      </c>
      <c r="J35" s="4">
        <v>10865.913269999999</v>
      </c>
      <c r="K35" s="4">
        <v>8009.2646713169997</v>
      </c>
      <c r="L35" s="28">
        <v>15208</v>
      </c>
      <c r="M35" s="46">
        <v>5.72</v>
      </c>
      <c r="N35" s="4"/>
      <c r="O35" s="4"/>
      <c r="P35" s="4"/>
      <c r="Q35" s="50">
        <v>0</v>
      </c>
      <c r="R35" s="30"/>
      <c r="S35" s="30"/>
      <c r="T35" s="30"/>
      <c r="U35" s="47">
        <v>1.19</v>
      </c>
    </row>
    <row r="36" spans="1:21" ht="12.75">
      <c r="A36" s="30" t="s">
        <v>21</v>
      </c>
      <c r="B36" s="28">
        <v>11</v>
      </c>
      <c r="C36" s="28">
        <v>2020</v>
      </c>
      <c r="D36" s="28">
        <v>520990</v>
      </c>
      <c r="E36" s="46">
        <v>0.4</v>
      </c>
      <c r="F36" s="31">
        <v>904233</v>
      </c>
      <c r="G36" s="4">
        <v>5856.8313844300001</v>
      </c>
      <c r="H36" s="28">
        <v>4826</v>
      </c>
      <c r="I36" s="47">
        <v>0.73709999999999998</v>
      </c>
      <c r="J36" s="4">
        <v>10865.913269999999</v>
      </c>
      <c r="K36" s="4">
        <v>8009.2646713169997</v>
      </c>
      <c r="L36" s="28">
        <v>15052</v>
      </c>
      <c r="M36" s="46">
        <v>5.72</v>
      </c>
      <c r="N36" s="4"/>
      <c r="O36" s="4"/>
      <c r="P36" s="4"/>
      <c r="Q36" s="50">
        <v>277</v>
      </c>
      <c r="R36" s="30"/>
      <c r="S36" s="30"/>
      <c r="T36" s="30"/>
      <c r="U36" s="47">
        <v>1.22</v>
      </c>
    </row>
    <row r="37" spans="1:21" ht="12.75">
      <c r="A37" s="30" t="s">
        <v>21</v>
      </c>
      <c r="B37" s="28">
        <v>12</v>
      </c>
      <c r="C37" s="28">
        <v>2020</v>
      </c>
      <c r="D37" s="28">
        <v>886732</v>
      </c>
      <c r="E37" s="46">
        <v>0.4</v>
      </c>
      <c r="F37" s="31">
        <v>999283</v>
      </c>
      <c r="G37" s="4">
        <v>6099.5626420300005</v>
      </c>
      <c r="H37" s="28">
        <v>6262</v>
      </c>
      <c r="I37" s="47">
        <v>0.73709999999999998</v>
      </c>
      <c r="J37" s="4">
        <v>10865.913269999999</v>
      </c>
      <c r="K37" s="4">
        <v>8009.2646713169997</v>
      </c>
      <c r="L37" s="28">
        <v>15483</v>
      </c>
      <c r="M37" s="46">
        <v>5.72</v>
      </c>
      <c r="N37" s="4"/>
      <c r="O37" s="4"/>
      <c r="P37" s="4"/>
      <c r="Q37" s="50">
        <v>1691</v>
      </c>
      <c r="R37" s="30"/>
      <c r="S37" s="30"/>
      <c r="T37" s="30"/>
      <c r="U37" s="30">
        <v>1.22</v>
      </c>
    </row>
    <row r="38" spans="1:21" ht="12.75">
      <c r="A38" s="30" t="s">
        <v>21</v>
      </c>
      <c r="B38" s="30">
        <v>1</v>
      </c>
      <c r="C38" s="30">
        <v>2021</v>
      </c>
      <c r="D38" s="52">
        <v>694995.96799999999</v>
      </c>
      <c r="E38" s="46">
        <v>0.34</v>
      </c>
      <c r="F38" s="4">
        <v>143313.85734759123</v>
      </c>
      <c r="G38" s="4">
        <v>32361.702127659577</v>
      </c>
      <c r="H38" s="52">
        <v>3880</v>
      </c>
      <c r="I38" s="47">
        <v>0.73709999999999998</v>
      </c>
      <c r="J38" s="4">
        <v>1013.1712259371834</v>
      </c>
      <c r="K38" s="4">
        <v>746.80851063829778</v>
      </c>
      <c r="L38" s="28">
        <v>12668</v>
      </c>
      <c r="M38" s="46">
        <v>2.46</v>
      </c>
      <c r="Q38" s="50">
        <v>266</v>
      </c>
      <c r="R38" s="30"/>
      <c r="S38" s="30"/>
      <c r="T38" s="30"/>
      <c r="U38" s="30">
        <v>1.21</v>
      </c>
    </row>
    <row r="39" spans="1:21" ht="12.75">
      <c r="A39" s="30" t="s">
        <v>21</v>
      </c>
      <c r="B39" s="30">
        <v>2</v>
      </c>
      <c r="C39" s="30">
        <v>2021</v>
      </c>
      <c r="D39" s="52">
        <v>706851.84000000008</v>
      </c>
      <c r="E39" s="46">
        <v>0.34</v>
      </c>
      <c r="F39" s="4">
        <v>185573.07169367583</v>
      </c>
      <c r="G39" s="4">
        <v>41904.255319148942</v>
      </c>
      <c r="H39" s="52">
        <v>5280</v>
      </c>
      <c r="I39" s="47">
        <v>0.73709999999999998</v>
      </c>
      <c r="J39" s="4">
        <v>2364.0661938534281</v>
      </c>
      <c r="K39" s="4">
        <v>1742.5531914893618</v>
      </c>
      <c r="L39" s="28">
        <v>12124</v>
      </c>
      <c r="M39" s="46">
        <v>2.46</v>
      </c>
      <c r="Q39" s="50">
        <v>381</v>
      </c>
      <c r="R39" s="30"/>
      <c r="S39" s="30"/>
      <c r="T39" s="30"/>
      <c r="U39" s="30">
        <v>1.21</v>
      </c>
    </row>
    <row r="40" spans="1:21" ht="12.75">
      <c r="A40" s="30" t="s">
        <v>21</v>
      </c>
      <c r="B40" s="30">
        <v>3</v>
      </c>
      <c r="C40" s="30">
        <v>2021</v>
      </c>
      <c r="D40" s="52">
        <v>859254.272</v>
      </c>
      <c r="E40" s="46">
        <v>0.34</v>
      </c>
      <c r="F40" s="4">
        <v>269724.0289567486</v>
      </c>
      <c r="G40" s="4">
        <v>60906.382978723399</v>
      </c>
      <c r="H40" s="52">
        <v>7280</v>
      </c>
      <c r="I40" s="47">
        <v>0.73709999999999998</v>
      </c>
      <c r="J40" s="4">
        <v>4840.7069683665432</v>
      </c>
      <c r="K40" s="4">
        <v>3568.0851063829787</v>
      </c>
      <c r="L40" s="28">
        <v>13934</v>
      </c>
      <c r="M40" s="46">
        <v>2.46</v>
      </c>
      <c r="Q40" s="50">
        <v>301</v>
      </c>
      <c r="R40" s="30"/>
      <c r="S40" s="30"/>
      <c r="T40" s="30"/>
      <c r="U40" s="30">
        <v>1.17</v>
      </c>
    </row>
    <row r="41" spans="1:21" ht="12.75">
      <c r="A41" s="30" t="s">
        <v>21</v>
      </c>
      <c r="B41" s="30">
        <v>4</v>
      </c>
      <c r="C41" s="30">
        <v>2021</v>
      </c>
      <c r="D41" s="52">
        <v>784849.40799999982</v>
      </c>
      <c r="E41" s="46">
        <v>0.34</v>
      </c>
      <c r="F41" s="4">
        <v>396134.20056590595</v>
      </c>
      <c r="G41" s="4">
        <v>89451.063829787221</v>
      </c>
      <c r="H41" s="52">
        <v>7250</v>
      </c>
      <c r="I41" s="47">
        <v>1.26</v>
      </c>
      <c r="J41" s="4">
        <v>4840.7069683665432</v>
      </c>
      <c r="K41" s="4">
        <v>3568.0851063829787</v>
      </c>
      <c r="L41" s="28">
        <v>11625</v>
      </c>
      <c r="M41" s="46">
        <v>2.46</v>
      </c>
      <c r="Q41" s="50">
        <v>942</v>
      </c>
      <c r="R41" s="30"/>
      <c r="S41" s="30"/>
      <c r="T41" s="30"/>
      <c r="U41" s="30">
        <v>1.2</v>
      </c>
    </row>
    <row r="42" spans="1:21" ht="12.75">
      <c r="A42" s="30" t="s">
        <v>21</v>
      </c>
      <c r="B42" s="30">
        <v>5</v>
      </c>
      <c r="C42" s="30">
        <v>2021</v>
      </c>
      <c r="D42" s="52">
        <v>907286.01600000018</v>
      </c>
      <c r="E42" s="46">
        <v>0.34</v>
      </c>
      <c r="F42" s="4">
        <v>355344.87193620694</v>
      </c>
      <c r="G42" s="4">
        <v>80240.425531914894</v>
      </c>
      <c r="H42" s="52">
        <v>9790</v>
      </c>
      <c r="I42" s="47">
        <v>1.03</v>
      </c>
      <c r="J42" s="4">
        <v>6416.7510976021613</v>
      </c>
      <c r="K42" s="4">
        <v>4729.7872340425529</v>
      </c>
      <c r="L42" s="28">
        <v>12206</v>
      </c>
      <c r="M42" s="46">
        <v>2.46</v>
      </c>
      <c r="Q42" s="50">
        <v>1222</v>
      </c>
      <c r="U42" s="30">
        <v>1.21</v>
      </c>
    </row>
    <row r="43" spans="1:21" ht="12.75">
      <c r="A43" s="30" t="s">
        <v>21</v>
      </c>
      <c r="B43" s="30">
        <v>6</v>
      </c>
      <c r="C43" s="30">
        <v>2021</v>
      </c>
      <c r="D43" s="52">
        <v>1096766.976</v>
      </c>
      <c r="E43" s="46">
        <v>0.34</v>
      </c>
      <c r="F43" s="4">
        <v>445007.90063572559</v>
      </c>
      <c r="G43" s="4">
        <v>100487.2340425532</v>
      </c>
      <c r="H43" s="52">
        <v>11180</v>
      </c>
      <c r="I43" s="47">
        <v>1.1100000000000001</v>
      </c>
      <c r="J43" s="4">
        <v>7992.7952268377812</v>
      </c>
      <c r="K43" s="4">
        <v>5891.489361702128</v>
      </c>
      <c r="L43" s="28">
        <v>13539</v>
      </c>
      <c r="M43" s="46">
        <v>2.46</v>
      </c>
      <c r="Q43" s="50">
        <v>1262</v>
      </c>
      <c r="U43" s="30">
        <v>1.19</v>
      </c>
    </row>
    <row r="44" spans="1:21" ht="12.75">
      <c r="A44" s="30" t="s">
        <v>21</v>
      </c>
      <c r="B44" s="30">
        <v>7</v>
      </c>
      <c r="C44" s="30">
        <v>2021</v>
      </c>
      <c r="D44" s="52">
        <v>782418.43199999991</v>
      </c>
      <c r="E44" s="46">
        <v>0.34</v>
      </c>
      <c r="F44" s="4">
        <v>605960.38657994336</v>
      </c>
      <c r="G44" s="4">
        <v>136831.91489361701</v>
      </c>
      <c r="H44" s="52">
        <v>14202</v>
      </c>
      <c r="I44" s="47">
        <v>1.08</v>
      </c>
      <c r="J44" s="4">
        <v>10919.734323989644</v>
      </c>
      <c r="K44" s="4">
        <v>8048.9361702127662</v>
      </c>
      <c r="L44" s="30">
        <v>12205</v>
      </c>
      <c r="M44" s="46">
        <v>2.46</v>
      </c>
      <c r="Q44" s="50">
        <v>1319</v>
      </c>
      <c r="U44" s="30">
        <v>1.21</v>
      </c>
    </row>
    <row r="45" spans="1:21" ht="12.75">
      <c r="A45" s="30" t="s">
        <v>21</v>
      </c>
      <c r="B45" s="30">
        <v>8</v>
      </c>
      <c r="C45" s="30">
        <v>2021</v>
      </c>
      <c r="D45" s="52">
        <v>762149.37599999993</v>
      </c>
      <c r="E45" s="46">
        <v>0.34</v>
      </c>
      <c r="F45" s="4">
        <v>591996.47227428062</v>
      </c>
      <c r="G45" s="4">
        <v>133678.72340425532</v>
      </c>
      <c r="H45" s="52">
        <v>11050</v>
      </c>
      <c r="I45" s="47">
        <v>1.08</v>
      </c>
      <c r="J45" s="4">
        <v>10694.58516267027</v>
      </c>
      <c r="K45" s="4">
        <v>7882.978723404256</v>
      </c>
      <c r="L45" s="30">
        <v>13020</v>
      </c>
      <c r="M45" s="46">
        <v>2.46</v>
      </c>
      <c r="Q45" s="50">
        <v>1212</v>
      </c>
      <c r="U45" s="30">
        <v>1.18</v>
      </c>
    </row>
    <row r="46" spans="1:21" ht="12.75">
      <c r="A46" s="30" t="s">
        <v>21</v>
      </c>
      <c r="B46" s="30">
        <v>9</v>
      </c>
      <c r="C46" s="30">
        <v>2021</v>
      </c>
      <c r="D46" s="52">
        <v>963409.92000000004</v>
      </c>
      <c r="E46" s="46">
        <v>0.34</v>
      </c>
      <c r="F46" s="4">
        <v>367838.90052548418</v>
      </c>
      <c r="G46" s="4">
        <v>83061.702127659577</v>
      </c>
      <c r="H46" s="52">
        <v>8760</v>
      </c>
      <c r="I46" s="47">
        <v>1.08</v>
      </c>
      <c r="J46" s="4">
        <v>6641.9002589215361</v>
      </c>
      <c r="K46" s="4">
        <v>4895.744680851064</v>
      </c>
      <c r="L46" s="30">
        <v>11519</v>
      </c>
      <c r="M46" s="46">
        <v>2.46</v>
      </c>
      <c r="Q46" s="50">
        <v>982</v>
      </c>
      <c r="U46" s="30">
        <v>1.1599999999999999</v>
      </c>
    </row>
    <row r="47" spans="1:21" ht="12.75">
      <c r="A47" s="30" t="s">
        <v>21</v>
      </c>
      <c r="B47" s="30">
        <v>10</v>
      </c>
      <c r="C47" s="30">
        <v>2021</v>
      </c>
      <c r="D47" s="52">
        <v>810377.72800000012</v>
      </c>
      <c r="E47" s="46">
        <v>0.34</v>
      </c>
      <c r="F47" s="4">
        <v>622864.07231837732</v>
      </c>
      <c r="G47" s="4">
        <v>140648.93617021278</v>
      </c>
      <c r="H47" s="52">
        <v>13018</v>
      </c>
      <c r="I47" s="47">
        <v>1.08</v>
      </c>
      <c r="J47" s="4">
        <v>11257.458065968705</v>
      </c>
      <c r="K47" s="4">
        <v>8297.8723404255325</v>
      </c>
      <c r="L47" s="30">
        <v>13992</v>
      </c>
      <c r="M47" s="46">
        <v>2.46</v>
      </c>
      <c r="Q47" s="50">
        <v>1174</v>
      </c>
      <c r="U47" s="30">
        <v>1.1599999999999999</v>
      </c>
    </row>
    <row r="48" spans="1:21" ht="12.75">
      <c r="A48" s="30" t="s">
        <v>21</v>
      </c>
      <c r="B48" s="30">
        <v>11</v>
      </c>
      <c r="C48" s="30">
        <v>2021</v>
      </c>
      <c r="D48" s="52">
        <v>1138284.0319999999</v>
      </c>
      <c r="E48" s="46">
        <v>0.34</v>
      </c>
      <c r="F48" s="4">
        <v>625436.3723220519</v>
      </c>
      <c r="G48" s="4">
        <v>141229.78723404254</v>
      </c>
      <c r="H48" s="52">
        <v>10780</v>
      </c>
      <c r="I48" s="47">
        <v>1.08</v>
      </c>
      <c r="J48" s="4">
        <v>11257.458065968705</v>
      </c>
      <c r="K48" s="4">
        <v>8297.8723404255325</v>
      </c>
      <c r="L48" s="30">
        <v>15996</v>
      </c>
      <c r="M48" s="46">
        <v>2.46</v>
      </c>
      <c r="Q48" s="50">
        <v>1309</v>
      </c>
      <c r="U48" s="30">
        <v>1.1599999999999999</v>
      </c>
    </row>
    <row r="49" spans="1:21" ht="12.75">
      <c r="A49" s="30" t="s">
        <v>21</v>
      </c>
      <c r="B49" s="30">
        <v>12</v>
      </c>
      <c r="C49" s="30">
        <v>2021</v>
      </c>
      <c r="D49" s="52">
        <v>788978.17599999998</v>
      </c>
      <c r="E49" s="46">
        <v>0.34</v>
      </c>
      <c r="F49" s="4">
        <v>615514.64373644954</v>
      </c>
      <c r="G49" s="4">
        <v>138989.36170212767</v>
      </c>
      <c r="H49" s="52">
        <v>12340</v>
      </c>
      <c r="I49" s="47">
        <v>1.08</v>
      </c>
      <c r="J49" s="4">
        <v>11144.883485309017</v>
      </c>
      <c r="K49" s="4">
        <v>8214.8936170212764</v>
      </c>
      <c r="L49" s="30">
        <v>16091</v>
      </c>
      <c r="M49" s="46">
        <v>2.46</v>
      </c>
      <c r="Q49" s="50">
        <v>1185</v>
      </c>
      <c r="U49" s="30">
        <v>1.1499999999999999</v>
      </c>
    </row>
    <row r="50" spans="1:21" ht="12.75">
      <c r="A50" s="30" t="s">
        <v>21</v>
      </c>
      <c r="B50" s="30">
        <v>1</v>
      </c>
      <c r="C50" s="30">
        <v>2022</v>
      </c>
      <c r="D50" s="52">
        <v>923698.94117647049</v>
      </c>
      <c r="E50" s="57">
        <v>0.46</v>
      </c>
      <c r="F50" s="4">
        <f>G50/AVERAGE($E$38:$E$49)</f>
        <v>195588.23529411771</v>
      </c>
      <c r="G50" s="54">
        <v>66500</v>
      </c>
      <c r="H50" s="52">
        <v>8790</v>
      </c>
      <c r="I50" s="47">
        <v>1.08</v>
      </c>
      <c r="J50" s="4">
        <f>K50/1.08</f>
        <v>3796.2962962962961</v>
      </c>
      <c r="K50" s="54">
        <v>4100</v>
      </c>
      <c r="L50" s="28">
        <v>12817.625</v>
      </c>
      <c r="M50" s="46">
        <v>5.36</v>
      </c>
      <c r="N50" s="4">
        <f>1400*M50</f>
        <v>7504</v>
      </c>
      <c r="O50" s="54">
        <v>1400</v>
      </c>
      <c r="P50" s="49">
        <v>26692.799999999999</v>
      </c>
      <c r="Q50" s="50">
        <v>1001</v>
      </c>
      <c r="R50" s="30">
        <v>2746</v>
      </c>
      <c r="S50" s="28">
        <v>8180</v>
      </c>
      <c r="U50" s="30">
        <v>1.1299999999999999</v>
      </c>
    </row>
    <row r="51" spans="1:21" ht="12.75">
      <c r="A51" s="30" t="s">
        <v>21</v>
      </c>
      <c r="B51" s="30">
        <v>2</v>
      </c>
      <c r="C51" s="30">
        <v>2022</v>
      </c>
      <c r="D51" s="50">
        <v>970345</v>
      </c>
      <c r="E51" s="57">
        <v>0.46</v>
      </c>
      <c r="F51" s="4">
        <f t="shared" ref="F51:F61" si="0">G51/AVERAGE($E$38:$E$49)</f>
        <v>263529.41176470596</v>
      </c>
      <c r="G51" s="54">
        <v>89600</v>
      </c>
      <c r="H51" s="52">
        <v>10137</v>
      </c>
      <c r="I51" s="47">
        <v>1.08</v>
      </c>
      <c r="J51" s="4">
        <f t="shared" ref="J51:J61" si="1">K51/1.08</f>
        <v>5092.5925925925922</v>
      </c>
      <c r="K51" s="54">
        <v>5500</v>
      </c>
      <c r="L51" s="28">
        <v>15781.272727272728</v>
      </c>
      <c r="M51" s="46">
        <v>5.36</v>
      </c>
      <c r="N51" s="4">
        <f>M51*O51</f>
        <v>9648</v>
      </c>
      <c r="O51" s="54">
        <v>1800</v>
      </c>
      <c r="P51" s="49">
        <v>23677.8</v>
      </c>
      <c r="Q51" s="50">
        <v>1196</v>
      </c>
      <c r="R51" s="30">
        <v>3069</v>
      </c>
      <c r="S51" s="28">
        <v>9021</v>
      </c>
      <c r="U51" s="30">
        <v>1.1100000000000001</v>
      </c>
    </row>
    <row r="52" spans="1:21" ht="12.75">
      <c r="A52" s="30" t="s">
        <v>21</v>
      </c>
      <c r="B52" s="30">
        <v>3</v>
      </c>
      <c r="C52" s="30">
        <v>2022</v>
      </c>
      <c r="D52" s="50">
        <v>1219356</v>
      </c>
      <c r="E52" s="57">
        <v>0.46</v>
      </c>
      <c r="F52" s="4">
        <f t="shared" si="0"/>
        <v>307941.17647058831</v>
      </c>
      <c r="G52" s="54">
        <v>104700</v>
      </c>
      <c r="H52" s="52">
        <v>10705</v>
      </c>
      <c r="I52" s="47">
        <v>1.08</v>
      </c>
      <c r="J52" s="4">
        <f t="shared" si="1"/>
        <v>5925.9259259259252</v>
      </c>
      <c r="K52" s="54">
        <v>6400</v>
      </c>
      <c r="L52" s="28">
        <v>18296.454545454544</v>
      </c>
      <c r="M52" s="46">
        <v>5.36</v>
      </c>
      <c r="N52" s="4">
        <f>M52*O52</f>
        <v>11256</v>
      </c>
      <c r="O52" s="54">
        <v>2100</v>
      </c>
      <c r="P52" s="49">
        <v>26226.600000000002</v>
      </c>
      <c r="Q52" s="50">
        <v>1318</v>
      </c>
      <c r="R52" s="30">
        <v>3489</v>
      </c>
      <c r="S52" s="28">
        <v>13568</v>
      </c>
      <c r="U52" s="30">
        <v>1.05</v>
      </c>
    </row>
    <row r="53" spans="1:21" ht="12.75">
      <c r="A53" s="30" t="s">
        <v>21</v>
      </c>
      <c r="B53" s="30">
        <v>4</v>
      </c>
      <c r="C53" s="30">
        <v>2022</v>
      </c>
      <c r="D53" s="30">
        <v>1180084</v>
      </c>
      <c r="E53" s="57">
        <v>0.46</v>
      </c>
      <c r="F53" s="4">
        <f>G53/AVERAGE($E$38:$E$49)</f>
        <v>335882.35294117656</v>
      </c>
      <c r="G53" s="54">
        <v>114200</v>
      </c>
      <c r="H53" s="28">
        <v>11000</v>
      </c>
      <c r="I53" s="47">
        <v>1.08</v>
      </c>
      <c r="J53" s="4">
        <f t="shared" si="1"/>
        <v>6481.4814814814808</v>
      </c>
      <c r="K53" s="54">
        <v>7000</v>
      </c>
      <c r="L53" s="28">
        <v>14436</v>
      </c>
      <c r="M53" s="46">
        <v>5.36</v>
      </c>
      <c r="N53" s="4">
        <f>M53*O53</f>
        <v>12328</v>
      </c>
      <c r="O53" s="54">
        <v>2300</v>
      </c>
      <c r="P53" s="49">
        <v>21553.9</v>
      </c>
      <c r="Q53" s="50">
        <v>1047</v>
      </c>
      <c r="R53" s="30">
        <v>2780</v>
      </c>
      <c r="S53" s="28">
        <v>8308</v>
      </c>
      <c r="U53" s="30">
        <v>1.06</v>
      </c>
    </row>
    <row r="54" spans="1:21" ht="12.75">
      <c r="A54" s="30" t="s">
        <v>21</v>
      </c>
      <c r="B54" s="30">
        <v>5</v>
      </c>
      <c r="C54" s="30">
        <v>2022</v>
      </c>
      <c r="D54" s="30">
        <v>1198010</v>
      </c>
      <c r="E54" s="57">
        <v>0.46</v>
      </c>
      <c r="F54" s="4">
        <f t="shared" si="0"/>
        <v>364411.76470588247</v>
      </c>
      <c r="G54" s="54">
        <v>123900</v>
      </c>
      <c r="H54" s="28">
        <v>11040</v>
      </c>
      <c r="I54" s="47">
        <v>1.08</v>
      </c>
      <c r="J54" s="4">
        <f t="shared" si="1"/>
        <v>7037.0370370370365</v>
      </c>
      <c r="K54" s="54">
        <v>7600</v>
      </c>
      <c r="L54" s="28">
        <v>16307</v>
      </c>
      <c r="M54" s="46">
        <v>5.36</v>
      </c>
      <c r="N54" s="4">
        <f>M54*O54</f>
        <v>13400</v>
      </c>
      <c r="O54" s="54">
        <v>2500</v>
      </c>
      <c r="P54" s="49">
        <v>26599</v>
      </c>
      <c r="Q54" s="50">
        <v>1783</v>
      </c>
      <c r="R54" s="30">
        <v>3477</v>
      </c>
      <c r="S54" s="30">
        <v>11077</v>
      </c>
      <c r="T54" s="30"/>
      <c r="U54" s="30">
        <v>1.06</v>
      </c>
    </row>
    <row r="55" spans="1:21" s="69" customFormat="1" ht="12.75">
      <c r="A55" s="30" t="s">
        <v>21</v>
      </c>
      <c r="B55" s="30">
        <v>6</v>
      </c>
      <c r="C55" s="30">
        <v>2022</v>
      </c>
      <c r="D55" s="30">
        <v>932534</v>
      </c>
      <c r="E55" s="57">
        <v>0.46</v>
      </c>
      <c r="F55" s="4">
        <f t="shared" si="0"/>
        <v>297941.17647058831</v>
      </c>
      <c r="G55" s="54">
        <v>101300</v>
      </c>
      <c r="H55" s="28">
        <v>9235</v>
      </c>
      <c r="I55" s="47">
        <v>1.08</v>
      </c>
      <c r="J55" s="4">
        <f t="shared" si="1"/>
        <v>5740.74074074074</v>
      </c>
      <c r="K55" s="54">
        <v>6200</v>
      </c>
      <c r="L55" s="28">
        <v>16865.599999999999</v>
      </c>
      <c r="M55" s="46">
        <v>5.36</v>
      </c>
      <c r="N55" s="4">
        <f t="shared" ref="N52:N61" si="2">M55*O55</f>
        <v>11256</v>
      </c>
      <c r="O55" s="54">
        <v>2100</v>
      </c>
      <c r="P55" s="49">
        <v>21766.29</v>
      </c>
      <c r="Q55" s="50">
        <v>1401</v>
      </c>
      <c r="R55" s="30">
        <v>3021</v>
      </c>
      <c r="S55" s="30">
        <v>9636</v>
      </c>
      <c r="T55" s="30"/>
      <c r="U55" s="30">
        <v>1.04</v>
      </c>
    </row>
    <row r="56" spans="1:21" s="69" customFormat="1" ht="12.75">
      <c r="A56" s="73" t="s">
        <v>21</v>
      </c>
      <c r="B56" s="73">
        <v>7</v>
      </c>
      <c r="C56" s="73">
        <v>2022</v>
      </c>
      <c r="D56" s="74">
        <v>995191</v>
      </c>
      <c r="E56" s="75">
        <v>0.46</v>
      </c>
      <c r="F56" s="76">
        <f>G56/AVERAGE($E$38:$E$49)</f>
        <v>439411.76470588247</v>
      </c>
      <c r="G56" s="77">
        <v>149400</v>
      </c>
      <c r="H56" s="78">
        <v>12800</v>
      </c>
      <c r="I56" s="79">
        <v>1.08</v>
      </c>
      <c r="J56" s="76">
        <f t="shared" si="1"/>
        <v>8425.9259259259252</v>
      </c>
      <c r="K56" s="77">
        <v>9100</v>
      </c>
      <c r="L56" s="78">
        <v>10713</v>
      </c>
      <c r="M56" s="80">
        <v>5.36</v>
      </c>
      <c r="N56" s="76">
        <f t="shared" si="2"/>
        <v>16616</v>
      </c>
      <c r="O56" s="77">
        <v>3100</v>
      </c>
      <c r="P56" s="81"/>
      <c r="Q56" s="82"/>
      <c r="R56" s="73">
        <v>3243</v>
      </c>
      <c r="S56" s="74"/>
      <c r="T56" s="74"/>
      <c r="U56" s="73">
        <v>1.03</v>
      </c>
    </row>
    <row r="57" spans="1:21" ht="12.75">
      <c r="A57" s="30" t="s">
        <v>21</v>
      </c>
      <c r="B57" s="30">
        <v>8</v>
      </c>
      <c r="C57" s="30">
        <v>2022</v>
      </c>
      <c r="E57" s="57">
        <v>0.46</v>
      </c>
      <c r="F57" s="4">
        <f t="shared" si="0"/>
        <v>414411.76470588247</v>
      </c>
      <c r="G57" s="54">
        <v>140900</v>
      </c>
      <c r="H57" s="55"/>
      <c r="I57" s="47">
        <v>1.08</v>
      </c>
      <c r="J57" s="4">
        <f>K57/1.08</f>
        <v>7962.9629629629626</v>
      </c>
      <c r="K57" s="54">
        <v>8600</v>
      </c>
      <c r="L57" s="55"/>
      <c r="M57" s="46">
        <v>5.36</v>
      </c>
      <c r="N57" s="4">
        <f t="shared" si="2"/>
        <v>15544.000000000002</v>
      </c>
      <c r="O57" s="54">
        <v>2900</v>
      </c>
      <c r="P57" s="49"/>
      <c r="R57" s="30"/>
    </row>
    <row r="58" spans="1:21" ht="12.75">
      <c r="A58" s="30" t="s">
        <v>21</v>
      </c>
      <c r="B58" s="30">
        <v>9</v>
      </c>
      <c r="C58" s="30">
        <v>2022</v>
      </c>
      <c r="E58" s="57">
        <v>0.46</v>
      </c>
      <c r="F58" s="4">
        <f t="shared" si="0"/>
        <v>236176.47058823536</v>
      </c>
      <c r="G58" s="54">
        <v>80300</v>
      </c>
      <c r="H58" s="55"/>
      <c r="I58" s="47">
        <v>1.08</v>
      </c>
      <c r="J58" s="4">
        <f t="shared" si="1"/>
        <v>4537.0370370370365</v>
      </c>
      <c r="K58" s="54">
        <v>4900</v>
      </c>
      <c r="L58" s="55"/>
      <c r="M58" s="46">
        <v>5.36</v>
      </c>
      <c r="N58" s="4">
        <f t="shared" si="2"/>
        <v>8576</v>
      </c>
      <c r="O58" s="54">
        <v>1600</v>
      </c>
      <c r="P58" s="49"/>
      <c r="R58" s="30"/>
    </row>
    <row r="59" spans="1:21" ht="12.75">
      <c r="A59" s="30" t="s">
        <v>21</v>
      </c>
      <c r="B59" s="30">
        <v>10</v>
      </c>
      <c r="C59" s="30">
        <v>2022</v>
      </c>
      <c r="E59" s="57">
        <v>0.46</v>
      </c>
      <c r="F59" s="4">
        <f t="shared" si="0"/>
        <v>390294.11764705891</v>
      </c>
      <c r="G59" s="54">
        <v>132700</v>
      </c>
      <c r="H59" s="55"/>
      <c r="I59" s="47">
        <v>1.08</v>
      </c>
      <c r="J59" s="4">
        <f t="shared" si="1"/>
        <v>7499.9999999999991</v>
      </c>
      <c r="K59" s="54">
        <v>8100</v>
      </c>
      <c r="L59" s="55"/>
      <c r="M59" s="46">
        <v>5.36</v>
      </c>
      <c r="N59" s="4">
        <f t="shared" si="2"/>
        <v>14472</v>
      </c>
      <c r="O59" s="54">
        <v>2700</v>
      </c>
      <c r="P59" s="49"/>
    </row>
    <row r="60" spans="1:21" ht="12.75">
      <c r="A60" s="30" t="s">
        <v>21</v>
      </c>
      <c r="B60" s="30">
        <v>11</v>
      </c>
      <c r="C60" s="30">
        <v>2022</v>
      </c>
      <c r="E60" s="57">
        <v>0.46</v>
      </c>
      <c r="F60" s="4">
        <f t="shared" si="0"/>
        <v>397058.82352941186</v>
      </c>
      <c r="G60" s="54">
        <v>135000</v>
      </c>
      <c r="H60" s="55"/>
      <c r="I60" s="47">
        <v>1.08</v>
      </c>
      <c r="J60" s="4">
        <f t="shared" si="1"/>
        <v>7685.1851851851843</v>
      </c>
      <c r="K60" s="54">
        <v>8300</v>
      </c>
      <c r="L60" s="55"/>
      <c r="M60" s="46">
        <v>5.36</v>
      </c>
      <c r="N60" s="4">
        <f t="shared" si="2"/>
        <v>15008</v>
      </c>
      <c r="O60" s="54">
        <v>2800</v>
      </c>
      <c r="P60" s="49"/>
    </row>
    <row r="61" spans="1:21" ht="12.75">
      <c r="A61" s="30" t="s">
        <v>21</v>
      </c>
      <c r="B61" s="30">
        <v>12</v>
      </c>
      <c r="C61" s="30">
        <v>2022</v>
      </c>
      <c r="E61" s="57">
        <v>0.46</v>
      </c>
      <c r="F61" s="4">
        <f>G61/AVERAGE($E$38:$E$49)</f>
        <v>390294.11764705891</v>
      </c>
      <c r="G61" s="54">
        <v>132700</v>
      </c>
      <c r="H61" s="55"/>
      <c r="I61" s="47">
        <v>1.08</v>
      </c>
      <c r="J61" s="4">
        <f t="shared" si="1"/>
        <v>7499.9999999999991</v>
      </c>
      <c r="K61" s="54">
        <v>8100</v>
      </c>
      <c r="L61" s="55"/>
      <c r="M61" s="46">
        <v>5.36</v>
      </c>
      <c r="N61" s="4">
        <f t="shared" si="2"/>
        <v>14472</v>
      </c>
      <c r="O61" s="54">
        <v>2700</v>
      </c>
      <c r="P61" s="49"/>
    </row>
    <row r="62" spans="1:21" ht="12.75">
      <c r="H62" s="55"/>
      <c r="I62" s="56"/>
      <c r="J62" s="4"/>
      <c r="K62" s="4"/>
      <c r="L62" s="55"/>
      <c r="M62" s="56"/>
      <c r="N62" s="4"/>
      <c r="O62" s="4"/>
      <c r="P62" s="4"/>
    </row>
    <row r="63" spans="1:21" ht="12.75">
      <c r="H63" s="55"/>
      <c r="I63" s="56"/>
      <c r="J63" s="4"/>
      <c r="K63" s="4"/>
      <c r="L63" s="55"/>
      <c r="M63" s="56"/>
      <c r="N63" s="4"/>
      <c r="O63" s="4"/>
      <c r="P63" s="4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N32"/>
  <sheetViews>
    <sheetView workbookViewId="0">
      <selection activeCell="E4" sqref="E4"/>
    </sheetView>
  </sheetViews>
  <sheetFormatPr defaultRowHeight="13.15"/>
  <cols>
    <col min="2" max="3" width="16.42578125" style="30" customWidth="1"/>
    <col min="4" max="4" width="11.85546875" style="30" bestFit="1" customWidth="1"/>
    <col min="5" max="5" width="8.85546875" style="30" customWidth="1"/>
  </cols>
  <sheetData>
    <row r="4" spans="1:14" s="39" customFormat="1" ht="14.45">
      <c r="B4" s="40">
        <v>39000</v>
      </c>
      <c r="C4" s="40">
        <v>829787.23404255323</v>
      </c>
      <c r="D4" s="40">
        <v>900</v>
      </c>
      <c r="E4" s="40">
        <f>D4/0.047</f>
        <v>19148.936170212764</v>
      </c>
      <c r="F4" s="40"/>
      <c r="G4" s="40"/>
      <c r="I4" s="40" t="s">
        <v>23</v>
      </c>
      <c r="J4" s="40" t="s">
        <v>24</v>
      </c>
      <c r="K4" s="40" t="s">
        <v>25</v>
      </c>
      <c r="L4" s="40" t="s">
        <v>26</v>
      </c>
      <c r="M4" s="40" t="s">
        <v>27</v>
      </c>
    </row>
    <row r="5" spans="1:14" ht="14.45">
      <c r="A5" s="41"/>
      <c r="B5" s="30">
        <v>50500</v>
      </c>
      <c r="C5" s="40">
        <v>1074468.0851063831</v>
      </c>
      <c r="D5" s="30">
        <v>2100</v>
      </c>
      <c r="E5" s="40">
        <f t="shared" ref="E5:E15" si="0">D5/0.047</f>
        <v>44680.851063829788</v>
      </c>
      <c r="I5">
        <v>313800</v>
      </c>
      <c r="J5">
        <v>16.940000000000001</v>
      </c>
      <c r="K5">
        <f>I5*J5</f>
        <v>5315772</v>
      </c>
      <c r="L5">
        <f>K5/C5</f>
        <v>4.9473521584158409</v>
      </c>
      <c r="M5" s="30">
        <v>5722.4399999999969</v>
      </c>
      <c r="N5" s="30">
        <v>6683.68</v>
      </c>
    </row>
    <row r="6" spans="1:14" ht="14.45">
      <c r="A6" s="41"/>
      <c r="B6" s="30">
        <v>73400</v>
      </c>
      <c r="C6" s="40">
        <v>1561702.1276595744</v>
      </c>
      <c r="D6" s="30">
        <v>4300</v>
      </c>
      <c r="E6" s="40">
        <f t="shared" si="0"/>
        <v>91489.361702127659</v>
      </c>
      <c r="I6">
        <v>225000</v>
      </c>
      <c r="J6">
        <v>16.940000000000001</v>
      </c>
      <c r="K6">
        <f t="shared" ref="K6:K32" si="1">I6*J6</f>
        <v>3811500.0000000005</v>
      </c>
      <c r="L6">
        <f t="shared" ref="L6:L32" si="2">K6/C6</f>
        <v>2.4406062670299731</v>
      </c>
      <c r="M6" s="30">
        <v>5097.2199999999984</v>
      </c>
      <c r="N6" s="30">
        <v>6271.92</v>
      </c>
    </row>
    <row r="7" spans="1:14" ht="14.45">
      <c r="A7" s="41"/>
      <c r="B7" s="30">
        <v>107800</v>
      </c>
      <c r="C7" s="40">
        <v>2293617.0212765955</v>
      </c>
      <c r="D7" s="30">
        <v>4300</v>
      </c>
      <c r="E7" s="40">
        <f t="shared" si="0"/>
        <v>91489.361702127659</v>
      </c>
      <c r="I7">
        <v>356000</v>
      </c>
      <c r="J7">
        <v>16.47</v>
      </c>
      <c r="K7">
        <f t="shared" si="1"/>
        <v>5863320</v>
      </c>
      <c r="L7">
        <f t="shared" si="2"/>
        <v>2.5563640074211507</v>
      </c>
      <c r="M7" s="30">
        <v>6184.2600000000029</v>
      </c>
      <c r="N7">
        <v>5143.4400000000005</v>
      </c>
    </row>
    <row r="8" spans="1:14" ht="14.45">
      <c r="A8" s="41"/>
      <c r="B8" s="30">
        <v>96700</v>
      </c>
      <c r="C8" s="40">
        <v>2057446.8085106383</v>
      </c>
      <c r="D8" s="30">
        <v>5700</v>
      </c>
      <c r="E8" s="40">
        <f t="shared" si="0"/>
        <v>121276.59574468085</v>
      </c>
      <c r="I8">
        <v>264600</v>
      </c>
      <c r="J8">
        <v>16.47</v>
      </c>
      <c r="K8">
        <f t="shared" si="1"/>
        <v>4357962</v>
      </c>
      <c r="L8">
        <f t="shared" si="2"/>
        <v>2.1181407859358843</v>
      </c>
      <c r="M8" s="30">
        <v>5829.9399999999969</v>
      </c>
      <c r="N8">
        <v>5396.4</v>
      </c>
    </row>
    <row r="9" spans="1:14" ht="14.45">
      <c r="A9" s="41"/>
      <c r="B9" s="30">
        <v>121100</v>
      </c>
      <c r="C9" s="40">
        <v>2576595.7446808512</v>
      </c>
      <c r="D9" s="30">
        <v>7100</v>
      </c>
      <c r="E9" s="40">
        <f t="shared" si="0"/>
        <v>151063.82978723405</v>
      </c>
      <c r="I9">
        <v>278000</v>
      </c>
      <c r="J9">
        <v>16.920000000000002</v>
      </c>
      <c r="K9">
        <f t="shared" si="1"/>
        <v>4703760.0000000009</v>
      </c>
      <c r="L9">
        <f t="shared" si="2"/>
        <v>1.8255715937241952</v>
      </c>
      <c r="M9">
        <v>5616.6600000000026</v>
      </c>
      <c r="N9">
        <v>4277.4799999999996</v>
      </c>
    </row>
    <row r="10" spans="1:14" ht="14.45">
      <c r="A10" s="41"/>
      <c r="B10" s="30">
        <v>164900</v>
      </c>
      <c r="C10" s="40">
        <v>3508510.6382978722</v>
      </c>
      <c r="D10" s="30">
        <v>9700</v>
      </c>
      <c r="E10" s="40">
        <f t="shared" si="0"/>
        <v>206382.97872340426</v>
      </c>
      <c r="I10">
        <v>236500</v>
      </c>
      <c r="J10">
        <v>16.78</v>
      </c>
      <c r="K10">
        <f t="shared" si="1"/>
        <v>3968470.0000000005</v>
      </c>
      <c r="L10">
        <f t="shared" si="2"/>
        <v>1.1310981807155853</v>
      </c>
      <c r="M10">
        <v>5590</v>
      </c>
      <c r="N10">
        <v>3783.2200000000003</v>
      </c>
    </row>
    <row r="11" spans="1:14" ht="14.45">
      <c r="A11" s="41"/>
      <c r="B11" s="30">
        <v>161100</v>
      </c>
      <c r="C11" s="40">
        <v>3427659.5744680851</v>
      </c>
      <c r="D11" s="30">
        <v>9500</v>
      </c>
      <c r="E11" s="40">
        <f t="shared" si="0"/>
        <v>202127.6595744681</v>
      </c>
      <c r="I11">
        <v>261200</v>
      </c>
      <c r="J11">
        <v>16.7</v>
      </c>
      <c r="K11">
        <f t="shared" si="1"/>
        <v>4362040</v>
      </c>
      <c r="L11">
        <f t="shared" si="2"/>
        <v>1.2726001241464928</v>
      </c>
      <c r="M11">
        <v>5667.4</v>
      </c>
      <c r="N11">
        <v>5271.6</v>
      </c>
    </row>
    <row r="12" spans="1:14" ht="14.45">
      <c r="A12" s="41"/>
      <c r="B12" s="30">
        <v>100100</v>
      </c>
      <c r="C12" s="40">
        <v>2129787.2340425532</v>
      </c>
      <c r="D12" s="30">
        <v>5900</v>
      </c>
      <c r="E12" s="40">
        <f t="shared" si="0"/>
        <v>125531.91489361702</v>
      </c>
      <c r="I12">
        <v>266300</v>
      </c>
      <c r="J12">
        <v>16.350000000000001</v>
      </c>
      <c r="K12">
        <f t="shared" si="1"/>
        <v>4354005</v>
      </c>
      <c r="L12">
        <f t="shared" si="2"/>
        <v>2.0443380119880121</v>
      </c>
      <c r="M12">
        <v>5495.4</v>
      </c>
      <c r="N12">
        <v>6148.66</v>
      </c>
    </row>
    <row r="13" spans="1:14" ht="14.45">
      <c r="A13" s="41"/>
      <c r="B13" s="30">
        <v>169500</v>
      </c>
      <c r="C13" s="40">
        <v>3606382.9787234045</v>
      </c>
      <c r="D13" s="30">
        <v>10000</v>
      </c>
      <c r="E13" s="40">
        <f t="shared" si="0"/>
        <v>212765.95744680852</v>
      </c>
      <c r="I13">
        <v>258900</v>
      </c>
      <c r="J13">
        <v>16.350000000000001</v>
      </c>
      <c r="K13">
        <f t="shared" si="1"/>
        <v>4233015</v>
      </c>
      <c r="L13">
        <f t="shared" si="2"/>
        <v>1.1737563716814159</v>
      </c>
      <c r="M13">
        <v>3087.4</v>
      </c>
      <c r="N13">
        <v>8151.8400000000011</v>
      </c>
    </row>
    <row r="14" spans="1:14" ht="14.45">
      <c r="A14" s="41"/>
      <c r="B14" s="30">
        <v>170200</v>
      </c>
      <c r="C14" s="40">
        <v>3621276.5957446806</v>
      </c>
      <c r="D14" s="30">
        <v>10000</v>
      </c>
      <c r="E14" s="40">
        <f t="shared" si="0"/>
        <v>212765.95744680852</v>
      </c>
      <c r="I14">
        <v>269600</v>
      </c>
      <c r="J14">
        <v>16.350000000000001</v>
      </c>
      <c r="K14">
        <f t="shared" si="1"/>
        <v>4407960</v>
      </c>
      <c r="L14">
        <f t="shared" si="2"/>
        <v>1.2172392479435958</v>
      </c>
      <c r="M14">
        <v>5056.8</v>
      </c>
      <c r="N14">
        <v>4391.16</v>
      </c>
    </row>
    <row r="15" spans="1:14" ht="14.45">
      <c r="A15" s="41"/>
      <c r="B15" s="30">
        <v>167500</v>
      </c>
      <c r="C15" s="40">
        <v>3563829.7872340428</v>
      </c>
      <c r="D15" s="30">
        <v>9900</v>
      </c>
      <c r="E15" s="40">
        <f t="shared" si="0"/>
        <v>210638.29787234042</v>
      </c>
      <c r="I15">
        <v>222800</v>
      </c>
      <c r="J15">
        <v>16.350000000000001</v>
      </c>
      <c r="K15">
        <f t="shared" si="1"/>
        <v>3642780.0000000005</v>
      </c>
      <c r="L15">
        <f t="shared" si="2"/>
        <v>1.0221531940298507</v>
      </c>
      <c r="M15">
        <v>0</v>
      </c>
      <c r="N15">
        <v>2432.44</v>
      </c>
    </row>
    <row r="16" spans="1:14" ht="14.45">
      <c r="A16" s="41"/>
      <c r="C16" s="40"/>
      <c r="I16">
        <v>240200</v>
      </c>
      <c r="J16">
        <v>16.350000000000001</v>
      </c>
      <c r="K16">
        <f t="shared" si="1"/>
        <v>3927270.0000000005</v>
      </c>
      <c r="L16" t="e">
        <f t="shared" si="2"/>
        <v>#DIV/0!</v>
      </c>
      <c r="M16">
        <v>10225.4</v>
      </c>
      <c r="N16">
        <v>3700.0000000000005</v>
      </c>
    </row>
    <row r="17" spans="1:14">
      <c r="A17" s="41"/>
      <c r="I17">
        <v>301000</v>
      </c>
      <c r="J17">
        <v>18.149999999999999</v>
      </c>
      <c r="K17">
        <f t="shared" si="1"/>
        <v>5463150</v>
      </c>
      <c r="L17" t="e">
        <f t="shared" si="2"/>
        <v>#DIV/0!</v>
      </c>
      <c r="M17">
        <v>0</v>
      </c>
      <c r="N17">
        <v>3699.6800000000003</v>
      </c>
    </row>
    <row r="18" spans="1:14">
      <c r="A18" s="41"/>
      <c r="I18">
        <v>219000</v>
      </c>
      <c r="J18">
        <v>18.149999999999999</v>
      </c>
      <c r="K18">
        <f t="shared" si="1"/>
        <v>3974849.9999999995</v>
      </c>
      <c r="L18" t="e">
        <f t="shared" si="2"/>
        <v>#DIV/0!</v>
      </c>
      <c r="M18">
        <v>0</v>
      </c>
      <c r="N18">
        <v>3971.52</v>
      </c>
    </row>
    <row r="19" spans="1:14">
      <c r="A19" s="41"/>
      <c r="I19">
        <v>335200</v>
      </c>
      <c r="J19">
        <v>18.149999999999999</v>
      </c>
      <c r="K19">
        <f t="shared" si="1"/>
        <v>6083879.9999999991</v>
      </c>
      <c r="L19" t="e">
        <f t="shared" si="2"/>
        <v>#DIV/0!</v>
      </c>
      <c r="M19">
        <v>11705</v>
      </c>
      <c r="N19">
        <v>4650</v>
      </c>
    </row>
    <row r="20" spans="1:14" s="44" customFormat="1" ht="14.45">
      <c r="A20" s="42"/>
      <c r="B20" s="43"/>
      <c r="C20" s="43"/>
      <c r="D20" s="43"/>
      <c r="E20" s="43"/>
      <c r="I20" s="44">
        <v>260000</v>
      </c>
      <c r="J20" s="44">
        <v>18.149999999999999</v>
      </c>
      <c r="K20" s="44">
        <f t="shared" si="1"/>
        <v>4719000</v>
      </c>
      <c r="L20" s="44" t="e">
        <f t="shared" si="2"/>
        <v>#DIV/0!</v>
      </c>
      <c r="M20" s="44">
        <v>1909.1999999999998</v>
      </c>
      <c r="N20" s="44">
        <v>4150</v>
      </c>
    </row>
    <row r="21" spans="1:14">
      <c r="A21" s="41"/>
      <c r="I21">
        <v>242000</v>
      </c>
      <c r="J21">
        <v>18.95</v>
      </c>
      <c r="K21">
        <f t="shared" si="1"/>
        <v>4585900</v>
      </c>
      <c r="L21" t="e">
        <f t="shared" si="2"/>
        <v>#DIV/0!</v>
      </c>
      <c r="M21">
        <v>1109.3999999999999</v>
      </c>
      <c r="N21">
        <v>4193.3599999999997</v>
      </c>
    </row>
    <row r="22" spans="1:14">
      <c r="A22" s="41"/>
      <c r="I22">
        <v>280000</v>
      </c>
      <c r="J22">
        <v>18.95</v>
      </c>
      <c r="K22">
        <f t="shared" si="1"/>
        <v>5306000</v>
      </c>
      <c r="L22" t="e">
        <f t="shared" si="2"/>
        <v>#DIV/0!</v>
      </c>
      <c r="M22">
        <v>2021</v>
      </c>
      <c r="N22">
        <v>4207.28</v>
      </c>
    </row>
    <row r="23" spans="1:14">
      <c r="A23" s="41"/>
      <c r="I23">
        <v>243000</v>
      </c>
      <c r="J23">
        <v>18.95</v>
      </c>
      <c r="K23">
        <f t="shared" si="1"/>
        <v>4604850</v>
      </c>
      <c r="L23" t="e">
        <f t="shared" si="2"/>
        <v>#DIV/0!</v>
      </c>
      <c r="M23">
        <v>5908.2</v>
      </c>
      <c r="N23">
        <v>4465.26</v>
      </c>
    </row>
    <row r="24" spans="1:14">
      <c r="A24" s="41"/>
      <c r="I24">
        <v>251000</v>
      </c>
      <c r="J24">
        <v>19.600000000000001</v>
      </c>
      <c r="K24">
        <f t="shared" si="1"/>
        <v>4919600</v>
      </c>
      <c r="L24" t="e">
        <f t="shared" si="2"/>
        <v>#DIV/0!</v>
      </c>
      <c r="M24">
        <v>5787.8</v>
      </c>
      <c r="N24">
        <v>4134.1000000000004</v>
      </c>
    </row>
    <row r="25" spans="1:14">
      <c r="A25" s="41"/>
      <c r="I25">
        <v>249300</v>
      </c>
      <c r="J25">
        <v>19.600000000000001</v>
      </c>
      <c r="K25">
        <f t="shared" si="1"/>
        <v>4886280</v>
      </c>
      <c r="L25" t="e">
        <f t="shared" si="2"/>
        <v>#DIV/0!</v>
      </c>
      <c r="M25">
        <v>5469.5999999999995</v>
      </c>
      <c r="N25">
        <v>4470.5</v>
      </c>
    </row>
    <row r="26" spans="1:14">
      <c r="A26" s="41"/>
      <c r="I26">
        <v>275400</v>
      </c>
      <c r="J26">
        <v>19.600000000000001</v>
      </c>
      <c r="K26">
        <f t="shared" si="1"/>
        <v>5397840</v>
      </c>
      <c r="L26" t="e">
        <f t="shared" si="2"/>
        <v>#DIV/0!</v>
      </c>
      <c r="M26">
        <v>6467.2</v>
      </c>
      <c r="N26">
        <v>6247.7</v>
      </c>
    </row>
    <row r="27" spans="1:14">
      <c r="A27" s="41"/>
      <c r="I27">
        <v>242600</v>
      </c>
      <c r="J27">
        <v>19.600000000000001</v>
      </c>
      <c r="K27">
        <f t="shared" si="1"/>
        <v>4754960</v>
      </c>
      <c r="L27" t="e">
        <f t="shared" si="2"/>
        <v>#DIV/0!</v>
      </c>
      <c r="M27">
        <v>5865.2</v>
      </c>
      <c r="N27">
        <v>6910.6</v>
      </c>
    </row>
    <row r="28" spans="1:14">
      <c r="A28" s="41"/>
      <c r="I28">
        <v>257000</v>
      </c>
      <c r="J28">
        <v>19.600000000000001</v>
      </c>
      <c r="K28">
        <f t="shared" si="1"/>
        <v>5037200</v>
      </c>
      <c r="L28" t="e">
        <f t="shared" si="2"/>
        <v>#DIV/0!</v>
      </c>
      <c r="M28">
        <v>5340.5999999999995</v>
      </c>
      <c r="N28">
        <v>4142.4000000000005</v>
      </c>
    </row>
    <row r="29" spans="1:14">
      <c r="A29" s="41"/>
      <c r="I29">
        <v>248000</v>
      </c>
      <c r="J29">
        <v>19.600000000000001</v>
      </c>
      <c r="K29">
        <f t="shared" si="1"/>
        <v>4860800</v>
      </c>
      <c r="L29" t="e">
        <f t="shared" si="2"/>
        <v>#DIV/0!</v>
      </c>
      <c r="M29">
        <v>4888</v>
      </c>
      <c r="N29">
        <v>3839.3999999999996</v>
      </c>
    </row>
    <row r="30" spans="1:14">
      <c r="A30" s="41"/>
      <c r="I30">
        <v>248000</v>
      </c>
      <c r="J30">
        <v>19.600000000000001</v>
      </c>
      <c r="K30">
        <f t="shared" si="1"/>
        <v>4860800</v>
      </c>
      <c r="L30" t="e">
        <f t="shared" si="2"/>
        <v>#DIV/0!</v>
      </c>
      <c r="M30">
        <v>5340.4000000000005</v>
      </c>
      <c r="N30">
        <v>447</v>
      </c>
    </row>
    <row r="31" spans="1:14">
      <c r="A31" s="41"/>
      <c r="I31">
        <v>343000</v>
      </c>
      <c r="J31">
        <v>19.600000000000001</v>
      </c>
      <c r="K31">
        <f t="shared" si="1"/>
        <v>6722800.0000000009</v>
      </c>
      <c r="L31" t="e">
        <f t="shared" si="2"/>
        <v>#DIV/0!</v>
      </c>
      <c r="M31">
        <v>2464.8000000000002</v>
      </c>
      <c r="N31">
        <v>3839.4</v>
      </c>
    </row>
    <row r="32" spans="1:14">
      <c r="A32" s="41"/>
      <c r="I32">
        <v>298000</v>
      </c>
      <c r="J32">
        <v>20.6</v>
      </c>
      <c r="K32">
        <f t="shared" si="1"/>
        <v>6138800</v>
      </c>
      <c r="L32" t="e">
        <f t="shared" si="2"/>
        <v>#DIV/0!</v>
      </c>
      <c r="M32">
        <v>4376.6000000000004</v>
      </c>
      <c r="N32">
        <v>4163.2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P90"/>
  <sheetViews>
    <sheetView workbookViewId="0">
      <selection activeCell="D8" sqref="D8"/>
    </sheetView>
  </sheetViews>
  <sheetFormatPr defaultRowHeight="13.15"/>
  <cols>
    <col min="4" max="4" width="11.42578125" style="1" bestFit="1" customWidth="1"/>
    <col min="5" max="15" width="11.42578125" bestFit="1" customWidth="1"/>
  </cols>
  <sheetData>
    <row r="2" spans="2:16" ht="13.9" thickBot="1"/>
    <row r="3" spans="2:16" ht="28.15" thickBot="1">
      <c r="B3" s="5" t="s">
        <v>28</v>
      </c>
      <c r="C3" s="5" t="s">
        <v>29</v>
      </c>
      <c r="D3" s="20">
        <v>43484</v>
      </c>
      <c r="E3" s="6">
        <v>43515</v>
      </c>
      <c r="F3" s="6">
        <v>43543</v>
      </c>
      <c r="G3" s="6">
        <v>43574</v>
      </c>
      <c r="H3" s="6">
        <v>43604</v>
      </c>
      <c r="I3" s="6">
        <v>43635</v>
      </c>
      <c r="J3" s="6">
        <v>43665</v>
      </c>
      <c r="K3" s="6">
        <v>43696</v>
      </c>
      <c r="L3" s="6">
        <v>43727</v>
      </c>
      <c r="M3" s="6">
        <v>43757</v>
      </c>
      <c r="N3" s="6">
        <v>43788</v>
      </c>
      <c r="O3" s="6">
        <v>43818</v>
      </c>
      <c r="P3" s="5" t="s">
        <v>30</v>
      </c>
    </row>
    <row r="4" spans="2:16" ht="40.15" thickBot="1">
      <c r="B4" s="7">
        <v>620</v>
      </c>
      <c r="C4" s="8" t="s">
        <v>31</v>
      </c>
      <c r="D4" s="21" t="s">
        <v>32</v>
      </c>
      <c r="E4" s="9" t="s">
        <v>33</v>
      </c>
      <c r="F4" s="9" t="s">
        <v>34</v>
      </c>
      <c r="G4" s="9" t="s">
        <v>35</v>
      </c>
      <c r="H4" s="9" t="s">
        <v>36</v>
      </c>
      <c r="I4" s="9" t="s">
        <v>36</v>
      </c>
      <c r="J4" s="9" t="s">
        <v>37</v>
      </c>
      <c r="K4" s="9" t="s">
        <v>38</v>
      </c>
      <c r="L4" s="9" t="s">
        <v>39</v>
      </c>
      <c r="M4" s="9" t="s">
        <v>40</v>
      </c>
      <c r="N4" s="9" t="s">
        <v>41</v>
      </c>
      <c r="O4" s="9" t="s">
        <v>42</v>
      </c>
      <c r="P4" s="10" t="s">
        <v>43</v>
      </c>
    </row>
    <row r="5" spans="2:16" ht="27" thickBot="1">
      <c r="B5" s="7">
        <v>620</v>
      </c>
      <c r="C5" s="8" t="s">
        <v>44</v>
      </c>
      <c r="D5" s="22">
        <v>1.1599999999999999</v>
      </c>
      <c r="E5" s="11">
        <v>1.1599999999999999</v>
      </c>
      <c r="F5" s="11">
        <v>1.1599999999999999</v>
      </c>
      <c r="G5" s="11">
        <v>1.1599999999999999</v>
      </c>
      <c r="H5" s="11">
        <v>1.1599999999999999</v>
      </c>
      <c r="I5" s="11">
        <v>1.1599999999999999</v>
      </c>
      <c r="J5" s="11">
        <v>1.33</v>
      </c>
      <c r="K5" s="11">
        <v>1.33</v>
      </c>
      <c r="L5" s="11">
        <v>1.33</v>
      </c>
      <c r="M5" s="11">
        <v>1.33</v>
      </c>
      <c r="N5" s="11">
        <v>1.33</v>
      </c>
      <c r="O5" s="11">
        <v>1.33</v>
      </c>
      <c r="P5" s="10"/>
    </row>
    <row r="6" spans="2:16" ht="42" thickBot="1">
      <c r="B6" s="7">
        <v>621</v>
      </c>
      <c r="C6" s="8"/>
      <c r="D6" s="22">
        <v>796750.7</v>
      </c>
      <c r="E6" s="12">
        <v>792879.37</v>
      </c>
      <c r="F6" s="12">
        <v>747455.55</v>
      </c>
      <c r="G6" s="12">
        <v>820236.64</v>
      </c>
      <c r="H6" s="12">
        <v>998201.75</v>
      </c>
      <c r="I6" s="12">
        <v>998201.75</v>
      </c>
      <c r="J6" s="12">
        <v>1587974.17</v>
      </c>
      <c r="K6" s="12">
        <v>1418604.55</v>
      </c>
      <c r="L6" s="12">
        <v>1444722.31</v>
      </c>
      <c r="M6" s="12">
        <v>924070.57</v>
      </c>
      <c r="N6" s="12">
        <v>1117790.3700000001</v>
      </c>
      <c r="O6" s="12">
        <v>1321380.81</v>
      </c>
      <c r="P6" s="10" t="s">
        <v>45</v>
      </c>
    </row>
    <row r="7" spans="2:16" ht="42" thickBot="1">
      <c r="B7" s="7">
        <v>622</v>
      </c>
      <c r="C7" s="8" t="s">
        <v>46</v>
      </c>
      <c r="D7" s="21">
        <v>993722.52</v>
      </c>
      <c r="E7" s="13">
        <v>885940.69</v>
      </c>
      <c r="F7" s="13">
        <v>963901.46</v>
      </c>
      <c r="G7" s="13">
        <v>1006729</v>
      </c>
      <c r="H7" s="13">
        <v>1020441.39</v>
      </c>
      <c r="I7" s="13">
        <v>1066945.8799999999</v>
      </c>
      <c r="J7" s="13">
        <v>1068433.04</v>
      </c>
      <c r="K7" s="13">
        <v>1200000</v>
      </c>
      <c r="L7" s="13">
        <v>1363119.01</v>
      </c>
      <c r="M7" s="13">
        <v>1248336.29</v>
      </c>
      <c r="N7" s="13">
        <v>1048904.75</v>
      </c>
      <c r="O7" s="13">
        <v>848405.67</v>
      </c>
      <c r="P7" s="10" t="s">
        <v>47</v>
      </c>
    </row>
    <row r="8" spans="2:16" ht="66.599999999999994" thickBot="1">
      <c r="B8" s="7">
        <v>623</v>
      </c>
      <c r="C8" s="8" t="s">
        <v>48</v>
      </c>
      <c r="D8" s="22" t="s">
        <v>49</v>
      </c>
      <c r="E8" s="11" t="s">
        <v>50</v>
      </c>
      <c r="F8" s="11" t="s">
        <v>51</v>
      </c>
      <c r="G8" s="11" t="s">
        <v>52</v>
      </c>
      <c r="H8" s="11" t="s">
        <v>53</v>
      </c>
      <c r="I8" s="11" t="s">
        <v>53</v>
      </c>
      <c r="J8" s="11" t="s">
        <v>54</v>
      </c>
      <c r="K8" s="11" t="s">
        <v>55</v>
      </c>
      <c r="L8" s="11" t="s">
        <v>56</v>
      </c>
      <c r="M8" s="11" t="s">
        <v>57</v>
      </c>
      <c r="N8" s="11" t="s">
        <v>58</v>
      </c>
      <c r="O8" s="11" t="s">
        <v>59</v>
      </c>
      <c r="P8" s="10" t="s">
        <v>60</v>
      </c>
    </row>
    <row r="9" spans="2:16" ht="14.45" thickBot="1">
      <c r="B9" s="7">
        <v>624</v>
      </c>
      <c r="C9" s="8"/>
      <c r="D9" s="22" t="e">
        <f>D4+D7</f>
        <v>#VALUE!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</row>
    <row r="10" spans="2:16" ht="42" thickBot="1">
      <c r="B10" s="7">
        <v>625</v>
      </c>
      <c r="C10" s="8" t="s">
        <v>61</v>
      </c>
      <c r="D10" s="22" t="s">
        <v>62</v>
      </c>
      <c r="E10" s="11" t="s">
        <v>63</v>
      </c>
      <c r="F10" s="11" t="s">
        <v>64</v>
      </c>
      <c r="G10" s="11" t="s">
        <v>65</v>
      </c>
      <c r="H10" s="11" t="s">
        <v>66</v>
      </c>
      <c r="I10" s="11" t="s">
        <v>67</v>
      </c>
      <c r="J10" s="11" t="s">
        <v>68</v>
      </c>
      <c r="K10" s="11" t="s">
        <v>69</v>
      </c>
      <c r="L10" s="11" t="s">
        <v>70</v>
      </c>
      <c r="M10" s="11" t="s">
        <v>71</v>
      </c>
      <c r="N10" s="11" t="s">
        <v>72</v>
      </c>
      <c r="O10" s="11" t="s">
        <v>73</v>
      </c>
      <c r="P10" s="10" t="s">
        <v>74</v>
      </c>
    </row>
    <row r="11" spans="2:16" ht="28.15" thickBot="1">
      <c r="B11" s="7">
        <v>626</v>
      </c>
      <c r="C11" s="8"/>
      <c r="D11" s="22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0" t="s">
        <v>75</v>
      </c>
    </row>
    <row r="12" spans="2:16" ht="42" thickBot="1">
      <c r="B12" s="7">
        <v>627</v>
      </c>
      <c r="C12" s="8" t="s">
        <v>76</v>
      </c>
      <c r="D12" s="21" t="s">
        <v>77</v>
      </c>
      <c r="E12" s="9" t="s">
        <v>78</v>
      </c>
      <c r="F12" s="9" t="s">
        <v>79</v>
      </c>
      <c r="G12" s="9" t="s">
        <v>80</v>
      </c>
      <c r="H12" s="9" t="s">
        <v>81</v>
      </c>
      <c r="I12" s="9" t="s">
        <v>82</v>
      </c>
      <c r="J12" s="9" t="s">
        <v>83</v>
      </c>
      <c r="K12" s="9" t="s">
        <v>84</v>
      </c>
      <c r="L12" s="9" t="s">
        <v>85</v>
      </c>
      <c r="M12" s="9" t="s">
        <v>86</v>
      </c>
      <c r="N12" s="9" t="s">
        <v>87</v>
      </c>
      <c r="O12" s="9" t="s">
        <v>88</v>
      </c>
      <c r="P12" s="10" t="s">
        <v>89</v>
      </c>
    </row>
    <row r="13" spans="2:16" ht="83.45" thickBot="1">
      <c r="B13" s="7">
        <v>628</v>
      </c>
      <c r="C13" s="10" t="s">
        <v>90</v>
      </c>
      <c r="D13" s="23">
        <v>80363.7</v>
      </c>
      <c r="E13" s="7">
        <v>79973.23</v>
      </c>
      <c r="F13" s="7">
        <v>75391.58</v>
      </c>
      <c r="G13" s="7">
        <v>82732.600000000006</v>
      </c>
      <c r="H13" s="7">
        <v>100682.93</v>
      </c>
      <c r="I13" s="7">
        <v>100682.93</v>
      </c>
      <c r="J13" s="7">
        <v>139278.18</v>
      </c>
      <c r="K13" s="7">
        <v>124423.1</v>
      </c>
      <c r="L13" s="7">
        <v>126713.84</v>
      </c>
      <c r="M13" s="7">
        <v>81048.47</v>
      </c>
      <c r="N13" s="7">
        <v>98039.26</v>
      </c>
      <c r="O13" s="7">
        <v>115895.79</v>
      </c>
      <c r="P13" s="10" t="s">
        <v>91</v>
      </c>
    </row>
    <row r="14" spans="2:16" ht="28.15" thickBot="1">
      <c r="B14" s="7">
        <v>629</v>
      </c>
      <c r="C14" s="10"/>
      <c r="D14" s="23"/>
      <c r="E14" s="7"/>
      <c r="F14" s="7"/>
      <c r="G14" s="7"/>
      <c r="H14" s="7"/>
      <c r="I14" s="7"/>
      <c r="J14" s="7"/>
      <c r="K14" s="7"/>
      <c r="L14" s="7"/>
      <c r="M14" s="7"/>
      <c r="N14" s="8"/>
      <c r="O14" s="7"/>
      <c r="P14" s="10" t="s">
        <v>75</v>
      </c>
    </row>
    <row r="15" spans="2:16" ht="55.9" thickBot="1">
      <c r="B15" s="7">
        <v>630</v>
      </c>
      <c r="C15" s="10" t="s">
        <v>92</v>
      </c>
      <c r="D15" s="23" t="s">
        <v>93</v>
      </c>
      <c r="E15" s="7" t="s">
        <v>94</v>
      </c>
      <c r="F15" s="7" t="s">
        <v>95</v>
      </c>
      <c r="G15" s="7" t="s">
        <v>96</v>
      </c>
      <c r="H15" s="7" t="s">
        <v>97</v>
      </c>
      <c r="I15" s="7" t="s">
        <v>98</v>
      </c>
      <c r="J15" s="7" t="s">
        <v>99</v>
      </c>
      <c r="K15" s="7" t="s">
        <v>100</v>
      </c>
      <c r="L15" s="7" t="s">
        <v>101</v>
      </c>
      <c r="M15" s="7" t="s">
        <v>102</v>
      </c>
      <c r="N15" s="7" t="s">
        <v>103</v>
      </c>
      <c r="O15" s="7" t="s">
        <v>104</v>
      </c>
      <c r="P15" s="10" t="s">
        <v>105</v>
      </c>
    </row>
    <row r="16" spans="2:16" ht="28.15" thickBot="1">
      <c r="B16" s="7">
        <v>631</v>
      </c>
      <c r="C16" s="10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0" t="s">
        <v>75</v>
      </c>
    </row>
    <row r="17" spans="2:16" ht="28.15" thickBot="1">
      <c r="B17" s="7">
        <v>632</v>
      </c>
      <c r="C17" s="10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0" t="s">
        <v>75</v>
      </c>
    </row>
    <row r="18" spans="2:16" ht="42" thickBot="1">
      <c r="B18" s="7">
        <v>633</v>
      </c>
      <c r="C18" s="10" t="s">
        <v>106</v>
      </c>
      <c r="D18" s="24" t="s">
        <v>107</v>
      </c>
      <c r="E18" s="14" t="s">
        <v>108</v>
      </c>
      <c r="F18" s="14" t="s">
        <v>109</v>
      </c>
      <c r="G18" s="14" t="s">
        <v>110</v>
      </c>
      <c r="H18" s="14" t="s">
        <v>111</v>
      </c>
      <c r="I18" s="14" t="s">
        <v>112</v>
      </c>
      <c r="J18" s="14" t="s">
        <v>113</v>
      </c>
      <c r="K18" s="14" t="s">
        <v>114</v>
      </c>
      <c r="L18" s="14" t="s">
        <v>115</v>
      </c>
      <c r="M18" s="14" t="s">
        <v>116</v>
      </c>
      <c r="N18" s="14" t="s">
        <v>117</v>
      </c>
      <c r="O18" s="14" t="s">
        <v>118</v>
      </c>
      <c r="P18" s="10" t="s">
        <v>119</v>
      </c>
    </row>
    <row r="19" spans="2:16" ht="69.599999999999994" thickBot="1">
      <c r="B19" s="7">
        <v>634</v>
      </c>
      <c r="C19" s="10" t="s">
        <v>120</v>
      </c>
      <c r="D19" s="23" t="s">
        <v>121</v>
      </c>
      <c r="E19" s="7" t="s">
        <v>122</v>
      </c>
      <c r="F19" s="7" t="s">
        <v>123</v>
      </c>
      <c r="G19" s="7" t="s">
        <v>124</v>
      </c>
      <c r="H19" s="7" t="s">
        <v>125</v>
      </c>
      <c r="I19" s="7" t="s">
        <v>125</v>
      </c>
      <c r="J19" s="7" t="s">
        <v>126</v>
      </c>
      <c r="K19" s="7" t="s">
        <v>127</v>
      </c>
      <c r="L19" s="7" t="s">
        <v>128</v>
      </c>
      <c r="M19" s="7" t="s">
        <v>129</v>
      </c>
      <c r="N19" s="7" t="s">
        <v>130</v>
      </c>
      <c r="O19" s="7" t="s">
        <v>131</v>
      </c>
      <c r="P19" s="10" t="s">
        <v>132</v>
      </c>
    </row>
    <row r="20" spans="2:16" ht="28.15" thickBot="1">
      <c r="B20" s="7">
        <v>635</v>
      </c>
      <c r="C20" s="10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10" t="s">
        <v>75</v>
      </c>
    </row>
    <row r="21" spans="2:16" ht="42" thickBot="1">
      <c r="B21" s="7">
        <v>636</v>
      </c>
      <c r="C21" s="10" t="s">
        <v>133</v>
      </c>
      <c r="D21" s="23" t="s">
        <v>134</v>
      </c>
      <c r="E21" s="7" t="s">
        <v>135</v>
      </c>
      <c r="F21" s="7" t="s">
        <v>136</v>
      </c>
      <c r="G21" s="7" t="s">
        <v>137</v>
      </c>
      <c r="H21" s="7" t="s">
        <v>138</v>
      </c>
      <c r="I21" s="7" t="s">
        <v>139</v>
      </c>
      <c r="J21" s="7" t="s">
        <v>140</v>
      </c>
      <c r="K21" s="7" t="s">
        <v>141</v>
      </c>
      <c r="L21" s="7" t="s">
        <v>142</v>
      </c>
      <c r="M21" s="7" t="s">
        <v>143</v>
      </c>
      <c r="N21" s="7" t="s">
        <v>144</v>
      </c>
      <c r="O21" s="7" t="s">
        <v>145</v>
      </c>
      <c r="P21" s="10" t="s">
        <v>146</v>
      </c>
    </row>
    <row r="22" spans="2:16" ht="28.15" thickBot="1">
      <c r="B22" s="7">
        <v>637</v>
      </c>
      <c r="C22" s="10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0" t="s">
        <v>75</v>
      </c>
    </row>
    <row r="23" spans="2:16" ht="28.15" thickBot="1">
      <c r="B23" s="7">
        <v>638</v>
      </c>
      <c r="C23" s="10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10" t="s">
        <v>75</v>
      </c>
    </row>
    <row r="24" spans="2:16" ht="14.45" thickBot="1">
      <c r="B24" s="7">
        <v>639</v>
      </c>
      <c r="C24" s="10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0"/>
    </row>
    <row r="25" spans="2:16" ht="14.45" thickBot="1">
      <c r="B25" s="5"/>
      <c r="C25" s="5" t="s">
        <v>30</v>
      </c>
      <c r="D25" s="20">
        <v>2445905.4900000002</v>
      </c>
      <c r="E25" s="15">
        <v>2306211.62</v>
      </c>
      <c r="F25" s="15">
        <v>2384119.59</v>
      </c>
      <c r="G25" s="15">
        <v>2504407.34</v>
      </c>
      <c r="H25" s="15">
        <v>2750624.06</v>
      </c>
      <c r="I25" s="15">
        <v>2815304.8</v>
      </c>
      <c r="J25" s="15">
        <v>3742863.53</v>
      </c>
      <c r="K25" s="15">
        <v>3595700.17</v>
      </c>
      <c r="L25" s="15">
        <v>4063061.78</v>
      </c>
      <c r="M25" s="15">
        <v>3296530.25</v>
      </c>
      <c r="N25" s="15">
        <v>3225472.93</v>
      </c>
      <c r="O25" s="15">
        <v>2872478.09</v>
      </c>
      <c r="P25" s="15">
        <v>36002679.640000001</v>
      </c>
    </row>
    <row r="26" spans="2:16">
      <c r="D26" s="1" t="e">
        <f>D4+D7</f>
        <v>#VALUE!</v>
      </c>
    </row>
    <row r="28" spans="2:16">
      <c r="B28" t="s">
        <v>147</v>
      </c>
    </row>
    <row r="29" spans="2:16" ht="13.9" thickBot="1"/>
    <row r="30" spans="2:16" ht="28.15" thickBot="1">
      <c r="B30" s="5" t="s">
        <v>28</v>
      </c>
      <c r="C30" s="5" t="s">
        <v>29</v>
      </c>
      <c r="D30" s="20">
        <v>43484</v>
      </c>
      <c r="E30" s="6">
        <v>43515</v>
      </c>
      <c r="F30" s="6">
        <v>43543</v>
      </c>
      <c r="G30" s="6">
        <v>43574</v>
      </c>
      <c r="H30" s="6">
        <v>43604</v>
      </c>
      <c r="I30" s="6">
        <v>43635</v>
      </c>
      <c r="J30" s="6">
        <v>43665</v>
      </c>
      <c r="K30" s="6">
        <v>43696</v>
      </c>
      <c r="L30" s="6">
        <v>43727</v>
      </c>
      <c r="M30" s="6">
        <v>43757</v>
      </c>
      <c r="N30" s="6">
        <v>43788</v>
      </c>
      <c r="O30" s="6">
        <v>43818</v>
      </c>
      <c r="P30" s="5" t="s">
        <v>30</v>
      </c>
    </row>
    <row r="31" spans="2:16" ht="14.45" thickBot="1">
      <c r="B31" s="16"/>
      <c r="C31" s="16"/>
      <c r="D31" s="2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>
        <v>0</v>
      </c>
    </row>
    <row r="32" spans="2:16" ht="42" thickBot="1">
      <c r="B32" s="7">
        <v>620</v>
      </c>
      <c r="C32" s="10" t="s">
        <v>31</v>
      </c>
      <c r="D32" s="26">
        <v>125500</v>
      </c>
      <c r="E32" s="17">
        <v>130000</v>
      </c>
      <c r="F32" s="17">
        <v>129224</v>
      </c>
      <c r="G32" s="17">
        <v>101322</v>
      </c>
      <c r="H32" s="17">
        <v>85095</v>
      </c>
      <c r="I32" s="17">
        <v>90809</v>
      </c>
      <c r="J32" s="17">
        <v>98195</v>
      </c>
      <c r="K32" s="17">
        <v>86920</v>
      </c>
      <c r="L32" s="17">
        <v>119835</v>
      </c>
      <c r="M32" s="17">
        <v>164947</v>
      </c>
      <c r="N32" s="17">
        <v>119835</v>
      </c>
      <c r="O32" s="17">
        <v>143287</v>
      </c>
      <c r="P32" s="11" t="s">
        <v>148</v>
      </c>
    </row>
    <row r="33" spans="2:16" ht="27" thickBot="1">
      <c r="B33" s="7">
        <v>621</v>
      </c>
      <c r="C33" s="8" t="s">
        <v>149</v>
      </c>
      <c r="D33" s="22" t="s">
        <v>150</v>
      </c>
      <c r="E33" s="11" t="s">
        <v>150</v>
      </c>
      <c r="F33" s="11" t="s">
        <v>150</v>
      </c>
      <c r="G33" s="11" t="s">
        <v>150</v>
      </c>
      <c r="H33" s="11" t="s">
        <v>150</v>
      </c>
      <c r="I33" s="11" t="s">
        <v>150</v>
      </c>
      <c r="J33" s="11" t="s">
        <v>150</v>
      </c>
      <c r="K33" s="11" t="s">
        <v>150</v>
      </c>
      <c r="L33" s="11" t="s">
        <v>150</v>
      </c>
      <c r="M33" s="11" t="s">
        <v>150</v>
      </c>
      <c r="N33" s="11" t="s">
        <v>150</v>
      </c>
      <c r="O33" s="11" t="s">
        <v>150</v>
      </c>
      <c r="P33" s="11" t="s">
        <v>151</v>
      </c>
    </row>
    <row r="34" spans="2:16" ht="40.15" thickBot="1">
      <c r="B34" s="7">
        <v>622</v>
      </c>
      <c r="C34" s="8" t="s">
        <v>152</v>
      </c>
      <c r="D34" s="22" t="s">
        <v>153</v>
      </c>
      <c r="E34" s="11" t="s">
        <v>154</v>
      </c>
      <c r="F34" s="11" t="s">
        <v>155</v>
      </c>
      <c r="G34" s="11" t="s">
        <v>156</v>
      </c>
      <c r="H34" s="11" t="s">
        <v>157</v>
      </c>
      <c r="I34" s="11" t="s">
        <v>158</v>
      </c>
      <c r="J34" s="11" t="s">
        <v>159</v>
      </c>
      <c r="K34" s="11" t="s">
        <v>160</v>
      </c>
      <c r="L34" s="11" t="s">
        <v>161</v>
      </c>
      <c r="M34" s="11" t="s">
        <v>162</v>
      </c>
      <c r="N34" s="11" t="s">
        <v>161</v>
      </c>
      <c r="O34" s="11" t="s">
        <v>163</v>
      </c>
      <c r="P34" s="11" t="s">
        <v>164</v>
      </c>
    </row>
    <row r="35" spans="2:16" ht="27" thickBot="1">
      <c r="B35" s="7">
        <v>623</v>
      </c>
      <c r="C35" s="8"/>
      <c r="D35" s="22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 t="s">
        <v>165</v>
      </c>
    </row>
    <row r="36" spans="2:16" ht="27" thickBot="1">
      <c r="B36" s="7">
        <v>624</v>
      </c>
      <c r="C36" s="8"/>
      <c r="D36" s="22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 t="s">
        <v>165</v>
      </c>
    </row>
    <row r="37" spans="2:16" ht="40.15" thickBot="1">
      <c r="B37" s="7">
        <v>625</v>
      </c>
      <c r="C37" s="8" t="s">
        <v>166</v>
      </c>
      <c r="D37" s="22" t="s">
        <v>167</v>
      </c>
      <c r="E37" s="11" t="s">
        <v>168</v>
      </c>
      <c r="F37" s="11" t="s">
        <v>169</v>
      </c>
      <c r="G37" s="11" t="s">
        <v>170</v>
      </c>
      <c r="H37" s="11" t="s">
        <v>171</v>
      </c>
      <c r="I37" s="11" t="s">
        <v>172</v>
      </c>
      <c r="J37" s="11" t="s">
        <v>173</v>
      </c>
      <c r="K37" s="11" t="s">
        <v>174</v>
      </c>
      <c r="L37" s="11" t="s">
        <v>175</v>
      </c>
      <c r="M37" s="11" t="s">
        <v>176</v>
      </c>
      <c r="N37" s="11" t="s">
        <v>175</v>
      </c>
      <c r="O37" s="11" t="s">
        <v>177</v>
      </c>
      <c r="P37" s="11" t="s">
        <v>178</v>
      </c>
    </row>
    <row r="38" spans="2:16" ht="27" thickBot="1">
      <c r="B38" s="7">
        <v>626</v>
      </c>
      <c r="C38" s="8"/>
      <c r="D38" s="22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 t="s">
        <v>165</v>
      </c>
    </row>
    <row r="39" spans="2:16" ht="55.9" thickBot="1">
      <c r="B39" s="7">
        <v>627</v>
      </c>
      <c r="C39" s="10" t="s">
        <v>179</v>
      </c>
      <c r="D39" s="23" t="s">
        <v>180</v>
      </c>
      <c r="E39" s="7" t="s">
        <v>181</v>
      </c>
      <c r="F39" s="7" t="s">
        <v>182</v>
      </c>
      <c r="G39" s="7" t="s">
        <v>183</v>
      </c>
      <c r="H39" s="7" t="s">
        <v>184</v>
      </c>
      <c r="I39" s="7" t="s">
        <v>185</v>
      </c>
      <c r="J39" s="7" t="s">
        <v>186</v>
      </c>
      <c r="K39" s="7" t="s">
        <v>187</v>
      </c>
      <c r="L39" s="7" t="s">
        <v>188</v>
      </c>
      <c r="M39" s="7" t="s">
        <v>189</v>
      </c>
      <c r="N39" s="7" t="s">
        <v>188</v>
      </c>
      <c r="O39" s="7" t="s">
        <v>190</v>
      </c>
      <c r="P39" s="11" t="s">
        <v>191</v>
      </c>
    </row>
    <row r="40" spans="2:16" ht="27" thickBot="1">
      <c r="B40" s="18">
        <v>628</v>
      </c>
      <c r="C40" s="19"/>
      <c r="D40" s="2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11" t="s">
        <v>165</v>
      </c>
    </row>
    <row r="41" spans="2:16" ht="42" thickBot="1">
      <c r="B41" s="7">
        <v>629</v>
      </c>
      <c r="C41" s="10" t="s">
        <v>192</v>
      </c>
      <c r="D41" s="23" t="s">
        <v>193</v>
      </c>
      <c r="E41" s="7" t="s">
        <v>194</v>
      </c>
      <c r="F41" s="7" t="s">
        <v>195</v>
      </c>
      <c r="G41" s="7" t="s">
        <v>196</v>
      </c>
      <c r="H41" s="7" t="s">
        <v>197</v>
      </c>
      <c r="I41" s="7" t="s">
        <v>198</v>
      </c>
      <c r="J41" s="7" t="s">
        <v>199</v>
      </c>
      <c r="K41" s="7" t="s">
        <v>200</v>
      </c>
      <c r="L41" s="7" t="s">
        <v>201</v>
      </c>
      <c r="M41" s="7" t="s">
        <v>202</v>
      </c>
      <c r="N41" s="7" t="s">
        <v>201</v>
      </c>
      <c r="O41" s="7" t="s">
        <v>203</v>
      </c>
      <c r="P41" s="11" t="s">
        <v>204</v>
      </c>
    </row>
    <row r="42" spans="2:16" ht="27" thickBot="1">
      <c r="B42" s="7">
        <v>630</v>
      </c>
      <c r="C42" s="10"/>
      <c r="D42" s="2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11" t="s">
        <v>165</v>
      </c>
    </row>
    <row r="43" spans="2:16" ht="27" thickBot="1">
      <c r="B43" s="7">
        <v>631</v>
      </c>
      <c r="C43" s="10"/>
      <c r="D43" s="2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11" t="s">
        <v>165</v>
      </c>
    </row>
    <row r="44" spans="2:16" ht="27" thickBot="1">
      <c r="B44" s="7">
        <v>632</v>
      </c>
      <c r="C44" s="10"/>
      <c r="D44" s="23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11" t="s">
        <v>165</v>
      </c>
    </row>
    <row r="45" spans="2:16" ht="27" thickBot="1">
      <c r="B45" s="7">
        <v>633</v>
      </c>
      <c r="C45" s="10"/>
      <c r="D45" s="2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11" t="s">
        <v>165</v>
      </c>
    </row>
    <row r="46" spans="2:16" ht="27" thickBot="1">
      <c r="B46" s="7">
        <v>634</v>
      </c>
      <c r="C46" s="10"/>
      <c r="D46" s="2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11" t="s">
        <v>165</v>
      </c>
    </row>
    <row r="47" spans="2:16" ht="27" thickBot="1">
      <c r="B47" s="7">
        <v>635</v>
      </c>
      <c r="C47" s="10"/>
      <c r="D47" s="2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11" t="s">
        <v>165</v>
      </c>
    </row>
    <row r="48" spans="2:16" ht="27" thickBot="1">
      <c r="B48" s="7">
        <v>636</v>
      </c>
      <c r="C48" s="10"/>
      <c r="D48" s="2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11" t="s">
        <v>165</v>
      </c>
    </row>
    <row r="49" spans="2:16" ht="27" thickBot="1">
      <c r="B49" s="7">
        <v>637</v>
      </c>
      <c r="C49" s="10"/>
      <c r="D49" s="2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11" t="s">
        <v>165</v>
      </c>
    </row>
    <row r="50" spans="2:16" ht="27" thickBot="1">
      <c r="B50" s="7">
        <v>638</v>
      </c>
      <c r="C50" s="10"/>
      <c r="D50" s="23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11" t="s">
        <v>165</v>
      </c>
    </row>
    <row r="51" spans="2:16" ht="27" thickBot="1">
      <c r="B51" s="7">
        <v>639</v>
      </c>
      <c r="C51" s="10"/>
      <c r="D51" s="27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 t="s">
        <v>165</v>
      </c>
    </row>
    <row r="52" spans="2:16" ht="42" thickBot="1">
      <c r="B52" s="5"/>
      <c r="C52" s="5" t="s">
        <v>30</v>
      </c>
      <c r="D52" s="20" t="s">
        <v>205</v>
      </c>
      <c r="E52" s="5" t="s">
        <v>206</v>
      </c>
      <c r="F52" s="5" t="s">
        <v>207</v>
      </c>
      <c r="G52" s="5" t="s">
        <v>208</v>
      </c>
      <c r="H52" s="5" t="s">
        <v>209</v>
      </c>
      <c r="I52" s="5" t="s">
        <v>210</v>
      </c>
      <c r="J52" s="5" t="s">
        <v>211</v>
      </c>
      <c r="K52" s="5" t="s">
        <v>212</v>
      </c>
      <c r="L52" s="5" t="s">
        <v>213</v>
      </c>
      <c r="M52" s="5" t="s">
        <v>214</v>
      </c>
      <c r="N52" s="5" t="s">
        <v>213</v>
      </c>
      <c r="O52" s="5" t="s">
        <v>215</v>
      </c>
      <c r="P52" s="5" t="s">
        <v>216</v>
      </c>
    </row>
    <row r="57" spans="2:16" ht="13.9" thickBot="1">
      <c r="B57" t="s">
        <v>217</v>
      </c>
    </row>
    <row r="58" spans="2:16" ht="28.15" thickBot="1">
      <c r="B58" s="5" t="s">
        <v>28</v>
      </c>
      <c r="C58" s="5" t="s">
        <v>29</v>
      </c>
      <c r="D58" s="20">
        <v>43484</v>
      </c>
      <c r="E58" s="6">
        <v>43515</v>
      </c>
      <c r="F58" s="6">
        <v>43543</v>
      </c>
      <c r="G58" s="6">
        <v>43574</v>
      </c>
      <c r="H58" s="6">
        <v>43604</v>
      </c>
      <c r="I58" s="6">
        <v>43635</v>
      </c>
      <c r="J58" s="6">
        <v>43665</v>
      </c>
      <c r="K58" s="6">
        <v>43696</v>
      </c>
      <c r="L58" s="6">
        <v>43727</v>
      </c>
      <c r="M58" s="6">
        <v>43757</v>
      </c>
      <c r="N58" s="6">
        <v>43788</v>
      </c>
      <c r="O58" s="6">
        <v>43818</v>
      </c>
      <c r="P58" s="5" t="s">
        <v>30</v>
      </c>
    </row>
    <row r="59" spans="2:16" ht="40.15" thickBot="1">
      <c r="B59" s="7">
        <v>620</v>
      </c>
      <c r="C59" s="8" t="s">
        <v>31</v>
      </c>
      <c r="D59" s="21" t="s">
        <v>218</v>
      </c>
      <c r="E59" s="9" t="s">
        <v>218</v>
      </c>
      <c r="F59" s="9" t="s">
        <v>218</v>
      </c>
      <c r="G59" s="9" t="s">
        <v>218</v>
      </c>
      <c r="H59" s="9" t="s">
        <v>218</v>
      </c>
      <c r="I59" s="9" t="s">
        <v>218</v>
      </c>
      <c r="J59" s="9" t="s">
        <v>218</v>
      </c>
      <c r="K59" s="9" t="s">
        <v>218</v>
      </c>
      <c r="L59" s="9" t="s">
        <v>218</v>
      </c>
      <c r="M59" s="9" t="s">
        <v>218</v>
      </c>
      <c r="N59" s="9" t="s">
        <v>218</v>
      </c>
      <c r="O59" s="9" t="s">
        <v>218</v>
      </c>
      <c r="P59" s="10" t="s">
        <v>219</v>
      </c>
    </row>
    <row r="60" spans="2:16" ht="27" thickBot="1">
      <c r="B60" s="7">
        <v>621</v>
      </c>
      <c r="C60" s="8" t="s">
        <v>149</v>
      </c>
      <c r="D60" s="22">
        <v>9.1199999999999992</v>
      </c>
      <c r="E60" s="11">
        <v>9.1199999999999992</v>
      </c>
      <c r="F60" s="11">
        <v>9.1199999999999992</v>
      </c>
      <c r="G60" s="11">
        <v>9.1199999999999992</v>
      </c>
      <c r="H60" s="11">
        <v>9.1199999999999992</v>
      </c>
      <c r="I60" s="11">
        <v>9.1199999999999992</v>
      </c>
      <c r="J60" s="11">
        <v>10.029999999999999</v>
      </c>
      <c r="K60" s="11">
        <v>10.029999999999999</v>
      </c>
      <c r="L60" s="11">
        <v>10.029999999999999</v>
      </c>
      <c r="M60" s="11">
        <v>10.029999999999999</v>
      </c>
      <c r="N60" s="11">
        <v>10.029999999999999</v>
      </c>
      <c r="O60" s="11">
        <v>10.029999999999999</v>
      </c>
      <c r="P60" s="10"/>
    </row>
    <row r="61" spans="2:16" ht="28.15" thickBot="1">
      <c r="B61" s="7">
        <v>622</v>
      </c>
      <c r="C61" s="8"/>
      <c r="D61" s="22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0" t="s">
        <v>220</v>
      </c>
    </row>
    <row r="62" spans="2:16" ht="28.15" thickBot="1">
      <c r="B62" s="7">
        <v>623</v>
      </c>
      <c r="C62" s="8" t="s">
        <v>46</v>
      </c>
      <c r="D62" s="21">
        <v>21657.7</v>
      </c>
      <c r="E62" s="13">
        <v>23896.29</v>
      </c>
      <c r="F62" s="13">
        <v>31706.26</v>
      </c>
      <c r="G62" s="13">
        <v>25543.13</v>
      </c>
      <c r="H62" s="13">
        <v>33033.99</v>
      </c>
      <c r="I62" s="13">
        <v>35798.25</v>
      </c>
      <c r="J62" s="13">
        <v>33515.06</v>
      </c>
      <c r="K62" s="13">
        <v>30848.13</v>
      </c>
      <c r="L62" s="13">
        <v>22510.12</v>
      </c>
      <c r="M62" s="13">
        <v>27943.99</v>
      </c>
      <c r="N62" s="13">
        <v>26769.88</v>
      </c>
      <c r="O62" s="13">
        <v>24340.77</v>
      </c>
      <c r="P62" s="10" t="s">
        <v>221</v>
      </c>
    </row>
    <row r="63" spans="2:16" ht="66.599999999999994" thickBot="1">
      <c r="B63" s="7">
        <v>624</v>
      </c>
      <c r="C63" s="8" t="s">
        <v>222</v>
      </c>
      <c r="D63" s="22" t="s">
        <v>223</v>
      </c>
      <c r="E63" s="11" t="s">
        <v>223</v>
      </c>
      <c r="F63" s="11" t="s">
        <v>223</v>
      </c>
      <c r="G63" s="11" t="s">
        <v>223</v>
      </c>
      <c r="H63" s="11" t="s">
        <v>223</v>
      </c>
      <c r="I63" s="11" t="s">
        <v>223</v>
      </c>
      <c r="J63" s="11" t="s">
        <v>223</v>
      </c>
      <c r="K63" s="11" t="s">
        <v>223</v>
      </c>
      <c r="L63" s="11" t="s">
        <v>223</v>
      </c>
      <c r="M63" s="11" t="s">
        <v>223</v>
      </c>
      <c r="N63" s="11" t="s">
        <v>223</v>
      </c>
      <c r="O63" s="11" t="s">
        <v>223</v>
      </c>
      <c r="P63" s="10" t="s">
        <v>224</v>
      </c>
    </row>
    <row r="64" spans="2:16" ht="28.15" thickBot="1">
      <c r="B64" s="7">
        <v>625</v>
      </c>
      <c r="C64" s="8"/>
      <c r="D64" s="22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0" t="s">
        <v>220</v>
      </c>
    </row>
    <row r="65" spans="2:16" ht="42" thickBot="1">
      <c r="B65" s="7">
        <v>626</v>
      </c>
      <c r="C65" s="8" t="s">
        <v>61</v>
      </c>
      <c r="D65" s="22" t="s">
        <v>225</v>
      </c>
      <c r="E65" s="11" t="s">
        <v>226</v>
      </c>
      <c r="F65" s="11" t="s">
        <v>227</v>
      </c>
      <c r="G65" s="11" t="s">
        <v>228</v>
      </c>
      <c r="H65" s="11" t="s">
        <v>229</v>
      </c>
      <c r="I65" s="11" t="s">
        <v>230</v>
      </c>
      <c r="J65" s="11" t="s">
        <v>231</v>
      </c>
      <c r="K65" s="11" t="s">
        <v>232</v>
      </c>
      <c r="L65" s="11" t="s">
        <v>233</v>
      </c>
      <c r="M65" s="11" t="s">
        <v>234</v>
      </c>
      <c r="N65" s="11" t="s">
        <v>235</v>
      </c>
      <c r="O65" s="11" t="s">
        <v>236</v>
      </c>
      <c r="P65" s="10" t="s">
        <v>237</v>
      </c>
    </row>
    <row r="66" spans="2:16" ht="28.15" thickBot="1">
      <c r="B66" s="7">
        <v>627</v>
      </c>
      <c r="C66" s="8"/>
      <c r="D66" s="22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0" t="s">
        <v>220</v>
      </c>
    </row>
    <row r="67" spans="2:16" ht="40.15" thickBot="1">
      <c r="B67" s="7">
        <v>628</v>
      </c>
      <c r="C67" s="8" t="s">
        <v>76</v>
      </c>
      <c r="D67" s="21" t="s">
        <v>238</v>
      </c>
      <c r="E67" s="9" t="s">
        <v>239</v>
      </c>
      <c r="F67" s="9" t="s">
        <v>240</v>
      </c>
      <c r="G67" s="9" t="s">
        <v>241</v>
      </c>
      <c r="H67" s="9" t="s">
        <v>242</v>
      </c>
      <c r="I67" s="9" t="s">
        <v>243</v>
      </c>
      <c r="J67" s="9" t="s">
        <v>244</v>
      </c>
      <c r="K67" s="9" t="s">
        <v>245</v>
      </c>
      <c r="L67" s="9" t="s">
        <v>246</v>
      </c>
      <c r="M67" s="9" t="s">
        <v>247</v>
      </c>
      <c r="N67" s="9" t="s">
        <v>248</v>
      </c>
      <c r="O67" s="9" t="s">
        <v>249</v>
      </c>
      <c r="P67" s="10" t="s">
        <v>250</v>
      </c>
    </row>
    <row r="68" spans="2:16" ht="83.45" thickBot="1">
      <c r="B68" s="7">
        <v>629</v>
      </c>
      <c r="C68" s="10" t="s">
        <v>251</v>
      </c>
      <c r="D68" s="23">
        <v>350.1</v>
      </c>
      <c r="E68" s="7">
        <v>350.1</v>
      </c>
      <c r="F68" s="7">
        <v>350.1</v>
      </c>
      <c r="G68" s="7">
        <v>350.1</v>
      </c>
      <c r="H68" s="7">
        <v>350.1</v>
      </c>
      <c r="I68" s="7">
        <v>350.1</v>
      </c>
      <c r="J68" s="7">
        <v>350.1</v>
      </c>
      <c r="K68" s="7">
        <v>350.1</v>
      </c>
      <c r="L68" s="7">
        <v>350.1</v>
      </c>
      <c r="M68" s="7">
        <v>350.1</v>
      </c>
      <c r="N68" s="7">
        <v>350.1</v>
      </c>
      <c r="O68" s="7">
        <v>350.1</v>
      </c>
      <c r="P68" s="10" t="s">
        <v>252</v>
      </c>
    </row>
    <row r="69" spans="2:16" ht="28.15" thickBot="1">
      <c r="B69" s="7">
        <v>630</v>
      </c>
      <c r="C69" s="10"/>
      <c r="D69" s="23"/>
      <c r="E69" s="7"/>
      <c r="F69" s="7"/>
      <c r="G69" s="7"/>
      <c r="H69" s="7"/>
      <c r="I69" s="7"/>
      <c r="J69" s="7"/>
      <c r="K69" s="7"/>
      <c r="L69" s="7"/>
      <c r="M69" s="7"/>
      <c r="N69" s="8"/>
      <c r="O69" s="7"/>
      <c r="P69" s="10" t="s">
        <v>220</v>
      </c>
    </row>
    <row r="70" spans="2:16" ht="55.9" thickBot="1">
      <c r="B70" s="7">
        <v>631</v>
      </c>
      <c r="C70" s="10" t="s">
        <v>92</v>
      </c>
      <c r="D70" s="23" t="s">
        <v>253</v>
      </c>
      <c r="E70" s="7" t="s">
        <v>254</v>
      </c>
      <c r="F70" s="7" t="s">
        <v>255</v>
      </c>
      <c r="G70" s="7" t="s">
        <v>256</v>
      </c>
      <c r="H70" s="7" t="s">
        <v>257</v>
      </c>
      <c r="I70" s="7" t="s">
        <v>258</v>
      </c>
      <c r="J70" s="7" t="s">
        <v>259</v>
      </c>
      <c r="K70" s="7" t="s">
        <v>260</v>
      </c>
      <c r="L70" s="7" t="s">
        <v>261</v>
      </c>
      <c r="M70" s="7" t="s">
        <v>262</v>
      </c>
      <c r="N70" s="7" t="s">
        <v>263</v>
      </c>
      <c r="O70" s="7" t="s">
        <v>264</v>
      </c>
      <c r="P70" s="10" t="s">
        <v>265</v>
      </c>
    </row>
    <row r="71" spans="2:16" ht="28.15" thickBot="1">
      <c r="B71" s="7">
        <v>632</v>
      </c>
      <c r="C71" s="10"/>
      <c r="D71" s="23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10" t="s">
        <v>220</v>
      </c>
    </row>
    <row r="72" spans="2:16" ht="28.15" thickBot="1">
      <c r="B72" s="7">
        <v>633</v>
      </c>
      <c r="C72" s="10"/>
      <c r="D72" s="23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10" t="s">
        <v>220</v>
      </c>
    </row>
    <row r="73" spans="2:16" ht="28.15" thickBot="1">
      <c r="B73" s="7">
        <v>634</v>
      </c>
      <c r="C73" s="10" t="s">
        <v>106</v>
      </c>
      <c r="D73" s="24" t="s">
        <v>266</v>
      </c>
      <c r="E73" s="14" t="s">
        <v>266</v>
      </c>
      <c r="F73" s="14" t="s">
        <v>267</v>
      </c>
      <c r="G73" s="14" t="s">
        <v>266</v>
      </c>
      <c r="H73" s="14" t="s">
        <v>266</v>
      </c>
      <c r="I73" s="14" t="s">
        <v>268</v>
      </c>
      <c r="J73" s="14" t="s">
        <v>269</v>
      </c>
      <c r="K73" s="14" t="s">
        <v>270</v>
      </c>
      <c r="L73" s="14" t="s">
        <v>271</v>
      </c>
      <c r="M73" s="14" t="s">
        <v>272</v>
      </c>
      <c r="N73" s="14" t="s">
        <v>273</v>
      </c>
      <c r="O73" s="14" t="s">
        <v>274</v>
      </c>
      <c r="P73" s="10" t="s">
        <v>275</v>
      </c>
    </row>
    <row r="74" spans="2:16" ht="69.599999999999994" thickBot="1">
      <c r="B74" s="7">
        <v>635</v>
      </c>
      <c r="C74" s="10" t="s">
        <v>276</v>
      </c>
      <c r="D74" s="23" t="s">
        <v>277</v>
      </c>
      <c r="E74" s="7" t="s">
        <v>277</v>
      </c>
      <c r="F74" s="7" t="s">
        <v>277</v>
      </c>
      <c r="G74" s="7" t="s">
        <v>277</v>
      </c>
      <c r="H74" s="7" t="s">
        <v>277</v>
      </c>
      <c r="I74" s="7" t="s">
        <v>277</v>
      </c>
      <c r="J74" s="7" t="s">
        <v>277</v>
      </c>
      <c r="K74" s="7" t="s">
        <v>277</v>
      </c>
      <c r="L74" s="7" t="s">
        <v>277</v>
      </c>
      <c r="M74" s="7" t="s">
        <v>277</v>
      </c>
      <c r="N74" s="7" t="s">
        <v>277</v>
      </c>
      <c r="O74" s="7" t="s">
        <v>277</v>
      </c>
      <c r="P74" s="10" t="s">
        <v>278</v>
      </c>
    </row>
    <row r="75" spans="2:16" ht="27" thickBot="1">
      <c r="B75" s="7">
        <v>636</v>
      </c>
      <c r="C75" s="10"/>
      <c r="D75" s="23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11" t="s">
        <v>220</v>
      </c>
    </row>
    <row r="76" spans="2:16" ht="42" thickBot="1">
      <c r="B76" s="7">
        <v>637</v>
      </c>
      <c r="C76" s="10" t="s">
        <v>133</v>
      </c>
      <c r="D76" s="23" t="s">
        <v>279</v>
      </c>
      <c r="E76" s="7" t="s">
        <v>279</v>
      </c>
      <c r="F76" s="7" t="s">
        <v>280</v>
      </c>
      <c r="G76" s="7" t="s">
        <v>279</v>
      </c>
      <c r="H76" s="7" t="s">
        <v>279</v>
      </c>
      <c r="I76" s="7" t="s">
        <v>281</v>
      </c>
      <c r="J76" s="7" t="s">
        <v>282</v>
      </c>
      <c r="K76" s="7" t="s">
        <v>283</v>
      </c>
      <c r="L76" s="7" t="s">
        <v>284</v>
      </c>
      <c r="M76" s="7" t="s">
        <v>285</v>
      </c>
      <c r="N76" s="7" t="s">
        <v>286</v>
      </c>
      <c r="O76" s="7" t="s">
        <v>287</v>
      </c>
      <c r="P76" s="11" t="s">
        <v>288</v>
      </c>
    </row>
    <row r="77" spans="2:16" ht="27" thickBot="1">
      <c r="B77" s="7">
        <v>638</v>
      </c>
      <c r="C77" s="10"/>
      <c r="D77" s="23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11" t="s">
        <v>220</v>
      </c>
    </row>
    <row r="78" spans="2:16" ht="27" thickBot="1">
      <c r="B78" s="7">
        <v>639</v>
      </c>
      <c r="C78" s="10"/>
      <c r="D78" s="23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11" t="s">
        <v>220</v>
      </c>
    </row>
    <row r="79" spans="2:16" ht="42" thickBot="1">
      <c r="B79" s="5"/>
      <c r="C79" s="5" t="s">
        <v>30</v>
      </c>
      <c r="D79" s="20" t="s">
        <v>289</v>
      </c>
      <c r="E79" s="5" t="s">
        <v>290</v>
      </c>
      <c r="F79" s="5" t="s">
        <v>291</v>
      </c>
      <c r="G79" s="5" t="s">
        <v>292</v>
      </c>
      <c r="H79" s="5" t="s">
        <v>293</v>
      </c>
      <c r="I79" s="5" t="s">
        <v>294</v>
      </c>
      <c r="J79" s="5" t="s">
        <v>295</v>
      </c>
      <c r="K79" s="5" t="s">
        <v>296</v>
      </c>
      <c r="L79" s="5" t="s">
        <v>297</v>
      </c>
      <c r="M79" s="5" t="s">
        <v>298</v>
      </c>
      <c r="N79" s="5" t="s">
        <v>299</v>
      </c>
      <c r="O79" s="5" t="s">
        <v>300</v>
      </c>
      <c r="P79" s="5" t="s">
        <v>301</v>
      </c>
    </row>
    <row r="82" spans="2:2">
      <c r="B82" t="s">
        <v>302</v>
      </c>
    </row>
    <row r="86" spans="2:2">
      <c r="B86" t="s">
        <v>303</v>
      </c>
    </row>
    <row r="87" spans="2:2">
      <c r="B87" t="s">
        <v>304</v>
      </c>
    </row>
    <row r="89" spans="2:2">
      <c r="B89" t="s">
        <v>305</v>
      </c>
    </row>
    <row r="90" spans="2:2">
      <c r="B90" t="s">
        <v>306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D1D9-485E-4D37-A1EA-8C21BA6D389E}">
  <dimension ref="A4:T25"/>
  <sheetViews>
    <sheetView showGridLines="0" workbookViewId="0">
      <selection activeCell="F19" sqref="F19"/>
    </sheetView>
  </sheetViews>
  <sheetFormatPr defaultRowHeight="12.75"/>
  <cols>
    <col min="2" max="2" width="11.7109375" customWidth="1"/>
    <col min="3" max="3" width="11.85546875" customWidth="1"/>
    <col min="4" max="4" width="9.5703125" bestFit="1" customWidth="1"/>
    <col min="5" max="5" width="9.5703125" customWidth="1"/>
    <col min="6" max="17" width="15" customWidth="1"/>
  </cols>
  <sheetData>
    <row r="4" spans="1:20" ht="26.25" customHeight="1">
      <c r="A4" s="64"/>
      <c r="B4" s="66" t="s">
        <v>307</v>
      </c>
      <c r="C4" s="66" t="s">
        <v>308</v>
      </c>
      <c r="D4" s="66"/>
      <c r="E4" s="66" t="s">
        <v>309</v>
      </c>
      <c r="F4" s="67" t="s">
        <v>310</v>
      </c>
      <c r="G4" s="67" t="s">
        <v>311</v>
      </c>
      <c r="H4" s="67" t="s">
        <v>312</v>
      </c>
      <c r="I4" s="67" t="s">
        <v>313</v>
      </c>
      <c r="J4" s="67" t="s">
        <v>314</v>
      </c>
      <c r="K4" s="67" t="s">
        <v>315</v>
      </c>
      <c r="L4" s="67" t="s">
        <v>316</v>
      </c>
      <c r="M4" s="67" t="s">
        <v>317</v>
      </c>
      <c r="N4" s="67" t="s">
        <v>318</v>
      </c>
      <c r="O4" s="67" t="s">
        <v>319</v>
      </c>
      <c r="P4" s="67" t="s">
        <v>320</v>
      </c>
      <c r="Q4" s="67" t="s">
        <v>321</v>
      </c>
      <c r="R4" s="58"/>
      <c r="S4" s="58"/>
      <c r="T4" s="58"/>
    </row>
    <row r="5" spans="1:20">
      <c r="A5" s="70">
        <v>1</v>
      </c>
      <c r="B5" s="70" t="s">
        <v>322</v>
      </c>
      <c r="C5" s="70">
        <v>5</v>
      </c>
      <c r="D5" s="71">
        <f>C5*100/C12</f>
        <v>16.666666666666668</v>
      </c>
      <c r="E5" s="72">
        <v>0.17</v>
      </c>
      <c r="F5" s="70">
        <f>E5*C14</f>
        <v>6772.8</v>
      </c>
      <c r="G5" s="70">
        <f>E5*C15</f>
        <v>6007.8</v>
      </c>
      <c r="H5" s="70">
        <f>E5*C16</f>
        <v>6810.2000000000007</v>
      </c>
      <c r="I5" s="70">
        <f>E5*C17</f>
        <v>5468.9000000000005</v>
      </c>
      <c r="J5" s="70">
        <f>E5*C18</f>
        <v>6749.0000000000009</v>
      </c>
      <c r="K5" s="70">
        <f>C19*E5</f>
        <v>5522.79</v>
      </c>
      <c r="L5" s="70"/>
      <c r="M5" s="70"/>
      <c r="N5" s="70"/>
      <c r="O5" s="70"/>
      <c r="P5" s="70"/>
      <c r="Q5" s="70"/>
    </row>
    <row r="6" spans="1:20">
      <c r="A6" s="70">
        <v>2</v>
      </c>
      <c r="B6" s="70" t="s">
        <v>323</v>
      </c>
      <c r="C6" s="70">
        <v>4</v>
      </c>
      <c r="D6" s="71">
        <f>C6*100/C12</f>
        <v>13.333333333333334</v>
      </c>
      <c r="E6" s="72">
        <v>0.13</v>
      </c>
      <c r="F6" s="70">
        <f>E6*C14</f>
        <v>5179.2</v>
      </c>
      <c r="G6" s="70">
        <f>E6*C15</f>
        <v>4594.2</v>
      </c>
      <c r="H6" s="70">
        <f>E6*C15</f>
        <v>4594.2</v>
      </c>
      <c r="I6" s="70">
        <f>E6*C17</f>
        <v>4182.1000000000004</v>
      </c>
      <c r="J6" s="70">
        <f>E6*C18</f>
        <v>5161</v>
      </c>
      <c r="K6" s="70">
        <f>C19*E6</f>
        <v>4223.3100000000004</v>
      </c>
      <c r="L6" s="70"/>
      <c r="M6" s="70"/>
      <c r="N6" s="70"/>
      <c r="O6" s="70"/>
      <c r="P6" s="70"/>
      <c r="Q6" s="70"/>
    </row>
    <row r="7" spans="1:20">
      <c r="A7" s="70">
        <v>3</v>
      </c>
      <c r="B7" s="70" t="s">
        <v>324</v>
      </c>
      <c r="C7" s="70">
        <v>5</v>
      </c>
      <c r="D7" s="71">
        <f>C7*100/C12</f>
        <v>16.666666666666668</v>
      </c>
      <c r="E7" s="72">
        <v>0.17</v>
      </c>
      <c r="F7" s="70">
        <f>E7*C14</f>
        <v>6772.8</v>
      </c>
      <c r="G7" s="70">
        <f>E7*C15</f>
        <v>6007.8</v>
      </c>
      <c r="H7" s="70">
        <f>E7*C16</f>
        <v>6810.2000000000007</v>
      </c>
      <c r="I7" s="70">
        <f>E7*C17</f>
        <v>5468.9000000000005</v>
      </c>
      <c r="J7" s="70">
        <f>E7*C18</f>
        <v>6749.0000000000009</v>
      </c>
      <c r="K7" s="70">
        <f>C19*E7</f>
        <v>5522.79</v>
      </c>
      <c r="L7" s="70"/>
      <c r="M7" s="70"/>
      <c r="N7" s="70"/>
      <c r="O7" s="70"/>
      <c r="P7" s="70"/>
      <c r="Q7" s="70"/>
    </row>
    <row r="8" spans="1:20">
      <c r="A8" s="70">
        <v>4</v>
      </c>
      <c r="B8" s="70" t="s">
        <v>325</v>
      </c>
      <c r="C8" s="70">
        <v>2</v>
      </c>
      <c r="D8" s="71">
        <f>C8*100/C12</f>
        <v>6.666666666666667</v>
      </c>
      <c r="E8" s="72">
        <v>7.0000000000000007E-2</v>
      </c>
      <c r="F8" s="70">
        <f>E8*C14</f>
        <v>2788.8</v>
      </c>
      <c r="G8" s="70">
        <f>E8*C15</f>
        <v>2473.8000000000002</v>
      </c>
      <c r="H8" s="70">
        <f>E8*C16</f>
        <v>2804.2000000000003</v>
      </c>
      <c r="I8" s="70">
        <f>E8*C17</f>
        <v>2251.9</v>
      </c>
      <c r="J8" s="70">
        <f>E8*C18</f>
        <v>2779.0000000000005</v>
      </c>
      <c r="K8" s="70">
        <f>C19*E8</f>
        <v>2274.09</v>
      </c>
      <c r="L8" s="70"/>
      <c r="M8" s="70"/>
      <c r="N8" s="70"/>
      <c r="O8" s="70"/>
      <c r="P8" s="70"/>
      <c r="Q8" s="70"/>
    </row>
    <row r="9" spans="1:20">
      <c r="A9" s="70">
        <v>5</v>
      </c>
      <c r="B9" s="70" t="s">
        <v>326</v>
      </c>
      <c r="C9" s="70">
        <v>4</v>
      </c>
      <c r="D9" s="71">
        <f>C9*100/C12</f>
        <v>13.333333333333334</v>
      </c>
      <c r="E9" s="72">
        <v>0.13</v>
      </c>
      <c r="F9" s="70">
        <f>E9*C14</f>
        <v>5179.2</v>
      </c>
      <c r="G9" s="70">
        <f>E9*C15</f>
        <v>4594.2</v>
      </c>
      <c r="H9" s="70">
        <f>E9*C16</f>
        <v>5207.8</v>
      </c>
      <c r="I9" s="70">
        <f>E9*C17</f>
        <v>4182.1000000000004</v>
      </c>
      <c r="J9" s="70">
        <f>E9*C18</f>
        <v>5161</v>
      </c>
      <c r="K9" s="70">
        <f>C19*E9</f>
        <v>4223.3100000000004</v>
      </c>
      <c r="L9" s="70"/>
      <c r="M9" s="70"/>
      <c r="N9" s="70"/>
      <c r="O9" s="70"/>
      <c r="P9" s="70"/>
      <c r="Q9" s="70"/>
    </row>
    <row r="10" spans="1:20">
      <c r="A10" s="59">
        <v>6</v>
      </c>
      <c r="B10" s="59" t="s">
        <v>327</v>
      </c>
      <c r="C10" s="59">
        <v>10</v>
      </c>
      <c r="D10" s="60">
        <f>C10*100/C12</f>
        <v>33.333333333333336</v>
      </c>
      <c r="E10" s="61">
        <v>0.33</v>
      </c>
      <c r="F10" s="59">
        <f>E10*C14</f>
        <v>13147.2</v>
      </c>
      <c r="G10" s="59">
        <f>E10*C15</f>
        <v>11662.2</v>
      </c>
      <c r="H10" s="59">
        <f>E10*C16</f>
        <v>13219.800000000001</v>
      </c>
      <c r="I10" s="59">
        <f>E10*C17</f>
        <v>10616.1</v>
      </c>
      <c r="J10" s="59">
        <f>E10*C18</f>
        <v>13101</v>
      </c>
      <c r="K10" s="59">
        <f>C19*E10</f>
        <v>10720.710000000001</v>
      </c>
      <c r="L10" s="59"/>
      <c r="M10" s="59"/>
      <c r="N10" s="59"/>
      <c r="O10" s="59"/>
      <c r="P10" s="59"/>
      <c r="Q10" s="59"/>
    </row>
    <row r="11" spans="1:20">
      <c r="A11" s="59">
        <v>7</v>
      </c>
      <c r="B11" s="59" t="s">
        <v>328</v>
      </c>
      <c r="C11" s="59">
        <v>0</v>
      </c>
      <c r="D11" s="60">
        <f>C11*100/C12</f>
        <v>0</v>
      </c>
      <c r="E11" s="61">
        <v>0</v>
      </c>
      <c r="F11" s="59">
        <f>E11*C14</f>
        <v>0</v>
      </c>
      <c r="G11" s="59">
        <f>E11*C15</f>
        <v>0</v>
      </c>
      <c r="H11" s="59">
        <f>E11*C16</f>
        <v>0</v>
      </c>
      <c r="I11" s="59">
        <f>E11*C17</f>
        <v>0</v>
      </c>
      <c r="J11" s="59">
        <f>E11*C18</f>
        <v>0</v>
      </c>
      <c r="K11" s="59">
        <v>0</v>
      </c>
      <c r="L11" s="59"/>
      <c r="M11" s="59"/>
      <c r="N11" s="59"/>
      <c r="O11" s="59"/>
      <c r="P11" s="59"/>
      <c r="Q11" s="59"/>
    </row>
    <row r="12" spans="1:20">
      <c r="A12" s="62"/>
      <c r="B12" s="63" t="s">
        <v>329</v>
      </c>
      <c r="C12" s="62">
        <f>SUM(C5:C11)</f>
        <v>30</v>
      </c>
      <c r="D12" s="62"/>
      <c r="E12" s="62"/>
      <c r="F12" s="62">
        <f>SUM(F5:F11)</f>
        <v>39840</v>
      </c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</row>
    <row r="13" spans="1:20" ht="38.25" customHeight="1">
      <c r="A13" s="64"/>
      <c r="B13" s="64"/>
      <c r="C13" s="65" t="s">
        <v>330</v>
      </c>
      <c r="D13" s="65" t="s">
        <v>331</v>
      </c>
      <c r="E13" s="65"/>
      <c r="F13" s="68" t="s">
        <v>332</v>
      </c>
    </row>
    <row r="14" spans="1:20">
      <c r="A14" s="59">
        <v>2022</v>
      </c>
      <c r="B14" s="59" t="s">
        <v>333</v>
      </c>
      <c r="C14" s="59">
        <v>39840</v>
      </c>
      <c r="D14" s="59">
        <v>13</v>
      </c>
      <c r="E14" s="59"/>
      <c r="F14" s="60">
        <f>SUM(F5:F9)</f>
        <v>26692.799999999999</v>
      </c>
    </row>
    <row r="15" spans="1:20">
      <c r="A15" s="59">
        <v>2022</v>
      </c>
      <c r="B15" s="59" t="s">
        <v>334</v>
      </c>
      <c r="C15" s="59">
        <v>35340</v>
      </c>
      <c r="D15" s="59">
        <v>13</v>
      </c>
      <c r="E15" s="59"/>
      <c r="F15" s="60">
        <f>SUM(G5:G9)</f>
        <v>23677.8</v>
      </c>
    </row>
    <row r="16" spans="1:20">
      <c r="A16" s="59">
        <v>2022</v>
      </c>
      <c r="B16" s="59" t="s">
        <v>335</v>
      </c>
      <c r="C16" s="59">
        <v>40060</v>
      </c>
      <c r="D16" s="59">
        <v>15</v>
      </c>
      <c r="E16" s="59"/>
      <c r="F16" s="60">
        <f>SUM(H5:H9)</f>
        <v>26226.600000000002</v>
      </c>
    </row>
    <row r="17" spans="1:6">
      <c r="A17" s="59">
        <v>2022</v>
      </c>
      <c r="B17" s="59" t="s">
        <v>336</v>
      </c>
      <c r="C17" s="59">
        <v>32170</v>
      </c>
      <c r="D17" s="59">
        <v>13</v>
      </c>
      <c r="E17" s="59"/>
      <c r="F17" s="60">
        <f>SUM(I5:I9)</f>
        <v>21553.9</v>
      </c>
    </row>
    <row r="18" spans="1:6">
      <c r="A18" s="59">
        <v>2022</v>
      </c>
      <c r="B18" s="59" t="s">
        <v>314</v>
      </c>
      <c r="C18" s="59">
        <v>39700</v>
      </c>
      <c r="D18" s="59">
        <v>14</v>
      </c>
      <c r="E18" s="59"/>
      <c r="F18" s="60">
        <f>SUM(J5:J9)</f>
        <v>26599</v>
      </c>
    </row>
    <row r="19" spans="1:6">
      <c r="A19" s="59">
        <v>2022</v>
      </c>
      <c r="B19" s="59" t="s">
        <v>337</v>
      </c>
      <c r="C19" s="59">
        <v>32487</v>
      </c>
      <c r="D19" s="59">
        <v>13</v>
      </c>
      <c r="E19" s="59"/>
      <c r="F19" s="60">
        <f>SUM(K5:K9)</f>
        <v>21766.29</v>
      </c>
    </row>
    <row r="20" spans="1:6">
      <c r="A20" s="59">
        <v>2022</v>
      </c>
      <c r="B20" s="59" t="s">
        <v>338</v>
      </c>
      <c r="C20" s="59"/>
      <c r="D20" s="59"/>
      <c r="E20" s="59"/>
      <c r="F20" s="60"/>
    </row>
    <row r="21" spans="1:6">
      <c r="A21" s="59">
        <v>2022</v>
      </c>
      <c r="B21" s="59" t="s">
        <v>339</v>
      </c>
      <c r="C21" s="59"/>
      <c r="D21" s="59"/>
      <c r="E21" s="59"/>
      <c r="F21" s="60"/>
    </row>
    <row r="22" spans="1:6">
      <c r="A22" s="59">
        <v>2022</v>
      </c>
      <c r="B22" s="59" t="s">
        <v>340</v>
      </c>
      <c r="C22" s="59"/>
      <c r="D22" s="59"/>
      <c r="E22" s="59"/>
      <c r="F22" s="60"/>
    </row>
    <row r="23" spans="1:6">
      <c r="A23" s="59">
        <v>2022</v>
      </c>
      <c r="B23" s="59" t="s">
        <v>341</v>
      </c>
      <c r="C23" s="59"/>
      <c r="D23" s="59"/>
      <c r="E23" s="59"/>
      <c r="F23" s="60"/>
    </row>
    <row r="24" spans="1:6">
      <c r="A24" s="59">
        <v>2022</v>
      </c>
      <c r="B24" s="59" t="s">
        <v>342</v>
      </c>
      <c r="C24" s="59"/>
      <c r="D24" s="59"/>
      <c r="E24" s="59"/>
      <c r="F24" s="60"/>
    </row>
    <row r="25" spans="1:6">
      <c r="A25" s="59">
        <v>2022</v>
      </c>
      <c r="B25" s="59" t="s">
        <v>343</v>
      </c>
      <c r="C25" s="59"/>
      <c r="D25" s="59"/>
      <c r="E25" s="59"/>
      <c r="F2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03472B-573A-4559-A12D-1F10702AAE72}"/>
</file>

<file path=customXml/itemProps2.xml><?xml version="1.0" encoding="utf-8"?>
<ds:datastoreItem xmlns:ds="http://schemas.openxmlformats.org/officeDocument/2006/customXml" ds:itemID="{C4F809D4-DE7C-482C-B48C-C2E35C0A28AA}"/>
</file>

<file path=customXml/itemProps3.xml><?xml version="1.0" encoding="utf-8"?>
<ds:datastoreItem xmlns:ds="http://schemas.openxmlformats.org/officeDocument/2006/customXml" ds:itemID="{FBCF4BE8-9E54-432C-82D5-09B15A7E43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2022-08-07T08:02:15Z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