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18" i="7" l="1"/>
  <c r="AV19" i="7"/>
  <c r="AV20" i="7"/>
  <c r="R19" i="7"/>
  <c r="L11" i="7" l="1"/>
  <c r="CJ10" i="7" l="1"/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<sst xmlns="http://schemas.openxmlformats.org/spreadsheetml/2006/main" count="313" uniqueCount="148">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</sst>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7" fillId="2" borderId="3" xfId="2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31.1355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20.146499999999996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8039.9999999998827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66.099999999998545</v>
      </c>
      <c r="J7" s="11">
        <f t="shared" si="3"/>
        <v>10.487297712684205</v>
      </c>
      <c r="K7" s="13">
        <f>'FS Desroches Daily'!CN9</f>
        <v>11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8390.0000000003274</v>
      </c>
      <c r="F8" s="11">
        <f t="shared" si="1"/>
        <v>0.58765030286592534</v>
      </c>
      <c r="G8" s="12">
        <f>(Submetering!AX8+Submetering!AY8+Submetering!AZ8+Submetering!BA8+Submetering!BB8)</f>
        <v>43.955999999999996</v>
      </c>
      <c r="H8" s="11">
        <f t="shared" si="2"/>
        <v>0.99</v>
      </c>
      <c r="I8" s="12">
        <f>'FS Desroches Daily'!CM10</f>
        <v>58.200000000000728</v>
      </c>
      <c r="J8" s="11">
        <f t="shared" si="3"/>
        <v>10.487297712684205</v>
      </c>
      <c r="K8" s="13">
        <f>'FS Desroches Daily'!CN10</f>
        <v>14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8299.9999999997781</v>
      </c>
      <c r="F9" s="11">
        <f t="shared" si="1"/>
        <v>0.58765030286592534</v>
      </c>
      <c r="G9" s="12">
        <f>(Submetering!AX9+Submetering!AY9+Submetering!AZ9+Submetering!BA9+Submetering!BB9)</f>
        <v>38.461499999999994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8810.0000000004839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73.900000000001455</v>
      </c>
      <c r="J10" s="11">
        <f t="shared" si="3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9029.9999999997472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76.799999999999272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8639.9999999999272</v>
      </c>
      <c r="F12" s="11">
        <f t="shared" si="1"/>
        <v>0.58765030286592534</v>
      </c>
      <c r="G12" s="12">
        <f>(Submetering!AX12+Submetering!AY12+Submetering!AZ12+Submetering!BA12+Submetering!BB12)</f>
        <v>25.640999999999998</v>
      </c>
      <c r="H12" s="11">
        <f t="shared" si="2"/>
        <v>0.99</v>
      </c>
      <c r="I12" s="12">
        <f>'FS Desroches Daily'!CM14</f>
        <v>78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8900.00000000004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61.299999999999272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8589.9999999996726</v>
      </c>
      <c r="F14" s="11">
        <f t="shared" si="1"/>
        <v>0.58765030286592534</v>
      </c>
      <c r="G14" s="12">
        <f>(Submetering!AX14+Submetering!AY14+Submetering!AZ14+Submetering!BA14+Submetering!BB14)</f>
        <v>9979.8435000000009</v>
      </c>
      <c r="H14" s="11">
        <f t="shared" si="2"/>
        <v>0.99</v>
      </c>
      <c r="I14" s="12">
        <f>'FS Desroches Daily'!CM16</f>
        <v>71.700000000000728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8390.0000000003274</v>
      </c>
      <c r="F15" s="11">
        <f t="shared" si="1"/>
        <v>0.58765030286592534</v>
      </c>
      <c r="G15" s="12">
        <f>(Submetering!AX15+Submetering!AY15+Submetering!AZ15+Submetering!BA15+Submetering!BB15)</f>
        <v>23.809499999999996</v>
      </c>
      <c r="H15" s="11">
        <f t="shared" si="2"/>
        <v>0.99</v>
      </c>
      <c r="I15" s="12">
        <f>'FS Desroches Daily'!CM17</f>
        <v>68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8590.0000000000837</v>
      </c>
      <c r="F16" s="11">
        <f t="shared" si="1"/>
        <v>0.58765030286592534</v>
      </c>
      <c r="G16" s="12">
        <f>(Submetering!AX16+Submetering!AY16+Submetering!AZ16+Submetering!BA16+Submetering!BB16)</f>
        <v>23.809499999999996</v>
      </c>
      <c r="H16" s="11">
        <f t="shared" si="2"/>
        <v>0.99</v>
      </c>
      <c r="I16" s="12">
        <f>'FS Desroches Daily'!CM18</f>
        <v>77</v>
      </c>
      <c r="J16" s="11">
        <f t="shared" si="3"/>
        <v>10.487297712684205</v>
      </c>
      <c r="K16" s="13">
        <f>'FS Desroches Daily'!CN18</f>
        <v>15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8689.9999999999309</v>
      </c>
      <c r="F17" s="11">
        <f t="shared" si="1"/>
        <v>0.58765030286592534</v>
      </c>
      <c r="G17" s="12">
        <f>(Submetering!AX17+Submetering!AY17+Submetering!AZ17+Submetering!BA17+Submetering!BB17)</f>
        <v>29.303999999999995</v>
      </c>
      <c r="H17" s="11">
        <f t="shared" si="2"/>
        <v>0.99</v>
      </c>
      <c r="I17" s="12">
        <f>'FS Desroches Daily'!CM19</f>
        <v>87</v>
      </c>
      <c r="J17" s="11">
        <f t="shared" si="3"/>
        <v>10.487297712684205</v>
      </c>
      <c r="K17" s="13">
        <f>'FS Desroches Daily'!CN19</f>
        <v>15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8810.0000000002656</v>
      </c>
      <c r="F18" s="11">
        <f t="shared" si="1"/>
        <v>0.58765030286592534</v>
      </c>
      <c r="G18" s="12">
        <f>(Submetering!AX18+Submetering!AY18+Submetering!AZ18+Submetering!BA18+Submetering!BB18)</f>
        <v>29.303999999999998</v>
      </c>
      <c r="H18" s="11">
        <f t="shared" si="2"/>
        <v>0.99</v>
      </c>
      <c r="I18" s="12">
        <f>'FS Desroches Daily'!CM20</f>
        <v>58</v>
      </c>
      <c r="J18" s="11">
        <f t="shared" si="3"/>
        <v>10.487297712684205</v>
      </c>
      <c r="K18" s="13">
        <f>'FS Desroches Daily'!CN20</f>
        <v>13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8859.9999999998545</v>
      </c>
      <c r="F19" s="11">
        <f t="shared" si="1"/>
        <v>0.58765030286592534</v>
      </c>
      <c r="G19" s="12">
        <f>(Submetering!AX19+Submetering!AY19+Submetering!AZ19+Submetering!BA19+Submetering!BB19)</f>
        <v>23.8095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15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8550.0000000001201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>
        <f>'FS Desroches Daily'!CM22</f>
        <v>67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8809.9999999997872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67</v>
      </c>
      <c r="J21" s="11">
        <f t="shared" si="3"/>
        <v>10.487297712684205</v>
      </c>
      <c r="K21" s="13">
        <f>'FS Desroches Daily'!CN23</f>
        <v>14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8939.9999999996744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71</v>
      </c>
      <c r="J22" s="11">
        <f t="shared" si="3"/>
        <v>10.487297712684205</v>
      </c>
      <c r="K22" s="13">
        <f>'FS Desroches Daily'!CN24</f>
        <v>14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 t="e">
        <f>Submetering!E23+Submetering!F23+Submetering!G23+Submetering!H23+Submetering!J23-Submetering!AV23</f>
        <v>#VALUE!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 t="e">
        <f>'FS Desroches Daily'!CM25</f>
        <v>#VALUE!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>
        <f>IF(LPG!F13-LPG!F12&lt;0,"0",(LPG!F13-LPG!F12)*1.8315)</f>
        <v>9.1574999999999989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1800.0000000002458</v>
      </c>
      <c r="F7" s="32">
        <f>'FS Desroches Daily'!F9</f>
        <v>2399.9999999997358</v>
      </c>
      <c r="G7" s="31">
        <f>'FS Desroches Daily'!H9</f>
        <v>2299.9999999999686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799.99999999991189</v>
      </c>
      <c r="K7" s="13">
        <f>'FS Desroches Daily'!P9</f>
        <v>5</v>
      </c>
      <c r="L7" s="31">
        <f>'FS Desroches Daily'!R9</f>
        <v>2</v>
      </c>
      <c r="M7" s="31">
        <f>'FS Desroches Daily'!T9</f>
        <v>742</v>
      </c>
      <c r="N7" s="31">
        <f>'FS Desroches Daily'!V9</f>
        <v>349.40000000002328</v>
      </c>
      <c r="O7" s="31">
        <f>'FS Desroches Daily'!X9</f>
        <v>250</v>
      </c>
      <c r="P7" s="31">
        <f>'FS Desroches Daily'!Z9</f>
        <v>2099.9999999999909</v>
      </c>
      <c r="Q7" s="31">
        <f>'FS Desroches Daily'!AB9</f>
        <v>189.99999999999773</v>
      </c>
      <c r="R7" s="31">
        <f>'FS Desroches Daily'!AD9</f>
        <v>210.00000000003638</v>
      </c>
      <c r="S7" s="31">
        <f>'FS Desroches Daily'!AF9</f>
        <v>289.99999999996362</v>
      </c>
      <c r="T7" s="31">
        <f>'FS Desroches Daily'!AH9</f>
        <v>32</v>
      </c>
      <c r="U7" s="35">
        <f>'FS Desroches Daily'!AJ9</f>
        <v>519.99999999998181</v>
      </c>
      <c r="V7" s="35">
        <f>'FS Desroches Daily'!AL9</f>
        <v>189.99999999999773</v>
      </c>
      <c r="W7" s="35">
        <f>'FS Desroches Daily'!AN9</f>
        <v>170.00000000001592</v>
      </c>
      <c r="X7" s="35">
        <f>'FS Desroches Daily'!AP9</f>
        <v>120.00000000000455</v>
      </c>
      <c r="Y7" s="35">
        <f>'FS Desroches Daily'!AR9</f>
        <v>159.99999999999659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89.999999999974989</v>
      </c>
      <c r="AC7" s="35">
        <f>'FS Desroches Daily'!AZ9</f>
        <v>60.000000000002274</v>
      </c>
      <c r="AD7" s="35">
        <f>'FS Desroches Daily'!BB9</f>
        <v>30.000000000029559</v>
      </c>
      <c r="AE7" s="35">
        <f>'FS Desroches Daily'!BD9</f>
        <v>30.000000000001137</v>
      </c>
      <c r="AF7" s="31">
        <f>'FS Desroches Daily'!BF9</f>
        <v>31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30.000000000001137</v>
      </c>
      <c r="AJ7" s="32">
        <f>'FS Desroches Daily'!BN9</f>
        <v>39.999999999992042</v>
      </c>
      <c r="AK7" s="32">
        <f>'FS Desroches Daily'!BP9</f>
        <v>50.000000000011369</v>
      </c>
      <c r="AL7" s="32">
        <f>'FS Desroches Daily'!BR9</f>
        <v>33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19.99999999998181</v>
      </c>
      <c r="AP7" s="32">
        <f>'FS Desroches Daily'!BZ9</f>
        <v>58</v>
      </c>
      <c r="AQ7" s="31">
        <f>'FS Desroches Daily'!CB9</f>
        <v>31.5</v>
      </c>
      <c r="AR7" s="31">
        <f>'FS Desroches Daily'!CD9</f>
        <v>9.3000000000010914</v>
      </c>
      <c r="AS7" s="31">
        <f>'FS Desroches Daily'!CF9</f>
        <v>18</v>
      </c>
      <c r="AT7" s="31">
        <f>'FS Desroches Daily'!CH9</f>
        <v>29.19999999999709</v>
      </c>
      <c r="AU7" s="31">
        <f>'FS Desroches Daily'!CJ9</f>
        <v>265</v>
      </c>
      <c r="AV7" s="31">
        <f>'FS Desroches Daily'!CL9</f>
        <v>560.00000000005912</v>
      </c>
      <c r="AW7" s="31">
        <f>'FS Desroches Daily'!CM9</f>
        <v>66.099999999998545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7.3259999999999996</v>
      </c>
      <c r="BC7" s="13">
        <f>'FS Desroches Daily'!CN9</f>
        <v>11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1900.0000000000127</v>
      </c>
      <c r="F8" s="32">
        <f>'FS Desroches Daily'!F10</f>
        <v>2600.0000000001578</v>
      </c>
      <c r="G8" s="31">
        <f>'FS Desroches Daily'!H10</f>
        <v>2400.0000000001796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900.0000000001229</v>
      </c>
      <c r="K8" s="13">
        <f>'FS Desroches Daily'!P10</f>
        <v>4</v>
      </c>
      <c r="L8" s="31">
        <f>'FS Desroches Daily'!R10</f>
        <v>2</v>
      </c>
      <c r="M8" s="31">
        <f>'FS Desroches Daily'!T10</f>
        <v>738.79999999993015</v>
      </c>
      <c r="N8" s="31">
        <f>'FS Desroches Daily'!V10</f>
        <v>275.79999999998836</v>
      </c>
      <c r="O8" s="31">
        <f>'FS Desroches Daily'!X10</f>
        <v>259.99999999999091</v>
      </c>
      <c r="P8" s="31">
        <f>'FS Desroches Daily'!Z10</f>
        <v>2400.0000000001796</v>
      </c>
      <c r="Q8" s="31">
        <f>'FS Desroches Daily'!AB10</f>
        <v>310.00000000000227</v>
      </c>
      <c r="R8" s="31">
        <f>'FS Desroches Daily'!AD10</f>
        <v>219.99999999997044</v>
      </c>
      <c r="S8" s="31">
        <f>'FS Desroches Daily'!AF10</f>
        <v>259.99999999999091</v>
      </c>
      <c r="T8" s="31">
        <f>'FS Desroches Daily'!AH10</f>
        <v>30</v>
      </c>
      <c r="U8" s="35">
        <f>'FS Desroches Daily'!AJ10</f>
        <v>580.00000000004093</v>
      </c>
      <c r="V8" s="35">
        <f>'FS Desroches Daily'!AL10</f>
        <v>169.99999999998749</v>
      </c>
      <c r="W8" s="35">
        <f>'FS Desroches Daily'!AN10</f>
        <v>169.99999999998749</v>
      </c>
      <c r="X8" s="35">
        <f>'FS Desroches Daily'!AP10</f>
        <v>90.000000000003411</v>
      </c>
      <c r="Y8" s="35">
        <f>'FS Desroches Daily'!AR10</f>
        <v>170.00000000001592</v>
      </c>
      <c r="Z8" s="35">
        <f>'FS Desroches Daily'!AT10</f>
        <v>229.99999999996135</v>
      </c>
      <c r="AA8" s="35">
        <f>'FS Desroches Daily'!AT10</f>
        <v>229.99999999996135</v>
      </c>
      <c r="AB8" s="35">
        <f>'FS Desroches Daily'!AV10</f>
        <v>150.00000000003411</v>
      </c>
      <c r="AC8" s="35">
        <f>'FS Desroches Daily'!AZ10</f>
        <v>50.000000000011369</v>
      </c>
      <c r="AD8" s="35">
        <f>'FS Desroches Daily'!BB10</f>
        <v>29.999999999972715</v>
      </c>
      <c r="AE8" s="35">
        <f>'FS Desroches Daily'!BD10</f>
        <v>90.000000000003411</v>
      </c>
      <c r="AF8" s="31">
        <f>'FS Desroches Daily'!BF10</f>
        <v>28</v>
      </c>
      <c r="AG8" s="32">
        <f>'FS Desroches Daily'!BH10</f>
        <v>30.000000000001137</v>
      </c>
      <c r="AH8" s="32">
        <f>'FS Desroches Daily'!BJ10</f>
        <v>30.000000000029559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24</v>
      </c>
      <c r="AM8" s="32">
        <f>'FS Desroches Daily'!BT10</f>
        <v>30.000000000001137</v>
      </c>
      <c r="AN8" s="32">
        <f>'FS Desroches Daily'!BV10</f>
        <v>39</v>
      </c>
      <c r="AO8" s="32">
        <f>'FS Desroches Daily'!BX10</f>
        <v>30.000000000001137</v>
      </c>
      <c r="AP8" s="32">
        <f>'FS Desroches Daily'!BZ10</f>
        <v>52</v>
      </c>
      <c r="AQ8" s="31">
        <f>'FS Desroches Daily'!CB10</f>
        <v>37.299999999999272</v>
      </c>
      <c r="AR8" s="31">
        <f>'FS Desroches Daily'!CD10</f>
        <v>6.2999999999992724</v>
      </c>
      <c r="AS8" s="31">
        <f>'FS Desroches Daily'!CF10</f>
        <v>5</v>
      </c>
      <c r="AT8" s="31">
        <f>'FS Desroches Daily'!CH10</f>
        <v>30.80000000000291</v>
      </c>
      <c r="AU8" s="31">
        <f>'FS Desroches Daily'!CJ10</f>
        <v>200</v>
      </c>
      <c r="AV8" s="31">
        <f>'FS Desroches Daily'!CL10</f>
        <v>610.00000000001364</v>
      </c>
      <c r="AW8" s="31">
        <f>'FS Desroches Daily'!CM10</f>
        <v>58.200000000000728</v>
      </c>
      <c r="AX8" s="31">
        <f>IF(LPG!F16-LPG!F14&lt;0,"0",(LPG!F16-LPG!F14)*1.8315)</f>
        <v>16.483499999999999</v>
      </c>
      <c r="AY8" s="31">
        <f>IF(LPG!H16-LPG!H14&lt;0,"0",(LPG!H16-LPG!H14)*1.8315)</f>
        <v>12.820499999999999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9.1574999999999989</v>
      </c>
      <c r="BC8" s="13">
        <f>'FS Desroches Daily'!CN10</f>
        <v>14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1799.9999999998017</v>
      </c>
      <c r="F9" s="32">
        <f>'FS Desroches Daily'!F11</f>
        <v>2600.0000000001578</v>
      </c>
      <c r="G9" s="31">
        <f>'FS Desroches Daily'!H11</f>
        <v>2399.9999999997358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899.99999999990087</v>
      </c>
      <c r="K9" s="13">
        <f>'FS Desroches Daily'!P11</f>
        <v>4</v>
      </c>
      <c r="L9" s="31">
        <f>'FS Desroches Daily'!R11</f>
        <v>2</v>
      </c>
      <c r="M9" s="31">
        <f>'FS Desroches Daily'!T11</f>
        <v>54.099999999976717</v>
      </c>
      <c r="N9" s="31">
        <f>'FS Desroches Daily'!V11</f>
        <v>287.79999999998836</v>
      </c>
      <c r="O9" s="31">
        <f>'FS Desroches Daily'!X11</f>
        <v>269.99999999998181</v>
      </c>
      <c r="P9" s="31">
        <f>'FS Desroches Daily'!Z11</f>
        <v>2299.9999999999686</v>
      </c>
      <c r="Q9" s="31">
        <f>'FS Desroches Daily'!AB11</f>
        <v>180.00000000000682</v>
      </c>
      <c r="R9" s="31">
        <f>'FS Desroches Daily'!AD11</f>
        <v>290.00000000002046</v>
      </c>
      <c r="S9" s="31">
        <f>'FS Desroches Daily'!AF11</f>
        <v>340.00000000003183</v>
      </c>
      <c r="T9" s="31">
        <f>'FS Desroches Daily'!AH11</f>
        <v>27</v>
      </c>
      <c r="U9" s="35">
        <f>'FS Desroches Daily'!AJ11</f>
        <v>529.99999999997272</v>
      </c>
      <c r="V9" s="35">
        <f>'FS Desroches Daily'!AL11</f>
        <v>150.00000000000568</v>
      </c>
      <c r="W9" s="35">
        <f>'FS Desroches Daily'!AN11</f>
        <v>150.00000000000568</v>
      </c>
      <c r="X9" s="35">
        <f>'FS Desroches Daily'!AP11</f>
        <v>109.99999999998522</v>
      </c>
      <c r="Y9" s="35">
        <f>'FS Desroches Daily'!AR11</f>
        <v>150.00000000000568</v>
      </c>
      <c r="Z9" s="35">
        <f>'FS Desroches Daily'!AT11</f>
        <v>210.00000000003638</v>
      </c>
      <c r="AA9" s="35">
        <f>'FS Desroches Daily'!AT11</f>
        <v>210.00000000003638</v>
      </c>
      <c r="AB9" s="35">
        <f>'FS Desroches Daily'!AV11</f>
        <v>49.999999999954525</v>
      </c>
      <c r="AC9" s="35">
        <f>'FS Desroches Daily'!AZ11</f>
        <v>49.999999999954525</v>
      </c>
      <c r="AD9" s="35">
        <f>'FS Desroches Daily'!BB11</f>
        <v>19.99999999998181</v>
      </c>
      <c r="AE9" s="35">
        <f>'FS Desroches Daily'!BD11</f>
        <v>69.999999999993179</v>
      </c>
      <c r="AF9" s="31">
        <f>'FS Desroches Daily'!BF11</f>
        <v>43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23</v>
      </c>
      <c r="AM9" s="32">
        <f>'FS Desroches Daily'!BT11</f>
        <v>30.000000000001137</v>
      </c>
      <c r="AN9" s="32">
        <f>'FS Desroches Daily'!BV11</f>
        <v>39</v>
      </c>
      <c r="AO9" s="32">
        <f>'FS Desroches Daily'!BX11</f>
        <v>20.000000000010232</v>
      </c>
      <c r="AP9" s="32">
        <f>'FS Desroches Daily'!BZ11</f>
        <v>40</v>
      </c>
      <c r="AQ9" s="31">
        <f>'FS Desroches Daily'!CB11</f>
        <v>42.600000000002183</v>
      </c>
      <c r="AR9" s="31">
        <f>'FS Desroches Daily'!CD11</f>
        <v>15.100000000000364</v>
      </c>
      <c r="AS9" s="31">
        <f>'FS Desroches Daily'!CF11</f>
        <v>0</v>
      </c>
      <c r="AT9" s="31">
        <f>'FS Desroches Daily'!CH11</f>
        <v>37.400000000001455</v>
      </c>
      <c r="AU9" s="31">
        <f>'FS Desroches Daily'!CJ11</f>
        <v>326</v>
      </c>
      <c r="AV9" s="31">
        <f>'FS Desroches Daily'!CL11</f>
        <v>599.99999999990905</v>
      </c>
      <c r="AW9" s="31">
        <f>'FS Desroches Daily'!CM11</f>
        <v>76.299999999999272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1.8314999999999999</v>
      </c>
      <c r="BA9" s="31">
        <f>IF(LPG!M17-LPG!M15&lt;0,"0",(LPG!M17-LPG!M15)*1.8315)</f>
        <v>1.8314999999999999</v>
      </c>
      <c r="BB9" s="31">
        <f>IF(LPG!Q16-LPG!Q15&lt;0,"0",(LPG!Q16-LPG!Q15)*1.8315)</f>
        <v>7.3259999999999996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2000.0000000002237</v>
      </c>
      <c r="F10" s="32">
        <f>'FS Desroches Daily'!F12</f>
        <v>2699.9999999999245</v>
      </c>
      <c r="G10" s="31">
        <f>'FS Desroches Daily'!H12</f>
        <v>2400.0000000001796</v>
      </c>
      <c r="H10" s="32">
        <f>'FS Desroches Daily'!J12</f>
        <v>1200.0000000000898</v>
      </c>
      <c r="I10" s="31">
        <f>'FS Desroches Daily'!L12</f>
        <v>1900.0000000000127</v>
      </c>
      <c r="J10" s="32">
        <f>'FS Desroches Daily'!N12</f>
        <v>1100.000000000101</v>
      </c>
      <c r="K10" s="13">
        <f>'FS Desroches Daily'!P12</f>
        <v>1</v>
      </c>
      <c r="L10" s="31">
        <f>'FS Desroches Daily'!R12</f>
        <v>2</v>
      </c>
      <c r="M10" s="31">
        <f>'FS Desroches Daily'!T12</f>
        <v>999.70000000006985</v>
      </c>
      <c r="N10" s="31">
        <f>'FS Desroches Daily'!V12</f>
        <v>295.90000000002328</v>
      </c>
      <c r="O10" s="31">
        <f>'FS Desroches Daily'!X12</f>
        <v>250</v>
      </c>
      <c r="P10" s="31">
        <f>'FS Desroches Daily'!Z12</f>
        <v>2400.0000000001796</v>
      </c>
      <c r="Q10" s="31">
        <f>'FS Desroches Daily'!AB12</f>
        <v>279.99999999997272</v>
      </c>
      <c r="R10" s="31">
        <f>'FS Desroches Daily'!AD12</f>
        <v>339.99999999997499</v>
      </c>
      <c r="S10" s="31">
        <f>'FS Desroches Daily'!AF12</f>
        <v>389.99999999998636</v>
      </c>
      <c r="T10" s="31">
        <f>'FS Desroches Daily'!AH12</f>
        <v>35</v>
      </c>
      <c r="U10" s="35">
        <f>'FS Desroches Daily'!AJ12</f>
        <v>670.00000000007276</v>
      </c>
      <c r="V10" s="35">
        <f>'FS Desroches Daily'!AL12</f>
        <v>200.00000000001705</v>
      </c>
      <c r="W10" s="35">
        <f>'FS Desroches Daily'!AN12</f>
        <v>99.999999999994316</v>
      </c>
      <c r="X10" s="35">
        <f>'FS Desroches Daily'!AP12</f>
        <v>110.00000000001364</v>
      </c>
      <c r="Y10" s="35">
        <f>'FS Desroches Daily'!AR12</f>
        <v>189.99999999999773</v>
      </c>
      <c r="Z10" s="35">
        <f>'FS Desroches Daily'!AT12</f>
        <v>209.99999999997954</v>
      </c>
      <c r="AA10" s="35">
        <f>'FS Desroches Daily'!AT12</f>
        <v>209.99999999997954</v>
      </c>
      <c r="AB10" s="35">
        <f>'FS Desroches Daily'!AV12</f>
        <v>100.00000000002274</v>
      </c>
      <c r="AC10" s="35">
        <f>'FS Desroches Daily'!AZ12</f>
        <v>50.000000000011369</v>
      </c>
      <c r="AD10" s="35">
        <f>'FS Desroches Daily'!BB12</f>
        <v>30.000000000029559</v>
      </c>
      <c r="AE10" s="35">
        <f>'FS Desroches Daily'!BD12</f>
        <v>90.000000000003411</v>
      </c>
      <c r="AF10" s="31">
        <f>'FS Desroches Daily'!BF12</f>
        <v>29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20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20.000000000010232</v>
      </c>
      <c r="AP10" s="32">
        <f>'FS Desroches Daily'!BZ12</f>
        <v>37</v>
      </c>
      <c r="AQ10" s="31">
        <f>'FS Desroches Daily'!CB12</f>
        <v>38</v>
      </c>
      <c r="AR10" s="31">
        <f>'FS Desroches Daily'!CD12</f>
        <v>8.7000000000007276</v>
      </c>
      <c r="AS10" s="31">
        <f>'FS Desroches Daily'!CF12</f>
        <v>0.6999999999998181</v>
      </c>
      <c r="AT10" s="31">
        <f>'FS Desroches Daily'!CH12</f>
        <v>30.599999999998545</v>
      </c>
      <c r="AU10" s="31">
        <f>'FS Desroches Daily'!CJ12</f>
        <v>268</v>
      </c>
      <c r="AV10" s="31">
        <f>'FS Desroches Daily'!CL12</f>
        <v>590.00000000003183</v>
      </c>
      <c r="AW10" s="31">
        <f>'FS Desroches Daily'!CM12</f>
        <v>73.900000000001455</v>
      </c>
      <c r="AX10" s="31">
        <f>IF(LPG!F18-LPG!F16&lt;0,"0",(LPG!F18-LPG!F16)*1.8315)</f>
        <v>18.314999999999998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2099.9999999999909</v>
      </c>
      <c r="F11" s="32">
        <f>'FS Desroches Daily'!F13</f>
        <v>2600.0000000001578</v>
      </c>
      <c r="G11" s="31">
        <f>'FS Desroches Daily'!H13</f>
        <v>2699.9999999999245</v>
      </c>
      <c r="H11" s="32">
        <f>'FS Desroches Daily'!J13</f>
        <v>1299.9999999998568</v>
      </c>
      <c r="I11" s="31">
        <f>'FS Desroches Daily'!L13</f>
        <v>1800.0000000002458</v>
      </c>
      <c r="J11" s="32">
        <f>'FS Desroches Daily'!N13</f>
        <v>999.99999999988984</v>
      </c>
      <c r="K11" s="13">
        <f>'FS Desroches Daily'!P13</f>
        <v>5</v>
      </c>
      <c r="L11" s="31">
        <f>'FS Desroches Daily'!R13</f>
        <v>3</v>
      </c>
      <c r="M11" s="31">
        <f>'FS Desroches Daily'!T13</f>
        <v>499.59999999997672</v>
      </c>
      <c r="N11" s="31">
        <f>'FS Desroches Daily'!V13</f>
        <v>119.79999999998836</v>
      </c>
      <c r="O11" s="31">
        <f>'FS Desroches Daily'!X13</f>
        <v>260.00000000004775</v>
      </c>
      <c r="P11" s="31">
        <f>'FS Desroches Daily'!Z13</f>
        <v>2399.9999999997358</v>
      </c>
      <c r="Q11" s="31">
        <f>'FS Desroches Daily'!AB13</f>
        <v>199.99999999998863</v>
      </c>
      <c r="R11" s="31">
        <f>'FS Desroches Daily'!AD13</f>
        <v>340.00000000003183</v>
      </c>
      <c r="S11" s="31">
        <f>'FS Desroches Daily'!AF13</f>
        <v>309.99999999994543</v>
      </c>
      <c r="T11" s="31">
        <f>'FS Desroches Daily'!AH13</f>
        <v>35</v>
      </c>
      <c r="U11" s="35">
        <f>'FS Desroches Daily'!AJ13</f>
        <v>849.99999999990905</v>
      </c>
      <c r="V11" s="35">
        <f>'FS Desroches Daily'!AL13</f>
        <v>139.99999999998636</v>
      </c>
      <c r="W11" s="35">
        <f>'FS Desroches Daily'!AN13</f>
        <v>99.999999999994316</v>
      </c>
      <c r="X11" s="35">
        <f>'FS Desroches Daily'!AP13</f>
        <v>79.999999999984084</v>
      </c>
      <c r="Y11" s="35">
        <f>'FS Desroches Daily'!AR13</f>
        <v>209.99999999997954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19.99999999998181</v>
      </c>
      <c r="AE11" s="35">
        <f>'FS Desroches Daily'!BD13</f>
        <v>140.00000000001478</v>
      </c>
      <c r="AF11" s="31">
        <f>'FS Desroches Daily'!BF13</f>
        <v>21</v>
      </c>
      <c r="AG11" s="32">
        <f>'FS Desroches Daily'!BH13</f>
        <v>50.000000000011369</v>
      </c>
      <c r="AH11" s="32">
        <f>'FS Desroches Daily'!BJ13</f>
        <v>39.99999999996362</v>
      </c>
      <c r="AI11" s="32">
        <f>'FS Desroches Daily'!BL13</f>
        <v>30.000000000001137</v>
      </c>
      <c r="AJ11" s="32">
        <f>'FS Desroches Daily'!BN13</f>
        <v>40.000000000020464</v>
      </c>
      <c r="AK11" s="32">
        <f>'FS Desroches Daily'!BP13</f>
        <v>40.000000000020464</v>
      </c>
      <c r="AL11" s="32">
        <f>'FS Desroches Daily'!BR13</f>
        <v>28</v>
      </c>
      <c r="AM11" s="32">
        <f>'FS Desroches Daily'!BT13</f>
        <v>30.000000000001137</v>
      </c>
      <c r="AN11" s="32">
        <f>'FS Desroches Daily'!BV13</f>
        <v>41</v>
      </c>
      <c r="AO11" s="32">
        <f>'FS Desroches Daily'!BX13</f>
        <v>30.000000000001137</v>
      </c>
      <c r="AP11" s="32">
        <f>'FS Desroches Daily'!BZ13</f>
        <v>41</v>
      </c>
      <c r="AQ11" s="31">
        <f>'FS Desroches Daily'!CB13</f>
        <v>32.19999999999709</v>
      </c>
      <c r="AR11" s="31">
        <f>'FS Desroches Daily'!CD13</f>
        <v>8.2999999999992724</v>
      </c>
      <c r="AS11" s="31">
        <f>'FS Desroches Daily'!CF13</f>
        <v>4.3000000000001819</v>
      </c>
      <c r="AT11" s="31">
        <f>'FS Desroches Daily'!CH13</f>
        <v>39.69999999999709</v>
      </c>
      <c r="AU11" s="31">
        <f>'FS Desroches Daily'!CJ13</f>
        <v>292</v>
      </c>
      <c r="AV11" s="31">
        <f>'FS Desroches Daily'!CL13</f>
        <v>670.00000000007276</v>
      </c>
      <c r="AW11" s="31">
        <f>'FS Desroches Daily'!CM13</f>
        <v>76.799999999999272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3.6629999999999998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1999.9999999997797</v>
      </c>
      <c r="F12" s="32">
        <f>'FS Desroches Daily'!F14</f>
        <v>2599.9999999997135</v>
      </c>
      <c r="G12" s="31">
        <f>'FS Desroches Daily'!H14</f>
        <v>2400.0000000001796</v>
      </c>
      <c r="H12" s="32">
        <f>'FS Desroches Daily'!J14</f>
        <v>1200.0000000000898</v>
      </c>
      <c r="I12" s="31">
        <f>'FS Desroches Daily'!L14</f>
        <v>1799.9999999998017</v>
      </c>
      <c r="J12" s="32">
        <f>'FS Desroches Daily'!N14</f>
        <v>1000.0000000001119</v>
      </c>
      <c r="K12" s="13">
        <f>'FS Desroches Daily'!P14</f>
        <v>7</v>
      </c>
      <c r="L12" s="31">
        <f>'FS Desroches Daily'!R14</f>
        <v>2</v>
      </c>
      <c r="M12" s="31">
        <f>'FS Desroches Daily'!T14</f>
        <v>2100</v>
      </c>
      <c r="N12" s="31">
        <f>'FS Desroches Daily'!V14</f>
        <v>492.5</v>
      </c>
      <c r="O12" s="31">
        <f>'FS Desroches Daily'!X14</f>
        <v>269.99999999998181</v>
      </c>
      <c r="P12" s="31">
        <f>'FS Desroches Daily'!Z14</f>
        <v>2200.0000000002019</v>
      </c>
      <c r="Q12" s="31">
        <f>'FS Desroches Daily'!AB14</f>
        <v>320.00000000005002</v>
      </c>
      <c r="R12" s="31">
        <f>'FS Desroches Daily'!AD14</f>
        <v>279.99999999997272</v>
      </c>
      <c r="S12" s="31">
        <f>'FS Desroches Daily'!AF14</f>
        <v>320.00000000005002</v>
      </c>
      <c r="T12" s="31">
        <f>'FS Desroches Daily'!AH14</f>
        <v>35</v>
      </c>
      <c r="U12" s="35">
        <f>'FS Desroches Daily'!AJ14</f>
        <v>790.00000000007731</v>
      </c>
      <c r="V12" s="35">
        <f>'FS Desroches Daily'!AL14</f>
        <v>189.99999999999773</v>
      </c>
      <c r="W12" s="35">
        <f>'FS Desroches Daily'!AN14</f>
        <v>110.00000000001364</v>
      </c>
      <c r="X12" s="35">
        <f>'FS Desroches Daily'!AP14</f>
        <v>110.00000000001364</v>
      </c>
      <c r="Y12" s="35">
        <f>'FS Desroches Daily'!AR14</f>
        <v>180.00000000000682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40.000000000020464</v>
      </c>
      <c r="AC12" s="35">
        <f>'FS Desroches Daily'!AZ14</f>
        <v>29.999999999972715</v>
      </c>
      <c r="AD12" s="35">
        <f>'FS Desroches Daily'!BB14</f>
        <v>19.99999999998181</v>
      </c>
      <c r="AE12" s="35">
        <f>'FS Desroches Daily'!BD14</f>
        <v>139.99999999998636</v>
      </c>
      <c r="AF12" s="31">
        <f>'FS Desroches Daily'!BF14</f>
        <v>30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19.99999999998181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21</v>
      </c>
      <c r="AM12" s="32">
        <f>'FS Desroches Daily'!BT14</f>
        <v>30.000000000001137</v>
      </c>
      <c r="AN12" s="32">
        <f>'FS Desroches Daily'!BV14</f>
        <v>35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30.30000000000291</v>
      </c>
      <c r="AR12" s="31">
        <f>'FS Desroches Daily'!CD14</f>
        <v>10</v>
      </c>
      <c r="AS12" s="31">
        <f>'FS Desroches Daily'!CF14</f>
        <v>5</v>
      </c>
      <c r="AT12" s="31">
        <f>'FS Desroches Daily'!CH14</f>
        <v>40.30000000000291</v>
      </c>
      <c r="AU12" s="31">
        <f>'FS Desroches Daily'!CJ14</f>
        <v>275</v>
      </c>
      <c r="AV12" s="31">
        <f>'FS Desroches Daily'!CL14</f>
        <v>559.99999999994543</v>
      </c>
      <c r="AW12" s="31">
        <f>'FS Desroches Daily'!CM14</f>
        <v>78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2200.0000000002019</v>
      </c>
      <c r="F13" s="32">
        <f>'FS Desroches Daily'!F15</f>
        <v>2600.0000000001578</v>
      </c>
      <c r="G13" s="31">
        <f>'FS Desroches Daily'!H15</f>
        <v>2499.9999999999468</v>
      </c>
      <c r="H13" s="32">
        <f>'FS Desroches Daily'!J15</f>
        <v>1199.9999999998679</v>
      </c>
      <c r="I13" s="31">
        <f>'FS Desroches Daily'!L15</f>
        <v>1800.0000000002458</v>
      </c>
      <c r="J13" s="32">
        <f>'FS Desroches Daily'!N15</f>
        <v>999.99999999988984</v>
      </c>
      <c r="K13" s="13">
        <f>'FS Desroches Daily'!P15</f>
        <v>4</v>
      </c>
      <c r="L13" s="31">
        <f>'FS Desroches Daily'!R15</f>
        <v>2</v>
      </c>
      <c r="M13" s="31">
        <f>'FS Desroches Daily'!T15</f>
        <v>300</v>
      </c>
      <c r="N13" s="31">
        <f>'FS Desroches Daily'!V15</f>
        <v>307</v>
      </c>
      <c r="O13" s="31">
        <f>'FS Desroches Daily'!X15</f>
        <v>259.99999999999091</v>
      </c>
      <c r="P13" s="31">
        <f>'FS Desroches Daily'!Z15</f>
        <v>2399.9999999997358</v>
      </c>
      <c r="Q13" s="31">
        <f>'FS Desroches Daily'!AB15</f>
        <v>209.99999999997954</v>
      </c>
      <c r="R13" s="31">
        <f>'FS Desroches Daily'!AD15</f>
        <v>290.00000000002046</v>
      </c>
      <c r="S13" s="31">
        <f>'FS Desroches Daily'!AF15</f>
        <v>370.00000000000455</v>
      </c>
      <c r="T13" s="31">
        <f>'FS Desroches Daily'!AH15</f>
        <v>35</v>
      </c>
      <c r="U13" s="35">
        <f>'FS Desroches Daily'!AJ15</f>
        <v>799.99999999995453</v>
      </c>
      <c r="V13" s="35">
        <f>'FS Desroches Daily'!AL15</f>
        <v>170.00000000001592</v>
      </c>
      <c r="W13" s="35">
        <f>'FS Desroches Daily'!AN15</f>
        <v>99.999999999994316</v>
      </c>
      <c r="X13" s="35">
        <f>'FS Desroches Daily'!AP15</f>
        <v>109.99999999998522</v>
      </c>
      <c r="Y13" s="35">
        <f>'FS Desroches Daily'!AR15</f>
        <v>189.99999999999773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39.99999999996362</v>
      </c>
      <c r="AC13" s="35">
        <f>'FS Desroches Daily'!AZ15</f>
        <v>50.000000000011369</v>
      </c>
      <c r="AD13" s="35">
        <f>'FS Desroches Daily'!BB15</f>
        <v>20.000000000038654</v>
      </c>
      <c r="AE13" s="35">
        <f>'FS Desroches Daily'!BD15</f>
        <v>159.99999999999659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30.000000000029559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30.000000000029559</v>
      </c>
      <c r="AL13" s="32">
        <f>'FS Desroches Daily'!BR15</f>
        <v>22</v>
      </c>
      <c r="AM13" s="32">
        <f>'FS Desroches Daily'!BT15</f>
        <v>30.000000000001137</v>
      </c>
      <c r="AN13" s="32">
        <f>'FS Desroches Daily'!BV15</f>
        <v>43</v>
      </c>
      <c r="AO13" s="32">
        <f>'FS Desroches Daily'!BX15</f>
        <v>19.99999999998181</v>
      </c>
      <c r="AP13" s="32">
        <f>'FS Desroches Daily'!BZ15</f>
        <v>43</v>
      </c>
      <c r="AQ13" s="31">
        <f>'FS Desroches Daily'!CB15</f>
        <v>35.69999999999709</v>
      </c>
      <c r="AR13" s="31">
        <f>'FS Desroches Daily'!CD15</f>
        <v>7.5</v>
      </c>
      <c r="AS13" s="31">
        <f>'FS Desroches Daily'!CF15</f>
        <v>0</v>
      </c>
      <c r="AT13" s="31">
        <f>'FS Desroches Daily'!CH15</f>
        <v>38.30000000000291</v>
      </c>
      <c r="AU13" s="31">
        <f>'FS Desroches Daily'!CJ15</f>
        <v>276</v>
      </c>
      <c r="AV13" s="31">
        <f>'FS Desroches Daily'!CL15</f>
        <v>600.00000000002274</v>
      </c>
      <c r="AW13" s="31">
        <f>'FS Desroches Daily'!CM15</f>
        <v>61.299999999999272</v>
      </c>
      <c r="AX13" s="31" t="str">
        <f>IF(LPG!G21-LPG!F19&lt;0,"0",(LPG!G21-LPG!F19)*1.8315)</f>
        <v>0</v>
      </c>
      <c r="AY13" s="31">
        <f>IF(LPG!H20-LPG!H19&lt;0,"0",(LPG!H20-LPG!H19)*1.8315)</f>
        <v>7.3259999999999996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1999.9999999997797</v>
      </c>
      <c r="F14" s="32">
        <f>'FS Desroches Daily'!F16</f>
        <v>2499.9999999999468</v>
      </c>
      <c r="G14" s="31">
        <f>'FS Desroches Daily'!H16</f>
        <v>2399.9999999997358</v>
      </c>
      <c r="H14" s="32">
        <f>'FS Desroches Daily'!J16</f>
        <v>1300.0000000000789</v>
      </c>
      <c r="I14" s="31">
        <f>'FS Desroches Daily'!L16</f>
        <v>1799.9999999998017</v>
      </c>
      <c r="J14" s="32">
        <f>'FS Desroches Daily'!N16</f>
        <v>900.0000000001229</v>
      </c>
      <c r="K14" s="13">
        <f>'FS Desroches Daily'!P16</f>
        <v>4</v>
      </c>
      <c r="L14" s="31">
        <f>'FS Desroches Daily'!R16</f>
        <v>1</v>
      </c>
      <c r="M14" s="31">
        <f>'FS Desroches Daily'!T16</f>
        <v>900</v>
      </c>
      <c r="N14" s="31">
        <f>'FS Desroches Daily'!V16</f>
        <v>342.20000000001164</v>
      </c>
      <c r="O14" s="31">
        <f>'FS Desroches Daily'!X16</f>
        <v>250</v>
      </c>
      <c r="P14" s="31">
        <f>'FS Desroches Daily'!Z16</f>
        <v>2299.9999999999686</v>
      </c>
      <c r="Q14" s="31">
        <f>'FS Desroches Daily'!AB16</f>
        <v>300.00000000001137</v>
      </c>
      <c r="R14" s="31">
        <f>'FS Desroches Daily'!AD16</f>
        <v>180.00000000000682</v>
      </c>
      <c r="S14" s="31">
        <f>'FS Desroches Daily'!AF16</f>
        <v>299.99999999995453</v>
      </c>
      <c r="T14" s="31">
        <f>'FS Desroches Daily'!AH16</f>
        <v>35</v>
      </c>
      <c r="U14" s="35">
        <f>'FS Desroches Daily'!AJ16</f>
        <v>769.99999999998181</v>
      </c>
      <c r="V14" s="35">
        <f>'FS Desroches Daily'!AL16</f>
        <v>159.99999999999659</v>
      </c>
      <c r="W14" s="35">
        <f>'FS Desroches Daily'!AN16</f>
        <v>140.00000000001478</v>
      </c>
      <c r="X14" s="35">
        <f>'FS Desroches Daily'!AP16</f>
        <v>100.00000000002274</v>
      </c>
      <c r="Y14" s="35">
        <f>'FS Desroches Daily'!AR16</f>
        <v>170.00000000001592</v>
      </c>
      <c r="Z14" s="35">
        <f>'FS Desroches Daily'!AT16</f>
        <v>160.00000000002501</v>
      </c>
      <c r="AA14" s="35">
        <f>'FS Desroches Daily'!AT16</f>
        <v>160.00000000002501</v>
      </c>
      <c r="AB14" s="35">
        <f>'FS Desroches Daily'!AV16</f>
        <v>60.000000000002274</v>
      </c>
      <c r="AC14" s="35">
        <f>'FS Desroches Daily'!AZ16</f>
        <v>50.000000000011369</v>
      </c>
      <c r="AD14" s="35">
        <f>'FS Desroches Daily'!BB16</f>
        <v>29.999999999972715</v>
      </c>
      <c r="AE14" s="35">
        <f>'FS Desroches Daily'!BD16</f>
        <v>140.00000000001478</v>
      </c>
      <c r="AF14" s="31">
        <f>'FS Desroches Daily'!BF16</f>
        <v>30</v>
      </c>
      <c r="AG14" s="32">
        <f>'FS Desroches Daily'!BH16</f>
        <v>40.000000000020464</v>
      </c>
      <c r="AH14" s="32">
        <f>'FS Desroches Daily'!BJ16</f>
        <v>29.999999999972715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40.000000000020464</v>
      </c>
      <c r="AL14" s="32">
        <f>'FS Desroches Daily'!BR16</f>
        <v>27</v>
      </c>
      <c r="AM14" s="32">
        <f>'FS Desroches Daily'!BT16</f>
        <v>20.000000000010232</v>
      </c>
      <c r="AN14" s="32">
        <f>'FS Desroches Daily'!BV16</f>
        <v>36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38.5</v>
      </c>
      <c r="AR14" s="31">
        <f>'FS Desroches Daily'!CD16</f>
        <v>10.299999999999272</v>
      </c>
      <c r="AS14" s="31">
        <f>'FS Desroches Daily'!CF16</f>
        <v>11.399999999999636</v>
      </c>
      <c r="AT14" s="31">
        <f>'FS Desroches Daily'!CH16</f>
        <v>29</v>
      </c>
      <c r="AU14" s="31">
        <f>'FS Desroches Daily'!CJ16</f>
        <v>263</v>
      </c>
      <c r="AV14" s="31">
        <f>'FS Desroches Daily'!CL16</f>
        <v>509.99999999999091</v>
      </c>
      <c r="AW14" s="31">
        <f>'FS Desroches Daily'!CM16</f>
        <v>71.700000000000728</v>
      </c>
      <c r="AX14" s="31">
        <f>IF(LPG!F21-LPG!G21&lt;0,"0",(LPG!F21-LPG!G21)*1.8315)</f>
        <v>9967.0229999999992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2000.0000000002237</v>
      </c>
      <c r="F15" s="32">
        <f>'FS Desroches Daily'!F17</f>
        <v>2499.9999999999468</v>
      </c>
      <c r="G15" s="31">
        <f>'FS Desroches Daily'!H17</f>
        <v>2400.0000000001796</v>
      </c>
      <c r="H15" s="32">
        <f>'FS Desroches Daily'!J17</f>
        <v>1200.0000000000898</v>
      </c>
      <c r="I15" s="31">
        <f>'FS Desroches Daily'!L17</f>
        <v>1799.9999999998017</v>
      </c>
      <c r="J15" s="32">
        <f>'FS Desroches Daily'!N17</f>
        <v>899.99999999990087</v>
      </c>
      <c r="K15" s="13">
        <f>'FS Desroches Daily'!P17</f>
        <v>6</v>
      </c>
      <c r="L15" s="31">
        <f>'FS Desroches Daily'!R17</f>
        <v>2</v>
      </c>
      <c r="M15" s="31">
        <f>'FS Desroches Daily'!T17</f>
        <v>800</v>
      </c>
      <c r="N15" s="31">
        <f>'FS Desroches Daily'!V17</f>
        <v>284</v>
      </c>
      <c r="O15" s="31">
        <f>'FS Desroches Daily'!X17</f>
        <v>230.00000000001819</v>
      </c>
      <c r="P15" s="31">
        <f>'FS Desroches Daily'!Z17</f>
        <v>2200.0000000002019</v>
      </c>
      <c r="Q15" s="31">
        <f>'FS Desroches Daily'!AB17</f>
        <v>319.99999999999318</v>
      </c>
      <c r="R15" s="31">
        <f>'FS Desroches Daily'!AD17</f>
        <v>199.99999999998863</v>
      </c>
      <c r="S15" s="31">
        <f>'FS Desroches Daily'!AF17</f>
        <v>320.00000000005002</v>
      </c>
      <c r="T15" s="31">
        <f>'FS Desroches Daily'!AH17</f>
        <v>34</v>
      </c>
      <c r="U15" s="35">
        <f>'FS Desroches Daily'!AJ17</f>
        <v>740.00000000000909</v>
      </c>
      <c r="V15" s="35">
        <f>'FS Desroches Daily'!AL17</f>
        <v>139.99999999998636</v>
      </c>
      <c r="W15" s="35">
        <f>'FS Desroches Daily'!AN17</f>
        <v>139.99999999998636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60.000000000002274</v>
      </c>
      <c r="AC15" s="35">
        <f>'FS Desroches Daily'!AZ17</f>
        <v>60.000000000002274</v>
      </c>
      <c r="AD15" s="35">
        <f>'FS Desroches Daily'!BB17</f>
        <v>20.000000000038654</v>
      </c>
      <c r="AE15" s="35">
        <f>'FS Desroches Daily'!BD17</f>
        <v>129.99999999999545</v>
      </c>
      <c r="AF15" s="31">
        <f>'FS Desroches Daily'!BF17</f>
        <v>28</v>
      </c>
      <c r="AG15" s="32">
        <f>'FS Desroches Daily'!BH17</f>
        <v>49.999999999982947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29.999999999972715</v>
      </c>
      <c r="AL15" s="32">
        <f>'FS Desroches Daily'!BR17</f>
        <v>33</v>
      </c>
      <c r="AM15" s="32">
        <f>'FS Desroches Daily'!BT17</f>
        <v>30.000000000001137</v>
      </c>
      <c r="AN15" s="32">
        <f>'FS Desroches Daily'!BV17</f>
        <v>37</v>
      </c>
      <c r="AO15" s="32">
        <f>'FS Desroches Daily'!BX17</f>
        <v>20.000000000010232</v>
      </c>
      <c r="AP15" s="32">
        <f>'FS Desroches Daily'!BZ17</f>
        <v>46</v>
      </c>
      <c r="AQ15" s="31">
        <f>'FS Desroches Daily'!CB17</f>
        <v>30.5</v>
      </c>
      <c r="AR15" s="31">
        <f>'FS Desroches Daily'!CD17</f>
        <v>7.1000000000003638</v>
      </c>
      <c r="AS15" s="31">
        <f>'FS Desroches Daily'!CF17</f>
        <v>4.6000000000003638</v>
      </c>
      <c r="AT15" s="31">
        <f>'FS Desroches Daily'!CH17</f>
        <v>29.19999999999709</v>
      </c>
      <c r="AU15" s="31">
        <f>'FS Desroches Daily'!CJ17</f>
        <v>262</v>
      </c>
      <c r="AV15" s="31">
        <f>'FS Desroches Daily'!CL17</f>
        <v>610.00000000001364</v>
      </c>
      <c r="AW15" s="31">
        <f>'FS Desroches Daily'!CM17</f>
        <v>68</v>
      </c>
      <c r="AX15" s="31">
        <f>IF(LPG!F22-LPG!F21&lt;0,"0",(LPG!F22-LPG!F21)*1.8315)</f>
        <v>9.1574999999999989</v>
      </c>
      <c r="AY15" s="31">
        <f>IF(LPG!H22-LPG!H21&lt;0,"0",(LPG!H22-LPG!H21)*1.8315)</f>
        <v>5.4944999999999995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2299.9999999999686</v>
      </c>
      <c r="F16" s="32">
        <f>'FS Desroches Daily'!F18</f>
        <v>2299.9999999999686</v>
      </c>
      <c r="G16" s="31">
        <f>'FS Desroches Daily'!H18</f>
        <v>2600.0000000001578</v>
      </c>
      <c r="H16" s="32">
        <f>'FS Desroches Daily'!J18</f>
        <v>1199.9999999998679</v>
      </c>
      <c r="I16" s="31">
        <f>'FS Desroches Daily'!L18</f>
        <v>1900.0000000000127</v>
      </c>
      <c r="J16" s="32">
        <f>'FS Desroches Daily'!N18</f>
        <v>800.00000000013392</v>
      </c>
      <c r="K16" s="13">
        <f>'FS Desroches Daily'!P18</f>
        <v>4</v>
      </c>
      <c r="L16" s="31">
        <f>'FS Desroches Daily'!R18</f>
        <v>1</v>
      </c>
      <c r="M16" s="31">
        <f>'FS Desroches Daily'!T18</f>
        <v>800</v>
      </c>
      <c r="N16" s="31">
        <f>'FS Desroches Daily'!V18</f>
        <v>319.09999999997672</v>
      </c>
      <c r="O16" s="31">
        <f>'FS Desroches Daily'!X18</f>
        <v>240.00000000000909</v>
      </c>
      <c r="P16" s="31">
        <f>'FS Desroches Daily'!Z18</f>
        <v>1999.9999999997797</v>
      </c>
      <c r="Q16" s="31">
        <f>'FS Desroches Daily'!AB18</f>
        <v>189.99999999999773</v>
      </c>
      <c r="R16" s="31">
        <f>'FS Desroches Daily'!AD18</f>
        <v>230.00000000001819</v>
      </c>
      <c r="S16" s="31">
        <f>'FS Desroches Daily'!AF18</f>
        <v>289.99999999996362</v>
      </c>
      <c r="T16" s="31">
        <f>'FS Desroches Daily'!AH18</f>
        <v>32</v>
      </c>
      <c r="U16" s="35">
        <f>'FS Desroches Daily'!AJ18</f>
        <v>730.00000000001819</v>
      </c>
      <c r="V16" s="35">
        <f>'FS Desroches Daily'!AL18</f>
        <v>159.99999999999659</v>
      </c>
      <c r="W16" s="35">
        <f>'FS Desroches Daily'!AN18</f>
        <v>140.00000000001478</v>
      </c>
      <c r="X16" s="35">
        <f>'FS Desroches Daily'!AP18</f>
        <v>90.000000000003411</v>
      </c>
      <c r="Y16" s="35">
        <f>'FS Desroches Daily'!AR18</f>
        <v>150.00000000000568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60.000000000002274</v>
      </c>
      <c r="AC16" s="35">
        <f>'FS Desroches Daily'!AZ18</f>
        <v>40.000000000020464</v>
      </c>
      <c r="AD16" s="35">
        <f>'FS Desroches Daily'!BB18</f>
        <v>39.99999999996362</v>
      </c>
      <c r="AE16" s="35">
        <f>'FS Desroches Daily'!BD18</f>
        <v>139.99999999998636</v>
      </c>
      <c r="AF16" s="31">
        <f>'FS Desroches Daily'!BF18</f>
        <v>31</v>
      </c>
      <c r="AG16" s="32">
        <f>'FS Desroches Daily'!BH18</f>
        <v>40.000000000020464</v>
      </c>
      <c r="AH16" s="32">
        <f>'FS Desroches Daily'!BJ18</f>
        <v>29.999999999972715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28</v>
      </c>
      <c r="AM16" s="32">
        <f>'FS Desroches Daily'!BT18</f>
        <v>30.000000000001137</v>
      </c>
      <c r="AN16" s="32">
        <f>'FS Desroches Daily'!BV18</f>
        <v>33</v>
      </c>
      <c r="AO16" s="32">
        <f>'FS Desroches Daily'!BX18</f>
        <v>20.000000000010232</v>
      </c>
      <c r="AP16" s="32">
        <f>'FS Desroches Daily'!BZ18</f>
        <v>41</v>
      </c>
      <c r="AQ16" s="31">
        <f>'FS Desroches Daily'!CB18</f>
        <v>38.900000000001455</v>
      </c>
      <c r="AR16" s="31">
        <f>'FS Desroches Daily'!CD18</f>
        <v>7.1000000000003638</v>
      </c>
      <c r="AS16" s="31">
        <f>'FS Desroches Daily'!CF18</f>
        <v>1.5</v>
      </c>
      <c r="AT16" s="31">
        <f>'FS Desroches Daily'!CH18</f>
        <v>33.5</v>
      </c>
      <c r="AU16" s="31">
        <f>'FS Desroches Daily'!CJ18</f>
        <v>261</v>
      </c>
      <c r="AV16" s="31">
        <f>'FS Desroches Daily'!CL18</f>
        <v>610.00000000001364</v>
      </c>
      <c r="AW16" s="31">
        <f>'FS Desroches Daily'!CM18</f>
        <v>77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3.6629999999999998</v>
      </c>
      <c r="BB16" s="31">
        <f>IF(LPG!Q23-LPG!Q22&lt;0,"0",(LPG!Q23-LPG!Q22)*1.8315)</f>
        <v>5.4944999999999995</v>
      </c>
      <c r="BC16" s="13">
        <f>'FS Desroches Daily'!CN18</f>
        <v>15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2099.9999999999909</v>
      </c>
      <c r="F17" s="32">
        <f>'FS Desroches Daily'!F19</f>
        <v>2499.9999999999468</v>
      </c>
      <c r="G17" s="31">
        <f>'FS Desroches Daily'!H19</f>
        <v>2499.9999999999468</v>
      </c>
      <c r="H17" s="32">
        <f>'FS Desroches Daily'!J19</f>
        <v>1300.0000000000789</v>
      </c>
      <c r="I17" s="31">
        <f>'FS Desroches Daily'!L19</f>
        <v>2000.0000000002237</v>
      </c>
      <c r="J17" s="32">
        <f>'FS Desroches Daily'!N19</f>
        <v>999.99999999988984</v>
      </c>
      <c r="K17" s="13">
        <f>'FS Desroches Daily'!P19</f>
        <v>0</v>
      </c>
      <c r="L17" s="31">
        <f>'FS Desroches Daily'!R19</f>
        <v>2</v>
      </c>
      <c r="M17" s="31">
        <f>'FS Desroches Daily'!T19</f>
        <v>800</v>
      </c>
      <c r="N17" s="31">
        <f>'FS Desroches Daily'!V19</f>
        <v>276.20000000001164</v>
      </c>
      <c r="O17" s="31">
        <f>'FS Desroches Daily'!X19</f>
        <v>229.99999999996135</v>
      </c>
      <c r="P17" s="31">
        <f>'FS Desroches Daily'!Z19</f>
        <v>2299.9999999999686</v>
      </c>
      <c r="Q17" s="31">
        <f>'FS Desroches Daily'!AB19</f>
        <v>300.00000000001137</v>
      </c>
      <c r="R17" s="31">
        <f>'FS Desroches Daily'!AD19</f>
        <v>250</v>
      </c>
      <c r="S17" s="31">
        <f>'FS Desroches Daily'!AF19</f>
        <v>350.00000000002274</v>
      </c>
      <c r="T17" s="31">
        <f>'FS Desroches Daily'!AH19</f>
        <v>37</v>
      </c>
      <c r="U17" s="35">
        <f>'FS Desroches Daily'!AJ19</f>
        <v>680.00000000006366</v>
      </c>
      <c r="V17" s="35">
        <f>'FS Desroches Daily'!AL19</f>
        <v>150.00000000000568</v>
      </c>
      <c r="W17" s="35">
        <f>'FS Desroches Daily'!AN19</f>
        <v>159.99999999999659</v>
      </c>
      <c r="X17" s="35">
        <f>'FS Desroches Daily'!AP19</f>
        <v>99.999999999994316</v>
      </c>
      <c r="Y17" s="35">
        <f>'FS Desroches Daily'!AR19</f>
        <v>99.999999999994316</v>
      </c>
      <c r="Z17" s="35">
        <f>'FS Desroches Daily'!AU20</f>
        <v>286.88</v>
      </c>
      <c r="AA17" s="35">
        <f>'FS Desroches Daily'!AU20</f>
        <v>286.88</v>
      </c>
      <c r="AB17" s="35">
        <f>'FS Desroches Daily'!AV19</f>
        <v>69.999999999993179</v>
      </c>
      <c r="AC17" s="35">
        <f>'FS Desroches Daily'!AZ19</f>
        <v>29.999999999972715</v>
      </c>
      <c r="AD17" s="35">
        <f>'FS Desroches Daily'!BB19</f>
        <v>20.000000000038654</v>
      </c>
      <c r="AE17" s="35">
        <f>'FS Desroches Daily'!BD19</f>
        <v>140.00000000001478</v>
      </c>
      <c r="AF17" s="31">
        <f>'FS Desroches Daily'!BF19</f>
        <v>23</v>
      </c>
      <c r="AG17" s="32">
        <f>'FS Desroches Daily'!BH19</f>
        <v>49.999999999982947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36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46</v>
      </c>
      <c r="AQ17" s="31">
        <f>'FS Desroches Daily'!CB19</f>
        <v>31.900000000001455</v>
      </c>
      <c r="AR17" s="31">
        <f>'FS Desroches Daily'!CD19</f>
        <v>8.7000000000007276</v>
      </c>
      <c r="AS17" s="31">
        <f>'FS Desroches Daily'!CF19</f>
        <v>8.3000000000001819</v>
      </c>
      <c r="AT17" s="31">
        <f>'FS Desroches Daily'!CH19</f>
        <v>35.19999999999709</v>
      </c>
      <c r="AU17" s="31">
        <f>'FS Desroches Daily'!CJ19</f>
        <v>278</v>
      </c>
      <c r="AV17" s="31">
        <f>'FS Desroches Daily'!CL19</f>
        <v>709.99999999992269</v>
      </c>
      <c r="AW17" s="31">
        <f>'FS Desroches Daily'!CM19</f>
        <v>87</v>
      </c>
      <c r="AX17" s="31">
        <f>IF(LPG!F24-LPG!F23&lt;0,"0",(LPG!F24-LPG!F23)*1.8315)</f>
        <v>10.988999999999999</v>
      </c>
      <c r="AY17" s="31">
        <f>IF(LPG!H24-LPG!H23&lt;0,"0",(LPG!H24-LPG!H23)*1.8315)</f>
        <v>5.4944999999999995</v>
      </c>
      <c r="AZ17" s="31">
        <f>IF(LPG!J24-LPG!J23&lt;0,"0",(LPG!J24-LPG!J23)*1.8315)</f>
        <v>1.8314999999999999</v>
      </c>
      <c r="BA17" s="31">
        <f>IF(LPG!M24-LPG!M23&lt;0,"0",(LPG!M24-LPG!M23)*1.8315)</f>
        <v>1.8314999999999999</v>
      </c>
      <c r="BB17" s="31">
        <f>IF(LPG!Q24-LPG!Q23&lt;0,"0",(LPG!Q24-LPG!Q23)*1.8315)</f>
        <v>9.1574999999999989</v>
      </c>
      <c r="BC17" s="13">
        <f>'FS Desroches Daily'!CN19</f>
        <v>15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1900.0000000000127</v>
      </c>
      <c r="F18" s="32">
        <f>'FS Desroches Daily'!F20</f>
        <v>2600.0000000001578</v>
      </c>
      <c r="G18" s="31">
        <f>'FS Desroches Daily'!H20</f>
        <v>2699.9999999999245</v>
      </c>
      <c r="H18" s="32">
        <f>'FS Desroches Daily'!J20</f>
        <v>1200.0000000000898</v>
      </c>
      <c r="I18" s="31">
        <f>'FS Desroches Daily'!L20</f>
        <v>1999.9999999997797</v>
      </c>
      <c r="J18" s="32">
        <f>'FS Desroches Daily'!N20</f>
        <v>1000.0000000001119</v>
      </c>
      <c r="K18" s="13">
        <f>'FS Desroches Daily'!P20</f>
        <v>6</v>
      </c>
      <c r="L18" s="31">
        <f>'FS Desroches Daily'!R20</f>
        <v>2</v>
      </c>
      <c r="M18" s="31">
        <f>'FS Desroches Daily'!T20</f>
        <v>1000</v>
      </c>
      <c r="N18" s="31">
        <f>'FS Desroches Daily'!V20</f>
        <v>341.20000000001164</v>
      </c>
      <c r="O18" s="31">
        <f>'FS Desroches Daily'!X20</f>
        <v>240.00000000000909</v>
      </c>
      <c r="P18" s="31">
        <f>'FS Desroches Daily'!Z20</f>
        <v>2300.0000000004129</v>
      </c>
      <c r="Q18" s="31">
        <f>'FS Desroches Daily'!AB20</f>
        <v>279.99999999997272</v>
      </c>
      <c r="R18" s="31">
        <f>'FS Desroches Daily'!AD20</f>
        <v>269.99999999998181</v>
      </c>
      <c r="S18" s="31">
        <f>'FS Desroches Daily'!AF20</f>
        <v>299.99999999995453</v>
      </c>
      <c r="T18" s="31">
        <f>'FS Desroches Daily'!AH20</f>
        <v>38</v>
      </c>
      <c r="U18" s="35">
        <f>'FS Desroches Daily'!AJ20</f>
        <v>699.99999999993179</v>
      </c>
      <c r="V18" s="35">
        <f>'FS Desroches Daily'!AL20</f>
        <v>140.00000000001478</v>
      </c>
      <c r="W18" s="35">
        <f>'FS Desroches Daily'!AN20</f>
        <v>139.99999999998636</v>
      </c>
      <c r="X18" s="35">
        <f>'FS Desroches Daily'!AP20</f>
        <v>130.00000000002387</v>
      </c>
      <c r="Y18" s="35">
        <f>'FS Desroches Daily'!AR20</f>
        <v>79.999999999984084</v>
      </c>
      <c r="Z18" s="35">
        <f>'FS Desroches Daily'!AT20</f>
        <v>200.00000000004547</v>
      </c>
      <c r="AA18" s="35">
        <f>'FS Desroches Daily'!AT20</f>
        <v>200.00000000004547</v>
      </c>
      <c r="AB18" s="35">
        <f>'FS Desroches Daily'!AV20</f>
        <v>50.000000000011369</v>
      </c>
      <c r="AC18" s="35">
        <f>'FS Desroches Daily'!AZ20</f>
        <v>30.000000000029559</v>
      </c>
      <c r="AD18" s="35">
        <f>'FS Desroches Daily'!BB20</f>
        <v>19.99999999998181</v>
      </c>
      <c r="AE18" s="35">
        <f>'FS Desroches Daily'!BD20</f>
        <v>129.99999999999545</v>
      </c>
      <c r="AF18" s="31">
        <f>'FS Desroches Daily'!BF20</f>
        <v>35</v>
      </c>
      <c r="AG18" s="32">
        <f>'FS Desroches Daily'!BH20</f>
        <v>30.000000000001137</v>
      </c>
      <c r="AH18" s="32">
        <f>'FS Desroches Daily'!BJ20</f>
        <v>19.99999999998181</v>
      </c>
      <c r="AI18" s="32">
        <f>'FS Desroches Daily'!BL20</f>
        <v>19.99999999998181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33</v>
      </c>
      <c r="AM18" s="32">
        <f>'FS Desroches Daily'!BT20</f>
        <v>30.000000000001137</v>
      </c>
      <c r="AN18" s="32">
        <f>'FS Desroches Daily'!BV20</f>
        <v>34</v>
      </c>
      <c r="AO18" s="32">
        <f>'FS Desroches Daily'!BX20</f>
        <v>20.000000000010232</v>
      </c>
      <c r="AP18" s="32">
        <f>'FS Desroches Daily'!BZ20</f>
        <v>41</v>
      </c>
      <c r="AQ18" s="31">
        <f>'FS Desroches Daily'!CB20</f>
        <v>27.799999999999272</v>
      </c>
      <c r="AR18" s="31">
        <f>'FS Desroches Daily'!CD20</f>
        <v>7.8999999999996362</v>
      </c>
      <c r="AS18" s="31">
        <f>'FS Desroches Daily'!CF20</f>
        <v>5.3999999999996362</v>
      </c>
      <c r="AT18" s="31">
        <f>'FS Desroches Daily'!CH20</f>
        <v>29.5</v>
      </c>
      <c r="AU18" s="31">
        <f>'FS Desroches Daily'!CJ20</f>
        <v>276</v>
      </c>
      <c r="AV18" s="31">
        <f>'FS Desroches Daily'!CL20</f>
        <v>590.00000000003183</v>
      </c>
      <c r="AW18" s="31">
        <f>'FS Desroches Daily'!CM20</f>
        <v>58</v>
      </c>
      <c r="AX18" s="31">
        <f>IF(LPG!F25-LPG!F24&lt;0,"0",(LPG!F25-LPG!F24)*1.8315)</f>
        <v>9.1574999999999989</v>
      </c>
      <c r="AY18" s="31">
        <f>IF(LPG!H25-LPG!H24&lt;0,"0",(LPG!H25-LPG!H24)*1.8315)</f>
        <v>7.3259999999999996</v>
      </c>
      <c r="AZ18" s="31">
        <f>IF(LPG!J25-LPG!J24&lt;0,"0",(LPG!J25-LPG!J24)*1.8315)</f>
        <v>1.8314999999999999</v>
      </c>
      <c r="BA18" s="31">
        <f>IF(LPG!M25-LPG!M24&lt;0,"0",(LPG!M25-LPG!M24)*1.8315)</f>
        <v>3.6629999999999998</v>
      </c>
      <c r="BB18" s="31">
        <f>IF(LPG!Q25-LPG!Q24&lt;0,"0",(LPG!Q25-LPG!Q24)*1.8315)</f>
        <v>7.3259999999999996</v>
      </c>
      <c r="BC18" s="13">
        <f>'FS Desroches Daily'!CN20</f>
        <v>13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2600.0000000001578</v>
      </c>
      <c r="H19" s="32">
        <f>'FS Desroches Daily'!J21</f>
        <v>1299.9999999998568</v>
      </c>
      <c r="I19" s="31">
        <f>'FS Desroches Daily'!L21</f>
        <v>2000.0000000002237</v>
      </c>
      <c r="J19" s="32">
        <f>'FS Desroches Daily'!N21</f>
        <v>999.99999999988984</v>
      </c>
      <c r="K19" s="13">
        <f>'FS Desroches Daily'!P21</f>
        <v>6</v>
      </c>
      <c r="L19" s="31">
        <f>'FS Desroches Daily'!R21</f>
        <v>2</v>
      </c>
      <c r="M19" s="31" t="str">
        <f>'FS Desroches Daily'!T21</f>
        <v/>
      </c>
      <c r="N19" s="31">
        <f>'FS Desroches Daily'!V21</f>
        <v>283.89999999996508</v>
      </c>
      <c r="O19" s="31">
        <f>'FS Desroches Daily'!X21</f>
        <v>230.00000000001819</v>
      </c>
      <c r="P19" s="31">
        <f>'FS Desroches Daily'!Z21</f>
        <v>2399.9999999997358</v>
      </c>
      <c r="Q19" s="31">
        <f>'FS Desroches Daily'!AB21</f>
        <v>350.00000000002274</v>
      </c>
      <c r="R19" s="31">
        <f>'FS Desroches Daily'!AD21</f>
        <v>240.00000000000909</v>
      </c>
      <c r="S19" s="31">
        <f>'FS Desroches Daily'!AF21</f>
        <v>250</v>
      </c>
      <c r="T19" s="31">
        <f>'FS Desroches Daily'!AH21</f>
        <v>35</v>
      </c>
      <c r="U19" s="35">
        <f>'FS Desroches Daily'!AJ21</f>
        <v>860.00000000001364</v>
      </c>
      <c r="V19" s="35">
        <f>'FS Desroches Daily'!AL21</f>
        <v>89.999999999974989</v>
      </c>
      <c r="W19" s="35">
        <f>'FS Desroches Daily'!AN21</f>
        <v>159.99999999999659</v>
      </c>
      <c r="X19" s="35">
        <f>'FS Desroches Daily'!AP21</f>
        <v>99.999999999994316</v>
      </c>
      <c r="Y19" s="35">
        <f>'FS Desroches Daily'!AR21</f>
        <v>80.000000000012506</v>
      </c>
      <c r="Z19" s="35">
        <f>'FS Desroches Daily'!AT21</f>
        <v>129.99999999999545</v>
      </c>
      <c r="AA19" s="35">
        <f>'FS Desroches Daily'!AT21</f>
        <v>129.99999999999545</v>
      </c>
      <c r="AB19" s="35">
        <f>'FS Desroches Daily'!AV21</f>
        <v>69.999999999993179</v>
      </c>
      <c r="AC19" s="35">
        <f>'FS Desroches Daily'!AZ21</f>
        <v>39.99999999996362</v>
      </c>
      <c r="AD19" s="35">
        <f>'FS Desroches Daily'!BB21</f>
        <v>19.99999999998181</v>
      </c>
      <c r="AE19" s="35">
        <f>'FS Desroches Daily'!BD21</f>
        <v>129.99999999999545</v>
      </c>
      <c r="AF19" s="31">
        <f>'FS Desroches Daily'!BF21</f>
        <v>19</v>
      </c>
      <c r="AG19" s="32">
        <f>'FS Desroches Daily'!BH21</f>
        <v>30.000000000001137</v>
      </c>
      <c r="AH19" s="32">
        <f>'FS Desroches Daily'!BJ21</f>
        <v>30.000000000029559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30.000000000029559</v>
      </c>
      <c r="AL19" s="32">
        <f>'FS Desroches Daily'!BR21</f>
        <v>31</v>
      </c>
      <c r="AM19" s="32">
        <f>'FS Desroches Daily'!BT21</f>
        <v>19.99999999998181</v>
      </c>
      <c r="AN19" s="32">
        <f>'FS Desroches Daily'!BV21</f>
        <v>43</v>
      </c>
      <c r="AO19" s="32">
        <f>'FS Desroches Daily'!BX21</f>
        <v>30.000000000001137</v>
      </c>
      <c r="AP19" s="32">
        <f>'FS Desroches Daily'!BZ21</f>
        <v>48</v>
      </c>
      <c r="AQ19" s="31">
        <f>'FS Desroches Daily'!CB21</f>
        <v>42.299999999999272</v>
      </c>
      <c r="AR19" s="31">
        <f>'FS Desroches Daily'!CD21</f>
        <v>10.100000000000364</v>
      </c>
      <c r="AS19" s="31">
        <f>'FS Desroches Daily'!CF21</f>
        <v>11.400000000000546</v>
      </c>
      <c r="AT19" s="31">
        <f>'FS Desroches Daily'!CH21</f>
        <v>21.100000000005821</v>
      </c>
      <c r="AU19" s="31">
        <f>'FS Desroches Daily'!CJ21</f>
        <v>261</v>
      </c>
      <c r="AV19" s="31">
        <f>'FS Desroches Daily'!CL21</f>
        <v>639.99999999998636</v>
      </c>
      <c r="AW19" s="31">
        <f>'FS Desroches Daily'!CM21</f>
        <v>69</v>
      </c>
      <c r="AX19" s="31">
        <f>IF(LPG!F26-LPG!F25&lt;0,"0",(LPG!F26-LPG!F25)*1.8315)</f>
        <v>10.988999999999999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15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2099.9999999999909</v>
      </c>
      <c r="F20" s="32">
        <f>'FS Desroches Daily'!F22</f>
        <v>2600.0000000001578</v>
      </c>
      <c r="G20" s="31">
        <f>'FS Desroches Daily'!H22</f>
        <v>2499.9999999999468</v>
      </c>
      <c r="H20" s="32">
        <f>'FS Desroches Daily'!J22</f>
        <v>1200.0000000000898</v>
      </c>
      <c r="I20" s="31">
        <f>'FS Desroches Daily'!L22</f>
        <v>2099.9999999999909</v>
      </c>
      <c r="J20" s="32">
        <f>'FS Desroches Daily'!N22</f>
        <v>799.99999999991189</v>
      </c>
      <c r="K20" s="13">
        <f>'FS Desroches Daily'!P22</f>
        <v>6</v>
      </c>
      <c r="L20" s="31">
        <f>'FS Desroches Daily'!R22</f>
        <v>2</v>
      </c>
      <c r="M20" s="31">
        <f>'FS Desroches Daily'!T22</f>
        <v>0.89999999999997726</v>
      </c>
      <c r="N20" s="31">
        <f>'FS Desroches Daily'!V22</f>
        <v>302.79999999998836</v>
      </c>
      <c r="O20" s="31">
        <f>'FS Desroches Daily'!X22</f>
        <v>240.00000000000909</v>
      </c>
      <c r="P20" s="31">
        <f>'FS Desroches Daily'!Z22</f>
        <v>2400.0000000001796</v>
      </c>
      <c r="Q20" s="31">
        <f>'FS Desroches Daily'!AB22</f>
        <v>199.99999999998863</v>
      </c>
      <c r="R20" s="31">
        <f>'FS Desroches Daily'!AD22</f>
        <v>199.99999999998863</v>
      </c>
      <c r="S20" s="31">
        <f>'FS Desroches Daily'!AF22</f>
        <v>290.00000000007731</v>
      </c>
      <c r="T20" s="31">
        <f>'FS Desroches Daily'!AH22</f>
        <v>36</v>
      </c>
      <c r="U20" s="35">
        <f>'FS Desroches Daily'!AJ22</f>
        <v>809.99999999994543</v>
      </c>
      <c r="V20" s="35">
        <f>'FS Desroches Daily'!AL22</f>
        <v>150.00000000000568</v>
      </c>
      <c r="W20" s="35">
        <f>'FS Desroches Daily'!AN22</f>
        <v>150.00000000000568</v>
      </c>
      <c r="X20" s="35">
        <f>'FS Desroches Daily'!AP22</f>
        <v>109.99999999998522</v>
      </c>
      <c r="Y20" s="35">
        <f>'FS Desroches Daily'!AR22</f>
        <v>90.000000000003411</v>
      </c>
      <c r="Z20" s="35">
        <f>'FS Desroches Daily'!AT22</f>
        <v>120.00000000000455</v>
      </c>
      <c r="AA20" s="35">
        <f>'FS Desroches Daily'!AT22</f>
        <v>120.00000000000455</v>
      </c>
      <c r="AB20" s="35">
        <f>'FS Desroches Daily'!AV22</f>
        <v>90.000000000031832</v>
      </c>
      <c r="AC20" s="35">
        <f>'FS Desroches Daily'!AZ22</f>
        <v>40.000000000020464</v>
      </c>
      <c r="AD20" s="35">
        <f>'FS Desroches Daily'!BB22</f>
        <v>20.000000000038654</v>
      </c>
      <c r="AE20" s="35">
        <f>'FS Desroches Daily'!BD22</f>
        <v>150.00000000000568</v>
      </c>
      <c r="AF20" s="31">
        <f>'FS Desroches Daily'!BF22</f>
        <v>31</v>
      </c>
      <c r="AG20" s="32">
        <f>'FS Desroches Daily'!BH22</f>
        <v>20.000000000010232</v>
      </c>
      <c r="AH20" s="32">
        <f>'FS Desroches Daily'!BJ22</f>
        <v>19.99999999998181</v>
      </c>
      <c r="AI20" s="32">
        <f>'FS Desroches Daily'!BL22</f>
        <v>30.000000000001137</v>
      </c>
      <c r="AJ20" s="32">
        <f>'FS Desroches Daily'!BN22</f>
        <v>39.999999999992042</v>
      </c>
      <c r="AK20" s="32">
        <f>'FS Desroches Daily'!BP22</f>
        <v>29.999999999972715</v>
      </c>
      <c r="AL20" s="32">
        <f>'FS Desroches Daily'!BR22</f>
        <v>29</v>
      </c>
      <c r="AM20" s="32">
        <f>'FS Desroches Daily'!BT22</f>
        <v>30.000000000001137</v>
      </c>
      <c r="AN20" s="32">
        <f>'FS Desroches Daily'!BV22</f>
        <v>45</v>
      </c>
      <c r="AO20" s="32">
        <f>'FS Desroches Daily'!BX22</f>
        <v>30.000000000001137</v>
      </c>
      <c r="AP20" s="32">
        <f>'FS Desroches Daily'!BZ22</f>
        <v>45</v>
      </c>
      <c r="AQ20" s="31">
        <f>'FS Desroches Daily'!CB22</f>
        <v>26.299999999999272</v>
      </c>
      <c r="AR20" s="31">
        <f>'FS Desroches Daily'!CD22</f>
        <v>9.0999999999985448</v>
      </c>
      <c r="AS20" s="31">
        <f>'FS Desroches Daily'!CF22</f>
        <v>0.7999999999992724</v>
      </c>
      <c r="AT20" s="31">
        <f>'FS Desroches Daily'!CH22</f>
        <v>17.799999999995634</v>
      </c>
      <c r="AU20" s="31">
        <f>'FS Desroches Daily'!CJ22</f>
        <v>292</v>
      </c>
      <c r="AV20" s="31">
        <f>'FS Desroches Daily'!CL22</f>
        <v>649.99999999997726</v>
      </c>
      <c r="AW20" s="31">
        <f>'FS Desroches Daily'!CM22</f>
        <v>67</v>
      </c>
      <c r="AX20" s="31">
        <f>IF(LPG!F27-LPG!F26&lt;0,"0",(LPG!F27-LPG!F26)*1.8315)</f>
        <v>9.1574999999999989</v>
      </c>
      <c r="AY20" s="31">
        <f>IF(LPG!H27-LPG!H26&lt;0,"0",(LPG!H27-LPG!H26)*1.8315)</f>
        <v>7.3259999999999996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2099.9999999999909</v>
      </c>
      <c r="F21" s="32">
        <f>'FS Desroches Daily'!F23</f>
        <v>2699.9999999999245</v>
      </c>
      <c r="G21" s="31">
        <f>'FS Desroches Daily'!H23</f>
        <v>2699.9999999999245</v>
      </c>
      <c r="H21" s="32">
        <f>'FS Desroches Daily'!J23</f>
        <v>1199.9999999998679</v>
      </c>
      <c r="I21" s="31">
        <f>'FS Desroches Daily'!L23</f>
        <v>2199.9999999997576</v>
      </c>
      <c r="J21" s="32">
        <f>'FS Desroches Daily'!N23</f>
        <v>800.00000000013392</v>
      </c>
      <c r="K21" s="13">
        <f>'FS Desroches Daily'!P23</f>
        <v>6</v>
      </c>
      <c r="L21" s="31">
        <f>'FS Desroches Daily'!R23</f>
        <v>2</v>
      </c>
      <c r="M21" s="31">
        <f>'FS Desroches Daily'!T23</f>
        <v>0.79999999999995453</v>
      </c>
      <c r="N21" s="31">
        <f>'FS Desroches Daily'!V23</f>
        <v>329.30000000004657</v>
      </c>
      <c r="O21" s="31">
        <f>'FS Desroches Daily'!X23</f>
        <v>229.99999999996135</v>
      </c>
      <c r="P21" s="31">
        <f>'FS Desroches Daily'!Z23</f>
        <v>2399.9999999997358</v>
      </c>
      <c r="Q21" s="31">
        <f>'FS Desroches Daily'!AB23</f>
        <v>259.99999999999091</v>
      </c>
      <c r="R21" s="31">
        <f>'FS Desroches Daily'!AD23</f>
        <v>250</v>
      </c>
      <c r="S21" s="31">
        <f>'FS Desroches Daily'!AF23</f>
        <v>250</v>
      </c>
      <c r="T21" s="31">
        <f>'FS Desroches Daily'!AH23</f>
        <v>36</v>
      </c>
      <c r="U21" s="35">
        <f>'FS Desroches Daily'!AJ23</f>
        <v>790.00000000007731</v>
      </c>
      <c r="V21" s="35">
        <f>'FS Desroches Daily'!AL23</f>
        <v>129.99999999999545</v>
      </c>
      <c r="W21" s="35">
        <f>'FS Desroches Daily'!AN23</f>
        <v>150.00000000000568</v>
      </c>
      <c r="X21" s="35">
        <f>'FS Desroches Daily'!AP23</f>
        <v>120.00000000000455</v>
      </c>
      <c r="Y21" s="35">
        <f>'FS Desroches Daily'!AR23</f>
        <v>109.99999999998522</v>
      </c>
      <c r="Z21" s="35">
        <f>'FS Desroches Daily'!AT23</f>
        <v>109.9999999999568</v>
      </c>
      <c r="AA21" s="35">
        <f>'FS Desroches Daily'!AT23</f>
        <v>109.9999999999568</v>
      </c>
      <c r="AB21" s="35">
        <f>'FS Desroches Daily'!AV23</f>
        <v>99.999999999965894</v>
      </c>
      <c r="AC21" s="35">
        <f>'FS Desroches Daily'!AZ23</f>
        <v>50.000000000011369</v>
      </c>
      <c r="AD21" s="35">
        <f>'FS Desroches Daily'!BB23</f>
        <v>39.99999999996362</v>
      </c>
      <c r="AE21" s="35">
        <f>'FS Desroches Daily'!BD23</f>
        <v>169.99999999998749</v>
      </c>
      <c r="AF21" s="31" t="str">
        <f>'FS Desroches Daily'!BF23</f>
        <v/>
      </c>
      <c r="AG21" s="32">
        <f>'FS Desroches Daily'!BH23</f>
        <v>30.000000000001137</v>
      </c>
      <c r="AH21" s="32">
        <f>'FS Desroches Daily'!BJ23</f>
        <v>29.999999999972715</v>
      </c>
      <c r="AI21" s="32">
        <f>'FS Desroches Daily'!BL23</f>
        <v>30.000000000001137</v>
      </c>
      <c r="AJ21" s="32">
        <f>'FS Desroches Daily'!BN23</f>
        <v>40.000000000020464</v>
      </c>
      <c r="AK21" s="32">
        <f>'FS Desroches Daily'!BP23</f>
        <v>40.000000000020464</v>
      </c>
      <c r="AL21" s="32">
        <f>'FS Desroches Daily'!BR23</f>
        <v>35</v>
      </c>
      <c r="AM21" s="32">
        <f>'FS Desroches Daily'!BT23</f>
        <v>30.000000000001137</v>
      </c>
      <c r="AN21" s="32">
        <f>'FS Desroches Daily'!BV23</f>
        <v>42</v>
      </c>
      <c r="AO21" s="32">
        <f>'FS Desroches Daily'!BX23</f>
        <v>19.99999999998181</v>
      </c>
      <c r="AP21" s="32">
        <f>'FS Desroches Daily'!BZ23</f>
        <v>52</v>
      </c>
      <c r="AQ21" s="31">
        <f>'FS Desroches Daily'!CB23</f>
        <v>35.600000000002183</v>
      </c>
      <c r="AR21" s="31">
        <f>'FS Desroches Daily'!CD23</f>
        <v>8.6000000000003638</v>
      </c>
      <c r="AS21" s="31">
        <f>'FS Desroches Daily'!CF23</f>
        <v>8.9000000000005457</v>
      </c>
      <c r="AT21" s="31">
        <f>'FS Desroches Daily'!CH23</f>
        <v>33.099999999998545</v>
      </c>
      <c r="AU21" s="31">
        <f>'FS Desroches Daily'!CJ23</f>
        <v>272</v>
      </c>
      <c r="AV21" s="31">
        <f>'FS Desroches Daily'!CL23</f>
        <v>690.00000000005457</v>
      </c>
      <c r="AW21" s="31">
        <f>'FS Desroches Daily'!CM23</f>
        <v>67</v>
      </c>
      <c r="AX21" s="31">
        <f>IF(LPG!F28-LPG!F27&lt;0,"0",(LPG!F28-LPG!F27)*1.8315)</f>
        <v>9.1574999999999989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7.3259999999999996</v>
      </c>
      <c r="BC21" s="13">
        <f>'FS Desroches Daily'!CN23</f>
        <v>14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2099.9999999999909</v>
      </c>
      <c r="F22" s="32">
        <f>'FS Desroches Daily'!F24</f>
        <v>2599.9999999997135</v>
      </c>
      <c r="G22" s="31">
        <f>'FS Desroches Daily'!H24</f>
        <v>2699.9999999999245</v>
      </c>
      <c r="H22" s="32">
        <f>'FS Desroches Daily'!J24</f>
        <v>1300.0000000000789</v>
      </c>
      <c r="I22" s="31">
        <f>'FS Desroches Daily'!L24</f>
        <v>2100.0000000004347</v>
      </c>
      <c r="J22" s="32">
        <f>'FS Desroches Daily'!N24</f>
        <v>799.99999999991189</v>
      </c>
      <c r="K22" s="13">
        <f>'FS Desroches Daily'!P24</f>
        <v>0</v>
      </c>
      <c r="L22" s="31">
        <f>'FS Desroches Daily'!R24</f>
        <v>2</v>
      </c>
      <c r="M22" s="31">
        <f>'FS Desroches Daily'!T24</f>
        <v>1.1000000000000227</v>
      </c>
      <c r="N22" s="31">
        <f>'FS Desroches Daily'!V24</f>
        <v>402.09999999997672</v>
      </c>
      <c r="O22" s="31">
        <f>'FS Desroches Daily'!X24</f>
        <v>240.00000000000909</v>
      </c>
      <c r="P22" s="31">
        <f>'FS Desroches Daily'!Z24</f>
        <v>2400.0000000001796</v>
      </c>
      <c r="Q22" s="31">
        <f>'FS Desroches Daily'!AB24</f>
        <v>259.99999999999091</v>
      </c>
      <c r="R22" s="31">
        <f>'FS Desroches Daily'!AD24</f>
        <v>240.00000000000909</v>
      </c>
      <c r="S22" s="31">
        <f>'FS Desroches Daily'!AF24</f>
        <v>209.99999999992269</v>
      </c>
      <c r="T22" s="31">
        <f>'FS Desroches Daily'!AH24</f>
        <v>25</v>
      </c>
      <c r="U22" s="35">
        <f>'FS Desroches Daily'!AJ24</f>
        <v>799.99999999995453</v>
      </c>
      <c r="V22" s="35">
        <f>'FS Desroches Daily'!AL24</f>
        <v>110.00000000001364</v>
      </c>
      <c r="W22" s="35">
        <f>'FS Desroches Daily'!AN24</f>
        <v>159.99999999999659</v>
      </c>
      <c r="X22" s="35">
        <f>'FS Desroches Daily'!AP24</f>
        <v>90.000000000003411</v>
      </c>
      <c r="Y22" s="35">
        <f>'FS Desroches Daily'!AR24</f>
        <v>80.000000000012506</v>
      </c>
      <c r="Z22" s="35">
        <f>'FS Desroches Daily'!AT24</f>
        <v>120.00000000000455</v>
      </c>
      <c r="AA22" s="35">
        <f>'FS Desroches Daily'!AT24</f>
        <v>120.00000000000455</v>
      </c>
      <c r="AB22" s="35">
        <f>'FS Desroches Daily'!AV24</f>
        <v>90.000000000031832</v>
      </c>
      <c r="AC22" s="35">
        <f>'FS Desroches Daily'!AZ24</f>
        <v>39.99999999996362</v>
      </c>
      <c r="AD22" s="35">
        <f>'FS Desroches Daily'!BB24</f>
        <v>30.000000000029559</v>
      </c>
      <c r="AE22" s="35">
        <f>'FS Desroches Daily'!BD24</f>
        <v>130.00000000002387</v>
      </c>
      <c r="AF22" s="31">
        <f>'FS Desroches Daily'!BF24</f>
        <v>0</v>
      </c>
      <c r="AG22" s="32">
        <f>'FS Desroches Daily'!BH24</f>
        <v>19.99999999998181</v>
      </c>
      <c r="AH22" s="32">
        <f>'FS Desroches Daily'!BJ24</f>
        <v>30.000000000029559</v>
      </c>
      <c r="AI22" s="32">
        <f>'FS Desroches Daily'!BL24</f>
        <v>20.000000000010232</v>
      </c>
      <c r="AJ22" s="32">
        <f>'FS Desroches Daily'!BN24</f>
        <v>39.999999999992042</v>
      </c>
      <c r="AK22" s="32">
        <f>'FS Desroches Daily'!BP24</f>
        <v>40.000000000020464</v>
      </c>
      <c r="AL22" s="32">
        <f>'FS Desroches Daily'!BR24</f>
        <v>32</v>
      </c>
      <c r="AM22" s="32">
        <f>'FS Desroches Daily'!BT24</f>
        <v>30.000000000001137</v>
      </c>
      <c r="AN22" s="32">
        <f>'FS Desroches Daily'!BV24</f>
        <v>37</v>
      </c>
      <c r="AO22" s="32">
        <f>'FS Desroches Daily'!BX24</f>
        <v>30.000000000001137</v>
      </c>
      <c r="AP22" s="32">
        <f>'FS Desroches Daily'!BZ24</f>
        <v>47</v>
      </c>
      <c r="AQ22" s="31">
        <f>'FS Desroches Daily'!CB24</f>
        <v>26.299999999999272</v>
      </c>
      <c r="AR22" s="31">
        <f>'FS Desroches Daily'!CD24</f>
        <v>8.6000000000003638</v>
      </c>
      <c r="AS22" s="31">
        <f>'FS Desroches Daily'!CF24</f>
        <v>11.899999999999636</v>
      </c>
      <c r="AT22" s="31">
        <f>'FS Desroches Daily'!CH24</f>
        <v>33.200000000004366</v>
      </c>
      <c r="AU22" s="31">
        <f>'FS Desroches Daily'!CJ24</f>
        <v>268</v>
      </c>
      <c r="AV22" s="31">
        <f>'FS Desroches Daily'!CL24</f>
        <v>559.99999999994543</v>
      </c>
      <c r="AW22" s="31">
        <f>'FS Desroches Daily'!CM24</f>
        <v>71</v>
      </c>
      <c r="AX22" s="31" t="str">
        <f>IF(LPG!F29-LPG!F28&lt;0,"0",(LPG!F29-LPG!F28)*1.8315)</f>
        <v>0</v>
      </c>
      <c r="AY22" s="31" t="str">
        <f>IF(LPG!H29-LPG!H28&lt;0,"0",(LPG!H29-LPG!H28)*1.8315)</f>
        <v>0</v>
      </c>
      <c r="AZ22" s="31" t="str">
        <f>IF(LPG!J29-LPG!J28&lt;0,"0",(LPG!J29-LPG!J28)*1.8315)</f>
        <v>0</v>
      </c>
      <c r="BA22" s="31" t="str">
        <f>IF(LPG!M29-LPG!M28&lt;0,"0",(LPG!M29-LPG!M28)*1.8315)</f>
        <v>0</v>
      </c>
      <c r="BB22" s="31" t="str">
        <f>IF(LPG!Q29-LPG!Q28&lt;0,"0",(LPG!Q29-LPG!Q28)*1.8315)</f>
        <v>0</v>
      </c>
      <c r="BC22" s="13">
        <f>'FS Desroches Daily'!CN24</f>
        <v>14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 t="str">
        <f>'FS Desroches Daily'!D25</f>
        <v>0</v>
      </c>
      <c r="F23" s="32" t="str">
        <f>'FS Desroches Daily'!F25</f>
        <v>0</v>
      </c>
      <c r="G23" s="31" t="str">
        <f>'FS Desroches Daily'!H25</f>
        <v>0</v>
      </c>
      <c r="H23" s="32" t="str">
        <f>'FS Desroches Daily'!J25</f>
        <v>0</v>
      </c>
      <c r="I23" s="31" t="str">
        <f>'FS Desroches Daily'!L25</f>
        <v>0</v>
      </c>
      <c r="J23" s="32" t="str">
        <f>'FS Desroches Daily'!N25</f>
        <v/>
      </c>
      <c r="K23" s="13" t="str">
        <f>'FS Desroches Daily'!P25</f>
        <v/>
      </c>
      <c r="L23" s="31" t="str">
        <f>'FS Desroches Daily'!R25</f>
        <v/>
      </c>
      <c r="M23" s="31" t="str">
        <f>'FS Desroches Daily'!T25</f>
        <v/>
      </c>
      <c r="N23" s="31" t="str">
        <f>'FS Desroches Daily'!V25</f>
        <v/>
      </c>
      <c r="O23" s="31" t="str">
        <f>'FS Desroches Daily'!X25</f>
        <v/>
      </c>
      <c r="P23" s="31" t="str">
        <f>'FS Desroches Daily'!Z25</f>
        <v/>
      </c>
      <c r="Q23" s="31" t="str">
        <f>'FS Desroches Daily'!AB25</f>
        <v/>
      </c>
      <c r="R23" s="31" t="str">
        <f>'FS Desroches Daily'!AD25</f>
        <v/>
      </c>
      <c r="S23" s="31" t="str">
        <f>'FS Desroches Daily'!AF25</f>
        <v/>
      </c>
      <c r="T23" s="31" t="str">
        <f>'FS Desroches Daily'!AH25</f>
        <v/>
      </c>
      <c r="U23" s="35" t="str">
        <f>'FS Desroches Daily'!AJ25</f>
        <v/>
      </c>
      <c r="V23" s="35" t="str">
        <f>'FS Desroches Daily'!AL25</f>
        <v/>
      </c>
      <c r="W23" s="35" t="str">
        <f>'FS Desroches Daily'!AN25</f>
        <v/>
      </c>
      <c r="X23" s="35" t="str">
        <f>'FS Desroches Daily'!AP25</f>
        <v/>
      </c>
      <c r="Y23" s="35" t="str">
        <f>'FS Desroches Daily'!AR25</f>
        <v/>
      </c>
      <c r="Z23" s="35" t="str">
        <f>'FS Desroches Daily'!AT25</f>
        <v/>
      </c>
      <c r="AA23" s="35" t="str">
        <f>'FS Desroches Daily'!AT25</f>
        <v/>
      </c>
      <c r="AB23" s="35" t="str">
        <f>'FS Desroches Daily'!AV25</f>
        <v/>
      </c>
      <c r="AC23" s="35" t="str">
        <f>'FS Desroches Daily'!AZ25</f>
        <v/>
      </c>
      <c r="AD23" s="35" t="str">
        <f>'FS Desroches Daily'!BB25</f>
        <v/>
      </c>
      <c r="AE23" s="35" t="str">
        <f>'FS Desroches Daily'!BD25</f>
        <v/>
      </c>
      <c r="AF23" s="31">
        <f>'FS Desroches Daily'!BF25</f>
        <v>0</v>
      </c>
      <c r="AG23" s="32" t="str">
        <f>'FS Desroches Daily'!BH25</f>
        <v/>
      </c>
      <c r="AH23" s="32" t="str">
        <f>'FS Desroches Daily'!BJ25</f>
        <v/>
      </c>
      <c r="AI23" s="32" t="str">
        <f>'FS Desroches Daily'!BL25</f>
        <v/>
      </c>
      <c r="AJ23" s="32" t="str">
        <f>'FS Desroches Daily'!BN25</f>
        <v/>
      </c>
      <c r="AK23" s="32" t="str">
        <f>'FS Desroches Daily'!BP25</f>
        <v/>
      </c>
      <c r="AL23" s="32" t="str">
        <f>'FS Desroches Daily'!BR25</f>
        <v/>
      </c>
      <c r="AM23" s="32" t="str">
        <f>'FS Desroches Daily'!BT25</f>
        <v/>
      </c>
      <c r="AN23" s="32" t="str">
        <f>'FS Desroches Daily'!BV25</f>
        <v/>
      </c>
      <c r="AO23" s="32" t="str">
        <f>'FS Desroches Daily'!BX25</f>
        <v/>
      </c>
      <c r="AP23" s="32" t="str">
        <f>'FS Desroches Daily'!BZ25</f>
        <v/>
      </c>
      <c r="AQ23" s="31" t="str">
        <f>'FS Desroches Daily'!CB25</f>
        <v/>
      </c>
      <c r="AR23" s="31" t="str">
        <f>'FS Desroches Daily'!CD25</f>
        <v/>
      </c>
      <c r="AS23" s="31" t="str">
        <f>'FS Desroches Daily'!CF25</f>
        <v/>
      </c>
      <c r="AT23" s="31" t="str">
        <f>'FS Desroches Daily'!CH25</f>
        <v/>
      </c>
      <c r="AU23" s="31" t="str">
        <f>'FS Desroches Daily'!CJ25</f>
        <v/>
      </c>
      <c r="AV23" s="31" t="str">
        <f>'FS Desroches Daily'!CL25</f>
        <v/>
      </c>
      <c r="AW23" s="31" t="e">
        <f>'FS Desroches Daily'!CM25</f>
        <v>#VALUE!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41599.999999999862</v>
      </c>
      <c r="F33" s="17">
        <f t="shared" ref="F33:BC33" si="1">SUM(F2:F32)</f>
        <v>53699.999999999651</v>
      </c>
      <c r="G33" s="17">
        <f t="shared" si="1"/>
        <v>51600.000000000102</v>
      </c>
      <c r="H33" s="17">
        <f t="shared" si="1"/>
        <v>25700.000000000062</v>
      </c>
      <c r="I33" s="17">
        <f t="shared" si="1"/>
        <v>39900.000000000284</v>
      </c>
      <c r="J33" s="17">
        <f t="shared" si="1"/>
        <v>19199.999999999884</v>
      </c>
      <c r="K33" s="17">
        <f t="shared" si="1"/>
        <v>91</v>
      </c>
      <c r="L33" s="17">
        <f t="shared" si="1"/>
        <v>42</v>
      </c>
      <c r="M33" s="17">
        <f t="shared" si="1"/>
        <v>12967.399999999976</v>
      </c>
      <c r="N33" s="17">
        <f t="shared" si="1"/>
        <v>6251.4000000000233</v>
      </c>
      <c r="O33" s="17">
        <f t="shared" si="1"/>
        <v>5160.0000000000255</v>
      </c>
      <c r="P33" s="17">
        <f t="shared" si="1"/>
        <v>48000.000000000058</v>
      </c>
      <c r="Q33" s="17">
        <f t="shared" si="1"/>
        <v>5509.9999999999909</v>
      </c>
      <c r="R33" s="17">
        <f t="shared" si="1"/>
        <v>5079.9999999999836</v>
      </c>
      <c r="S33" s="17">
        <f t="shared" si="1"/>
        <v>6309.9999999999454</v>
      </c>
      <c r="T33" s="17">
        <f t="shared" si="1"/>
        <v>695</v>
      </c>
      <c r="U33" s="35">
        <f t="shared" si="1"/>
        <v>14789.999999999962</v>
      </c>
      <c r="V33" s="35">
        <f t="shared" si="1"/>
        <v>3300.0000000000109</v>
      </c>
      <c r="W33" s="35">
        <f t="shared" si="1"/>
        <v>2979.9999999999891</v>
      </c>
      <c r="X33" s="35">
        <f t="shared" si="1"/>
        <v>2210.0000000000082</v>
      </c>
      <c r="Y33" s="35">
        <f t="shared" si="1"/>
        <v>3020.0000000000109</v>
      </c>
      <c r="Z33" s="35">
        <f t="shared" si="1"/>
        <v>3626.8800000000319</v>
      </c>
      <c r="AA33" s="35">
        <f t="shared" si="1"/>
        <v>3626.8800000000319</v>
      </c>
      <c r="AB33" s="35">
        <f t="shared" si="1"/>
        <v>1520.0000000000387</v>
      </c>
      <c r="AC33" s="35">
        <f t="shared" si="1"/>
        <v>919.99999999995907</v>
      </c>
      <c r="AD33" s="35">
        <f t="shared" si="1"/>
        <v>510.00000000004775</v>
      </c>
      <c r="AE33" s="35">
        <f t="shared" si="1"/>
        <v>2120.0000000000045</v>
      </c>
      <c r="AF33" s="17">
        <f t="shared" si="1"/>
        <v>547</v>
      </c>
      <c r="AG33" s="32">
        <f t="shared" si="1"/>
        <v>759.99999999999091</v>
      </c>
      <c r="AH33" s="32">
        <f t="shared" si="1"/>
        <v>560.00000000000227</v>
      </c>
      <c r="AI33" s="32">
        <f t="shared" si="1"/>
        <v>580.00000000001251</v>
      </c>
      <c r="AJ33" s="32">
        <f t="shared" si="1"/>
        <v>780.00000000000114</v>
      </c>
      <c r="AK33" s="32">
        <f t="shared" si="1"/>
        <v>730.00000000001819</v>
      </c>
      <c r="AL33" s="32">
        <f t="shared" si="1"/>
        <v>592</v>
      </c>
      <c r="AM33" s="32">
        <f t="shared" si="1"/>
        <v>599.99999999999432</v>
      </c>
      <c r="AN33" s="32">
        <f t="shared" si="1"/>
        <v>825</v>
      </c>
      <c r="AO33" s="32">
        <f t="shared" si="1"/>
        <v>500</v>
      </c>
      <c r="AP33" s="32">
        <f t="shared" si="1"/>
        <v>922</v>
      </c>
      <c r="AQ33" s="17">
        <f t="shared" si="1"/>
        <v>714.29999999999927</v>
      </c>
      <c r="AR33" s="17">
        <f t="shared" si="1"/>
        <v>187.79999999999927</v>
      </c>
      <c r="AS33" s="17">
        <f t="shared" si="1"/>
        <v>118.19999999999982</v>
      </c>
      <c r="AT33" s="17">
        <f t="shared" si="1"/>
        <v>672</v>
      </c>
      <c r="AU33" s="17">
        <f t="shared" si="1"/>
        <v>5687</v>
      </c>
      <c r="AV33" s="17">
        <f t="shared" si="1"/>
        <v>12709.999999999924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146.51999999999998</v>
      </c>
      <c r="BC33" s="17">
        <f t="shared" si="1"/>
        <v>204</v>
      </c>
    </row>
    <row r="35" spans="5:55" x14ac:dyDescent="0.25">
      <c r="E35" s="38">
        <f>E33/E37</f>
        <v>0.2273994468071148</v>
      </c>
      <c r="G35" s="29">
        <f>G33-M36</f>
        <v>32381.200000000103</v>
      </c>
      <c r="AE35" s="35">
        <f>SUM(U33:AE33)</f>
        <v>38623.760000000097</v>
      </c>
      <c r="AG35" s="32">
        <f>SUM(AG33:AP33)</f>
        <v>6849.0000000000191</v>
      </c>
    </row>
    <row r="36" spans="5:55" x14ac:dyDescent="0.25">
      <c r="G36" s="29">
        <f>G35-633*14</f>
        <v>23519.200000000103</v>
      </c>
      <c r="M36" s="29">
        <f>M33+N33</f>
        <v>19218.8</v>
      </c>
    </row>
    <row r="37" spans="5:55" x14ac:dyDescent="0.25">
      <c r="E37" s="17">
        <f>E33+F33+G33+H33+J33-633*14</f>
        <v>182937.99999999953</v>
      </c>
      <c r="G37" s="37">
        <f>M36/E37</f>
        <v>0.10505635789174501</v>
      </c>
      <c r="M37" s="35">
        <f>AE35</f>
        <v>38623.760000000097</v>
      </c>
    </row>
    <row r="38" spans="5:55" x14ac:dyDescent="0.25">
      <c r="L38" s="27">
        <f>M38/E37</f>
        <v>3.7438913730335067E-2</v>
      </c>
      <c r="M38" s="29">
        <f>AG35</f>
        <v>6849.0000000000191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A1" zoomScale="80" zoomScaleNormal="80" workbookViewId="0">
      <pane ySplit="1" topLeftCell="A2" activePane="bottomLeft" state="frozen"/>
      <selection pane="bottomLeft" activeCell="CV26" sqref="CV2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34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>
        <v>2.3081</v>
      </c>
      <c r="D9" s="64">
        <f t="shared" si="0"/>
        <v>1800.0000000002458</v>
      </c>
      <c r="E9" s="58">
        <v>3.2858999999999998</v>
      </c>
      <c r="F9" s="64">
        <f t="shared" si="1"/>
        <v>2399.9999999997358</v>
      </c>
      <c r="G9" s="58">
        <v>3.3414999999999999</v>
      </c>
      <c r="H9" s="64">
        <f t="shared" si="2"/>
        <v>2299.9999999999686</v>
      </c>
      <c r="I9" s="58">
        <v>1.6489</v>
      </c>
      <c r="J9" s="64">
        <f t="shared" si="3"/>
        <v>1300.0000000000789</v>
      </c>
      <c r="K9" s="58">
        <v>2.6627000000000001</v>
      </c>
      <c r="L9" s="64">
        <f t="shared" si="4"/>
        <v>1900.0000000000127</v>
      </c>
      <c r="M9" s="58">
        <v>1.4663999999999999</v>
      </c>
      <c r="N9" s="64">
        <f t="shared" si="5"/>
        <v>799.99999999991189</v>
      </c>
      <c r="O9" s="58">
        <v>14443</v>
      </c>
      <c r="P9" s="67">
        <f t="shared" si="43"/>
        <v>5</v>
      </c>
      <c r="Q9" s="58">
        <v>1047</v>
      </c>
      <c r="R9" s="67">
        <f t="shared" si="6"/>
        <v>2</v>
      </c>
      <c r="S9" s="58">
        <v>999207.8</v>
      </c>
      <c r="T9" s="67">
        <f t="shared" si="7"/>
        <v>742</v>
      </c>
      <c r="U9" s="58">
        <v>420025.9</v>
      </c>
      <c r="V9" s="67">
        <f t="shared" si="8"/>
        <v>349.40000000002328</v>
      </c>
      <c r="W9" s="58">
        <v>400.43</v>
      </c>
      <c r="X9" s="65">
        <f t="shared" si="9"/>
        <v>250</v>
      </c>
      <c r="Y9" s="58">
        <v>2.8719999999999999</v>
      </c>
      <c r="Z9" s="65">
        <f t="shared" si="10"/>
        <v>2099.9999999999909</v>
      </c>
      <c r="AA9" s="58">
        <v>398.56</v>
      </c>
      <c r="AB9" s="65">
        <f t="shared" si="11"/>
        <v>189.99999999999773</v>
      </c>
      <c r="AC9" s="58">
        <v>372.61</v>
      </c>
      <c r="AD9" s="65">
        <f t="shared" si="12"/>
        <v>210.00000000003638</v>
      </c>
      <c r="AE9" s="58">
        <v>569.23</v>
      </c>
      <c r="AF9" s="65">
        <f t="shared" si="13"/>
        <v>289.99999999996362</v>
      </c>
      <c r="AG9" s="58">
        <v>4771</v>
      </c>
      <c r="AH9" s="67">
        <f t="shared" si="14"/>
        <v>32</v>
      </c>
      <c r="AI9" s="58">
        <v>619.54999999999995</v>
      </c>
      <c r="AJ9" s="65">
        <f t="shared" si="15"/>
        <v>519.99999999998181</v>
      </c>
      <c r="AK9" s="58">
        <v>206.28</v>
      </c>
      <c r="AL9" s="65">
        <f t="shared" si="15"/>
        <v>189.99999999999773</v>
      </c>
      <c r="AM9" s="58">
        <v>196.43</v>
      </c>
      <c r="AN9" s="65">
        <f t="shared" si="15"/>
        <v>170.00000000001592</v>
      </c>
      <c r="AO9" s="58">
        <v>190.4</v>
      </c>
      <c r="AP9" s="65">
        <f t="shared" si="15"/>
        <v>120.00000000000455</v>
      </c>
      <c r="AQ9" s="58">
        <v>248.42</v>
      </c>
      <c r="AR9" s="65">
        <f t="shared" si="16"/>
        <v>159.99999999999659</v>
      </c>
      <c r="AS9" s="58">
        <v>374.05</v>
      </c>
      <c r="AT9" s="65">
        <f t="shared" si="17"/>
        <v>230.00000000001819</v>
      </c>
      <c r="AU9" s="58">
        <v>286.14</v>
      </c>
      <c r="AV9" s="65">
        <f t="shared" si="18"/>
        <v>89.999999999974989</v>
      </c>
      <c r="AW9" s="58">
        <v>320.62</v>
      </c>
      <c r="AX9" s="65">
        <f t="shared" si="19"/>
        <v>50.000000000011369</v>
      </c>
      <c r="AY9" s="58">
        <v>361.92</v>
      </c>
      <c r="AZ9" s="65">
        <f t="shared" si="20"/>
        <v>60.000000000002274</v>
      </c>
      <c r="BA9" s="58">
        <v>381.41</v>
      </c>
      <c r="BB9" s="65">
        <f t="shared" si="21"/>
        <v>30.000000000029559</v>
      </c>
      <c r="BC9" s="58">
        <v>242.1</v>
      </c>
      <c r="BD9" s="65">
        <f t="shared" si="22"/>
        <v>30.000000000001137</v>
      </c>
      <c r="BE9" s="59">
        <v>40627</v>
      </c>
      <c r="BF9" s="67">
        <f t="shared" si="39"/>
        <v>31</v>
      </c>
      <c r="BG9" s="60">
        <v>234.51</v>
      </c>
      <c r="BH9" s="65">
        <f t="shared" si="23"/>
        <v>39.999999999992042</v>
      </c>
      <c r="BI9" s="60">
        <v>293.39</v>
      </c>
      <c r="BJ9" s="65">
        <f t="shared" si="40"/>
        <v>29.999999999972715</v>
      </c>
      <c r="BK9" s="60">
        <v>237.2</v>
      </c>
      <c r="BL9" s="65">
        <f t="shared" si="24"/>
        <v>30.000000000001137</v>
      </c>
      <c r="BM9" s="60">
        <v>224.15</v>
      </c>
      <c r="BN9" s="65">
        <f t="shared" si="25"/>
        <v>39.999999999992042</v>
      </c>
      <c r="BO9" s="60">
        <v>288</v>
      </c>
      <c r="BP9" s="65">
        <f t="shared" si="26"/>
        <v>50.000000000011369</v>
      </c>
      <c r="BQ9" s="60">
        <v>45514</v>
      </c>
      <c r="BR9" s="65">
        <f t="shared" si="27"/>
        <v>33</v>
      </c>
      <c r="BS9" s="60">
        <v>201.01</v>
      </c>
      <c r="BT9" s="65">
        <f t="shared" si="42"/>
        <v>39.999999999992042</v>
      </c>
      <c r="BU9" s="60">
        <v>41045</v>
      </c>
      <c r="BV9" s="65">
        <f t="shared" si="29"/>
        <v>41</v>
      </c>
      <c r="BW9" s="60">
        <v>232.14</v>
      </c>
      <c r="BX9" s="65">
        <f t="shared" si="30"/>
        <v>19.99999999998181</v>
      </c>
      <c r="BY9" s="60">
        <v>60736</v>
      </c>
      <c r="BZ9" s="67">
        <f t="shared" si="31"/>
        <v>58</v>
      </c>
      <c r="CA9" s="60">
        <v>32240.5</v>
      </c>
      <c r="CB9" s="67">
        <f t="shared" si="32"/>
        <v>31.5</v>
      </c>
      <c r="CC9" s="60">
        <v>12244.6</v>
      </c>
      <c r="CD9" s="67">
        <f t="shared" si="33"/>
        <v>9.3000000000010914</v>
      </c>
      <c r="CE9" s="60">
        <v>6463</v>
      </c>
      <c r="CF9" s="67">
        <f t="shared" si="34"/>
        <v>18</v>
      </c>
      <c r="CG9" s="60">
        <v>59845.7</v>
      </c>
      <c r="CH9" s="67">
        <f t="shared" si="35"/>
        <v>29.19999999999709</v>
      </c>
      <c r="CI9" s="60">
        <v>951201</v>
      </c>
      <c r="CJ9" s="67">
        <f t="shared" si="36"/>
        <v>265</v>
      </c>
      <c r="CK9" s="60">
        <v>769.47</v>
      </c>
      <c r="CL9" s="64">
        <f t="shared" si="37"/>
        <v>560.00000000005912</v>
      </c>
      <c r="CM9" s="65">
        <f t="shared" si="41"/>
        <v>66.099999999998545</v>
      </c>
      <c r="CN9" s="62">
        <v>11</v>
      </c>
      <c r="CO9" s="62">
        <v>27</v>
      </c>
      <c r="CP9" s="68">
        <v>10000.799999999999</v>
      </c>
      <c r="CQ9" s="67">
        <f t="shared" si="38"/>
        <v>43.099999999998545</v>
      </c>
      <c r="CR9" s="68">
        <v>14368</v>
      </c>
      <c r="CS9" s="67">
        <f t="shared" si="38"/>
        <v>23</v>
      </c>
      <c r="CT9" s="75">
        <v>6558</v>
      </c>
      <c r="CU9" s="67">
        <f t="shared" si="38"/>
        <v>11</v>
      </c>
      <c r="CV9" s="68">
        <v>15553</v>
      </c>
      <c r="CW9" s="67">
        <f t="shared" si="38"/>
        <v>18</v>
      </c>
    </row>
    <row r="10" spans="1:102" ht="25.5" customHeight="1" thickBot="1" x14ac:dyDescent="0.45">
      <c r="A10" s="63">
        <v>44384</v>
      </c>
      <c r="B10" s="44"/>
      <c r="C10" s="58">
        <v>2.31</v>
      </c>
      <c r="D10" s="64">
        <f t="shared" si="0"/>
        <v>1900.0000000000127</v>
      </c>
      <c r="E10" s="58">
        <v>3.2885</v>
      </c>
      <c r="F10" s="64">
        <f t="shared" si="1"/>
        <v>2600.0000000001578</v>
      </c>
      <c r="G10" s="58">
        <v>3.3439000000000001</v>
      </c>
      <c r="H10" s="64">
        <f t="shared" si="2"/>
        <v>2400.0000000001796</v>
      </c>
      <c r="I10" s="58">
        <v>1.6500999999999999</v>
      </c>
      <c r="J10" s="64">
        <f t="shared" si="3"/>
        <v>1199.9999999998679</v>
      </c>
      <c r="K10" s="58">
        <v>2.6646000000000001</v>
      </c>
      <c r="L10" s="64">
        <f t="shared" si="4"/>
        <v>1900.0000000000127</v>
      </c>
      <c r="M10" s="58">
        <v>1.4673</v>
      </c>
      <c r="N10" s="64">
        <f t="shared" si="5"/>
        <v>900.0000000001229</v>
      </c>
      <c r="O10" s="58">
        <v>14447</v>
      </c>
      <c r="P10" s="67">
        <f t="shared" si="43"/>
        <v>4</v>
      </c>
      <c r="Q10" s="58">
        <v>1049</v>
      </c>
      <c r="R10" s="67">
        <f t="shared" si="6"/>
        <v>2</v>
      </c>
      <c r="S10" s="58">
        <v>999946.6</v>
      </c>
      <c r="T10" s="67">
        <f t="shared" si="7"/>
        <v>738.79999999993015</v>
      </c>
      <c r="U10" s="58">
        <v>420301.7</v>
      </c>
      <c r="V10" s="67">
        <f t="shared" si="8"/>
        <v>275.79999999998836</v>
      </c>
      <c r="W10" s="58">
        <v>400.69</v>
      </c>
      <c r="X10" s="65">
        <f t="shared" si="9"/>
        <v>259.99999999999091</v>
      </c>
      <c r="Y10" s="58">
        <v>2.8744000000000001</v>
      </c>
      <c r="Z10" s="65">
        <f t="shared" si="10"/>
        <v>2400.0000000001796</v>
      </c>
      <c r="AA10" s="58">
        <v>398.87</v>
      </c>
      <c r="AB10" s="65">
        <f t="shared" si="11"/>
        <v>310.00000000000227</v>
      </c>
      <c r="AC10" s="58">
        <v>372.83</v>
      </c>
      <c r="AD10" s="65">
        <f t="shared" si="12"/>
        <v>219.99999999997044</v>
      </c>
      <c r="AE10" s="58">
        <v>569.49</v>
      </c>
      <c r="AF10" s="65">
        <f t="shared" si="13"/>
        <v>259.99999999999091</v>
      </c>
      <c r="AG10" s="58">
        <v>4801</v>
      </c>
      <c r="AH10" s="67">
        <f t="shared" si="14"/>
        <v>30</v>
      </c>
      <c r="AI10" s="58">
        <v>620.13</v>
      </c>
      <c r="AJ10" s="65">
        <f t="shared" si="15"/>
        <v>580.00000000004093</v>
      </c>
      <c r="AK10" s="58">
        <v>206.45</v>
      </c>
      <c r="AL10" s="65">
        <f t="shared" si="15"/>
        <v>169.99999999998749</v>
      </c>
      <c r="AM10" s="58">
        <v>196.6</v>
      </c>
      <c r="AN10" s="65">
        <f t="shared" si="15"/>
        <v>169.99999999998749</v>
      </c>
      <c r="AO10" s="58">
        <v>190.49</v>
      </c>
      <c r="AP10" s="65">
        <f t="shared" si="15"/>
        <v>90.000000000003411</v>
      </c>
      <c r="AQ10" s="58">
        <v>248.59</v>
      </c>
      <c r="AR10" s="65">
        <f t="shared" si="16"/>
        <v>170.00000000001592</v>
      </c>
      <c r="AS10" s="58">
        <v>374.28</v>
      </c>
      <c r="AT10" s="65">
        <f t="shared" si="17"/>
        <v>229.99999999996135</v>
      </c>
      <c r="AU10" s="58">
        <v>286.29000000000002</v>
      </c>
      <c r="AV10" s="65">
        <f t="shared" si="18"/>
        <v>150.00000000003411</v>
      </c>
      <c r="AW10" s="58">
        <v>320.66000000000003</v>
      </c>
      <c r="AX10" s="65">
        <f t="shared" si="19"/>
        <v>40.000000000020464</v>
      </c>
      <c r="AY10" s="58">
        <v>361.97</v>
      </c>
      <c r="AZ10" s="65">
        <f t="shared" si="20"/>
        <v>50.000000000011369</v>
      </c>
      <c r="BA10" s="58">
        <v>381.44</v>
      </c>
      <c r="BB10" s="65">
        <f t="shared" si="21"/>
        <v>29.999999999972715</v>
      </c>
      <c r="BC10" s="58">
        <v>242.19</v>
      </c>
      <c r="BD10" s="65">
        <f t="shared" si="22"/>
        <v>90.000000000003411</v>
      </c>
      <c r="BE10" s="59">
        <v>40655</v>
      </c>
      <c r="BF10" s="67">
        <f t="shared" si="39"/>
        <v>28</v>
      </c>
      <c r="BG10" s="60">
        <v>234.54</v>
      </c>
      <c r="BH10" s="65">
        <f t="shared" si="23"/>
        <v>30.000000000001137</v>
      </c>
      <c r="BI10" s="60">
        <v>293.42</v>
      </c>
      <c r="BJ10" s="65">
        <f t="shared" si="40"/>
        <v>30.000000000029559</v>
      </c>
      <c r="BK10" s="60">
        <v>237.23</v>
      </c>
      <c r="BL10" s="65">
        <f t="shared" si="24"/>
        <v>30.000000000001137</v>
      </c>
      <c r="BM10" s="60">
        <v>224.19</v>
      </c>
      <c r="BN10" s="65">
        <f t="shared" si="25"/>
        <v>39.999999999992042</v>
      </c>
      <c r="BO10" s="60">
        <v>288.02999999999997</v>
      </c>
      <c r="BP10" s="65">
        <f t="shared" si="26"/>
        <v>29.999999999972715</v>
      </c>
      <c r="BQ10" s="60">
        <v>45538</v>
      </c>
      <c r="BR10" s="65">
        <f t="shared" si="27"/>
        <v>24</v>
      </c>
      <c r="BS10" s="60">
        <v>201.04</v>
      </c>
      <c r="BT10" s="65">
        <f t="shared" si="42"/>
        <v>30.000000000001137</v>
      </c>
      <c r="BU10" s="60">
        <v>41084</v>
      </c>
      <c r="BV10" s="65">
        <f t="shared" si="29"/>
        <v>39</v>
      </c>
      <c r="BW10" s="60">
        <v>232.17</v>
      </c>
      <c r="BX10" s="65">
        <f t="shared" si="30"/>
        <v>30.000000000001137</v>
      </c>
      <c r="BY10" s="60">
        <v>60788</v>
      </c>
      <c r="BZ10" s="67">
        <f t="shared" si="31"/>
        <v>52</v>
      </c>
      <c r="CA10" s="60">
        <v>32277.8</v>
      </c>
      <c r="CB10" s="67">
        <f t="shared" si="32"/>
        <v>37.299999999999272</v>
      </c>
      <c r="CC10" s="60">
        <v>12250.9</v>
      </c>
      <c r="CD10" s="67">
        <f t="shared" si="33"/>
        <v>6.2999999999992724</v>
      </c>
      <c r="CE10" s="60">
        <v>6468</v>
      </c>
      <c r="CF10" s="67">
        <f t="shared" si="34"/>
        <v>5</v>
      </c>
      <c r="CG10" s="60">
        <v>59876.5</v>
      </c>
      <c r="CH10" s="67">
        <f t="shared" si="35"/>
        <v>30.80000000000291</v>
      </c>
      <c r="CI10" s="60">
        <v>951401</v>
      </c>
      <c r="CJ10" s="67">
        <f t="shared" si="36"/>
        <v>200</v>
      </c>
      <c r="CK10" s="60">
        <v>770.08</v>
      </c>
      <c r="CL10" s="64">
        <f t="shared" si="37"/>
        <v>610.00000000001364</v>
      </c>
      <c r="CM10" s="65">
        <f t="shared" si="41"/>
        <v>58.200000000000728</v>
      </c>
      <c r="CN10" s="62">
        <v>14</v>
      </c>
      <c r="CO10" s="62">
        <v>31</v>
      </c>
      <c r="CP10" s="68">
        <v>10041</v>
      </c>
      <c r="CQ10" s="67">
        <f>IF((CP10-CP9&lt;0), "",CP10-CP9)</f>
        <v>40.200000000000728</v>
      </c>
      <c r="CR10" s="68">
        <v>14386</v>
      </c>
      <c r="CS10" s="67">
        <f t="shared" si="38"/>
        <v>18</v>
      </c>
      <c r="CT10" s="75">
        <v>6570</v>
      </c>
      <c r="CU10" s="67">
        <f t="shared" si="38"/>
        <v>12</v>
      </c>
      <c r="CV10" s="68">
        <v>15575</v>
      </c>
      <c r="CW10" s="67">
        <f t="shared" si="38"/>
        <v>22</v>
      </c>
    </row>
    <row r="11" spans="1:102" ht="25.5" customHeight="1" thickBot="1" x14ac:dyDescent="0.45">
      <c r="A11" s="63">
        <v>44385</v>
      </c>
      <c r="B11" s="44"/>
      <c r="C11" s="58">
        <v>2.3117999999999999</v>
      </c>
      <c r="D11" s="64">
        <f t="shared" si="0"/>
        <v>1799.9999999998017</v>
      </c>
      <c r="E11" s="58">
        <v>3.2911000000000001</v>
      </c>
      <c r="F11" s="64">
        <f t="shared" si="1"/>
        <v>2600.0000000001578</v>
      </c>
      <c r="G11" s="58">
        <v>3.3462999999999998</v>
      </c>
      <c r="H11" s="64">
        <f t="shared" si="2"/>
        <v>2399.9999999997358</v>
      </c>
      <c r="I11" s="58">
        <v>1.6513</v>
      </c>
      <c r="J11" s="64">
        <f t="shared" si="3"/>
        <v>1200.0000000000898</v>
      </c>
      <c r="K11" s="58">
        <v>2.6663999999999999</v>
      </c>
      <c r="L11" s="64">
        <f t="shared" si="4"/>
        <v>1799.9999999998017</v>
      </c>
      <c r="M11" s="58">
        <v>1.4681999999999999</v>
      </c>
      <c r="N11" s="64">
        <f t="shared" si="5"/>
        <v>899.99999999990087</v>
      </c>
      <c r="O11" s="58">
        <v>14451</v>
      </c>
      <c r="P11" s="67">
        <f t="shared" ref="P11:P34" si="44">IF((O11-O10&lt;0), "",O11-O10)</f>
        <v>4</v>
      </c>
      <c r="Q11" s="58">
        <v>1051</v>
      </c>
      <c r="R11" s="67">
        <f t="shared" si="6"/>
        <v>2</v>
      </c>
      <c r="S11" s="58">
        <v>1000000.7</v>
      </c>
      <c r="T11" s="67">
        <f t="shared" si="7"/>
        <v>54.099999999976717</v>
      </c>
      <c r="U11" s="58">
        <v>420589.5</v>
      </c>
      <c r="V11" s="67">
        <f t="shared" si="8"/>
        <v>287.79999999998836</v>
      </c>
      <c r="W11" s="58">
        <v>400.96</v>
      </c>
      <c r="X11" s="65">
        <f t="shared" si="9"/>
        <v>269.99999999998181</v>
      </c>
      <c r="Y11" s="58">
        <v>2.8767</v>
      </c>
      <c r="Z11" s="65">
        <f t="shared" si="10"/>
        <v>2299.9999999999686</v>
      </c>
      <c r="AA11" s="58">
        <v>399.05</v>
      </c>
      <c r="AB11" s="65">
        <f t="shared" si="11"/>
        <v>180.00000000000682</v>
      </c>
      <c r="AC11" s="58">
        <v>373.12</v>
      </c>
      <c r="AD11" s="65">
        <f t="shared" si="12"/>
        <v>290.00000000002046</v>
      </c>
      <c r="AE11" s="58">
        <v>569.83000000000004</v>
      </c>
      <c r="AF11" s="65">
        <f t="shared" si="13"/>
        <v>340.00000000003183</v>
      </c>
      <c r="AG11" s="58">
        <v>4828</v>
      </c>
      <c r="AH11" s="67">
        <f t="shared" si="14"/>
        <v>27</v>
      </c>
      <c r="AI11" s="58">
        <v>620.66</v>
      </c>
      <c r="AJ11" s="65">
        <f t="shared" si="15"/>
        <v>529.99999999997272</v>
      </c>
      <c r="AK11" s="58">
        <v>206.6</v>
      </c>
      <c r="AL11" s="65">
        <f t="shared" si="15"/>
        <v>150.00000000000568</v>
      </c>
      <c r="AM11" s="58">
        <v>196.75</v>
      </c>
      <c r="AN11" s="65">
        <f t="shared" si="15"/>
        <v>150.00000000000568</v>
      </c>
      <c r="AO11" s="58">
        <v>190.6</v>
      </c>
      <c r="AP11" s="65">
        <f t="shared" si="15"/>
        <v>109.99999999998522</v>
      </c>
      <c r="AQ11" s="58">
        <v>248.74</v>
      </c>
      <c r="AR11" s="65">
        <f t="shared" si="16"/>
        <v>150.00000000000568</v>
      </c>
      <c r="AS11" s="58">
        <v>374.49</v>
      </c>
      <c r="AT11" s="65">
        <f t="shared" si="17"/>
        <v>210.00000000003638</v>
      </c>
      <c r="AU11" s="58">
        <v>286.33999999999997</v>
      </c>
      <c r="AV11" s="65">
        <f t="shared" si="18"/>
        <v>49.999999999954525</v>
      </c>
      <c r="AW11" s="58">
        <v>320.70999999999998</v>
      </c>
      <c r="AX11" s="65">
        <f t="shared" si="19"/>
        <v>49.999999999954525</v>
      </c>
      <c r="AY11" s="58">
        <v>362.02</v>
      </c>
      <c r="AZ11" s="65">
        <f t="shared" si="20"/>
        <v>49.999999999954525</v>
      </c>
      <c r="BA11" s="58">
        <v>381.46</v>
      </c>
      <c r="BB11" s="65">
        <f t="shared" si="21"/>
        <v>19.99999999998181</v>
      </c>
      <c r="BC11" s="58">
        <v>242.26</v>
      </c>
      <c r="BD11" s="65">
        <f>IF((BC11-BC10&lt;0), "",(BC11-BC10)*1000)</f>
        <v>69.999999999993179</v>
      </c>
      <c r="BE11" s="59">
        <v>40698</v>
      </c>
      <c r="BF11" s="67">
        <f t="shared" si="39"/>
        <v>43</v>
      </c>
      <c r="BG11" s="60">
        <v>234.57</v>
      </c>
      <c r="BH11" s="65">
        <f t="shared" si="23"/>
        <v>30.000000000001137</v>
      </c>
      <c r="BI11" s="60">
        <v>293.44</v>
      </c>
      <c r="BJ11" s="65">
        <f t="shared" si="40"/>
        <v>19.99999999998181</v>
      </c>
      <c r="BK11" s="60">
        <v>237.27</v>
      </c>
      <c r="BL11" s="65">
        <f t="shared" si="24"/>
        <v>40.000000000020464</v>
      </c>
      <c r="BM11" s="60">
        <v>224.23</v>
      </c>
      <c r="BN11" s="65">
        <f t="shared" si="25"/>
        <v>39.999999999992042</v>
      </c>
      <c r="BO11" s="60">
        <v>288.06</v>
      </c>
      <c r="BP11" s="65">
        <f t="shared" si="26"/>
        <v>30.000000000029559</v>
      </c>
      <c r="BQ11" s="60">
        <v>45561</v>
      </c>
      <c r="BR11" s="65">
        <f t="shared" si="27"/>
        <v>23</v>
      </c>
      <c r="BS11" s="60">
        <v>201.07</v>
      </c>
      <c r="BT11" s="65">
        <f t="shared" si="42"/>
        <v>30.000000000001137</v>
      </c>
      <c r="BU11" s="60">
        <v>41123</v>
      </c>
      <c r="BV11" s="65">
        <f t="shared" si="29"/>
        <v>39</v>
      </c>
      <c r="BW11" s="60">
        <v>232.19</v>
      </c>
      <c r="BX11" s="65">
        <f t="shared" si="30"/>
        <v>20.000000000010232</v>
      </c>
      <c r="BY11" s="60">
        <v>60828</v>
      </c>
      <c r="BZ11" s="67">
        <f t="shared" si="31"/>
        <v>40</v>
      </c>
      <c r="CA11" s="60">
        <v>32320.400000000001</v>
      </c>
      <c r="CB11" s="67">
        <f t="shared" si="32"/>
        <v>42.600000000002183</v>
      </c>
      <c r="CC11" s="60">
        <v>12266</v>
      </c>
      <c r="CD11" s="67">
        <f t="shared" si="33"/>
        <v>15.100000000000364</v>
      </c>
      <c r="CE11" s="60">
        <v>6468</v>
      </c>
      <c r="CF11" s="67">
        <f t="shared" si="34"/>
        <v>0</v>
      </c>
      <c r="CG11" s="60">
        <v>59913.9</v>
      </c>
      <c r="CH11" s="67">
        <f t="shared" si="35"/>
        <v>37.400000000001455</v>
      </c>
      <c r="CI11" s="60">
        <v>951727</v>
      </c>
      <c r="CJ11" s="67">
        <f t="shared" si="36"/>
        <v>326</v>
      </c>
      <c r="CK11" s="60">
        <v>770.68</v>
      </c>
      <c r="CL11" s="64">
        <f t="shared" si="37"/>
        <v>599.99999999990905</v>
      </c>
      <c r="CM11" s="65">
        <f t="shared" si="41"/>
        <v>76.299999999999272</v>
      </c>
      <c r="CN11" s="62">
        <v>12</v>
      </c>
      <c r="CO11" s="62">
        <v>29</v>
      </c>
      <c r="CP11" s="68">
        <v>10089.299999999999</v>
      </c>
      <c r="CQ11" s="67">
        <f>IF((CP11-CP10&lt;0), "",CP11-CP10)</f>
        <v>48.299999999999272</v>
      </c>
      <c r="CR11" s="68">
        <v>14414</v>
      </c>
      <c r="CS11" s="67">
        <f t="shared" si="38"/>
        <v>28</v>
      </c>
      <c r="CT11" s="75">
        <v>6583</v>
      </c>
      <c r="CU11" s="67">
        <f t="shared" si="38"/>
        <v>13</v>
      </c>
      <c r="CV11" s="68">
        <v>15591</v>
      </c>
      <c r="CW11" s="67">
        <f t="shared" si="38"/>
        <v>16</v>
      </c>
    </row>
    <row r="12" spans="1:102" ht="25.5" customHeight="1" thickBot="1" x14ac:dyDescent="0.45">
      <c r="A12" s="63">
        <v>44386</v>
      </c>
      <c r="B12" s="44"/>
      <c r="C12" s="58">
        <v>2.3138000000000001</v>
      </c>
      <c r="D12" s="64">
        <f t="shared" si="0"/>
        <v>2000.0000000002237</v>
      </c>
      <c r="E12" s="58">
        <v>3.2938000000000001</v>
      </c>
      <c r="F12" s="64">
        <f t="shared" si="1"/>
        <v>2699.9999999999245</v>
      </c>
      <c r="G12" s="58">
        <v>3.3487</v>
      </c>
      <c r="H12" s="64">
        <f t="shared" si="2"/>
        <v>2400.0000000001796</v>
      </c>
      <c r="I12" s="58">
        <v>1.6525000000000001</v>
      </c>
      <c r="J12" s="64">
        <f t="shared" si="3"/>
        <v>1200.0000000000898</v>
      </c>
      <c r="K12" s="58">
        <v>2.6682999999999999</v>
      </c>
      <c r="L12" s="64">
        <f t="shared" si="4"/>
        <v>1900.0000000000127</v>
      </c>
      <c r="M12" s="58">
        <v>1.4693000000000001</v>
      </c>
      <c r="N12" s="64">
        <f t="shared" si="5"/>
        <v>1100.000000000101</v>
      </c>
      <c r="O12" s="58">
        <v>14452</v>
      </c>
      <c r="P12" s="67">
        <f t="shared" si="44"/>
        <v>1</v>
      </c>
      <c r="Q12" s="58">
        <v>1053</v>
      </c>
      <c r="R12" s="67">
        <f t="shared" si="6"/>
        <v>2</v>
      </c>
      <c r="S12" s="58">
        <v>1001000.4</v>
      </c>
      <c r="T12" s="67">
        <f t="shared" si="7"/>
        <v>999.70000000006985</v>
      </c>
      <c r="U12" s="58">
        <v>420885.4</v>
      </c>
      <c r="V12" s="67">
        <f t="shared" si="8"/>
        <v>295.90000000002328</v>
      </c>
      <c r="W12" s="58">
        <v>401.21</v>
      </c>
      <c r="X12" s="65">
        <f t="shared" si="9"/>
        <v>250</v>
      </c>
      <c r="Y12" s="58">
        <v>2.8791000000000002</v>
      </c>
      <c r="Z12" s="65">
        <f t="shared" si="10"/>
        <v>2400.0000000001796</v>
      </c>
      <c r="AA12" s="58">
        <v>399.33</v>
      </c>
      <c r="AB12" s="65">
        <f t="shared" si="11"/>
        <v>279.99999999997272</v>
      </c>
      <c r="AC12" s="58">
        <v>373.46</v>
      </c>
      <c r="AD12" s="65">
        <f t="shared" si="12"/>
        <v>339.99999999997499</v>
      </c>
      <c r="AE12" s="58">
        <v>570.22</v>
      </c>
      <c r="AF12" s="65">
        <f t="shared" si="13"/>
        <v>389.99999999998636</v>
      </c>
      <c r="AG12" s="58">
        <v>4863</v>
      </c>
      <c r="AH12" s="67">
        <f t="shared" si="14"/>
        <v>35</v>
      </c>
      <c r="AI12" s="58">
        <v>621.33000000000004</v>
      </c>
      <c r="AJ12" s="65">
        <f t="shared" si="15"/>
        <v>670.00000000007276</v>
      </c>
      <c r="AK12" s="58">
        <v>206.8</v>
      </c>
      <c r="AL12" s="65">
        <f t="shared" si="15"/>
        <v>200.00000000001705</v>
      </c>
      <c r="AM12" s="58">
        <v>196.85</v>
      </c>
      <c r="AN12" s="65">
        <f t="shared" si="15"/>
        <v>99.999999999994316</v>
      </c>
      <c r="AO12" s="58">
        <v>190.71</v>
      </c>
      <c r="AP12" s="65">
        <f t="shared" si="15"/>
        <v>110.00000000001364</v>
      </c>
      <c r="AQ12" s="58">
        <v>248.93</v>
      </c>
      <c r="AR12" s="65">
        <f t="shared" si="16"/>
        <v>189.99999999999773</v>
      </c>
      <c r="AS12" s="58">
        <v>374.7</v>
      </c>
      <c r="AT12" s="65">
        <f t="shared" si="17"/>
        <v>209.99999999997954</v>
      </c>
      <c r="AU12" s="58">
        <v>286.44</v>
      </c>
      <c r="AV12" s="65">
        <f t="shared" si="18"/>
        <v>100.00000000002274</v>
      </c>
      <c r="AW12" s="58">
        <v>320.76</v>
      </c>
      <c r="AX12" s="65">
        <f t="shared" si="19"/>
        <v>50.000000000011369</v>
      </c>
      <c r="AY12" s="58">
        <v>362.07</v>
      </c>
      <c r="AZ12" s="65">
        <f t="shared" si="20"/>
        <v>50.000000000011369</v>
      </c>
      <c r="BA12" s="58">
        <v>381.49</v>
      </c>
      <c r="BB12" s="65">
        <f t="shared" si="21"/>
        <v>30.000000000029559</v>
      </c>
      <c r="BC12" s="58">
        <v>242.35</v>
      </c>
      <c r="BD12" s="65">
        <f t="shared" si="22"/>
        <v>90.000000000003411</v>
      </c>
      <c r="BE12" s="59">
        <v>40727</v>
      </c>
      <c r="BF12" s="67">
        <f t="shared" si="39"/>
        <v>29</v>
      </c>
      <c r="BG12" s="60">
        <v>234.6</v>
      </c>
      <c r="BH12" s="65">
        <f t="shared" si="23"/>
        <v>30.000000000001137</v>
      </c>
      <c r="BI12" s="60">
        <v>293.47000000000003</v>
      </c>
      <c r="BJ12" s="65">
        <f t="shared" si="40"/>
        <v>30.000000000029559</v>
      </c>
      <c r="BK12" s="60">
        <v>237.3</v>
      </c>
      <c r="BL12" s="65">
        <f t="shared" si="24"/>
        <v>30.000000000001137</v>
      </c>
      <c r="BM12" s="60">
        <v>224.26</v>
      </c>
      <c r="BN12" s="65">
        <f t="shared" si="25"/>
        <v>30.000000000001137</v>
      </c>
      <c r="BO12" s="60">
        <v>288.08999999999997</v>
      </c>
      <c r="BP12" s="65">
        <f t="shared" si="26"/>
        <v>29.999999999972715</v>
      </c>
      <c r="BQ12" s="60">
        <v>45581</v>
      </c>
      <c r="BR12" s="65">
        <f t="shared" si="27"/>
        <v>20</v>
      </c>
      <c r="BS12" s="60">
        <v>201.1</v>
      </c>
      <c r="BT12" s="65">
        <f t="shared" si="42"/>
        <v>30.000000000001137</v>
      </c>
      <c r="BU12" s="60">
        <v>41162</v>
      </c>
      <c r="BV12" s="65">
        <f t="shared" si="29"/>
        <v>39</v>
      </c>
      <c r="BW12" s="60">
        <v>232.21</v>
      </c>
      <c r="BX12" s="65">
        <f t="shared" si="30"/>
        <v>20.000000000010232</v>
      </c>
      <c r="BY12" s="60">
        <v>60865</v>
      </c>
      <c r="BZ12" s="67">
        <f t="shared" si="31"/>
        <v>37</v>
      </c>
      <c r="CA12" s="60">
        <v>32358.400000000001</v>
      </c>
      <c r="CB12" s="67">
        <f t="shared" si="32"/>
        <v>38</v>
      </c>
      <c r="CC12" s="60">
        <v>12274.7</v>
      </c>
      <c r="CD12" s="67">
        <f t="shared" si="33"/>
        <v>8.7000000000007276</v>
      </c>
      <c r="CE12" s="60">
        <v>6468.7</v>
      </c>
      <c r="CF12" s="67">
        <f t="shared" si="34"/>
        <v>0.6999999999998181</v>
      </c>
      <c r="CG12" s="60">
        <v>59944.5</v>
      </c>
      <c r="CH12" s="67">
        <f t="shared" si="35"/>
        <v>30.599999999998545</v>
      </c>
      <c r="CI12" s="60">
        <v>951995</v>
      </c>
      <c r="CJ12" s="67">
        <f t="shared" si="36"/>
        <v>268</v>
      </c>
      <c r="CK12" s="60">
        <v>771.27</v>
      </c>
      <c r="CL12" s="64">
        <f t="shared" si="37"/>
        <v>590.00000000003183</v>
      </c>
      <c r="CM12" s="65">
        <f t="shared" si="41"/>
        <v>73.900000000001455</v>
      </c>
      <c r="CN12" s="62">
        <v>12</v>
      </c>
      <c r="CO12" s="62">
        <v>29</v>
      </c>
      <c r="CP12" s="68">
        <v>10143.200000000001</v>
      </c>
      <c r="CQ12" s="67">
        <f>IF((CP12-CP11&lt;0), "",CP12-CP11)</f>
        <v>53.900000000001455</v>
      </c>
      <c r="CR12" s="68">
        <v>14434</v>
      </c>
      <c r="CS12" s="67">
        <f t="shared" si="38"/>
        <v>20</v>
      </c>
      <c r="CT12" s="75">
        <v>6594</v>
      </c>
      <c r="CU12" s="67">
        <f t="shared" si="38"/>
        <v>11</v>
      </c>
      <c r="CV12" s="68">
        <v>15624</v>
      </c>
      <c r="CW12" s="67">
        <f t="shared" si="38"/>
        <v>33</v>
      </c>
    </row>
    <row r="13" spans="1:102" ht="25.5" customHeight="1" thickBot="1" x14ac:dyDescent="0.45">
      <c r="A13" s="63">
        <v>44387</v>
      </c>
      <c r="B13" s="44"/>
      <c r="C13" s="58">
        <v>2.3159000000000001</v>
      </c>
      <c r="D13" s="64">
        <f t="shared" si="0"/>
        <v>2099.9999999999909</v>
      </c>
      <c r="E13" s="58">
        <v>3.2964000000000002</v>
      </c>
      <c r="F13" s="64">
        <f t="shared" si="1"/>
        <v>2600.0000000001578</v>
      </c>
      <c r="G13" s="58">
        <v>3.3513999999999999</v>
      </c>
      <c r="H13" s="64">
        <f t="shared" si="2"/>
        <v>2699.9999999999245</v>
      </c>
      <c r="I13" s="58">
        <v>1.6537999999999999</v>
      </c>
      <c r="J13" s="64">
        <f t="shared" si="3"/>
        <v>1299.9999999998568</v>
      </c>
      <c r="K13" s="58">
        <v>2.6701000000000001</v>
      </c>
      <c r="L13" s="64">
        <f t="shared" si="4"/>
        <v>1800.0000000002458</v>
      </c>
      <c r="M13" s="58">
        <v>1.4702999999999999</v>
      </c>
      <c r="N13" s="64">
        <f t="shared" si="5"/>
        <v>999.99999999988984</v>
      </c>
      <c r="O13" s="58">
        <v>14457</v>
      </c>
      <c r="P13" s="67">
        <f t="shared" si="44"/>
        <v>5</v>
      </c>
      <c r="Q13" s="58">
        <v>1056</v>
      </c>
      <c r="R13" s="67">
        <f t="shared" si="6"/>
        <v>3</v>
      </c>
      <c r="S13" s="58">
        <v>1001500</v>
      </c>
      <c r="T13" s="67">
        <f t="shared" si="7"/>
        <v>499.59999999997672</v>
      </c>
      <c r="U13" s="58">
        <v>421005.2</v>
      </c>
      <c r="V13" s="67">
        <f t="shared" si="8"/>
        <v>119.79999999998836</v>
      </c>
      <c r="W13" s="58">
        <v>401.47</v>
      </c>
      <c r="X13" s="65">
        <f t="shared" si="9"/>
        <v>260.00000000004775</v>
      </c>
      <c r="Y13" s="58">
        <v>2.8815</v>
      </c>
      <c r="Z13" s="65">
        <f t="shared" si="10"/>
        <v>2399.9999999997358</v>
      </c>
      <c r="AA13" s="58">
        <v>399.53</v>
      </c>
      <c r="AB13" s="65">
        <f t="shared" si="11"/>
        <v>199.99999999998863</v>
      </c>
      <c r="AC13" s="58">
        <v>373.8</v>
      </c>
      <c r="AD13" s="65">
        <f t="shared" si="12"/>
        <v>340.00000000003183</v>
      </c>
      <c r="AE13" s="58">
        <v>570.53</v>
      </c>
      <c r="AF13" s="65">
        <f t="shared" si="13"/>
        <v>309.99999999994543</v>
      </c>
      <c r="AG13" s="58">
        <v>4898</v>
      </c>
      <c r="AH13" s="67">
        <f t="shared" si="14"/>
        <v>35</v>
      </c>
      <c r="AI13" s="58">
        <v>622.17999999999995</v>
      </c>
      <c r="AJ13" s="65">
        <f t="shared" si="15"/>
        <v>849.99999999990905</v>
      </c>
      <c r="AK13" s="58">
        <v>206.94</v>
      </c>
      <c r="AL13" s="65">
        <f t="shared" si="15"/>
        <v>139.99999999998636</v>
      </c>
      <c r="AM13" s="58">
        <v>196.95</v>
      </c>
      <c r="AN13" s="65">
        <f t="shared" si="15"/>
        <v>99.999999999994316</v>
      </c>
      <c r="AO13" s="58">
        <v>190.79</v>
      </c>
      <c r="AP13" s="65">
        <f t="shared" si="15"/>
        <v>79.999999999984084</v>
      </c>
      <c r="AQ13" s="58">
        <v>249.14</v>
      </c>
      <c r="AR13" s="65">
        <f t="shared" si="16"/>
        <v>209.99999999997954</v>
      </c>
      <c r="AS13" s="58">
        <v>374.88</v>
      </c>
      <c r="AT13" s="65">
        <f t="shared" si="17"/>
        <v>180.00000000000682</v>
      </c>
      <c r="AU13" s="58">
        <v>286.5</v>
      </c>
      <c r="AV13" s="65">
        <f t="shared" si="18"/>
        <v>60.000000000002274</v>
      </c>
      <c r="AW13" s="58">
        <v>320.8</v>
      </c>
      <c r="AX13" s="65">
        <f t="shared" si="19"/>
        <v>40.000000000020464</v>
      </c>
      <c r="AY13" s="58">
        <v>362.12</v>
      </c>
      <c r="AZ13" s="65">
        <f t="shared" si="20"/>
        <v>50.000000000011369</v>
      </c>
      <c r="BA13" s="58">
        <v>381.51</v>
      </c>
      <c r="BB13" s="65">
        <f t="shared" si="21"/>
        <v>19.99999999998181</v>
      </c>
      <c r="BC13" s="58">
        <v>242.49</v>
      </c>
      <c r="BD13" s="65">
        <f t="shared" si="22"/>
        <v>140.00000000001478</v>
      </c>
      <c r="BE13" s="59">
        <v>40748</v>
      </c>
      <c r="BF13" s="67">
        <f t="shared" si="39"/>
        <v>21</v>
      </c>
      <c r="BG13" s="60">
        <v>234.65</v>
      </c>
      <c r="BH13" s="65">
        <f t="shared" si="23"/>
        <v>50.000000000011369</v>
      </c>
      <c r="BI13" s="60">
        <v>293.51</v>
      </c>
      <c r="BJ13" s="65">
        <f t="shared" si="40"/>
        <v>39.99999999996362</v>
      </c>
      <c r="BK13" s="60">
        <v>237.33</v>
      </c>
      <c r="BL13" s="65">
        <f t="shared" si="24"/>
        <v>30.000000000001137</v>
      </c>
      <c r="BM13" s="60">
        <v>224.3</v>
      </c>
      <c r="BN13" s="65">
        <f t="shared" si="25"/>
        <v>40.000000000020464</v>
      </c>
      <c r="BO13" s="60">
        <v>288.13</v>
      </c>
      <c r="BP13" s="65">
        <f t="shared" si="26"/>
        <v>40.000000000020464</v>
      </c>
      <c r="BQ13" s="60">
        <v>45609</v>
      </c>
      <c r="BR13" s="65">
        <f t="shared" si="27"/>
        <v>28</v>
      </c>
      <c r="BS13" s="60">
        <v>201.13</v>
      </c>
      <c r="BT13" s="65">
        <f t="shared" si="42"/>
        <v>30.000000000001137</v>
      </c>
      <c r="BU13" s="60">
        <v>41203</v>
      </c>
      <c r="BV13" s="65">
        <f t="shared" si="29"/>
        <v>41</v>
      </c>
      <c r="BW13" s="60">
        <v>232.24</v>
      </c>
      <c r="BX13" s="65">
        <f t="shared" si="30"/>
        <v>30.000000000001137</v>
      </c>
      <c r="BY13" s="60">
        <v>60906</v>
      </c>
      <c r="BZ13" s="67">
        <f t="shared" si="31"/>
        <v>41</v>
      </c>
      <c r="CA13" s="60">
        <v>32390.6</v>
      </c>
      <c r="CB13" s="67">
        <f t="shared" si="32"/>
        <v>32.19999999999709</v>
      </c>
      <c r="CC13" s="60">
        <v>12283</v>
      </c>
      <c r="CD13" s="67">
        <f t="shared" si="33"/>
        <v>8.2999999999992724</v>
      </c>
      <c r="CE13" s="60">
        <v>6473</v>
      </c>
      <c r="CF13" s="67">
        <f t="shared" si="34"/>
        <v>4.3000000000001819</v>
      </c>
      <c r="CG13" s="60">
        <v>59984.2</v>
      </c>
      <c r="CH13" s="67">
        <f t="shared" si="35"/>
        <v>39.69999999999709</v>
      </c>
      <c r="CI13" s="60">
        <v>952287</v>
      </c>
      <c r="CJ13" s="67">
        <f t="shared" si="36"/>
        <v>292</v>
      </c>
      <c r="CK13" s="60">
        <v>771.94</v>
      </c>
      <c r="CL13" s="64">
        <f t="shared" si="37"/>
        <v>670.00000000007276</v>
      </c>
      <c r="CM13" s="65">
        <f t="shared" si="41"/>
        <v>76.799999999999272</v>
      </c>
      <c r="CN13" s="62">
        <v>14</v>
      </c>
      <c r="CO13" s="62">
        <v>46</v>
      </c>
      <c r="CP13" s="68">
        <v>10204</v>
      </c>
      <c r="CQ13" s="67">
        <f>IF((CP13-CP12&lt;0), "",CP13-CP12)</f>
        <v>60.799999999999272</v>
      </c>
      <c r="CR13" s="68">
        <v>14450</v>
      </c>
      <c r="CS13" s="67">
        <f t="shared" si="38"/>
        <v>16</v>
      </c>
      <c r="CT13" s="75">
        <v>6607</v>
      </c>
      <c r="CU13" s="67">
        <f t="shared" si="38"/>
        <v>13</v>
      </c>
      <c r="CV13" s="68">
        <v>15664</v>
      </c>
      <c r="CW13" s="67">
        <f t="shared" si="38"/>
        <v>40</v>
      </c>
    </row>
    <row r="14" spans="1:102" ht="25.5" customHeight="1" thickBot="1" x14ac:dyDescent="0.45">
      <c r="A14" s="63">
        <v>44388</v>
      </c>
      <c r="B14" s="44"/>
      <c r="C14" s="58">
        <v>2.3178999999999998</v>
      </c>
      <c r="D14" s="64">
        <f t="shared" si="0"/>
        <v>1999.9999999997797</v>
      </c>
      <c r="E14" s="58">
        <v>3.2989999999999999</v>
      </c>
      <c r="F14" s="64">
        <f t="shared" si="1"/>
        <v>2599.9999999997135</v>
      </c>
      <c r="G14" s="58">
        <v>3.3538000000000001</v>
      </c>
      <c r="H14" s="64">
        <f t="shared" si="2"/>
        <v>2400.0000000001796</v>
      </c>
      <c r="I14" s="58">
        <v>1.655</v>
      </c>
      <c r="J14" s="64">
        <f t="shared" si="3"/>
        <v>1200.0000000000898</v>
      </c>
      <c r="K14" s="58">
        <v>2.6718999999999999</v>
      </c>
      <c r="L14" s="64">
        <f t="shared" si="4"/>
        <v>1799.9999999998017</v>
      </c>
      <c r="M14" s="58">
        <v>1.4713000000000001</v>
      </c>
      <c r="N14" s="64">
        <f t="shared" si="5"/>
        <v>1000.0000000001119</v>
      </c>
      <c r="O14" s="58">
        <v>14464</v>
      </c>
      <c r="P14" s="67">
        <f t="shared" si="44"/>
        <v>7</v>
      </c>
      <c r="Q14" s="58">
        <v>1058</v>
      </c>
      <c r="R14" s="67">
        <f t="shared" si="6"/>
        <v>2</v>
      </c>
      <c r="S14" s="79">
        <v>1003600</v>
      </c>
      <c r="T14" s="67">
        <f t="shared" si="7"/>
        <v>2100</v>
      </c>
      <c r="U14" s="58">
        <v>421497.7</v>
      </c>
      <c r="V14" s="67">
        <f t="shared" si="8"/>
        <v>492.5</v>
      </c>
      <c r="W14" s="58">
        <v>401.74</v>
      </c>
      <c r="X14" s="65">
        <f t="shared" si="9"/>
        <v>269.99999999998181</v>
      </c>
      <c r="Y14" s="58">
        <v>2.8837000000000002</v>
      </c>
      <c r="Z14" s="65">
        <f t="shared" si="10"/>
        <v>2200.0000000002019</v>
      </c>
      <c r="AA14" s="58">
        <v>399.85</v>
      </c>
      <c r="AB14" s="65">
        <f t="shared" si="11"/>
        <v>320.00000000005002</v>
      </c>
      <c r="AC14" s="58">
        <v>374.08</v>
      </c>
      <c r="AD14" s="65">
        <f t="shared" si="12"/>
        <v>279.99999999997272</v>
      </c>
      <c r="AE14" s="58">
        <v>570.85</v>
      </c>
      <c r="AF14" s="65">
        <f t="shared" si="13"/>
        <v>320.00000000005002</v>
      </c>
      <c r="AG14" s="58">
        <v>4933</v>
      </c>
      <c r="AH14" s="67">
        <f t="shared" si="14"/>
        <v>35</v>
      </c>
      <c r="AI14" s="58">
        <v>622.97</v>
      </c>
      <c r="AJ14" s="65">
        <f t="shared" si="15"/>
        <v>790.00000000007731</v>
      </c>
      <c r="AK14" s="58">
        <v>207.13</v>
      </c>
      <c r="AL14" s="65">
        <f t="shared" si="15"/>
        <v>189.99999999999773</v>
      </c>
      <c r="AM14" s="58">
        <v>197.06</v>
      </c>
      <c r="AN14" s="65">
        <f t="shared" si="15"/>
        <v>110.00000000001364</v>
      </c>
      <c r="AO14" s="58">
        <v>190.9</v>
      </c>
      <c r="AP14" s="65">
        <f t="shared" si="15"/>
        <v>110.00000000001364</v>
      </c>
      <c r="AQ14" s="58">
        <v>249.32</v>
      </c>
      <c r="AR14" s="65">
        <f t="shared" si="16"/>
        <v>180.00000000000682</v>
      </c>
      <c r="AS14" s="58">
        <v>375.05</v>
      </c>
      <c r="AT14" s="65">
        <f t="shared" si="17"/>
        <v>170.00000000001592</v>
      </c>
      <c r="AU14" s="58">
        <v>286.54000000000002</v>
      </c>
      <c r="AV14" s="65">
        <f t="shared" si="18"/>
        <v>40.000000000020464</v>
      </c>
      <c r="AW14" s="58">
        <v>320.83</v>
      </c>
      <c r="AX14" s="65">
        <f t="shared" si="19"/>
        <v>29.999999999972715</v>
      </c>
      <c r="AY14" s="58">
        <v>362.15</v>
      </c>
      <c r="AZ14" s="65">
        <f t="shared" si="20"/>
        <v>29.999999999972715</v>
      </c>
      <c r="BA14" s="58">
        <v>381.53</v>
      </c>
      <c r="BB14" s="65">
        <f t="shared" si="21"/>
        <v>19.99999999998181</v>
      </c>
      <c r="BC14" s="58">
        <v>242.63</v>
      </c>
      <c r="BD14" s="65">
        <f t="shared" si="22"/>
        <v>139.99999999998636</v>
      </c>
      <c r="BE14" s="59">
        <v>40778</v>
      </c>
      <c r="BF14" s="67">
        <f t="shared" si="39"/>
        <v>30</v>
      </c>
      <c r="BG14" s="60">
        <v>234.68</v>
      </c>
      <c r="BH14" s="65">
        <f t="shared" si="23"/>
        <v>30.000000000001137</v>
      </c>
      <c r="BI14" s="60">
        <v>293.52999999999997</v>
      </c>
      <c r="BJ14" s="65">
        <f t="shared" si="40"/>
        <v>19.99999999998181</v>
      </c>
      <c r="BK14" s="60">
        <v>237.35</v>
      </c>
      <c r="BL14" s="65">
        <f t="shared" si="24"/>
        <v>19.99999999998181</v>
      </c>
      <c r="BM14" s="60">
        <v>224.34</v>
      </c>
      <c r="BN14" s="65">
        <f t="shared" si="25"/>
        <v>39.999999999992042</v>
      </c>
      <c r="BO14" s="60">
        <v>288.14999999999998</v>
      </c>
      <c r="BP14" s="65">
        <f t="shared" si="26"/>
        <v>19.99999999998181</v>
      </c>
      <c r="BQ14" s="60">
        <v>45630</v>
      </c>
      <c r="BR14" s="65">
        <f t="shared" si="27"/>
        <v>21</v>
      </c>
      <c r="BS14" s="60">
        <v>201.16</v>
      </c>
      <c r="BT14" s="65">
        <f t="shared" si="42"/>
        <v>30.000000000001137</v>
      </c>
      <c r="BU14" s="60">
        <v>41238</v>
      </c>
      <c r="BV14" s="65">
        <f t="shared" si="29"/>
        <v>35</v>
      </c>
      <c r="BW14" s="60">
        <v>232.27</v>
      </c>
      <c r="BX14" s="65">
        <f t="shared" si="30"/>
        <v>30.000000000001137</v>
      </c>
      <c r="BY14" s="60">
        <v>60944</v>
      </c>
      <c r="BZ14" s="67">
        <f t="shared" si="31"/>
        <v>38</v>
      </c>
      <c r="CA14" s="60">
        <v>32420.9</v>
      </c>
      <c r="CB14" s="67">
        <f t="shared" si="32"/>
        <v>30.30000000000291</v>
      </c>
      <c r="CC14" s="60">
        <v>12293</v>
      </c>
      <c r="CD14" s="67">
        <f t="shared" si="33"/>
        <v>10</v>
      </c>
      <c r="CE14" s="60">
        <v>6478</v>
      </c>
      <c r="CF14" s="67">
        <f t="shared" si="34"/>
        <v>5</v>
      </c>
      <c r="CG14" s="60">
        <v>60024.5</v>
      </c>
      <c r="CH14" s="67">
        <f t="shared" si="35"/>
        <v>40.30000000000291</v>
      </c>
      <c r="CI14" s="60">
        <v>952562</v>
      </c>
      <c r="CJ14" s="67">
        <f t="shared" si="36"/>
        <v>275</v>
      </c>
      <c r="CK14" s="60">
        <v>772.5</v>
      </c>
      <c r="CL14" s="64">
        <f t="shared" si="37"/>
        <v>559.99999999994543</v>
      </c>
      <c r="CM14" s="65">
        <f t="shared" si="41"/>
        <v>78</v>
      </c>
      <c r="CN14" s="62">
        <v>13</v>
      </c>
      <c r="CO14" s="62">
        <v>45</v>
      </c>
      <c r="CP14" s="68">
        <v>10252</v>
      </c>
      <c r="CQ14" s="67">
        <f t="shared" si="38"/>
        <v>48</v>
      </c>
      <c r="CR14" s="68">
        <v>14480</v>
      </c>
      <c r="CS14" s="67">
        <f t="shared" si="38"/>
        <v>30</v>
      </c>
      <c r="CT14" s="75">
        <v>6617</v>
      </c>
      <c r="CU14" s="67">
        <f t="shared" si="38"/>
        <v>10</v>
      </c>
      <c r="CV14" s="68">
        <v>15696</v>
      </c>
      <c r="CW14" s="67">
        <f t="shared" si="38"/>
        <v>32</v>
      </c>
    </row>
    <row r="15" spans="1:102" ht="25.5" customHeight="1" thickBot="1" x14ac:dyDescent="0.45">
      <c r="A15" s="63">
        <v>44389</v>
      </c>
      <c r="B15" s="44"/>
      <c r="C15" s="58">
        <v>2.3201000000000001</v>
      </c>
      <c r="D15" s="64">
        <f t="shared" si="0"/>
        <v>2200.0000000002019</v>
      </c>
      <c r="E15" s="58">
        <v>3.3016000000000001</v>
      </c>
      <c r="F15" s="64">
        <f t="shared" si="1"/>
        <v>2600.0000000001578</v>
      </c>
      <c r="G15" s="58">
        <v>3.3563000000000001</v>
      </c>
      <c r="H15" s="64">
        <f t="shared" si="2"/>
        <v>2499.9999999999468</v>
      </c>
      <c r="I15" s="58">
        <v>1.6561999999999999</v>
      </c>
      <c r="J15" s="64">
        <f t="shared" si="3"/>
        <v>1199.9999999998679</v>
      </c>
      <c r="K15" s="58">
        <v>2.6737000000000002</v>
      </c>
      <c r="L15" s="64">
        <f t="shared" si="4"/>
        <v>1800.0000000002458</v>
      </c>
      <c r="M15" s="58">
        <v>1.4722999999999999</v>
      </c>
      <c r="N15" s="64">
        <f t="shared" si="5"/>
        <v>999.99999999988984</v>
      </c>
      <c r="O15" s="58">
        <v>14468</v>
      </c>
      <c r="P15" s="67">
        <f t="shared" si="44"/>
        <v>4</v>
      </c>
      <c r="Q15" s="58">
        <v>1060</v>
      </c>
      <c r="R15" s="67">
        <f t="shared" si="6"/>
        <v>2</v>
      </c>
      <c r="S15" s="58">
        <v>1003900</v>
      </c>
      <c r="T15" s="67">
        <f t="shared" si="7"/>
        <v>300</v>
      </c>
      <c r="U15" s="58">
        <v>421804.7</v>
      </c>
      <c r="V15" s="67">
        <f t="shared" si="8"/>
        <v>307</v>
      </c>
      <c r="W15" s="58">
        <v>402</v>
      </c>
      <c r="X15" s="65">
        <f t="shared" si="9"/>
        <v>259.99999999999091</v>
      </c>
      <c r="Y15" s="58">
        <v>2.8860999999999999</v>
      </c>
      <c r="Z15" s="65">
        <f t="shared" si="10"/>
        <v>2399.9999999997358</v>
      </c>
      <c r="AA15" s="58">
        <v>400.06</v>
      </c>
      <c r="AB15" s="65">
        <f t="shared" si="11"/>
        <v>209.99999999997954</v>
      </c>
      <c r="AC15" s="58">
        <v>374.37</v>
      </c>
      <c r="AD15" s="65">
        <f t="shared" si="12"/>
        <v>290.00000000002046</v>
      </c>
      <c r="AE15" s="58">
        <v>571.22</v>
      </c>
      <c r="AF15" s="65">
        <f t="shared" si="13"/>
        <v>370.00000000000455</v>
      </c>
      <c r="AG15" s="58">
        <v>4968</v>
      </c>
      <c r="AH15" s="67">
        <f t="shared" si="14"/>
        <v>35</v>
      </c>
      <c r="AI15" s="58">
        <v>623.77</v>
      </c>
      <c r="AJ15" s="65">
        <f t="shared" si="15"/>
        <v>799.99999999995453</v>
      </c>
      <c r="AK15" s="58">
        <v>207.3</v>
      </c>
      <c r="AL15" s="65">
        <f t="shared" si="15"/>
        <v>170.00000000001592</v>
      </c>
      <c r="AM15" s="58">
        <v>197.16</v>
      </c>
      <c r="AN15" s="65">
        <f t="shared" si="15"/>
        <v>99.999999999994316</v>
      </c>
      <c r="AO15" s="58">
        <v>191.01</v>
      </c>
      <c r="AP15" s="65">
        <f t="shared" si="15"/>
        <v>109.99999999998522</v>
      </c>
      <c r="AQ15" s="58">
        <v>249.51</v>
      </c>
      <c r="AR15" s="65">
        <f t="shared" si="16"/>
        <v>189.99999999999773</v>
      </c>
      <c r="AS15" s="58">
        <v>375.25</v>
      </c>
      <c r="AT15" s="65">
        <f t="shared" si="17"/>
        <v>199.99999999998863</v>
      </c>
      <c r="AU15" s="58">
        <v>286.58</v>
      </c>
      <c r="AV15" s="65">
        <f t="shared" si="18"/>
        <v>39.99999999996362</v>
      </c>
      <c r="AW15" s="58">
        <v>320.87</v>
      </c>
      <c r="AX15" s="65">
        <f t="shared" si="19"/>
        <v>40.000000000020464</v>
      </c>
      <c r="AY15" s="58">
        <v>362.2</v>
      </c>
      <c r="AZ15" s="65">
        <f t="shared" si="20"/>
        <v>50.000000000011369</v>
      </c>
      <c r="BA15" s="58">
        <v>381.55</v>
      </c>
      <c r="BB15" s="65">
        <f t="shared" si="21"/>
        <v>20.000000000038654</v>
      </c>
      <c r="BC15" s="58">
        <v>242.79</v>
      </c>
      <c r="BD15" s="65">
        <f t="shared" si="22"/>
        <v>159.99999999999659</v>
      </c>
      <c r="BE15" s="59">
        <v>40810</v>
      </c>
      <c r="BF15" s="67">
        <f t="shared" si="39"/>
        <v>32</v>
      </c>
      <c r="BG15" s="60">
        <v>234.73</v>
      </c>
      <c r="BH15" s="65">
        <f t="shared" si="23"/>
        <v>49.999999999982947</v>
      </c>
      <c r="BI15" s="60">
        <v>293.56</v>
      </c>
      <c r="BJ15" s="65">
        <f t="shared" si="40"/>
        <v>30.000000000029559</v>
      </c>
      <c r="BK15" s="60">
        <v>237.38</v>
      </c>
      <c r="BL15" s="65">
        <f t="shared" si="24"/>
        <v>30.000000000001137</v>
      </c>
      <c r="BM15" s="60">
        <v>224.38</v>
      </c>
      <c r="BN15" s="65">
        <f t="shared" si="25"/>
        <v>39.999999999992042</v>
      </c>
      <c r="BO15" s="60">
        <v>288.18</v>
      </c>
      <c r="BP15" s="65">
        <f t="shared" si="26"/>
        <v>30.000000000029559</v>
      </c>
      <c r="BQ15" s="60">
        <v>45652</v>
      </c>
      <c r="BR15" s="65">
        <f t="shared" si="27"/>
        <v>22</v>
      </c>
      <c r="BS15" s="60">
        <v>201.19</v>
      </c>
      <c r="BT15" s="65">
        <f t="shared" si="42"/>
        <v>30.000000000001137</v>
      </c>
      <c r="BU15" s="60">
        <v>41281</v>
      </c>
      <c r="BV15" s="65">
        <f t="shared" si="29"/>
        <v>43</v>
      </c>
      <c r="BW15" s="60">
        <v>232.29</v>
      </c>
      <c r="BX15" s="65">
        <f t="shared" si="30"/>
        <v>19.99999999998181</v>
      </c>
      <c r="BY15" s="60">
        <v>60987</v>
      </c>
      <c r="BZ15" s="67">
        <f t="shared" si="31"/>
        <v>43</v>
      </c>
      <c r="CA15" s="60">
        <v>32456.6</v>
      </c>
      <c r="CB15" s="67">
        <f t="shared" si="32"/>
        <v>35.69999999999709</v>
      </c>
      <c r="CC15" s="60">
        <v>12300.5</v>
      </c>
      <c r="CD15" s="67">
        <f t="shared" si="33"/>
        <v>7.5</v>
      </c>
      <c r="CE15" s="60">
        <v>6478</v>
      </c>
      <c r="CF15" s="67">
        <f t="shared" si="34"/>
        <v>0</v>
      </c>
      <c r="CG15" s="60">
        <v>60062.8</v>
      </c>
      <c r="CH15" s="67">
        <f t="shared" si="35"/>
        <v>38.30000000000291</v>
      </c>
      <c r="CI15" s="60">
        <v>952838</v>
      </c>
      <c r="CJ15" s="67">
        <f t="shared" si="36"/>
        <v>276</v>
      </c>
      <c r="CK15" s="60">
        <v>773.1</v>
      </c>
      <c r="CL15" s="64">
        <f t="shared" si="37"/>
        <v>600.00000000002274</v>
      </c>
      <c r="CM15" s="65">
        <f t="shared" si="41"/>
        <v>61.299999999999272</v>
      </c>
      <c r="CN15" s="62">
        <v>13</v>
      </c>
      <c r="CO15" s="62">
        <v>45</v>
      </c>
      <c r="CP15" s="68">
        <v>10294.299999999999</v>
      </c>
      <c r="CQ15" s="67">
        <f t="shared" si="38"/>
        <v>42.299999999999272</v>
      </c>
      <c r="CR15" s="68">
        <v>14499</v>
      </c>
      <c r="CS15" s="67">
        <f t="shared" si="38"/>
        <v>19</v>
      </c>
      <c r="CT15" s="75">
        <v>6629</v>
      </c>
      <c r="CU15" s="67">
        <f t="shared" si="38"/>
        <v>12</v>
      </c>
      <c r="CV15" s="68">
        <v>15715</v>
      </c>
      <c r="CW15" s="67">
        <f t="shared" si="38"/>
        <v>19</v>
      </c>
    </row>
    <row r="16" spans="1:102" ht="25.5" customHeight="1" thickBot="1" x14ac:dyDescent="0.45">
      <c r="A16" s="63">
        <v>44390</v>
      </c>
      <c r="B16" s="44"/>
      <c r="C16" s="58">
        <v>2.3220999999999998</v>
      </c>
      <c r="D16" s="64">
        <f t="shared" si="0"/>
        <v>1999.9999999997797</v>
      </c>
      <c r="E16" s="58">
        <v>3.3041</v>
      </c>
      <c r="F16" s="64">
        <f t="shared" si="1"/>
        <v>2499.9999999999468</v>
      </c>
      <c r="G16" s="58">
        <v>3.3586999999999998</v>
      </c>
      <c r="H16" s="64">
        <f t="shared" si="2"/>
        <v>2399.9999999997358</v>
      </c>
      <c r="I16" s="58">
        <v>1.6575</v>
      </c>
      <c r="J16" s="64">
        <f t="shared" si="3"/>
        <v>1300.0000000000789</v>
      </c>
      <c r="K16" s="58">
        <v>2.6755</v>
      </c>
      <c r="L16" s="64">
        <f t="shared" si="4"/>
        <v>1799.9999999998017</v>
      </c>
      <c r="M16" s="58">
        <v>1.4732000000000001</v>
      </c>
      <c r="N16" s="64">
        <f t="shared" si="5"/>
        <v>900.0000000001229</v>
      </c>
      <c r="O16" s="58">
        <v>14472</v>
      </c>
      <c r="P16" s="67">
        <f t="shared" si="44"/>
        <v>4</v>
      </c>
      <c r="Q16" s="58">
        <v>1061</v>
      </c>
      <c r="R16" s="67">
        <f t="shared" si="6"/>
        <v>1</v>
      </c>
      <c r="S16" s="58">
        <v>1004800</v>
      </c>
      <c r="T16" s="67">
        <f t="shared" si="7"/>
        <v>900</v>
      </c>
      <c r="U16" s="58">
        <v>422146.9</v>
      </c>
      <c r="V16" s="67">
        <f t="shared" si="8"/>
        <v>342.20000000001164</v>
      </c>
      <c r="W16" s="58">
        <v>402.25</v>
      </c>
      <c r="X16" s="65">
        <f t="shared" si="9"/>
        <v>250</v>
      </c>
      <c r="Y16" s="58">
        <v>2.8883999999999999</v>
      </c>
      <c r="Z16" s="65">
        <f t="shared" si="10"/>
        <v>2299.9999999999686</v>
      </c>
      <c r="AA16" s="58">
        <v>400.36</v>
      </c>
      <c r="AB16" s="65">
        <f t="shared" si="11"/>
        <v>300.00000000001137</v>
      </c>
      <c r="AC16" s="58">
        <v>374.55</v>
      </c>
      <c r="AD16" s="65">
        <f t="shared" si="12"/>
        <v>180.00000000000682</v>
      </c>
      <c r="AE16" s="58">
        <v>571.52</v>
      </c>
      <c r="AF16" s="65">
        <f t="shared" si="13"/>
        <v>299.99999999995453</v>
      </c>
      <c r="AG16" s="58">
        <v>5003</v>
      </c>
      <c r="AH16" s="67">
        <f t="shared" si="14"/>
        <v>35</v>
      </c>
      <c r="AI16" s="58">
        <v>624.54</v>
      </c>
      <c r="AJ16" s="65">
        <f t="shared" si="15"/>
        <v>769.99999999998181</v>
      </c>
      <c r="AK16" s="58">
        <v>207.46</v>
      </c>
      <c r="AL16" s="65">
        <f t="shared" si="15"/>
        <v>159.99999999999659</v>
      </c>
      <c r="AM16" s="58">
        <v>197.3</v>
      </c>
      <c r="AN16" s="65">
        <f t="shared" si="15"/>
        <v>140.00000000001478</v>
      </c>
      <c r="AO16" s="58">
        <v>191.11</v>
      </c>
      <c r="AP16" s="65">
        <f t="shared" si="15"/>
        <v>100.00000000002274</v>
      </c>
      <c r="AQ16" s="58">
        <v>249.68</v>
      </c>
      <c r="AR16" s="65">
        <f t="shared" si="16"/>
        <v>170.00000000001592</v>
      </c>
      <c r="AS16" s="58">
        <v>375.41</v>
      </c>
      <c r="AT16" s="65">
        <f t="shared" si="17"/>
        <v>160.00000000002501</v>
      </c>
      <c r="AU16" s="58">
        <v>286.64</v>
      </c>
      <c r="AV16" s="65">
        <f t="shared" si="18"/>
        <v>60.000000000002274</v>
      </c>
      <c r="AW16" s="58">
        <v>320.91000000000003</v>
      </c>
      <c r="AX16" s="65">
        <f t="shared" si="19"/>
        <v>40.000000000020464</v>
      </c>
      <c r="AY16" s="58">
        <v>362.25</v>
      </c>
      <c r="AZ16" s="65">
        <f t="shared" si="20"/>
        <v>50.000000000011369</v>
      </c>
      <c r="BA16" s="58">
        <v>381.58</v>
      </c>
      <c r="BB16" s="65">
        <f t="shared" si="21"/>
        <v>29.999999999972715</v>
      </c>
      <c r="BC16" s="58">
        <v>242.93</v>
      </c>
      <c r="BD16" s="65">
        <f t="shared" si="22"/>
        <v>140.00000000001478</v>
      </c>
      <c r="BE16" s="59">
        <v>40840</v>
      </c>
      <c r="BF16" s="67">
        <f t="shared" si="39"/>
        <v>30</v>
      </c>
      <c r="BG16" s="60">
        <v>234.77</v>
      </c>
      <c r="BH16" s="65">
        <f t="shared" si="23"/>
        <v>40.000000000020464</v>
      </c>
      <c r="BI16" s="60">
        <v>293.58999999999997</v>
      </c>
      <c r="BJ16" s="65">
        <f t="shared" si="40"/>
        <v>29.999999999972715</v>
      </c>
      <c r="BK16" s="60">
        <v>237.41</v>
      </c>
      <c r="BL16" s="65">
        <f t="shared" si="24"/>
        <v>30.000000000001137</v>
      </c>
      <c r="BM16" s="60">
        <v>224.42</v>
      </c>
      <c r="BN16" s="65">
        <f t="shared" si="25"/>
        <v>39.999999999992042</v>
      </c>
      <c r="BO16" s="60">
        <v>288.22000000000003</v>
      </c>
      <c r="BP16" s="65">
        <f t="shared" si="26"/>
        <v>40.000000000020464</v>
      </c>
      <c r="BQ16" s="60">
        <v>45679</v>
      </c>
      <c r="BR16" s="65">
        <f t="shared" si="27"/>
        <v>27</v>
      </c>
      <c r="BS16" s="60">
        <v>201.21</v>
      </c>
      <c r="BT16" s="65">
        <f t="shared" si="42"/>
        <v>20.000000000010232</v>
      </c>
      <c r="BU16" s="60">
        <v>41317</v>
      </c>
      <c r="BV16" s="65">
        <f t="shared" si="29"/>
        <v>36</v>
      </c>
      <c r="BW16" s="60">
        <v>232.32</v>
      </c>
      <c r="BX16" s="65">
        <f t="shared" si="30"/>
        <v>30.000000000001137</v>
      </c>
      <c r="BY16" s="60">
        <v>61033</v>
      </c>
      <c r="BZ16" s="67">
        <f t="shared" si="31"/>
        <v>46</v>
      </c>
      <c r="CA16" s="60">
        <v>32495.1</v>
      </c>
      <c r="CB16" s="67">
        <f t="shared" si="32"/>
        <v>38.5</v>
      </c>
      <c r="CC16" s="60">
        <v>12310.8</v>
      </c>
      <c r="CD16" s="67">
        <f t="shared" si="33"/>
        <v>10.299999999999272</v>
      </c>
      <c r="CE16" s="60">
        <v>6489.4</v>
      </c>
      <c r="CF16" s="67">
        <f t="shared" si="34"/>
        <v>11.399999999999636</v>
      </c>
      <c r="CG16" s="60">
        <v>60091.8</v>
      </c>
      <c r="CH16" s="67">
        <f t="shared" si="35"/>
        <v>29</v>
      </c>
      <c r="CI16" s="60">
        <v>953101</v>
      </c>
      <c r="CJ16" s="67">
        <f t="shared" si="36"/>
        <v>263</v>
      </c>
      <c r="CK16" s="60">
        <v>773.61</v>
      </c>
      <c r="CL16" s="64">
        <f t="shared" si="37"/>
        <v>509.99999999999091</v>
      </c>
      <c r="CM16" s="65">
        <f t="shared" si="41"/>
        <v>71.700000000000728</v>
      </c>
      <c r="CN16" s="62">
        <v>13</v>
      </c>
      <c r="CO16" s="62">
        <v>50</v>
      </c>
      <c r="CP16" s="68">
        <v>10348</v>
      </c>
      <c r="CQ16" s="67">
        <f t="shared" si="38"/>
        <v>53.700000000000728</v>
      </c>
      <c r="CR16" s="68">
        <v>14517</v>
      </c>
      <c r="CS16" s="67">
        <f t="shared" si="38"/>
        <v>18</v>
      </c>
      <c r="CT16" s="75">
        <v>6643</v>
      </c>
      <c r="CU16" s="67">
        <f t="shared" si="38"/>
        <v>14</v>
      </c>
      <c r="CV16" s="68">
        <v>15729</v>
      </c>
      <c r="CW16" s="67">
        <f t="shared" si="38"/>
        <v>14</v>
      </c>
    </row>
    <row r="17" spans="1:101" ht="25.5" customHeight="1" thickBot="1" x14ac:dyDescent="0.45">
      <c r="A17" s="63">
        <v>44391</v>
      </c>
      <c r="B17" s="44"/>
      <c r="C17" s="58">
        <v>2.3241000000000001</v>
      </c>
      <c r="D17" s="64">
        <f t="shared" si="0"/>
        <v>2000.0000000002237</v>
      </c>
      <c r="E17" s="58">
        <v>3.3066</v>
      </c>
      <c r="F17" s="64">
        <f t="shared" si="1"/>
        <v>2499.9999999999468</v>
      </c>
      <c r="G17" s="58">
        <v>3.3611</v>
      </c>
      <c r="H17" s="64">
        <f t="shared" si="2"/>
        <v>2400.0000000001796</v>
      </c>
      <c r="I17" s="58">
        <v>1.6587000000000001</v>
      </c>
      <c r="J17" s="64">
        <f t="shared" si="3"/>
        <v>1200.0000000000898</v>
      </c>
      <c r="K17" s="58">
        <v>2.6772999999999998</v>
      </c>
      <c r="L17" s="64">
        <f t="shared" si="4"/>
        <v>1799.9999999998017</v>
      </c>
      <c r="M17" s="58">
        <v>1.4741</v>
      </c>
      <c r="N17" s="64">
        <f t="shared" si="5"/>
        <v>899.99999999990087</v>
      </c>
      <c r="O17" s="58">
        <v>14478</v>
      </c>
      <c r="P17" s="67">
        <f t="shared" si="44"/>
        <v>6</v>
      </c>
      <c r="Q17" s="58">
        <v>1063</v>
      </c>
      <c r="R17" s="67">
        <f t="shared" si="6"/>
        <v>2</v>
      </c>
      <c r="S17" s="58">
        <v>1005600</v>
      </c>
      <c r="T17" s="67">
        <f t="shared" si="7"/>
        <v>800</v>
      </c>
      <c r="U17" s="58">
        <v>422430.9</v>
      </c>
      <c r="V17" s="67">
        <f t="shared" si="8"/>
        <v>284</v>
      </c>
      <c r="W17" s="58">
        <v>402.48</v>
      </c>
      <c r="X17" s="65">
        <f t="shared" si="9"/>
        <v>230.00000000001819</v>
      </c>
      <c r="Y17" s="58">
        <v>2.8906000000000001</v>
      </c>
      <c r="Z17" s="65">
        <f t="shared" si="10"/>
        <v>2200.0000000002019</v>
      </c>
      <c r="AA17" s="58">
        <v>400.68</v>
      </c>
      <c r="AB17" s="65">
        <f t="shared" si="11"/>
        <v>319.99999999999318</v>
      </c>
      <c r="AC17" s="58">
        <v>374.75</v>
      </c>
      <c r="AD17" s="65">
        <f t="shared" si="12"/>
        <v>199.99999999998863</v>
      </c>
      <c r="AE17" s="58">
        <v>571.84</v>
      </c>
      <c r="AF17" s="65">
        <f t="shared" si="13"/>
        <v>320.00000000005002</v>
      </c>
      <c r="AG17" s="58">
        <v>5037</v>
      </c>
      <c r="AH17" s="67">
        <f t="shared" si="14"/>
        <v>34</v>
      </c>
      <c r="AI17" s="58">
        <v>625.28</v>
      </c>
      <c r="AJ17" s="65">
        <f t="shared" si="15"/>
        <v>740.00000000000909</v>
      </c>
      <c r="AK17" s="58">
        <v>207.6</v>
      </c>
      <c r="AL17" s="65">
        <f t="shared" si="15"/>
        <v>139.99999999998636</v>
      </c>
      <c r="AM17" s="58">
        <v>197.44</v>
      </c>
      <c r="AN17" s="65">
        <f t="shared" si="15"/>
        <v>139.99999999998636</v>
      </c>
      <c r="AO17" s="58">
        <v>191.2</v>
      </c>
      <c r="AP17" s="65">
        <f t="shared" si="15"/>
        <v>89.999999999974989</v>
      </c>
      <c r="AQ17" s="58">
        <v>249.84</v>
      </c>
      <c r="AR17" s="65">
        <f t="shared" si="16"/>
        <v>159.99999999999659</v>
      </c>
      <c r="AS17" s="58">
        <v>375.59</v>
      </c>
      <c r="AT17" s="65">
        <f t="shared" si="17"/>
        <v>179.99999999994998</v>
      </c>
      <c r="AU17" s="58">
        <v>286.7</v>
      </c>
      <c r="AV17" s="65">
        <f t="shared" si="18"/>
        <v>60.000000000002274</v>
      </c>
      <c r="AW17" s="58">
        <v>320.97000000000003</v>
      </c>
      <c r="AX17" s="65">
        <f t="shared" si="19"/>
        <v>60.000000000002274</v>
      </c>
      <c r="AY17" s="58">
        <v>362.31</v>
      </c>
      <c r="AZ17" s="65">
        <f t="shared" si="20"/>
        <v>60.000000000002274</v>
      </c>
      <c r="BA17" s="58">
        <v>381.6</v>
      </c>
      <c r="BB17" s="65">
        <f t="shared" si="21"/>
        <v>20.000000000038654</v>
      </c>
      <c r="BC17" s="58">
        <v>243.06</v>
      </c>
      <c r="BD17" s="65">
        <f t="shared" si="22"/>
        <v>129.99999999999545</v>
      </c>
      <c r="BE17" s="59">
        <v>40868</v>
      </c>
      <c r="BF17" s="67">
        <f t="shared" si="39"/>
        <v>28</v>
      </c>
      <c r="BG17" s="60">
        <v>234.82</v>
      </c>
      <c r="BH17" s="65">
        <f t="shared" si="23"/>
        <v>49.999999999982947</v>
      </c>
      <c r="BI17" s="60">
        <v>293.62</v>
      </c>
      <c r="BJ17" s="65">
        <f t="shared" si="40"/>
        <v>30.000000000029559</v>
      </c>
      <c r="BK17" s="60">
        <v>237.43</v>
      </c>
      <c r="BL17" s="65">
        <f t="shared" si="24"/>
        <v>20.000000000010232</v>
      </c>
      <c r="BM17" s="60">
        <v>224.46</v>
      </c>
      <c r="BN17" s="65">
        <f t="shared" si="25"/>
        <v>40.000000000020464</v>
      </c>
      <c r="BO17" s="60">
        <v>288.25</v>
      </c>
      <c r="BP17" s="65">
        <f t="shared" si="26"/>
        <v>29.999999999972715</v>
      </c>
      <c r="BQ17" s="60">
        <v>45712</v>
      </c>
      <c r="BR17" s="65">
        <f t="shared" si="27"/>
        <v>33</v>
      </c>
      <c r="BS17" s="60">
        <v>201.24</v>
      </c>
      <c r="BT17" s="65">
        <f t="shared" si="42"/>
        <v>30.000000000001137</v>
      </c>
      <c r="BU17" s="60">
        <v>41354</v>
      </c>
      <c r="BV17" s="65">
        <f t="shared" si="29"/>
        <v>37</v>
      </c>
      <c r="BW17" s="60">
        <v>232.34</v>
      </c>
      <c r="BX17" s="65">
        <f t="shared" si="30"/>
        <v>20.000000000010232</v>
      </c>
      <c r="BY17" s="60">
        <v>61079</v>
      </c>
      <c r="BZ17" s="67">
        <f t="shared" si="31"/>
        <v>46</v>
      </c>
      <c r="CA17" s="60">
        <v>32525.599999999999</v>
      </c>
      <c r="CB17" s="67">
        <f t="shared" si="32"/>
        <v>30.5</v>
      </c>
      <c r="CC17" s="60">
        <v>12317.9</v>
      </c>
      <c r="CD17" s="67">
        <f t="shared" si="33"/>
        <v>7.1000000000003638</v>
      </c>
      <c r="CE17" s="60">
        <v>6494</v>
      </c>
      <c r="CF17" s="67">
        <f t="shared" si="34"/>
        <v>4.6000000000003638</v>
      </c>
      <c r="CG17" s="60">
        <v>60121</v>
      </c>
      <c r="CH17" s="67">
        <f t="shared" si="35"/>
        <v>29.19999999999709</v>
      </c>
      <c r="CI17" s="60">
        <v>953363</v>
      </c>
      <c r="CJ17" s="67">
        <f t="shared" si="36"/>
        <v>262</v>
      </c>
      <c r="CK17" s="60">
        <v>774.22</v>
      </c>
      <c r="CL17" s="64">
        <f t="shared" si="37"/>
        <v>610.00000000001364</v>
      </c>
      <c r="CM17" s="65">
        <f t="shared" si="41"/>
        <v>68</v>
      </c>
      <c r="CN17" s="62">
        <v>16</v>
      </c>
      <c r="CO17" s="62">
        <v>59</v>
      </c>
      <c r="CP17" s="68">
        <v>10397</v>
      </c>
      <c r="CQ17" s="67">
        <f t="shared" si="38"/>
        <v>49</v>
      </c>
      <c r="CR17" s="68">
        <v>14536</v>
      </c>
      <c r="CS17" s="67">
        <f t="shared" si="38"/>
        <v>19</v>
      </c>
      <c r="CT17" s="75">
        <v>6654</v>
      </c>
      <c r="CU17" s="67">
        <f t="shared" si="38"/>
        <v>11</v>
      </c>
      <c r="CV17" s="68">
        <v>15757</v>
      </c>
      <c r="CW17" s="67">
        <f t="shared" si="38"/>
        <v>28</v>
      </c>
    </row>
    <row r="18" spans="1:101" ht="25.5" customHeight="1" thickBot="1" x14ac:dyDescent="0.45">
      <c r="A18" s="63">
        <v>44392</v>
      </c>
      <c r="B18" s="44"/>
      <c r="C18" s="58">
        <v>2.3264</v>
      </c>
      <c r="D18" s="64">
        <f t="shared" si="0"/>
        <v>2299.9999999999686</v>
      </c>
      <c r="E18" s="58">
        <v>3.3089</v>
      </c>
      <c r="F18" s="64">
        <f t="shared" si="1"/>
        <v>2299.9999999999686</v>
      </c>
      <c r="G18" s="58">
        <v>3.3637000000000001</v>
      </c>
      <c r="H18" s="64">
        <f t="shared" si="2"/>
        <v>2600.0000000001578</v>
      </c>
      <c r="I18" s="58">
        <v>1.6598999999999999</v>
      </c>
      <c r="J18" s="64">
        <f t="shared" si="3"/>
        <v>1199.9999999998679</v>
      </c>
      <c r="K18" s="58">
        <v>2.6791999999999998</v>
      </c>
      <c r="L18" s="64">
        <f t="shared" si="4"/>
        <v>1900.0000000000127</v>
      </c>
      <c r="M18" s="58">
        <v>1.4749000000000001</v>
      </c>
      <c r="N18" s="64">
        <f t="shared" si="5"/>
        <v>800.00000000013392</v>
      </c>
      <c r="O18" s="58">
        <v>14482</v>
      </c>
      <c r="P18" s="67">
        <f t="shared" si="44"/>
        <v>4</v>
      </c>
      <c r="Q18" s="58">
        <v>1064</v>
      </c>
      <c r="R18" s="67">
        <f t="shared" si="6"/>
        <v>1</v>
      </c>
      <c r="S18" s="58">
        <v>1006400</v>
      </c>
      <c r="T18" s="67">
        <f t="shared" si="7"/>
        <v>800</v>
      </c>
      <c r="U18" s="58">
        <v>422750</v>
      </c>
      <c r="V18" s="67">
        <f t="shared" si="8"/>
        <v>319.09999999997672</v>
      </c>
      <c r="W18" s="58">
        <v>402.72</v>
      </c>
      <c r="X18" s="65">
        <f t="shared" si="9"/>
        <v>240.00000000000909</v>
      </c>
      <c r="Y18" s="58">
        <v>2.8925999999999998</v>
      </c>
      <c r="Z18" s="65">
        <f t="shared" si="10"/>
        <v>1999.9999999997797</v>
      </c>
      <c r="AA18" s="58">
        <v>400.87</v>
      </c>
      <c r="AB18" s="65">
        <f t="shared" si="11"/>
        <v>189.99999999999773</v>
      </c>
      <c r="AC18" s="58">
        <v>374.98</v>
      </c>
      <c r="AD18" s="65">
        <f t="shared" si="12"/>
        <v>230.00000000001819</v>
      </c>
      <c r="AE18" s="58">
        <v>572.13</v>
      </c>
      <c r="AF18" s="65">
        <f t="shared" si="13"/>
        <v>289.99999999996362</v>
      </c>
      <c r="AG18" s="58">
        <v>5069</v>
      </c>
      <c r="AH18" s="67">
        <f t="shared" si="14"/>
        <v>32</v>
      </c>
      <c r="AI18" s="58">
        <v>626.01</v>
      </c>
      <c r="AJ18" s="65">
        <f t="shared" si="15"/>
        <v>730.00000000001819</v>
      </c>
      <c r="AK18" s="58">
        <v>207.76</v>
      </c>
      <c r="AL18" s="65">
        <f t="shared" si="15"/>
        <v>159.99999999999659</v>
      </c>
      <c r="AM18" s="58">
        <v>197.58</v>
      </c>
      <c r="AN18" s="65">
        <f t="shared" si="15"/>
        <v>140.00000000001478</v>
      </c>
      <c r="AO18" s="58">
        <v>191.29</v>
      </c>
      <c r="AP18" s="65">
        <f t="shared" si="15"/>
        <v>90.000000000003411</v>
      </c>
      <c r="AQ18" s="58">
        <v>249.99</v>
      </c>
      <c r="AR18" s="65">
        <f t="shared" si="16"/>
        <v>150.00000000000568</v>
      </c>
      <c r="AS18" s="58">
        <v>375.81</v>
      </c>
      <c r="AT18" s="65">
        <f t="shared" si="17"/>
        <v>220.00000000002728</v>
      </c>
      <c r="AU18" s="58">
        <v>286.76</v>
      </c>
      <c r="AV18" s="65">
        <f>IF((AU18-AU17&lt;0), "",(AU18-AU17)*1000)</f>
        <v>60.000000000002274</v>
      </c>
      <c r="AW18" s="58">
        <v>321.2</v>
      </c>
      <c r="AX18" s="65">
        <f t="shared" si="19"/>
        <v>229.99999999996135</v>
      </c>
      <c r="AY18" s="58">
        <v>362.35</v>
      </c>
      <c r="AZ18" s="65">
        <f t="shared" si="20"/>
        <v>40.000000000020464</v>
      </c>
      <c r="BA18" s="58">
        <v>381.64</v>
      </c>
      <c r="BB18" s="65">
        <f t="shared" si="21"/>
        <v>39.99999999996362</v>
      </c>
      <c r="BC18" s="58">
        <v>243.2</v>
      </c>
      <c r="BD18" s="65">
        <f t="shared" si="22"/>
        <v>139.99999999998636</v>
      </c>
      <c r="BE18" s="59">
        <v>40899</v>
      </c>
      <c r="BF18" s="67">
        <f t="shared" si="39"/>
        <v>31</v>
      </c>
      <c r="BG18" s="60">
        <v>234.86</v>
      </c>
      <c r="BH18" s="65">
        <f t="shared" si="23"/>
        <v>40.000000000020464</v>
      </c>
      <c r="BI18" s="60">
        <v>293.64999999999998</v>
      </c>
      <c r="BJ18" s="65">
        <f t="shared" si="40"/>
        <v>29.999999999972715</v>
      </c>
      <c r="BK18" s="60">
        <v>237.46</v>
      </c>
      <c r="BL18" s="65">
        <f t="shared" si="24"/>
        <v>30.000000000001137</v>
      </c>
      <c r="BM18" s="60">
        <v>224.49</v>
      </c>
      <c r="BN18" s="65">
        <f t="shared" si="25"/>
        <v>30.000000000001137</v>
      </c>
      <c r="BO18" s="60">
        <v>288.29000000000002</v>
      </c>
      <c r="BP18" s="65">
        <f t="shared" si="26"/>
        <v>40.000000000020464</v>
      </c>
      <c r="BQ18" s="60">
        <v>45740</v>
      </c>
      <c r="BR18" s="65">
        <f t="shared" si="27"/>
        <v>28</v>
      </c>
      <c r="BS18" s="60">
        <v>201.27</v>
      </c>
      <c r="BT18" s="65">
        <f t="shared" si="42"/>
        <v>30.000000000001137</v>
      </c>
      <c r="BU18" s="60">
        <v>41387</v>
      </c>
      <c r="BV18" s="65">
        <f t="shared" si="29"/>
        <v>33</v>
      </c>
      <c r="BW18" s="60">
        <v>232.36</v>
      </c>
      <c r="BX18" s="65">
        <f t="shared" si="30"/>
        <v>20.000000000010232</v>
      </c>
      <c r="BY18" s="60">
        <v>61120</v>
      </c>
      <c r="BZ18" s="67">
        <f t="shared" si="31"/>
        <v>41</v>
      </c>
      <c r="CA18" s="60">
        <v>32564.5</v>
      </c>
      <c r="CB18" s="67">
        <f t="shared" si="32"/>
        <v>38.900000000001455</v>
      </c>
      <c r="CC18" s="60">
        <v>12325</v>
      </c>
      <c r="CD18" s="67">
        <f t="shared" si="33"/>
        <v>7.1000000000003638</v>
      </c>
      <c r="CE18" s="60">
        <v>6495.5</v>
      </c>
      <c r="CF18" s="67">
        <f t="shared" si="34"/>
        <v>1.5</v>
      </c>
      <c r="CG18" s="60">
        <v>60154.5</v>
      </c>
      <c r="CH18" s="67">
        <f t="shared" si="35"/>
        <v>33.5</v>
      </c>
      <c r="CI18" s="60">
        <v>953624</v>
      </c>
      <c r="CJ18" s="67">
        <f t="shared" si="36"/>
        <v>261</v>
      </c>
      <c r="CK18" s="60">
        <v>774.83</v>
      </c>
      <c r="CL18" s="64">
        <f t="shared" si="37"/>
        <v>610.00000000001364</v>
      </c>
      <c r="CM18" s="65">
        <f t="shared" si="41"/>
        <v>77</v>
      </c>
      <c r="CN18" s="62">
        <v>15</v>
      </c>
      <c r="CO18" s="62">
        <v>58</v>
      </c>
      <c r="CP18" s="68">
        <v>10450</v>
      </c>
      <c r="CQ18" s="67">
        <f t="shared" si="38"/>
        <v>53</v>
      </c>
      <c r="CR18" s="68">
        <v>14560</v>
      </c>
      <c r="CS18" s="67">
        <f t="shared" si="38"/>
        <v>24</v>
      </c>
      <c r="CT18" s="75">
        <v>6666</v>
      </c>
      <c r="CU18" s="67">
        <f t="shared" si="38"/>
        <v>12</v>
      </c>
      <c r="CV18" s="68">
        <v>15776</v>
      </c>
      <c r="CW18" s="67">
        <f t="shared" si="38"/>
        <v>19</v>
      </c>
    </row>
    <row r="19" spans="1:101" ht="25.5" customHeight="1" thickBot="1" x14ac:dyDescent="0.45">
      <c r="A19" s="63">
        <v>44393</v>
      </c>
      <c r="B19" s="44"/>
      <c r="C19" s="58">
        <v>2.3285</v>
      </c>
      <c r="D19" s="64">
        <f t="shared" si="0"/>
        <v>2099.9999999999909</v>
      </c>
      <c r="E19" s="58">
        <v>3.3113999999999999</v>
      </c>
      <c r="F19" s="64">
        <f t="shared" si="1"/>
        <v>2499.9999999999468</v>
      </c>
      <c r="G19" s="58">
        <v>3.3662000000000001</v>
      </c>
      <c r="H19" s="64">
        <f t="shared" si="2"/>
        <v>2499.9999999999468</v>
      </c>
      <c r="I19" s="58">
        <v>1.6612</v>
      </c>
      <c r="J19" s="64">
        <f t="shared" si="3"/>
        <v>1300.0000000000789</v>
      </c>
      <c r="K19" s="58">
        <v>2.6812</v>
      </c>
      <c r="L19" s="64">
        <f t="shared" si="4"/>
        <v>2000.0000000002237</v>
      </c>
      <c r="M19" s="58">
        <v>1.4759</v>
      </c>
      <c r="N19" s="64">
        <f t="shared" si="5"/>
        <v>999.99999999988984</v>
      </c>
      <c r="O19" s="58">
        <v>14482</v>
      </c>
      <c r="P19" s="67">
        <f t="shared" si="44"/>
        <v>0</v>
      </c>
      <c r="Q19" s="58">
        <v>1066</v>
      </c>
      <c r="R19" s="67">
        <f t="shared" si="6"/>
        <v>2</v>
      </c>
      <c r="S19" s="58">
        <v>1007200</v>
      </c>
      <c r="T19" s="67">
        <f t="shared" si="7"/>
        <v>800</v>
      </c>
      <c r="U19" s="58">
        <v>423026.2</v>
      </c>
      <c r="V19" s="67">
        <f t="shared" si="8"/>
        <v>276.20000000001164</v>
      </c>
      <c r="W19" s="58">
        <v>402.95</v>
      </c>
      <c r="X19" s="65">
        <f t="shared" si="9"/>
        <v>229.99999999996135</v>
      </c>
      <c r="Y19" s="58">
        <v>2.8948999999999998</v>
      </c>
      <c r="Z19" s="65">
        <f t="shared" si="10"/>
        <v>2299.9999999999686</v>
      </c>
      <c r="AA19" s="58">
        <v>401.17</v>
      </c>
      <c r="AB19" s="65">
        <f t="shared" si="11"/>
        <v>300.00000000001137</v>
      </c>
      <c r="AC19" s="58">
        <v>375.23</v>
      </c>
      <c r="AD19" s="65">
        <f t="shared" si="12"/>
        <v>250</v>
      </c>
      <c r="AE19" s="58">
        <v>572.48</v>
      </c>
      <c r="AF19" s="65">
        <f t="shared" si="13"/>
        <v>350.00000000002274</v>
      </c>
      <c r="AG19" s="58">
        <v>5106</v>
      </c>
      <c r="AH19" s="67">
        <f t="shared" si="14"/>
        <v>37</v>
      </c>
      <c r="AI19" s="58">
        <v>626.69000000000005</v>
      </c>
      <c r="AJ19" s="65">
        <f t="shared" si="15"/>
        <v>680.00000000006366</v>
      </c>
      <c r="AK19" s="58">
        <v>207.91</v>
      </c>
      <c r="AL19" s="65">
        <f t="shared" si="15"/>
        <v>150.00000000000568</v>
      </c>
      <c r="AM19" s="58">
        <v>197.74</v>
      </c>
      <c r="AN19" s="65">
        <f t="shared" si="15"/>
        <v>159.99999999999659</v>
      </c>
      <c r="AO19" s="58">
        <v>191.39</v>
      </c>
      <c r="AP19" s="65">
        <f t="shared" si="15"/>
        <v>99.999999999994316</v>
      </c>
      <c r="AQ19" s="58">
        <v>250.09</v>
      </c>
      <c r="AR19" s="65">
        <f t="shared" si="16"/>
        <v>99.999999999994316</v>
      </c>
      <c r="AS19" s="58">
        <v>376.02</v>
      </c>
      <c r="AT19" s="65">
        <f t="shared" si="17"/>
        <v>209.99999999997954</v>
      </c>
      <c r="AU19" s="58">
        <v>286.83</v>
      </c>
      <c r="AV19" s="65">
        <f>IF((AU19-AU18&lt;0), "",(AU19-AU18)*1000)</f>
        <v>69.999999999993179</v>
      </c>
      <c r="AW19" s="58">
        <v>321.33</v>
      </c>
      <c r="AX19" s="65">
        <f t="shared" si="19"/>
        <v>129.99999999999545</v>
      </c>
      <c r="AY19" s="58">
        <v>362.38</v>
      </c>
      <c r="AZ19" s="65">
        <f t="shared" si="20"/>
        <v>29.999999999972715</v>
      </c>
      <c r="BA19" s="58">
        <v>381.66</v>
      </c>
      <c r="BB19" s="65">
        <f t="shared" si="21"/>
        <v>20.000000000038654</v>
      </c>
      <c r="BC19" s="58">
        <v>243.34</v>
      </c>
      <c r="BD19" s="65">
        <f t="shared" si="22"/>
        <v>140.00000000001478</v>
      </c>
      <c r="BE19" s="59">
        <v>40922</v>
      </c>
      <c r="BF19" s="67">
        <f t="shared" si="39"/>
        <v>23</v>
      </c>
      <c r="BG19" s="60">
        <v>234.91</v>
      </c>
      <c r="BH19" s="65">
        <f t="shared" si="23"/>
        <v>49.999999999982947</v>
      </c>
      <c r="BI19" s="60">
        <v>293.68</v>
      </c>
      <c r="BJ19" s="65">
        <f t="shared" si="40"/>
        <v>30.000000000029559</v>
      </c>
      <c r="BK19" s="60">
        <v>237.49</v>
      </c>
      <c r="BL19" s="65">
        <f t="shared" si="24"/>
        <v>30.000000000001137</v>
      </c>
      <c r="BM19" s="60">
        <v>224.53</v>
      </c>
      <c r="BN19" s="65">
        <f t="shared" si="25"/>
        <v>39.999999999992042</v>
      </c>
      <c r="BO19" s="60">
        <v>288.32</v>
      </c>
      <c r="BP19" s="65">
        <f t="shared" si="26"/>
        <v>29.999999999972715</v>
      </c>
      <c r="BQ19" s="60">
        <v>45776</v>
      </c>
      <c r="BR19" s="65">
        <f t="shared" si="27"/>
        <v>36</v>
      </c>
      <c r="BS19" s="60">
        <v>201.3</v>
      </c>
      <c r="BT19" s="65">
        <f t="shared" si="42"/>
        <v>30.000000000001137</v>
      </c>
      <c r="BU19" s="60">
        <v>41422</v>
      </c>
      <c r="BV19" s="65">
        <f t="shared" si="29"/>
        <v>35</v>
      </c>
      <c r="BW19" s="60">
        <v>232.38</v>
      </c>
      <c r="BX19" s="65">
        <f t="shared" si="30"/>
        <v>19.99999999998181</v>
      </c>
      <c r="BY19" s="60">
        <v>61166</v>
      </c>
      <c r="BZ19" s="67">
        <f t="shared" si="31"/>
        <v>46</v>
      </c>
      <c r="CA19" s="60">
        <v>32596.400000000001</v>
      </c>
      <c r="CB19" s="67">
        <f t="shared" si="32"/>
        <v>31.900000000001455</v>
      </c>
      <c r="CC19" s="60">
        <v>12333.7</v>
      </c>
      <c r="CD19" s="67">
        <f t="shared" si="33"/>
        <v>8.7000000000007276</v>
      </c>
      <c r="CE19" s="60">
        <v>6503.8</v>
      </c>
      <c r="CF19" s="67">
        <f t="shared" si="34"/>
        <v>8.3000000000001819</v>
      </c>
      <c r="CG19" s="60">
        <v>60189.7</v>
      </c>
      <c r="CH19" s="67">
        <f t="shared" si="35"/>
        <v>35.19999999999709</v>
      </c>
      <c r="CI19" s="60">
        <v>953902</v>
      </c>
      <c r="CJ19" s="67">
        <f t="shared" si="36"/>
        <v>278</v>
      </c>
      <c r="CK19" s="60">
        <v>775.54</v>
      </c>
      <c r="CL19" s="64">
        <f t="shared" si="37"/>
        <v>709.99999999992269</v>
      </c>
      <c r="CM19" s="65">
        <f t="shared" si="41"/>
        <v>87</v>
      </c>
      <c r="CN19" s="62">
        <v>15</v>
      </c>
      <c r="CO19" s="62">
        <v>58</v>
      </c>
      <c r="CP19" s="68">
        <v>10496</v>
      </c>
      <c r="CQ19" s="67">
        <f t="shared" si="38"/>
        <v>46</v>
      </c>
      <c r="CR19" s="68">
        <v>14601</v>
      </c>
      <c r="CS19" s="67">
        <f t="shared" si="38"/>
        <v>41</v>
      </c>
      <c r="CT19" s="75">
        <v>6677</v>
      </c>
      <c r="CU19" s="67">
        <f t="shared" si="38"/>
        <v>11</v>
      </c>
      <c r="CV19" s="68">
        <v>15794</v>
      </c>
      <c r="CW19" s="67">
        <f t="shared" si="38"/>
        <v>18</v>
      </c>
    </row>
    <row r="20" spans="1:101" ht="25.5" customHeight="1" thickBot="1" x14ac:dyDescent="0.45">
      <c r="A20" s="63">
        <v>44394</v>
      </c>
      <c r="B20" s="44"/>
      <c r="C20" s="58">
        <v>2.3304</v>
      </c>
      <c r="D20" s="64">
        <f t="shared" si="0"/>
        <v>1900.0000000000127</v>
      </c>
      <c r="E20" s="58">
        <v>3.3140000000000001</v>
      </c>
      <c r="F20" s="64">
        <f t="shared" si="1"/>
        <v>2600.0000000001578</v>
      </c>
      <c r="G20" s="58">
        <v>3.3689</v>
      </c>
      <c r="H20" s="64">
        <f t="shared" si="2"/>
        <v>2699.9999999999245</v>
      </c>
      <c r="I20" s="58">
        <v>1.6624000000000001</v>
      </c>
      <c r="J20" s="64">
        <f t="shared" si="3"/>
        <v>1200.0000000000898</v>
      </c>
      <c r="K20" s="58">
        <v>2.6831999999999998</v>
      </c>
      <c r="L20" s="64">
        <f t="shared" si="4"/>
        <v>1999.9999999997797</v>
      </c>
      <c r="M20" s="58">
        <v>1.4769000000000001</v>
      </c>
      <c r="N20" s="64">
        <f t="shared" si="5"/>
        <v>1000.0000000001119</v>
      </c>
      <c r="O20" s="58">
        <v>14488</v>
      </c>
      <c r="P20" s="67">
        <f t="shared" si="44"/>
        <v>6</v>
      </c>
      <c r="Q20" s="58">
        <v>1068</v>
      </c>
      <c r="R20" s="67">
        <f t="shared" si="6"/>
        <v>2</v>
      </c>
      <c r="S20" s="58">
        <v>1008200</v>
      </c>
      <c r="T20" s="67">
        <f t="shared" si="7"/>
        <v>1000</v>
      </c>
      <c r="U20" s="58">
        <v>423367.4</v>
      </c>
      <c r="V20" s="67">
        <f t="shared" si="8"/>
        <v>341.20000000001164</v>
      </c>
      <c r="W20" s="58">
        <v>403.19</v>
      </c>
      <c r="X20" s="65">
        <f t="shared" si="9"/>
        <v>240.00000000000909</v>
      </c>
      <c r="Y20" s="58">
        <v>2.8972000000000002</v>
      </c>
      <c r="Z20" s="65">
        <f t="shared" si="10"/>
        <v>2300.0000000004129</v>
      </c>
      <c r="AA20" s="58">
        <v>401.45</v>
      </c>
      <c r="AB20" s="65">
        <f t="shared" si="11"/>
        <v>279.99999999997272</v>
      </c>
      <c r="AC20" s="58">
        <v>375.5</v>
      </c>
      <c r="AD20" s="65">
        <f t="shared" si="12"/>
        <v>269.99999999998181</v>
      </c>
      <c r="AE20" s="58">
        <v>572.78</v>
      </c>
      <c r="AF20" s="65">
        <f t="shared" si="13"/>
        <v>299.99999999995453</v>
      </c>
      <c r="AG20" s="58">
        <v>5144</v>
      </c>
      <c r="AH20" s="67">
        <f t="shared" si="14"/>
        <v>38</v>
      </c>
      <c r="AI20" s="58">
        <v>627.39</v>
      </c>
      <c r="AJ20" s="65">
        <f t="shared" si="15"/>
        <v>699.99999999993179</v>
      </c>
      <c r="AK20" s="58">
        <v>208.05</v>
      </c>
      <c r="AL20" s="65">
        <f t="shared" si="15"/>
        <v>140.00000000001478</v>
      </c>
      <c r="AM20" s="58">
        <v>197.88</v>
      </c>
      <c r="AN20" s="65">
        <f t="shared" si="15"/>
        <v>139.99999999998636</v>
      </c>
      <c r="AO20" s="58">
        <v>191.52</v>
      </c>
      <c r="AP20" s="65">
        <f t="shared" si="15"/>
        <v>130.00000000002387</v>
      </c>
      <c r="AQ20" s="58">
        <v>250.17</v>
      </c>
      <c r="AR20" s="65">
        <f t="shared" si="16"/>
        <v>79.999999999984084</v>
      </c>
      <c r="AS20" s="58">
        <v>376.22</v>
      </c>
      <c r="AT20" s="65">
        <f t="shared" si="17"/>
        <v>200.00000000004547</v>
      </c>
      <c r="AU20" s="58">
        <v>286.88</v>
      </c>
      <c r="AV20" s="65">
        <f>IF((AU20-AU19&lt;0), "",(AU20-AU19)*1000)</f>
        <v>50.000000000011369</v>
      </c>
      <c r="AW20" s="58">
        <v>321.47000000000003</v>
      </c>
      <c r="AX20" s="65">
        <f t="shared" si="19"/>
        <v>140.0000000000432</v>
      </c>
      <c r="AY20" s="58">
        <v>362.41</v>
      </c>
      <c r="AZ20" s="65">
        <f t="shared" si="20"/>
        <v>30.000000000029559</v>
      </c>
      <c r="BA20" s="58">
        <v>381.68</v>
      </c>
      <c r="BB20" s="65">
        <f t="shared" si="21"/>
        <v>19.99999999998181</v>
      </c>
      <c r="BC20" s="58">
        <v>243.47</v>
      </c>
      <c r="BD20" s="65">
        <f t="shared" si="22"/>
        <v>129.99999999999545</v>
      </c>
      <c r="BE20" s="59">
        <v>40957</v>
      </c>
      <c r="BF20" s="67">
        <f t="shared" si="39"/>
        <v>35</v>
      </c>
      <c r="BG20" s="60">
        <v>234.94</v>
      </c>
      <c r="BH20" s="65">
        <f t="shared" si="23"/>
        <v>30.000000000001137</v>
      </c>
      <c r="BI20" s="60">
        <v>293.7</v>
      </c>
      <c r="BJ20" s="65">
        <f t="shared" si="40"/>
        <v>19.99999999998181</v>
      </c>
      <c r="BK20" s="60">
        <v>237.51</v>
      </c>
      <c r="BL20" s="65">
        <f t="shared" si="24"/>
        <v>19.99999999998181</v>
      </c>
      <c r="BM20" s="60">
        <v>224.56</v>
      </c>
      <c r="BN20" s="65">
        <f t="shared" si="25"/>
        <v>30.000000000001137</v>
      </c>
      <c r="BO20" s="60">
        <v>288.33999999999997</v>
      </c>
      <c r="BP20" s="65">
        <f t="shared" si="26"/>
        <v>19.99999999998181</v>
      </c>
      <c r="BQ20" s="60">
        <v>45809</v>
      </c>
      <c r="BR20" s="65">
        <f t="shared" si="27"/>
        <v>33</v>
      </c>
      <c r="BS20" s="60">
        <v>201.33</v>
      </c>
      <c r="BT20" s="65">
        <f t="shared" si="42"/>
        <v>30.000000000001137</v>
      </c>
      <c r="BU20" s="60">
        <v>41456</v>
      </c>
      <c r="BV20" s="65">
        <f t="shared" si="29"/>
        <v>34</v>
      </c>
      <c r="BW20" s="60">
        <v>232.4</v>
      </c>
      <c r="BX20" s="65">
        <f t="shared" si="30"/>
        <v>20.000000000010232</v>
      </c>
      <c r="BY20" s="60">
        <v>61207</v>
      </c>
      <c r="BZ20" s="67">
        <f t="shared" si="31"/>
        <v>41</v>
      </c>
      <c r="CA20" s="60">
        <v>32624.2</v>
      </c>
      <c r="CB20" s="67">
        <f t="shared" si="32"/>
        <v>27.799999999999272</v>
      </c>
      <c r="CC20" s="60">
        <v>12341.6</v>
      </c>
      <c r="CD20" s="67">
        <f t="shared" si="33"/>
        <v>7.8999999999996362</v>
      </c>
      <c r="CE20" s="60">
        <v>6509.2</v>
      </c>
      <c r="CF20" s="67">
        <f t="shared" si="34"/>
        <v>5.3999999999996362</v>
      </c>
      <c r="CG20" s="60">
        <v>60219.199999999997</v>
      </c>
      <c r="CH20" s="67">
        <f t="shared" si="35"/>
        <v>29.5</v>
      </c>
      <c r="CI20" s="60">
        <v>954178</v>
      </c>
      <c r="CJ20" s="67">
        <f t="shared" si="36"/>
        <v>276</v>
      </c>
      <c r="CK20" s="60">
        <v>776.13</v>
      </c>
      <c r="CL20" s="64">
        <f t="shared" si="37"/>
        <v>590.00000000003183</v>
      </c>
      <c r="CM20" s="65">
        <f t="shared" si="41"/>
        <v>58</v>
      </c>
      <c r="CN20" s="62">
        <v>13</v>
      </c>
      <c r="CO20" s="62">
        <v>45</v>
      </c>
      <c r="CP20" s="68">
        <v>10544</v>
      </c>
      <c r="CQ20" s="67">
        <f t="shared" si="38"/>
        <v>48</v>
      </c>
      <c r="CR20" s="68">
        <v>14611</v>
      </c>
      <c r="CS20" s="67">
        <f t="shared" si="38"/>
        <v>10</v>
      </c>
      <c r="CT20" s="75">
        <v>6691</v>
      </c>
      <c r="CU20" s="67">
        <f t="shared" si="38"/>
        <v>14</v>
      </c>
      <c r="CV20" s="68">
        <v>15812</v>
      </c>
      <c r="CW20" s="67">
        <f t="shared" si="38"/>
        <v>18</v>
      </c>
    </row>
    <row r="21" spans="1:101" ht="25.5" customHeight="1" thickBot="1" x14ac:dyDescent="0.45">
      <c r="A21" s="63">
        <v>44395</v>
      </c>
      <c r="B21" s="44"/>
      <c r="C21" s="58">
        <v>2.3325</v>
      </c>
      <c r="D21" s="64">
        <f t="shared" si="0"/>
        <v>2099.9999999999909</v>
      </c>
      <c r="E21" s="58">
        <v>3.3165</v>
      </c>
      <c r="F21" s="64">
        <f t="shared" si="1"/>
        <v>2499.9999999999468</v>
      </c>
      <c r="G21" s="58">
        <v>3.3715000000000002</v>
      </c>
      <c r="H21" s="64">
        <f t="shared" si="2"/>
        <v>2600.0000000001578</v>
      </c>
      <c r="I21" s="58">
        <v>1.6637</v>
      </c>
      <c r="J21" s="64">
        <f t="shared" si="3"/>
        <v>1299.9999999998568</v>
      </c>
      <c r="K21" s="58">
        <v>2.6852</v>
      </c>
      <c r="L21" s="64">
        <f t="shared" si="4"/>
        <v>2000.0000000002237</v>
      </c>
      <c r="M21" s="58">
        <v>1.4779</v>
      </c>
      <c r="N21" s="64">
        <f t="shared" si="5"/>
        <v>999.99999999988984</v>
      </c>
      <c r="O21" s="58">
        <v>14494</v>
      </c>
      <c r="P21" s="67">
        <f t="shared" si="44"/>
        <v>6</v>
      </c>
      <c r="Q21" s="58">
        <v>1070</v>
      </c>
      <c r="R21" s="67">
        <f t="shared" si="6"/>
        <v>2</v>
      </c>
      <c r="S21" s="58">
        <v>1009.1</v>
      </c>
      <c r="T21" s="67" t="str">
        <f t="shared" si="7"/>
        <v/>
      </c>
      <c r="U21" s="58">
        <v>423651.3</v>
      </c>
      <c r="V21" s="67">
        <f t="shared" si="8"/>
        <v>283.89999999996508</v>
      </c>
      <c r="W21" s="58">
        <v>403.42</v>
      </c>
      <c r="X21" s="65">
        <f t="shared" si="9"/>
        <v>230.00000000001819</v>
      </c>
      <c r="Y21" s="58">
        <v>2.8996</v>
      </c>
      <c r="Z21" s="65">
        <f t="shared" si="10"/>
        <v>2399.9999999997358</v>
      </c>
      <c r="AA21" s="58">
        <v>401.8</v>
      </c>
      <c r="AB21" s="65">
        <f t="shared" si="11"/>
        <v>350.00000000002274</v>
      </c>
      <c r="AC21" s="58">
        <v>375.74</v>
      </c>
      <c r="AD21" s="65">
        <f t="shared" si="12"/>
        <v>240.00000000000909</v>
      </c>
      <c r="AE21" s="58">
        <v>573.03</v>
      </c>
      <c r="AF21" s="65">
        <f t="shared" si="13"/>
        <v>250</v>
      </c>
      <c r="AG21" s="58">
        <v>5179</v>
      </c>
      <c r="AH21" s="67">
        <f t="shared" si="14"/>
        <v>35</v>
      </c>
      <c r="AI21" s="58">
        <v>628.25</v>
      </c>
      <c r="AJ21" s="65">
        <f t="shared" si="15"/>
        <v>860.00000000001364</v>
      </c>
      <c r="AK21" s="58">
        <v>208.14</v>
      </c>
      <c r="AL21" s="65">
        <f t="shared" si="15"/>
        <v>89.999999999974989</v>
      </c>
      <c r="AM21" s="58">
        <v>198.04</v>
      </c>
      <c r="AN21" s="65">
        <f t="shared" si="15"/>
        <v>159.99999999999659</v>
      </c>
      <c r="AO21" s="58">
        <v>191.62</v>
      </c>
      <c r="AP21" s="65">
        <f t="shared" si="15"/>
        <v>99.999999999994316</v>
      </c>
      <c r="AQ21" s="58">
        <v>250.25</v>
      </c>
      <c r="AR21" s="65">
        <f t="shared" si="16"/>
        <v>80.000000000012506</v>
      </c>
      <c r="AS21" s="58">
        <v>376.35</v>
      </c>
      <c r="AT21" s="65">
        <f t="shared" si="17"/>
        <v>129.99999999999545</v>
      </c>
      <c r="AU21" s="58">
        <v>286.95</v>
      </c>
      <c r="AV21" s="65">
        <f t="shared" si="18"/>
        <v>69.999999999993179</v>
      </c>
      <c r="AW21" s="58">
        <v>321.61</v>
      </c>
      <c r="AX21" s="65">
        <f t="shared" si="19"/>
        <v>139.99999999998636</v>
      </c>
      <c r="AY21" s="58">
        <v>362.45</v>
      </c>
      <c r="AZ21" s="65">
        <f t="shared" si="20"/>
        <v>39.99999999996362</v>
      </c>
      <c r="BA21" s="58">
        <v>381.7</v>
      </c>
      <c r="BB21" s="65">
        <f t="shared" si="21"/>
        <v>19.99999999998181</v>
      </c>
      <c r="BC21" s="58">
        <v>243.6</v>
      </c>
      <c r="BD21" s="65">
        <f t="shared" si="22"/>
        <v>129.99999999999545</v>
      </c>
      <c r="BE21" s="59">
        <v>40976</v>
      </c>
      <c r="BF21" s="67">
        <f t="shared" si="39"/>
        <v>19</v>
      </c>
      <c r="BG21" s="60">
        <v>234.97</v>
      </c>
      <c r="BH21" s="65">
        <f t="shared" si="23"/>
        <v>30.000000000001137</v>
      </c>
      <c r="BI21" s="60">
        <v>293.73</v>
      </c>
      <c r="BJ21" s="65">
        <f t="shared" si="40"/>
        <v>30.000000000029559</v>
      </c>
      <c r="BK21" s="60">
        <v>237.54</v>
      </c>
      <c r="BL21" s="65">
        <f t="shared" si="24"/>
        <v>30.000000000001137</v>
      </c>
      <c r="BM21" s="60">
        <v>224.6</v>
      </c>
      <c r="BN21" s="65">
        <f t="shared" si="25"/>
        <v>39.999999999992042</v>
      </c>
      <c r="BO21" s="60">
        <v>288.37</v>
      </c>
      <c r="BP21" s="65">
        <f t="shared" si="26"/>
        <v>30.000000000029559</v>
      </c>
      <c r="BQ21" s="60">
        <v>45840</v>
      </c>
      <c r="BR21" s="65">
        <f t="shared" si="27"/>
        <v>31</v>
      </c>
      <c r="BS21" s="60">
        <v>201.35</v>
      </c>
      <c r="BT21" s="65">
        <f t="shared" si="42"/>
        <v>19.99999999998181</v>
      </c>
      <c r="BU21" s="60">
        <v>41499</v>
      </c>
      <c r="BV21" s="65">
        <f t="shared" si="29"/>
        <v>43</v>
      </c>
      <c r="BW21" s="60">
        <v>232.43</v>
      </c>
      <c r="BX21" s="65">
        <f t="shared" si="30"/>
        <v>30.000000000001137</v>
      </c>
      <c r="BY21" s="60">
        <v>61255</v>
      </c>
      <c r="BZ21" s="67">
        <f t="shared" si="31"/>
        <v>48</v>
      </c>
      <c r="CA21" s="60">
        <v>32666.5</v>
      </c>
      <c r="CB21" s="67">
        <f t="shared" si="32"/>
        <v>42.299999999999272</v>
      </c>
      <c r="CC21" s="60">
        <v>12351.7</v>
      </c>
      <c r="CD21" s="67">
        <f t="shared" si="33"/>
        <v>10.100000000000364</v>
      </c>
      <c r="CE21" s="60">
        <v>6520.6</v>
      </c>
      <c r="CF21" s="67">
        <f t="shared" si="34"/>
        <v>11.400000000000546</v>
      </c>
      <c r="CG21" s="60">
        <v>60240.3</v>
      </c>
      <c r="CH21" s="67">
        <f t="shared" si="35"/>
        <v>21.100000000005821</v>
      </c>
      <c r="CI21" s="60">
        <v>954439</v>
      </c>
      <c r="CJ21" s="67">
        <f t="shared" si="36"/>
        <v>261</v>
      </c>
      <c r="CK21" s="60">
        <v>776.77</v>
      </c>
      <c r="CL21" s="64">
        <f t="shared" si="37"/>
        <v>639.99999999998636</v>
      </c>
      <c r="CM21" s="65">
        <f t="shared" si="41"/>
        <v>69</v>
      </c>
      <c r="CN21" s="62">
        <v>15</v>
      </c>
      <c r="CO21" s="62">
        <v>51</v>
      </c>
      <c r="CP21" s="68">
        <v>10592</v>
      </c>
      <c r="CQ21" s="67">
        <f t="shared" si="38"/>
        <v>48</v>
      </c>
      <c r="CR21" s="68">
        <v>14632</v>
      </c>
      <c r="CS21" s="67">
        <f t="shared" si="38"/>
        <v>21</v>
      </c>
      <c r="CT21" s="75">
        <v>6704</v>
      </c>
      <c r="CU21" s="67">
        <f t="shared" si="38"/>
        <v>13</v>
      </c>
      <c r="CV21" s="68">
        <v>15874</v>
      </c>
      <c r="CW21" s="67">
        <f t="shared" si="38"/>
        <v>62</v>
      </c>
    </row>
    <row r="22" spans="1:101" ht="25.5" customHeight="1" thickBot="1" x14ac:dyDescent="0.45">
      <c r="A22" s="63">
        <v>44396</v>
      </c>
      <c r="B22" s="44"/>
      <c r="C22" s="58">
        <v>2.3346</v>
      </c>
      <c r="D22" s="64">
        <f t="shared" si="0"/>
        <v>2099.9999999999909</v>
      </c>
      <c r="E22" s="58">
        <v>3.3191000000000002</v>
      </c>
      <c r="F22" s="64">
        <f t="shared" si="1"/>
        <v>2600.0000000001578</v>
      </c>
      <c r="G22" s="58">
        <v>3.3740000000000001</v>
      </c>
      <c r="H22" s="64">
        <f t="shared" si="2"/>
        <v>2499.9999999999468</v>
      </c>
      <c r="I22" s="58">
        <v>1.6649</v>
      </c>
      <c r="J22" s="64">
        <f t="shared" si="3"/>
        <v>1200.0000000000898</v>
      </c>
      <c r="K22" s="58">
        <v>2.6873</v>
      </c>
      <c r="L22" s="64">
        <f t="shared" si="4"/>
        <v>2099.9999999999909</v>
      </c>
      <c r="M22" s="58">
        <v>1.4786999999999999</v>
      </c>
      <c r="N22" s="64">
        <f t="shared" si="5"/>
        <v>799.99999999991189</v>
      </c>
      <c r="O22" s="58">
        <v>14500</v>
      </c>
      <c r="P22" s="67">
        <f t="shared" si="44"/>
        <v>6</v>
      </c>
      <c r="Q22" s="58">
        <v>1072</v>
      </c>
      <c r="R22" s="67">
        <f t="shared" si="6"/>
        <v>2</v>
      </c>
      <c r="S22" s="58">
        <v>1010</v>
      </c>
      <c r="T22" s="67">
        <f t="shared" si="7"/>
        <v>0.89999999999997726</v>
      </c>
      <c r="U22" s="58">
        <v>423954.1</v>
      </c>
      <c r="V22" s="67">
        <f t="shared" si="8"/>
        <v>302.79999999998836</v>
      </c>
      <c r="W22" s="58">
        <v>403.66</v>
      </c>
      <c r="X22" s="65">
        <f t="shared" si="9"/>
        <v>240.00000000000909</v>
      </c>
      <c r="Y22" s="58">
        <v>2.9020000000000001</v>
      </c>
      <c r="Z22" s="65">
        <f t="shared" si="10"/>
        <v>2400.0000000001796</v>
      </c>
      <c r="AA22" s="58">
        <v>402</v>
      </c>
      <c r="AB22" s="65">
        <f t="shared" si="11"/>
        <v>199.99999999998863</v>
      </c>
      <c r="AC22" s="58">
        <v>375.94</v>
      </c>
      <c r="AD22" s="65">
        <f t="shared" si="12"/>
        <v>199.99999999998863</v>
      </c>
      <c r="AE22" s="58">
        <v>573.32000000000005</v>
      </c>
      <c r="AF22" s="65">
        <f t="shared" si="13"/>
        <v>290.00000000007731</v>
      </c>
      <c r="AG22" s="58">
        <v>5215</v>
      </c>
      <c r="AH22" s="67">
        <f t="shared" si="14"/>
        <v>36</v>
      </c>
      <c r="AI22" s="58">
        <v>629.05999999999995</v>
      </c>
      <c r="AJ22" s="65">
        <f t="shared" si="15"/>
        <v>809.99999999994543</v>
      </c>
      <c r="AK22" s="58">
        <v>208.29</v>
      </c>
      <c r="AL22" s="65">
        <f t="shared" si="15"/>
        <v>150.00000000000568</v>
      </c>
      <c r="AM22" s="58">
        <v>198.19</v>
      </c>
      <c r="AN22" s="65">
        <f t="shared" si="15"/>
        <v>150.00000000000568</v>
      </c>
      <c r="AO22" s="58">
        <v>191.73</v>
      </c>
      <c r="AP22" s="65">
        <f t="shared" si="15"/>
        <v>109.99999999998522</v>
      </c>
      <c r="AQ22" s="58">
        <v>250.34</v>
      </c>
      <c r="AR22" s="65">
        <f t="shared" si="16"/>
        <v>90.000000000003411</v>
      </c>
      <c r="AS22" s="58">
        <v>376.47</v>
      </c>
      <c r="AT22" s="65">
        <f t="shared" si="17"/>
        <v>120.00000000000455</v>
      </c>
      <c r="AU22" s="58">
        <v>287.04000000000002</v>
      </c>
      <c r="AV22" s="65">
        <f t="shared" si="18"/>
        <v>90.000000000031832</v>
      </c>
      <c r="AW22" s="58">
        <v>321.76</v>
      </c>
      <c r="AX22" s="65">
        <f t="shared" si="19"/>
        <v>149.99999999997726</v>
      </c>
      <c r="AY22" s="58">
        <v>362.49</v>
      </c>
      <c r="AZ22" s="65">
        <f t="shared" si="20"/>
        <v>40.000000000020464</v>
      </c>
      <c r="BA22" s="58">
        <v>381.72</v>
      </c>
      <c r="BB22" s="65">
        <f t="shared" si="21"/>
        <v>20.000000000038654</v>
      </c>
      <c r="BC22" s="58">
        <v>243.75</v>
      </c>
      <c r="BD22" s="65">
        <f t="shared" si="22"/>
        <v>150.00000000000568</v>
      </c>
      <c r="BE22" s="59">
        <v>41007</v>
      </c>
      <c r="BF22" s="67">
        <f t="shared" si="39"/>
        <v>31</v>
      </c>
      <c r="BG22" s="60">
        <v>234.99</v>
      </c>
      <c r="BH22" s="65">
        <f t="shared" si="23"/>
        <v>20.000000000010232</v>
      </c>
      <c r="BI22" s="60">
        <v>293.75</v>
      </c>
      <c r="BJ22" s="65">
        <f t="shared" si="40"/>
        <v>19.99999999998181</v>
      </c>
      <c r="BK22" s="60">
        <v>237.57</v>
      </c>
      <c r="BL22" s="65">
        <f t="shared" si="24"/>
        <v>30.000000000001137</v>
      </c>
      <c r="BM22" s="60">
        <v>224.64</v>
      </c>
      <c r="BN22" s="65">
        <f t="shared" si="25"/>
        <v>39.999999999992042</v>
      </c>
      <c r="BO22" s="60">
        <v>288.39999999999998</v>
      </c>
      <c r="BP22" s="65">
        <f t="shared" si="26"/>
        <v>29.999999999972715</v>
      </c>
      <c r="BQ22" s="60">
        <v>45869</v>
      </c>
      <c r="BR22" s="65">
        <f t="shared" si="27"/>
        <v>29</v>
      </c>
      <c r="BS22" s="60">
        <v>201.38</v>
      </c>
      <c r="BT22" s="65">
        <f t="shared" si="42"/>
        <v>30.000000000001137</v>
      </c>
      <c r="BU22" s="60">
        <v>41544</v>
      </c>
      <c r="BV22" s="65">
        <f t="shared" si="29"/>
        <v>45</v>
      </c>
      <c r="BW22" s="60">
        <v>232.46</v>
      </c>
      <c r="BX22" s="65">
        <f t="shared" si="30"/>
        <v>30.000000000001137</v>
      </c>
      <c r="BY22" s="60">
        <v>61300</v>
      </c>
      <c r="BZ22" s="67">
        <f t="shared" si="31"/>
        <v>45</v>
      </c>
      <c r="CA22" s="60">
        <v>32692.799999999999</v>
      </c>
      <c r="CB22" s="67">
        <f t="shared" si="32"/>
        <v>26.299999999999272</v>
      </c>
      <c r="CC22" s="60">
        <v>12360.8</v>
      </c>
      <c r="CD22" s="67">
        <f t="shared" si="33"/>
        <v>9.0999999999985448</v>
      </c>
      <c r="CE22" s="60">
        <v>6521.4</v>
      </c>
      <c r="CF22" s="67">
        <f t="shared" si="34"/>
        <v>0.7999999999992724</v>
      </c>
      <c r="CG22" s="60">
        <v>60258.1</v>
      </c>
      <c r="CH22" s="67">
        <f t="shared" si="35"/>
        <v>17.799999999995634</v>
      </c>
      <c r="CI22" s="60">
        <v>954731</v>
      </c>
      <c r="CJ22" s="67">
        <f t="shared" si="36"/>
        <v>292</v>
      </c>
      <c r="CK22" s="60">
        <v>777.42</v>
      </c>
      <c r="CL22" s="64">
        <f t="shared" si="37"/>
        <v>649.99999999997726</v>
      </c>
      <c r="CM22" s="65">
        <f t="shared" si="41"/>
        <v>67</v>
      </c>
      <c r="CN22" s="62">
        <v>0</v>
      </c>
      <c r="CO22" s="62">
        <v>0</v>
      </c>
      <c r="CP22" s="68">
        <v>10634</v>
      </c>
      <c r="CQ22" s="67">
        <f t="shared" si="38"/>
        <v>42</v>
      </c>
      <c r="CR22" s="68">
        <v>14657</v>
      </c>
      <c r="CS22" s="67">
        <f t="shared" si="38"/>
        <v>25</v>
      </c>
      <c r="CT22" s="75">
        <v>6715</v>
      </c>
      <c r="CU22" s="67">
        <f t="shared" si="38"/>
        <v>11</v>
      </c>
      <c r="CV22" s="68">
        <v>15913</v>
      </c>
      <c r="CW22" s="67">
        <f t="shared" si="38"/>
        <v>39</v>
      </c>
    </row>
    <row r="23" spans="1:101" ht="25.5" customHeight="1" thickBot="1" x14ac:dyDescent="0.45">
      <c r="A23" s="63">
        <v>44397</v>
      </c>
      <c r="B23" s="44"/>
      <c r="C23" s="58">
        <v>2.3367</v>
      </c>
      <c r="D23" s="64">
        <f t="shared" si="0"/>
        <v>2099.9999999999909</v>
      </c>
      <c r="E23" s="58">
        <v>3.3218000000000001</v>
      </c>
      <c r="F23" s="64">
        <f t="shared" si="1"/>
        <v>2699.9999999999245</v>
      </c>
      <c r="G23" s="58">
        <v>3.3767</v>
      </c>
      <c r="H23" s="64">
        <f t="shared" si="2"/>
        <v>2699.9999999999245</v>
      </c>
      <c r="I23" s="58">
        <v>1.6660999999999999</v>
      </c>
      <c r="J23" s="64">
        <f t="shared" si="3"/>
        <v>1199.9999999998679</v>
      </c>
      <c r="K23" s="58">
        <v>2.6894999999999998</v>
      </c>
      <c r="L23" s="64">
        <f t="shared" si="4"/>
        <v>2199.9999999997576</v>
      </c>
      <c r="M23" s="58">
        <v>1.4795</v>
      </c>
      <c r="N23" s="64">
        <f t="shared" si="5"/>
        <v>800.00000000013392</v>
      </c>
      <c r="O23" s="58">
        <v>14506</v>
      </c>
      <c r="P23" s="67">
        <f t="shared" si="44"/>
        <v>6</v>
      </c>
      <c r="Q23" s="58">
        <v>1074</v>
      </c>
      <c r="R23" s="67">
        <f t="shared" si="6"/>
        <v>2</v>
      </c>
      <c r="S23" s="58">
        <v>1010.8</v>
      </c>
      <c r="T23" s="67">
        <f t="shared" si="7"/>
        <v>0.79999999999995453</v>
      </c>
      <c r="U23" s="58">
        <v>424283.4</v>
      </c>
      <c r="V23" s="67">
        <f t="shared" si="8"/>
        <v>329.30000000004657</v>
      </c>
      <c r="W23" s="58">
        <v>403.89</v>
      </c>
      <c r="X23" s="65">
        <f t="shared" si="9"/>
        <v>229.99999999996135</v>
      </c>
      <c r="Y23" s="58">
        <v>2.9043999999999999</v>
      </c>
      <c r="Z23" s="65">
        <f t="shared" si="10"/>
        <v>2399.9999999997358</v>
      </c>
      <c r="AA23" s="58">
        <v>402.26</v>
      </c>
      <c r="AB23" s="65">
        <f t="shared" si="11"/>
        <v>259.99999999999091</v>
      </c>
      <c r="AC23" s="58">
        <v>376.19</v>
      </c>
      <c r="AD23" s="65">
        <f t="shared" si="12"/>
        <v>250</v>
      </c>
      <c r="AE23" s="58">
        <v>573.57000000000005</v>
      </c>
      <c r="AF23" s="65">
        <f t="shared" si="13"/>
        <v>250</v>
      </c>
      <c r="AG23" s="58">
        <v>5251</v>
      </c>
      <c r="AH23" s="67">
        <f t="shared" si="14"/>
        <v>36</v>
      </c>
      <c r="AI23" s="58">
        <v>629.85</v>
      </c>
      <c r="AJ23" s="65">
        <f t="shared" si="15"/>
        <v>790.00000000007731</v>
      </c>
      <c r="AK23" s="58">
        <v>208.42</v>
      </c>
      <c r="AL23" s="65">
        <f t="shared" si="15"/>
        <v>129.99999999999545</v>
      </c>
      <c r="AM23" s="58">
        <v>198.34</v>
      </c>
      <c r="AN23" s="65">
        <f t="shared" si="15"/>
        <v>150.00000000000568</v>
      </c>
      <c r="AO23" s="58">
        <v>191.85</v>
      </c>
      <c r="AP23" s="65">
        <f t="shared" si="15"/>
        <v>120.00000000000455</v>
      </c>
      <c r="AQ23" s="58">
        <v>250.45</v>
      </c>
      <c r="AR23" s="65">
        <f t="shared" si="16"/>
        <v>109.99999999998522</v>
      </c>
      <c r="AS23" s="58">
        <v>376.58</v>
      </c>
      <c r="AT23" s="65">
        <f t="shared" si="17"/>
        <v>109.9999999999568</v>
      </c>
      <c r="AU23" s="58">
        <v>287.14</v>
      </c>
      <c r="AV23" s="65">
        <f t="shared" si="18"/>
        <v>99.999999999965894</v>
      </c>
      <c r="AW23" s="58">
        <v>321.88</v>
      </c>
      <c r="AX23" s="65">
        <f t="shared" si="19"/>
        <v>120.00000000000455</v>
      </c>
      <c r="AY23" s="58">
        <v>362.54</v>
      </c>
      <c r="AZ23" s="65">
        <f t="shared" si="20"/>
        <v>50.000000000011369</v>
      </c>
      <c r="BA23" s="58">
        <v>381.76</v>
      </c>
      <c r="BB23" s="65">
        <f t="shared" si="21"/>
        <v>39.99999999996362</v>
      </c>
      <c r="BC23" s="58">
        <v>243.92</v>
      </c>
      <c r="BD23" s="65">
        <f t="shared" si="22"/>
        <v>169.99999999998749</v>
      </c>
      <c r="BE23" s="59"/>
      <c r="BF23" s="67" t="str">
        <f t="shared" si="39"/>
        <v/>
      </c>
      <c r="BG23" s="60">
        <v>235.02</v>
      </c>
      <c r="BH23" s="65">
        <f t="shared" si="23"/>
        <v>30.000000000001137</v>
      </c>
      <c r="BI23" s="60">
        <v>293.77999999999997</v>
      </c>
      <c r="BJ23" s="65">
        <f t="shared" si="40"/>
        <v>29.999999999972715</v>
      </c>
      <c r="BK23" s="60">
        <v>237.6</v>
      </c>
      <c r="BL23" s="65">
        <f t="shared" si="24"/>
        <v>30.000000000001137</v>
      </c>
      <c r="BM23" s="60">
        <v>224.68</v>
      </c>
      <c r="BN23" s="65">
        <f t="shared" si="25"/>
        <v>40.000000000020464</v>
      </c>
      <c r="BO23" s="60">
        <v>288.44</v>
      </c>
      <c r="BP23" s="65">
        <f t="shared" si="26"/>
        <v>40.000000000020464</v>
      </c>
      <c r="BQ23" s="60">
        <v>45904</v>
      </c>
      <c r="BR23" s="65">
        <f t="shared" si="27"/>
        <v>35</v>
      </c>
      <c r="BS23" s="60">
        <v>201.41</v>
      </c>
      <c r="BT23" s="65">
        <f t="shared" si="42"/>
        <v>30.000000000001137</v>
      </c>
      <c r="BU23" s="60">
        <v>41586</v>
      </c>
      <c r="BV23" s="65">
        <f t="shared" si="29"/>
        <v>42</v>
      </c>
      <c r="BW23" s="60">
        <v>232.48</v>
      </c>
      <c r="BX23" s="65">
        <f t="shared" si="30"/>
        <v>19.99999999998181</v>
      </c>
      <c r="BY23" s="60">
        <v>61352</v>
      </c>
      <c r="BZ23" s="67">
        <f t="shared" si="31"/>
        <v>52</v>
      </c>
      <c r="CA23" s="60">
        <v>32728.400000000001</v>
      </c>
      <c r="CB23" s="67">
        <f t="shared" si="32"/>
        <v>35.600000000002183</v>
      </c>
      <c r="CC23" s="60">
        <v>12369.4</v>
      </c>
      <c r="CD23" s="67">
        <f t="shared" si="33"/>
        <v>8.6000000000003638</v>
      </c>
      <c r="CE23" s="60">
        <v>6530.3</v>
      </c>
      <c r="CF23" s="67">
        <f t="shared" si="34"/>
        <v>8.9000000000005457</v>
      </c>
      <c r="CG23" s="60">
        <v>60291.199999999997</v>
      </c>
      <c r="CH23" s="67">
        <f t="shared" si="35"/>
        <v>33.099999999998545</v>
      </c>
      <c r="CI23" s="60">
        <v>955003</v>
      </c>
      <c r="CJ23" s="67">
        <f t="shared" si="36"/>
        <v>272</v>
      </c>
      <c r="CK23" s="60">
        <v>778.11</v>
      </c>
      <c r="CL23" s="64">
        <f t="shared" si="37"/>
        <v>690.00000000005457</v>
      </c>
      <c r="CM23" s="65">
        <f t="shared" si="41"/>
        <v>67</v>
      </c>
      <c r="CN23" s="62">
        <v>14</v>
      </c>
      <c r="CO23" s="62">
        <v>49</v>
      </c>
      <c r="CP23" s="68">
        <v>10677</v>
      </c>
      <c r="CQ23" s="67">
        <f t="shared" si="38"/>
        <v>43</v>
      </c>
      <c r="CR23" s="68">
        <v>14681</v>
      </c>
      <c r="CS23" s="67">
        <f t="shared" si="38"/>
        <v>24</v>
      </c>
      <c r="CT23" s="75">
        <v>6727</v>
      </c>
      <c r="CU23" s="67">
        <f t="shared" si="38"/>
        <v>12</v>
      </c>
      <c r="CV23" s="68">
        <v>15959</v>
      </c>
      <c r="CW23" s="67">
        <f t="shared" si="38"/>
        <v>46</v>
      </c>
    </row>
    <row r="24" spans="1:101" ht="25.5" customHeight="1" thickBot="1" x14ac:dyDescent="0.45">
      <c r="A24" s="63">
        <v>44398</v>
      </c>
      <c r="B24" s="44"/>
      <c r="C24" s="58">
        <v>2.3388</v>
      </c>
      <c r="D24" s="64">
        <f t="shared" si="0"/>
        <v>2099.9999999999909</v>
      </c>
      <c r="E24" s="58">
        <v>3.3243999999999998</v>
      </c>
      <c r="F24" s="64">
        <f t="shared" si="1"/>
        <v>2599.9999999997135</v>
      </c>
      <c r="G24" s="58">
        <v>3.3794</v>
      </c>
      <c r="H24" s="64">
        <f t="shared" si="2"/>
        <v>2699.9999999999245</v>
      </c>
      <c r="I24" s="58">
        <v>1.6674</v>
      </c>
      <c r="J24" s="64">
        <f t="shared" si="3"/>
        <v>1300.0000000000789</v>
      </c>
      <c r="K24" s="58">
        <v>2.6916000000000002</v>
      </c>
      <c r="L24" s="64">
        <f t="shared" si="4"/>
        <v>2100.0000000004347</v>
      </c>
      <c r="M24" s="58">
        <v>1.4802999999999999</v>
      </c>
      <c r="N24" s="64">
        <f t="shared" si="5"/>
        <v>799.99999999991189</v>
      </c>
      <c r="O24" s="58">
        <v>14506</v>
      </c>
      <c r="P24" s="67">
        <f t="shared" si="44"/>
        <v>0</v>
      </c>
      <c r="Q24" s="58">
        <v>1076</v>
      </c>
      <c r="R24" s="67">
        <f t="shared" si="6"/>
        <v>2</v>
      </c>
      <c r="S24" s="58">
        <v>1011.9</v>
      </c>
      <c r="T24" s="67">
        <f t="shared" si="7"/>
        <v>1.1000000000000227</v>
      </c>
      <c r="U24" s="58">
        <v>424685.5</v>
      </c>
      <c r="V24" s="67">
        <f t="shared" si="8"/>
        <v>402.09999999997672</v>
      </c>
      <c r="W24" s="58">
        <v>404.13</v>
      </c>
      <c r="X24" s="65">
        <f t="shared" si="9"/>
        <v>240.00000000000909</v>
      </c>
      <c r="Y24" s="58">
        <v>2.9068000000000001</v>
      </c>
      <c r="Z24" s="65">
        <f t="shared" si="10"/>
        <v>2400.0000000001796</v>
      </c>
      <c r="AA24" s="58">
        <v>402.52</v>
      </c>
      <c r="AB24" s="65">
        <f t="shared" si="11"/>
        <v>259.99999999999091</v>
      </c>
      <c r="AC24" s="58">
        <v>376.43</v>
      </c>
      <c r="AD24" s="65">
        <f t="shared" si="12"/>
        <v>240.00000000000909</v>
      </c>
      <c r="AE24" s="58">
        <v>573.78</v>
      </c>
      <c r="AF24" s="65">
        <f t="shared" si="13"/>
        <v>209.99999999992269</v>
      </c>
      <c r="AG24" s="58">
        <v>5276</v>
      </c>
      <c r="AH24" s="67">
        <f t="shared" si="14"/>
        <v>25</v>
      </c>
      <c r="AI24" s="58">
        <v>630.65</v>
      </c>
      <c r="AJ24" s="65">
        <f t="shared" si="15"/>
        <v>799.99999999995453</v>
      </c>
      <c r="AK24" s="58">
        <v>208.53</v>
      </c>
      <c r="AL24" s="65">
        <f t="shared" si="15"/>
        <v>110.00000000001364</v>
      </c>
      <c r="AM24" s="58">
        <v>198.5</v>
      </c>
      <c r="AN24" s="65">
        <f t="shared" si="15"/>
        <v>159.99999999999659</v>
      </c>
      <c r="AO24" s="58">
        <v>191.94</v>
      </c>
      <c r="AP24" s="65">
        <f t="shared" si="15"/>
        <v>90.000000000003411</v>
      </c>
      <c r="AQ24" s="58">
        <v>250.53</v>
      </c>
      <c r="AR24" s="65">
        <f t="shared" si="16"/>
        <v>80.000000000012506</v>
      </c>
      <c r="AS24" s="58">
        <v>376.7</v>
      </c>
      <c r="AT24" s="65">
        <f t="shared" si="17"/>
        <v>120.00000000000455</v>
      </c>
      <c r="AU24" s="58">
        <v>287.23</v>
      </c>
      <c r="AV24" s="65">
        <f t="shared" si="18"/>
        <v>90.000000000031832</v>
      </c>
      <c r="AW24" s="58">
        <v>322.01</v>
      </c>
      <c r="AX24" s="65">
        <f t="shared" si="19"/>
        <v>129.99999999999545</v>
      </c>
      <c r="AY24" s="58">
        <v>362.58</v>
      </c>
      <c r="AZ24" s="65">
        <f t="shared" si="20"/>
        <v>39.99999999996362</v>
      </c>
      <c r="BA24" s="58">
        <v>381.79</v>
      </c>
      <c r="BB24" s="65">
        <f t="shared" si="21"/>
        <v>30.000000000029559</v>
      </c>
      <c r="BC24" s="58">
        <v>244.05</v>
      </c>
      <c r="BD24" s="65">
        <f t="shared" si="22"/>
        <v>130.00000000002387</v>
      </c>
      <c r="BE24" s="59"/>
      <c r="BF24" s="67">
        <f t="shared" si="39"/>
        <v>0</v>
      </c>
      <c r="BG24" s="60">
        <v>235.04</v>
      </c>
      <c r="BH24" s="65">
        <f t="shared" si="23"/>
        <v>19.99999999998181</v>
      </c>
      <c r="BI24" s="60">
        <v>293.81</v>
      </c>
      <c r="BJ24" s="65">
        <f t="shared" si="40"/>
        <v>30.000000000029559</v>
      </c>
      <c r="BK24" s="60">
        <v>237.62</v>
      </c>
      <c r="BL24" s="65">
        <f t="shared" si="24"/>
        <v>20.000000000010232</v>
      </c>
      <c r="BM24" s="60">
        <v>224.72</v>
      </c>
      <c r="BN24" s="65">
        <f t="shared" si="25"/>
        <v>39.999999999992042</v>
      </c>
      <c r="BO24" s="60">
        <v>288.48</v>
      </c>
      <c r="BP24" s="65">
        <f t="shared" si="26"/>
        <v>40.000000000020464</v>
      </c>
      <c r="BQ24" s="60">
        <v>45936</v>
      </c>
      <c r="BR24" s="65">
        <f t="shared" si="27"/>
        <v>32</v>
      </c>
      <c r="BS24" s="60">
        <v>201.44</v>
      </c>
      <c r="BT24" s="65">
        <f t="shared" si="42"/>
        <v>30.000000000001137</v>
      </c>
      <c r="BU24" s="60">
        <v>41623</v>
      </c>
      <c r="BV24" s="65">
        <f t="shared" si="29"/>
        <v>37</v>
      </c>
      <c r="BW24" s="60">
        <v>232.51</v>
      </c>
      <c r="BX24" s="65">
        <f t="shared" si="30"/>
        <v>30.000000000001137</v>
      </c>
      <c r="BY24" s="60">
        <v>61399</v>
      </c>
      <c r="BZ24" s="67">
        <f t="shared" si="31"/>
        <v>47</v>
      </c>
      <c r="CA24" s="60">
        <v>32754.7</v>
      </c>
      <c r="CB24" s="67">
        <f t="shared" si="32"/>
        <v>26.299999999999272</v>
      </c>
      <c r="CC24" s="60">
        <v>12378</v>
      </c>
      <c r="CD24" s="67">
        <f t="shared" si="33"/>
        <v>8.6000000000003638</v>
      </c>
      <c r="CE24" s="60">
        <v>6542.2</v>
      </c>
      <c r="CF24" s="67">
        <f t="shared" si="34"/>
        <v>11.899999999999636</v>
      </c>
      <c r="CG24" s="60">
        <v>60324.4</v>
      </c>
      <c r="CH24" s="67">
        <f t="shared" si="35"/>
        <v>33.200000000004366</v>
      </c>
      <c r="CI24" s="60">
        <v>955271</v>
      </c>
      <c r="CJ24" s="67">
        <f t="shared" si="36"/>
        <v>268</v>
      </c>
      <c r="CK24" s="60">
        <v>778.67</v>
      </c>
      <c r="CL24" s="64">
        <f t="shared" si="37"/>
        <v>559.99999999994543</v>
      </c>
      <c r="CM24" s="65">
        <f t="shared" si="41"/>
        <v>71</v>
      </c>
      <c r="CN24" s="62">
        <v>14</v>
      </c>
      <c r="CO24" s="62">
        <v>49</v>
      </c>
      <c r="CP24" s="68">
        <v>10727</v>
      </c>
      <c r="CQ24" s="67">
        <f t="shared" si="38"/>
        <v>50</v>
      </c>
      <c r="CR24" s="68">
        <v>14702</v>
      </c>
      <c r="CS24" s="67">
        <f t="shared" si="38"/>
        <v>21</v>
      </c>
      <c r="CT24" s="75">
        <v>6739</v>
      </c>
      <c r="CU24" s="67">
        <f t="shared" si="38"/>
        <v>12</v>
      </c>
      <c r="CV24" s="68">
        <v>16011</v>
      </c>
      <c r="CW24" s="67">
        <f t="shared" si="38"/>
        <v>52</v>
      </c>
    </row>
    <row r="25" spans="1:101" ht="25.5" customHeight="1" thickBot="1" x14ac:dyDescent="0.45">
      <c r="A25" s="63">
        <v>44399</v>
      </c>
      <c r="B25" s="44"/>
      <c r="C25" s="58"/>
      <c r="D25" s="64" t="str">
        <f t="shared" si="0"/>
        <v>0</v>
      </c>
      <c r="E25" s="58"/>
      <c r="F25" s="64" t="str">
        <f t="shared" si="1"/>
        <v>0</v>
      </c>
      <c r="G25" s="58"/>
      <c r="H25" s="64" t="str">
        <f t="shared" si="2"/>
        <v>0</v>
      </c>
      <c r="I25" s="58"/>
      <c r="J25" s="64" t="str">
        <f t="shared" si="3"/>
        <v>0</v>
      </c>
      <c r="K25" s="58"/>
      <c r="L25" s="64" t="str">
        <f t="shared" si="4"/>
        <v>0</v>
      </c>
      <c r="M25" s="58"/>
      <c r="N25" s="64" t="str">
        <f t="shared" si="5"/>
        <v/>
      </c>
      <c r="O25" s="58"/>
      <c r="P25" s="67" t="str">
        <f t="shared" si="44"/>
        <v/>
      </c>
      <c r="Q25" s="58"/>
      <c r="R25" s="67" t="str">
        <f t="shared" si="6"/>
        <v/>
      </c>
      <c r="S25" s="58"/>
      <c r="T25" s="67" t="str">
        <f t="shared" si="7"/>
        <v/>
      </c>
      <c r="U25" s="58"/>
      <c r="V25" s="67" t="str">
        <f t="shared" si="8"/>
        <v/>
      </c>
      <c r="W25" s="58"/>
      <c r="X25" s="65" t="str">
        <f t="shared" si="9"/>
        <v/>
      </c>
      <c r="Y25" s="58"/>
      <c r="Z25" s="65" t="str">
        <f t="shared" si="10"/>
        <v/>
      </c>
      <c r="AA25" s="58"/>
      <c r="AB25" s="65" t="str">
        <f t="shared" si="11"/>
        <v/>
      </c>
      <c r="AC25" s="58"/>
      <c r="AD25" s="65" t="str">
        <f t="shared" si="12"/>
        <v/>
      </c>
      <c r="AE25" s="58"/>
      <c r="AF25" s="65" t="str">
        <f t="shared" si="13"/>
        <v/>
      </c>
      <c r="AG25" s="58"/>
      <c r="AH25" s="67" t="str">
        <f t="shared" si="14"/>
        <v/>
      </c>
      <c r="AI25" s="58"/>
      <c r="AJ25" s="65" t="str">
        <f t="shared" si="15"/>
        <v/>
      </c>
      <c r="AK25" s="58"/>
      <c r="AL25" s="65" t="str">
        <f t="shared" si="15"/>
        <v/>
      </c>
      <c r="AM25" s="58"/>
      <c r="AN25" s="65" t="str">
        <f t="shared" si="15"/>
        <v/>
      </c>
      <c r="AO25" s="58"/>
      <c r="AP25" s="65" t="str">
        <f t="shared" si="15"/>
        <v/>
      </c>
      <c r="AQ25" s="58"/>
      <c r="AR25" s="65" t="str">
        <f t="shared" si="16"/>
        <v/>
      </c>
      <c r="AS25" s="58"/>
      <c r="AT25" s="65" t="str">
        <f t="shared" si="17"/>
        <v/>
      </c>
      <c r="AU25" s="58"/>
      <c r="AV25" s="65" t="str">
        <f t="shared" si="18"/>
        <v/>
      </c>
      <c r="AW25" s="58"/>
      <c r="AX25" s="65" t="str">
        <f t="shared" si="19"/>
        <v/>
      </c>
      <c r="AY25" s="58"/>
      <c r="AZ25" s="65" t="str">
        <f t="shared" si="20"/>
        <v/>
      </c>
      <c r="BA25" s="58"/>
      <c r="BB25" s="65" t="str">
        <f t="shared" si="21"/>
        <v/>
      </c>
      <c r="BC25" s="58"/>
      <c r="BD25" s="65" t="str">
        <f t="shared" si="22"/>
        <v/>
      </c>
      <c r="BE25" s="59"/>
      <c r="BF25" s="67">
        <f t="shared" si="39"/>
        <v>0</v>
      </c>
      <c r="BG25" s="60"/>
      <c r="BH25" s="65" t="str">
        <f t="shared" si="23"/>
        <v/>
      </c>
      <c r="BI25" s="60"/>
      <c r="BJ25" s="65" t="str">
        <f t="shared" si="40"/>
        <v/>
      </c>
      <c r="BK25" s="60"/>
      <c r="BL25" s="65" t="str">
        <f t="shared" si="24"/>
        <v/>
      </c>
      <c r="BM25" s="60"/>
      <c r="BN25" s="65" t="str">
        <f t="shared" si="25"/>
        <v/>
      </c>
      <c r="BO25" s="60"/>
      <c r="BP25" s="65" t="str">
        <f t="shared" si="26"/>
        <v/>
      </c>
      <c r="BQ25" s="60"/>
      <c r="BR25" s="65" t="str">
        <f t="shared" si="27"/>
        <v/>
      </c>
      <c r="BS25" s="60"/>
      <c r="BT25" s="65" t="str">
        <f t="shared" si="42"/>
        <v/>
      </c>
      <c r="BU25" s="60"/>
      <c r="BV25" s="65" t="str">
        <f t="shared" si="29"/>
        <v/>
      </c>
      <c r="BW25" s="60"/>
      <c r="BX25" s="65" t="str">
        <f t="shared" si="30"/>
        <v/>
      </c>
      <c r="BY25" s="60"/>
      <c r="BZ25" s="67" t="str">
        <f t="shared" si="31"/>
        <v/>
      </c>
      <c r="CA25" s="60"/>
      <c r="CB25" s="67" t="str">
        <f t="shared" si="32"/>
        <v/>
      </c>
      <c r="CC25" s="60"/>
      <c r="CD25" s="67" t="str">
        <f t="shared" si="33"/>
        <v/>
      </c>
      <c r="CE25" s="60"/>
      <c r="CF25" s="67" t="str">
        <f t="shared" si="34"/>
        <v/>
      </c>
      <c r="CG25" s="60"/>
      <c r="CH25" s="67" t="str">
        <f t="shared" si="35"/>
        <v/>
      </c>
      <c r="CI25" s="60"/>
      <c r="CJ25" s="67" t="str">
        <f t="shared" si="36"/>
        <v/>
      </c>
      <c r="CK25" s="60"/>
      <c r="CL25" s="64" t="str">
        <f t="shared" si="37"/>
        <v/>
      </c>
      <c r="CM25" s="65" t="e">
        <f t="shared" si="41"/>
        <v>#VALUE!</v>
      </c>
      <c r="CN25" s="62">
        <v>0</v>
      </c>
      <c r="CO25" s="62">
        <v>0</v>
      </c>
      <c r="CP25" s="68"/>
      <c r="CQ25" s="67" t="str">
        <f t="shared" si="38"/>
        <v/>
      </c>
      <c r="CR25" s="68"/>
      <c r="CS25" s="67" t="str">
        <f t="shared" si="38"/>
        <v/>
      </c>
      <c r="CT25" s="75"/>
      <c r="CU25" s="67" t="str">
        <f t="shared" si="38"/>
        <v/>
      </c>
      <c r="CV25" s="68"/>
      <c r="CW25" s="67" t="str">
        <f t="shared" si="38"/>
        <v/>
      </c>
    </row>
    <row r="26" spans="1:101" ht="25.5" customHeight="1" thickBot="1" x14ac:dyDescent="0.45">
      <c r="A26" s="63">
        <v>44400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44401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44402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44403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44404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44405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44406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44407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44408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2" zoomScaleNormal="100" workbookViewId="0">
      <selection activeCell="C28" sqref="C28:Q2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11</v>
      </c>
      <c r="D13" s="40">
        <v>27</v>
      </c>
      <c r="E13" s="41">
        <v>85</v>
      </c>
      <c r="F13" s="41">
        <v>5403</v>
      </c>
      <c r="G13" s="41">
        <v>0</v>
      </c>
      <c r="H13" s="41">
        <v>1553</v>
      </c>
      <c r="I13" s="41">
        <v>83</v>
      </c>
      <c r="J13" s="41">
        <v>365</v>
      </c>
      <c r="K13" s="42">
        <v>85</v>
      </c>
      <c r="L13" s="42">
        <v>74</v>
      </c>
      <c r="M13" s="42">
        <v>1353</v>
      </c>
      <c r="N13" s="39">
        <v>85</v>
      </c>
      <c r="O13" s="39">
        <v>40</v>
      </c>
      <c r="P13" s="39">
        <v>85</v>
      </c>
      <c r="Q13" s="39">
        <v>3905</v>
      </c>
      <c r="R13" s="78">
        <v>70</v>
      </c>
      <c r="S13" s="78">
        <v>198</v>
      </c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14</v>
      </c>
      <c r="D14" s="40">
        <v>31</v>
      </c>
      <c r="E14" s="41">
        <v>85</v>
      </c>
      <c r="F14" s="41">
        <v>5408</v>
      </c>
      <c r="G14" s="41">
        <v>0</v>
      </c>
      <c r="H14" s="41">
        <v>1556</v>
      </c>
      <c r="I14" s="41">
        <v>73</v>
      </c>
      <c r="J14" s="41">
        <v>365</v>
      </c>
      <c r="K14" s="42">
        <v>85</v>
      </c>
      <c r="L14" s="42">
        <v>70</v>
      </c>
      <c r="M14" s="42">
        <v>1355</v>
      </c>
      <c r="N14" s="39">
        <v>85</v>
      </c>
      <c r="O14" s="39">
        <v>35</v>
      </c>
      <c r="P14" s="39">
        <v>85</v>
      </c>
      <c r="Q14" s="39">
        <v>3909</v>
      </c>
      <c r="R14" s="78">
        <v>70</v>
      </c>
      <c r="S14" s="78">
        <v>198</v>
      </c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12</v>
      </c>
      <c r="D15" s="40">
        <v>29</v>
      </c>
      <c r="E15" s="41">
        <v>85</v>
      </c>
      <c r="F15" s="41">
        <v>5412</v>
      </c>
      <c r="G15" s="41">
        <v>0</v>
      </c>
      <c r="H15" s="41">
        <v>1561</v>
      </c>
      <c r="I15" s="41">
        <v>65</v>
      </c>
      <c r="J15" s="41">
        <v>366</v>
      </c>
      <c r="K15" s="42">
        <v>85</v>
      </c>
      <c r="L15" s="42">
        <v>70</v>
      </c>
      <c r="M15" s="42">
        <v>1355</v>
      </c>
      <c r="N15" s="39">
        <v>85</v>
      </c>
      <c r="O15" s="39">
        <v>30</v>
      </c>
      <c r="P15" s="39">
        <v>85</v>
      </c>
      <c r="Q15" s="39">
        <v>3914</v>
      </c>
      <c r="R15" s="78">
        <v>70</v>
      </c>
      <c r="S15" s="78">
        <v>198</v>
      </c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12</v>
      </c>
      <c r="D16" s="40">
        <v>29</v>
      </c>
      <c r="E16" s="41">
        <v>85</v>
      </c>
      <c r="F16" s="41">
        <v>5417</v>
      </c>
      <c r="G16" s="41">
        <v>0</v>
      </c>
      <c r="H16" s="41">
        <v>1563</v>
      </c>
      <c r="I16" s="41">
        <v>50</v>
      </c>
      <c r="J16" s="41">
        <v>367</v>
      </c>
      <c r="K16" s="42">
        <v>85</v>
      </c>
      <c r="L16" s="42">
        <v>70</v>
      </c>
      <c r="M16" s="42">
        <v>1356</v>
      </c>
      <c r="N16" s="39">
        <v>85</v>
      </c>
      <c r="O16" s="39">
        <v>20</v>
      </c>
      <c r="P16" s="39">
        <v>85</v>
      </c>
      <c r="Q16" s="39">
        <v>3918</v>
      </c>
      <c r="R16" s="78">
        <v>70</v>
      </c>
      <c r="S16" s="78">
        <v>198</v>
      </c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14</v>
      </c>
      <c r="D17" s="40">
        <v>46</v>
      </c>
      <c r="E17" s="41">
        <v>85</v>
      </c>
      <c r="F17" s="41">
        <v>5422</v>
      </c>
      <c r="G17" s="41">
        <v>0</v>
      </c>
      <c r="H17" s="41">
        <v>1566</v>
      </c>
      <c r="I17" s="41">
        <v>45</v>
      </c>
      <c r="J17" s="41">
        <v>367</v>
      </c>
      <c r="K17" s="42">
        <v>85</v>
      </c>
      <c r="L17" s="42">
        <v>70</v>
      </c>
      <c r="M17" s="42">
        <v>1356</v>
      </c>
      <c r="N17" s="39">
        <v>85</v>
      </c>
      <c r="O17" s="39">
        <v>20</v>
      </c>
      <c r="P17" s="39">
        <v>85</v>
      </c>
      <c r="Q17" s="39">
        <v>3923</v>
      </c>
      <c r="R17" s="78">
        <v>70</v>
      </c>
      <c r="S17" s="78">
        <v>198</v>
      </c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13</v>
      </c>
      <c r="D18" s="40">
        <v>45</v>
      </c>
      <c r="E18" s="41">
        <v>85</v>
      </c>
      <c r="F18" s="41">
        <v>5427</v>
      </c>
      <c r="G18" s="41">
        <v>0</v>
      </c>
      <c r="H18" s="41">
        <v>1568</v>
      </c>
      <c r="I18" s="41">
        <v>30</v>
      </c>
      <c r="J18" s="41">
        <v>369</v>
      </c>
      <c r="K18" s="42">
        <v>85</v>
      </c>
      <c r="L18" s="42">
        <v>70</v>
      </c>
      <c r="M18" s="42">
        <v>1358</v>
      </c>
      <c r="N18" s="39">
        <v>85</v>
      </c>
      <c r="O18" s="39">
        <v>15</v>
      </c>
      <c r="P18" s="39">
        <v>85</v>
      </c>
      <c r="Q18" s="39">
        <v>3926</v>
      </c>
      <c r="R18" s="78">
        <v>70</v>
      </c>
      <c r="S18" s="78">
        <v>198</v>
      </c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13</v>
      </c>
      <c r="D19" s="40">
        <v>45</v>
      </c>
      <c r="E19" s="41">
        <v>85</v>
      </c>
      <c r="F19" s="41">
        <v>5432</v>
      </c>
      <c r="G19" s="41">
        <v>0</v>
      </c>
      <c r="H19" s="41">
        <v>1571</v>
      </c>
      <c r="I19" s="41">
        <v>20</v>
      </c>
      <c r="J19" s="41">
        <v>369</v>
      </c>
      <c r="K19" s="42">
        <v>85</v>
      </c>
      <c r="L19" s="42">
        <v>70</v>
      </c>
      <c r="M19" s="42">
        <v>1358</v>
      </c>
      <c r="N19" s="39">
        <v>85</v>
      </c>
      <c r="O19" s="39">
        <v>10</v>
      </c>
      <c r="P19" s="39">
        <v>85</v>
      </c>
      <c r="Q19" s="39">
        <v>3929</v>
      </c>
      <c r="R19" s="78">
        <v>70</v>
      </c>
      <c r="S19" s="78">
        <v>198</v>
      </c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13</v>
      </c>
      <c r="D20" s="40">
        <v>50</v>
      </c>
      <c r="E20" s="41">
        <v>85</v>
      </c>
      <c r="F20" s="41">
        <v>5437</v>
      </c>
      <c r="G20" s="41">
        <v>0</v>
      </c>
      <c r="H20" s="41">
        <v>1575</v>
      </c>
      <c r="I20" s="41">
        <v>8</v>
      </c>
      <c r="J20" s="41">
        <v>370</v>
      </c>
      <c r="K20" s="42">
        <v>85</v>
      </c>
      <c r="L20" s="42">
        <v>65</v>
      </c>
      <c r="M20" s="42">
        <v>1360</v>
      </c>
      <c r="N20" s="39">
        <v>85</v>
      </c>
      <c r="O20" s="39">
        <v>10</v>
      </c>
      <c r="P20" s="39">
        <v>85</v>
      </c>
      <c r="Q20" s="39">
        <v>3932</v>
      </c>
      <c r="R20" s="78">
        <v>70</v>
      </c>
      <c r="S20" s="78">
        <v>198</v>
      </c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16</v>
      </c>
      <c r="D21" s="40">
        <v>59</v>
      </c>
      <c r="E21" s="41">
        <v>85</v>
      </c>
      <c r="F21" s="41">
        <v>5442</v>
      </c>
      <c r="G21" s="41">
        <v>0</v>
      </c>
      <c r="H21" s="41">
        <v>1577</v>
      </c>
      <c r="I21" s="41">
        <v>8</v>
      </c>
      <c r="J21" s="41">
        <v>371</v>
      </c>
      <c r="K21" s="42">
        <v>85</v>
      </c>
      <c r="L21" s="42">
        <v>65</v>
      </c>
      <c r="M21" s="42">
        <v>1361</v>
      </c>
      <c r="N21" s="39">
        <v>85</v>
      </c>
      <c r="O21" s="39">
        <v>5</v>
      </c>
      <c r="P21" s="39">
        <v>85</v>
      </c>
      <c r="Q21" s="39">
        <v>3935</v>
      </c>
      <c r="R21" s="78">
        <v>70</v>
      </c>
      <c r="S21" s="78">
        <v>198</v>
      </c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15</v>
      </c>
      <c r="D22" s="40">
        <v>58</v>
      </c>
      <c r="E22" s="41">
        <v>75</v>
      </c>
      <c r="F22" s="41">
        <v>5447</v>
      </c>
      <c r="G22" s="41">
        <v>0</v>
      </c>
      <c r="H22" s="41">
        <v>1580</v>
      </c>
      <c r="I22" s="41">
        <v>8</v>
      </c>
      <c r="J22" s="41">
        <v>372</v>
      </c>
      <c r="K22" s="42">
        <v>85</v>
      </c>
      <c r="L22" s="42">
        <v>60</v>
      </c>
      <c r="M22" s="42">
        <v>1361</v>
      </c>
      <c r="N22" s="39">
        <v>85</v>
      </c>
      <c r="O22" s="39">
        <v>5</v>
      </c>
      <c r="P22" s="39">
        <v>85</v>
      </c>
      <c r="Q22" s="39">
        <v>3939</v>
      </c>
      <c r="R22" s="78">
        <v>70</v>
      </c>
      <c r="S22" s="78">
        <v>198</v>
      </c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15</v>
      </c>
      <c r="D23" s="40">
        <v>58</v>
      </c>
      <c r="E23" s="41">
        <v>65</v>
      </c>
      <c r="F23" s="41">
        <v>5452</v>
      </c>
      <c r="G23" s="41">
        <v>0</v>
      </c>
      <c r="H23" s="41">
        <v>1582</v>
      </c>
      <c r="I23" s="41">
        <v>8</v>
      </c>
      <c r="J23" s="41">
        <v>373</v>
      </c>
      <c r="K23" s="42">
        <v>85</v>
      </c>
      <c r="L23" s="42">
        <v>60</v>
      </c>
      <c r="M23" s="42">
        <v>1363</v>
      </c>
      <c r="N23" s="39">
        <v>85</v>
      </c>
      <c r="O23" s="39">
        <v>0</v>
      </c>
      <c r="P23" s="39">
        <v>85</v>
      </c>
      <c r="Q23" s="39">
        <v>3942</v>
      </c>
      <c r="R23" s="78">
        <v>70</v>
      </c>
      <c r="S23" s="78">
        <v>198</v>
      </c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13</v>
      </c>
      <c r="D24" s="40">
        <v>45</v>
      </c>
      <c r="E24" s="41">
        <v>50</v>
      </c>
      <c r="F24" s="41">
        <v>5458</v>
      </c>
      <c r="G24" s="41">
        <v>0</v>
      </c>
      <c r="H24" s="41">
        <v>1585</v>
      </c>
      <c r="I24" s="41">
        <v>8</v>
      </c>
      <c r="J24" s="41">
        <v>374</v>
      </c>
      <c r="K24" s="42">
        <v>85</v>
      </c>
      <c r="L24" s="42">
        <v>60</v>
      </c>
      <c r="M24" s="42">
        <v>1364</v>
      </c>
      <c r="N24" s="39">
        <v>85</v>
      </c>
      <c r="O24" s="39">
        <v>0</v>
      </c>
      <c r="P24" s="39">
        <v>80</v>
      </c>
      <c r="Q24" s="39">
        <v>3947</v>
      </c>
      <c r="R24" s="78">
        <v>70</v>
      </c>
      <c r="S24" s="78">
        <v>198</v>
      </c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15</v>
      </c>
      <c r="D25" s="40">
        <v>51</v>
      </c>
      <c r="E25" s="41">
        <v>50</v>
      </c>
      <c r="F25" s="41">
        <v>5463</v>
      </c>
      <c r="G25" s="41">
        <v>0</v>
      </c>
      <c r="H25" s="41">
        <v>1589</v>
      </c>
      <c r="I25" s="41">
        <v>7</v>
      </c>
      <c r="J25" s="41">
        <v>375</v>
      </c>
      <c r="K25" s="42">
        <v>85</v>
      </c>
      <c r="L25" s="42">
        <v>60</v>
      </c>
      <c r="M25" s="42">
        <v>1366</v>
      </c>
      <c r="N25" s="39">
        <v>85</v>
      </c>
      <c r="O25" s="39">
        <v>0</v>
      </c>
      <c r="P25" s="39">
        <v>78</v>
      </c>
      <c r="Q25" s="39">
        <v>3951</v>
      </c>
      <c r="R25" s="78">
        <v>70</v>
      </c>
      <c r="S25" s="78">
        <v>198</v>
      </c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15</v>
      </c>
      <c r="D26" s="40">
        <v>51</v>
      </c>
      <c r="E26" s="41">
        <v>30</v>
      </c>
      <c r="F26" s="41">
        <v>5469</v>
      </c>
      <c r="G26" s="41">
        <v>0</v>
      </c>
      <c r="H26" s="41">
        <v>1592</v>
      </c>
      <c r="I26" s="41">
        <v>0</v>
      </c>
      <c r="J26" s="41">
        <v>375</v>
      </c>
      <c r="K26" s="42">
        <v>85</v>
      </c>
      <c r="L26" s="42">
        <v>60</v>
      </c>
      <c r="M26" s="42">
        <v>1366</v>
      </c>
      <c r="N26" s="39">
        <v>85</v>
      </c>
      <c r="O26" s="39">
        <v>0</v>
      </c>
      <c r="P26" s="39">
        <v>75</v>
      </c>
      <c r="Q26" s="39">
        <v>3955</v>
      </c>
      <c r="R26" s="78">
        <v>70</v>
      </c>
      <c r="S26" s="78">
        <v>198</v>
      </c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14</v>
      </c>
      <c r="D27" s="40">
        <v>49</v>
      </c>
      <c r="E27" s="41">
        <v>20</v>
      </c>
      <c r="F27" s="41">
        <v>5474</v>
      </c>
      <c r="G27" s="41">
        <v>0</v>
      </c>
      <c r="H27" s="41">
        <v>1596</v>
      </c>
      <c r="I27" s="41">
        <v>0</v>
      </c>
      <c r="J27" s="41">
        <v>376</v>
      </c>
      <c r="K27" s="42">
        <v>85</v>
      </c>
      <c r="L27" s="42">
        <v>55</v>
      </c>
      <c r="M27" s="42">
        <v>1367</v>
      </c>
      <c r="N27" s="39">
        <v>85</v>
      </c>
      <c r="O27" s="39">
        <v>0</v>
      </c>
      <c r="P27" s="39">
        <v>69</v>
      </c>
      <c r="Q27" s="39">
        <v>3959</v>
      </c>
      <c r="R27" s="78">
        <v>70</v>
      </c>
      <c r="S27" s="78">
        <v>198</v>
      </c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14</v>
      </c>
      <c r="D28" s="40">
        <v>49</v>
      </c>
      <c r="E28" s="41">
        <v>85</v>
      </c>
      <c r="F28" s="41">
        <v>5479</v>
      </c>
      <c r="G28" s="41">
        <v>85</v>
      </c>
      <c r="H28" s="41">
        <v>1599</v>
      </c>
      <c r="I28" s="41">
        <v>85</v>
      </c>
      <c r="J28" s="41">
        <v>376</v>
      </c>
      <c r="K28" s="42">
        <v>85</v>
      </c>
      <c r="L28" s="42">
        <v>55</v>
      </c>
      <c r="M28" s="42">
        <v>1369</v>
      </c>
      <c r="N28" s="39">
        <v>85</v>
      </c>
      <c r="O28" s="39">
        <v>0</v>
      </c>
      <c r="P28" s="39">
        <v>65</v>
      </c>
      <c r="Q28" s="39">
        <v>3963</v>
      </c>
      <c r="R28" s="78">
        <v>68</v>
      </c>
      <c r="S28" s="78">
        <v>200</v>
      </c>
      <c r="T28">
        <f t="shared" si="0"/>
        <v>2</v>
      </c>
    </row>
    <row r="29" spans="1:20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-200</v>
      </c>
    </row>
    <row r="30" spans="1:20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2021-07-22T20:50:05Z</dcterms:modified>
</cp:coreProperties>
</file>