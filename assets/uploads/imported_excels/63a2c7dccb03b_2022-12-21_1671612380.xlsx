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438" documentId="13_ncr:1_{83C287CF-C334-4BE5-BF29-FA1D4D504CBD}" xr6:coauthVersionLast="47" xr6:coauthVersionMax="47" xr10:uidLastSave="{BB3C8D13-2547-47AD-B4E4-5F22373CD57D}"/>
  <bookViews>
    <workbookView xWindow="-120" yWindow="-120" windowWidth="29040" windowHeight="15840" tabRatio="764" firstSheet="4" activeTab="1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6" l="1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6" i="4"/>
  <c r="P7" i="4"/>
  <c r="P8" i="4"/>
  <c r="P9" i="4"/>
  <c r="P10" i="4"/>
  <c r="P11" i="4"/>
  <c r="P12" i="4"/>
  <c r="P13" i="4"/>
  <c r="P14" i="4"/>
  <c r="P4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32" i="2"/>
  <c r="X33" i="2"/>
  <c r="X34" i="2"/>
  <c r="X35" i="2"/>
  <c r="X36" i="2"/>
  <c r="X37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X26" i="2" s="1"/>
  <c r="P19" i="4"/>
  <c r="V25" i="2"/>
  <c r="X25" i="2" s="1"/>
  <c r="P25" i="4"/>
  <c r="V31" i="2"/>
  <c r="X31" i="2" s="1"/>
  <c r="P26" i="4"/>
  <c r="V32" i="2"/>
  <c r="P32" i="4"/>
  <c r="V38" i="2"/>
  <c r="V17" i="2"/>
  <c r="X17" i="2" s="1"/>
  <c r="V18" i="2"/>
  <c r="X18" i="2" s="1"/>
  <c r="P24" i="4"/>
  <c r="V30" i="2"/>
  <c r="X30" i="2" s="1"/>
  <c r="P29" i="4"/>
  <c r="V35" i="2"/>
  <c r="P21" i="4"/>
  <c r="V27" i="2"/>
  <c r="X27" i="2" s="1"/>
  <c r="P18" i="4"/>
  <c r="V24" i="2"/>
  <c r="X24" i="2" s="1"/>
  <c r="P30" i="4"/>
  <c r="V36" i="2"/>
  <c r="P34" i="4"/>
  <c r="V40" i="2"/>
  <c r="P27" i="4"/>
  <c r="V33" i="2"/>
  <c r="V20" i="2"/>
  <c r="X20" i="2" s="1"/>
  <c r="P16" i="4"/>
  <c r="V22" i="2"/>
  <c r="X22" i="2" s="1"/>
  <c r="P28" i="4"/>
  <c r="V34" i="2"/>
  <c r="P31" i="4"/>
  <c r="V37" i="2"/>
  <c r="V16" i="2"/>
  <c r="X16" i="2" s="1"/>
  <c r="V19" i="2"/>
  <c r="X19" i="2" s="1"/>
  <c r="P17" i="4"/>
  <c r="V23" i="2"/>
  <c r="X23" i="2" s="1"/>
  <c r="P23" i="4"/>
  <c r="V29" i="2"/>
  <c r="X29" i="2" s="1"/>
  <c r="P22" i="4"/>
  <c r="V28" i="2"/>
  <c r="X28" i="2" s="1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E16" i="22" l="1"/>
  <c r="J18" i="21"/>
  <c r="E19" i="22"/>
  <c r="J26" i="21"/>
  <c r="E15" i="22"/>
  <c r="J15" i="21"/>
  <c r="E25" i="22"/>
  <c r="M25" i="22" s="1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16" i="22" l="1"/>
  <c r="M15" i="22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<sst xmlns="http://schemas.openxmlformats.org/spreadsheetml/2006/main" count="478" uniqueCount="186">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</sst>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A9" sqref="A9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255.99368000000001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14829</v>
      </c>
      <c r="F14" s="131">
        <v>1.05</v>
      </c>
      <c r="G14" s="131">
        <f>'Consommation mensuel énergie'!V22</f>
        <v>479.98815000000002</v>
      </c>
      <c r="H14" s="131">
        <v>12.44</v>
      </c>
      <c r="I14" s="131">
        <f>'Consommation mensuel énergie'!F22</f>
        <v>89</v>
      </c>
      <c r="J14" s="131">
        <v>11.4</v>
      </c>
      <c r="K14" s="134">
        <f>'Consommation mensuel énergie'!D22</f>
        <v>106</v>
      </c>
      <c r="L14" s="134">
        <f>'Consommation mensuel énergie'!E22</f>
        <v>137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14188</v>
      </c>
      <c r="F15" s="131">
        <v>1.05</v>
      </c>
      <c r="G15" s="131">
        <f>'Consommation mensuel énergie'!V23</f>
        <v>511.98736000000002</v>
      </c>
      <c r="H15" s="131">
        <v>12.44</v>
      </c>
      <c r="I15" s="131">
        <f>'Consommation mensuel énergie'!F23</f>
        <v>116</v>
      </c>
      <c r="J15" s="131">
        <v>11.4</v>
      </c>
      <c r="K15" s="134">
        <f>'Consommation mensuel énergie'!D23</f>
        <v>132</v>
      </c>
      <c r="L15" s="134">
        <f>'Consommation mensuel énergie'!E23</f>
        <v>159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14640</v>
      </c>
      <c r="F16" s="131">
        <v>1.05</v>
      </c>
      <c r="G16" s="131">
        <f>'Consommation mensuel énergie'!V24</f>
        <v>127.99684000000001</v>
      </c>
      <c r="H16" s="131">
        <v>12.44</v>
      </c>
      <c r="I16" s="131">
        <f>'Consommation mensuel énergie'!F24</f>
        <v>116</v>
      </c>
      <c r="J16" s="131">
        <v>11.4</v>
      </c>
      <c r="K16" s="134">
        <f>'Consommation mensuel énergie'!D24</f>
        <v>98</v>
      </c>
      <c r="L16" s="134">
        <f>'Consommation mensuel énergie'!E24</f>
        <v>134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13662</v>
      </c>
      <c r="F17" s="131">
        <v>1.05</v>
      </c>
      <c r="G17" s="131">
        <f>'Consommation mensuel énergie'!V25</f>
        <v>511.98736000000002</v>
      </c>
      <c r="H17" s="131">
        <v>12.44</v>
      </c>
      <c r="I17" s="131">
        <f>'Consommation mensuel énergie'!F25</f>
        <v>127</v>
      </c>
      <c r="J17" s="131">
        <v>11.4</v>
      </c>
      <c r="K17" s="134">
        <f>'Consommation mensuel énergie'!D25</f>
        <v>73</v>
      </c>
      <c r="L17" s="134">
        <f>'Consommation mensuel énergie'!E25</f>
        <v>109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14963</v>
      </c>
      <c r="F18" s="131">
        <v>1.05</v>
      </c>
      <c r="G18" s="131">
        <f>'Consommation mensuel énergie'!V26</f>
        <v>447.98894000000001</v>
      </c>
      <c r="H18" s="131">
        <v>12.44</v>
      </c>
      <c r="I18" s="131">
        <f>'Consommation mensuel énergie'!F26</f>
        <v>83</v>
      </c>
      <c r="J18" s="131">
        <v>11.4</v>
      </c>
      <c r="K18" s="134">
        <f>'Consommation mensuel énergie'!D26</f>
        <v>103</v>
      </c>
      <c r="L18" s="134">
        <f>'Consommation mensuel énergie'!E26</f>
        <v>172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13453</v>
      </c>
      <c r="F19" s="131">
        <v>1.05</v>
      </c>
      <c r="G19" s="131">
        <f>'Consommation mensuel énergie'!V27</f>
        <v>639.98419999999999</v>
      </c>
      <c r="H19" s="131">
        <v>12.44</v>
      </c>
      <c r="I19" s="131">
        <f>'Consommation mensuel énergie'!F27</f>
        <v>134</v>
      </c>
      <c r="J19" s="131">
        <v>11.4</v>
      </c>
      <c r="K19" s="134">
        <f>'Consommation mensuel énergie'!D27</f>
        <v>102</v>
      </c>
      <c r="L19" s="134">
        <f>'Consommation mensuel énergie'!E27</f>
        <v>183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12916</v>
      </c>
      <c r="F20" s="131">
        <v>1.05</v>
      </c>
      <c r="G20" s="131">
        <f>'Consommation mensuel énergie'!V28</f>
        <v>575.98577999999998</v>
      </c>
      <c r="H20" s="131">
        <v>12.44</v>
      </c>
      <c r="I20" s="131">
        <f>'Consommation mensuel énergie'!F28</f>
        <v>96</v>
      </c>
      <c r="J20" s="131">
        <v>11.4</v>
      </c>
      <c r="K20" s="134">
        <f>'Consommation mensuel énergie'!D28</f>
        <v>84</v>
      </c>
      <c r="L20" s="134">
        <f>'Consommation mensuel énergie'!E28</f>
        <v>134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13469</v>
      </c>
      <c r="F21" s="131">
        <v>1.05</v>
      </c>
      <c r="G21" s="131">
        <f>'Consommation mensuel énergie'!V29</f>
        <v>223.99447000000001</v>
      </c>
      <c r="H21" s="131">
        <v>12.44</v>
      </c>
      <c r="I21" s="131">
        <f>'Consommation mensuel énergie'!F29</f>
        <v>104</v>
      </c>
      <c r="J21" s="131">
        <v>11.4</v>
      </c>
      <c r="K21" s="134">
        <f>'Consommation mensuel énergie'!D29</f>
        <v>95</v>
      </c>
      <c r="L21" s="134">
        <f>'Consommation mensuel énergie'!E29</f>
        <v>161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13315</v>
      </c>
      <c r="F22" s="131">
        <v>1.05</v>
      </c>
      <c r="G22" s="131">
        <f>'Consommation mensuel énergie'!V30</f>
        <v>0</v>
      </c>
      <c r="H22" s="131">
        <v>12.44</v>
      </c>
      <c r="I22" s="131">
        <f>'Consommation mensuel énergie'!F30</f>
        <v>147</v>
      </c>
      <c r="J22" s="131">
        <v>11.4</v>
      </c>
      <c r="K22" s="134">
        <f>'Consommation mensuel énergie'!D30</f>
        <v>84</v>
      </c>
      <c r="L22" s="134">
        <f>'Consommation mensuel énergie'!E30</f>
        <v>136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0</v>
      </c>
      <c r="F23" s="131">
        <v>1.05</v>
      </c>
      <c r="G23" s="131">
        <f>'Consommation mensuel énergie'!V31</f>
        <v>0</v>
      </c>
      <c r="H23" s="131">
        <v>12.44</v>
      </c>
      <c r="I23" s="131">
        <f>'Consommation mensuel énergie'!F31</f>
        <v>0</v>
      </c>
      <c r="J23" s="131">
        <v>11.4</v>
      </c>
      <c r="K23" s="134">
        <f>'Consommation mensuel énergie'!D31</f>
        <v>0</v>
      </c>
      <c r="L23" s="134">
        <f>'Consommation mensuel énergie'!E31</f>
        <v>0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0</v>
      </c>
      <c r="F24" s="131">
        <v>1.05</v>
      </c>
      <c r="G24" s="131">
        <f>'Consommation mensuel énergie'!V32</f>
        <v>0</v>
      </c>
      <c r="H24" s="131">
        <v>12.44</v>
      </c>
      <c r="I24" s="131">
        <f>'Consommation mensuel énergie'!F32</f>
        <v>0</v>
      </c>
      <c r="J24" s="131">
        <v>11.4</v>
      </c>
      <c r="K24" s="134">
        <f>'Consommation mensuel énergie'!D32</f>
        <v>0</v>
      </c>
      <c r="L24" s="134">
        <f>'Consommation mensuel énergie'!E32</f>
        <v>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0</v>
      </c>
      <c r="F25" s="131">
        <v>1.05</v>
      </c>
      <c r="G25" s="131">
        <f>'Consommation mensuel énergie'!V33</f>
        <v>0</v>
      </c>
      <c r="H25" s="131">
        <v>12.44</v>
      </c>
      <c r="I25" s="131">
        <f>'Consommation mensuel énergie'!F33</f>
        <v>0</v>
      </c>
      <c r="J25" s="131">
        <v>11.4</v>
      </c>
      <c r="K25" s="134">
        <f>'Consommation mensuel énergie'!D33</f>
        <v>0</v>
      </c>
      <c r="L25" s="134">
        <f>'Consommation mensuel énergie'!E33</f>
        <v>0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0</v>
      </c>
      <c r="F26" s="131">
        <v>1.05</v>
      </c>
      <c r="G26" s="131">
        <f>'Consommation mensuel énergie'!V34</f>
        <v>0</v>
      </c>
      <c r="H26" s="131">
        <v>12.44</v>
      </c>
      <c r="I26" s="131">
        <f>'Consommation mensuel énergie'!F34</f>
        <v>0</v>
      </c>
      <c r="J26" s="131">
        <v>11.4</v>
      </c>
      <c r="K26" s="134">
        <f>'Consommation mensuel énergie'!D34</f>
        <v>0</v>
      </c>
      <c r="L26" s="134">
        <f>'Consommation mensuel énergie'!E34</f>
        <v>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0</v>
      </c>
      <c r="F27" s="131">
        <v>1.05</v>
      </c>
      <c r="G27" s="131">
        <f>'Consommation mensuel énergie'!V35</f>
        <v>0</v>
      </c>
      <c r="H27" s="131">
        <v>12.44</v>
      </c>
      <c r="I27" s="131">
        <f>'Consommation mensuel énergie'!F35</f>
        <v>0</v>
      </c>
      <c r="J27" s="131">
        <v>11.4</v>
      </c>
      <c r="K27" s="134">
        <f>'Consommation mensuel énergie'!D35</f>
        <v>0</v>
      </c>
      <c r="L27" s="134">
        <f>'Consommation mensuel énergie'!E35</f>
        <v>0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0</v>
      </c>
      <c r="F28" s="131">
        <v>1.05</v>
      </c>
      <c r="G28" s="131">
        <f>'Consommation mensuel énergie'!V36</f>
        <v>0</v>
      </c>
      <c r="H28" s="131">
        <v>12.44</v>
      </c>
      <c r="I28" s="131">
        <f>'Consommation mensuel énergie'!F36</f>
        <v>0</v>
      </c>
      <c r="J28" s="131">
        <v>11.4</v>
      </c>
      <c r="K28" s="134">
        <f>'Consommation mensuel énergie'!D36</f>
        <v>0</v>
      </c>
      <c r="L28" s="134">
        <f>'Consommation mensuel énergie'!E36</f>
        <v>0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0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0</v>
      </c>
      <c r="J29" s="131">
        <v>11.4</v>
      </c>
      <c r="K29" s="134">
        <f>'Consommation mensuel énergie'!D37</f>
        <v>0</v>
      </c>
      <c r="L29" s="134">
        <f>'Consommation mensuel énergie'!E37</f>
        <v>0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tabSelected="1" workbookViewId="0">
      <selection activeCell="C20" sqref="C20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4395</v>
      </c>
      <c r="F14" s="134">
        <f>'Consommation mensuel énergie'!M22</f>
        <v>7225</v>
      </c>
      <c r="G14" s="134">
        <f>'Consommation mensuel énergie'!N22</f>
        <v>3209</v>
      </c>
      <c r="H14" s="134">
        <f>'Consommation mensuel énergie'!D22</f>
        <v>106</v>
      </c>
      <c r="I14" s="134">
        <f>'Consommation mensuel énergie'!E22</f>
        <v>137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4130</v>
      </c>
      <c r="F15" s="134">
        <f>'Consommation mensuel énergie'!M23</f>
        <v>6810</v>
      </c>
      <c r="G15" s="134">
        <f>'Consommation mensuel énergie'!N23</f>
        <v>3248</v>
      </c>
      <c r="H15" s="134">
        <f>'Consommation mensuel énergie'!D23</f>
        <v>132</v>
      </c>
      <c r="I15" s="134">
        <f>'Consommation mensuel énergie'!E23</f>
        <v>159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4236</v>
      </c>
      <c r="F16" s="134">
        <f>'Consommation mensuel énergie'!M24</f>
        <v>7337</v>
      </c>
      <c r="G16" s="134">
        <f>'Consommation mensuel énergie'!N24</f>
        <v>3067</v>
      </c>
      <c r="H16" s="134">
        <f>'Consommation mensuel énergie'!D24</f>
        <v>98</v>
      </c>
      <c r="I16" s="134">
        <f>'Consommation mensuel énergie'!E24</f>
        <v>134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4539</v>
      </c>
      <c r="F17" s="134">
        <f>'Consommation mensuel énergie'!M25</f>
        <v>6253</v>
      </c>
      <c r="G17" s="134">
        <f>'Consommation mensuel énergie'!N25</f>
        <v>2870</v>
      </c>
      <c r="H17" s="134">
        <f>'Consommation mensuel énergie'!D25</f>
        <v>73</v>
      </c>
      <c r="I17" s="134">
        <f>'Consommation mensuel énergie'!E25</f>
        <v>109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4444</v>
      </c>
      <c r="F18" s="134">
        <f>'Consommation mensuel énergie'!M26</f>
        <v>7200</v>
      </c>
      <c r="G18" s="134">
        <f>'Consommation mensuel énergie'!N26</f>
        <v>3319</v>
      </c>
      <c r="H18" s="134">
        <f>'Consommation mensuel énergie'!D26</f>
        <v>103</v>
      </c>
      <c r="I18" s="134">
        <f>'Consommation mensuel énergie'!E26</f>
        <v>172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4381</v>
      </c>
      <c r="F19" s="134">
        <f>'Consommation mensuel énergie'!M27</f>
        <v>6017</v>
      </c>
      <c r="G19" s="134">
        <f>'Consommation mensuel énergie'!N27</f>
        <v>3055</v>
      </c>
      <c r="H19" s="134">
        <f>'Consommation mensuel énergie'!D27</f>
        <v>102</v>
      </c>
      <c r="I19" s="134">
        <f>'Consommation mensuel énergie'!E27</f>
        <v>183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4126</v>
      </c>
      <c r="F20" s="134">
        <f>'Consommation mensuel énergie'!M28</f>
        <v>5975</v>
      </c>
      <c r="G20" s="134">
        <f>'Consommation mensuel énergie'!N28</f>
        <v>2815</v>
      </c>
      <c r="H20" s="134">
        <f>'Consommation mensuel énergie'!D28</f>
        <v>84</v>
      </c>
      <c r="I20" s="134">
        <f>'Consommation mensuel énergie'!E28</f>
        <v>134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4056</v>
      </c>
      <c r="F21" s="134">
        <f>'Consommation mensuel énergie'!M29</f>
        <v>6460</v>
      </c>
      <c r="G21" s="134">
        <f>'Consommation mensuel énergie'!N29</f>
        <v>2953</v>
      </c>
      <c r="H21" s="134">
        <f>'Consommation mensuel énergie'!D29</f>
        <v>95</v>
      </c>
      <c r="I21" s="134">
        <f>'Consommation mensuel énergie'!E29</f>
        <v>161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4159</v>
      </c>
      <c r="F22" s="134">
        <f>'Consommation mensuel énergie'!M30</f>
        <v>6153</v>
      </c>
      <c r="G22" s="134">
        <f>'Consommation mensuel énergie'!N30</f>
        <v>3003</v>
      </c>
      <c r="H22" s="134">
        <f>'Consommation mensuel énergie'!D30</f>
        <v>84</v>
      </c>
      <c r="I22" s="134">
        <f>'Consommation mensuel énergie'!E30</f>
        <v>136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0</v>
      </c>
      <c r="F23" s="134">
        <f>'Consommation mensuel énergie'!M31</f>
        <v>0</v>
      </c>
      <c r="G23" s="134">
        <f>'Consommation mensuel énergie'!N31</f>
        <v>0</v>
      </c>
      <c r="H23" s="134">
        <f>'Consommation mensuel énergie'!D31</f>
        <v>0</v>
      </c>
      <c r="I23" s="134">
        <f>'Consommation mensuel énergie'!E31</f>
        <v>0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0</v>
      </c>
      <c r="F24" s="134">
        <f>'Consommation mensuel énergie'!M32</f>
        <v>0</v>
      </c>
      <c r="G24" s="134">
        <f>'Consommation mensuel énergie'!N32</f>
        <v>0</v>
      </c>
      <c r="H24" s="134">
        <f>'Consommation mensuel énergie'!D32</f>
        <v>0</v>
      </c>
      <c r="I24" s="134">
        <f>'Consommation mensuel énergie'!E32</f>
        <v>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0</v>
      </c>
      <c r="F25" s="134">
        <f>'Consommation mensuel énergie'!M33</f>
        <v>0</v>
      </c>
      <c r="G25" s="134">
        <f>'Consommation mensuel énergie'!N33</f>
        <v>0</v>
      </c>
      <c r="H25" s="134">
        <f>'Consommation mensuel énergie'!D33</f>
        <v>0</v>
      </c>
      <c r="I25" s="134">
        <f>'Consommation mensuel énergie'!E33</f>
        <v>0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0</v>
      </c>
      <c r="F26" s="134">
        <f>'Consommation mensuel énergie'!M34</f>
        <v>0</v>
      </c>
      <c r="G26" s="134">
        <f>'Consommation mensuel énergie'!N34</f>
        <v>0</v>
      </c>
      <c r="H26" s="134">
        <f>'Consommation mensuel énergie'!D34</f>
        <v>0</v>
      </c>
      <c r="I26" s="134">
        <f>'Consommation mensuel énergie'!E34</f>
        <v>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0</v>
      </c>
      <c r="F27" s="134">
        <f>'Consommation mensuel énergie'!M35</f>
        <v>0</v>
      </c>
      <c r="G27" s="134">
        <f>'Consommation mensuel énergie'!N35</f>
        <v>0</v>
      </c>
      <c r="H27" s="134">
        <f>'Consommation mensuel énergie'!D35</f>
        <v>0</v>
      </c>
      <c r="I27" s="134">
        <f>'Consommation mensuel énergie'!E35</f>
        <v>0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0</v>
      </c>
      <c r="F28" s="134">
        <f>'Consommation mensuel énergie'!M36</f>
        <v>0</v>
      </c>
      <c r="G28" s="134">
        <f>'Consommation mensuel énergie'!N36</f>
        <v>0</v>
      </c>
      <c r="H28" s="134">
        <f>'Consommation mensuel énergie'!D36</f>
        <v>0</v>
      </c>
      <c r="I28" s="134">
        <f>'Consommation mensuel énergie'!E36</f>
        <v>0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0</v>
      </c>
      <c r="F29" s="134">
        <f>'Consommation mensuel énergie'!M37</f>
        <v>0</v>
      </c>
      <c r="G29" s="134">
        <f>'Consommation mensuel énergie'!N37</f>
        <v>0</v>
      </c>
      <c r="H29" s="134">
        <f>'Consommation mensuel énergie'!D37</f>
        <v>0</v>
      </c>
      <c r="I29" s="134">
        <f>'Consommation mensuel énergie'!E37</f>
        <v>0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bottomRight" activeCell="Q10" sqref="Q10:Q3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91"/>
      <c r="B2" s="192"/>
      <c r="C2" s="192"/>
      <c r="D2" s="192"/>
      <c r="E2" s="192"/>
      <c r="F2" s="192"/>
      <c r="G2" s="192"/>
      <c r="H2" s="193"/>
      <c r="I2" s="202" t="s">
        <v>17</v>
      </c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</row>
    <row r="3" spans="1:24" ht="15" hidden="1" customHeight="1" thickBot="1"/>
    <row r="4" spans="1:24" ht="39" hidden="1" customHeight="1" thickBot="1">
      <c r="A4" s="194"/>
      <c r="B4" s="194"/>
      <c r="C4" s="19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4"/>
      <c r="B5" s="194"/>
      <c r="C5" s="194"/>
      <c r="D5" s="5"/>
      <c r="E5" s="5"/>
      <c r="F5" s="5"/>
      <c r="G5" s="5"/>
      <c r="H5" s="5"/>
      <c r="I5" s="5"/>
      <c r="J5" s="5"/>
      <c r="K5" s="5"/>
      <c r="L5" s="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</row>
    <row r="6" spans="1:24" s="5" customFormat="1" ht="44.25" hidden="1" customHeight="1" thickBot="1">
      <c r="A6" s="3"/>
      <c r="B6" s="3"/>
      <c r="C6" s="3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</row>
    <row r="7" spans="1:24" s="5" customFormat="1" ht="18.75" hidden="1" customHeight="1" thickBot="1">
      <c r="F7" s="195"/>
      <c r="G7" s="195"/>
      <c r="H7" s="195"/>
      <c r="I7" s="195"/>
      <c r="J7" s="195"/>
      <c r="K7" s="195"/>
      <c r="L7" s="195"/>
      <c r="M7" s="195"/>
      <c r="N7" s="204"/>
      <c r="O7" s="204"/>
      <c r="P7" s="195"/>
      <c r="Q7" s="195"/>
      <c r="R7" s="195"/>
      <c r="S7" s="195"/>
      <c r="T7" s="195"/>
      <c r="U7" s="195"/>
      <c r="V7" s="195"/>
      <c r="W7" s="195"/>
      <c r="X7" s="195"/>
    </row>
    <row r="8" spans="1:24" ht="18.75" customHeight="1" thickBot="1">
      <c r="A8" s="195"/>
      <c r="B8" s="206" t="s">
        <v>19</v>
      </c>
      <c r="C8" s="4"/>
      <c r="D8" s="207" t="s">
        <v>20</v>
      </c>
      <c r="E8" s="207" t="s">
        <v>21</v>
      </c>
      <c r="F8" s="189" t="s">
        <v>22</v>
      </c>
      <c r="G8" s="2"/>
      <c r="H8" s="196" t="s">
        <v>23</v>
      </c>
      <c r="I8" s="197"/>
      <c r="J8" s="198"/>
      <c r="K8" s="184" t="s">
        <v>24</v>
      </c>
      <c r="L8" s="188" t="s">
        <v>25</v>
      </c>
      <c r="M8" s="188"/>
      <c r="N8" s="188"/>
      <c r="O8" s="188" t="s">
        <v>26</v>
      </c>
      <c r="P8" s="2"/>
      <c r="Q8" s="186" t="s">
        <v>23</v>
      </c>
      <c r="R8" s="2"/>
      <c r="S8" s="186" t="s">
        <v>27</v>
      </c>
      <c r="T8" s="2"/>
      <c r="U8" s="186" t="s">
        <v>28</v>
      </c>
      <c r="V8" s="209" t="s">
        <v>29</v>
      </c>
      <c r="W8" s="2"/>
      <c r="X8" s="186" t="s">
        <v>23</v>
      </c>
    </row>
    <row r="9" spans="1:24" ht="59.25" customHeight="1" thickBot="1">
      <c r="A9" s="195"/>
      <c r="B9" s="206"/>
      <c r="C9" s="4"/>
      <c r="D9" s="208"/>
      <c r="E9" s="208"/>
      <c r="F9" s="190"/>
      <c r="G9" s="2"/>
      <c r="H9" s="199"/>
      <c r="I9" s="200"/>
      <c r="J9" s="201"/>
      <c r="K9" s="185"/>
      <c r="L9" s="152" t="s">
        <v>30</v>
      </c>
      <c r="M9" s="152" t="s">
        <v>31</v>
      </c>
      <c r="N9" s="152" t="s">
        <v>32</v>
      </c>
      <c r="O9" s="205"/>
      <c r="P9" s="2"/>
      <c r="Q9" s="187"/>
      <c r="R9" s="2"/>
      <c r="S9" s="187"/>
      <c r="T9" s="2"/>
      <c r="U9" s="187"/>
      <c r="V9" s="210"/>
      <c r="W9" s="2"/>
      <c r="X9" s="187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80">
        <f>F10*8.79</f>
        <v>985.35900000005108</v>
      </c>
      <c r="I10" s="181"/>
      <c r="J10" s="181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80">
        <f t="shared" ref="H11:H21" si="0">F11*8.79</f>
        <v>1098.75</v>
      </c>
      <c r="I11" s="181"/>
      <c r="J11" s="181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80">
        <f t="shared" si="0"/>
        <v>1072.3799999999999</v>
      </c>
      <c r="I12" s="181"/>
      <c r="J12" s="181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80">
        <f t="shared" si="0"/>
        <v>1151.4899999999998</v>
      </c>
      <c r="I13" s="181"/>
      <c r="J13" s="181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80">
        <f t="shared" si="0"/>
        <v>1072.3799999999999</v>
      </c>
      <c r="I14" s="181"/>
      <c r="J14" s="181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80">
        <f t="shared" si="0"/>
        <v>1160.28</v>
      </c>
      <c r="I15" s="181"/>
      <c r="J15" s="181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80">
        <f t="shared" si="0"/>
        <v>1063.5899999999999</v>
      </c>
      <c r="I16" s="181"/>
      <c r="J16" s="181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80">
        <f t="shared" si="0"/>
        <v>966.89999999999986</v>
      </c>
      <c r="I17" s="181"/>
      <c r="J17" s="181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80">
        <f t="shared" si="0"/>
        <v>1239.3899999999999</v>
      </c>
      <c r="I18" s="181"/>
      <c r="J18" s="181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80">
        <f t="shared" si="0"/>
        <v>1133.9099999999999</v>
      </c>
      <c r="I19" s="181"/>
      <c r="J19" s="181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80">
        <f t="shared" si="0"/>
        <v>1002.06</v>
      </c>
      <c r="I20" s="181"/>
      <c r="J20" s="181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80">
        <f t="shared" si="0"/>
        <v>1054.8</v>
      </c>
      <c r="I21" s="181"/>
      <c r="J21" s="181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255.99368000000001</v>
      </c>
      <c r="W21" s="11"/>
      <c r="X21" s="34">
        <f t="shared" si="1"/>
        <v>3184.5613791999999</v>
      </c>
    </row>
    <row r="22" spans="1:24" ht="32.25" customHeight="1">
      <c r="A22" s="2"/>
      <c r="B22" s="6">
        <v>44908</v>
      </c>
      <c r="C22" s="7"/>
      <c r="D22" s="140">
        <v>106</v>
      </c>
      <c r="E22" s="140">
        <v>137</v>
      </c>
      <c r="F22" s="13">
        <f>'Suivi EAU-ELEC'!E21</f>
        <v>89</v>
      </c>
      <c r="G22" s="12"/>
      <c r="H22" s="180">
        <f t="shared" ref="H22:H35" si="4">F22*8.79</f>
        <v>782.31</v>
      </c>
      <c r="I22" s="181"/>
      <c r="J22" s="181"/>
      <c r="K22" s="58">
        <v>42290</v>
      </c>
      <c r="L22" s="88">
        <f>'Suivi EAU-ELEC'!G21</f>
        <v>4395</v>
      </c>
      <c r="M22" s="89">
        <f>'Suivi EAU-ELEC'!I21</f>
        <v>7225</v>
      </c>
      <c r="N22" s="89">
        <f>'Suivi EAU-ELEC'!K21</f>
        <v>3209</v>
      </c>
      <c r="O22" s="89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3">
        <f>'Suvi Gaz'!O16</f>
        <v>479.98815000000002</v>
      </c>
      <c r="W22" s="11"/>
      <c r="X22" s="34">
        <f t="shared" si="1"/>
        <v>5971.0525859999998</v>
      </c>
    </row>
    <row r="23" spans="1:24" ht="32.25" customHeight="1">
      <c r="A23" s="2"/>
      <c r="B23" s="6">
        <v>44909</v>
      </c>
      <c r="C23" s="7"/>
      <c r="D23" s="140">
        <v>132</v>
      </c>
      <c r="E23" s="140">
        <v>159</v>
      </c>
      <c r="F23" s="13">
        <f>'Suivi EAU-ELEC'!E22</f>
        <v>116</v>
      </c>
      <c r="G23" s="14"/>
      <c r="H23" s="180">
        <f t="shared" si="4"/>
        <v>1019.6399999999999</v>
      </c>
      <c r="I23" s="181"/>
      <c r="J23" s="181"/>
      <c r="K23" s="58">
        <v>42291</v>
      </c>
      <c r="L23" s="88">
        <f>'Suivi EAU-ELEC'!G22</f>
        <v>4130</v>
      </c>
      <c r="M23" s="89">
        <f>'Suivi EAU-ELEC'!I22</f>
        <v>6810</v>
      </c>
      <c r="N23" s="89">
        <f>'Suivi EAU-ELEC'!K22</f>
        <v>3248</v>
      </c>
      <c r="O23" s="89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3">
        <f>'Suvi Gaz'!O17</f>
        <v>511.98736000000002</v>
      </c>
      <c r="W23" s="11"/>
      <c r="X23" s="34">
        <f t="shared" si="1"/>
        <v>6369.1227583999998</v>
      </c>
    </row>
    <row r="24" spans="1:24" ht="32.25" customHeight="1">
      <c r="A24" s="2"/>
      <c r="B24" s="6">
        <v>44910</v>
      </c>
      <c r="C24" s="7"/>
      <c r="D24" s="140">
        <v>98</v>
      </c>
      <c r="E24" s="140">
        <v>134</v>
      </c>
      <c r="F24" s="13">
        <f>'Suivi EAU-ELEC'!E23</f>
        <v>116</v>
      </c>
      <c r="G24" s="14"/>
      <c r="H24" s="180">
        <f t="shared" si="4"/>
        <v>1019.6399999999999</v>
      </c>
      <c r="I24" s="181"/>
      <c r="J24" s="181"/>
      <c r="K24" s="58">
        <v>42292</v>
      </c>
      <c r="L24" s="88">
        <f>'Suivi EAU-ELEC'!G23</f>
        <v>4236</v>
      </c>
      <c r="M24" s="89">
        <f>'Suivi EAU-ELEC'!I23</f>
        <v>7337</v>
      </c>
      <c r="N24" s="89">
        <f>'Suivi EAU-ELEC'!K23</f>
        <v>3067</v>
      </c>
      <c r="O24" s="89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3">
        <f>'Suvi Gaz'!O18</f>
        <v>127.99684000000001</v>
      </c>
      <c r="W24" s="11"/>
      <c r="X24" s="34">
        <f t="shared" si="1"/>
        <v>1592.2806896</v>
      </c>
    </row>
    <row r="25" spans="1:24" ht="32.25" customHeight="1">
      <c r="A25" s="2"/>
      <c r="B25" s="6">
        <v>44911</v>
      </c>
      <c r="C25" s="7"/>
      <c r="D25" s="140">
        <v>73</v>
      </c>
      <c r="E25" s="140">
        <v>109</v>
      </c>
      <c r="F25" s="13">
        <f>'Suivi EAU-ELEC'!E24</f>
        <v>127</v>
      </c>
      <c r="G25" s="14"/>
      <c r="H25" s="180">
        <f t="shared" si="4"/>
        <v>1116.33</v>
      </c>
      <c r="I25" s="181"/>
      <c r="J25" s="181"/>
      <c r="K25" s="58">
        <v>42293</v>
      </c>
      <c r="L25" s="88">
        <f>'Suivi EAU-ELEC'!G24</f>
        <v>4539</v>
      </c>
      <c r="M25" s="89">
        <f>'Suivi EAU-ELEC'!I24</f>
        <v>6253</v>
      </c>
      <c r="N25" s="89">
        <f>'Suivi EAU-ELEC'!K24</f>
        <v>2870</v>
      </c>
      <c r="O25" s="89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3">
        <f>'Suvi Gaz'!O19</f>
        <v>511.98736000000002</v>
      </c>
      <c r="W25" s="11"/>
      <c r="X25" s="34">
        <f t="shared" si="1"/>
        <v>6369.1227583999998</v>
      </c>
    </row>
    <row r="26" spans="1:24" ht="32.25" customHeight="1">
      <c r="A26" s="2"/>
      <c r="B26" s="6">
        <v>44912</v>
      </c>
      <c r="C26" s="7"/>
      <c r="D26" s="140">
        <v>103</v>
      </c>
      <c r="E26" s="140">
        <v>172</v>
      </c>
      <c r="F26" s="13">
        <f>'Suivi EAU-ELEC'!E25</f>
        <v>83</v>
      </c>
      <c r="G26" s="14"/>
      <c r="H26" s="180">
        <f t="shared" si="4"/>
        <v>729.56999999999994</v>
      </c>
      <c r="I26" s="181"/>
      <c r="J26" s="181"/>
      <c r="K26" s="58">
        <v>42294</v>
      </c>
      <c r="L26" s="88">
        <f>'Suivi EAU-ELEC'!G25</f>
        <v>4444</v>
      </c>
      <c r="M26" s="89">
        <f>'Suivi EAU-ELEC'!I25</f>
        <v>7200</v>
      </c>
      <c r="N26" s="89">
        <f>'Suivi EAU-ELEC'!K25</f>
        <v>3319</v>
      </c>
      <c r="O26" s="89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3">
        <f>'Suvi Gaz'!O20</f>
        <v>447.98894000000001</v>
      </c>
      <c r="W26" s="11"/>
      <c r="X26" s="34">
        <f t="shared" si="1"/>
        <v>5572.9824135999997</v>
      </c>
    </row>
    <row r="27" spans="1:24" ht="32.25" customHeight="1">
      <c r="A27" s="2"/>
      <c r="B27" s="6">
        <v>44913</v>
      </c>
      <c r="C27" s="7"/>
      <c r="D27" s="140">
        <v>102</v>
      </c>
      <c r="E27" s="140">
        <v>183</v>
      </c>
      <c r="F27" s="13">
        <f>'Suivi EAU-ELEC'!E26</f>
        <v>134</v>
      </c>
      <c r="G27" s="14"/>
      <c r="H27" s="180">
        <f t="shared" si="4"/>
        <v>1177.8599999999999</v>
      </c>
      <c r="I27" s="181"/>
      <c r="J27" s="181"/>
      <c r="K27" s="58">
        <v>42295</v>
      </c>
      <c r="L27" s="88">
        <f>'Suivi EAU-ELEC'!G26</f>
        <v>4381</v>
      </c>
      <c r="M27" s="89">
        <f>'Suivi EAU-ELEC'!I26</f>
        <v>6017</v>
      </c>
      <c r="N27" s="89">
        <f>'Suivi EAU-ELEC'!K26</f>
        <v>3055</v>
      </c>
      <c r="O27" s="89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3">
        <f>'Suvi Gaz'!O21</f>
        <v>639.98419999999999</v>
      </c>
      <c r="W27" s="11"/>
      <c r="X27" s="34">
        <f t="shared" si="1"/>
        <v>7961.4034479999991</v>
      </c>
    </row>
    <row r="28" spans="1:24" ht="32.25" customHeight="1">
      <c r="A28" s="2"/>
      <c r="B28" s="6">
        <v>44914</v>
      </c>
      <c r="C28" s="7"/>
      <c r="D28" s="140">
        <v>84</v>
      </c>
      <c r="E28" s="140">
        <v>134</v>
      </c>
      <c r="F28" s="13">
        <f>'Suivi EAU-ELEC'!E27</f>
        <v>96</v>
      </c>
      <c r="G28" s="11"/>
      <c r="H28" s="180">
        <f t="shared" si="4"/>
        <v>843.83999999999992</v>
      </c>
      <c r="I28" s="181"/>
      <c r="J28" s="181"/>
      <c r="K28" s="58">
        <v>42296</v>
      </c>
      <c r="L28" s="88">
        <f>'Suivi EAU-ELEC'!G27</f>
        <v>4126</v>
      </c>
      <c r="M28" s="89">
        <f>'Suivi EAU-ELEC'!I27</f>
        <v>5975</v>
      </c>
      <c r="N28" s="89">
        <f>'Suivi EAU-ELEC'!K27</f>
        <v>2815</v>
      </c>
      <c r="O28" s="89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3">
        <f>'Suvi Gaz'!O22</f>
        <v>575.98577999999998</v>
      </c>
      <c r="W28" s="11"/>
      <c r="X28" s="34">
        <f t="shared" si="1"/>
        <v>7165.263103199999</v>
      </c>
    </row>
    <row r="29" spans="1:24" ht="32.25" customHeight="1">
      <c r="A29" s="2"/>
      <c r="B29" s="6">
        <v>44915</v>
      </c>
      <c r="C29" s="7"/>
      <c r="D29" s="140">
        <v>95</v>
      </c>
      <c r="E29" s="140">
        <v>161</v>
      </c>
      <c r="F29" s="13">
        <f>'Suivi EAU-ELEC'!E28</f>
        <v>104</v>
      </c>
      <c r="G29" s="11"/>
      <c r="H29" s="180">
        <f t="shared" si="4"/>
        <v>914.15999999999985</v>
      </c>
      <c r="I29" s="181"/>
      <c r="J29" s="181"/>
      <c r="K29" s="58">
        <v>42297</v>
      </c>
      <c r="L29" s="88">
        <f>'Suivi EAU-ELEC'!G28</f>
        <v>4056</v>
      </c>
      <c r="M29" s="89">
        <f>'Suivi EAU-ELEC'!I28</f>
        <v>6460</v>
      </c>
      <c r="N29" s="89">
        <f>'Suivi EAU-ELEC'!K28</f>
        <v>2953</v>
      </c>
      <c r="O29" s="89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3">
        <f>'Suvi Gaz'!O23</f>
        <v>223.99447000000001</v>
      </c>
      <c r="W29" s="11"/>
      <c r="X29" s="34">
        <f t="shared" si="1"/>
        <v>2786.4912067999999</v>
      </c>
    </row>
    <row r="30" spans="1:24" ht="32.25" customHeight="1">
      <c r="A30" s="2"/>
      <c r="B30" s="6">
        <v>44916</v>
      </c>
      <c r="C30" s="7"/>
      <c r="D30" s="140">
        <v>84</v>
      </c>
      <c r="E30" s="140">
        <v>136</v>
      </c>
      <c r="F30" s="13">
        <f>'Suivi EAU-ELEC'!E29</f>
        <v>147</v>
      </c>
      <c r="G30" s="11"/>
      <c r="H30" s="180">
        <f t="shared" si="4"/>
        <v>1292.1299999999999</v>
      </c>
      <c r="I30" s="181"/>
      <c r="J30" s="181"/>
      <c r="K30" s="58">
        <v>42298</v>
      </c>
      <c r="L30" s="88">
        <f>'Suivi EAU-ELEC'!G29</f>
        <v>4159</v>
      </c>
      <c r="M30" s="89">
        <f>'Suivi EAU-ELEC'!I29</f>
        <v>6153</v>
      </c>
      <c r="N30" s="89">
        <f>'Suivi EAU-ELEC'!K29</f>
        <v>3003</v>
      </c>
      <c r="O30" s="89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3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44917</v>
      </c>
      <c r="C31" s="7"/>
      <c r="D31" s="140"/>
      <c r="E31" s="140"/>
      <c r="F31" s="13">
        <f>'Suivi EAU-ELEC'!E30</f>
        <v>0</v>
      </c>
      <c r="G31" s="11"/>
      <c r="H31" s="180">
        <f t="shared" si="4"/>
        <v>0</v>
      </c>
      <c r="I31" s="181"/>
      <c r="J31" s="181"/>
      <c r="K31" s="58">
        <v>42299</v>
      </c>
      <c r="L31" s="88">
        <f>'Suivi EAU-ELEC'!G30</f>
        <v>0</v>
      </c>
      <c r="M31" s="89">
        <f>'Suivi EAU-ELEC'!I30</f>
        <v>0</v>
      </c>
      <c r="N31" s="89">
        <f>'Suivi EAU-ELEC'!K30</f>
        <v>0</v>
      </c>
      <c r="O31" s="89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3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44918</v>
      </c>
      <c r="C32" s="7"/>
      <c r="D32" s="140"/>
      <c r="E32" s="140"/>
      <c r="F32" s="13">
        <f>'Suivi EAU-ELEC'!E31</f>
        <v>0</v>
      </c>
      <c r="G32" s="11"/>
      <c r="H32" s="180">
        <f t="shared" si="4"/>
        <v>0</v>
      </c>
      <c r="I32" s="181"/>
      <c r="J32" s="181"/>
      <c r="K32" s="58">
        <v>42300</v>
      </c>
      <c r="L32" s="88">
        <f>'Suivi EAU-ELEC'!G31</f>
        <v>0</v>
      </c>
      <c r="M32" s="89">
        <f>'Suivi EAU-ELEC'!I31</f>
        <v>0</v>
      </c>
      <c r="N32" s="89">
        <f>'Suivi EAU-ELEC'!K31</f>
        <v>0</v>
      </c>
      <c r="O32" s="89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3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44919</v>
      </c>
      <c r="C33" s="7"/>
      <c r="D33" s="140"/>
      <c r="E33" s="140"/>
      <c r="F33" s="13">
        <f>'Suivi EAU-ELEC'!E32</f>
        <v>0</v>
      </c>
      <c r="G33" s="11"/>
      <c r="H33" s="180">
        <f t="shared" si="4"/>
        <v>0</v>
      </c>
      <c r="I33" s="181"/>
      <c r="J33" s="181"/>
      <c r="K33" s="58">
        <v>42301</v>
      </c>
      <c r="L33" s="88">
        <f>'Suivi EAU-ELEC'!G32</f>
        <v>0</v>
      </c>
      <c r="M33" s="89">
        <f>'Suivi EAU-ELEC'!I32</f>
        <v>0</v>
      </c>
      <c r="N33" s="89">
        <f>'Suivi EAU-ELEC'!K32</f>
        <v>0</v>
      </c>
      <c r="O33" s="89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3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44920</v>
      </c>
      <c r="C34" s="7"/>
      <c r="D34" s="140"/>
      <c r="E34" s="140"/>
      <c r="F34" s="13">
        <f>'Suivi EAU-ELEC'!E33</f>
        <v>0</v>
      </c>
      <c r="G34" s="11"/>
      <c r="H34" s="180">
        <f t="shared" si="4"/>
        <v>0</v>
      </c>
      <c r="I34" s="181"/>
      <c r="J34" s="181"/>
      <c r="K34" s="58">
        <v>42302</v>
      </c>
      <c r="L34" s="88">
        <f>'Suivi EAU-ELEC'!G33</f>
        <v>0</v>
      </c>
      <c r="M34" s="89">
        <f>'Suivi EAU-ELEC'!I33</f>
        <v>0</v>
      </c>
      <c r="N34" s="89">
        <f>'Suivi EAU-ELEC'!K33</f>
        <v>0</v>
      </c>
      <c r="O34" s="89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3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44921</v>
      </c>
      <c r="C35" s="7"/>
      <c r="D35" s="140"/>
      <c r="E35" s="140"/>
      <c r="F35" s="13">
        <f>'Suivi EAU-ELEC'!E34</f>
        <v>0</v>
      </c>
      <c r="G35" s="11"/>
      <c r="H35" s="180">
        <f t="shared" si="4"/>
        <v>0</v>
      </c>
      <c r="I35" s="181"/>
      <c r="J35" s="181"/>
      <c r="K35" s="58">
        <v>42303</v>
      </c>
      <c r="L35" s="88">
        <f>'Suivi EAU-ELEC'!G34</f>
        <v>0</v>
      </c>
      <c r="M35" s="89">
        <f>'Suivi EAU-ELEC'!I34</f>
        <v>0</v>
      </c>
      <c r="N35" s="89">
        <f>'Suivi EAU-ELEC'!K34</f>
        <v>0</v>
      </c>
      <c r="O35" s="89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3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44922</v>
      </c>
      <c r="C36" s="7"/>
      <c r="D36" s="140"/>
      <c r="E36" s="140"/>
      <c r="F36" s="13">
        <f>'Suivi EAU-ELEC'!E35</f>
        <v>0</v>
      </c>
      <c r="G36" s="11"/>
      <c r="H36" s="180">
        <f>F36*8.79</f>
        <v>0</v>
      </c>
      <c r="I36" s="181"/>
      <c r="J36" s="181"/>
      <c r="K36" s="58">
        <v>42304</v>
      </c>
      <c r="L36" s="88">
        <f>'Suivi EAU-ELEC'!G35</f>
        <v>0</v>
      </c>
      <c r="M36" s="89">
        <f>'Suivi EAU-ELEC'!I35</f>
        <v>0</v>
      </c>
      <c r="N36" s="89">
        <f>'Suivi EAU-ELEC'!K35</f>
        <v>0</v>
      </c>
      <c r="O36" s="89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3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44923</v>
      </c>
      <c r="C37" s="7"/>
      <c r="D37" s="140"/>
      <c r="E37" s="140"/>
      <c r="F37" s="13">
        <f>'Suivi EAU-ELEC'!E36</f>
        <v>0</v>
      </c>
      <c r="G37" s="11"/>
      <c r="H37" s="180">
        <f t="shared" ref="H37:H38" si="5">F37*8.79</f>
        <v>0</v>
      </c>
      <c r="I37" s="181"/>
      <c r="J37" s="181"/>
      <c r="K37" s="58"/>
      <c r="L37" s="88">
        <f>'Suivi EAU-ELEC'!G36</f>
        <v>0</v>
      </c>
      <c r="M37" s="89">
        <f>'Suivi EAU-ELEC'!I36</f>
        <v>0</v>
      </c>
      <c r="N37" s="89">
        <f>'Suivi EAU-ELEC'!K36</f>
        <v>0</v>
      </c>
      <c r="O37" s="89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80">
        <f t="shared" si="5"/>
        <v>0</v>
      </c>
      <c r="I38" s="181"/>
      <c r="J38" s="181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80">
        <f t="shared" ref="H39" si="6">F39*8.79</f>
        <v>0</v>
      </c>
      <c r="I39" s="181"/>
      <c r="J39" s="181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80">
        <f t="shared" ref="H40" si="7">F40*8.79</f>
        <v>0</v>
      </c>
      <c r="I40" s="181"/>
      <c r="J40" s="181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2031</v>
      </c>
      <c r="E41" s="8">
        <f>SUM(E10:E40)</f>
        <v>2934</v>
      </c>
      <c r="F41" s="149">
        <f>SUM(F10:F40)</f>
        <v>2491.1000000000058</v>
      </c>
      <c r="G41" s="1"/>
      <c r="H41" s="261">
        <f>SUM(H10:H40)</f>
        <v>21896.769000000048</v>
      </c>
      <c r="I41" s="262"/>
      <c r="J41" s="263"/>
      <c r="K41" s="1"/>
      <c r="L41" s="53">
        <f>SUM(L10:L40)</f>
        <v>89482</v>
      </c>
      <c r="M41" s="53">
        <f>SUM(M10:M40)</f>
        <v>135641</v>
      </c>
      <c r="N41" s="54">
        <f>SUM(N10:N40)</f>
        <v>63950</v>
      </c>
      <c r="O41" s="55">
        <f>SUM(O10:O40)</f>
        <v>289073</v>
      </c>
      <c r="P41" s="31"/>
      <c r="Q41" s="32">
        <f>SUM(Q10:Q40)</f>
        <v>276749.50999999995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8512.81819</v>
      </c>
      <c r="W41" s="31"/>
      <c r="X41" s="32">
        <f>SUM(X10:X40)</f>
        <v>105899.45828359998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6" t="s">
        <v>33</v>
      </c>
      <c r="B43" s="217"/>
      <c r="C43" s="217"/>
      <c r="D43" s="217"/>
      <c r="E43" s="217"/>
      <c r="F43" s="218"/>
      <c r="G43" s="26"/>
      <c r="H43" s="27" t="s">
        <v>34</v>
      </c>
      <c r="I43" s="255" t="s">
        <v>35</v>
      </c>
      <c r="J43" s="256"/>
      <c r="K43" s="257"/>
      <c r="L43" s="230" t="s">
        <v>36</v>
      </c>
      <c r="M43" s="231"/>
      <c r="N43" s="216" t="s">
        <v>37</v>
      </c>
      <c r="O43" s="217"/>
      <c r="P43" s="217"/>
      <c r="Q43" s="217"/>
      <c r="R43" s="217"/>
      <c r="S43" s="217"/>
      <c r="T43" s="217"/>
      <c r="U43" s="217"/>
      <c r="V43" s="217"/>
      <c r="W43" s="217"/>
      <c r="X43" s="218"/>
    </row>
    <row r="44" spans="1:24" s="18" customFormat="1" ht="29.25" customHeight="1" thickBot="1">
      <c r="A44" s="224" t="s">
        <v>38</v>
      </c>
      <c r="B44" s="225"/>
      <c r="C44" s="226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21">
        <f>L41</f>
        <v>89482</v>
      </c>
      <c r="J44" s="222"/>
      <c r="K44" s="223"/>
      <c r="L44" s="182">
        <f>I44*H44</f>
        <v>62503.177000000003</v>
      </c>
      <c r="M44" s="183"/>
      <c r="N44" s="239">
        <f>L44+L45+L46</f>
        <v>276631.10440000001</v>
      </c>
      <c r="O44" s="240"/>
      <c r="P44" s="240"/>
      <c r="Q44" s="240"/>
      <c r="R44" s="240"/>
      <c r="S44" s="240"/>
      <c r="T44" s="240"/>
      <c r="U44" s="240"/>
      <c r="V44" s="240"/>
      <c r="W44" s="240"/>
      <c r="X44" s="241"/>
    </row>
    <row r="45" spans="1:24" s="18" customFormat="1" ht="29.25" customHeight="1" thickBot="1">
      <c r="A45" s="227"/>
      <c r="B45" s="228"/>
      <c r="C45" s="229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21">
        <f>M41</f>
        <v>135641</v>
      </c>
      <c r="J45" s="222"/>
      <c r="K45" s="223"/>
      <c r="L45" s="182">
        <f>I45*H45</f>
        <v>129048.8474</v>
      </c>
      <c r="M45" s="183"/>
      <c r="N45" s="242"/>
      <c r="O45" s="243"/>
      <c r="P45" s="243"/>
      <c r="Q45" s="243"/>
      <c r="R45" s="243"/>
      <c r="S45" s="243"/>
      <c r="T45" s="243"/>
      <c r="U45" s="243"/>
      <c r="V45" s="243"/>
      <c r="W45" s="243"/>
      <c r="X45" s="244"/>
    </row>
    <row r="46" spans="1:24" s="18" customFormat="1" ht="24.75" customHeight="1" thickBot="1">
      <c r="A46" s="227"/>
      <c r="B46" s="228"/>
      <c r="C46" s="229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52">
        <f>N41</f>
        <v>63950</v>
      </c>
      <c r="J46" s="253"/>
      <c r="K46" s="254"/>
      <c r="L46" s="182">
        <f>I46*H46</f>
        <v>85079.08</v>
      </c>
      <c r="M46" s="183"/>
      <c r="N46" s="245"/>
      <c r="O46" s="246"/>
      <c r="P46" s="246"/>
      <c r="Q46" s="246"/>
      <c r="R46" s="246"/>
      <c r="S46" s="246"/>
      <c r="T46" s="246"/>
      <c r="U46" s="246"/>
      <c r="V46" s="246"/>
      <c r="W46" s="246"/>
      <c r="X46" s="247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58">
        <f>N44*1.3</f>
        <v>359620.43572000001</v>
      </c>
      <c r="O47" s="259"/>
      <c r="P47" s="259"/>
      <c r="Q47" s="259"/>
      <c r="R47" s="259"/>
      <c r="S47" s="259"/>
      <c r="T47" s="259"/>
      <c r="U47" s="259"/>
      <c r="V47" s="259"/>
      <c r="W47" s="259"/>
      <c r="X47" s="260"/>
    </row>
    <row r="48" spans="1:24" s="23" customFormat="1" ht="32.25" customHeight="1" thickBot="1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2491.1000000000058</v>
      </c>
      <c r="J48" s="214"/>
      <c r="K48" s="215"/>
      <c r="L48" s="219">
        <f>I48*H48</f>
        <v>21896.769000000048</v>
      </c>
      <c r="M48" s="220"/>
      <c r="N48" s="236">
        <f>L48</f>
        <v>21896.769000000048</v>
      </c>
      <c r="O48" s="237"/>
      <c r="P48" s="237"/>
      <c r="Q48" s="237"/>
      <c r="R48" s="237"/>
      <c r="S48" s="237"/>
      <c r="T48" s="237"/>
      <c r="U48" s="237"/>
      <c r="V48" s="237"/>
      <c r="W48" s="237"/>
      <c r="X48" s="238"/>
    </row>
    <row r="49" spans="1:24" s="23" customFormat="1" ht="36.75" customHeight="1">
      <c r="A49" s="248" t="s">
        <v>40</v>
      </c>
      <c r="B49" s="249"/>
      <c r="C49" s="249"/>
      <c r="D49" s="249"/>
      <c r="E49" s="249"/>
      <c r="F49" s="250"/>
      <c r="G49" s="24"/>
      <c r="H49" s="25">
        <v>12.44</v>
      </c>
      <c r="I49" s="211">
        <f>V41</f>
        <v>8512.81819</v>
      </c>
      <c r="J49" s="251"/>
      <c r="K49" s="212"/>
      <c r="L49" s="211">
        <f>I49*H49</f>
        <v>105899.45828359999</v>
      </c>
      <c r="M49" s="212"/>
      <c r="N49" s="233">
        <f>L49</f>
        <v>105899.45828359999</v>
      </c>
      <c r="O49" s="234"/>
      <c r="P49" s="234"/>
      <c r="Q49" s="234"/>
      <c r="R49" s="234"/>
      <c r="S49" s="234"/>
      <c r="T49" s="234"/>
      <c r="U49" s="234"/>
      <c r="V49" s="234"/>
      <c r="W49" s="234"/>
      <c r="X49" s="235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J28" sqref="J28:J2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/>
    <row r="7" spans="1:12" ht="16.5" customHeight="1">
      <c r="A7" s="264" t="s">
        <v>43</v>
      </c>
      <c r="B7" s="291" t="s">
        <v>44</v>
      </c>
      <c r="C7" s="291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>
      <c r="A8" s="264"/>
      <c r="B8" s="165" t="s">
        <v>47</v>
      </c>
      <c r="C8" s="165" t="s">
        <v>48</v>
      </c>
      <c r="D8" s="166" t="s">
        <v>47</v>
      </c>
      <c r="E8" s="166" t="s">
        <v>49</v>
      </c>
      <c r="F8" s="164" t="s">
        <v>50</v>
      </c>
      <c r="G8" s="164" t="s">
        <v>51</v>
      </c>
      <c r="H8" s="164" t="s">
        <v>52</v>
      </c>
      <c r="I8" s="164" t="s">
        <v>53</v>
      </c>
      <c r="J8" s="164" t="s">
        <v>54</v>
      </c>
      <c r="K8" s="164" t="s">
        <v>55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1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29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178">
        <v>177190</v>
      </c>
      <c r="E15" s="171">
        <f t="shared" ref="E15:E29" si="2">D15-D14</f>
        <v>121</v>
      </c>
      <c r="F15" s="172">
        <v>12797614</v>
      </c>
      <c r="G15" s="171">
        <f t="shared" ref="G15:G29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29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56</v>
      </c>
    </row>
    <row r="21" spans="1:29" ht="19.5">
      <c r="A21" s="167">
        <v>44908</v>
      </c>
      <c r="B21" s="168">
        <v>2594</v>
      </c>
      <c r="C21" s="169">
        <f t="shared" si="0"/>
        <v>0</v>
      </c>
      <c r="D21" s="170">
        <v>177893</v>
      </c>
      <c r="E21" s="171">
        <f t="shared" si="2"/>
        <v>89</v>
      </c>
      <c r="F21" s="172">
        <v>12823371</v>
      </c>
      <c r="G21" s="171">
        <f t="shared" si="3"/>
        <v>4395</v>
      </c>
      <c r="H21" s="172">
        <v>21901035</v>
      </c>
      <c r="I21" s="171">
        <f t="shared" si="1"/>
        <v>7225</v>
      </c>
      <c r="J21" s="172">
        <v>9603852</v>
      </c>
      <c r="K21" s="171">
        <f t="shared" si="4"/>
        <v>3209</v>
      </c>
    </row>
    <row r="22" spans="1:29" ht="19.5">
      <c r="A22" s="167">
        <v>44909</v>
      </c>
      <c r="B22" s="168">
        <v>2594</v>
      </c>
      <c r="C22" s="169">
        <v>0</v>
      </c>
      <c r="D22" s="170">
        <v>178009</v>
      </c>
      <c r="E22" s="171">
        <f t="shared" si="2"/>
        <v>116</v>
      </c>
      <c r="F22" s="172">
        <v>12827501</v>
      </c>
      <c r="G22" s="171">
        <f t="shared" si="3"/>
        <v>4130</v>
      </c>
      <c r="H22" s="172">
        <v>21907845</v>
      </c>
      <c r="I22" s="171">
        <f t="shared" si="1"/>
        <v>6810</v>
      </c>
      <c r="J22" s="172">
        <v>9607100</v>
      </c>
      <c r="K22" s="171">
        <f t="shared" si="4"/>
        <v>3248</v>
      </c>
    </row>
    <row r="23" spans="1:29" ht="19.5">
      <c r="A23" s="167">
        <v>44910</v>
      </c>
      <c r="B23" s="168">
        <v>2594</v>
      </c>
      <c r="C23" s="169">
        <v>0</v>
      </c>
      <c r="D23" s="170">
        <v>178125</v>
      </c>
      <c r="E23" s="171">
        <f t="shared" si="2"/>
        <v>116</v>
      </c>
      <c r="F23" s="172">
        <v>12831737</v>
      </c>
      <c r="G23" s="171">
        <f t="shared" si="3"/>
        <v>4236</v>
      </c>
      <c r="H23" s="172">
        <v>21915182</v>
      </c>
      <c r="I23" s="171">
        <f t="shared" si="1"/>
        <v>7337</v>
      </c>
      <c r="J23" s="172">
        <v>9610167</v>
      </c>
      <c r="K23" s="171">
        <f t="shared" si="4"/>
        <v>3067</v>
      </c>
    </row>
    <row r="24" spans="1:29" ht="19.5">
      <c r="A24" s="167">
        <v>44911</v>
      </c>
      <c r="B24" s="168">
        <v>2594</v>
      </c>
      <c r="C24" s="169">
        <v>0</v>
      </c>
      <c r="D24" s="170">
        <v>178252</v>
      </c>
      <c r="E24" s="171">
        <f t="shared" si="2"/>
        <v>127</v>
      </c>
      <c r="F24" s="172">
        <v>12836276</v>
      </c>
      <c r="G24" s="171">
        <f t="shared" si="3"/>
        <v>4539</v>
      </c>
      <c r="H24" s="172">
        <v>21921435</v>
      </c>
      <c r="I24" s="171">
        <f t="shared" si="1"/>
        <v>6253</v>
      </c>
      <c r="J24" s="172">
        <v>9613037</v>
      </c>
      <c r="K24" s="171">
        <f t="shared" si="4"/>
        <v>2870</v>
      </c>
    </row>
    <row r="25" spans="1:29" ht="19.5">
      <c r="A25" s="167">
        <v>44912</v>
      </c>
      <c r="B25" s="168">
        <v>2594</v>
      </c>
      <c r="C25" s="169">
        <v>0</v>
      </c>
      <c r="D25" s="170">
        <v>178335</v>
      </c>
      <c r="E25" s="171">
        <f t="shared" si="2"/>
        <v>83</v>
      </c>
      <c r="F25" s="172">
        <v>12840720</v>
      </c>
      <c r="G25" s="171">
        <f t="shared" si="3"/>
        <v>4444</v>
      </c>
      <c r="H25" s="172">
        <v>21928635</v>
      </c>
      <c r="I25" s="171">
        <f t="shared" si="1"/>
        <v>7200</v>
      </c>
      <c r="J25" s="172">
        <v>9616356</v>
      </c>
      <c r="K25" s="171">
        <f t="shared" si="4"/>
        <v>3319</v>
      </c>
    </row>
    <row r="26" spans="1:29" ht="19.5">
      <c r="A26" s="167">
        <v>44913</v>
      </c>
      <c r="B26" s="168">
        <v>2594</v>
      </c>
      <c r="C26" s="169">
        <v>0</v>
      </c>
      <c r="D26" s="170">
        <v>178469</v>
      </c>
      <c r="E26" s="171">
        <f t="shared" si="2"/>
        <v>134</v>
      </c>
      <c r="F26" s="172">
        <v>12845101</v>
      </c>
      <c r="G26" s="171">
        <f t="shared" si="3"/>
        <v>4381</v>
      </c>
      <c r="H26" s="172">
        <v>21934652</v>
      </c>
      <c r="I26" s="171">
        <f t="shared" si="1"/>
        <v>6017</v>
      </c>
      <c r="J26" s="172">
        <v>9619411</v>
      </c>
      <c r="K26" s="171">
        <f t="shared" si="4"/>
        <v>3055</v>
      </c>
    </row>
    <row r="27" spans="1:29" ht="19.5">
      <c r="A27" s="167">
        <v>44914</v>
      </c>
      <c r="B27" s="168">
        <v>2594</v>
      </c>
      <c r="C27" s="169">
        <v>0</v>
      </c>
      <c r="D27" s="170">
        <v>178565</v>
      </c>
      <c r="E27" s="171">
        <f t="shared" si="2"/>
        <v>96</v>
      </c>
      <c r="F27" s="172">
        <v>12849227</v>
      </c>
      <c r="G27" s="171">
        <f t="shared" si="3"/>
        <v>4126</v>
      </c>
      <c r="H27" s="172">
        <v>21940627</v>
      </c>
      <c r="I27" s="171">
        <f t="shared" si="1"/>
        <v>5975</v>
      </c>
      <c r="J27" s="172">
        <v>9622226</v>
      </c>
      <c r="K27" s="171">
        <f t="shared" si="4"/>
        <v>2815</v>
      </c>
    </row>
    <row r="28" spans="1:29" ht="19.5">
      <c r="A28" s="167">
        <v>44915</v>
      </c>
      <c r="B28" s="168">
        <v>2594</v>
      </c>
      <c r="C28" s="169">
        <v>0</v>
      </c>
      <c r="D28" s="170">
        <v>178669</v>
      </c>
      <c r="E28" s="171">
        <f t="shared" si="2"/>
        <v>104</v>
      </c>
      <c r="F28" s="172">
        <v>12853283</v>
      </c>
      <c r="G28" s="171">
        <f t="shared" si="3"/>
        <v>4056</v>
      </c>
      <c r="H28" s="172">
        <v>21947087</v>
      </c>
      <c r="I28" s="171">
        <f t="shared" si="1"/>
        <v>6460</v>
      </c>
      <c r="J28" s="172">
        <v>9625179</v>
      </c>
      <c r="K28" s="171">
        <f t="shared" si="4"/>
        <v>2953</v>
      </c>
    </row>
    <row r="29" spans="1:29" ht="19.5">
      <c r="A29" s="167">
        <v>44916</v>
      </c>
      <c r="B29" s="168">
        <v>2594</v>
      </c>
      <c r="C29" s="169">
        <v>0</v>
      </c>
      <c r="D29" s="170">
        <v>178816</v>
      </c>
      <c r="E29" s="171">
        <f t="shared" si="2"/>
        <v>147</v>
      </c>
      <c r="F29" s="172">
        <v>12857442</v>
      </c>
      <c r="G29" s="171">
        <f t="shared" si="3"/>
        <v>4159</v>
      </c>
      <c r="H29" s="172">
        <v>21953240</v>
      </c>
      <c r="I29" s="171">
        <f t="shared" si="1"/>
        <v>6153</v>
      </c>
      <c r="J29" s="172">
        <v>9628182</v>
      </c>
      <c r="K29" s="171">
        <f t="shared" si="4"/>
        <v>3003</v>
      </c>
    </row>
    <row r="30" spans="1:29" ht="19.5">
      <c r="A30" s="167">
        <v>44917</v>
      </c>
      <c r="B30" s="168"/>
      <c r="C30" s="169"/>
      <c r="D30" s="170"/>
      <c r="E30" s="171"/>
      <c r="F30" s="172"/>
      <c r="G30" s="171"/>
      <c r="H30" s="172"/>
      <c r="I30" s="171"/>
      <c r="J30" s="172"/>
      <c r="K30" s="171"/>
    </row>
    <row r="31" spans="1:29" ht="19.5">
      <c r="A31" s="167">
        <v>44918</v>
      </c>
      <c r="B31" s="168"/>
      <c r="C31" s="169"/>
      <c r="D31" s="170"/>
      <c r="E31" s="171"/>
      <c r="F31" s="172"/>
      <c r="G31" s="171"/>
      <c r="H31" s="172"/>
      <c r="I31" s="171"/>
      <c r="J31" s="172"/>
      <c r="K31" s="171"/>
    </row>
    <row r="32" spans="1:29" ht="19.5">
      <c r="A32" s="167">
        <v>44919</v>
      </c>
      <c r="B32" s="168"/>
      <c r="C32" s="169"/>
      <c r="D32" s="170"/>
      <c r="E32" s="171"/>
      <c r="F32" s="172"/>
      <c r="G32" s="171"/>
      <c r="H32" s="172"/>
      <c r="I32" s="171"/>
      <c r="J32" s="172"/>
      <c r="K32" s="171"/>
    </row>
    <row r="33" spans="1:11" ht="19.5">
      <c r="A33" s="173">
        <v>44920</v>
      </c>
      <c r="B33" s="113"/>
      <c r="C33" s="174"/>
      <c r="D33" s="175"/>
      <c r="E33" s="176"/>
      <c r="F33" s="177"/>
      <c r="G33" s="176"/>
      <c r="H33" s="177"/>
      <c r="I33" s="176"/>
      <c r="J33" s="177"/>
      <c r="K33" s="176"/>
    </row>
    <row r="34" spans="1:11" ht="19.5">
      <c r="A34" s="57">
        <v>44921</v>
      </c>
      <c r="B34" s="113"/>
      <c r="C34" s="112"/>
      <c r="D34" s="56"/>
      <c r="E34" s="50"/>
      <c r="F34" s="51"/>
      <c r="G34" s="50"/>
      <c r="H34" s="51"/>
      <c r="I34" s="50"/>
      <c r="J34" s="51"/>
      <c r="K34" s="50"/>
    </row>
    <row r="35" spans="1:11" ht="19.5">
      <c r="A35" s="57">
        <v>44922</v>
      </c>
      <c r="B35" s="113"/>
      <c r="C35" s="112"/>
      <c r="D35" s="56"/>
      <c r="E35" s="50"/>
      <c r="F35" s="51"/>
      <c r="G35" s="50"/>
      <c r="H35" s="51"/>
      <c r="I35" s="50"/>
      <c r="J35" s="51"/>
      <c r="K35" s="50"/>
    </row>
    <row r="36" spans="1:11" ht="19.5">
      <c r="A36" s="57">
        <v>44923</v>
      </c>
      <c r="B36" s="113"/>
      <c r="C36" s="112"/>
      <c r="D36" s="56"/>
      <c r="E36" s="50"/>
      <c r="F36" s="51"/>
      <c r="G36" s="50"/>
      <c r="H36" s="51"/>
      <c r="I36" s="50"/>
      <c r="J36" s="51"/>
      <c r="K36" s="50"/>
    </row>
    <row r="37" spans="1:11" ht="19.5">
      <c r="A37" s="57">
        <v>44924</v>
      </c>
      <c r="B37" s="113"/>
      <c r="C37" s="112"/>
      <c r="D37" s="56"/>
      <c r="E37" s="50"/>
      <c r="F37" s="51"/>
      <c r="G37" s="50"/>
      <c r="H37" s="51"/>
      <c r="I37" s="50"/>
      <c r="J37" s="51"/>
      <c r="K37" s="50"/>
    </row>
    <row r="38" spans="1:11" ht="19.5">
      <c r="A38" s="57">
        <v>44925</v>
      </c>
      <c r="B38" s="113"/>
      <c r="C38" s="112"/>
      <c r="D38" s="56"/>
      <c r="E38" s="50"/>
      <c r="F38" s="51"/>
      <c r="G38" s="50"/>
      <c r="H38" s="51"/>
      <c r="I38" s="50"/>
      <c r="J38" s="51"/>
      <c r="K38" s="50"/>
    </row>
    <row r="39" spans="1:11" ht="19.5">
      <c r="A39" s="57">
        <v>44926</v>
      </c>
      <c r="B39" s="113"/>
      <c r="C39" s="112"/>
      <c r="D39" s="56"/>
      <c r="E39" s="50"/>
      <c r="F39" s="51"/>
      <c r="G39" s="50"/>
      <c r="H39" s="51"/>
      <c r="I39" s="50"/>
      <c r="J39" s="51"/>
      <c r="K39" s="50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9">
    <cfRule type="cellIs" dxfId="5" priority="6" stopIfTrue="1" operator="lessThanOrEqual">
      <formula>0</formula>
    </cfRule>
  </conditionalFormatting>
  <conditionalFormatting sqref="E10:E29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30:E40">
    <cfRule type="cellIs" dxfId="1" priority="2" stopIfTrue="1" operator="lessThanOrEqual">
      <formula>0</formula>
    </cfRule>
  </conditionalFormatting>
  <conditionalFormatting sqref="E30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2" activePane="bottomRight" state="frozen"/>
      <selection pane="bottomRight" activeCell="H24" sqref="H2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5" t="s">
        <v>57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 spans="1:31" ht="41.25" customHeight="1">
      <c r="Q2" s="300">
        <v>803</v>
      </c>
      <c r="R2" s="301"/>
      <c r="S2" s="302"/>
      <c r="T2" s="303">
        <v>519</v>
      </c>
      <c r="U2" s="301"/>
      <c r="V2" s="302"/>
      <c r="W2" s="303">
        <v>800</v>
      </c>
      <c r="X2" s="301"/>
      <c r="Y2" s="302"/>
      <c r="Z2" s="303">
        <v>802</v>
      </c>
      <c r="AA2" s="301"/>
      <c r="AB2" s="304"/>
      <c r="AC2" s="36"/>
    </row>
    <row r="3" spans="1:31" s="127" customFormat="1" ht="50.25" customHeight="1">
      <c r="A3" s="116"/>
      <c r="B3" s="117" t="s">
        <v>58</v>
      </c>
      <c r="C3" s="118" t="s">
        <v>59</v>
      </c>
      <c r="D3" s="117" t="s">
        <v>60</v>
      </c>
      <c r="E3" s="118" t="s">
        <v>61</v>
      </c>
      <c r="F3" s="117" t="s">
        <v>62</v>
      </c>
      <c r="G3" s="118" t="s">
        <v>63</v>
      </c>
      <c r="H3" s="117" t="s">
        <v>64</v>
      </c>
      <c r="I3" s="118" t="s">
        <v>65</v>
      </c>
      <c r="J3" s="119" t="s">
        <v>66</v>
      </c>
      <c r="K3" s="119" t="s">
        <v>67</v>
      </c>
      <c r="L3" s="119" t="s">
        <v>68</v>
      </c>
      <c r="M3" s="119" t="s">
        <v>69</v>
      </c>
      <c r="N3" s="119" t="s">
        <v>70</v>
      </c>
      <c r="O3" s="120" t="s">
        <v>71</v>
      </c>
      <c r="P3" s="120" t="s">
        <v>72</v>
      </c>
      <c r="Q3" s="121" t="s">
        <v>73</v>
      </c>
      <c r="R3" s="121" t="s">
        <v>74</v>
      </c>
      <c r="S3" s="121" t="s">
        <v>75</v>
      </c>
      <c r="T3" s="122" t="s">
        <v>76</v>
      </c>
      <c r="U3" s="123" t="s">
        <v>74</v>
      </c>
      <c r="V3" s="122" t="s">
        <v>75</v>
      </c>
      <c r="W3" s="122" t="s">
        <v>77</v>
      </c>
      <c r="X3" s="122" t="s">
        <v>74</v>
      </c>
      <c r="Y3" s="122" t="s">
        <v>75</v>
      </c>
      <c r="Z3" s="122" t="s">
        <v>78</v>
      </c>
      <c r="AA3" s="122" t="s">
        <v>74</v>
      </c>
      <c r="AB3" s="124" t="s">
        <v>75</v>
      </c>
      <c r="AC3" s="125" t="s">
        <v>79</v>
      </c>
      <c r="AD3" s="126" t="s">
        <v>80</v>
      </c>
      <c r="AE3" s="126" t="s">
        <v>81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6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ref="P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1"/>
        <v>3</v>
      </c>
      <c r="J16" s="39">
        <f t="shared" si="12"/>
        <v>283</v>
      </c>
      <c r="K16" s="39">
        <f t="shared" si="13"/>
        <v>70.75</v>
      </c>
      <c r="L16" s="39">
        <f t="shared" si="14"/>
        <v>3.75</v>
      </c>
      <c r="M16" s="146">
        <f t="shared" si="17"/>
        <v>24196</v>
      </c>
      <c r="N16" s="39">
        <f t="shared" si="15"/>
        <v>907.35</v>
      </c>
      <c r="O16" s="39">
        <f t="shared" si="16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1"/>
        <v>3</v>
      </c>
      <c r="J17" s="39">
        <f t="shared" si="12"/>
        <v>268</v>
      </c>
      <c r="K17" s="39">
        <f t="shared" si="13"/>
        <v>67</v>
      </c>
      <c r="L17" s="39">
        <f t="shared" si="14"/>
        <v>4</v>
      </c>
      <c r="M17" s="146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1"/>
        <v>1</v>
      </c>
      <c r="J18" s="39">
        <f t="shared" si="12"/>
        <v>252</v>
      </c>
      <c r="K18" s="39">
        <f t="shared" si="13"/>
        <v>63</v>
      </c>
      <c r="L18" s="39">
        <f t="shared" si="14"/>
        <v>1</v>
      </c>
      <c r="M18" s="146">
        <f t="shared" si="17"/>
        <v>24196</v>
      </c>
      <c r="N18" s="39">
        <f t="shared" si="15"/>
        <v>241.96</v>
      </c>
      <c r="O18" s="39">
        <f t="shared" si="16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1"/>
        <v>4</v>
      </c>
      <c r="J19" s="39">
        <f t="shared" si="12"/>
        <v>248</v>
      </c>
      <c r="K19" s="39">
        <f t="shared" si="13"/>
        <v>62</v>
      </c>
      <c r="L19" s="39">
        <f t="shared" si="14"/>
        <v>4</v>
      </c>
      <c r="M19" s="146">
        <f t="shared" si="17"/>
        <v>24196</v>
      </c>
      <c r="N19" s="39">
        <f t="shared" si="15"/>
        <v>967.84</v>
      </c>
      <c r="O19" s="39">
        <f t="shared" si="16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1"/>
        <v>4</v>
      </c>
      <c r="J20" s="39">
        <f t="shared" si="12"/>
        <v>232</v>
      </c>
      <c r="K20" s="39">
        <f t="shared" si="13"/>
        <v>58</v>
      </c>
      <c r="L20" s="39">
        <f t="shared" ref="L20:L42" si="19">IF(AC20&gt;0,((K20-AD20)+(AE20-K21)),IF(K21=0, ,(K20-K21)))</f>
        <v>3.5</v>
      </c>
      <c r="M20" s="146">
        <f t="shared" si="17"/>
        <v>24196</v>
      </c>
      <c r="N20" s="39">
        <f t="shared" si="15"/>
        <v>846.86</v>
      </c>
      <c r="O20" s="39">
        <f t="shared" si="16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1"/>
        <v>6</v>
      </c>
      <c r="J21" s="39">
        <f t="shared" si="12"/>
        <v>218</v>
      </c>
      <c r="K21" s="39">
        <f t="shared" si="13"/>
        <v>54.5</v>
      </c>
      <c r="L21" s="39">
        <f>IF(AC21&gt;0,((K21-AD21)+(AE21-K22)),IF(K22=0, ,(K21-K22)))</f>
        <v>5</v>
      </c>
      <c r="M21" s="146">
        <f t="shared" si="17"/>
        <v>24196</v>
      </c>
      <c r="N21" s="39">
        <f t="shared" si="15"/>
        <v>1209.8</v>
      </c>
      <c r="O21" s="39">
        <f t="shared" si="16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1"/>
        <v>7</v>
      </c>
      <c r="J22" s="39">
        <f t="shared" si="12"/>
        <v>198</v>
      </c>
      <c r="K22" s="39">
        <f t="shared" si="13"/>
        <v>49.5</v>
      </c>
      <c r="L22" s="39">
        <f>IF(AC22&gt;0,((K22-AD22)+(AE22-K23)),IF(K23=0, ,(K22-K23)))</f>
        <v>4.5</v>
      </c>
      <c r="M22" s="146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8"/>
        <v>6661.2755456999994</v>
      </c>
      <c r="Q22" s="39">
        <v>1183</v>
      </c>
      <c r="R22" s="39">
        <v>52</v>
      </c>
      <c r="S22" s="39">
        <v>80</v>
      </c>
      <c r="T22" s="39">
        <v>1234</v>
      </c>
      <c r="U22" s="39">
        <v>50</v>
      </c>
      <c r="V22" s="39">
        <v>80</v>
      </c>
      <c r="W22" s="39">
        <v>1337</v>
      </c>
      <c r="X22" s="39">
        <v>42</v>
      </c>
      <c r="Y22" s="39">
        <v>80</v>
      </c>
      <c r="Z22" s="39">
        <v>1352</v>
      </c>
      <c r="AA22" s="39">
        <v>45</v>
      </c>
      <c r="AB22" s="39">
        <v>85</v>
      </c>
      <c r="AC22" s="39">
        <f>Q22+T22+W22+Z22</f>
        <v>5106</v>
      </c>
      <c r="AD22" s="38">
        <f t="shared" si="5"/>
        <v>47.25</v>
      </c>
      <c r="AE22" s="38">
        <f t="shared" si="6"/>
        <v>81.25</v>
      </c>
    </row>
    <row r="23" spans="1:31" ht="32.25" customHeight="1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1"/>
        <v>1</v>
      </c>
      <c r="J23" s="39">
        <f t="shared" si="12"/>
        <v>316</v>
      </c>
      <c r="K23" s="39">
        <f t="shared" si="13"/>
        <v>79</v>
      </c>
      <c r="L23" s="39">
        <f t="shared" si="19"/>
        <v>1.75</v>
      </c>
      <c r="M23" s="146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8"/>
        <v>2590.49604555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>
        <v>77</v>
      </c>
      <c r="C24" s="39">
        <f t="shared" si="7"/>
        <v>0</v>
      </c>
      <c r="D24" s="41">
        <v>78</v>
      </c>
      <c r="E24" s="39">
        <f t="shared" si="8"/>
        <v>0</v>
      </c>
      <c r="F24" s="41">
        <v>77</v>
      </c>
      <c r="G24" s="39">
        <f t="shared" si="9"/>
        <v>0</v>
      </c>
      <c r="H24" s="41">
        <v>77</v>
      </c>
      <c r="I24" s="39">
        <f t="shared" si="11"/>
        <v>0</v>
      </c>
      <c r="J24" s="39">
        <f t="shared" si="12"/>
        <v>309</v>
      </c>
      <c r="K24" s="39">
        <f t="shared" si="13"/>
        <v>77.25</v>
      </c>
      <c r="L24" s="39">
        <f t="shared" si="19"/>
        <v>0</v>
      </c>
      <c r="M24" s="146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8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9"/>
        <v>0</v>
      </c>
      <c r="M25" s="146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8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9"/>
        <v>0</v>
      </c>
      <c r="M26" s="146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8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9"/>
        <v>0</v>
      </c>
      <c r="M27" s="146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8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9"/>
        <v>0</v>
      </c>
      <c r="M28" s="146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8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9"/>
        <v>0</v>
      </c>
      <c r="M29" s="146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8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9"/>
        <v>0</v>
      </c>
      <c r="M30" s="146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8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>
      <c r="A31" s="40">
        <v>44923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16090.339999999998</v>
      </c>
      <c r="O43" s="39">
        <f>N43*0.529</f>
        <v>8511.789859999999</v>
      </c>
      <c r="P43" s="42">
        <f>O43*12.44</f>
        <v>105886.66585839998</v>
      </c>
      <c r="Q43" s="296">
        <f>SUM(Q4:Q42)</f>
        <v>6092</v>
      </c>
      <c r="R43" s="297"/>
      <c r="S43" s="298"/>
      <c r="T43" s="299">
        <f>SUM(T4:T42)</f>
        <v>6322</v>
      </c>
      <c r="U43" s="297"/>
      <c r="V43" s="298"/>
      <c r="W43" s="299">
        <f>SUM(W4:W42)</f>
        <v>6063</v>
      </c>
      <c r="X43" s="297"/>
      <c r="Y43" s="298"/>
      <c r="Z43" s="299">
        <f>SUM(Z4:Z42)</f>
        <v>6403</v>
      </c>
      <c r="AA43" s="297"/>
      <c r="AB43" s="298"/>
      <c r="AC43" s="39">
        <f t="shared" si="21"/>
        <v>24880</v>
      </c>
    </row>
    <row r="44" spans="1:31" ht="35.25" customHeight="1" thickBot="1">
      <c r="B44" s="305"/>
      <c r="C44" s="306"/>
      <c r="D44" s="306"/>
      <c r="E44" s="306"/>
      <c r="F44" s="306"/>
      <c r="G44" s="306"/>
      <c r="H44" s="306"/>
      <c r="I44" s="307"/>
      <c r="J44" s="37"/>
      <c r="K44" s="37"/>
      <c r="L44" s="37"/>
      <c r="M44" s="37"/>
      <c r="N44" s="37"/>
      <c r="O44" s="37"/>
      <c r="P44" s="37"/>
      <c r="Q44" s="308">
        <f>Q43+T43+W43+Z43</f>
        <v>24880</v>
      </c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10"/>
      <c r="AC44" s="39">
        <f>Q44+T44+W44+Z44</f>
        <v>24880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2" t="s">
        <v>85</v>
      </c>
      <c r="I47" s="293"/>
      <c r="J47" s="294"/>
      <c r="K47" s="45">
        <f>N43</f>
        <v>16090.339999999998</v>
      </c>
      <c r="L47" s="46">
        <f>O43</f>
        <v>8511.789859999999</v>
      </c>
      <c r="M47" s="46">
        <f>P43</f>
        <v>105886.66585839998</v>
      </c>
    </row>
    <row r="48" spans="1:31" ht="54.75" customHeight="1" thickBot="1">
      <c r="H48" s="292" t="s">
        <v>86</v>
      </c>
      <c r="I48" s="293"/>
      <c r="J48" s="294"/>
      <c r="K48" s="43">
        <f>AC44</f>
        <v>24880</v>
      </c>
      <c r="L48" s="44">
        <f>K48*0.529</f>
        <v>13161.52</v>
      </c>
      <c r="M48" s="44">
        <f>L48*12.44</f>
        <v>163729.3088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2"/>
      <c r="B1" s="284"/>
      <c r="C1" s="311" t="s">
        <v>87</v>
      </c>
      <c r="D1" s="312"/>
      <c r="E1" s="312"/>
      <c r="F1" s="312"/>
      <c r="G1" s="312"/>
      <c r="H1" s="317" t="s">
        <v>88</v>
      </c>
      <c r="I1" s="318"/>
      <c r="J1" s="319"/>
    </row>
    <row r="2" spans="1:10" ht="16.5" customHeight="1" thickBot="1">
      <c r="A2" s="285"/>
      <c r="B2" s="287"/>
      <c r="C2" s="313"/>
      <c r="D2" s="314"/>
      <c r="E2" s="314"/>
      <c r="F2" s="314"/>
      <c r="G2" s="314"/>
      <c r="H2" s="320"/>
      <c r="I2" s="321"/>
      <c r="J2" s="322"/>
    </row>
    <row r="3" spans="1:10" ht="15" customHeight="1">
      <c r="A3" s="285"/>
      <c r="B3" s="287"/>
      <c r="C3" s="313"/>
      <c r="D3" s="314"/>
      <c r="E3" s="314"/>
      <c r="F3" s="314"/>
      <c r="G3" s="314"/>
      <c r="H3" s="323" t="s">
        <v>89</v>
      </c>
      <c r="I3" s="324"/>
      <c r="J3" s="325"/>
    </row>
    <row r="4" spans="1:10" ht="15.75" customHeight="1" thickBot="1">
      <c r="A4" s="288"/>
      <c r="B4" s="290"/>
      <c r="C4" s="315"/>
      <c r="D4" s="316"/>
      <c r="E4" s="316"/>
      <c r="F4" s="316"/>
      <c r="G4" s="316"/>
      <c r="H4" s="326"/>
      <c r="I4" s="327"/>
      <c r="J4" s="328"/>
    </row>
    <row r="6" spans="1:10" ht="33" customHeight="1" thickBot="1"/>
    <row r="7" spans="1:10" ht="36.75" thickTop="1">
      <c r="A7" s="329" t="s">
        <v>90</v>
      </c>
      <c r="B7" s="329"/>
      <c r="C7" s="330" t="s">
        <v>91</v>
      </c>
      <c r="D7" s="331"/>
      <c r="E7" s="59" t="s">
        <v>92</v>
      </c>
      <c r="F7" s="59" t="s">
        <v>93</v>
      </c>
      <c r="G7" s="59" t="s">
        <v>94</v>
      </c>
      <c r="H7" s="59" t="s">
        <v>95</v>
      </c>
      <c r="I7" s="332" t="s">
        <v>96</v>
      </c>
      <c r="J7" s="333"/>
    </row>
    <row r="8" spans="1:10">
      <c r="A8" s="334">
        <v>95670781</v>
      </c>
      <c r="B8" s="334"/>
      <c r="C8" s="335">
        <v>44923</v>
      </c>
      <c r="D8" s="336"/>
      <c r="E8" s="111">
        <v>44923</v>
      </c>
      <c r="F8" s="160" t="s">
        <v>97</v>
      </c>
      <c r="G8" s="60"/>
      <c r="H8" s="60"/>
      <c r="I8" s="337"/>
      <c r="J8" s="338"/>
    </row>
    <row r="10" spans="1:10" ht="23.25" customHeight="1" thickBot="1"/>
    <row r="11" spans="1:10" ht="24.75" customHeight="1" thickTop="1">
      <c r="A11" s="339" t="s">
        <v>98</v>
      </c>
      <c r="B11" s="339"/>
      <c r="C11" s="340" t="s">
        <v>99</v>
      </c>
      <c r="D11" s="341"/>
      <c r="E11" s="339" t="s">
        <v>100</v>
      </c>
      <c r="F11" s="339"/>
      <c r="G11" s="340" t="s">
        <v>101</v>
      </c>
      <c r="H11" s="341"/>
      <c r="I11" s="342" t="s">
        <v>102</v>
      </c>
      <c r="J11" s="342"/>
    </row>
    <row r="12" spans="1:10">
      <c r="A12" s="334" t="s">
        <v>103</v>
      </c>
      <c r="B12" s="334"/>
      <c r="C12" s="334">
        <v>3750</v>
      </c>
      <c r="D12" s="334"/>
      <c r="E12" s="334">
        <v>1000</v>
      </c>
      <c r="F12" s="334"/>
      <c r="G12" s="346">
        <v>1282</v>
      </c>
      <c r="H12" s="346"/>
      <c r="I12" s="347"/>
      <c r="J12" s="347"/>
    </row>
    <row r="13" spans="1:10">
      <c r="A13" s="348"/>
      <c r="B13" s="443"/>
      <c r="C13" s="443"/>
      <c r="D13" s="443"/>
      <c r="E13" s="443"/>
      <c r="F13" s="443"/>
      <c r="G13" s="443"/>
      <c r="H13" s="443"/>
      <c r="I13" s="443"/>
      <c r="J13" s="443"/>
    </row>
    <row r="15" spans="1:10" ht="13.5" thickBot="1"/>
    <row r="16" spans="1:10" ht="26.25" thickTop="1">
      <c r="A16" s="339" t="s">
        <v>104</v>
      </c>
      <c r="B16" s="339"/>
      <c r="C16" s="61" t="s">
        <v>105</v>
      </c>
      <c r="D16" s="62" t="s">
        <v>106</v>
      </c>
      <c r="E16" s="62" t="s">
        <v>48</v>
      </c>
      <c r="F16" s="62" t="s">
        <v>107</v>
      </c>
      <c r="G16" s="343" t="s">
        <v>108</v>
      </c>
      <c r="H16" s="343"/>
      <c r="I16" s="344" t="s">
        <v>109</v>
      </c>
      <c r="J16" s="345"/>
    </row>
    <row r="17" spans="1:10">
      <c r="A17" s="349" t="s">
        <v>110</v>
      </c>
      <c r="B17" s="350"/>
      <c r="C17" s="64">
        <v>19306429</v>
      </c>
      <c r="D17" s="64">
        <v>19306429</v>
      </c>
      <c r="E17" s="65">
        <f>MIN(C17-D17)</f>
        <v>0</v>
      </c>
      <c r="F17" s="65">
        <f>+E17</f>
        <v>0</v>
      </c>
      <c r="G17" s="351"/>
      <c r="H17" s="352"/>
      <c r="I17" s="351">
        <f>+E17</f>
        <v>0</v>
      </c>
      <c r="J17" s="352"/>
    </row>
    <row r="18" spans="1:10">
      <c r="A18" s="349" t="s">
        <v>111</v>
      </c>
      <c r="B18" s="350"/>
      <c r="C18" s="64">
        <v>11353001</v>
      </c>
      <c r="D18" s="64">
        <v>11353001</v>
      </c>
      <c r="E18" s="65">
        <f>MIN(C18-D18)</f>
        <v>0</v>
      </c>
      <c r="F18" s="65">
        <f>+E18</f>
        <v>0</v>
      </c>
      <c r="G18" s="351"/>
      <c r="H18" s="352"/>
      <c r="I18" s="351">
        <f>+E18</f>
        <v>0</v>
      </c>
      <c r="J18" s="352"/>
    </row>
    <row r="19" spans="1:10">
      <c r="A19" s="349" t="s">
        <v>112</v>
      </c>
      <c r="B19" s="350"/>
      <c r="C19" s="64">
        <v>8474753</v>
      </c>
      <c r="D19" s="64">
        <v>8474753</v>
      </c>
      <c r="E19" s="65">
        <f>AVERAGE(C19-D19)</f>
        <v>0</v>
      </c>
      <c r="F19" s="65">
        <f>+E19</f>
        <v>0</v>
      </c>
      <c r="G19" s="351"/>
      <c r="H19" s="352"/>
      <c r="I19" s="351">
        <f>+E19</f>
        <v>0</v>
      </c>
      <c r="J19" s="352"/>
    </row>
    <row r="20" spans="1:10" ht="15">
      <c r="A20" s="353" t="s">
        <v>113</v>
      </c>
      <c r="B20" s="354"/>
      <c r="C20" s="66"/>
      <c r="D20" s="67"/>
      <c r="E20" s="66">
        <f>SUM(E17:E19)</f>
        <v>0</v>
      </c>
      <c r="F20" s="68"/>
      <c r="G20" s="355"/>
      <c r="H20" s="356"/>
      <c r="I20" s="355"/>
      <c r="J20" s="356"/>
    </row>
    <row r="21" spans="1:10">
      <c r="C21" s="108" t="s">
        <v>18</v>
      </c>
      <c r="D21" t="s">
        <v>114</v>
      </c>
      <c r="G21" s="357"/>
      <c r="H21" s="357"/>
    </row>
    <row r="22" spans="1:10" ht="13.5" thickBot="1">
      <c r="G22" s="358"/>
      <c r="H22" s="358"/>
    </row>
    <row r="23" spans="1:10" ht="13.5" thickTop="1">
      <c r="A23" s="359" t="s">
        <v>115</v>
      </c>
      <c r="B23" s="360"/>
      <c r="C23" s="361"/>
      <c r="D23" s="339" t="s">
        <v>116</v>
      </c>
      <c r="E23" s="339" t="s">
        <v>117</v>
      </c>
      <c r="F23" s="366" t="s">
        <v>118</v>
      </c>
      <c r="G23" s="368" t="s">
        <v>119</v>
      </c>
      <c r="H23" s="368"/>
      <c r="I23" s="369" t="s">
        <v>120</v>
      </c>
      <c r="J23" s="369"/>
    </row>
    <row r="24" spans="1:10">
      <c r="A24" s="362"/>
      <c r="B24" s="363"/>
      <c r="C24" s="364"/>
      <c r="D24" s="365"/>
      <c r="E24" s="365"/>
      <c r="F24" s="367"/>
      <c r="G24" s="161" t="s">
        <v>121</v>
      </c>
      <c r="H24" s="69" t="s">
        <v>122</v>
      </c>
      <c r="I24" s="369"/>
      <c r="J24" s="369"/>
    </row>
    <row r="25" spans="1:10" ht="15">
      <c r="A25" s="370" t="s">
        <v>123</v>
      </c>
      <c r="B25" s="371"/>
      <c r="C25" s="372"/>
      <c r="D25" s="65">
        <f>+E17</f>
        <v>0</v>
      </c>
      <c r="E25" s="70">
        <v>0.95140000000000002</v>
      </c>
      <c r="F25" s="71">
        <f>PRODUCT(D25*E25)</f>
        <v>0</v>
      </c>
      <c r="G25" s="148">
        <v>14</v>
      </c>
      <c r="H25" s="63">
        <f>PRODUCT(0.14,F25)</f>
        <v>0</v>
      </c>
      <c r="I25" s="373">
        <f>SUM(H25,F25)</f>
        <v>0</v>
      </c>
      <c r="J25" s="374"/>
    </row>
    <row r="26" spans="1:10" ht="15">
      <c r="A26" s="375" t="s">
        <v>124</v>
      </c>
      <c r="B26" s="376"/>
      <c r="C26" s="377"/>
      <c r="D26" s="65">
        <f>+E18</f>
        <v>0</v>
      </c>
      <c r="E26" s="72">
        <v>0.69850000000000001</v>
      </c>
      <c r="F26" s="71">
        <f>PRODUCT(D26*E26)</f>
        <v>0</v>
      </c>
      <c r="G26">
        <v>14</v>
      </c>
      <c r="H26" s="65">
        <f>PRODUCT(0.14,F26)</f>
        <v>0</v>
      </c>
      <c r="I26" s="373">
        <f t="shared" ref="I26:I31" si="0">SUM(H26,F26)</f>
        <v>0</v>
      </c>
      <c r="J26" s="374"/>
    </row>
    <row r="27" spans="1:10" ht="15">
      <c r="A27" s="375" t="s">
        <v>125</v>
      </c>
      <c r="B27" s="376"/>
      <c r="C27" s="377"/>
      <c r="D27" s="65">
        <f>+E19</f>
        <v>0</v>
      </c>
      <c r="E27" s="72">
        <v>1.3304</v>
      </c>
      <c r="F27" s="71">
        <f>PRODUCT(D27*E27)</f>
        <v>0</v>
      </c>
      <c r="G27">
        <v>14</v>
      </c>
      <c r="H27" s="65">
        <f>PRODUCT(0.14,F27)</f>
        <v>0</v>
      </c>
      <c r="I27" s="373">
        <f>SUM(H27,F27)</f>
        <v>0</v>
      </c>
      <c r="J27" s="374"/>
    </row>
    <row r="28" spans="1:10" ht="15">
      <c r="A28" s="375" t="s">
        <v>126</v>
      </c>
      <c r="B28" s="376"/>
      <c r="C28" s="377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73">
        <f t="shared" si="0"/>
        <v>50025.103799999997</v>
      </c>
      <c r="J28" s="374"/>
    </row>
    <row r="29" spans="1:10" ht="15">
      <c r="A29" s="386" t="s">
        <v>127</v>
      </c>
      <c r="B29" s="387"/>
      <c r="C29" s="388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389">
        <f t="shared" si="0"/>
        <v>0</v>
      </c>
      <c r="J29" s="390"/>
    </row>
    <row r="30" spans="1:10" ht="15">
      <c r="A30" s="375" t="s">
        <v>128</v>
      </c>
      <c r="B30" s="376"/>
      <c r="C30" s="377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73">
        <f>SUM(H30,F30)</f>
        <v>1009.2</v>
      </c>
      <c r="J30" s="374"/>
    </row>
    <row r="31" spans="1:10" ht="15.75" thickBot="1">
      <c r="A31" s="378" t="s">
        <v>129</v>
      </c>
      <c r="B31" s="379"/>
      <c r="C31" s="380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73">
        <f t="shared" si="0"/>
        <v>1596.44</v>
      </c>
      <c r="J31" s="374"/>
    </row>
    <row r="32" spans="1:10" ht="21">
      <c r="A32" s="381" t="s">
        <v>130</v>
      </c>
      <c r="B32" s="382"/>
      <c r="C32" s="382"/>
      <c r="D32" s="382"/>
      <c r="E32" s="382"/>
      <c r="F32" s="82">
        <f>SUM(F25:F31)</f>
        <v>46214.67</v>
      </c>
      <c r="G32" s="83"/>
      <c r="H32" s="84"/>
      <c r="I32" s="385">
        <f>SUM(I25:J31)</f>
        <v>52630.743799999997</v>
      </c>
      <c r="J32" s="385"/>
    </row>
    <row r="33" spans="1:10" ht="21.75" thickBot="1">
      <c r="A33" s="383"/>
      <c r="B33" s="384"/>
      <c r="C33" s="384"/>
      <c r="D33" s="384"/>
      <c r="E33" s="384"/>
      <c r="F33" s="85"/>
      <c r="G33" s="86"/>
      <c r="H33" s="87"/>
      <c r="I33" s="385"/>
      <c r="J33" s="38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M11" sqref="M11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2"/>
      <c r="B1" s="284"/>
      <c r="C1" s="311" t="s">
        <v>131</v>
      </c>
      <c r="D1" s="312"/>
      <c r="E1" s="312"/>
      <c r="F1" s="312"/>
      <c r="G1" s="312"/>
      <c r="H1" s="317" t="s">
        <v>88</v>
      </c>
      <c r="I1" s="318"/>
      <c r="J1" s="319"/>
    </row>
    <row r="2" spans="1:10" ht="16.5" customHeight="1" thickBot="1">
      <c r="A2" s="285"/>
      <c r="B2" s="287"/>
      <c r="C2" s="313"/>
      <c r="D2" s="314"/>
      <c r="E2" s="314"/>
      <c r="F2" s="314"/>
      <c r="G2" s="314"/>
      <c r="H2" s="320"/>
      <c r="I2" s="321"/>
      <c r="J2" s="322"/>
    </row>
    <row r="3" spans="1:10" ht="15" customHeight="1">
      <c r="A3" s="285"/>
      <c r="B3" s="287"/>
      <c r="C3" s="313"/>
      <c r="D3" s="314"/>
      <c r="E3" s="314"/>
      <c r="F3" s="314"/>
      <c r="G3" s="314"/>
      <c r="H3" s="323" t="s">
        <v>89</v>
      </c>
      <c r="I3" s="324"/>
      <c r="J3" s="325"/>
    </row>
    <row r="4" spans="1:10" ht="15.75" customHeight="1" thickBot="1">
      <c r="A4" s="288"/>
      <c r="B4" s="290"/>
      <c r="C4" s="315"/>
      <c r="D4" s="316"/>
      <c r="E4" s="316"/>
      <c r="F4" s="316"/>
      <c r="G4" s="316"/>
      <c r="H4" s="326"/>
      <c r="I4" s="327"/>
      <c r="J4" s="328"/>
    </row>
    <row r="6" spans="1:10" ht="33" customHeight="1" thickBot="1"/>
    <row r="7" spans="1:10" ht="36.75" thickTop="1">
      <c r="A7" s="329" t="s">
        <v>90</v>
      </c>
      <c r="B7" s="329"/>
      <c r="C7" s="330" t="s">
        <v>91</v>
      </c>
      <c r="D7" s="331"/>
      <c r="E7" s="59" t="s">
        <v>92</v>
      </c>
      <c r="F7" s="59" t="s">
        <v>93</v>
      </c>
      <c r="G7" s="59" t="s">
        <v>94</v>
      </c>
      <c r="H7" s="59" t="s">
        <v>95</v>
      </c>
      <c r="I7" s="332" t="s">
        <v>96</v>
      </c>
      <c r="J7" s="333"/>
    </row>
    <row r="8" spans="1:10">
      <c r="A8" s="334">
        <v>95670781</v>
      </c>
      <c r="B8" s="334"/>
      <c r="C8" s="335">
        <v>44915</v>
      </c>
      <c r="D8" s="336"/>
      <c r="E8" s="111">
        <v>44916</v>
      </c>
      <c r="F8" s="160" t="s">
        <v>132</v>
      </c>
      <c r="G8" s="60"/>
      <c r="H8" s="60"/>
      <c r="I8" s="337"/>
      <c r="J8" s="338"/>
    </row>
    <row r="10" spans="1:10" ht="23.25" customHeight="1" thickBot="1"/>
    <row r="11" spans="1:10" ht="24.75" customHeight="1" thickTop="1">
      <c r="A11" s="339" t="s">
        <v>98</v>
      </c>
      <c r="B11" s="339"/>
      <c r="C11" s="340" t="s">
        <v>99</v>
      </c>
      <c r="D11" s="341"/>
      <c r="E11" s="339" t="s">
        <v>100</v>
      </c>
      <c r="F11" s="339"/>
      <c r="G11" s="340" t="s">
        <v>101</v>
      </c>
      <c r="H11" s="341"/>
      <c r="I11" s="342" t="s">
        <v>102</v>
      </c>
      <c r="J11" s="342"/>
    </row>
    <row r="12" spans="1:10">
      <c r="A12" s="334" t="s">
        <v>103</v>
      </c>
      <c r="B12" s="334"/>
      <c r="C12" s="334">
        <v>3750</v>
      </c>
      <c r="D12" s="334"/>
      <c r="E12" s="334">
        <v>1000</v>
      </c>
      <c r="F12" s="334"/>
      <c r="G12" s="346">
        <v>1282</v>
      </c>
      <c r="H12" s="346"/>
      <c r="I12" s="347"/>
      <c r="J12" s="347"/>
    </row>
    <row r="13" spans="1:10">
      <c r="A13" s="348"/>
      <c r="B13" s="443"/>
      <c r="C13" s="443"/>
      <c r="D13" s="443"/>
      <c r="E13" s="443"/>
      <c r="F13" s="443"/>
      <c r="G13" s="443"/>
      <c r="H13" s="443"/>
      <c r="I13" s="443"/>
      <c r="J13" s="443"/>
    </row>
    <row r="15" spans="1:10" ht="13.5" thickBot="1"/>
    <row r="16" spans="1:10" ht="26.25" thickTop="1">
      <c r="A16" s="339" t="s">
        <v>104</v>
      </c>
      <c r="B16" s="339"/>
      <c r="C16" s="61" t="s">
        <v>105</v>
      </c>
      <c r="D16" s="62" t="s">
        <v>106</v>
      </c>
      <c r="E16" s="62" t="s">
        <v>48</v>
      </c>
      <c r="F16" s="62" t="s">
        <v>107</v>
      </c>
      <c r="G16" s="343" t="s">
        <v>108</v>
      </c>
      <c r="H16" s="343"/>
      <c r="I16" s="344" t="s">
        <v>109</v>
      </c>
      <c r="J16" s="345"/>
    </row>
    <row r="17" spans="1:12">
      <c r="A17" s="349" t="s">
        <v>110</v>
      </c>
      <c r="B17" s="350"/>
      <c r="C17" s="64">
        <v>21953240</v>
      </c>
      <c r="D17" s="64">
        <v>21947087</v>
      </c>
      <c r="E17" s="65">
        <f>MIN(C17-D17)</f>
        <v>6153</v>
      </c>
      <c r="F17" s="65">
        <f>+E17</f>
        <v>6153</v>
      </c>
      <c r="G17" s="351"/>
      <c r="H17" s="352"/>
      <c r="I17" s="351">
        <f>+E17</f>
        <v>6153</v>
      </c>
      <c r="J17" s="352"/>
    </row>
    <row r="18" spans="1:12">
      <c r="A18" s="349" t="s">
        <v>111</v>
      </c>
      <c r="B18" s="350"/>
      <c r="C18" s="64">
        <v>12857442</v>
      </c>
      <c r="D18" s="64">
        <v>12853283</v>
      </c>
      <c r="E18" s="65">
        <f>MIN(C18-D18)</f>
        <v>4159</v>
      </c>
      <c r="F18" s="65">
        <f>+E18</f>
        <v>4159</v>
      </c>
      <c r="G18" s="351"/>
      <c r="H18" s="352"/>
      <c r="I18" s="351">
        <f>+E18</f>
        <v>4159</v>
      </c>
      <c r="J18" s="352"/>
    </row>
    <row r="19" spans="1:12" ht="19.5">
      <c r="A19" s="349" t="s">
        <v>112</v>
      </c>
      <c r="B19" s="350"/>
      <c r="C19" s="64">
        <v>9628182</v>
      </c>
      <c r="D19" s="64">
        <v>9625179</v>
      </c>
      <c r="E19" s="65">
        <f>AVERAGE(C19-D19)</f>
        <v>3003</v>
      </c>
      <c r="F19" s="65">
        <f>+E19</f>
        <v>3003</v>
      </c>
      <c r="G19" s="351"/>
      <c r="H19" s="352"/>
      <c r="I19" s="351">
        <f>+E19</f>
        <v>3003</v>
      </c>
      <c r="J19" s="352"/>
      <c r="L19" s="179"/>
    </row>
    <row r="20" spans="1:12" ht="19.5">
      <c r="A20" s="353" t="s">
        <v>113</v>
      </c>
      <c r="B20" s="354"/>
      <c r="C20" s="66"/>
      <c r="D20" s="67"/>
      <c r="E20" s="66">
        <f>SUM(E17:E19)</f>
        <v>13315</v>
      </c>
      <c r="F20" s="68"/>
      <c r="G20" s="355"/>
      <c r="H20" s="356"/>
      <c r="I20" s="355"/>
      <c r="J20" s="356"/>
      <c r="L20" s="179"/>
    </row>
    <row r="21" spans="1:12">
      <c r="C21" s="108" t="s">
        <v>18</v>
      </c>
      <c r="D21" t="s">
        <v>114</v>
      </c>
      <c r="G21" s="357"/>
      <c r="H21" s="357"/>
    </row>
    <row r="22" spans="1:12" ht="13.5" thickBot="1">
      <c r="G22" s="358"/>
      <c r="H22" s="358"/>
    </row>
    <row r="23" spans="1:12" ht="13.5" thickTop="1">
      <c r="A23" s="359" t="s">
        <v>115</v>
      </c>
      <c r="B23" s="360"/>
      <c r="C23" s="361"/>
      <c r="D23" s="339" t="s">
        <v>116</v>
      </c>
      <c r="E23" s="339" t="s">
        <v>117</v>
      </c>
      <c r="F23" s="366" t="s">
        <v>118</v>
      </c>
      <c r="G23" s="368" t="s">
        <v>119</v>
      </c>
      <c r="H23" s="368"/>
      <c r="I23" s="369" t="s">
        <v>120</v>
      </c>
      <c r="J23" s="369"/>
    </row>
    <row r="24" spans="1:12">
      <c r="A24" s="362"/>
      <c r="B24" s="363"/>
      <c r="C24" s="364"/>
      <c r="D24" s="365"/>
      <c r="E24" s="365"/>
      <c r="F24" s="367"/>
      <c r="G24" s="161" t="s">
        <v>121</v>
      </c>
      <c r="H24" s="69" t="s">
        <v>122</v>
      </c>
      <c r="I24" s="369"/>
      <c r="J24" s="369"/>
    </row>
    <row r="25" spans="1:12" ht="15">
      <c r="A25" s="370" t="s">
        <v>123</v>
      </c>
      <c r="B25" s="371"/>
      <c r="C25" s="372"/>
      <c r="D25" s="65">
        <f>+E17</f>
        <v>6153</v>
      </c>
      <c r="E25" s="70">
        <v>0.95140000000000002</v>
      </c>
      <c r="F25" s="71">
        <f>PRODUCT(D25*E25)</f>
        <v>5853.9642000000003</v>
      </c>
      <c r="G25" s="148">
        <v>14</v>
      </c>
      <c r="H25" s="63">
        <f>PRODUCT(0.14,F25)</f>
        <v>819.55498800000009</v>
      </c>
      <c r="I25" s="373">
        <f>SUM(H25,F25)</f>
        <v>6673.5191880000002</v>
      </c>
      <c r="J25" s="374"/>
    </row>
    <row r="26" spans="1:12" ht="15">
      <c r="A26" s="375" t="s">
        <v>124</v>
      </c>
      <c r="B26" s="376"/>
      <c r="C26" s="377"/>
      <c r="D26" s="65">
        <f>+E18</f>
        <v>4159</v>
      </c>
      <c r="E26" s="72">
        <v>0.69850000000000001</v>
      </c>
      <c r="F26" s="71">
        <f>PRODUCT(D26*E26)</f>
        <v>2905.0615000000003</v>
      </c>
      <c r="G26">
        <v>14</v>
      </c>
      <c r="H26" s="65">
        <f>PRODUCT(0.14,F26)</f>
        <v>406.70861000000008</v>
      </c>
      <c r="I26" s="373">
        <f t="shared" ref="I26:I31" si="0">SUM(H26,F26)</f>
        <v>3311.7701100000004</v>
      </c>
      <c r="J26" s="374"/>
    </row>
    <row r="27" spans="1:12" ht="15">
      <c r="A27" s="375" t="s">
        <v>125</v>
      </c>
      <c r="B27" s="376"/>
      <c r="C27" s="377"/>
      <c r="D27" s="65">
        <f>+E19</f>
        <v>3003</v>
      </c>
      <c r="E27" s="72">
        <v>1.3304</v>
      </c>
      <c r="F27" s="71">
        <f>PRODUCT(D27*E27)</f>
        <v>3995.1912000000002</v>
      </c>
      <c r="G27">
        <v>14</v>
      </c>
      <c r="H27" s="65">
        <f>PRODUCT(0.14,F27)</f>
        <v>559.32676800000013</v>
      </c>
      <c r="I27" s="373">
        <f>SUM(H27,F27)</f>
        <v>4554.5179680000001</v>
      </c>
      <c r="J27" s="374"/>
    </row>
    <row r="28" spans="1:12" ht="15">
      <c r="A28" s="375" t="s">
        <v>126</v>
      </c>
      <c r="B28" s="376"/>
      <c r="C28" s="377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73">
        <f t="shared" si="0"/>
        <v>50025.103799999997</v>
      </c>
      <c r="J28" s="374"/>
    </row>
    <row r="29" spans="1:12" ht="15">
      <c r="A29" s="386" t="s">
        <v>127</v>
      </c>
      <c r="B29" s="387"/>
      <c r="C29" s="388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89">
        <f t="shared" si="0"/>
        <v>0</v>
      </c>
      <c r="J29" s="390"/>
    </row>
    <row r="30" spans="1:12" ht="15">
      <c r="A30" s="375" t="s">
        <v>128</v>
      </c>
      <c r="B30" s="376"/>
      <c r="C30" s="377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73">
        <f>SUM(H30,F30)</f>
        <v>1009.2</v>
      </c>
      <c r="J30" s="374"/>
    </row>
    <row r="31" spans="1:12" ht="15.75" thickBot="1">
      <c r="A31" s="378" t="s">
        <v>129</v>
      </c>
      <c r="B31" s="379"/>
      <c r="C31" s="380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73">
        <f t="shared" si="0"/>
        <v>1596.44</v>
      </c>
      <c r="J31" s="374"/>
    </row>
    <row r="32" spans="1:12" ht="21">
      <c r="A32" s="381" t="s">
        <v>130</v>
      </c>
      <c r="B32" s="382"/>
      <c r="C32" s="382"/>
      <c r="D32" s="382"/>
      <c r="E32" s="382"/>
      <c r="F32" s="82">
        <f>SUM(F25:F31)</f>
        <v>58968.886899999998</v>
      </c>
      <c r="G32" s="83"/>
      <c r="H32" s="84"/>
      <c r="I32" s="385">
        <f>SUM(I25:J31)</f>
        <v>67170.551066</v>
      </c>
      <c r="J32" s="385"/>
    </row>
    <row r="33" spans="1:10" ht="21.75" thickBot="1">
      <c r="A33" s="383"/>
      <c r="B33" s="384"/>
      <c r="C33" s="384"/>
      <c r="D33" s="384"/>
      <c r="E33" s="384"/>
      <c r="F33" s="85"/>
      <c r="G33" s="86"/>
      <c r="H33" s="87"/>
      <c r="I33" s="385"/>
      <c r="J33" s="38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8" sqref="D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1"/>
      <c r="B1" s="311" t="s">
        <v>133</v>
      </c>
      <c r="C1" s="312"/>
      <c r="D1" s="312"/>
      <c r="E1" s="312"/>
      <c r="F1" s="394" t="s">
        <v>88</v>
      </c>
      <c r="G1" s="395"/>
      <c r="H1" s="396"/>
    </row>
    <row r="2" spans="1:8" ht="15.75" customHeight="1" thickBot="1">
      <c r="A2" s="392"/>
      <c r="B2" s="313"/>
      <c r="C2" s="314"/>
      <c r="D2" s="314"/>
      <c r="E2" s="314"/>
      <c r="F2" s="397"/>
      <c r="G2" s="398"/>
      <c r="H2" s="399"/>
    </row>
    <row r="3" spans="1:8" ht="15" customHeight="1">
      <c r="A3" s="392"/>
      <c r="B3" s="313"/>
      <c r="C3" s="314"/>
      <c r="D3" s="314"/>
      <c r="E3" s="314"/>
      <c r="F3" s="394" t="s">
        <v>89</v>
      </c>
      <c r="G3" s="395"/>
      <c r="H3" s="396"/>
    </row>
    <row r="4" spans="1:8" ht="15.75" customHeight="1" thickBot="1">
      <c r="A4" s="393"/>
      <c r="B4" s="315"/>
      <c r="C4" s="316"/>
      <c r="D4" s="316"/>
      <c r="E4" s="316"/>
      <c r="F4" s="400"/>
      <c r="G4" s="401"/>
      <c r="H4" s="402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03" t="s">
        <v>116</v>
      </c>
      <c r="C10" s="404"/>
      <c r="D10" s="405" t="s">
        <v>139</v>
      </c>
      <c r="E10" s="405"/>
      <c r="F10" s="403" t="s">
        <v>140</v>
      </c>
      <c r="G10" s="406"/>
      <c r="H10" s="404"/>
    </row>
    <row r="11" spans="1:8" ht="15">
      <c r="A11" s="100" t="s">
        <v>141</v>
      </c>
      <c r="B11" s="407"/>
      <c r="C11" s="407"/>
      <c r="D11" s="407"/>
      <c r="E11" s="407"/>
      <c r="F11" s="407">
        <v>23</v>
      </c>
      <c r="G11" s="407"/>
      <c r="H11" s="407"/>
    </row>
    <row r="12" spans="1:8" ht="21">
      <c r="A12" s="408" t="s">
        <v>142</v>
      </c>
      <c r="B12" s="408"/>
      <c r="C12" s="408"/>
      <c r="D12" s="408"/>
      <c r="E12" s="408"/>
      <c r="F12" s="408"/>
      <c r="G12" s="408"/>
      <c r="H12" s="408"/>
    </row>
    <row r="13" spans="1:8" ht="15">
      <c r="A13" s="100" t="s">
        <v>143</v>
      </c>
      <c r="B13" s="407">
        <f>G8</f>
        <v>0</v>
      </c>
      <c r="C13" s="407"/>
      <c r="D13" s="407">
        <v>8.7899999999999991</v>
      </c>
      <c r="E13" s="407"/>
      <c r="F13" s="409">
        <f>PRODUCT(D13,B13)</f>
        <v>0</v>
      </c>
      <c r="G13" s="409"/>
      <c r="H13" s="409"/>
    </row>
    <row r="14" spans="1:8" ht="45" customHeight="1">
      <c r="A14" s="410" t="s">
        <v>144</v>
      </c>
      <c r="B14" s="410"/>
      <c r="C14" s="410"/>
      <c r="D14" s="410"/>
      <c r="E14" s="410"/>
      <c r="F14" s="410"/>
      <c r="G14" s="410"/>
      <c r="H14" s="410"/>
    </row>
    <row r="15" spans="1:8">
      <c r="A15" s="411"/>
      <c r="B15" s="411"/>
      <c r="C15" s="411"/>
      <c r="D15" s="411"/>
      <c r="E15" s="411"/>
      <c r="F15" s="411"/>
      <c r="G15" s="411"/>
      <c r="H15" s="411"/>
    </row>
    <row r="16" spans="1:8" ht="15">
      <c r="A16" s="101" t="s">
        <v>145</v>
      </c>
      <c r="B16" s="407">
        <v>0</v>
      </c>
      <c r="C16" s="407"/>
      <c r="D16" s="407">
        <v>0</v>
      </c>
      <c r="E16" s="407"/>
      <c r="F16" s="407">
        <f>PRODUCT(D16,B16)</f>
        <v>0</v>
      </c>
      <c r="G16" s="407"/>
      <c r="H16" s="407"/>
    </row>
    <row r="17" spans="1:8" ht="15">
      <c r="A17" s="101" t="s">
        <v>146</v>
      </c>
      <c r="B17" s="407">
        <v>0</v>
      </c>
      <c r="C17" s="407"/>
      <c r="D17" s="407">
        <v>0</v>
      </c>
      <c r="E17" s="407"/>
      <c r="F17" s="407">
        <f>PRODUCT(D17,B17)</f>
        <v>0</v>
      </c>
      <c r="G17" s="407"/>
      <c r="H17" s="407"/>
    </row>
    <row r="18" spans="1:8" ht="15">
      <c r="A18" s="101" t="s">
        <v>147</v>
      </c>
      <c r="B18" s="407">
        <v>0</v>
      </c>
      <c r="C18" s="407"/>
      <c r="D18" s="407">
        <v>0</v>
      </c>
      <c r="E18" s="407"/>
      <c r="F18" s="407">
        <f>PRODUCT(D18,B18)</f>
        <v>0</v>
      </c>
      <c r="G18" s="407"/>
      <c r="H18" s="407"/>
    </row>
    <row r="19" spans="1:8" ht="15">
      <c r="A19" s="101" t="s">
        <v>148</v>
      </c>
      <c r="B19" s="407">
        <f>G8</f>
        <v>0</v>
      </c>
      <c r="C19" s="407"/>
      <c r="D19" s="407">
        <v>2.61</v>
      </c>
      <c r="E19" s="407"/>
      <c r="F19" s="407">
        <f>PRODUCT(D19,B19)</f>
        <v>0</v>
      </c>
      <c r="G19" s="407"/>
      <c r="H19" s="407"/>
    </row>
    <row r="20" spans="1:8" ht="18.75">
      <c r="A20" s="423" t="s">
        <v>149</v>
      </c>
      <c r="B20" s="424"/>
      <c r="C20" s="424"/>
      <c r="D20" s="424"/>
      <c r="E20" s="425"/>
      <c r="F20" s="426">
        <f>SUM(F11+F13+F16+F17+F18+F19)</f>
        <v>23</v>
      </c>
      <c r="G20" s="426"/>
      <c r="H20" s="426"/>
    </row>
    <row r="21" spans="1:8" ht="15">
      <c r="A21" s="412" t="s">
        <v>150</v>
      </c>
      <c r="B21" s="413"/>
      <c r="C21" s="413"/>
      <c r="D21" s="413"/>
      <c r="E21" s="414"/>
      <c r="F21" s="407">
        <f>PRODUCT(F20,0.07)</f>
        <v>1.61</v>
      </c>
      <c r="G21" s="407"/>
      <c r="H21" s="407"/>
    </row>
    <row r="22" spans="1:8" ht="15">
      <c r="A22" s="444" t="s">
        <v>151</v>
      </c>
      <c r="B22" s="445"/>
      <c r="C22" s="445"/>
      <c r="D22" s="445"/>
      <c r="E22" s="446"/>
      <c r="F22" s="407">
        <v>208.26</v>
      </c>
      <c r="G22" s="407"/>
      <c r="H22" s="407"/>
    </row>
    <row r="23" spans="1:8" ht="15.75">
      <c r="A23" s="412" t="s">
        <v>152</v>
      </c>
      <c r="B23" s="413"/>
      <c r="C23" s="413"/>
      <c r="D23" s="413"/>
      <c r="E23" s="414"/>
      <c r="F23" s="415">
        <f>SUM(F21:H22)</f>
        <v>209.87</v>
      </c>
      <c r="G23" s="415"/>
      <c r="H23" s="415"/>
    </row>
    <row r="24" spans="1:8">
      <c r="A24" s="416" t="s">
        <v>153</v>
      </c>
      <c r="B24" s="417"/>
      <c r="C24" s="417"/>
      <c r="D24" s="417"/>
      <c r="E24" s="418"/>
      <c r="F24" s="422">
        <f>SUM(F20,F23)</f>
        <v>232.87</v>
      </c>
      <c r="G24" s="422"/>
      <c r="H24" s="422"/>
    </row>
    <row r="25" spans="1:8">
      <c r="A25" s="419"/>
      <c r="B25" s="420"/>
      <c r="C25" s="420"/>
      <c r="D25" s="420"/>
      <c r="E25" s="421"/>
      <c r="F25" s="422"/>
      <c r="G25" s="422"/>
      <c r="H25" s="42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topLeftCell="A5" workbookViewId="0">
      <selection activeCell="L12" sqref="L1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391"/>
      <c r="B1" s="311" t="s">
        <v>133</v>
      </c>
      <c r="C1" s="312"/>
      <c r="D1" s="312"/>
      <c r="E1" s="312"/>
      <c r="F1" s="394" t="s">
        <v>88</v>
      </c>
      <c r="G1" s="395"/>
      <c r="H1" s="396"/>
    </row>
    <row r="2" spans="1:14" ht="15.75" customHeight="1" thickBot="1">
      <c r="A2" s="392"/>
      <c r="B2" s="313"/>
      <c r="C2" s="314"/>
      <c r="D2" s="314"/>
      <c r="E2" s="314"/>
      <c r="F2" s="397"/>
      <c r="G2" s="398"/>
      <c r="H2" s="399"/>
    </row>
    <row r="3" spans="1:14" ht="15" customHeight="1">
      <c r="A3" s="392"/>
      <c r="B3" s="313"/>
      <c r="C3" s="314"/>
      <c r="D3" s="314"/>
      <c r="E3" s="314"/>
      <c r="F3" s="394" t="s">
        <v>89</v>
      </c>
      <c r="G3" s="395"/>
      <c r="H3" s="396"/>
    </row>
    <row r="4" spans="1:14" ht="15.75" customHeight="1" thickBot="1">
      <c r="A4" s="393"/>
      <c r="B4" s="315"/>
      <c r="C4" s="316"/>
      <c r="D4" s="316"/>
      <c r="E4" s="316"/>
      <c r="F4" s="400"/>
      <c r="G4" s="401"/>
      <c r="H4" s="402"/>
    </row>
    <row r="6" spans="1:14" ht="42.75" customHeight="1"/>
    <row r="7" spans="1:14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14" ht="15">
      <c r="A8" s="162"/>
      <c r="B8" s="93" t="s">
        <v>138</v>
      </c>
      <c r="C8" s="94">
        <v>178669</v>
      </c>
      <c r="D8" s="95">
        <v>44915</v>
      </c>
      <c r="E8" s="94">
        <v>178816</v>
      </c>
      <c r="F8" s="95">
        <v>44916</v>
      </c>
      <c r="G8" s="96">
        <f>E8-C8</f>
        <v>147</v>
      </c>
      <c r="H8" s="97"/>
    </row>
    <row r="9" spans="1:14" ht="36" customHeight="1">
      <c r="A9" s="98"/>
      <c r="B9" s="98"/>
      <c r="C9" s="98"/>
      <c r="D9" s="98"/>
      <c r="E9" s="98"/>
      <c r="F9" s="98"/>
      <c r="G9" s="98"/>
      <c r="H9" s="98"/>
    </row>
    <row r="10" spans="1:14" ht="15">
      <c r="A10" s="99"/>
      <c r="B10" s="403" t="s">
        <v>116</v>
      </c>
      <c r="C10" s="404"/>
      <c r="D10" s="405" t="s">
        <v>139</v>
      </c>
      <c r="E10" s="405"/>
      <c r="F10" s="403" t="s">
        <v>140</v>
      </c>
      <c r="G10" s="406"/>
      <c r="H10" s="404"/>
    </row>
    <row r="11" spans="1:14" ht="15">
      <c r="A11" s="100" t="s">
        <v>141</v>
      </c>
      <c r="B11" s="407"/>
      <c r="C11" s="407"/>
      <c r="D11" s="407"/>
      <c r="E11" s="407"/>
      <c r="F11" s="407">
        <v>23</v>
      </c>
      <c r="G11" s="407"/>
      <c r="H11" s="407"/>
    </row>
    <row r="12" spans="1:14" ht="21">
      <c r="A12" s="408" t="s">
        <v>142</v>
      </c>
      <c r="B12" s="408"/>
      <c r="C12" s="408"/>
      <c r="D12" s="408"/>
      <c r="E12" s="408"/>
      <c r="F12" s="408"/>
      <c r="G12" s="408"/>
      <c r="H12" s="408"/>
    </row>
    <row r="13" spans="1:14" ht="15">
      <c r="A13" s="100" t="s">
        <v>143</v>
      </c>
      <c r="B13" s="407">
        <f>G8</f>
        <v>147</v>
      </c>
      <c r="C13" s="407"/>
      <c r="D13" s="407">
        <v>8.5</v>
      </c>
      <c r="E13" s="407"/>
      <c r="F13" s="409">
        <f>PRODUCT(D13,B13)</f>
        <v>1249.5</v>
      </c>
      <c r="G13" s="409"/>
      <c r="H13" s="409"/>
    </row>
    <row r="14" spans="1:14" ht="45" customHeight="1">
      <c r="A14" s="410" t="s">
        <v>144</v>
      </c>
      <c r="B14" s="410"/>
      <c r="C14" s="410"/>
      <c r="D14" s="410"/>
      <c r="E14" s="410"/>
      <c r="F14" s="410"/>
      <c r="G14" s="410"/>
      <c r="H14" s="410"/>
      <c r="M14" s="179"/>
      <c r="N14" s="179"/>
    </row>
    <row r="15" spans="1:14" ht="19.5">
      <c r="A15" s="411"/>
      <c r="B15" s="411"/>
      <c r="C15" s="411"/>
      <c r="D15" s="411"/>
      <c r="E15" s="411"/>
      <c r="F15" s="411"/>
      <c r="G15" s="411"/>
      <c r="H15" s="411"/>
      <c r="M15" s="179"/>
      <c r="N15" s="179"/>
    </row>
    <row r="16" spans="1:14" ht="15">
      <c r="A16" s="101" t="s">
        <v>145</v>
      </c>
      <c r="B16" s="407">
        <v>0</v>
      </c>
      <c r="C16" s="407"/>
      <c r="D16" s="407">
        <v>0</v>
      </c>
      <c r="E16" s="407"/>
      <c r="F16" s="407">
        <f>PRODUCT(D16,B16)</f>
        <v>0</v>
      </c>
      <c r="G16" s="407"/>
      <c r="H16" s="407"/>
    </row>
    <row r="17" spans="1:8" ht="15">
      <c r="A17" s="101" t="s">
        <v>146</v>
      </c>
      <c r="B17" s="407">
        <v>0</v>
      </c>
      <c r="C17" s="407"/>
      <c r="D17" s="407">
        <v>0</v>
      </c>
      <c r="E17" s="407"/>
      <c r="F17" s="407">
        <f>PRODUCT(D17,B17)</f>
        <v>0</v>
      </c>
      <c r="G17" s="407"/>
      <c r="H17" s="407"/>
    </row>
    <row r="18" spans="1:8" ht="15">
      <c r="A18" s="101" t="s">
        <v>147</v>
      </c>
      <c r="B18" s="407">
        <v>0</v>
      </c>
      <c r="C18" s="407"/>
      <c r="D18" s="407">
        <v>0</v>
      </c>
      <c r="E18" s="407"/>
      <c r="F18" s="407">
        <f>PRODUCT(D18,B18)</f>
        <v>0</v>
      </c>
      <c r="G18" s="407"/>
      <c r="H18" s="407"/>
    </row>
    <row r="19" spans="1:8" ht="15">
      <c r="A19" s="101" t="s">
        <v>148</v>
      </c>
      <c r="B19" s="407">
        <v>0</v>
      </c>
      <c r="C19" s="407"/>
      <c r="D19" s="427">
        <v>0</v>
      </c>
      <c r="E19" s="428"/>
      <c r="F19" s="427">
        <v>0</v>
      </c>
      <c r="G19" s="428"/>
      <c r="H19" s="162"/>
    </row>
    <row r="20" spans="1:8" ht="15">
      <c r="A20" s="101" t="s">
        <v>154</v>
      </c>
      <c r="B20" s="407">
        <f>G8</f>
        <v>147</v>
      </c>
      <c r="C20" s="407"/>
      <c r="D20" s="407">
        <v>2.54</v>
      </c>
      <c r="E20" s="407"/>
      <c r="F20" s="407">
        <f>PRODUCT(D20,B20)</f>
        <v>373.38</v>
      </c>
      <c r="G20" s="407"/>
      <c r="H20" s="407"/>
    </row>
    <row r="21" spans="1:8" ht="18.75">
      <c r="A21" s="423" t="s">
        <v>149</v>
      </c>
      <c r="B21" s="424"/>
      <c r="C21" s="424"/>
      <c r="D21" s="424"/>
      <c r="E21" s="425"/>
      <c r="F21" s="426">
        <f>SUM(F11+F13+F16+F17+F18+F20)</f>
        <v>1645.88</v>
      </c>
      <c r="G21" s="426"/>
      <c r="H21" s="426"/>
    </row>
    <row r="22" spans="1:8" ht="15">
      <c r="A22" s="412" t="s">
        <v>150</v>
      </c>
      <c r="B22" s="413"/>
      <c r="C22" s="413"/>
      <c r="D22" s="413"/>
      <c r="E22" s="414"/>
      <c r="F22" s="407">
        <f>PRODUCT(F21,0.07)</f>
        <v>115.21160000000002</v>
      </c>
      <c r="G22" s="407"/>
      <c r="H22" s="407"/>
    </row>
    <row r="23" spans="1:8" ht="15">
      <c r="A23" s="444" t="s">
        <v>151</v>
      </c>
      <c r="B23" s="445"/>
      <c r="C23" s="445"/>
      <c r="D23" s="445"/>
      <c r="E23" s="446"/>
      <c r="F23" s="407">
        <v>208.26</v>
      </c>
      <c r="G23" s="407"/>
      <c r="H23" s="407"/>
    </row>
    <row r="24" spans="1:8" ht="15.75">
      <c r="A24" s="412" t="s">
        <v>152</v>
      </c>
      <c r="B24" s="413"/>
      <c r="C24" s="413"/>
      <c r="D24" s="413"/>
      <c r="E24" s="414"/>
      <c r="F24" s="415">
        <f>SUM(F22:H23)</f>
        <v>323.47160000000002</v>
      </c>
      <c r="G24" s="415"/>
      <c r="H24" s="415"/>
    </row>
    <row r="25" spans="1:8">
      <c r="A25" s="416" t="s">
        <v>153</v>
      </c>
      <c r="B25" s="417"/>
      <c r="C25" s="417"/>
      <c r="D25" s="417"/>
      <c r="E25" s="418"/>
      <c r="F25" s="422">
        <f>SUM(F21,F24)</f>
        <v>1969.3516000000002</v>
      </c>
      <c r="G25" s="422"/>
      <c r="H25" s="422"/>
    </row>
    <row r="26" spans="1:8">
      <c r="A26" s="419"/>
      <c r="B26" s="420"/>
      <c r="C26" s="420"/>
      <c r="D26" s="420"/>
      <c r="E26" s="421"/>
      <c r="F26" s="422"/>
      <c r="G26" s="422"/>
      <c r="H26" s="42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Q13" sqref="Q13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1"/>
      <c r="B1" s="311" t="s">
        <v>155</v>
      </c>
      <c r="C1" s="312"/>
      <c r="D1" s="312"/>
      <c r="E1" s="312"/>
      <c r="F1" s="394" t="s">
        <v>88</v>
      </c>
      <c r="G1" s="395"/>
      <c r="H1" s="396"/>
    </row>
    <row r="2" spans="1:8" ht="15.75" customHeight="1" thickBot="1">
      <c r="A2" s="392"/>
      <c r="B2" s="313"/>
      <c r="C2" s="314"/>
      <c r="D2" s="314"/>
      <c r="E2" s="314"/>
      <c r="F2" s="397"/>
      <c r="G2" s="398"/>
      <c r="H2" s="399"/>
    </row>
    <row r="3" spans="1:8" ht="15" customHeight="1">
      <c r="A3" s="392"/>
      <c r="B3" s="313"/>
      <c r="C3" s="314"/>
      <c r="D3" s="314"/>
      <c r="E3" s="314"/>
      <c r="F3" s="394" t="s">
        <v>89</v>
      </c>
      <c r="G3" s="395"/>
      <c r="H3" s="396"/>
    </row>
    <row r="4" spans="1:8" ht="15.75" customHeight="1" thickBot="1">
      <c r="A4" s="393"/>
      <c r="B4" s="315"/>
      <c r="C4" s="316"/>
      <c r="D4" s="316"/>
      <c r="E4" s="316"/>
      <c r="F4" s="400"/>
      <c r="G4" s="401"/>
      <c r="H4" s="402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2594</v>
      </c>
      <c r="D8" s="95">
        <v>44915</v>
      </c>
      <c r="E8" s="94">
        <v>2594</v>
      </c>
      <c r="F8" s="95">
        <v>44916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03" t="s">
        <v>116</v>
      </c>
      <c r="C10" s="404"/>
      <c r="D10" s="405" t="s">
        <v>139</v>
      </c>
      <c r="E10" s="405"/>
      <c r="F10" s="403" t="s">
        <v>140</v>
      </c>
      <c r="G10" s="406"/>
      <c r="H10" s="404"/>
    </row>
    <row r="11" spans="1:8" ht="15">
      <c r="A11" s="100" t="s">
        <v>141</v>
      </c>
      <c r="B11" s="407"/>
      <c r="C11" s="407"/>
      <c r="D11" s="407"/>
      <c r="E11" s="407"/>
      <c r="F11" s="407">
        <v>15</v>
      </c>
      <c r="G11" s="407"/>
      <c r="H11" s="407"/>
    </row>
    <row r="12" spans="1:8" ht="21">
      <c r="A12" s="408" t="s">
        <v>142</v>
      </c>
      <c r="B12" s="408"/>
      <c r="C12" s="408"/>
      <c r="D12" s="408"/>
      <c r="E12" s="408"/>
      <c r="F12" s="408"/>
      <c r="G12" s="408"/>
      <c r="H12" s="408"/>
    </row>
    <row r="13" spans="1:8" ht="15">
      <c r="A13" s="100" t="s">
        <v>156</v>
      </c>
      <c r="B13" s="407">
        <f>G8</f>
        <v>0</v>
      </c>
      <c r="C13" s="407"/>
      <c r="D13" s="407">
        <v>16.48</v>
      </c>
      <c r="E13" s="407"/>
      <c r="F13" s="409">
        <f>PRODUCT(D13,B13)</f>
        <v>0</v>
      </c>
      <c r="G13" s="409"/>
      <c r="H13" s="409"/>
    </row>
    <row r="14" spans="1:8" ht="15">
      <c r="A14" s="100" t="s">
        <v>157</v>
      </c>
      <c r="B14" s="427"/>
      <c r="C14" s="428"/>
      <c r="D14" s="427"/>
      <c r="E14" s="428"/>
      <c r="F14" s="427"/>
      <c r="G14" s="428"/>
      <c r="H14" s="109"/>
    </row>
    <row r="15" spans="1:8" ht="15">
      <c r="A15" s="100" t="s">
        <v>158</v>
      </c>
      <c r="B15" s="427"/>
      <c r="C15" s="428"/>
      <c r="D15" s="427"/>
      <c r="E15" s="428"/>
      <c r="F15" s="427"/>
      <c r="G15" s="428"/>
      <c r="H15" s="109"/>
    </row>
    <row r="16" spans="1:8" ht="15">
      <c r="A16" s="100" t="s">
        <v>159</v>
      </c>
      <c r="B16" s="427"/>
      <c r="C16" s="428"/>
      <c r="D16" s="427"/>
      <c r="E16" s="428"/>
      <c r="F16" s="427"/>
      <c r="G16" s="428"/>
      <c r="H16" s="109"/>
    </row>
    <row r="17" spans="1:8" ht="15">
      <c r="A17" s="100" t="s">
        <v>160</v>
      </c>
      <c r="B17" s="427"/>
      <c r="C17" s="428"/>
      <c r="D17" s="427"/>
      <c r="E17" s="428"/>
      <c r="F17" s="427"/>
      <c r="G17" s="428"/>
      <c r="H17" s="109"/>
    </row>
    <row r="18" spans="1:8" ht="45" customHeight="1">
      <c r="A18" s="410" t="s">
        <v>144</v>
      </c>
      <c r="B18" s="410"/>
      <c r="C18" s="410"/>
      <c r="D18" s="410"/>
      <c r="E18" s="410"/>
      <c r="F18" s="410"/>
      <c r="G18" s="410"/>
      <c r="H18" s="410"/>
    </row>
    <row r="19" spans="1:8">
      <c r="A19" s="411"/>
      <c r="B19" s="411"/>
      <c r="C19" s="411"/>
      <c r="D19" s="411"/>
      <c r="E19" s="411"/>
      <c r="F19" s="411"/>
      <c r="G19" s="411"/>
      <c r="H19" s="411"/>
    </row>
    <row r="20" spans="1:8" ht="15">
      <c r="A20" s="101" t="s">
        <v>145</v>
      </c>
      <c r="B20" s="407">
        <v>0</v>
      </c>
      <c r="C20" s="407"/>
      <c r="D20" s="407">
        <v>0</v>
      </c>
      <c r="E20" s="407"/>
      <c r="F20" s="407">
        <f>PRODUCT(D20,B20)</f>
        <v>0</v>
      </c>
      <c r="G20" s="407"/>
      <c r="H20" s="407"/>
    </row>
    <row r="21" spans="1:8" ht="15">
      <c r="A21" s="101" t="s">
        <v>146</v>
      </c>
      <c r="B21" s="407">
        <v>0</v>
      </c>
      <c r="C21" s="407"/>
      <c r="D21" s="407">
        <v>0</v>
      </c>
      <c r="E21" s="407"/>
      <c r="F21" s="407">
        <f>PRODUCT(D21,B21)</f>
        <v>0</v>
      </c>
      <c r="G21" s="407"/>
      <c r="H21" s="407"/>
    </row>
    <row r="22" spans="1:8" ht="15">
      <c r="A22" s="101" t="s">
        <v>147</v>
      </c>
      <c r="B22" s="407">
        <v>0</v>
      </c>
      <c r="C22" s="407"/>
      <c r="D22" s="407">
        <v>0</v>
      </c>
      <c r="E22" s="407"/>
      <c r="F22" s="407">
        <f>PRODUCT(D22,B22)</f>
        <v>0</v>
      </c>
      <c r="G22" s="407"/>
      <c r="H22" s="407"/>
    </row>
    <row r="23" spans="1:8" ht="15">
      <c r="A23" s="101" t="s">
        <v>148</v>
      </c>
      <c r="B23" s="407">
        <f>G8</f>
        <v>0</v>
      </c>
      <c r="C23" s="407"/>
      <c r="D23" s="407">
        <v>0</v>
      </c>
      <c r="E23" s="407"/>
      <c r="F23" s="407">
        <f>PRODUCT(D23,B23)</f>
        <v>0</v>
      </c>
      <c r="G23" s="407"/>
      <c r="H23" s="407"/>
    </row>
    <row r="24" spans="1:8" ht="15">
      <c r="A24" s="101" t="s">
        <v>154</v>
      </c>
      <c r="B24" s="427">
        <v>0</v>
      </c>
      <c r="C24" s="428"/>
      <c r="D24" s="427">
        <v>2.54</v>
      </c>
      <c r="E24" s="428"/>
      <c r="F24" s="427">
        <f>B24*D24</f>
        <v>0</v>
      </c>
      <c r="G24" s="428"/>
      <c r="H24" s="162"/>
    </row>
    <row r="25" spans="1:8" ht="18.75">
      <c r="A25" s="423" t="s">
        <v>149</v>
      </c>
      <c r="B25" s="424"/>
      <c r="C25" s="424"/>
      <c r="D25" s="424"/>
      <c r="E25" s="425"/>
      <c r="F25" s="429">
        <f>SUM(F11+F13+F20+F21+F22+F23)</f>
        <v>15</v>
      </c>
      <c r="G25" s="426"/>
      <c r="H25" s="426"/>
    </row>
    <row r="26" spans="1:8" ht="15">
      <c r="A26" s="412" t="s">
        <v>150</v>
      </c>
      <c r="B26" s="413"/>
      <c r="C26" s="413"/>
      <c r="D26" s="413"/>
      <c r="E26" s="414"/>
      <c r="F26" s="407">
        <v>63.63</v>
      </c>
      <c r="G26" s="407"/>
      <c r="H26" s="407"/>
    </row>
    <row r="27" spans="1:8" ht="15">
      <c r="A27" s="444" t="s">
        <v>151</v>
      </c>
      <c r="B27" s="445"/>
      <c r="C27" s="445"/>
      <c r="D27" s="445"/>
      <c r="E27" s="446"/>
      <c r="F27" s="407">
        <v>2.4300000000000002</v>
      </c>
      <c r="G27" s="407"/>
      <c r="H27" s="407"/>
    </row>
    <row r="28" spans="1:8" ht="15.75">
      <c r="A28" s="412" t="s">
        <v>152</v>
      </c>
      <c r="B28" s="413"/>
      <c r="C28" s="413"/>
      <c r="D28" s="413"/>
      <c r="E28" s="414"/>
      <c r="F28" s="415">
        <f>SUM(F26:H27)</f>
        <v>66.06</v>
      </c>
      <c r="G28" s="415"/>
      <c r="H28" s="415"/>
    </row>
    <row r="29" spans="1:8">
      <c r="A29" s="416" t="s">
        <v>153</v>
      </c>
      <c r="B29" s="417"/>
      <c r="C29" s="417"/>
      <c r="D29" s="417"/>
      <c r="E29" s="418"/>
      <c r="F29" s="422">
        <f>SUM(F25,F28)</f>
        <v>81.06</v>
      </c>
      <c r="G29" s="422"/>
      <c r="H29" s="422"/>
    </row>
    <row r="30" spans="1:8">
      <c r="A30" s="419"/>
      <c r="B30" s="420"/>
      <c r="C30" s="420"/>
      <c r="D30" s="420"/>
      <c r="E30" s="421"/>
      <c r="F30" s="422"/>
      <c r="G30" s="422"/>
      <c r="H30" s="42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H31" sqref="H31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0" t="s">
        <v>161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47" t="s">
        <v>180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21" thickBot="1">
      <c r="C15" s="433" t="s">
        <v>181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4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28.5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>
        <v>527344.76260000002</v>
      </c>
      <c r="M18" s="102">
        <v>542887.95270000002</v>
      </c>
      <c r="N18" s="102">
        <v>530789.10450000002</v>
      </c>
    </row>
    <row r="19" spans="2:14" ht="26.25" customHeight="1">
      <c r="B19" s="105" t="s">
        <v>175</v>
      </c>
      <c r="C19" s="102">
        <v>577599.26069999998</v>
      </c>
      <c r="D19" s="102">
        <v>549500.304</v>
      </c>
      <c r="E19" s="102">
        <v>437038.73300000001</v>
      </c>
      <c r="F19" s="102">
        <v>498381.28909999994</v>
      </c>
      <c r="G19" s="102">
        <v>567710.58700000006</v>
      </c>
      <c r="H19" s="102">
        <v>626665.41229999997</v>
      </c>
      <c r="I19" s="102">
        <v>732996.54229999997</v>
      </c>
      <c r="J19" s="102">
        <v>807380.11509999994</v>
      </c>
      <c r="K19" s="102">
        <v>765103.69790000003</v>
      </c>
      <c r="L19" s="102">
        <v>674808.60869999998</v>
      </c>
      <c r="M19" s="102">
        <v>636029.23249999993</v>
      </c>
      <c r="N19" s="102">
        <v>575999.90890000004</v>
      </c>
    </row>
    <row r="20" spans="2:14" ht="28.5" customHeight="1">
      <c r="B20" s="110" t="s">
        <v>176</v>
      </c>
      <c r="C20" s="102">
        <v>565777.06310000003</v>
      </c>
      <c r="D20" s="102">
        <v>589465.87030000007</v>
      </c>
      <c r="E20" s="102">
        <v>559348.96649999998</v>
      </c>
      <c r="F20" s="102">
        <v>706566.82740000007</v>
      </c>
      <c r="G20" s="102">
        <v>750048.77370000002</v>
      </c>
      <c r="H20" s="102">
        <v>823657.03619999997</v>
      </c>
      <c r="I20" s="102">
        <v>863911.20730000001</v>
      </c>
      <c r="J20" s="102">
        <v>948371.73810000008</v>
      </c>
      <c r="K20" s="102">
        <v>870086.49040000001</v>
      </c>
      <c r="L20" s="102">
        <v>828237.32940000005</v>
      </c>
      <c r="M20" s="102">
        <v>728226.36450000003</v>
      </c>
      <c r="N20" s="102">
        <v>620794.43210000009</v>
      </c>
    </row>
    <row r="21" spans="2:14" ht="30" customHeight="1">
      <c r="B21" s="106" t="s">
        <v>177</v>
      </c>
      <c r="C21" s="102">
        <v>629018.45440000005</v>
      </c>
      <c r="D21" s="102">
        <v>609232.05440000002</v>
      </c>
      <c r="E21" s="102">
        <v>564099.54039999994</v>
      </c>
      <c r="F21" s="102">
        <v>625412.74040000001</v>
      </c>
      <c r="G21" s="102">
        <v>591310.6496</v>
      </c>
      <c r="H21" s="102">
        <v>627578.14100000006</v>
      </c>
      <c r="I21" s="102">
        <v>723790.51</v>
      </c>
      <c r="J21" s="102">
        <v>756208.25020000001</v>
      </c>
      <c r="K21" s="102">
        <v>734211.55240000004</v>
      </c>
      <c r="L21" s="102">
        <v>634725.01650000003</v>
      </c>
      <c r="M21" s="102">
        <v>492313.53600000002</v>
      </c>
      <c r="N21" s="102">
        <v>430486.08379999996</v>
      </c>
    </row>
    <row r="22" spans="2:14" ht="32.25" customHeight="1">
      <c r="B22" s="115" t="s">
        <v>178</v>
      </c>
      <c r="C22" s="102">
        <v>417767.50199999998</v>
      </c>
      <c r="D22" s="102">
        <v>437511.45040000003</v>
      </c>
      <c r="E22" s="102">
        <v>422948.91399999999</v>
      </c>
      <c r="F22" s="102">
        <v>483026.4265</v>
      </c>
      <c r="G22" s="102">
        <v>494466.65997999994</v>
      </c>
      <c r="H22" s="102">
        <v>589026.66199500009</v>
      </c>
      <c r="I22" s="102">
        <v>597445.77220000012</v>
      </c>
      <c r="J22" s="102">
        <v>624719.21129500004</v>
      </c>
      <c r="K22" s="102">
        <v>662255.2733900001</v>
      </c>
      <c r="L22" s="102">
        <v>572138.68634500005</v>
      </c>
      <c r="M22" s="102">
        <v>536725.71495000005</v>
      </c>
      <c r="N22" s="102">
        <v>473017.45039999997</v>
      </c>
    </row>
    <row r="23" spans="2:14" ht="32.25" customHeight="1">
      <c r="B23" s="144" t="s">
        <v>179</v>
      </c>
      <c r="C23" s="102">
        <v>445089.4596</v>
      </c>
      <c r="D23" s="102">
        <v>464838.33001999994</v>
      </c>
      <c r="E23" s="102">
        <v>310234.47700000001</v>
      </c>
      <c r="F23" s="102">
        <v>132086.1189</v>
      </c>
      <c r="G23" s="102">
        <v>81934.237999999998</v>
      </c>
      <c r="H23" s="102">
        <v>88016.122900000017</v>
      </c>
      <c r="I23" s="102">
        <v>290744.43883500004</v>
      </c>
      <c r="J23" s="102">
        <v>372885.53719999996</v>
      </c>
      <c r="K23" s="102">
        <v>328998.32740000001</v>
      </c>
      <c r="L23" s="102">
        <v>350713.83590000001</v>
      </c>
      <c r="M23" s="102">
        <v>329624.08839999995</v>
      </c>
      <c r="N23" s="102">
        <v>294931.19809999998</v>
      </c>
    </row>
    <row r="24" spans="2:14" ht="32.25" customHeight="1">
      <c r="B24" s="147" t="s">
        <v>180</v>
      </c>
      <c r="C24" s="102">
        <v>274561.56439999997</v>
      </c>
      <c r="D24" s="102">
        <v>283692.47039999999</v>
      </c>
      <c r="E24" s="102">
        <v>278888.13439999998</v>
      </c>
      <c r="F24" s="102">
        <v>318224.91959999996</v>
      </c>
      <c r="G24" s="102">
        <v>309500.67789999995</v>
      </c>
      <c r="H24" s="102">
        <v>396582.05849999998</v>
      </c>
      <c r="I24" s="102">
        <v>498105.10527500004</v>
      </c>
      <c r="J24" s="102">
        <v>506423.32253</v>
      </c>
      <c r="K24" s="102">
        <v>486424.27340000001</v>
      </c>
      <c r="L24" s="102">
        <v>473503.95079999999</v>
      </c>
      <c r="M24" s="102">
        <v>403992.3469</v>
      </c>
      <c r="N24" s="102">
        <v>289205.48600000003</v>
      </c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2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0" t="s">
        <v>182</v>
      </c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40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21" thickBot="1">
      <c r="C15" s="433" t="s">
        <v>183</v>
      </c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2"/>
    </row>
    <row r="17" spans="2:15" ht="18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5" ht="30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/>
      <c r="M18" s="102">
        <v>43165.84</v>
      </c>
      <c r="N18" s="102">
        <v>50595.28</v>
      </c>
    </row>
    <row r="19" spans="2:15" ht="31.5" customHeight="1">
      <c r="B19" s="105" t="s">
        <v>175</v>
      </c>
      <c r="C19" s="102">
        <v>53565.520000000004</v>
      </c>
      <c r="D19" s="102">
        <v>48294.28</v>
      </c>
      <c r="E19" s="102">
        <v>51250.36</v>
      </c>
      <c r="F19" s="102">
        <v>62603.8</v>
      </c>
      <c r="G19" s="102">
        <v>68202.040000000008</v>
      </c>
      <c r="H19" s="102">
        <v>53683.240000000005</v>
      </c>
      <c r="I19" s="102">
        <v>73551.760000000009</v>
      </c>
      <c r="J19" s="102">
        <v>85925.440000000002</v>
      </c>
      <c r="K19" s="102">
        <v>57158.52</v>
      </c>
      <c r="L19" s="102">
        <v>67234.52</v>
      </c>
      <c r="M19" s="102">
        <v>53224.76</v>
      </c>
      <c r="N19" s="102">
        <v>58005.08</v>
      </c>
    </row>
    <row r="20" spans="2:15" ht="34.5" customHeight="1">
      <c r="B20" s="110" t="s">
        <v>176</v>
      </c>
      <c r="C20" s="102">
        <v>56680.28</v>
      </c>
      <c r="D20" s="102">
        <v>50685.56</v>
      </c>
      <c r="E20" s="102">
        <v>68360.600000000006</v>
      </c>
      <c r="F20" s="102">
        <v>68139.8</v>
      </c>
      <c r="G20" s="102">
        <v>66042.2</v>
      </c>
      <c r="H20" s="102">
        <v>67342.712</v>
      </c>
      <c r="I20" s="102">
        <v>77855</v>
      </c>
      <c r="J20" s="102">
        <v>88895</v>
      </c>
      <c r="K20" s="102">
        <v>73748.12</v>
      </c>
      <c r="L20" s="102">
        <v>75746.36</v>
      </c>
      <c r="M20" s="102">
        <v>65821.399999999994</v>
      </c>
      <c r="N20" s="102">
        <v>57542.503999999986</v>
      </c>
    </row>
    <row r="21" spans="2:15" ht="36" customHeight="1">
      <c r="B21" s="106" t="s">
        <v>177</v>
      </c>
      <c r="C21" s="102">
        <v>61834.856000000014</v>
      </c>
      <c r="D21" s="102">
        <v>58501.880000000005</v>
      </c>
      <c r="E21" s="102">
        <v>64684.28</v>
      </c>
      <c r="F21" s="102">
        <v>69398.36</v>
      </c>
      <c r="G21" s="102">
        <v>60743</v>
      </c>
      <c r="H21" s="102">
        <v>61668.152000000031</v>
      </c>
      <c r="I21" s="102">
        <v>69209.575999999943</v>
      </c>
      <c r="J21" s="102">
        <v>68231.43200000003</v>
      </c>
      <c r="K21" s="102">
        <v>67858.28</v>
      </c>
      <c r="L21" s="102">
        <v>67560.2</v>
      </c>
      <c r="M21" s="102">
        <v>55476.92</v>
      </c>
      <c r="N21" s="102">
        <v>52659.512000000002</v>
      </c>
    </row>
    <row r="22" spans="2:15" ht="32.25" customHeight="1">
      <c r="B22" s="115" t="s">
        <v>178</v>
      </c>
      <c r="C22" s="102">
        <v>55717.592000000004</v>
      </c>
      <c r="D22" s="102">
        <v>57718.399999999994</v>
      </c>
      <c r="E22" s="102">
        <v>62768.599999999991</v>
      </c>
      <c r="F22" s="102">
        <v>61267.219999999987</v>
      </c>
      <c r="G22" s="102">
        <v>51406.219999999987</v>
      </c>
      <c r="H22" s="102">
        <v>60091.880000000041</v>
      </c>
      <c r="I22" s="102">
        <v>62827.879999999961</v>
      </c>
      <c r="J22" s="102">
        <v>63874.400000000001</v>
      </c>
      <c r="K22" s="102">
        <v>61434.799999999996</v>
      </c>
      <c r="L22" s="102">
        <v>69004.399999999994</v>
      </c>
      <c r="M22" s="102">
        <v>63087.799999999996</v>
      </c>
      <c r="N22" s="102">
        <v>63466.279999999962</v>
      </c>
    </row>
    <row r="23" spans="2:15" ht="32.25" customHeight="1">
      <c r="B23" s="144" t="s">
        <v>179</v>
      </c>
      <c r="C23" s="102">
        <v>65725.760000000097</v>
      </c>
      <c r="D23" s="102">
        <v>64232.359999999928</v>
      </c>
      <c r="E23" s="102">
        <v>34892.179999999964</v>
      </c>
      <c r="F23" s="102">
        <v>8168.2999999999993</v>
      </c>
      <c r="G23" s="102">
        <v>5036.7200000000321</v>
      </c>
      <c r="H23" s="102">
        <v>15793.759999999933</v>
      </c>
      <c r="I23" s="102">
        <v>39829.519999999997</v>
      </c>
      <c r="J23" s="102">
        <v>29876.179999999964</v>
      </c>
      <c r="K23" s="102">
        <v>20881.580000000129</v>
      </c>
      <c r="L23" s="102">
        <v>34223</v>
      </c>
      <c r="M23" s="102">
        <v>21637.4</v>
      </c>
      <c r="N23" s="102">
        <v>20321.839999999898</v>
      </c>
    </row>
    <row r="24" spans="2:15" ht="32.25" customHeight="1">
      <c r="B24" s="147" t="s">
        <v>180</v>
      </c>
      <c r="C24" s="102">
        <v>23771.479999999963</v>
      </c>
      <c r="D24" s="102">
        <v>24137.420000000031</v>
      </c>
      <c r="E24" s="102">
        <v>27454.820000000029</v>
      </c>
      <c r="F24" s="102">
        <v>24717.679999999964</v>
      </c>
      <c r="G24" s="102">
        <v>28833.079999999962</v>
      </c>
      <c r="H24" s="102">
        <v>33370.28000000013</v>
      </c>
      <c r="I24" s="102">
        <v>43563.019999999866</v>
      </c>
      <c r="J24" s="102">
        <v>40038.140000000065</v>
      </c>
      <c r="K24" s="102">
        <v>35205.679999999964</v>
      </c>
      <c r="L24" s="102">
        <v>37990.699999999997</v>
      </c>
      <c r="M24" s="102">
        <v>33450.079999999965</v>
      </c>
      <c r="N24" s="102">
        <v>23861.540000000066</v>
      </c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39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0" t="s">
        <v>184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33" t="s">
        <v>185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2022-12-21T08:11:21Z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