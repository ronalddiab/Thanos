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ophia.malveda\Downloads\"/>
    </mc:Choice>
  </mc:AlternateContent>
  <bookViews>
    <workbookView xWindow="1581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" l="1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F7" i="3"/>
  <c r="F6" i="3"/>
  <c r="E6" i="3"/>
  <c r="E5" i="3"/>
  <c r="F5" i="3" l="1"/>
  <c r="E4" i="3"/>
  <c r="I3" i="3" l="1"/>
  <c r="J3" i="3"/>
  <c r="F4" i="3"/>
  <c r="E3" i="3"/>
  <c r="E2" i="3" l="1"/>
  <c r="F3" i="3"/>
  <c r="FC12" i="4"/>
  <c r="FC13" i="4"/>
  <c r="FC14" i="4"/>
  <c r="FC15" i="4"/>
  <c r="FC16" i="4"/>
  <c r="FC17" i="4"/>
  <c r="FC18" i="4"/>
  <c r="FC19" i="4"/>
  <c r="FC20" i="4"/>
  <c r="FC21" i="4"/>
  <c r="FC22" i="4"/>
  <c r="FC23" i="4"/>
  <c r="FC24" i="4"/>
  <c r="FC25" i="4"/>
  <c r="FC26" i="4"/>
  <c r="FC27" i="4"/>
  <c r="FC28" i="4"/>
  <c r="FC29" i="4"/>
  <c r="FC30" i="4"/>
  <c r="FC31" i="4"/>
  <c r="FC32" i="4"/>
  <c r="FC33" i="4"/>
  <c r="FC34" i="4"/>
  <c r="FC35" i="4"/>
  <c r="FC36" i="4"/>
  <c r="FC37" i="4"/>
  <c r="FC38" i="4"/>
  <c r="FC39" i="4"/>
  <c r="FC40" i="4"/>
  <c r="FC11" i="4"/>
  <c r="FB10" i="4"/>
  <c r="FB11" i="4"/>
  <c r="FB12" i="4"/>
  <c r="BK4" i="3" s="1"/>
  <c r="FB13" i="4"/>
  <c r="FB14" i="4"/>
  <c r="FB15" i="4"/>
  <c r="FB16" i="4"/>
  <c r="FB17" i="4"/>
  <c r="FB18" i="4"/>
  <c r="FB19" i="4"/>
  <c r="FB20" i="4"/>
  <c r="FB21" i="4"/>
  <c r="FB22" i="4"/>
  <c r="FB23" i="4"/>
  <c r="FB24" i="4"/>
  <c r="FB25" i="4"/>
  <c r="FB26" i="4"/>
  <c r="FB27" i="4"/>
  <c r="FB28" i="4"/>
  <c r="FB29" i="4"/>
  <c r="FB30" i="4"/>
  <c r="FB31" i="4"/>
  <c r="FB32" i="4"/>
  <c r="FB33" i="4"/>
  <c r="FB34" i="4"/>
  <c r="FB35" i="4"/>
  <c r="FB36" i="4"/>
  <c r="FB37" i="4"/>
  <c r="FB38" i="4"/>
  <c r="FB39" i="4"/>
  <c r="FB40" i="4"/>
  <c r="FB9" i="4"/>
  <c r="FA12" i="4"/>
  <c r="FA13" i="4"/>
  <c r="FA14" i="4"/>
  <c r="FA15" i="4"/>
  <c r="FA16" i="4"/>
  <c r="FA17" i="4"/>
  <c r="FA18" i="4"/>
  <c r="FA19" i="4"/>
  <c r="FA20" i="4"/>
  <c r="FA21" i="4"/>
  <c r="FA22" i="4"/>
  <c r="FA23" i="4"/>
  <c r="FA24" i="4"/>
  <c r="FA25" i="4"/>
  <c r="FA26" i="4"/>
  <c r="FA27" i="4"/>
  <c r="FA28" i="4"/>
  <c r="FA29" i="4"/>
  <c r="FA30" i="4"/>
  <c r="FA31" i="4"/>
  <c r="FA32" i="4"/>
  <c r="FA33" i="4"/>
  <c r="FA34" i="4"/>
  <c r="FA35" i="4"/>
  <c r="FA36" i="4"/>
  <c r="FA37" i="4"/>
  <c r="FA38" i="4"/>
  <c r="FA39" i="4"/>
  <c r="FA40" i="4"/>
  <c r="FA11" i="4"/>
  <c r="EZ10" i="4"/>
  <c r="EZ11" i="4"/>
  <c r="BI3" i="3" s="1"/>
  <c r="EZ12" i="4"/>
  <c r="EZ13" i="4"/>
  <c r="EZ14" i="4"/>
  <c r="EZ15" i="4"/>
  <c r="EZ16" i="4"/>
  <c r="EZ17" i="4"/>
  <c r="EZ18" i="4"/>
  <c r="EZ19" i="4"/>
  <c r="EZ20" i="4"/>
  <c r="EZ21" i="4"/>
  <c r="EZ22" i="4"/>
  <c r="EZ23" i="4"/>
  <c r="EZ24" i="4"/>
  <c r="EZ25" i="4"/>
  <c r="EZ26" i="4"/>
  <c r="EZ27" i="4"/>
  <c r="EZ28" i="4"/>
  <c r="EZ29" i="4"/>
  <c r="EZ30" i="4"/>
  <c r="EZ31" i="4"/>
  <c r="EZ32" i="4"/>
  <c r="EZ33" i="4"/>
  <c r="EZ34" i="4"/>
  <c r="EZ35" i="4"/>
  <c r="EZ36" i="4"/>
  <c r="EZ37" i="4"/>
  <c r="EZ38" i="4"/>
  <c r="EZ39" i="4"/>
  <c r="EZ40" i="4"/>
  <c r="EZ9" i="4"/>
  <c r="EY9" i="4"/>
  <c r="EY12" i="4"/>
  <c r="EY13" i="4"/>
  <c r="EY14" i="4"/>
  <c r="EY15" i="4"/>
  <c r="EY16" i="4"/>
  <c r="EY17" i="4"/>
  <c r="EY18" i="4"/>
  <c r="EY19" i="4"/>
  <c r="EY20" i="4"/>
  <c r="EY21" i="4"/>
  <c r="EY22" i="4"/>
  <c r="EY23" i="4"/>
  <c r="EY24" i="4"/>
  <c r="EY25" i="4"/>
  <c r="EY26" i="4"/>
  <c r="EY27" i="4"/>
  <c r="EY28" i="4"/>
  <c r="EY29" i="4"/>
  <c r="EY30" i="4"/>
  <c r="EY31" i="4"/>
  <c r="EY32" i="4"/>
  <c r="EY33" i="4"/>
  <c r="EY34" i="4"/>
  <c r="EY35" i="4"/>
  <c r="EY36" i="4"/>
  <c r="EY37" i="4"/>
  <c r="EY38" i="4"/>
  <c r="EY39" i="4"/>
  <c r="EY40" i="4"/>
  <c r="EY11" i="4"/>
  <c r="EX10" i="4"/>
  <c r="EX11" i="4"/>
  <c r="BJ3" i="3" s="1"/>
  <c r="EX12" i="4"/>
  <c r="EX13" i="4"/>
  <c r="EX14" i="4"/>
  <c r="EX15" i="4"/>
  <c r="EX16" i="4"/>
  <c r="EX17" i="4"/>
  <c r="EX18" i="4"/>
  <c r="EX19" i="4"/>
  <c r="EX20" i="4"/>
  <c r="EX21" i="4"/>
  <c r="EX22" i="4"/>
  <c r="EX23" i="4"/>
  <c r="EX24" i="4"/>
  <c r="EX25" i="4"/>
  <c r="EX26" i="4"/>
  <c r="EX27" i="4"/>
  <c r="EX28" i="4"/>
  <c r="EX29" i="4"/>
  <c r="EX30" i="4"/>
  <c r="EX31" i="4"/>
  <c r="EX32" i="4"/>
  <c r="EX33" i="4"/>
  <c r="EX34" i="4"/>
  <c r="EX35" i="4"/>
  <c r="EX36" i="4"/>
  <c r="EX37" i="4"/>
  <c r="EX38" i="4"/>
  <c r="EX39" i="4"/>
  <c r="EX40" i="4"/>
  <c r="EX9" i="4"/>
  <c r="EW12" i="4"/>
  <c r="EW13" i="4"/>
  <c r="EW14" i="4"/>
  <c r="EW15" i="4"/>
  <c r="EW16" i="4"/>
  <c r="EW17" i="4"/>
  <c r="EW18" i="4"/>
  <c r="EW19" i="4"/>
  <c r="EW20" i="4"/>
  <c r="EW21" i="4"/>
  <c r="EW22" i="4"/>
  <c r="EW23" i="4"/>
  <c r="EW24" i="4"/>
  <c r="EW25" i="4"/>
  <c r="EW26" i="4"/>
  <c r="EW27" i="4"/>
  <c r="EW28" i="4"/>
  <c r="EW29" i="4"/>
  <c r="EW30" i="4"/>
  <c r="EW31" i="4"/>
  <c r="EW32" i="4"/>
  <c r="EW33" i="4"/>
  <c r="EW34" i="4"/>
  <c r="EW35" i="4"/>
  <c r="EW36" i="4"/>
  <c r="EW37" i="4"/>
  <c r="EW38" i="4"/>
  <c r="EW39" i="4"/>
  <c r="EW40" i="4"/>
  <c r="EW11" i="4"/>
  <c r="EV10" i="4"/>
  <c r="EV11" i="4"/>
  <c r="BH3" i="3" s="1"/>
  <c r="EV12" i="4"/>
  <c r="BH4" i="3" s="1"/>
  <c r="EV13" i="4"/>
  <c r="EV14" i="4"/>
  <c r="EV15" i="4"/>
  <c r="EV16" i="4"/>
  <c r="EV17" i="4"/>
  <c r="EV18" i="4"/>
  <c r="EV19" i="4"/>
  <c r="EV20" i="4"/>
  <c r="EV21" i="4"/>
  <c r="EV22" i="4"/>
  <c r="EV23" i="4"/>
  <c r="EV24" i="4"/>
  <c r="EV25" i="4"/>
  <c r="EV26" i="4"/>
  <c r="EV27" i="4"/>
  <c r="EV28" i="4"/>
  <c r="EV29" i="4"/>
  <c r="EV30" i="4"/>
  <c r="EV31" i="4"/>
  <c r="EV32" i="4"/>
  <c r="EV33" i="4"/>
  <c r="EV34" i="4"/>
  <c r="EV35" i="4"/>
  <c r="EV36" i="4"/>
  <c r="EV37" i="4"/>
  <c r="EV38" i="4"/>
  <c r="EV39" i="4"/>
  <c r="EV40" i="4"/>
  <c r="EV9" i="4"/>
  <c r="EU12" i="4"/>
  <c r="EU13" i="4"/>
  <c r="EU14" i="4"/>
  <c r="EU15" i="4"/>
  <c r="EU16" i="4"/>
  <c r="EU17" i="4"/>
  <c r="EU18" i="4"/>
  <c r="EU19" i="4"/>
  <c r="EU20" i="4"/>
  <c r="EU21" i="4"/>
  <c r="EU22" i="4"/>
  <c r="EU23" i="4"/>
  <c r="EU24" i="4"/>
  <c r="EU25" i="4"/>
  <c r="EU26" i="4"/>
  <c r="EU27" i="4"/>
  <c r="EU28" i="4"/>
  <c r="EU29" i="4"/>
  <c r="EU30" i="4"/>
  <c r="EU31" i="4"/>
  <c r="EU32" i="4"/>
  <c r="EU33" i="4"/>
  <c r="EU34" i="4"/>
  <c r="EU35" i="4"/>
  <c r="EU36" i="4"/>
  <c r="EU37" i="4"/>
  <c r="EU38" i="4"/>
  <c r="EU39" i="4"/>
  <c r="EU40" i="4"/>
  <c r="EU11" i="4"/>
  <c r="ET10" i="4"/>
  <c r="ET11" i="4"/>
  <c r="ET12" i="4"/>
  <c r="BG4" i="3" s="1"/>
  <c r="ET13" i="4"/>
  <c r="ET14" i="4"/>
  <c r="ET15" i="4"/>
  <c r="ET16" i="4"/>
  <c r="ET17" i="4"/>
  <c r="ET18" i="4"/>
  <c r="ET19" i="4"/>
  <c r="ET20" i="4"/>
  <c r="ET21" i="4"/>
  <c r="ET22" i="4"/>
  <c r="ET23" i="4"/>
  <c r="ET24" i="4"/>
  <c r="ET25" i="4"/>
  <c r="ET26" i="4"/>
  <c r="ET27" i="4"/>
  <c r="ET28" i="4"/>
  <c r="ET29" i="4"/>
  <c r="ET30" i="4"/>
  <c r="ET31" i="4"/>
  <c r="ET32" i="4"/>
  <c r="ET33" i="4"/>
  <c r="ET34" i="4"/>
  <c r="ET35" i="4"/>
  <c r="ET36" i="4"/>
  <c r="ET37" i="4"/>
  <c r="ET38" i="4"/>
  <c r="ET39" i="4"/>
  <c r="ET40" i="4"/>
  <c r="ET9" i="4"/>
  <c r="ER12" i="4"/>
  <c r="ER13" i="4"/>
  <c r="ER14" i="4"/>
  <c r="ER15" i="4"/>
  <c r="ER16" i="4"/>
  <c r="ER17" i="4"/>
  <c r="ER18" i="4"/>
  <c r="ER19" i="4"/>
  <c r="ER20" i="4"/>
  <c r="ER21" i="4"/>
  <c r="ER22" i="4"/>
  <c r="ER23" i="4"/>
  <c r="ER24" i="4"/>
  <c r="ER25" i="4"/>
  <c r="ER26" i="4"/>
  <c r="ER27" i="4"/>
  <c r="ER28" i="4"/>
  <c r="ER29" i="4"/>
  <c r="ER30" i="4"/>
  <c r="ER31" i="4"/>
  <c r="ER32" i="4"/>
  <c r="ER33" i="4"/>
  <c r="ER34" i="4"/>
  <c r="ER35" i="4"/>
  <c r="ER36" i="4"/>
  <c r="ER37" i="4"/>
  <c r="ER38" i="4"/>
  <c r="ER39" i="4"/>
  <c r="ER40" i="4"/>
  <c r="ER11" i="4"/>
  <c r="EQ10" i="4"/>
  <c r="EQ11" i="4"/>
  <c r="EQ12" i="4"/>
  <c r="BC4" i="3" s="1"/>
  <c r="EQ13" i="4"/>
  <c r="EQ14" i="4"/>
  <c r="EQ15" i="4"/>
  <c r="EQ16" i="4"/>
  <c r="EQ17" i="4"/>
  <c r="EQ18" i="4"/>
  <c r="EQ19" i="4"/>
  <c r="EQ20" i="4"/>
  <c r="EQ21" i="4"/>
  <c r="EQ22" i="4"/>
  <c r="EQ23" i="4"/>
  <c r="EQ24" i="4"/>
  <c r="EQ25" i="4"/>
  <c r="EQ26" i="4"/>
  <c r="EQ27" i="4"/>
  <c r="EQ28" i="4"/>
  <c r="EQ29" i="4"/>
  <c r="EQ30" i="4"/>
  <c r="EQ31" i="4"/>
  <c r="EQ32" i="4"/>
  <c r="EQ33" i="4"/>
  <c r="EQ34" i="4"/>
  <c r="EQ35" i="4"/>
  <c r="EQ36" i="4"/>
  <c r="EQ37" i="4"/>
  <c r="EQ38" i="4"/>
  <c r="EQ39" i="4"/>
  <c r="EQ40" i="4"/>
  <c r="EQ9" i="4"/>
  <c r="EP12" i="4"/>
  <c r="EP13" i="4"/>
  <c r="EP14" i="4"/>
  <c r="EP15" i="4"/>
  <c r="EP16" i="4"/>
  <c r="EP17" i="4"/>
  <c r="EP18" i="4"/>
  <c r="EP19" i="4"/>
  <c r="EP20" i="4"/>
  <c r="EP21" i="4"/>
  <c r="EP22" i="4"/>
  <c r="EP23" i="4"/>
  <c r="EP24" i="4"/>
  <c r="EP25" i="4"/>
  <c r="EP26" i="4"/>
  <c r="EP27" i="4"/>
  <c r="EP28" i="4"/>
  <c r="EP29" i="4"/>
  <c r="EP30" i="4"/>
  <c r="EP31" i="4"/>
  <c r="EP32" i="4"/>
  <c r="EP33" i="4"/>
  <c r="EP34" i="4"/>
  <c r="EP35" i="4"/>
  <c r="EP36" i="4"/>
  <c r="EP37" i="4"/>
  <c r="EP38" i="4"/>
  <c r="EP39" i="4"/>
  <c r="EP40" i="4"/>
  <c r="EP11" i="4"/>
  <c r="EO10" i="4"/>
  <c r="EO11" i="4"/>
  <c r="BF3" i="3" s="1"/>
  <c r="EO12" i="4"/>
  <c r="BF4" i="3" s="1"/>
  <c r="EO13" i="4"/>
  <c r="EO14" i="4"/>
  <c r="EO15" i="4"/>
  <c r="EO16" i="4"/>
  <c r="EO17" i="4"/>
  <c r="EO18" i="4"/>
  <c r="EO19" i="4"/>
  <c r="EO20" i="4"/>
  <c r="EO21" i="4"/>
  <c r="EO22" i="4"/>
  <c r="EO23" i="4"/>
  <c r="EO24" i="4"/>
  <c r="EO25" i="4"/>
  <c r="EO26" i="4"/>
  <c r="EO27" i="4"/>
  <c r="EO28" i="4"/>
  <c r="EO29" i="4"/>
  <c r="EO30" i="4"/>
  <c r="EO31" i="4"/>
  <c r="EO32" i="4"/>
  <c r="EO33" i="4"/>
  <c r="EO34" i="4"/>
  <c r="EO35" i="4"/>
  <c r="EO36" i="4"/>
  <c r="EO37" i="4"/>
  <c r="EO38" i="4"/>
  <c r="EO39" i="4"/>
  <c r="EO40" i="4"/>
  <c r="EO9" i="4"/>
  <c r="EN12" i="4"/>
  <c r="EN13" i="4"/>
  <c r="EN14" i="4"/>
  <c r="EN15" i="4"/>
  <c r="EN16" i="4"/>
  <c r="EN17" i="4"/>
  <c r="EN18" i="4"/>
  <c r="EN19" i="4"/>
  <c r="EN20" i="4"/>
  <c r="EN21" i="4"/>
  <c r="EN22" i="4"/>
  <c r="EN23" i="4"/>
  <c r="EN24" i="4"/>
  <c r="EN25" i="4"/>
  <c r="EN26" i="4"/>
  <c r="EN27" i="4"/>
  <c r="EN28" i="4"/>
  <c r="EN29" i="4"/>
  <c r="EN30" i="4"/>
  <c r="EN31" i="4"/>
  <c r="EN32" i="4"/>
  <c r="EN33" i="4"/>
  <c r="EN34" i="4"/>
  <c r="EN35" i="4"/>
  <c r="EN36" i="4"/>
  <c r="EN37" i="4"/>
  <c r="EN38" i="4"/>
  <c r="EN39" i="4"/>
  <c r="EN40" i="4"/>
  <c r="EN11" i="4"/>
  <c r="EM10" i="4"/>
  <c r="EM11" i="4"/>
  <c r="EM12" i="4"/>
  <c r="BE4" i="3" s="1"/>
  <c r="EM13" i="4"/>
  <c r="EM14" i="4"/>
  <c r="EM15" i="4"/>
  <c r="EM16" i="4"/>
  <c r="EM17" i="4"/>
  <c r="EM18" i="4"/>
  <c r="EM19" i="4"/>
  <c r="EM20" i="4"/>
  <c r="EM21" i="4"/>
  <c r="EM22" i="4"/>
  <c r="EM23" i="4"/>
  <c r="EM24" i="4"/>
  <c r="EM25" i="4"/>
  <c r="EM26" i="4"/>
  <c r="EM27" i="4"/>
  <c r="EM28" i="4"/>
  <c r="EM29" i="4"/>
  <c r="EM30" i="4"/>
  <c r="EM31" i="4"/>
  <c r="EM32" i="4"/>
  <c r="EM33" i="4"/>
  <c r="EM34" i="4"/>
  <c r="EM35" i="4"/>
  <c r="EM36" i="4"/>
  <c r="EM37" i="4"/>
  <c r="EM38" i="4"/>
  <c r="EM39" i="4"/>
  <c r="EM40" i="4"/>
  <c r="EM9" i="4"/>
  <c r="EL12" i="4"/>
  <c r="EL13" i="4"/>
  <c r="EL14" i="4"/>
  <c r="EL15" i="4"/>
  <c r="EL16" i="4"/>
  <c r="EL17" i="4"/>
  <c r="EL18" i="4"/>
  <c r="EL19" i="4"/>
  <c r="EL20" i="4"/>
  <c r="EL21" i="4"/>
  <c r="EL22" i="4"/>
  <c r="EL23" i="4"/>
  <c r="EL24" i="4"/>
  <c r="EL25" i="4"/>
  <c r="EL26" i="4"/>
  <c r="EL27" i="4"/>
  <c r="EL28" i="4"/>
  <c r="EL29" i="4"/>
  <c r="EL30" i="4"/>
  <c r="EL31" i="4"/>
  <c r="EL32" i="4"/>
  <c r="EL33" i="4"/>
  <c r="EL34" i="4"/>
  <c r="EL35" i="4"/>
  <c r="EL36" i="4"/>
  <c r="EL37" i="4"/>
  <c r="EL38" i="4"/>
  <c r="EL39" i="4"/>
  <c r="EL40" i="4"/>
  <c r="EL11" i="4"/>
  <c r="EK10" i="4"/>
  <c r="EK11" i="4"/>
  <c r="EK12" i="4"/>
  <c r="BD4" i="3" s="1"/>
  <c r="EK13" i="4"/>
  <c r="EK14" i="4"/>
  <c r="EK15" i="4"/>
  <c r="EK16" i="4"/>
  <c r="EK17" i="4"/>
  <c r="EK18" i="4"/>
  <c r="EK19" i="4"/>
  <c r="EK20" i="4"/>
  <c r="EK21" i="4"/>
  <c r="EK22" i="4"/>
  <c r="EK23" i="4"/>
  <c r="EK24" i="4"/>
  <c r="EK25" i="4"/>
  <c r="EK26" i="4"/>
  <c r="EK27" i="4"/>
  <c r="EK28" i="4"/>
  <c r="EK29" i="4"/>
  <c r="EK30" i="4"/>
  <c r="EK31" i="4"/>
  <c r="EK32" i="4"/>
  <c r="EK33" i="4"/>
  <c r="EK34" i="4"/>
  <c r="EK35" i="4"/>
  <c r="EK36" i="4"/>
  <c r="EK37" i="4"/>
  <c r="EK38" i="4"/>
  <c r="EK39" i="4"/>
  <c r="EK40" i="4"/>
  <c r="EK9" i="4"/>
  <c r="EJ12" i="4"/>
  <c r="EJ13" i="4"/>
  <c r="EJ14" i="4"/>
  <c r="EJ15" i="4"/>
  <c r="EJ16" i="4"/>
  <c r="EJ17" i="4"/>
  <c r="EJ18" i="4"/>
  <c r="EJ19" i="4"/>
  <c r="EJ20" i="4"/>
  <c r="EJ21" i="4"/>
  <c r="EJ22" i="4"/>
  <c r="EJ23" i="4"/>
  <c r="EJ24" i="4"/>
  <c r="EJ25" i="4"/>
  <c r="EJ26" i="4"/>
  <c r="EJ27" i="4"/>
  <c r="EJ28" i="4"/>
  <c r="EJ29" i="4"/>
  <c r="EJ30" i="4"/>
  <c r="EJ31" i="4"/>
  <c r="EJ32" i="4"/>
  <c r="EJ33" i="4"/>
  <c r="EJ34" i="4"/>
  <c r="EJ35" i="4"/>
  <c r="EJ36" i="4"/>
  <c r="EJ37" i="4"/>
  <c r="EJ38" i="4"/>
  <c r="EJ39" i="4"/>
  <c r="EJ40" i="4"/>
  <c r="EJ11" i="4"/>
  <c r="EI10" i="4"/>
  <c r="EI11" i="4"/>
  <c r="BB3" i="3" s="1"/>
  <c r="EI12" i="4"/>
  <c r="BB4" i="3" s="1"/>
  <c r="EI13" i="4"/>
  <c r="EI14" i="4"/>
  <c r="EI15" i="4"/>
  <c r="EI16" i="4"/>
  <c r="EI17" i="4"/>
  <c r="EI18" i="4"/>
  <c r="EI19" i="4"/>
  <c r="EI20" i="4"/>
  <c r="EI21" i="4"/>
  <c r="EI22" i="4"/>
  <c r="EI23" i="4"/>
  <c r="EI24" i="4"/>
  <c r="EI25" i="4"/>
  <c r="EI26" i="4"/>
  <c r="EI27" i="4"/>
  <c r="EI28" i="4"/>
  <c r="EI29" i="4"/>
  <c r="EI30" i="4"/>
  <c r="EI31" i="4"/>
  <c r="EI32" i="4"/>
  <c r="EI33" i="4"/>
  <c r="EI34" i="4"/>
  <c r="EI35" i="4"/>
  <c r="EI36" i="4"/>
  <c r="EI37" i="4"/>
  <c r="EI38" i="4"/>
  <c r="EI39" i="4"/>
  <c r="EI40" i="4"/>
  <c r="EI9" i="4"/>
  <c r="EH12" i="4"/>
  <c r="EH13" i="4"/>
  <c r="EH14" i="4"/>
  <c r="EH15" i="4"/>
  <c r="EH16" i="4"/>
  <c r="EH17" i="4"/>
  <c r="EH18" i="4"/>
  <c r="EH19" i="4"/>
  <c r="EH20" i="4"/>
  <c r="EH21" i="4"/>
  <c r="EH22" i="4"/>
  <c r="EH23" i="4"/>
  <c r="EH24" i="4"/>
  <c r="EH25" i="4"/>
  <c r="EH26" i="4"/>
  <c r="EH27" i="4"/>
  <c r="EH28" i="4"/>
  <c r="EH29" i="4"/>
  <c r="EH30" i="4"/>
  <c r="EH31" i="4"/>
  <c r="EH32" i="4"/>
  <c r="EH33" i="4"/>
  <c r="EH34" i="4"/>
  <c r="EH35" i="4"/>
  <c r="EH36" i="4"/>
  <c r="EH37" i="4"/>
  <c r="EH38" i="4"/>
  <c r="EH39" i="4"/>
  <c r="EH40" i="4"/>
  <c r="EH11" i="4"/>
  <c r="EG10" i="4"/>
  <c r="EG11" i="4"/>
  <c r="EG12" i="4"/>
  <c r="BA4" i="3" s="1"/>
  <c r="EG13" i="4"/>
  <c r="EG14" i="4"/>
  <c r="EG15" i="4"/>
  <c r="EG16" i="4"/>
  <c r="EG17" i="4"/>
  <c r="EG18" i="4"/>
  <c r="EG19" i="4"/>
  <c r="EG20" i="4"/>
  <c r="EG21" i="4"/>
  <c r="EG22" i="4"/>
  <c r="EG23" i="4"/>
  <c r="EG24" i="4"/>
  <c r="EG25" i="4"/>
  <c r="EG26" i="4"/>
  <c r="EG27" i="4"/>
  <c r="EG28" i="4"/>
  <c r="EG29" i="4"/>
  <c r="EG30" i="4"/>
  <c r="EG31" i="4"/>
  <c r="EG32" i="4"/>
  <c r="EG33" i="4"/>
  <c r="EG34" i="4"/>
  <c r="EG35" i="4"/>
  <c r="EG36" i="4"/>
  <c r="EG37" i="4"/>
  <c r="EG38" i="4"/>
  <c r="EG39" i="4"/>
  <c r="EG40" i="4"/>
  <c r="EG9" i="4"/>
  <c r="EE12" i="4"/>
  <c r="EE13" i="4"/>
  <c r="EE14" i="4"/>
  <c r="EE15" i="4"/>
  <c r="EE16" i="4"/>
  <c r="EE17" i="4"/>
  <c r="EE18" i="4"/>
  <c r="EE19" i="4"/>
  <c r="EE20" i="4"/>
  <c r="EE21" i="4"/>
  <c r="EE22" i="4"/>
  <c r="EE23" i="4"/>
  <c r="EE24" i="4"/>
  <c r="EE25" i="4"/>
  <c r="EE26" i="4"/>
  <c r="EE27" i="4"/>
  <c r="EE28" i="4"/>
  <c r="EE29" i="4"/>
  <c r="EE30" i="4"/>
  <c r="EE31" i="4"/>
  <c r="EE32" i="4"/>
  <c r="EE33" i="4"/>
  <c r="EE34" i="4"/>
  <c r="EE35" i="4"/>
  <c r="EE36" i="4"/>
  <c r="EE37" i="4"/>
  <c r="EE38" i="4"/>
  <c r="EE39" i="4"/>
  <c r="EE40" i="4"/>
  <c r="EE11" i="4"/>
  <c r="ED10" i="4"/>
  <c r="ED11" i="4"/>
  <c r="ED12" i="4"/>
  <c r="AZ4" i="3" s="1"/>
  <c r="ED13" i="4"/>
  <c r="ED14" i="4"/>
  <c r="ED15" i="4"/>
  <c r="ED16" i="4"/>
  <c r="ED17" i="4"/>
  <c r="ED18" i="4"/>
  <c r="ED19" i="4"/>
  <c r="ED20" i="4"/>
  <c r="ED21" i="4"/>
  <c r="ED22" i="4"/>
  <c r="ED23" i="4"/>
  <c r="ED24" i="4"/>
  <c r="ED25" i="4"/>
  <c r="ED26" i="4"/>
  <c r="ED27" i="4"/>
  <c r="ED28" i="4"/>
  <c r="ED29" i="4"/>
  <c r="ED30" i="4"/>
  <c r="ED31" i="4"/>
  <c r="ED32" i="4"/>
  <c r="ED33" i="4"/>
  <c r="ED34" i="4"/>
  <c r="ED35" i="4"/>
  <c r="ED36" i="4"/>
  <c r="ED37" i="4"/>
  <c r="ED38" i="4"/>
  <c r="ED39" i="4"/>
  <c r="ED40" i="4"/>
  <c r="ED9" i="4"/>
  <c r="EC12" i="4"/>
  <c r="EC13" i="4"/>
  <c r="EC14" i="4"/>
  <c r="EC15" i="4"/>
  <c r="EC16" i="4"/>
  <c r="EC17" i="4"/>
  <c r="EC18" i="4"/>
  <c r="EC19" i="4"/>
  <c r="EC20" i="4"/>
  <c r="EC21" i="4"/>
  <c r="EC22" i="4"/>
  <c r="EC23" i="4"/>
  <c r="EC24" i="4"/>
  <c r="EC25" i="4"/>
  <c r="EC26" i="4"/>
  <c r="EC27" i="4"/>
  <c r="EC28" i="4"/>
  <c r="EC29" i="4"/>
  <c r="EC30" i="4"/>
  <c r="EC31" i="4"/>
  <c r="EC32" i="4"/>
  <c r="EC33" i="4"/>
  <c r="EC34" i="4"/>
  <c r="EC35" i="4"/>
  <c r="EC36" i="4"/>
  <c r="EC37" i="4"/>
  <c r="EC38" i="4"/>
  <c r="EC39" i="4"/>
  <c r="EC40" i="4"/>
  <c r="EC11" i="4"/>
  <c r="EB10" i="4"/>
  <c r="EB11" i="4"/>
  <c r="AY3" i="3" s="1"/>
  <c r="EB12" i="4"/>
  <c r="AY4" i="3" s="1"/>
  <c r="EB13" i="4"/>
  <c r="EB14" i="4"/>
  <c r="EB15" i="4"/>
  <c r="EB16" i="4"/>
  <c r="EB17" i="4"/>
  <c r="EB18" i="4"/>
  <c r="EB19" i="4"/>
  <c r="EB20" i="4"/>
  <c r="EB21" i="4"/>
  <c r="EB22" i="4"/>
  <c r="EB23" i="4"/>
  <c r="EB24" i="4"/>
  <c r="EB25" i="4"/>
  <c r="EB26" i="4"/>
  <c r="EB27" i="4"/>
  <c r="EB28" i="4"/>
  <c r="EB29" i="4"/>
  <c r="EB30" i="4"/>
  <c r="EB31" i="4"/>
  <c r="EB32" i="4"/>
  <c r="EB33" i="4"/>
  <c r="EB34" i="4"/>
  <c r="EB35" i="4"/>
  <c r="EB36" i="4"/>
  <c r="EB37" i="4"/>
  <c r="EB38" i="4"/>
  <c r="EB39" i="4"/>
  <c r="EB40" i="4"/>
  <c r="EB9" i="4"/>
  <c r="EA12" i="4"/>
  <c r="EA13" i="4"/>
  <c r="EA14" i="4"/>
  <c r="EA15" i="4"/>
  <c r="EA16" i="4"/>
  <c r="EA17" i="4"/>
  <c r="EA18" i="4"/>
  <c r="EA19" i="4"/>
  <c r="EA20" i="4"/>
  <c r="EA21" i="4"/>
  <c r="EA22" i="4"/>
  <c r="EA23" i="4"/>
  <c r="EA24" i="4"/>
  <c r="EA25" i="4"/>
  <c r="EA26" i="4"/>
  <c r="EA27" i="4"/>
  <c r="EA28" i="4"/>
  <c r="EA29" i="4"/>
  <c r="EA30" i="4"/>
  <c r="EA31" i="4"/>
  <c r="EA32" i="4"/>
  <c r="EA33" i="4"/>
  <c r="EA34" i="4"/>
  <c r="EA35" i="4"/>
  <c r="EA36" i="4"/>
  <c r="EA37" i="4"/>
  <c r="EA38" i="4"/>
  <c r="EA39" i="4"/>
  <c r="EA40" i="4"/>
  <c r="EA11" i="4"/>
  <c r="DZ10" i="4"/>
  <c r="DZ11" i="4"/>
  <c r="DZ12" i="4"/>
  <c r="AX4" i="3" s="1"/>
  <c r="DZ13" i="4"/>
  <c r="DZ14" i="4"/>
  <c r="DZ15" i="4"/>
  <c r="DZ16" i="4"/>
  <c r="DZ17" i="4"/>
  <c r="DZ18" i="4"/>
  <c r="DZ19" i="4"/>
  <c r="DZ20" i="4"/>
  <c r="DZ21" i="4"/>
  <c r="DZ22" i="4"/>
  <c r="DZ23" i="4"/>
  <c r="DZ24" i="4"/>
  <c r="DZ25" i="4"/>
  <c r="DZ26" i="4"/>
  <c r="DZ27" i="4"/>
  <c r="DZ28" i="4"/>
  <c r="DZ29" i="4"/>
  <c r="DZ30" i="4"/>
  <c r="DZ31" i="4"/>
  <c r="DZ32" i="4"/>
  <c r="DZ33" i="4"/>
  <c r="DZ34" i="4"/>
  <c r="DZ35" i="4"/>
  <c r="DZ36" i="4"/>
  <c r="DZ37" i="4"/>
  <c r="DZ38" i="4"/>
  <c r="DZ39" i="4"/>
  <c r="DZ40" i="4"/>
  <c r="DZ9" i="4"/>
  <c r="DY12" i="4"/>
  <c r="DY13" i="4"/>
  <c r="DY14" i="4"/>
  <c r="DY15" i="4"/>
  <c r="DY16" i="4"/>
  <c r="DY17" i="4"/>
  <c r="DY18" i="4"/>
  <c r="DY19" i="4"/>
  <c r="DY20" i="4"/>
  <c r="DY21" i="4"/>
  <c r="DY22" i="4"/>
  <c r="DY23" i="4"/>
  <c r="DY24" i="4"/>
  <c r="DY25" i="4"/>
  <c r="DY26" i="4"/>
  <c r="DY27" i="4"/>
  <c r="DY28" i="4"/>
  <c r="DY29" i="4"/>
  <c r="DY30" i="4"/>
  <c r="DY31" i="4"/>
  <c r="DY32" i="4"/>
  <c r="DY33" i="4"/>
  <c r="DY34" i="4"/>
  <c r="DY35" i="4"/>
  <c r="DY36" i="4"/>
  <c r="DY37" i="4"/>
  <c r="DY38" i="4"/>
  <c r="DY39" i="4"/>
  <c r="DY40" i="4"/>
  <c r="DY11" i="4"/>
  <c r="DX10" i="4"/>
  <c r="DX11" i="4"/>
  <c r="DX12" i="4"/>
  <c r="AW4" i="3" s="1"/>
  <c r="DX13" i="4"/>
  <c r="DX14" i="4"/>
  <c r="DX15" i="4"/>
  <c r="DX16" i="4"/>
  <c r="DX17" i="4"/>
  <c r="DX18" i="4"/>
  <c r="DX19" i="4"/>
  <c r="DX20" i="4"/>
  <c r="DX21" i="4"/>
  <c r="DX22" i="4"/>
  <c r="DX23" i="4"/>
  <c r="DX24" i="4"/>
  <c r="DX25" i="4"/>
  <c r="DX26" i="4"/>
  <c r="DX27" i="4"/>
  <c r="DX28" i="4"/>
  <c r="DX29" i="4"/>
  <c r="DX30" i="4"/>
  <c r="DX31" i="4"/>
  <c r="DX32" i="4"/>
  <c r="DX33" i="4"/>
  <c r="DX34" i="4"/>
  <c r="DX35" i="4"/>
  <c r="DX36" i="4"/>
  <c r="DX37" i="4"/>
  <c r="DX38" i="4"/>
  <c r="DX39" i="4"/>
  <c r="DX40" i="4"/>
  <c r="DX9" i="4"/>
  <c r="DW12" i="4"/>
  <c r="DW13" i="4"/>
  <c r="DW14" i="4"/>
  <c r="DW15" i="4"/>
  <c r="DW16" i="4"/>
  <c r="DW17" i="4"/>
  <c r="DW18" i="4"/>
  <c r="DW19" i="4"/>
  <c r="DW20" i="4"/>
  <c r="DW21" i="4"/>
  <c r="DW22" i="4"/>
  <c r="DW23" i="4"/>
  <c r="DW24" i="4"/>
  <c r="DW25" i="4"/>
  <c r="DW26" i="4"/>
  <c r="DW27" i="4"/>
  <c r="DW28" i="4"/>
  <c r="DW29" i="4"/>
  <c r="DW30" i="4"/>
  <c r="DW31" i="4"/>
  <c r="DW32" i="4"/>
  <c r="DW33" i="4"/>
  <c r="DW34" i="4"/>
  <c r="DW35" i="4"/>
  <c r="DW36" i="4"/>
  <c r="DW37" i="4"/>
  <c r="DW38" i="4"/>
  <c r="DW39" i="4"/>
  <c r="DW40" i="4"/>
  <c r="DW11" i="4"/>
  <c r="DV10" i="4"/>
  <c r="DV11" i="4"/>
  <c r="DV12" i="4"/>
  <c r="DV13" i="4"/>
  <c r="DV14" i="4"/>
  <c r="DV15" i="4"/>
  <c r="DV16" i="4"/>
  <c r="DV17" i="4"/>
  <c r="DV18" i="4"/>
  <c r="DV19" i="4"/>
  <c r="DV20" i="4"/>
  <c r="DV21" i="4"/>
  <c r="DV22" i="4"/>
  <c r="DV23" i="4"/>
  <c r="DV24" i="4"/>
  <c r="DV25" i="4"/>
  <c r="DV26" i="4"/>
  <c r="DV27" i="4"/>
  <c r="DV28" i="4"/>
  <c r="DV29" i="4"/>
  <c r="DV30" i="4"/>
  <c r="DV31" i="4"/>
  <c r="DV32" i="4"/>
  <c r="DV33" i="4"/>
  <c r="DV34" i="4"/>
  <c r="DV35" i="4"/>
  <c r="DV36" i="4"/>
  <c r="DV37" i="4"/>
  <c r="DV38" i="4"/>
  <c r="DV39" i="4"/>
  <c r="DV40" i="4"/>
  <c r="DV9" i="4"/>
  <c r="DU12" i="4"/>
  <c r="DU13" i="4"/>
  <c r="DU14" i="4"/>
  <c r="DU15" i="4"/>
  <c r="DU16" i="4"/>
  <c r="DU17" i="4"/>
  <c r="DU18" i="4"/>
  <c r="DU19" i="4"/>
  <c r="DU20" i="4"/>
  <c r="DU21" i="4"/>
  <c r="DU22" i="4"/>
  <c r="DU23" i="4"/>
  <c r="DU24" i="4"/>
  <c r="DU25" i="4"/>
  <c r="DU26" i="4"/>
  <c r="DU27" i="4"/>
  <c r="DU28" i="4"/>
  <c r="DU29" i="4"/>
  <c r="DU30" i="4"/>
  <c r="DU31" i="4"/>
  <c r="DU32" i="4"/>
  <c r="DU33" i="4"/>
  <c r="DU34" i="4"/>
  <c r="DU35" i="4"/>
  <c r="DU36" i="4"/>
  <c r="DU37" i="4"/>
  <c r="DU38" i="4"/>
  <c r="DU39" i="4"/>
  <c r="DU40" i="4"/>
  <c r="DU11" i="4"/>
  <c r="DT10" i="4"/>
  <c r="DT11" i="4"/>
  <c r="DT12" i="4"/>
  <c r="AU4" i="3" s="1"/>
  <c r="DT13" i="4"/>
  <c r="DT14" i="4"/>
  <c r="DT15" i="4"/>
  <c r="DT16" i="4"/>
  <c r="DT17" i="4"/>
  <c r="DT18" i="4"/>
  <c r="DT19" i="4"/>
  <c r="DT20" i="4"/>
  <c r="DT21" i="4"/>
  <c r="DT22" i="4"/>
  <c r="DT23" i="4"/>
  <c r="DT24" i="4"/>
  <c r="DT25" i="4"/>
  <c r="DT26" i="4"/>
  <c r="DT27" i="4"/>
  <c r="DT28" i="4"/>
  <c r="DT29" i="4"/>
  <c r="DT30" i="4"/>
  <c r="DT31" i="4"/>
  <c r="DT32" i="4"/>
  <c r="DT33" i="4"/>
  <c r="DT34" i="4"/>
  <c r="DT35" i="4"/>
  <c r="DT36" i="4"/>
  <c r="DT37" i="4"/>
  <c r="DT38" i="4"/>
  <c r="DT39" i="4"/>
  <c r="DT40" i="4"/>
  <c r="DT9" i="4"/>
  <c r="DR12" i="4"/>
  <c r="DR13" i="4"/>
  <c r="DR14" i="4"/>
  <c r="DR15" i="4"/>
  <c r="DR16" i="4"/>
  <c r="DR17" i="4"/>
  <c r="DR18" i="4"/>
  <c r="DR19" i="4"/>
  <c r="DR20" i="4"/>
  <c r="DR21" i="4"/>
  <c r="DR22" i="4"/>
  <c r="DR23" i="4"/>
  <c r="DR24" i="4"/>
  <c r="DR25" i="4"/>
  <c r="DR26" i="4"/>
  <c r="DR27" i="4"/>
  <c r="DR28" i="4"/>
  <c r="DR29" i="4"/>
  <c r="DR30" i="4"/>
  <c r="DR31" i="4"/>
  <c r="DR32" i="4"/>
  <c r="DR33" i="4"/>
  <c r="DR34" i="4"/>
  <c r="DR35" i="4"/>
  <c r="DR36" i="4"/>
  <c r="DR37" i="4"/>
  <c r="DR38" i="4"/>
  <c r="DR39" i="4"/>
  <c r="DR40" i="4"/>
  <c r="DR11" i="4"/>
  <c r="DQ10" i="4"/>
  <c r="DQ11" i="4"/>
  <c r="DQ12" i="4"/>
  <c r="AT4" i="3" s="1"/>
  <c r="DQ13" i="4"/>
  <c r="DQ14" i="4"/>
  <c r="DQ15" i="4"/>
  <c r="DQ16" i="4"/>
  <c r="DQ17" i="4"/>
  <c r="DQ18" i="4"/>
  <c r="DQ19" i="4"/>
  <c r="DQ20" i="4"/>
  <c r="DQ21" i="4"/>
  <c r="DQ22" i="4"/>
  <c r="DQ23" i="4"/>
  <c r="DQ24" i="4"/>
  <c r="DQ25" i="4"/>
  <c r="DQ26" i="4"/>
  <c r="DQ27" i="4"/>
  <c r="DQ28" i="4"/>
  <c r="DQ29" i="4"/>
  <c r="DQ30" i="4"/>
  <c r="DQ31" i="4"/>
  <c r="DQ32" i="4"/>
  <c r="DQ33" i="4"/>
  <c r="DQ34" i="4"/>
  <c r="DQ35" i="4"/>
  <c r="DQ36" i="4"/>
  <c r="DQ37" i="4"/>
  <c r="DQ38" i="4"/>
  <c r="DQ39" i="4"/>
  <c r="DQ40" i="4"/>
  <c r="DQ9" i="4"/>
  <c r="DP12" i="4"/>
  <c r="DP13" i="4"/>
  <c r="DP14" i="4"/>
  <c r="DP15" i="4"/>
  <c r="DP16" i="4"/>
  <c r="DP17" i="4"/>
  <c r="DP18" i="4"/>
  <c r="DP19" i="4"/>
  <c r="DP20" i="4"/>
  <c r="DP21" i="4"/>
  <c r="DP22" i="4"/>
  <c r="DP23" i="4"/>
  <c r="DP24" i="4"/>
  <c r="DP25" i="4"/>
  <c r="DP26" i="4"/>
  <c r="DP27" i="4"/>
  <c r="DP28" i="4"/>
  <c r="DP29" i="4"/>
  <c r="DP30" i="4"/>
  <c r="DP31" i="4"/>
  <c r="DP32" i="4"/>
  <c r="DP33" i="4"/>
  <c r="DP34" i="4"/>
  <c r="DP35" i="4"/>
  <c r="DP36" i="4"/>
  <c r="DP37" i="4"/>
  <c r="DP38" i="4"/>
  <c r="DP39" i="4"/>
  <c r="DP40" i="4"/>
  <c r="DP11" i="4"/>
  <c r="DO10" i="4"/>
  <c r="DO11" i="4"/>
  <c r="AR3" i="3" s="1"/>
  <c r="DO12" i="4"/>
  <c r="AR4" i="3" s="1"/>
  <c r="DO13" i="4"/>
  <c r="DO14" i="4"/>
  <c r="DO15" i="4"/>
  <c r="DO16" i="4"/>
  <c r="DO17" i="4"/>
  <c r="DO18" i="4"/>
  <c r="DO19" i="4"/>
  <c r="DO20" i="4"/>
  <c r="DO21" i="4"/>
  <c r="DO22" i="4"/>
  <c r="DO23" i="4"/>
  <c r="DO24" i="4"/>
  <c r="DO25" i="4"/>
  <c r="DO26" i="4"/>
  <c r="DO27" i="4"/>
  <c r="DO28" i="4"/>
  <c r="DO29" i="4"/>
  <c r="DO30" i="4"/>
  <c r="DO31" i="4"/>
  <c r="DO32" i="4"/>
  <c r="DO33" i="4"/>
  <c r="DO34" i="4"/>
  <c r="DO35" i="4"/>
  <c r="DO36" i="4"/>
  <c r="DO37" i="4"/>
  <c r="DO38" i="4"/>
  <c r="DO39" i="4"/>
  <c r="DO40" i="4"/>
  <c r="DO9" i="4"/>
  <c r="DN12" i="4"/>
  <c r="DN13" i="4"/>
  <c r="DN14" i="4"/>
  <c r="DN15" i="4"/>
  <c r="DN16" i="4"/>
  <c r="DN17" i="4"/>
  <c r="DN18" i="4"/>
  <c r="DN19" i="4"/>
  <c r="DN20" i="4"/>
  <c r="DN21" i="4"/>
  <c r="DN22" i="4"/>
  <c r="DN23" i="4"/>
  <c r="DN24" i="4"/>
  <c r="DN25" i="4"/>
  <c r="DN26" i="4"/>
  <c r="DN27" i="4"/>
  <c r="DN28" i="4"/>
  <c r="DN29" i="4"/>
  <c r="DN30" i="4"/>
  <c r="DN31" i="4"/>
  <c r="DN32" i="4"/>
  <c r="DN33" i="4"/>
  <c r="DN34" i="4"/>
  <c r="DN35" i="4"/>
  <c r="DN36" i="4"/>
  <c r="DN37" i="4"/>
  <c r="DN38" i="4"/>
  <c r="DN39" i="4"/>
  <c r="DN40" i="4"/>
  <c r="DN11" i="4"/>
  <c r="DM10" i="4"/>
  <c r="DM11" i="4"/>
  <c r="DM12" i="4"/>
  <c r="AS4" i="3" s="1"/>
  <c r="DM13" i="4"/>
  <c r="DM14" i="4"/>
  <c r="DM15" i="4"/>
  <c r="DM16" i="4"/>
  <c r="DM17" i="4"/>
  <c r="DM18" i="4"/>
  <c r="DM19" i="4"/>
  <c r="DM20" i="4"/>
  <c r="DM21" i="4"/>
  <c r="DM22" i="4"/>
  <c r="DM23" i="4"/>
  <c r="DM24" i="4"/>
  <c r="DM25" i="4"/>
  <c r="DM26" i="4"/>
  <c r="DM27" i="4"/>
  <c r="DM28" i="4"/>
  <c r="DM29" i="4"/>
  <c r="DM30" i="4"/>
  <c r="DM31" i="4"/>
  <c r="DM32" i="4"/>
  <c r="DM33" i="4"/>
  <c r="DM34" i="4"/>
  <c r="DM35" i="4"/>
  <c r="DM36" i="4"/>
  <c r="DM37" i="4"/>
  <c r="DM38" i="4"/>
  <c r="DM39" i="4"/>
  <c r="DM40" i="4"/>
  <c r="DM9" i="4"/>
  <c r="DL12" i="4"/>
  <c r="DL13" i="4"/>
  <c r="DL14" i="4"/>
  <c r="DL15" i="4"/>
  <c r="DL16" i="4"/>
  <c r="DL17" i="4"/>
  <c r="DL18" i="4"/>
  <c r="DL19" i="4"/>
  <c r="DL20" i="4"/>
  <c r="DL21" i="4"/>
  <c r="DL22" i="4"/>
  <c r="DL23" i="4"/>
  <c r="DL24" i="4"/>
  <c r="DL25" i="4"/>
  <c r="DL26" i="4"/>
  <c r="DL27" i="4"/>
  <c r="DL28" i="4"/>
  <c r="DL29" i="4"/>
  <c r="DL30" i="4"/>
  <c r="DL31" i="4"/>
  <c r="DL32" i="4"/>
  <c r="DL33" i="4"/>
  <c r="DL34" i="4"/>
  <c r="DL35" i="4"/>
  <c r="DL36" i="4"/>
  <c r="DL37" i="4"/>
  <c r="DL38" i="4"/>
  <c r="DL39" i="4"/>
  <c r="DL40" i="4"/>
  <c r="DL11" i="4"/>
  <c r="DK10" i="4"/>
  <c r="DK11" i="4"/>
  <c r="DK12" i="4"/>
  <c r="AP4" i="3" s="1"/>
  <c r="DK13" i="4"/>
  <c r="DK14" i="4"/>
  <c r="DK15" i="4"/>
  <c r="DK16" i="4"/>
  <c r="DK17" i="4"/>
  <c r="DK18" i="4"/>
  <c r="DK19" i="4"/>
  <c r="DK20" i="4"/>
  <c r="DK21" i="4"/>
  <c r="DK22" i="4"/>
  <c r="DK23" i="4"/>
  <c r="DK24" i="4"/>
  <c r="DK25" i="4"/>
  <c r="DK26" i="4"/>
  <c r="DK27" i="4"/>
  <c r="DK28" i="4"/>
  <c r="DK29" i="4"/>
  <c r="DK30" i="4"/>
  <c r="DK31" i="4"/>
  <c r="DK32" i="4"/>
  <c r="DK33" i="4"/>
  <c r="DK34" i="4"/>
  <c r="DK35" i="4"/>
  <c r="DK36" i="4"/>
  <c r="DK37" i="4"/>
  <c r="DK38" i="4"/>
  <c r="DK39" i="4"/>
  <c r="DK40" i="4"/>
  <c r="DK9" i="4"/>
  <c r="DJ12" i="4"/>
  <c r="DJ13" i="4"/>
  <c r="DJ14" i="4"/>
  <c r="DJ15" i="4"/>
  <c r="DJ16" i="4"/>
  <c r="DJ17" i="4"/>
  <c r="DJ18" i="4"/>
  <c r="DJ19" i="4"/>
  <c r="DJ20" i="4"/>
  <c r="DJ21" i="4"/>
  <c r="DJ22" i="4"/>
  <c r="DJ23" i="4"/>
  <c r="DJ24" i="4"/>
  <c r="DJ25" i="4"/>
  <c r="DJ26" i="4"/>
  <c r="DJ27" i="4"/>
  <c r="DJ28" i="4"/>
  <c r="DJ29" i="4"/>
  <c r="DJ30" i="4"/>
  <c r="DJ31" i="4"/>
  <c r="DJ32" i="4"/>
  <c r="DJ33" i="4"/>
  <c r="DJ34" i="4"/>
  <c r="DJ35" i="4"/>
  <c r="DJ36" i="4"/>
  <c r="DJ37" i="4"/>
  <c r="DJ38" i="4"/>
  <c r="DJ39" i="4"/>
  <c r="DJ40" i="4"/>
  <c r="DJ11" i="4"/>
  <c r="DI10" i="4"/>
  <c r="DI11" i="4"/>
  <c r="AQ3" i="3" s="1"/>
  <c r="DI12" i="4"/>
  <c r="AQ4" i="3" s="1"/>
  <c r="DI13" i="4"/>
  <c r="DI14" i="4"/>
  <c r="DI15" i="4"/>
  <c r="DI16" i="4"/>
  <c r="DI17" i="4"/>
  <c r="DI18" i="4"/>
  <c r="DI19" i="4"/>
  <c r="DI20" i="4"/>
  <c r="DI21" i="4"/>
  <c r="DI22" i="4"/>
  <c r="DI23" i="4"/>
  <c r="DI24" i="4"/>
  <c r="DI25" i="4"/>
  <c r="DI26" i="4"/>
  <c r="DI27" i="4"/>
  <c r="DI28" i="4"/>
  <c r="DI29" i="4"/>
  <c r="DI30" i="4"/>
  <c r="DI31" i="4"/>
  <c r="DI32" i="4"/>
  <c r="DI33" i="4"/>
  <c r="DI34" i="4"/>
  <c r="DI35" i="4"/>
  <c r="DI36" i="4"/>
  <c r="DI37" i="4"/>
  <c r="DI38" i="4"/>
  <c r="DI39" i="4"/>
  <c r="DI40" i="4"/>
  <c r="DI9" i="4"/>
  <c r="DH12" i="4"/>
  <c r="DH13" i="4"/>
  <c r="DH14" i="4"/>
  <c r="DH15" i="4"/>
  <c r="DH16" i="4"/>
  <c r="DH17" i="4"/>
  <c r="DH18" i="4"/>
  <c r="DH19" i="4"/>
  <c r="DH20" i="4"/>
  <c r="DH21" i="4"/>
  <c r="DH22" i="4"/>
  <c r="DH23" i="4"/>
  <c r="DH24" i="4"/>
  <c r="DH25" i="4"/>
  <c r="DH26" i="4"/>
  <c r="DH27" i="4"/>
  <c r="DH28" i="4"/>
  <c r="DH29" i="4"/>
  <c r="DH30" i="4"/>
  <c r="DH31" i="4"/>
  <c r="DH32" i="4"/>
  <c r="DH33" i="4"/>
  <c r="DH34" i="4"/>
  <c r="DH35" i="4"/>
  <c r="DH36" i="4"/>
  <c r="DH37" i="4"/>
  <c r="DH38" i="4"/>
  <c r="DH39" i="4"/>
  <c r="DH40" i="4"/>
  <c r="DH11" i="4"/>
  <c r="DG10" i="4"/>
  <c r="DG11" i="4"/>
  <c r="DG12" i="4"/>
  <c r="AN4" i="3" s="1"/>
  <c r="DG13" i="4"/>
  <c r="DG14" i="4"/>
  <c r="DG15" i="4"/>
  <c r="DG16" i="4"/>
  <c r="DG17" i="4"/>
  <c r="DG18" i="4"/>
  <c r="DG19" i="4"/>
  <c r="DG20" i="4"/>
  <c r="DG21" i="4"/>
  <c r="DG22" i="4"/>
  <c r="DG23" i="4"/>
  <c r="DG24" i="4"/>
  <c r="DG25" i="4"/>
  <c r="DG26" i="4"/>
  <c r="DG27" i="4"/>
  <c r="DG28" i="4"/>
  <c r="DG29" i="4"/>
  <c r="DG30" i="4"/>
  <c r="DG31" i="4"/>
  <c r="DG32" i="4"/>
  <c r="DG33" i="4"/>
  <c r="DG34" i="4"/>
  <c r="DG35" i="4"/>
  <c r="DG36" i="4"/>
  <c r="DG37" i="4"/>
  <c r="DG38" i="4"/>
  <c r="DG39" i="4"/>
  <c r="DG40" i="4"/>
  <c r="DG9" i="4"/>
  <c r="DF12" i="4"/>
  <c r="DF13" i="4"/>
  <c r="DF14" i="4"/>
  <c r="DF15" i="4"/>
  <c r="DF16" i="4"/>
  <c r="DF17" i="4"/>
  <c r="DF18" i="4"/>
  <c r="DF19" i="4"/>
  <c r="DF20" i="4"/>
  <c r="DF21" i="4"/>
  <c r="DF22" i="4"/>
  <c r="DF23" i="4"/>
  <c r="DF24" i="4"/>
  <c r="DF25" i="4"/>
  <c r="DF26" i="4"/>
  <c r="DF27" i="4"/>
  <c r="DF28" i="4"/>
  <c r="DF29" i="4"/>
  <c r="DF30" i="4"/>
  <c r="DF31" i="4"/>
  <c r="DF32" i="4"/>
  <c r="DF33" i="4"/>
  <c r="DF34" i="4"/>
  <c r="DF35" i="4"/>
  <c r="DF36" i="4"/>
  <c r="DF37" i="4"/>
  <c r="DF38" i="4"/>
  <c r="DF39" i="4"/>
  <c r="DF40" i="4"/>
  <c r="DF11" i="4"/>
  <c r="DE10" i="4"/>
  <c r="DE11" i="4"/>
  <c r="DE12" i="4"/>
  <c r="AO4" i="3" s="1"/>
  <c r="DE13" i="4"/>
  <c r="DE14" i="4"/>
  <c r="DE15" i="4"/>
  <c r="DE16" i="4"/>
  <c r="DE17" i="4"/>
  <c r="DE18" i="4"/>
  <c r="DE19" i="4"/>
  <c r="DE20" i="4"/>
  <c r="DE21" i="4"/>
  <c r="DE22" i="4"/>
  <c r="DE23" i="4"/>
  <c r="DE24" i="4"/>
  <c r="DE25" i="4"/>
  <c r="DE26" i="4"/>
  <c r="DE27" i="4"/>
  <c r="DE28" i="4"/>
  <c r="DE29" i="4"/>
  <c r="DE30" i="4"/>
  <c r="DE31" i="4"/>
  <c r="DE32" i="4"/>
  <c r="DE33" i="4"/>
  <c r="DE34" i="4"/>
  <c r="DE35" i="4"/>
  <c r="DE36" i="4"/>
  <c r="DE37" i="4"/>
  <c r="DE38" i="4"/>
  <c r="DE39" i="4"/>
  <c r="DE40" i="4"/>
  <c r="DE9" i="4"/>
  <c r="DD12" i="4"/>
  <c r="DD13" i="4"/>
  <c r="DD14" i="4"/>
  <c r="DD15" i="4"/>
  <c r="DD16" i="4"/>
  <c r="DD17" i="4"/>
  <c r="DD18" i="4"/>
  <c r="DD19" i="4"/>
  <c r="DD20" i="4"/>
  <c r="DD21" i="4"/>
  <c r="DD22" i="4"/>
  <c r="DD23" i="4"/>
  <c r="DD24" i="4"/>
  <c r="DD25" i="4"/>
  <c r="DD26" i="4"/>
  <c r="DD27" i="4"/>
  <c r="DD28" i="4"/>
  <c r="DD29" i="4"/>
  <c r="DD30" i="4"/>
  <c r="DD31" i="4"/>
  <c r="DD32" i="4"/>
  <c r="DD33" i="4"/>
  <c r="DD34" i="4"/>
  <c r="DD35" i="4"/>
  <c r="DD36" i="4"/>
  <c r="DD37" i="4"/>
  <c r="DD38" i="4"/>
  <c r="DD39" i="4"/>
  <c r="DD40" i="4"/>
  <c r="DD11" i="4"/>
  <c r="DC10" i="4"/>
  <c r="DC11" i="4"/>
  <c r="DC12" i="4"/>
  <c r="AL4" i="3" s="1"/>
  <c r="DC13" i="4"/>
  <c r="DC14" i="4"/>
  <c r="DC15" i="4"/>
  <c r="DC16" i="4"/>
  <c r="DC17" i="4"/>
  <c r="DC18" i="4"/>
  <c r="DC19" i="4"/>
  <c r="DC20" i="4"/>
  <c r="DC21" i="4"/>
  <c r="DC22" i="4"/>
  <c r="DC23" i="4"/>
  <c r="DC24" i="4"/>
  <c r="DC25" i="4"/>
  <c r="DC26" i="4"/>
  <c r="DC27" i="4"/>
  <c r="DC28" i="4"/>
  <c r="DC29" i="4"/>
  <c r="DC30" i="4"/>
  <c r="DC31" i="4"/>
  <c r="DC32" i="4"/>
  <c r="DC33" i="4"/>
  <c r="DC34" i="4"/>
  <c r="DC35" i="4"/>
  <c r="DC36" i="4"/>
  <c r="DC37" i="4"/>
  <c r="DC38" i="4"/>
  <c r="DC39" i="4"/>
  <c r="DC40" i="4"/>
  <c r="DC9" i="4"/>
  <c r="DB12" i="4"/>
  <c r="DB13" i="4"/>
  <c r="DB14" i="4"/>
  <c r="DB15" i="4"/>
  <c r="DB16" i="4"/>
  <c r="DB17" i="4"/>
  <c r="DB18" i="4"/>
  <c r="DB19" i="4"/>
  <c r="DB20" i="4"/>
  <c r="DB21" i="4"/>
  <c r="DB22" i="4"/>
  <c r="DB23" i="4"/>
  <c r="DB24" i="4"/>
  <c r="DB25" i="4"/>
  <c r="DB26" i="4"/>
  <c r="DB27" i="4"/>
  <c r="DB28" i="4"/>
  <c r="DB29" i="4"/>
  <c r="DB30" i="4"/>
  <c r="DB31" i="4"/>
  <c r="DB32" i="4"/>
  <c r="DB33" i="4"/>
  <c r="DB34" i="4"/>
  <c r="DB35" i="4"/>
  <c r="DB36" i="4"/>
  <c r="DB37" i="4"/>
  <c r="DB38" i="4"/>
  <c r="DB39" i="4"/>
  <c r="DB40" i="4"/>
  <c r="DB11" i="4"/>
  <c r="DA10" i="4"/>
  <c r="DA11" i="4"/>
  <c r="DA12" i="4"/>
  <c r="AM4" i="3" s="1"/>
  <c r="DA13" i="4"/>
  <c r="DA14" i="4"/>
  <c r="DA15" i="4"/>
  <c r="DA16" i="4"/>
  <c r="DA17" i="4"/>
  <c r="DA18" i="4"/>
  <c r="DA19" i="4"/>
  <c r="DA20" i="4"/>
  <c r="DA21" i="4"/>
  <c r="DA22" i="4"/>
  <c r="DA23" i="4"/>
  <c r="DA24" i="4"/>
  <c r="DA25" i="4"/>
  <c r="DA26" i="4"/>
  <c r="DA27" i="4"/>
  <c r="DA28" i="4"/>
  <c r="DA29" i="4"/>
  <c r="DA30" i="4"/>
  <c r="DA31" i="4"/>
  <c r="DA32" i="4"/>
  <c r="DA33" i="4"/>
  <c r="DA34" i="4"/>
  <c r="DA35" i="4"/>
  <c r="DA36" i="4"/>
  <c r="DA37" i="4"/>
  <c r="DA38" i="4"/>
  <c r="DA39" i="4"/>
  <c r="DA40" i="4"/>
  <c r="DA9" i="4"/>
  <c r="CZ12" i="4"/>
  <c r="CZ13" i="4"/>
  <c r="CZ14" i="4"/>
  <c r="CZ15" i="4"/>
  <c r="CZ16" i="4"/>
  <c r="CZ17" i="4"/>
  <c r="CZ18" i="4"/>
  <c r="CZ19" i="4"/>
  <c r="CZ20" i="4"/>
  <c r="CZ21" i="4"/>
  <c r="CZ22" i="4"/>
  <c r="CZ23" i="4"/>
  <c r="CZ24" i="4"/>
  <c r="CZ25" i="4"/>
  <c r="CZ26" i="4"/>
  <c r="CZ27" i="4"/>
  <c r="CZ28" i="4"/>
  <c r="CZ29" i="4"/>
  <c r="CZ30" i="4"/>
  <c r="CZ31" i="4"/>
  <c r="CZ32" i="4"/>
  <c r="CZ33" i="4"/>
  <c r="CZ34" i="4"/>
  <c r="CZ35" i="4"/>
  <c r="CZ36" i="4"/>
  <c r="CZ37" i="4"/>
  <c r="CZ38" i="4"/>
  <c r="CZ39" i="4"/>
  <c r="CZ40" i="4"/>
  <c r="CZ11" i="4"/>
  <c r="CY10" i="4"/>
  <c r="CY11" i="4"/>
  <c r="CY12" i="4"/>
  <c r="AJ4" i="3" s="1"/>
  <c r="CY13" i="4"/>
  <c r="CY14" i="4"/>
  <c r="CY15" i="4"/>
  <c r="CY16" i="4"/>
  <c r="CY17" i="4"/>
  <c r="CY18" i="4"/>
  <c r="CY19" i="4"/>
  <c r="CY20" i="4"/>
  <c r="CY21" i="4"/>
  <c r="CY22" i="4"/>
  <c r="CY23" i="4"/>
  <c r="CY24" i="4"/>
  <c r="CY25" i="4"/>
  <c r="CY26" i="4"/>
  <c r="CY27" i="4"/>
  <c r="CY28" i="4"/>
  <c r="CY29" i="4"/>
  <c r="CY30" i="4"/>
  <c r="CY31" i="4"/>
  <c r="CY32" i="4"/>
  <c r="CY33" i="4"/>
  <c r="CY34" i="4"/>
  <c r="CY35" i="4"/>
  <c r="CY36" i="4"/>
  <c r="CY37" i="4"/>
  <c r="CY38" i="4"/>
  <c r="CY39" i="4"/>
  <c r="CY40" i="4"/>
  <c r="CY9" i="4"/>
  <c r="CX12" i="4"/>
  <c r="CX13" i="4"/>
  <c r="CX14" i="4"/>
  <c r="CX15" i="4"/>
  <c r="CX16" i="4"/>
  <c r="CX17" i="4"/>
  <c r="CX18" i="4"/>
  <c r="CX19" i="4"/>
  <c r="CX20" i="4"/>
  <c r="CX21" i="4"/>
  <c r="CX22" i="4"/>
  <c r="CX23" i="4"/>
  <c r="CX24" i="4"/>
  <c r="CX25" i="4"/>
  <c r="CX26" i="4"/>
  <c r="CX27" i="4"/>
  <c r="CX28" i="4"/>
  <c r="CX29" i="4"/>
  <c r="CX30" i="4"/>
  <c r="CX31" i="4"/>
  <c r="CX32" i="4"/>
  <c r="CX33" i="4"/>
  <c r="CX34" i="4"/>
  <c r="CX35" i="4"/>
  <c r="CX36" i="4"/>
  <c r="CX37" i="4"/>
  <c r="CX38" i="4"/>
  <c r="CX39" i="4"/>
  <c r="CX40" i="4"/>
  <c r="CX11" i="4"/>
  <c r="CW10" i="4"/>
  <c r="CW11" i="4"/>
  <c r="CW12" i="4"/>
  <c r="AK4" i="3" s="1"/>
  <c r="CW13" i="4"/>
  <c r="CW14" i="4"/>
  <c r="CW15" i="4"/>
  <c r="CW16" i="4"/>
  <c r="CW17" i="4"/>
  <c r="CW18" i="4"/>
  <c r="CW19" i="4"/>
  <c r="CW20" i="4"/>
  <c r="CW21" i="4"/>
  <c r="CW22" i="4"/>
  <c r="CW23" i="4"/>
  <c r="CW24" i="4"/>
  <c r="CW25" i="4"/>
  <c r="CW26" i="4"/>
  <c r="CW27" i="4"/>
  <c r="CW28" i="4"/>
  <c r="CW29" i="4"/>
  <c r="CW30" i="4"/>
  <c r="CW31" i="4"/>
  <c r="CW32" i="4"/>
  <c r="CW33" i="4"/>
  <c r="CW34" i="4"/>
  <c r="CW35" i="4"/>
  <c r="CW36" i="4"/>
  <c r="CW37" i="4"/>
  <c r="CW38" i="4"/>
  <c r="CW39" i="4"/>
  <c r="CW40" i="4"/>
  <c r="CW9" i="4"/>
  <c r="CU12" i="4"/>
  <c r="CU13" i="4"/>
  <c r="CU14" i="4"/>
  <c r="CU15" i="4"/>
  <c r="CU16" i="4"/>
  <c r="CU17" i="4"/>
  <c r="CU18" i="4"/>
  <c r="CU19" i="4"/>
  <c r="CU20" i="4"/>
  <c r="CU21" i="4"/>
  <c r="CU22" i="4"/>
  <c r="CU23" i="4"/>
  <c r="CU24" i="4"/>
  <c r="CU25" i="4"/>
  <c r="CU26" i="4"/>
  <c r="CU27" i="4"/>
  <c r="CU28" i="4"/>
  <c r="CU29" i="4"/>
  <c r="CU30" i="4"/>
  <c r="CU31" i="4"/>
  <c r="CU32" i="4"/>
  <c r="CU33" i="4"/>
  <c r="CU34" i="4"/>
  <c r="CU35" i="4"/>
  <c r="CU36" i="4"/>
  <c r="CU37" i="4"/>
  <c r="CU38" i="4"/>
  <c r="CU39" i="4"/>
  <c r="CU40" i="4"/>
  <c r="CU11" i="4"/>
  <c r="CT10" i="4"/>
  <c r="CT11" i="4"/>
  <c r="CT12" i="4"/>
  <c r="AC4" i="3" s="1"/>
  <c r="CT13" i="4"/>
  <c r="CT14" i="4"/>
  <c r="CT15" i="4"/>
  <c r="CT16" i="4"/>
  <c r="CT17" i="4"/>
  <c r="CT18" i="4"/>
  <c r="CT19" i="4"/>
  <c r="CT20" i="4"/>
  <c r="CT21" i="4"/>
  <c r="CT22" i="4"/>
  <c r="CT23" i="4"/>
  <c r="CT24" i="4"/>
  <c r="CT25" i="4"/>
  <c r="CT26" i="4"/>
  <c r="CT27" i="4"/>
  <c r="CT28" i="4"/>
  <c r="CT29" i="4"/>
  <c r="CT30" i="4"/>
  <c r="CT31" i="4"/>
  <c r="CT32" i="4"/>
  <c r="CT33" i="4"/>
  <c r="CT34" i="4"/>
  <c r="CT35" i="4"/>
  <c r="CT36" i="4"/>
  <c r="CT37" i="4"/>
  <c r="CT38" i="4"/>
  <c r="CT39" i="4"/>
  <c r="CT40" i="4"/>
  <c r="CT9" i="4"/>
  <c r="CS12" i="4"/>
  <c r="CS13" i="4"/>
  <c r="CS14" i="4"/>
  <c r="CS15" i="4"/>
  <c r="CS16" i="4"/>
  <c r="CS17" i="4"/>
  <c r="CS18" i="4"/>
  <c r="CS19" i="4"/>
  <c r="CS20" i="4"/>
  <c r="CS21" i="4"/>
  <c r="CS22" i="4"/>
  <c r="CS23" i="4"/>
  <c r="CS24" i="4"/>
  <c r="CS25" i="4"/>
  <c r="CS26" i="4"/>
  <c r="CS27" i="4"/>
  <c r="CS28" i="4"/>
  <c r="CS29" i="4"/>
  <c r="CS30" i="4"/>
  <c r="CS31" i="4"/>
  <c r="CS32" i="4"/>
  <c r="CS33" i="4"/>
  <c r="CS34" i="4"/>
  <c r="CS35" i="4"/>
  <c r="CS36" i="4"/>
  <c r="CS37" i="4"/>
  <c r="CS38" i="4"/>
  <c r="CS39" i="4"/>
  <c r="CS40" i="4"/>
  <c r="CS11" i="4"/>
  <c r="CS9" i="4"/>
  <c r="CR12" i="4"/>
  <c r="CR13" i="4"/>
  <c r="CR14" i="4"/>
  <c r="CR15" i="4"/>
  <c r="CR16" i="4"/>
  <c r="CR17" i="4"/>
  <c r="CR18" i="4"/>
  <c r="CR19" i="4"/>
  <c r="CR20" i="4"/>
  <c r="CR21" i="4"/>
  <c r="CR22" i="4"/>
  <c r="CR23" i="4"/>
  <c r="CR24" i="4"/>
  <c r="CR25" i="4"/>
  <c r="CR26" i="4"/>
  <c r="CR27" i="4"/>
  <c r="CR28" i="4"/>
  <c r="CR29" i="4"/>
  <c r="CR30" i="4"/>
  <c r="CR31" i="4"/>
  <c r="CR32" i="4"/>
  <c r="CR33" i="4"/>
  <c r="CR34" i="4"/>
  <c r="CR35" i="4"/>
  <c r="CR36" i="4"/>
  <c r="CR37" i="4"/>
  <c r="CR38" i="4"/>
  <c r="CR39" i="4"/>
  <c r="CR40" i="4"/>
  <c r="CR11" i="4"/>
  <c r="CQ10" i="4"/>
  <c r="CQ11" i="4"/>
  <c r="CQ12" i="4"/>
  <c r="CQ13" i="4"/>
  <c r="CQ14" i="4"/>
  <c r="CQ15" i="4"/>
  <c r="CQ16" i="4"/>
  <c r="CQ17" i="4"/>
  <c r="CQ18" i="4"/>
  <c r="CQ19" i="4"/>
  <c r="CQ20" i="4"/>
  <c r="CQ21" i="4"/>
  <c r="CQ22" i="4"/>
  <c r="CQ23" i="4"/>
  <c r="CQ24" i="4"/>
  <c r="CQ25" i="4"/>
  <c r="CQ26" i="4"/>
  <c r="CQ27" i="4"/>
  <c r="CQ28" i="4"/>
  <c r="CQ29" i="4"/>
  <c r="CQ30" i="4"/>
  <c r="CQ31" i="4"/>
  <c r="CQ32" i="4"/>
  <c r="CQ33" i="4"/>
  <c r="CQ34" i="4"/>
  <c r="CQ35" i="4"/>
  <c r="CQ36" i="4"/>
  <c r="CQ37" i="4"/>
  <c r="CQ38" i="4"/>
  <c r="CQ39" i="4"/>
  <c r="CQ40" i="4"/>
  <c r="CQ9" i="4"/>
  <c r="CP12" i="4"/>
  <c r="CP13" i="4"/>
  <c r="CP14" i="4"/>
  <c r="CP15" i="4"/>
  <c r="CP16" i="4"/>
  <c r="CP17" i="4"/>
  <c r="CP18" i="4"/>
  <c r="CP19" i="4"/>
  <c r="CP20" i="4"/>
  <c r="CP21" i="4"/>
  <c r="CP22" i="4"/>
  <c r="CP23" i="4"/>
  <c r="CP24" i="4"/>
  <c r="CP25" i="4"/>
  <c r="CP26" i="4"/>
  <c r="CP27" i="4"/>
  <c r="CP28" i="4"/>
  <c r="CP29" i="4"/>
  <c r="CP30" i="4"/>
  <c r="CP31" i="4"/>
  <c r="CP32" i="4"/>
  <c r="CP33" i="4"/>
  <c r="CP34" i="4"/>
  <c r="CP35" i="4"/>
  <c r="CP36" i="4"/>
  <c r="CP37" i="4"/>
  <c r="CP38" i="4"/>
  <c r="CP39" i="4"/>
  <c r="CP40" i="4"/>
  <c r="CP11" i="4"/>
  <c r="CP9" i="4"/>
  <c r="CO12" i="4"/>
  <c r="CO13" i="4"/>
  <c r="CO14" i="4"/>
  <c r="CO15" i="4"/>
  <c r="CO16" i="4"/>
  <c r="CO17" i="4"/>
  <c r="CO18" i="4"/>
  <c r="CO19" i="4"/>
  <c r="CO20" i="4"/>
  <c r="CO21" i="4"/>
  <c r="CO22" i="4"/>
  <c r="CO23" i="4"/>
  <c r="CO24" i="4"/>
  <c r="CO25" i="4"/>
  <c r="CO26" i="4"/>
  <c r="CO27" i="4"/>
  <c r="CO28" i="4"/>
  <c r="CO29" i="4"/>
  <c r="CO30" i="4"/>
  <c r="CO31" i="4"/>
  <c r="CO32" i="4"/>
  <c r="CO33" i="4"/>
  <c r="CO34" i="4"/>
  <c r="CO35" i="4"/>
  <c r="CO36" i="4"/>
  <c r="CO37" i="4"/>
  <c r="CO38" i="4"/>
  <c r="CO39" i="4"/>
  <c r="CO40" i="4"/>
  <c r="CO11" i="4"/>
  <c r="CN10" i="4"/>
  <c r="CN11" i="4"/>
  <c r="CN12" i="4"/>
  <c r="AA4" i="3" s="1"/>
  <c r="CN13" i="4"/>
  <c r="CN14" i="4"/>
  <c r="CN15" i="4"/>
  <c r="CN16" i="4"/>
  <c r="CN17" i="4"/>
  <c r="CN18" i="4"/>
  <c r="CN19" i="4"/>
  <c r="CN20" i="4"/>
  <c r="CN21" i="4"/>
  <c r="CN22" i="4"/>
  <c r="CN23" i="4"/>
  <c r="CN24" i="4"/>
  <c r="CN25" i="4"/>
  <c r="CN26" i="4"/>
  <c r="CN27" i="4"/>
  <c r="CN28" i="4"/>
  <c r="CN29" i="4"/>
  <c r="CN30" i="4"/>
  <c r="CN31" i="4"/>
  <c r="CN32" i="4"/>
  <c r="CN33" i="4"/>
  <c r="CN34" i="4"/>
  <c r="CN35" i="4"/>
  <c r="CN36" i="4"/>
  <c r="CN37" i="4"/>
  <c r="CN38" i="4"/>
  <c r="CN39" i="4"/>
  <c r="CN40" i="4"/>
  <c r="CN9" i="4"/>
  <c r="CM12" i="4"/>
  <c r="CM13" i="4"/>
  <c r="CM14" i="4"/>
  <c r="CM15" i="4"/>
  <c r="CM16" i="4"/>
  <c r="CM17" i="4"/>
  <c r="CM18" i="4"/>
  <c r="CM19" i="4"/>
  <c r="CM20" i="4"/>
  <c r="CM21" i="4"/>
  <c r="CM22" i="4"/>
  <c r="CM23" i="4"/>
  <c r="CM24" i="4"/>
  <c r="CM25" i="4"/>
  <c r="CM26" i="4"/>
  <c r="CM27" i="4"/>
  <c r="CM28" i="4"/>
  <c r="CM29" i="4"/>
  <c r="CM30" i="4"/>
  <c r="CM31" i="4"/>
  <c r="CM32" i="4"/>
  <c r="CM33" i="4"/>
  <c r="CM34" i="4"/>
  <c r="CM35" i="4"/>
  <c r="CM36" i="4"/>
  <c r="CM37" i="4"/>
  <c r="CM38" i="4"/>
  <c r="CM39" i="4"/>
  <c r="CM40" i="4"/>
  <c r="CM11" i="4"/>
  <c r="CM9" i="4"/>
  <c r="CL12" i="4"/>
  <c r="CL13" i="4"/>
  <c r="CL14" i="4"/>
  <c r="CL15" i="4"/>
  <c r="CL16" i="4"/>
  <c r="CL17" i="4"/>
  <c r="CL18" i="4"/>
  <c r="CL19" i="4"/>
  <c r="CL20" i="4"/>
  <c r="CL21" i="4"/>
  <c r="CL22" i="4"/>
  <c r="CL23" i="4"/>
  <c r="CL24" i="4"/>
  <c r="CL25" i="4"/>
  <c r="CL26" i="4"/>
  <c r="CL27" i="4"/>
  <c r="CL28" i="4"/>
  <c r="CL29" i="4"/>
  <c r="CL30" i="4"/>
  <c r="CL31" i="4"/>
  <c r="CL32" i="4"/>
  <c r="CL33" i="4"/>
  <c r="CL34" i="4"/>
  <c r="CL35" i="4"/>
  <c r="CL36" i="4"/>
  <c r="CL37" i="4"/>
  <c r="CL38" i="4"/>
  <c r="CL39" i="4"/>
  <c r="CL40" i="4"/>
  <c r="CL11" i="4"/>
  <c r="CK10" i="4"/>
  <c r="CK11" i="4"/>
  <c r="CK12" i="4"/>
  <c r="CK13" i="4"/>
  <c r="CK14" i="4"/>
  <c r="CK15" i="4"/>
  <c r="CK16" i="4"/>
  <c r="CK17" i="4"/>
  <c r="CK18" i="4"/>
  <c r="CK19" i="4"/>
  <c r="CK20" i="4"/>
  <c r="CK21" i="4"/>
  <c r="CK22" i="4"/>
  <c r="CK23" i="4"/>
  <c r="CK24" i="4"/>
  <c r="CK25" i="4"/>
  <c r="CK26" i="4"/>
  <c r="CK27" i="4"/>
  <c r="CK28" i="4"/>
  <c r="CK29" i="4"/>
  <c r="CK30" i="4"/>
  <c r="CK31" i="4"/>
  <c r="CK32" i="4"/>
  <c r="CK33" i="4"/>
  <c r="CK34" i="4"/>
  <c r="CK35" i="4"/>
  <c r="CK36" i="4"/>
  <c r="CK37" i="4"/>
  <c r="CK38" i="4"/>
  <c r="CK39" i="4"/>
  <c r="CK40" i="4"/>
  <c r="CK9" i="4"/>
  <c r="CJ12" i="4"/>
  <c r="CJ13" i="4"/>
  <c r="CJ14" i="4"/>
  <c r="CJ15" i="4"/>
  <c r="CJ16" i="4"/>
  <c r="CJ17" i="4"/>
  <c r="CJ18" i="4"/>
  <c r="CJ19" i="4"/>
  <c r="CJ20" i="4"/>
  <c r="CJ21" i="4"/>
  <c r="CJ22" i="4"/>
  <c r="CJ23" i="4"/>
  <c r="CJ24" i="4"/>
  <c r="CJ25" i="4"/>
  <c r="CJ26" i="4"/>
  <c r="CJ27" i="4"/>
  <c r="CJ28" i="4"/>
  <c r="CJ29" i="4"/>
  <c r="CJ30" i="4"/>
  <c r="CJ31" i="4"/>
  <c r="CJ32" i="4"/>
  <c r="CJ33" i="4"/>
  <c r="CJ34" i="4"/>
  <c r="CJ35" i="4"/>
  <c r="CJ36" i="4"/>
  <c r="CJ37" i="4"/>
  <c r="CJ38" i="4"/>
  <c r="CJ39" i="4"/>
  <c r="CJ40" i="4"/>
  <c r="CJ11" i="4"/>
  <c r="CI10" i="4"/>
  <c r="CI11" i="4"/>
  <c r="AI3" i="3" s="1"/>
  <c r="CI12" i="4"/>
  <c r="CI13" i="4"/>
  <c r="CI14" i="4"/>
  <c r="CI15" i="4"/>
  <c r="CI16" i="4"/>
  <c r="CI17" i="4"/>
  <c r="CI18" i="4"/>
  <c r="CI19" i="4"/>
  <c r="CI20" i="4"/>
  <c r="CI21" i="4"/>
  <c r="CI22" i="4"/>
  <c r="CI23" i="4"/>
  <c r="CI24" i="4"/>
  <c r="CI25" i="4"/>
  <c r="CI26" i="4"/>
  <c r="CI27" i="4"/>
  <c r="CI28" i="4"/>
  <c r="CI29" i="4"/>
  <c r="CI30" i="4"/>
  <c r="CI31" i="4"/>
  <c r="CI32" i="4"/>
  <c r="CI33" i="4"/>
  <c r="CI34" i="4"/>
  <c r="CI35" i="4"/>
  <c r="CI36" i="4"/>
  <c r="CI37" i="4"/>
  <c r="CI38" i="4"/>
  <c r="CI39" i="4"/>
  <c r="CI40" i="4"/>
  <c r="CI9" i="4"/>
  <c r="CH12" i="4"/>
  <c r="CH13" i="4"/>
  <c r="CH14" i="4"/>
  <c r="CH15" i="4"/>
  <c r="CH16" i="4"/>
  <c r="CH17" i="4"/>
  <c r="CH18" i="4"/>
  <c r="CH19" i="4"/>
  <c r="CH20" i="4"/>
  <c r="CH21" i="4"/>
  <c r="CH22" i="4"/>
  <c r="CH23" i="4"/>
  <c r="CH24" i="4"/>
  <c r="CH25" i="4"/>
  <c r="CH26" i="4"/>
  <c r="CH27" i="4"/>
  <c r="CH28" i="4"/>
  <c r="CH29" i="4"/>
  <c r="CH30" i="4"/>
  <c r="CH31" i="4"/>
  <c r="CH32" i="4"/>
  <c r="CH33" i="4"/>
  <c r="CH34" i="4"/>
  <c r="CH35" i="4"/>
  <c r="CH36" i="4"/>
  <c r="CH37" i="4"/>
  <c r="CH38" i="4"/>
  <c r="CH39" i="4"/>
  <c r="CH40" i="4"/>
  <c r="CH11" i="4"/>
  <c r="CG10" i="4"/>
  <c r="CG11" i="4"/>
  <c r="AH3" i="3" s="1"/>
  <c r="CG12" i="4"/>
  <c r="CG13" i="4"/>
  <c r="CG14" i="4"/>
  <c r="CG15" i="4"/>
  <c r="CG16" i="4"/>
  <c r="CG17" i="4"/>
  <c r="CG18" i="4"/>
  <c r="CG19" i="4"/>
  <c r="CG20" i="4"/>
  <c r="CG21" i="4"/>
  <c r="CG22" i="4"/>
  <c r="CG23" i="4"/>
  <c r="CG24" i="4"/>
  <c r="CG25" i="4"/>
  <c r="CG26" i="4"/>
  <c r="CG27" i="4"/>
  <c r="CG28" i="4"/>
  <c r="CG29" i="4"/>
  <c r="CG30" i="4"/>
  <c r="CG31" i="4"/>
  <c r="CG32" i="4"/>
  <c r="CG33" i="4"/>
  <c r="CG34" i="4"/>
  <c r="CG35" i="4"/>
  <c r="CG36" i="4"/>
  <c r="CG37" i="4"/>
  <c r="CG38" i="4"/>
  <c r="CG39" i="4"/>
  <c r="CG40" i="4"/>
  <c r="CG9" i="4"/>
  <c r="CF12" i="4"/>
  <c r="CF13" i="4"/>
  <c r="CF14" i="4"/>
  <c r="CF15" i="4"/>
  <c r="CF16" i="4"/>
  <c r="CF17" i="4"/>
  <c r="CF18" i="4"/>
  <c r="CF19" i="4"/>
  <c r="CF20" i="4"/>
  <c r="CF21" i="4"/>
  <c r="CF22" i="4"/>
  <c r="CF23" i="4"/>
  <c r="CF24" i="4"/>
  <c r="CF25" i="4"/>
  <c r="CF26" i="4"/>
  <c r="CF27" i="4"/>
  <c r="CF28" i="4"/>
  <c r="CF29" i="4"/>
  <c r="CF30" i="4"/>
  <c r="CF31" i="4"/>
  <c r="CF32" i="4"/>
  <c r="CF33" i="4"/>
  <c r="CF34" i="4"/>
  <c r="CF35" i="4"/>
  <c r="CF36" i="4"/>
  <c r="CF37" i="4"/>
  <c r="CF38" i="4"/>
  <c r="CF39" i="4"/>
  <c r="CF40" i="4"/>
  <c r="CF11" i="4"/>
  <c r="CE10" i="4"/>
  <c r="CE11" i="4"/>
  <c r="CE12" i="4"/>
  <c r="CE13" i="4"/>
  <c r="CE14" i="4"/>
  <c r="CE15" i="4"/>
  <c r="CE16" i="4"/>
  <c r="CE17" i="4"/>
  <c r="CE18" i="4"/>
  <c r="CE19" i="4"/>
  <c r="CE20" i="4"/>
  <c r="CE21" i="4"/>
  <c r="CE22" i="4"/>
  <c r="CE23" i="4"/>
  <c r="CE24" i="4"/>
  <c r="CE25" i="4"/>
  <c r="CE26" i="4"/>
  <c r="CE27" i="4"/>
  <c r="CE28" i="4"/>
  <c r="CE29" i="4"/>
  <c r="CE30" i="4"/>
  <c r="CE31" i="4"/>
  <c r="CE32" i="4"/>
  <c r="CE33" i="4"/>
  <c r="CE34" i="4"/>
  <c r="CE35" i="4"/>
  <c r="CE36" i="4"/>
  <c r="CE37" i="4"/>
  <c r="CE38" i="4"/>
  <c r="CE39" i="4"/>
  <c r="CE40" i="4"/>
  <c r="CE9" i="4"/>
  <c r="CD12" i="4"/>
  <c r="CD13" i="4"/>
  <c r="CD14" i="4"/>
  <c r="CD15" i="4"/>
  <c r="CD16" i="4"/>
  <c r="CD17" i="4"/>
  <c r="CD18" i="4"/>
  <c r="CD19" i="4"/>
  <c r="CD20" i="4"/>
  <c r="CD21" i="4"/>
  <c r="CD22" i="4"/>
  <c r="CD23" i="4"/>
  <c r="CD24" i="4"/>
  <c r="CD25" i="4"/>
  <c r="CD26" i="4"/>
  <c r="CD27" i="4"/>
  <c r="CD28" i="4"/>
  <c r="CD29" i="4"/>
  <c r="CD30" i="4"/>
  <c r="CD31" i="4"/>
  <c r="CD32" i="4"/>
  <c r="CD33" i="4"/>
  <c r="CD34" i="4"/>
  <c r="CD35" i="4"/>
  <c r="CD36" i="4"/>
  <c r="CD37" i="4"/>
  <c r="CD38" i="4"/>
  <c r="CD39" i="4"/>
  <c r="CD40" i="4"/>
  <c r="CD11" i="4"/>
  <c r="CC10" i="4"/>
  <c r="CC11" i="4"/>
  <c r="AF3" i="3" s="1"/>
  <c r="CC12" i="4"/>
  <c r="CC13" i="4"/>
  <c r="CC14" i="4"/>
  <c r="CC15" i="4"/>
  <c r="CC16" i="4"/>
  <c r="CC17" i="4"/>
  <c r="CC18" i="4"/>
  <c r="CC19" i="4"/>
  <c r="CC20" i="4"/>
  <c r="CC21" i="4"/>
  <c r="CC22" i="4"/>
  <c r="CC23" i="4"/>
  <c r="CC24" i="4"/>
  <c r="CC25" i="4"/>
  <c r="CC26" i="4"/>
  <c r="CC27" i="4"/>
  <c r="CC28" i="4"/>
  <c r="CC29" i="4"/>
  <c r="CC30" i="4"/>
  <c r="CC31" i="4"/>
  <c r="CC32" i="4"/>
  <c r="CC33" i="4"/>
  <c r="CC34" i="4"/>
  <c r="CC35" i="4"/>
  <c r="CC36" i="4"/>
  <c r="CC37" i="4"/>
  <c r="CC38" i="4"/>
  <c r="CC39" i="4"/>
  <c r="CC40" i="4"/>
  <c r="CC9" i="4"/>
  <c r="CB12" i="4"/>
  <c r="CB13" i="4"/>
  <c r="CB14" i="4"/>
  <c r="CB15" i="4"/>
  <c r="CB16" i="4"/>
  <c r="CB17" i="4"/>
  <c r="CB18" i="4"/>
  <c r="CB19" i="4"/>
  <c r="CB20" i="4"/>
  <c r="CB21" i="4"/>
  <c r="CB22" i="4"/>
  <c r="CB23" i="4"/>
  <c r="CB24" i="4"/>
  <c r="CB25" i="4"/>
  <c r="CB26" i="4"/>
  <c r="CB27" i="4"/>
  <c r="CB28" i="4"/>
  <c r="CB29" i="4"/>
  <c r="CB30" i="4"/>
  <c r="CB31" i="4"/>
  <c r="CB32" i="4"/>
  <c r="CB33" i="4"/>
  <c r="CB34" i="4"/>
  <c r="CB35" i="4"/>
  <c r="CB36" i="4"/>
  <c r="CB37" i="4"/>
  <c r="CB38" i="4"/>
  <c r="CB39" i="4"/>
  <c r="CB40" i="4"/>
  <c r="CB11" i="4"/>
  <c r="CA10" i="4"/>
  <c r="CA11" i="4"/>
  <c r="AE3" i="3" s="1"/>
  <c r="CA12" i="4"/>
  <c r="CA13" i="4"/>
  <c r="CA14" i="4"/>
  <c r="CA15" i="4"/>
  <c r="CA16" i="4"/>
  <c r="CA17" i="4"/>
  <c r="CA18" i="4"/>
  <c r="CA19" i="4"/>
  <c r="CA20" i="4"/>
  <c r="CA21" i="4"/>
  <c r="CA22" i="4"/>
  <c r="CA23" i="4"/>
  <c r="CA24" i="4"/>
  <c r="CA25" i="4"/>
  <c r="CA26" i="4"/>
  <c r="CA27" i="4"/>
  <c r="CA28" i="4"/>
  <c r="CA29" i="4"/>
  <c r="CA30" i="4"/>
  <c r="CA31" i="4"/>
  <c r="CA32" i="4"/>
  <c r="CA33" i="4"/>
  <c r="CA34" i="4"/>
  <c r="CA35" i="4"/>
  <c r="CA36" i="4"/>
  <c r="CA37" i="4"/>
  <c r="CA38" i="4"/>
  <c r="CA39" i="4"/>
  <c r="CA40" i="4"/>
  <c r="CA9" i="4"/>
  <c r="BZ12" i="4"/>
  <c r="BZ13" i="4"/>
  <c r="BZ14" i="4"/>
  <c r="BZ15" i="4"/>
  <c r="BZ16" i="4"/>
  <c r="BZ17" i="4"/>
  <c r="BZ18" i="4"/>
  <c r="BZ19" i="4"/>
  <c r="BZ20" i="4"/>
  <c r="BZ21" i="4"/>
  <c r="BZ22" i="4"/>
  <c r="BZ23" i="4"/>
  <c r="BZ24" i="4"/>
  <c r="BZ25" i="4"/>
  <c r="BZ26" i="4"/>
  <c r="BZ27" i="4"/>
  <c r="BZ28" i="4"/>
  <c r="BZ29" i="4"/>
  <c r="BZ30" i="4"/>
  <c r="BZ31" i="4"/>
  <c r="BZ32" i="4"/>
  <c r="BZ33" i="4"/>
  <c r="BZ34" i="4"/>
  <c r="BZ35" i="4"/>
  <c r="BZ36" i="4"/>
  <c r="BZ37" i="4"/>
  <c r="BZ38" i="4"/>
  <c r="BZ39" i="4"/>
  <c r="BZ40" i="4"/>
  <c r="BZ11" i="4"/>
  <c r="BY10" i="4"/>
  <c r="BY11" i="4"/>
  <c r="BY12" i="4"/>
  <c r="BY13" i="4"/>
  <c r="BY14" i="4"/>
  <c r="BY15" i="4"/>
  <c r="BY16" i="4"/>
  <c r="BY17" i="4"/>
  <c r="BY18" i="4"/>
  <c r="BY19" i="4"/>
  <c r="BY20" i="4"/>
  <c r="BY21" i="4"/>
  <c r="BY22" i="4"/>
  <c r="BY23" i="4"/>
  <c r="BY24" i="4"/>
  <c r="BY25" i="4"/>
  <c r="BY26" i="4"/>
  <c r="BY27" i="4"/>
  <c r="BY28" i="4"/>
  <c r="BY29" i="4"/>
  <c r="BY30" i="4"/>
  <c r="BY31" i="4"/>
  <c r="BY32" i="4"/>
  <c r="BY33" i="4"/>
  <c r="BY34" i="4"/>
  <c r="BY35" i="4"/>
  <c r="BY36" i="4"/>
  <c r="BY37" i="4"/>
  <c r="BY38" i="4"/>
  <c r="BY39" i="4"/>
  <c r="BY40" i="4"/>
  <c r="BY9" i="4"/>
  <c r="BX12" i="4"/>
  <c r="BX13" i="4"/>
  <c r="BX14" i="4"/>
  <c r="BX15" i="4"/>
  <c r="BX16" i="4"/>
  <c r="BX17" i="4"/>
  <c r="BX18" i="4"/>
  <c r="BX19" i="4"/>
  <c r="BX20" i="4"/>
  <c r="BX21" i="4"/>
  <c r="BX22" i="4"/>
  <c r="BX23" i="4"/>
  <c r="BX24" i="4"/>
  <c r="BX25" i="4"/>
  <c r="BX26" i="4"/>
  <c r="BX27" i="4"/>
  <c r="BX28" i="4"/>
  <c r="BX29" i="4"/>
  <c r="BX30" i="4"/>
  <c r="BX31" i="4"/>
  <c r="BX32" i="4"/>
  <c r="BX33" i="4"/>
  <c r="BX34" i="4"/>
  <c r="BX35" i="4"/>
  <c r="BX36" i="4"/>
  <c r="BX37" i="4"/>
  <c r="BX38" i="4"/>
  <c r="BX39" i="4"/>
  <c r="BX40" i="4"/>
  <c r="BX11" i="4"/>
  <c r="BX9" i="4"/>
  <c r="BW12" i="4"/>
  <c r="BW13" i="4"/>
  <c r="BW14" i="4"/>
  <c r="BW15" i="4"/>
  <c r="BW16" i="4"/>
  <c r="BW17" i="4"/>
  <c r="BW18" i="4"/>
  <c r="BW19" i="4"/>
  <c r="BW20" i="4"/>
  <c r="BW21" i="4"/>
  <c r="BW22" i="4"/>
  <c r="BW23" i="4"/>
  <c r="BW24" i="4"/>
  <c r="BW25" i="4"/>
  <c r="BW26" i="4"/>
  <c r="BW27" i="4"/>
  <c r="BW28" i="4"/>
  <c r="BW29" i="4"/>
  <c r="BW30" i="4"/>
  <c r="BW31" i="4"/>
  <c r="BW32" i="4"/>
  <c r="BW33" i="4"/>
  <c r="BW34" i="4"/>
  <c r="BW35" i="4"/>
  <c r="BW36" i="4"/>
  <c r="BW37" i="4"/>
  <c r="BW38" i="4"/>
  <c r="BW39" i="4"/>
  <c r="BW40" i="4"/>
  <c r="BW11" i="4"/>
  <c r="BV10" i="4"/>
  <c r="BV11" i="4"/>
  <c r="BV12" i="4"/>
  <c r="BV13" i="4"/>
  <c r="BV14" i="4"/>
  <c r="BV15" i="4"/>
  <c r="BV16" i="4"/>
  <c r="BV17" i="4"/>
  <c r="BV18" i="4"/>
  <c r="BV19" i="4"/>
  <c r="BV20" i="4"/>
  <c r="BV21" i="4"/>
  <c r="BV22" i="4"/>
  <c r="BV23" i="4"/>
  <c r="BV24" i="4"/>
  <c r="BV25" i="4"/>
  <c r="BV26" i="4"/>
  <c r="BV27" i="4"/>
  <c r="BV28" i="4"/>
  <c r="BV29" i="4"/>
  <c r="BV30" i="4"/>
  <c r="BV31" i="4"/>
  <c r="BV32" i="4"/>
  <c r="BV33" i="4"/>
  <c r="BV34" i="4"/>
  <c r="BV35" i="4"/>
  <c r="BV36" i="4"/>
  <c r="BV37" i="4"/>
  <c r="BV38" i="4"/>
  <c r="BV39" i="4"/>
  <c r="BV40" i="4"/>
  <c r="BV9" i="4"/>
  <c r="BT12" i="4"/>
  <c r="BT13" i="4"/>
  <c r="BT14" i="4"/>
  <c r="BT15" i="4"/>
  <c r="BT16" i="4"/>
  <c r="BT17" i="4"/>
  <c r="BT18" i="4"/>
  <c r="BT19" i="4"/>
  <c r="BT20" i="4"/>
  <c r="BT21" i="4"/>
  <c r="BT22" i="4"/>
  <c r="BT23" i="4"/>
  <c r="BT24" i="4"/>
  <c r="BT25" i="4"/>
  <c r="BT26" i="4"/>
  <c r="BT27" i="4"/>
  <c r="BT28" i="4"/>
  <c r="BT29" i="4"/>
  <c r="BT30" i="4"/>
  <c r="BT31" i="4"/>
  <c r="BT32" i="4"/>
  <c r="BT33" i="4"/>
  <c r="BT34" i="4"/>
  <c r="BT35" i="4"/>
  <c r="BT36" i="4"/>
  <c r="BT37" i="4"/>
  <c r="BT38" i="4"/>
  <c r="BT39" i="4"/>
  <c r="BT40" i="4"/>
  <c r="BT11" i="4"/>
  <c r="BS10" i="4"/>
  <c r="BS11" i="4"/>
  <c r="BS12" i="4"/>
  <c r="BS13" i="4"/>
  <c r="BS14" i="4"/>
  <c r="BS15" i="4"/>
  <c r="BS16" i="4"/>
  <c r="BS17" i="4"/>
  <c r="BS18" i="4"/>
  <c r="BS19" i="4"/>
  <c r="BS20" i="4"/>
  <c r="BS21" i="4"/>
  <c r="BS22" i="4"/>
  <c r="BS23" i="4"/>
  <c r="BS24" i="4"/>
  <c r="BS25" i="4"/>
  <c r="BS26" i="4"/>
  <c r="BS27" i="4"/>
  <c r="BS28" i="4"/>
  <c r="BS29" i="4"/>
  <c r="BS30" i="4"/>
  <c r="BS31" i="4"/>
  <c r="BS32" i="4"/>
  <c r="BS33" i="4"/>
  <c r="BS34" i="4"/>
  <c r="BS35" i="4"/>
  <c r="BS36" i="4"/>
  <c r="BS37" i="4"/>
  <c r="BS38" i="4"/>
  <c r="BS39" i="4"/>
  <c r="BS40" i="4"/>
  <c r="BS9" i="4"/>
  <c r="BH12" i="4"/>
  <c r="BH13" i="4"/>
  <c r="BH14" i="4"/>
  <c r="BH15" i="4"/>
  <c r="BH16" i="4"/>
  <c r="BH17" i="4"/>
  <c r="BH18" i="4"/>
  <c r="BH19" i="4"/>
  <c r="BH20" i="4"/>
  <c r="BH21" i="4"/>
  <c r="BH22" i="4"/>
  <c r="BH23" i="4"/>
  <c r="BH24" i="4"/>
  <c r="BH25" i="4"/>
  <c r="BH26" i="4"/>
  <c r="BH27" i="4"/>
  <c r="BH28" i="4"/>
  <c r="BH29" i="4"/>
  <c r="BH30" i="4"/>
  <c r="BH31" i="4"/>
  <c r="BH32" i="4"/>
  <c r="BH33" i="4"/>
  <c r="BH34" i="4"/>
  <c r="BH35" i="4"/>
  <c r="BH36" i="4"/>
  <c r="BH37" i="4"/>
  <c r="BH38" i="4"/>
  <c r="BH39" i="4"/>
  <c r="BH40" i="4"/>
  <c r="BH11" i="4"/>
  <c r="BH9" i="4"/>
  <c r="BG12" i="4"/>
  <c r="BG13" i="4"/>
  <c r="BG14" i="4"/>
  <c r="BG15" i="4"/>
  <c r="BG16" i="4"/>
  <c r="BG17" i="4"/>
  <c r="BG18" i="4"/>
  <c r="BG19" i="4"/>
  <c r="BG20" i="4"/>
  <c r="BG21" i="4"/>
  <c r="BG22" i="4"/>
  <c r="BG23" i="4"/>
  <c r="BG24" i="4"/>
  <c r="BG25" i="4"/>
  <c r="BG26" i="4"/>
  <c r="BG27" i="4"/>
  <c r="BG28" i="4"/>
  <c r="BG29" i="4"/>
  <c r="BG30" i="4"/>
  <c r="BG31" i="4"/>
  <c r="BG32" i="4"/>
  <c r="BG33" i="4"/>
  <c r="BG34" i="4"/>
  <c r="BG35" i="4"/>
  <c r="BG36" i="4"/>
  <c r="BG37" i="4"/>
  <c r="BG38" i="4"/>
  <c r="BG39" i="4"/>
  <c r="BG40" i="4"/>
  <c r="BG11" i="4"/>
  <c r="BF10" i="4"/>
  <c r="BF11" i="4"/>
  <c r="Y3" i="3" s="1"/>
  <c r="BF12" i="4"/>
  <c r="BF13" i="4"/>
  <c r="BF14" i="4"/>
  <c r="BF15" i="4"/>
  <c r="BF16" i="4"/>
  <c r="BF17" i="4"/>
  <c r="BF18" i="4"/>
  <c r="BF19" i="4"/>
  <c r="BF20" i="4"/>
  <c r="BF21" i="4"/>
  <c r="BF22" i="4"/>
  <c r="BF23" i="4"/>
  <c r="BF24" i="4"/>
  <c r="BF25" i="4"/>
  <c r="BF26" i="4"/>
  <c r="BF27" i="4"/>
  <c r="BF28" i="4"/>
  <c r="BF29" i="4"/>
  <c r="BF30" i="4"/>
  <c r="BF31" i="4"/>
  <c r="BF32" i="4"/>
  <c r="BF33" i="4"/>
  <c r="BF34" i="4"/>
  <c r="BF35" i="4"/>
  <c r="BF36" i="4"/>
  <c r="BF37" i="4"/>
  <c r="BF38" i="4"/>
  <c r="BF39" i="4"/>
  <c r="BF40" i="4"/>
  <c r="BF9" i="4"/>
  <c r="BE12" i="4"/>
  <c r="BE13" i="4"/>
  <c r="BE14" i="4"/>
  <c r="BE15" i="4"/>
  <c r="BE16" i="4"/>
  <c r="BE17" i="4"/>
  <c r="BE18" i="4"/>
  <c r="BE19" i="4"/>
  <c r="BE20" i="4"/>
  <c r="BE21" i="4"/>
  <c r="BE22" i="4"/>
  <c r="BE23" i="4"/>
  <c r="BE24" i="4"/>
  <c r="BE25" i="4"/>
  <c r="BE26" i="4"/>
  <c r="BE27" i="4"/>
  <c r="BE28" i="4"/>
  <c r="BE29" i="4"/>
  <c r="BE30" i="4"/>
  <c r="BE31" i="4"/>
  <c r="BE32" i="4"/>
  <c r="BE33" i="4"/>
  <c r="BE34" i="4"/>
  <c r="BE35" i="4"/>
  <c r="BE36" i="4"/>
  <c r="BE37" i="4"/>
  <c r="BE38" i="4"/>
  <c r="BE39" i="4"/>
  <c r="BE40" i="4"/>
  <c r="BE11" i="4"/>
  <c r="BE9" i="4"/>
  <c r="BD12" i="4"/>
  <c r="BD13" i="4"/>
  <c r="BD14" i="4"/>
  <c r="BD15" i="4"/>
  <c r="BD16" i="4"/>
  <c r="BD17" i="4"/>
  <c r="BD18" i="4"/>
  <c r="BD19" i="4"/>
  <c r="BD20" i="4"/>
  <c r="BD21" i="4"/>
  <c r="BD22" i="4"/>
  <c r="BD23" i="4"/>
  <c r="BD24" i="4"/>
  <c r="BD25" i="4"/>
  <c r="BD26" i="4"/>
  <c r="BD27" i="4"/>
  <c r="BD28" i="4"/>
  <c r="BD29" i="4"/>
  <c r="BD30" i="4"/>
  <c r="BD31" i="4"/>
  <c r="BD32" i="4"/>
  <c r="BD33" i="4"/>
  <c r="BD34" i="4"/>
  <c r="BD35" i="4"/>
  <c r="BD36" i="4"/>
  <c r="BD37" i="4"/>
  <c r="BD38" i="4"/>
  <c r="BD39" i="4"/>
  <c r="BD40" i="4"/>
  <c r="BD11" i="4"/>
  <c r="BC10" i="4"/>
  <c r="BC11" i="4"/>
  <c r="BC12" i="4"/>
  <c r="X4" i="3" s="1"/>
  <c r="BC13" i="4"/>
  <c r="BC14" i="4"/>
  <c r="BC15" i="4"/>
  <c r="BC16" i="4"/>
  <c r="BC17" i="4"/>
  <c r="BC18" i="4"/>
  <c r="BC19" i="4"/>
  <c r="BC20" i="4"/>
  <c r="BC21" i="4"/>
  <c r="BC22" i="4"/>
  <c r="BC23" i="4"/>
  <c r="BC24" i="4"/>
  <c r="BC25" i="4"/>
  <c r="BC26" i="4"/>
  <c r="BC27" i="4"/>
  <c r="BC28" i="4"/>
  <c r="BC29" i="4"/>
  <c r="BC30" i="4"/>
  <c r="BC31" i="4"/>
  <c r="BC32" i="4"/>
  <c r="BC33" i="4"/>
  <c r="BC34" i="4"/>
  <c r="BC35" i="4"/>
  <c r="BC36" i="4"/>
  <c r="BC37" i="4"/>
  <c r="BC38" i="4"/>
  <c r="BC39" i="4"/>
  <c r="BC40" i="4"/>
  <c r="BC9" i="4"/>
  <c r="BB12" i="4"/>
  <c r="BB13" i="4"/>
  <c r="BB14" i="4"/>
  <c r="BB15" i="4"/>
  <c r="BB16" i="4"/>
  <c r="BB17" i="4"/>
  <c r="BB18" i="4"/>
  <c r="BB19" i="4"/>
  <c r="BB20" i="4"/>
  <c r="BB21" i="4"/>
  <c r="BB22" i="4"/>
  <c r="BB23" i="4"/>
  <c r="BB24" i="4"/>
  <c r="BB25" i="4"/>
  <c r="BB26" i="4"/>
  <c r="BB27" i="4"/>
  <c r="BB28" i="4"/>
  <c r="BB29" i="4"/>
  <c r="BB30" i="4"/>
  <c r="BB31" i="4"/>
  <c r="BB32" i="4"/>
  <c r="BB33" i="4"/>
  <c r="BB34" i="4"/>
  <c r="BB35" i="4"/>
  <c r="BB36" i="4"/>
  <c r="BB37" i="4"/>
  <c r="BB38" i="4"/>
  <c r="BB39" i="4"/>
  <c r="BB40" i="4"/>
  <c r="BB11" i="4"/>
  <c r="BB9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11" i="4"/>
  <c r="AX9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11" i="4"/>
  <c r="AU9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11" i="4"/>
  <c r="AR9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11" i="4"/>
  <c r="AO9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11" i="4"/>
  <c r="AL9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11" i="4"/>
  <c r="AI9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11" i="4"/>
  <c r="AF9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11" i="4"/>
  <c r="AC9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11" i="4"/>
  <c r="Z9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11" i="4"/>
  <c r="W9" i="4"/>
  <c r="BA12" i="4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11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0" i="4"/>
  <c r="AZ31" i="4"/>
  <c r="AZ32" i="4"/>
  <c r="AZ33" i="4"/>
  <c r="AZ34" i="4"/>
  <c r="AZ35" i="4"/>
  <c r="AZ36" i="4"/>
  <c r="AZ37" i="4"/>
  <c r="AZ38" i="4"/>
  <c r="AZ39" i="4"/>
  <c r="AZ40" i="4"/>
  <c r="AZ9" i="4"/>
  <c r="AW12" i="4"/>
  <c r="AW13" i="4"/>
  <c r="AW14" i="4"/>
  <c r="AW15" i="4"/>
  <c r="AW16" i="4"/>
  <c r="AW17" i="4"/>
  <c r="AW18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11" i="4"/>
  <c r="AV10" i="4"/>
  <c r="AV11" i="4"/>
  <c r="V3" i="3" s="1"/>
  <c r="AV12" i="4"/>
  <c r="AV13" i="4"/>
  <c r="AV14" i="4"/>
  <c r="AV15" i="4"/>
  <c r="AV16" i="4"/>
  <c r="AV17" i="4"/>
  <c r="AV18" i="4"/>
  <c r="AV19" i="4"/>
  <c r="AV20" i="4"/>
  <c r="AV21" i="4"/>
  <c r="AV22" i="4"/>
  <c r="AV23" i="4"/>
  <c r="AV24" i="4"/>
  <c r="AV25" i="4"/>
  <c r="AV26" i="4"/>
  <c r="AV27" i="4"/>
  <c r="AV28" i="4"/>
  <c r="AV29" i="4"/>
  <c r="AV30" i="4"/>
  <c r="AV31" i="4"/>
  <c r="AV32" i="4"/>
  <c r="AV33" i="4"/>
  <c r="AV34" i="4"/>
  <c r="AV35" i="4"/>
  <c r="AV36" i="4"/>
  <c r="AV37" i="4"/>
  <c r="AV38" i="4"/>
  <c r="AV39" i="4"/>
  <c r="AV40" i="4"/>
  <c r="AV9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11" i="4"/>
  <c r="AS10" i="4"/>
  <c r="AS11" i="4"/>
  <c r="U3" i="3" s="1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AS35" i="4"/>
  <c r="AS36" i="4"/>
  <c r="AS37" i="4"/>
  <c r="AS38" i="4"/>
  <c r="AS39" i="4"/>
  <c r="AS40" i="4"/>
  <c r="AS9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11" i="4"/>
  <c r="AP10" i="4"/>
  <c r="AP11" i="4"/>
  <c r="AP12" i="4"/>
  <c r="T4" i="3" s="1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9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11" i="4"/>
  <c r="AM10" i="4"/>
  <c r="AM11" i="4"/>
  <c r="S3" i="3" s="1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9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11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9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11" i="4"/>
  <c r="AG10" i="4"/>
  <c r="AG11" i="4"/>
  <c r="AG12" i="4"/>
  <c r="Q4" i="3" s="1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9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11" i="4"/>
  <c r="AD10" i="4"/>
  <c r="AD11" i="4"/>
  <c r="P3" i="3" s="1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9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11" i="4"/>
  <c r="AA10" i="4"/>
  <c r="AA11" i="4"/>
  <c r="AA12" i="4"/>
  <c r="O4" i="3" s="1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9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11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10" i="4"/>
  <c r="B9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11" i="4"/>
  <c r="J4" i="3" s="1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11" i="4"/>
  <c r="I4" i="3" s="1"/>
  <c r="J12" i="4"/>
  <c r="BL4" i="3" s="1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11" i="4"/>
  <c r="BL3" i="3" s="1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11" i="4"/>
  <c r="H9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11" i="4"/>
  <c r="E9" i="4"/>
  <c r="X10" i="4"/>
  <c r="X11" i="4"/>
  <c r="X12" i="4"/>
  <c r="N4" i="3" s="1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9" i="4"/>
  <c r="U10" i="4"/>
  <c r="U11" i="4"/>
  <c r="M3" i="3" s="1"/>
  <c r="U12" i="4"/>
  <c r="M4" i="3" s="1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9" i="4"/>
  <c r="R10" i="4"/>
  <c r="R11" i="4"/>
  <c r="L3" i="3" s="1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9" i="4"/>
  <c r="O10" i="4"/>
  <c r="O11" i="4"/>
  <c r="O12" i="4"/>
  <c r="K4" i="3" s="1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9" i="4"/>
  <c r="F10" i="4"/>
  <c r="F11" i="4"/>
  <c r="H3" i="3" s="1"/>
  <c r="F12" i="4"/>
  <c r="H4" i="3" s="1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9" i="4"/>
  <c r="C11" i="4"/>
  <c r="C12" i="4"/>
  <c r="G4" i="3" s="1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10" i="4"/>
  <c r="C9" i="4"/>
  <c r="W4" i="3" l="1"/>
  <c r="AD4" i="3"/>
  <c r="AG4" i="3"/>
  <c r="Z4" i="3"/>
  <c r="AB4" i="3"/>
  <c r="AK3" i="3"/>
  <c r="AL3" i="3"/>
  <c r="BJ4" i="3"/>
  <c r="R4" i="3"/>
  <c r="U4" i="3"/>
  <c r="X3" i="3"/>
  <c r="AE4" i="3"/>
  <c r="AH4" i="3"/>
  <c r="AJ3" i="3"/>
  <c r="AO3" i="3"/>
  <c r="AP3" i="3"/>
  <c r="AT3" i="3"/>
  <c r="AW3" i="3"/>
  <c r="AZ3" i="3"/>
  <c r="BD3" i="3"/>
  <c r="BC3" i="3"/>
  <c r="N3" i="3"/>
  <c r="L4" i="3"/>
  <c r="P4" i="3"/>
  <c r="S4" i="3"/>
  <c r="V4" i="3"/>
  <c r="Y4" i="3"/>
  <c r="AF4" i="3"/>
  <c r="AI4" i="3"/>
  <c r="BI4" i="3"/>
  <c r="Q3" i="3"/>
  <c r="T3" i="3"/>
  <c r="W3" i="3"/>
  <c r="AD3" i="3"/>
  <c r="AG3" i="3"/>
  <c r="Z3" i="3"/>
  <c r="AB3" i="3"/>
  <c r="BK3" i="3"/>
  <c r="G3" i="3"/>
  <c r="K3" i="3"/>
  <c r="O3" i="3"/>
  <c r="R3" i="3"/>
  <c r="AA3" i="3"/>
  <c r="AC3" i="3"/>
  <c r="AM3" i="3"/>
  <c r="AN3" i="3"/>
  <c r="AS3" i="3"/>
  <c r="AU3" i="3"/>
  <c r="AX3" i="3"/>
  <c r="BA3" i="3"/>
  <c r="BE3" i="3"/>
  <c r="BG3" i="3"/>
  <c r="F2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2" i="1"/>
  <c r="G40" i="4" l="1"/>
  <c r="D40" i="4"/>
  <c r="G39" i="4"/>
  <c r="D39" i="4"/>
  <c r="G38" i="4"/>
  <c r="D38" i="4"/>
  <c r="G37" i="4"/>
  <c r="D37" i="4"/>
  <c r="G36" i="4"/>
  <c r="D36" i="4"/>
  <c r="G35" i="4"/>
  <c r="D35" i="4"/>
  <c r="G34" i="4"/>
  <c r="D34" i="4"/>
  <c r="G33" i="4"/>
  <c r="D33" i="4"/>
  <c r="G32" i="4"/>
  <c r="D32" i="4"/>
  <c r="G31" i="4"/>
  <c r="D31" i="4"/>
  <c r="G30" i="4"/>
  <c r="D30" i="4"/>
  <c r="G29" i="4"/>
  <c r="D29" i="4"/>
  <c r="G28" i="4"/>
  <c r="D28" i="4"/>
  <c r="G27" i="4"/>
  <c r="D27" i="4"/>
  <c r="G26" i="4"/>
  <c r="D26" i="4"/>
  <c r="G25" i="4"/>
  <c r="D25" i="4"/>
  <c r="G24" i="4"/>
  <c r="D24" i="4"/>
  <c r="G23" i="4"/>
  <c r="D23" i="4"/>
  <c r="G22" i="4"/>
  <c r="D22" i="4"/>
  <c r="G21" i="4"/>
  <c r="D21" i="4"/>
  <c r="G20" i="4"/>
  <c r="D20" i="4"/>
  <c r="G19" i="4"/>
  <c r="D19" i="4"/>
  <c r="G18" i="4"/>
  <c r="D18" i="4"/>
  <c r="G17" i="4"/>
  <c r="D17" i="4"/>
  <c r="G16" i="4"/>
  <c r="D16" i="4"/>
  <c r="G15" i="4"/>
  <c r="D15" i="4"/>
  <c r="G14" i="4"/>
  <c r="D14" i="4"/>
  <c r="G13" i="4"/>
  <c r="D13" i="4"/>
  <c r="G12" i="4"/>
  <c r="D12" i="4"/>
  <c r="G11" i="4"/>
  <c r="D11" i="4"/>
  <c r="Q9" i="4"/>
  <c r="M29" i="1" l="1"/>
  <c r="M28" i="1"/>
  <c r="K29" i="1" l="1"/>
  <c r="K25" i="1"/>
  <c r="K24" i="1"/>
  <c r="K23" i="1"/>
  <c r="K22" i="1"/>
  <c r="K21" i="1"/>
  <c r="K17" i="1"/>
  <c r="K16" i="1"/>
  <c r="K15" i="1"/>
  <c r="K11" i="1"/>
  <c r="K10" i="1"/>
  <c r="K9" i="1"/>
  <c r="K8" i="1"/>
  <c r="K7" i="1"/>
  <c r="K6" i="1"/>
  <c r="K5" i="1"/>
  <c r="K4" i="1"/>
  <c r="M23" i="1"/>
  <c r="M22" i="1"/>
  <c r="N29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AZ51" i="4"/>
  <c r="B3" i="1"/>
  <c r="B4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K18" i="1"/>
  <c r="I29" i="1" l="1"/>
  <c r="I28" i="1"/>
  <c r="I27" i="1"/>
  <c r="I26" i="1"/>
  <c r="I25" i="1"/>
  <c r="I24" i="1"/>
  <c r="I23" i="1"/>
  <c r="I22" i="1"/>
  <c r="I19" i="1"/>
  <c r="I21" i="1"/>
  <c r="I20" i="1"/>
  <c r="I18" i="1"/>
  <c r="I16" i="1"/>
  <c r="I17" i="1"/>
  <c r="I15" i="1"/>
  <c r="I14" i="1"/>
  <c r="I13" i="1"/>
  <c r="I12" i="1"/>
  <c r="I11" i="1"/>
  <c r="I10" i="1"/>
  <c r="I9" i="1"/>
  <c r="I5" i="1"/>
  <c r="I8" i="1"/>
  <c r="K3" i="1"/>
  <c r="I3" i="1"/>
  <c r="I7" i="1"/>
  <c r="I4" i="1"/>
  <c r="I6" i="1"/>
  <c r="E29" i="1" l="1"/>
  <c r="G29" i="1"/>
  <c r="G28" i="1"/>
  <c r="E28" i="1"/>
  <c r="G27" i="1"/>
  <c r="E26" i="1"/>
  <c r="E27" i="1"/>
  <c r="G26" i="1"/>
  <c r="E25" i="1"/>
  <c r="G25" i="1"/>
  <c r="G24" i="1"/>
  <c r="E24" i="1"/>
  <c r="G23" i="1"/>
  <c r="E23" i="1"/>
  <c r="E22" i="1"/>
  <c r="G22" i="1"/>
  <c r="E21" i="1"/>
  <c r="G21" i="1"/>
  <c r="G20" i="1"/>
  <c r="E20" i="1"/>
  <c r="E19" i="1"/>
  <c r="G19" i="1"/>
  <c r="E18" i="1"/>
  <c r="G18" i="1"/>
  <c r="G17" i="1"/>
  <c r="E17" i="1"/>
  <c r="G15" i="1"/>
  <c r="G16" i="1"/>
  <c r="E16" i="1"/>
  <c r="E15" i="1"/>
  <c r="G14" i="1"/>
  <c r="G13" i="1"/>
  <c r="E14" i="1"/>
  <c r="E13" i="1"/>
  <c r="G8" i="1"/>
  <c r="G12" i="1"/>
  <c r="E12" i="1"/>
  <c r="G5" i="1"/>
  <c r="G11" i="1"/>
  <c r="E10" i="1"/>
  <c r="E8" i="1"/>
  <c r="E11" i="1"/>
  <c r="G10" i="1"/>
  <c r="E4" i="1"/>
  <c r="E9" i="1"/>
  <c r="G7" i="1"/>
  <c r="G4" i="1"/>
  <c r="G9" i="1"/>
  <c r="E6" i="1"/>
  <c r="G6" i="1"/>
  <c r="G3" i="1"/>
  <c r="E7" i="1"/>
  <c r="E5" i="1"/>
  <c r="E3" i="1"/>
  <c r="K12" i="1" l="1"/>
  <c r="K14" i="1" l="1"/>
  <c r="K13" i="1" l="1"/>
  <c r="K20" i="1" l="1"/>
  <c r="K19" i="1"/>
  <c r="K28" i="1" l="1"/>
  <c r="K27" i="1"/>
  <c r="K26" i="1"/>
  <c r="C48" i="4" l="1"/>
  <c r="I48" i="4" l="1"/>
  <c r="I49" i="4" s="1"/>
  <c r="L2" i="3" l="1"/>
  <c r="S9" i="4"/>
  <c r="Y2" i="3"/>
  <c r="BG9" i="4"/>
  <c r="BW9" i="4"/>
  <c r="P2" i="3" l="1"/>
  <c r="AE9" i="4"/>
  <c r="Q2" i="3"/>
  <c r="AH9" i="4"/>
  <c r="AN9" i="4"/>
  <c r="S2" i="3"/>
  <c r="V2" i="3"/>
  <c r="AW9" i="4"/>
  <c r="T2" i="3"/>
  <c r="AQ9" i="4"/>
  <c r="R2" i="3"/>
  <c r="AK9" i="4"/>
  <c r="P9" i="4"/>
  <c r="K2" i="3"/>
  <c r="U2" i="3"/>
  <c r="AT9" i="4"/>
  <c r="AM45" i="4" l="1"/>
  <c r="AM48" i="4"/>
  <c r="AS45" i="4"/>
  <c r="AS48" i="4"/>
  <c r="AP45" i="4"/>
  <c r="AP48" i="4"/>
  <c r="AG45" i="4"/>
  <c r="AG48" i="4"/>
  <c r="AV45" i="4"/>
  <c r="AV48" i="4"/>
  <c r="AD45" i="4"/>
  <c r="AD48" i="4"/>
  <c r="AJ45" i="4"/>
  <c r="AJ48" i="4"/>
  <c r="BK2" i="3" l="1"/>
  <c r="FC9" i="4"/>
  <c r="BJ2" i="3"/>
  <c r="DW9" i="4"/>
  <c r="BT9" i="4"/>
  <c r="BS48" i="4" s="1"/>
  <c r="N9" i="4"/>
  <c r="J2" i="3" s="1"/>
  <c r="L9" i="4"/>
  <c r="J9" i="4"/>
  <c r="BL2" i="3" s="1"/>
  <c r="K2" i="1" s="1"/>
  <c r="AV44" i="4" l="1"/>
  <c r="CX9" i="4"/>
  <c r="AK2" i="3"/>
  <c r="BG2" i="3"/>
  <c r="EU9" i="4"/>
  <c r="H2" i="3"/>
  <c r="G9" i="4"/>
  <c r="AM44" i="4"/>
  <c r="AM47" i="4"/>
  <c r="AM49" i="4" s="1"/>
  <c r="X2" i="3"/>
  <c r="BD9" i="4"/>
  <c r="CJ9" i="4"/>
  <c r="CI48" i="4" s="1"/>
  <c r="AI2" i="3"/>
  <c r="CZ9" i="4"/>
  <c r="AJ2" i="3"/>
  <c r="AP2" i="3"/>
  <c r="DL9" i="4"/>
  <c r="AW2" i="3"/>
  <c r="DY9" i="4"/>
  <c r="BB2" i="3"/>
  <c r="EJ9" i="4"/>
  <c r="BH2" i="3"/>
  <c r="EW9" i="4"/>
  <c r="F44" i="4"/>
  <c r="F47" i="4"/>
  <c r="AP47" i="4"/>
  <c r="AP49" i="4" s="1"/>
  <c r="AP44" i="4"/>
  <c r="AD2" i="3"/>
  <c r="BZ9" i="4"/>
  <c r="BY48" i="4" s="1"/>
  <c r="Z2" i="3"/>
  <c r="CL9" i="4"/>
  <c r="AM2" i="3"/>
  <c r="DB9" i="4"/>
  <c r="AS2" i="3"/>
  <c r="DN9" i="4"/>
  <c r="EA9" i="4"/>
  <c r="AX2" i="3"/>
  <c r="BD2" i="3"/>
  <c r="EL9" i="4"/>
  <c r="AG47" i="4"/>
  <c r="AG49" i="4" s="1"/>
  <c r="AG44" i="4"/>
  <c r="AH2" i="3"/>
  <c r="CH9" i="4"/>
  <c r="CG48" i="4" s="1"/>
  <c r="EH9" i="4"/>
  <c r="BA2" i="3"/>
  <c r="O47" i="4"/>
  <c r="O44" i="4"/>
  <c r="AD44" i="4"/>
  <c r="AD47" i="4"/>
  <c r="AD49" i="4" s="1"/>
  <c r="M2" i="3"/>
  <c r="V9" i="4"/>
  <c r="AS47" i="4"/>
  <c r="AS49" i="4" s="1"/>
  <c r="AS44" i="4"/>
  <c r="CB9" i="4"/>
  <c r="CA48" i="4" s="1"/>
  <c r="AE2" i="3"/>
  <c r="AA2" i="3"/>
  <c r="CO9" i="4"/>
  <c r="AL2" i="3"/>
  <c r="DD9" i="4"/>
  <c r="AR2" i="3"/>
  <c r="DP9" i="4"/>
  <c r="AY2" i="3"/>
  <c r="EC9" i="4"/>
  <c r="BE2" i="3"/>
  <c r="EN9" i="4"/>
  <c r="FA9" i="4"/>
  <c r="BI2" i="3"/>
  <c r="DJ9" i="4"/>
  <c r="AQ2" i="3"/>
  <c r="AJ44" i="4"/>
  <c r="AJ47" i="4"/>
  <c r="AJ49" i="4" s="1"/>
  <c r="N2" i="3"/>
  <c r="Y9" i="4"/>
  <c r="W2" i="3"/>
  <c r="BA9" i="4"/>
  <c r="AF2" i="3"/>
  <c r="CD9" i="4"/>
  <c r="CC48" i="4" s="1"/>
  <c r="DF9" i="4"/>
  <c r="AO2" i="3"/>
  <c r="DR9" i="4"/>
  <c r="AT2" i="3"/>
  <c r="BF2" i="3"/>
  <c r="EP9" i="4"/>
  <c r="CK47" i="4"/>
  <c r="CK44" i="4"/>
  <c r="G2" i="3"/>
  <c r="I2" i="1" s="1"/>
  <c r="D9" i="4"/>
  <c r="C45" i="4" s="1"/>
  <c r="K48" i="4"/>
  <c r="K49" i="4" s="1"/>
  <c r="I2" i="3"/>
  <c r="O2" i="3"/>
  <c r="AB9" i="4"/>
  <c r="CU9" i="4"/>
  <c r="CT48" i="4" s="1"/>
  <c r="CT49" i="4" s="1"/>
  <c r="AC2" i="3"/>
  <c r="DH9" i="4"/>
  <c r="AN2" i="3"/>
  <c r="AU2" i="3"/>
  <c r="DU9" i="4"/>
  <c r="AZ2" i="3"/>
  <c r="EE9" i="4"/>
  <c r="ER9" i="4"/>
  <c r="BC2" i="3"/>
  <c r="O45" i="4"/>
  <c r="C44" i="4" l="1"/>
  <c r="C47" i="4"/>
  <c r="C49" i="4" s="1"/>
  <c r="BF44" i="4"/>
  <c r="AV47" i="4"/>
  <c r="AV49" i="4" s="1"/>
  <c r="CK48" i="4"/>
  <c r="CK49" i="4" s="1"/>
  <c r="CK45" i="4"/>
  <c r="AA44" i="4"/>
  <c r="AA47" i="4"/>
  <c r="X44" i="4"/>
  <c r="X47" i="4"/>
  <c r="AB2" i="3"/>
  <c r="G2" i="1" s="1"/>
  <c r="CR9" i="4"/>
  <c r="X48" i="4"/>
  <c r="X45" i="4"/>
  <c r="F45" i="4"/>
  <c r="F48" i="4"/>
  <c r="F49" i="4" s="1"/>
  <c r="CQ47" i="4"/>
  <c r="CQ44" i="4"/>
  <c r="AA45" i="4"/>
  <c r="AA48" i="4"/>
  <c r="AG2" i="3"/>
  <c r="CF9" i="4"/>
  <c r="CE48" i="4" s="1"/>
  <c r="CN48" i="4"/>
  <c r="CN45" i="4"/>
  <c r="U45" i="4"/>
  <c r="U48" i="4"/>
  <c r="U44" i="4"/>
  <c r="U47" i="4"/>
  <c r="E2" i="1"/>
  <c r="BF45" i="4"/>
  <c r="BC45" i="4"/>
  <c r="BC44" i="4"/>
  <c r="AZ45" i="4"/>
  <c r="AZ44" i="4"/>
  <c r="BF46" i="4" l="1"/>
  <c r="AA51" i="4"/>
  <c r="AM50" i="4"/>
  <c r="U49" i="4"/>
  <c r="AA49" i="4"/>
  <c r="AM51" i="4"/>
  <c r="CN44" i="4"/>
  <c r="CN47" i="4"/>
  <c r="CN49" i="4" s="1"/>
  <c r="CQ48" i="4"/>
  <c r="CQ49" i="4" s="1"/>
  <c r="CQ45" i="4"/>
  <c r="AZ46" i="4"/>
  <c r="AA50" i="4"/>
  <c r="X49" i="4"/>
  <c r="BC46" i="4"/>
  <c r="AV50" i="4" l="1"/>
  <c r="AV51" i="4"/>
  <c r="R48" i="4" l="1"/>
  <c r="R49" i="4" s="1"/>
  <c r="O48" i="4"/>
  <c r="O49" i="4" s="1"/>
  <c r="AZ48" i="4"/>
  <c r="BC48" i="4" l="1"/>
  <c r="BC49" i="4" s="1"/>
  <c r="BF48" i="4"/>
  <c r="BF49" i="4" s="1"/>
  <c r="AZ49" i="4"/>
  <c r="BC51" i="4" l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<sst xmlns="http://schemas.openxmlformats.org/spreadsheetml/2006/main" count="407" uniqueCount="202">
  <si>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</si>
  <si>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</si>
  <si>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</si>
  <si>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</si>
  <si>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</si>
  <si>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</si>
  <si>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</si>
  <si>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</si>
  <si>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</si>
  <si>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</si>
  <si>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</si>
  <si>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</si>
  <si>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</si>
  <si>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 xml:space="preserve">Total Guests </t>
  </si>
  <si>
    <t>Dubai at Jumeirah Beach</t>
  </si>
  <si>
    <t>Potable Water -IG (m3)</t>
  </si>
  <si>
    <t>Resort Water (m3)</t>
  </si>
  <si>
    <t>Irrigation Water (m3)</t>
  </si>
  <si>
    <t>Domestic Water for Irrigation (m3)</t>
  </si>
  <si>
    <t>Cooling Tower Water   (m3)</t>
  </si>
  <si>
    <t>Cooling Tower Blowdown (m3)</t>
  </si>
  <si>
    <t>EMDB-1 All Pumps (KWh)</t>
  </si>
  <si>
    <t>EMDB-2 Elevators (KWh)</t>
  </si>
  <si>
    <t>MDB-1 Chiller #1 (KWh)</t>
  </si>
  <si>
    <t>MDB-2 Chiller #2 (KWh)</t>
  </si>
  <si>
    <t>MDB-3 Chiller #3(KWh)</t>
  </si>
  <si>
    <t>MDB-4 North Riser (KWh)</t>
  </si>
  <si>
    <t>MDB-5 North Riser (KWh)</t>
  </si>
  <si>
    <t>MDB-6 Main Kitchen (KWh)</t>
  </si>
  <si>
    <t>MDB-7 South Riser (KWh)</t>
  </si>
  <si>
    <t>MDB-8 F&amp;B  (KWh)</t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</si>
  <si>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</si>
  <si>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</si>
  <si>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</si>
  <si>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Steam Boiler LPG (Kg)</t>
  </si>
  <si>
    <t>Solar Hot Water Boiler LPG (Kg)</t>
  </si>
  <si>
    <t>Low Temp Hot Water Boiler LPG (Kg)</t>
  </si>
  <si>
    <t>Steam Boiler Steam (Kg)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</si>
  <si>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</si>
  <si>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</si>
  <si>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</si>
  <si>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</si>
  <si>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</si>
  <si>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</si>
  <si>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</si>
  <si>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</si>
  <si>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</si>
  <si>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</si>
  <si>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</si>
  <si>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</si>
  <si>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</si>
  <si>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</si>
  <si>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</si>
  <si>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</si>
  <si>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</si>
  <si>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</si>
  <si>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</si>
  <si>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MDB Nusrat(KWh)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</si>
  <si>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</si>
  <si>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</si>
  <si>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</si>
  <si>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</si>
  <si>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</si>
  <si>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</si>
  <si>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</si>
  <si>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</si>
  <si>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</si>
  <si>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</si>
  <si>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</si>
  <si>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</si>
  <si>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</si>
  <si>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</si>
  <si>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TSE Irrigation (m3)</t>
  </si>
  <si>
    <t xml:space="preserve">                                                                                                           </t>
  </si>
  <si>
    <t>F&amp; B Village Daily Water Meter Reading  2023</t>
  </si>
  <si>
    <t xml:space="preserve">Date </t>
  </si>
  <si>
    <t>Daily Occupancy  %</t>
  </si>
  <si>
    <t>Potable Water meter Reading -M³</t>
  </si>
  <si>
    <t>Resort Water Meter Reading M³</t>
  </si>
  <si>
    <t>Tse Water meter Reading M³</t>
  </si>
  <si>
    <t>Irrigation Water Meter Reading M³</t>
  </si>
  <si>
    <t>Domestic Water For Irrigation M³</t>
  </si>
  <si>
    <t>Cooling Tower Meter ReadingM³</t>
  </si>
  <si>
    <t>Cooling Tower Blowdown Reading</t>
  </si>
  <si>
    <t>EMDB-1 All Pumps</t>
  </si>
  <si>
    <t>EMDB-2 Elevators</t>
  </si>
  <si>
    <t>MDB-1 Chiller # 1</t>
  </si>
  <si>
    <t>MDB-2 Chiller # 2</t>
  </si>
  <si>
    <t>MDB-3 Chiller # 3</t>
  </si>
  <si>
    <t>MDB-4 North Riser Guest Rooms</t>
  </si>
  <si>
    <t>MDB-5 North Riser Guest Rooms</t>
  </si>
  <si>
    <t>MDB-6 Main Kitchen</t>
  </si>
  <si>
    <t xml:space="preserve">MDB-7 South Riser Guest Rooms </t>
  </si>
  <si>
    <t xml:space="preserve">MDB-8 F &amp; B </t>
  </si>
  <si>
    <t>Chiller 1</t>
  </si>
  <si>
    <t>Chiller 2</t>
  </si>
  <si>
    <t>Chiller 3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</si>
  <si>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</si>
  <si>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</si>
  <si>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</si>
  <si>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</si>
  <si>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</si>
  <si>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</si>
  <si>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 xml:space="preserve">Lpg Main Tank </t>
  </si>
  <si>
    <t>Ird Kitchen</t>
  </si>
  <si>
    <t>Suq Kitchen</t>
  </si>
  <si>
    <t>Bakery Kitchen</t>
  </si>
  <si>
    <t>Shai Saloon Kitchen</t>
  </si>
  <si>
    <t>Banquet Kitchen</t>
  </si>
  <si>
    <t>Sea Fu Kitchen</t>
  </si>
  <si>
    <t>Steam Boiler</t>
  </si>
  <si>
    <t>Solar Hot Water Boiler</t>
  </si>
  <si>
    <t>Low Temp Hot Water Boiler</t>
  </si>
  <si>
    <t>Steam Boiler Steam Meter Reading</t>
  </si>
  <si>
    <t>Verde Water Meter Reading</t>
  </si>
  <si>
    <t>Coya Water Meter Reading M³</t>
  </si>
  <si>
    <t>Nusret Water meter Reading M³</t>
  </si>
  <si>
    <t>Provoceteur Meter Reading M³</t>
  </si>
  <si>
    <t>Scalini Meter Reading M³</t>
  </si>
  <si>
    <t>Irrigation</t>
  </si>
  <si>
    <t>MDB - Coya</t>
  </si>
  <si>
    <t>MDB Verde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</si>
  <si>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</si>
  <si>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</si>
  <si>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</si>
  <si>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</si>
  <si>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</si>
  <si>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</si>
  <si>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</si>
  <si>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</si>
  <si>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</si>
  <si>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Verde Btu</t>
  </si>
  <si>
    <t>Coya Lpg</t>
  </si>
  <si>
    <t>Nusret Lpg</t>
  </si>
  <si>
    <t>Provocateur Lpg</t>
  </si>
  <si>
    <t>Verde Lpg</t>
  </si>
  <si>
    <t>Scalini</t>
  </si>
  <si>
    <t>Reading In M³</t>
  </si>
  <si>
    <t>Daily consumption M³ 2023</t>
  </si>
  <si>
    <t xml:space="preserve"> Reading M³</t>
  </si>
  <si>
    <t>Daily Consumption M³</t>
  </si>
  <si>
    <t>Daily consumption M³</t>
  </si>
  <si>
    <t xml:space="preserve">Reading KWH </t>
  </si>
  <si>
    <t>Daily Consumption Kwh 2023</t>
  </si>
  <si>
    <t>Daily Consumption Kwh 2022</t>
  </si>
  <si>
    <t xml:space="preserve"> Reading KWH </t>
  </si>
  <si>
    <t>Reading Kwh</t>
  </si>
  <si>
    <t>Daily Consumption Kwh</t>
  </si>
  <si>
    <t>Reading %</t>
  </si>
  <si>
    <t>Reading M³</t>
  </si>
  <si>
    <t>Reading           Kg</t>
  </si>
  <si>
    <t>Daily Consumption Kg</t>
  </si>
  <si>
    <t>Hot Water M³</t>
  </si>
  <si>
    <t>Cold Water M³</t>
  </si>
  <si>
    <t>Daily Reading</t>
  </si>
  <si>
    <t>Difference KWH</t>
  </si>
  <si>
    <t>Total Chillers Btu Meter Monthly Consumption 2023</t>
  </si>
  <si>
    <t>Cold water Heat Exchanger 2023</t>
  </si>
  <si>
    <t>.</t>
  </si>
  <si>
    <t>Location</t>
  </si>
  <si>
    <t>Domestic Water</t>
  </si>
  <si>
    <t>Resort Water</t>
  </si>
  <si>
    <t>Tse Water</t>
  </si>
  <si>
    <t>Irrigation Water</t>
  </si>
  <si>
    <t>Cooling Tower make up &amp; Blowdown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</si>
  <si>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</si>
  <si>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</si>
  <si>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</si>
  <si>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</si>
  <si>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</si>
  <si>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</si>
  <si>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</si>
  <si>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</si>
  <si>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</si>
  <si>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</si>
  <si>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</si>
  <si>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</si>
  <si>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</si>
  <si>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</si>
  <si>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</si>
  <si>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</si>
  <si>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Grand Total All EMDB KWH</t>
  </si>
  <si>
    <t>Difference</t>
  </si>
  <si>
    <t>Total Monthly Electrical Kwh</t>
  </si>
  <si>
    <t>Saving Kwh</t>
  </si>
  <si>
    <t xml:space="preserve"> Daily Water Consumption February 2023</t>
  </si>
  <si>
    <t>Electricity Daily Consumption February 2020</t>
  </si>
  <si>
    <t>Chiller BTU Meter Reading February 2023</t>
  </si>
  <si>
    <t>Lpg Daily Consumption February 2023</t>
  </si>
  <si>
    <t>F &amp; B Electrical Daily Reading February 2023</t>
  </si>
  <si>
    <t>F &amp; B Village Chilled Water Reading February 2023</t>
  </si>
  <si>
    <t>F &amp; B Village Daily Lpg Reading February 2023</t>
  </si>
  <si>
    <t>Daily consumption M³ February-2022</t>
  </si>
  <si>
    <t>Potable Water Daily Consumption  February 2023</t>
  </si>
  <si>
    <t>Electricity Daily Consumption February 2023</t>
  </si>
  <si>
    <t>February Reading 2023 two weeks</t>
  </si>
  <si>
    <t>February  Reading 2022 Monthly</t>
  </si>
  <si>
    <t>February  Reading 2023 Monthly</t>
  </si>
  <si>
    <t>February  2022 Kwh</t>
  </si>
  <si>
    <t>February  2023 Kwh</t>
  </si>
  <si>
    <t>February  2022 Kwh two weeks</t>
  </si>
  <si>
    <t>February  2023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</si>
</sst>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92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Border="1" applyAlignment="1">
      <alignment horizontal="center" vertical="center"/>
    </xf>
    <xf numFmtId="165" fontId="15" fillId="0" borderId="9" xfId="0" applyNumberFormat="1" applyFont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Border="1" applyAlignment="1">
      <alignment vertical="center"/>
    </xf>
    <xf numFmtId="15" fontId="16" fillId="0" borderId="62" xfId="0" applyNumberFormat="1" applyFont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Border="1" applyAlignment="1">
      <alignment vertical="center"/>
    </xf>
    <xf numFmtId="166" fontId="18" fillId="0" borderId="0" xfId="0" applyNumberFormat="1" applyFont="1" applyAlignment="1">
      <alignment horizontal="center"/>
    </xf>
    <xf numFmtId="1" fontId="19" fillId="0" borderId="0" xfId="0" applyNumberFormat="1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0" fontId="21" fillId="0" borderId="0" xfId="0" applyFont="1"/>
    <xf numFmtId="0" fontId="8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6" fillId="0" borderId="0" xfId="0" applyFont="1" applyAlignment="1">
      <alignment horizontal="center" wrapText="1"/>
    </xf>
    <xf numFmtId="15" fontId="18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11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/>
    </xf>
    <xf numFmtId="168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8" fontId="10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wrapText="1"/>
    </xf>
    <xf numFmtId="164" fontId="24" fillId="0" borderId="0" xfId="0" applyNumberFormat="1" applyFont="1" applyAlignment="1">
      <alignment horizontal="center"/>
    </xf>
    <xf numFmtId="3" fontId="24" fillId="0" borderId="0" xfId="0" applyNumberFormat="1" applyFont="1" applyAlignment="1">
      <alignment horizontal="center"/>
    </xf>
    <xf numFmtId="4" fontId="24" fillId="0" borderId="0" xfId="0" applyNumberFormat="1" applyFont="1" applyAlignment="1">
      <alignment horizontal="center"/>
    </xf>
    <xf numFmtId="165" fontId="18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1" fillId="0" borderId="0" xfId="0" applyFont="1"/>
    <xf numFmtId="168" fontId="13" fillId="0" borderId="0" xfId="0" applyNumberFormat="1" applyFont="1" applyAlignment="1">
      <alignment horizontal="center"/>
    </xf>
    <xf numFmtId="0" fontId="11" fillId="0" borderId="0" xfId="0" applyFont="1" applyAlignment="1">
      <alignment horizontal="left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9" fontId="9" fillId="0" borderId="1" xfId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6" borderId="14" xfId="0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Alignment="1">
      <alignment horizontal="center"/>
    </xf>
    <xf numFmtId="3" fontId="33" fillId="0" borderId="0" xfId="0" applyNumberFormat="1" applyFont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167" fontId="30" fillId="0" borderId="0" xfId="0" applyNumberFormat="1" applyFont="1" applyAlignment="1">
      <alignment vertical="center"/>
    </xf>
    <xf numFmtId="0" fontId="0" fillId="0" borderId="0" xfId="0" applyAlignment="1">
      <alignment horizont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wrapText="1"/>
    </xf>
    <xf numFmtId="164" fontId="23" fillId="0" borderId="0" xfId="0" applyNumberFormat="1" applyFont="1" applyAlignment="1">
      <alignment horizontal="center"/>
    </xf>
    <xf numFmtId="168" fontId="23" fillId="0" borderId="0" xfId="0" applyNumberFormat="1" applyFont="1" applyAlignment="1">
      <alignment horizontal="center"/>
    </xf>
    <xf numFmtId="3" fontId="23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Alignment="1">
      <alignment horizontal="center" vertical="center" wrapText="1"/>
    </xf>
    <xf numFmtId="171" fontId="34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Alignment="1">
      <alignment horizontal="center"/>
    </xf>
    <xf numFmtId="171" fontId="36" fillId="0" borderId="0" xfId="0" applyNumberFormat="1" applyFont="1" applyAlignment="1">
      <alignment horizontal="center" vertic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164" fontId="36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4" fontId="9" fillId="0" borderId="3" xfId="0" applyNumberFormat="1" applyFont="1" applyBorder="1" applyAlignment="1">
      <alignment horizontal="center"/>
    </xf>
    <xf numFmtId="164" fontId="14" fillId="0" borderId="3" xfId="0" applyNumberFormat="1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3" fontId="3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Alignment="1">
      <alignment horizontal="center" vertical="center" wrapText="1"/>
    </xf>
    <xf numFmtId="173" fontId="34" fillId="0" borderId="0" xfId="0" applyNumberFormat="1" applyFont="1" applyAlignment="1">
      <alignment horizontal="center" vertical="center"/>
    </xf>
    <xf numFmtId="173" fontId="6" fillId="0" borderId="0" xfId="0" applyNumberFormat="1" applyFont="1" applyAlignment="1">
      <alignment horizontal="center" wrapText="1"/>
    </xf>
    <xf numFmtId="173" fontId="18" fillId="0" borderId="0" xfId="0" applyNumberFormat="1" applyFont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Alignment="1">
      <alignment horizontal="center" vertical="center"/>
    </xf>
    <xf numFmtId="173" fontId="18" fillId="0" borderId="0" xfId="0" applyNumberFormat="1" applyFont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Alignment="1">
      <alignment horizontal="center" wrapText="1"/>
    </xf>
    <xf numFmtId="0" fontId="14" fillId="0" borderId="3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Border="1" applyAlignment="1">
      <alignment horizontal="center"/>
    </xf>
    <xf numFmtId="10" fontId="6" fillId="0" borderId="20" xfId="0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Border="1" applyAlignment="1">
      <alignment horizontal="center" vertical="center"/>
    </xf>
    <xf numFmtId="172" fontId="14" fillId="0" borderId="1" xfId="0" applyNumberFormat="1" applyFont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Border="1" applyAlignment="1">
      <alignment horizontal="center" vertic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Border="1" applyAlignment="1">
      <alignment horizontal="center" vertical="center"/>
    </xf>
    <xf numFmtId="174" fontId="14" fillId="0" borderId="1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Border="1" applyAlignment="1">
      <alignment horizontal="center" vertical="center"/>
    </xf>
    <xf numFmtId="165" fontId="9" fillId="0" borderId="15" xfId="0" applyNumberFormat="1" applyFont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Border="1" applyAlignment="1">
      <alignment horizontal="center" vertical="center" wrapText="1"/>
    </xf>
    <xf numFmtId="9" fontId="6" fillId="3" borderId="26" xfId="1" applyFont="1" applyFill="1" applyBorder="1" applyAlignment="1">
      <alignment horizontal="center" vertical="center" wrapText="1"/>
    </xf>
    <xf numFmtId="9" fontId="14" fillId="0" borderId="1" xfId="1" applyFont="1" applyBorder="1" applyAlignment="1">
      <alignment horizontal="center"/>
    </xf>
    <xf numFmtId="9" fontId="6" fillId="6" borderId="27" xfId="1" applyFont="1" applyFill="1" applyBorder="1" applyAlignment="1">
      <alignment horizontal="center" vertical="center" wrapText="1"/>
    </xf>
    <xf numFmtId="9" fontId="18" fillId="0" borderId="0" xfId="1" applyFont="1" applyBorder="1" applyAlignment="1">
      <alignment horizontal="center"/>
    </xf>
    <xf numFmtId="9" fontId="6" fillId="0" borderId="0" xfId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 vertical="center" wrapText="1"/>
    </xf>
    <xf numFmtId="1" fontId="0" fillId="0" borderId="18" xfId="0" applyNumberFormat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Border="1" applyAlignment="1">
      <alignment horizontal="center"/>
    </xf>
    <xf numFmtId="164" fontId="9" fillId="0" borderId="29" xfId="0" applyNumberFormat="1" applyFont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0" fontId="21" fillId="8" borderId="0" xfId="0" applyFont="1" applyFill="1" applyAlignment="1">
      <alignment horizontal="center"/>
    </xf>
    <xf numFmtId="0" fontId="21" fillId="9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9" fontId="6" fillId="0" borderId="20" xfId="0" applyNumberFormat="1" applyFont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174" fontId="15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4" fontId="2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73" fontId="6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  <xf numFmtId="165" fontId="15" fillId="0" borderId="11" xfId="0" applyNumberFormat="1" applyFont="1" applyBorder="1" applyAlignment="1">
      <alignment horizontal="center" vertical="center"/>
    </xf>
    <xf numFmtId="165" fontId="15" fillId="0" borderId="29" xfId="0" applyNumberFormat="1" applyFont="1" applyBorder="1" applyAlignment="1">
      <alignment horizontal="center" vertical="center"/>
    </xf>
    <xf numFmtId="165" fontId="15" fillId="0" borderId="3" xfId="0" applyNumberFormat="1" applyFont="1" applyBorder="1" applyAlignment="1">
      <alignment horizontal="center" vertical="center"/>
    </xf>
    <xf numFmtId="164" fontId="9" fillId="0" borderId="11" xfId="0" applyNumberFormat="1" applyFont="1" applyBorder="1" applyAlignment="1">
      <alignment horizontal="center" vertical="center"/>
    </xf>
    <xf numFmtId="164" fontId="9" fillId="0" borderId="29" xfId="0" applyNumberFormat="1" applyFont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173" fontId="15" fillId="0" borderId="29" xfId="0" applyNumberFormat="1" applyFont="1" applyBorder="1" applyAlignment="1">
      <alignment horizontal="center" vertical="center"/>
    </xf>
    <xf numFmtId="173" fontId="15" fillId="0" borderId="3" xfId="0" applyNumberFormat="1" applyFont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Border="1" applyAlignment="1">
      <alignment horizontal="center" vertical="center"/>
    </xf>
    <xf numFmtId="165" fontId="9" fillId="0" borderId="29" xfId="0" applyNumberFormat="1" applyFont="1" applyBorder="1" applyAlignment="1">
      <alignment horizontal="center" vertical="center"/>
    </xf>
    <xf numFmtId="174" fontId="15" fillId="0" borderId="50" xfId="0" applyNumberFormat="1" applyFont="1" applyBorder="1" applyAlignment="1">
      <alignment horizontal="center" vertical="center"/>
    </xf>
    <xf numFmtId="174" fontId="15" fillId="0" borderId="9" xfId="0" applyNumberFormat="1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Border="1" applyAlignment="1">
      <alignment horizontal="center" vertical="center"/>
    </xf>
    <xf numFmtId="172" fontId="15" fillId="0" borderId="3" xfId="0" applyNumberFormat="1" applyFont="1" applyBorder="1" applyAlignment="1">
      <alignment horizontal="center" vertical="center"/>
    </xf>
    <xf numFmtId="173" fontId="14" fillId="0" borderId="29" xfId="0" applyNumberFormat="1" applyFont="1" applyBorder="1" applyAlignment="1">
      <alignment horizontal="center" vertical="center"/>
    </xf>
    <xf numFmtId="173" fontId="14" fillId="0" borderId="3" xfId="0" applyNumberFormat="1" applyFont="1" applyBorder="1" applyAlignment="1">
      <alignment horizontal="center" vertical="center"/>
    </xf>
    <xf numFmtId="173" fontId="14" fillId="0" borderId="57" xfId="0" applyNumberFormat="1" applyFont="1" applyBorder="1" applyAlignment="1">
      <alignment horizontal="center" vertical="center"/>
    </xf>
    <xf numFmtId="173" fontId="14" fillId="0" borderId="18" xfId="0" applyNumberFormat="1" applyFont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174" fontId="14" fillId="0" borderId="11" xfId="0" applyNumberFormat="1" applyFont="1" applyBorder="1" applyAlignment="1">
      <alignment horizontal="center" vertical="center"/>
    </xf>
    <xf numFmtId="174" fontId="14" fillId="0" borderId="29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171" fontId="15" fillId="0" borderId="29" xfId="0" applyNumberFormat="1" applyFont="1" applyBorder="1" applyAlignment="1">
      <alignment horizontal="center" vertical="center"/>
    </xf>
    <xf numFmtId="171" fontId="15" fillId="0" borderId="3" xfId="0" applyNumberFormat="1" applyFont="1" applyBorder="1" applyAlignment="1">
      <alignment horizontal="center" vertical="center"/>
    </xf>
    <xf numFmtId="165" fontId="15" fillId="0" borderId="57" xfId="0" applyNumberFormat="1" applyFont="1" applyBorder="1" applyAlignment="1">
      <alignment horizontal="center" vertical="center"/>
    </xf>
    <xf numFmtId="165" fontId="15" fillId="0" borderId="18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4" fontId="15" fillId="0" borderId="49" xfId="0" applyNumberFormat="1" applyFont="1" applyBorder="1" applyAlignment="1">
      <alignment horizontal="center" vertical="center"/>
    </xf>
    <xf numFmtId="174" fontId="15" fillId="0" borderId="29" xfId="0" applyNumberFormat="1" applyFont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 vertical="center"/>
    </xf>
    <xf numFmtId="9" fontId="15" fillId="0" borderId="29" xfId="0" applyNumberFormat="1" applyFont="1" applyBorder="1" applyAlignment="1">
      <alignment horizontal="center" vertical="center"/>
    </xf>
    <xf numFmtId="9" fontId="15" fillId="0" borderId="3" xfId="0" applyNumberFormat="1" applyFont="1" applyBorder="1" applyAlignment="1">
      <alignment horizontal="center" vertical="center"/>
    </xf>
    <xf numFmtId="9" fontId="9" fillId="0" borderId="49" xfId="1" applyFont="1" applyBorder="1" applyAlignment="1">
      <alignment horizontal="center" vertical="center"/>
    </xf>
    <xf numFmtId="9" fontId="9" fillId="0" borderId="29" xfId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January - 2023"/>
      <sheetName val="February - 2023"/>
      <sheetName val="April - 2023"/>
      <sheetName val="March - 2023"/>
      <sheetName val="May - 2023"/>
      <sheetName val="June - 2023"/>
      <sheetName val="Comparis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8">
          <cell r="B8">
            <v>0.77</v>
          </cell>
          <cell r="E8">
            <v>243018</v>
          </cell>
          <cell r="G8">
            <v>500</v>
          </cell>
          <cell r="H8">
            <v>265351</v>
          </cell>
          <cell r="J8">
            <v>114355</v>
          </cell>
          <cell r="K8">
            <v>15530</v>
          </cell>
          <cell r="N8">
            <v>929662</v>
          </cell>
          <cell r="Q8">
            <v>245870</v>
          </cell>
          <cell r="U8">
            <v>120277</v>
          </cell>
          <cell r="X8">
            <v>6721</v>
          </cell>
          <cell r="AE8">
            <v>8278599.8399999999</v>
          </cell>
          <cell r="AG8">
            <v>2971.9199999989942</v>
          </cell>
          <cell r="AH8">
            <v>15718143.84</v>
          </cell>
          <cell r="AJ8">
            <v>4482.2400000002235</v>
          </cell>
          <cell r="AK8">
            <v>15913657.199999999</v>
          </cell>
          <cell r="AM8">
            <v>0</v>
          </cell>
          <cell r="AN8">
            <v>19053368.879999999</v>
          </cell>
          <cell r="AP8">
            <v>194.87999999895692</v>
          </cell>
          <cell r="AQ8">
            <v>19316895.359999999</v>
          </cell>
          <cell r="AS8">
            <v>8087.519999999553</v>
          </cell>
          <cell r="AT8">
            <v>17853785.039999999</v>
          </cell>
          <cell r="AV8">
            <v>5066.8800000008196</v>
          </cell>
          <cell r="AW8">
            <v>15009949.919999998</v>
          </cell>
          <cell r="AY8">
            <v>3702.7200000006706</v>
          </cell>
          <cell r="AZ8">
            <v>14552176.799999999</v>
          </cell>
          <cell r="BB8">
            <v>3848.8800000008196</v>
          </cell>
          <cell r="BC8">
            <v>11342357.040000001</v>
          </cell>
          <cell r="BE8">
            <v>2825.7599999997765</v>
          </cell>
          <cell r="BF8">
            <v>18002722.080000002</v>
          </cell>
          <cell r="BH8">
            <v>4969.4399999994785</v>
          </cell>
          <cell r="BM8">
            <v>78617600</v>
          </cell>
          <cell r="BO8">
            <v>0</v>
          </cell>
          <cell r="BP8">
            <v>81547000</v>
          </cell>
          <cell r="BR8">
            <v>0</v>
          </cell>
          <cell r="BS8">
            <v>75469900</v>
          </cell>
          <cell r="BU8">
            <v>41400</v>
          </cell>
          <cell r="BV8">
            <v>10588930</v>
          </cell>
          <cell r="BY8">
            <v>0.78</v>
          </cell>
          <cell r="CA8">
            <v>7.999999999999996E-2</v>
          </cell>
          <cell r="CB8">
            <v>65338</v>
          </cell>
          <cell r="CD8">
            <v>56457</v>
          </cell>
          <cell r="CF8">
            <v>19060</v>
          </cell>
          <cell r="CH8">
            <v>26116</v>
          </cell>
          <cell r="CJ8">
            <v>29262</v>
          </cell>
          <cell r="CL8">
            <v>64366</v>
          </cell>
          <cell r="CN8">
            <v>272050</v>
          </cell>
          <cell r="CP8">
            <v>109</v>
          </cell>
          <cell r="CQ8">
            <v>221087</v>
          </cell>
          <cell r="CT8">
            <v>369542</v>
          </cell>
          <cell r="CV8">
            <v>237</v>
          </cell>
          <cell r="CW8">
            <v>703819</v>
          </cell>
          <cell r="CZ8">
            <v>9310</v>
          </cell>
          <cell r="DB8">
            <v>6304</v>
          </cell>
          <cell r="DD8">
            <v>32983</v>
          </cell>
          <cell r="DF8">
            <v>33127</v>
          </cell>
          <cell r="DH8">
            <v>22410</v>
          </cell>
          <cell r="DJ8">
            <v>24352</v>
          </cell>
          <cell r="DL8">
            <v>7683</v>
          </cell>
          <cell r="DN8">
            <v>10195</v>
          </cell>
          <cell r="DP8">
            <v>3511</v>
          </cell>
          <cell r="DR8">
            <v>6890</v>
          </cell>
          <cell r="DT8">
            <v>30498</v>
          </cell>
          <cell r="DW8">
            <v>6915.1</v>
          </cell>
          <cell r="DY8">
            <v>11694.4</v>
          </cell>
          <cell r="EA8">
            <v>5142.5</v>
          </cell>
          <cell r="EC8">
            <v>5734.6</v>
          </cell>
          <cell r="EE8">
            <v>1156684</v>
          </cell>
          <cell r="EI8">
            <v>239167.3</v>
          </cell>
          <cell r="EL8">
            <v>12286600</v>
          </cell>
          <cell r="EN8">
            <v>946040</v>
          </cell>
          <cell r="EP8">
            <v>7295900</v>
          </cell>
          <cell r="ER8">
            <v>2510900</v>
          </cell>
          <cell r="ET8">
            <v>1306940</v>
          </cell>
          <cell r="EV8">
            <v>16731000</v>
          </cell>
          <cell r="EY8">
            <v>42965</v>
          </cell>
          <cell r="FA8">
            <v>37471</v>
          </cell>
          <cell r="FC8">
            <v>8068</v>
          </cell>
          <cell r="FD8">
            <v>8</v>
          </cell>
          <cell r="FE8">
            <v>60035</v>
          </cell>
          <cell r="FG8">
            <v>51390</v>
          </cell>
        </row>
        <row r="9">
          <cell r="B9">
            <v>0.7</v>
          </cell>
          <cell r="E9">
            <v>243516</v>
          </cell>
          <cell r="H9">
            <v>265741</v>
          </cell>
          <cell r="K9">
            <v>15762</v>
          </cell>
          <cell r="N9">
            <v>929911</v>
          </cell>
          <cell r="Q9">
            <v>245870</v>
          </cell>
          <cell r="U9">
            <v>120344</v>
          </cell>
          <cell r="X9">
            <v>6732</v>
          </cell>
          <cell r="AE9">
            <v>8280597.3599999994</v>
          </cell>
          <cell r="AH9">
            <v>15722723.52</v>
          </cell>
          <cell r="AK9">
            <v>15913657.199999999</v>
          </cell>
          <cell r="AN9">
            <v>19054733.039999999</v>
          </cell>
          <cell r="AQ9">
            <v>19324300.800000001</v>
          </cell>
          <cell r="AT9">
            <v>17858267.280000001</v>
          </cell>
          <cell r="AW9">
            <v>15013701.359999999</v>
          </cell>
          <cell r="AZ9">
            <v>14556707.76</v>
          </cell>
          <cell r="BC9">
            <v>11345280.24</v>
          </cell>
          <cell r="BF9">
            <v>18008422.32</v>
          </cell>
          <cell r="BM9">
            <v>78617600</v>
          </cell>
          <cell r="BP9">
            <v>81547000</v>
          </cell>
          <cell r="BS9">
            <v>75505100</v>
          </cell>
          <cell r="BV9">
            <v>10594840</v>
          </cell>
          <cell r="BY9">
            <v>0.85</v>
          </cell>
          <cell r="CB9">
            <v>65355</v>
          </cell>
          <cell r="CD9">
            <v>56477</v>
          </cell>
          <cell r="CF9">
            <v>19068</v>
          </cell>
          <cell r="CH9">
            <v>26126</v>
          </cell>
          <cell r="CJ9">
            <v>29276</v>
          </cell>
          <cell r="CL9">
            <v>64401</v>
          </cell>
          <cell r="CN9">
            <v>272129</v>
          </cell>
          <cell r="CQ9">
            <v>221208</v>
          </cell>
          <cell r="CT9">
            <v>369818</v>
          </cell>
          <cell r="CW9">
            <v>704002</v>
          </cell>
          <cell r="CZ9">
            <v>9320</v>
          </cell>
          <cell r="DB9">
            <v>6312</v>
          </cell>
          <cell r="DD9">
            <v>32997</v>
          </cell>
          <cell r="DF9">
            <v>33139</v>
          </cell>
          <cell r="DH9">
            <v>22419</v>
          </cell>
          <cell r="DJ9">
            <v>24356</v>
          </cell>
          <cell r="DL9">
            <v>7691</v>
          </cell>
          <cell r="DN9">
            <v>10203</v>
          </cell>
          <cell r="DP9">
            <v>3515</v>
          </cell>
          <cell r="DR9">
            <v>6896</v>
          </cell>
          <cell r="DT9">
            <v>30502</v>
          </cell>
          <cell r="DW9">
            <v>6926.3</v>
          </cell>
          <cell r="DY9">
            <v>11702.7</v>
          </cell>
          <cell r="EA9">
            <v>5148.3</v>
          </cell>
          <cell r="EC9">
            <v>5740.9</v>
          </cell>
          <cell r="EE9">
            <v>1157168</v>
          </cell>
          <cell r="EI9">
            <v>239321.1</v>
          </cell>
          <cell r="EL9">
            <v>12289300</v>
          </cell>
          <cell r="EN9">
            <v>946260</v>
          </cell>
          <cell r="EP9">
            <v>7296700</v>
          </cell>
          <cell r="ER9">
            <v>2511100</v>
          </cell>
          <cell r="ET9">
            <v>1307480</v>
          </cell>
          <cell r="EV9">
            <v>16732600</v>
          </cell>
          <cell r="EY9">
            <v>42981</v>
          </cell>
          <cell r="FA9">
            <v>37482</v>
          </cell>
          <cell r="FC9">
            <v>8076</v>
          </cell>
          <cell r="FE9">
            <v>60050</v>
          </cell>
          <cell r="FG9">
            <v>51417</v>
          </cell>
        </row>
        <row r="10">
          <cell r="B10">
            <v>0.76</v>
          </cell>
          <cell r="E10">
            <v>244103</v>
          </cell>
          <cell r="G10">
            <v>525</v>
          </cell>
          <cell r="H10">
            <v>266202</v>
          </cell>
          <cell r="J10">
            <v>114743</v>
          </cell>
          <cell r="K10">
            <v>15987</v>
          </cell>
          <cell r="L10">
            <v>225</v>
          </cell>
          <cell r="N10">
            <v>930183</v>
          </cell>
          <cell r="O10">
            <v>272</v>
          </cell>
          <cell r="Q10">
            <v>245870</v>
          </cell>
          <cell r="R10">
            <v>0</v>
          </cell>
          <cell r="U10">
            <v>120411</v>
          </cell>
          <cell r="V10">
            <v>67</v>
          </cell>
          <cell r="W10">
            <v>43</v>
          </cell>
          <cell r="X10">
            <v>6738</v>
          </cell>
          <cell r="Y10">
            <v>6</v>
          </cell>
          <cell r="AE10">
            <v>8282400</v>
          </cell>
          <cell r="AF10">
            <v>1802.640000000596</v>
          </cell>
          <cell r="AG10">
            <v>3215.5200000004843</v>
          </cell>
          <cell r="AH10">
            <v>15726913.439999999</v>
          </cell>
          <cell r="AI10">
            <v>4189.9199999999255</v>
          </cell>
          <cell r="AJ10">
            <v>4872</v>
          </cell>
          <cell r="AK10">
            <v>15914485.439999999</v>
          </cell>
          <cell r="AL10">
            <v>828.24000000022352</v>
          </cell>
          <cell r="AM10">
            <v>0</v>
          </cell>
          <cell r="AN10">
            <v>19055366.399999999</v>
          </cell>
          <cell r="AO10">
            <v>633.35999999940395</v>
          </cell>
          <cell r="AP10">
            <v>146.16000000014901</v>
          </cell>
          <cell r="AQ10">
            <v>19331754.960000001</v>
          </cell>
          <cell r="AR10">
            <v>7454.160000000149</v>
          </cell>
          <cell r="AS10">
            <v>7697.7599999979138</v>
          </cell>
          <cell r="AT10">
            <v>17862505.919999998</v>
          </cell>
          <cell r="AU10">
            <v>4238.6399999968708</v>
          </cell>
          <cell r="AV10">
            <v>5505.359999999404</v>
          </cell>
          <cell r="AW10">
            <v>15017355.359999999</v>
          </cell>
          <cell r="AX10">
            <v>3654</v>
          </cell>
          <cell r="AY10">
            <v>4189.9199999999255</v>
          </cell>
          <cell r="AZ10">
            <v>14560702.799999999</v>
          </cell>
          <cell r="BA10">
            <v>3995.0399999991059</v>
          </cell>
          <cell r="BB10">
            <v>4141.1999999992549</v>
          </cell>
          <cell r="BC10">
            <v>11347862.4</v>
          </cell>
          <cell r="BD10">
            <v>2582.160000000149</v>
          </cell>
          <cell r="BE10">
            <v>3264.2400000002235</v>
          </cell>
          <cell r="BF10">
            <v>18013781.52</v>
          </cell>
          <cell r="BG10">
            <v>5359.1999999992549</v>
          </cell>
          <cell r="BH10">
            <v>5066.8799999989569</v>
          </cell>
          <cell r="BM10">
            <v>78617600</v>
          </cell>
          <cell r="BN10">
            <v>0</v>
          </cell>
          <cell r="BP10">
            <v>81547000</v>
          </cell>
          <cell r="BQ10">
            <v>0</v>
          </cell>
          <cell r="BR10">
            <v>0</v>
          </cell>
          <cell r="BS10">
            <v>75544800</v>
          </cell>
          <cell r="BT10">
            <v>39700</v>
          </cell>
          <cell r="BU10">
            <v>37000</v>
          </cell>
          <cell r="BV10">
            <v>10601540</v>
          </cell>
          <cell r="BW10">
            <v>6700</v>
          </cell>
          <cell r="BY10">
            <v>0.76</v>
          </cell>
          <cell r="BZ10">
            <v>8.9999999999999969E-2</v>
          </cell>
          <cell r="CA10">
            <v>9.9999999999999978E-2</v>
          </cell>
          <cell r="CB10">
            <v>65367</v>
          </cell>
          <cell r="CC10">
            <v>12</v>
          </cell>
          <cell r="CD10">
            <v>56494</v>
          </cell>
          <cell r="CE10">
            <v>17</v>
          </cell>
          <cell r="CF10">
            <v>19074</v>
          </cell>
          <cell r="CG10">
            <v>6</v>
          </cell>
          <cell r="CH10">
            <v>26133</v>
          </cell>
          <cell r="CI10">
            <v>7</v>
          </cell>
          <cell r="CJ10">
            <v>29290</v>
          </cell>
          <cell r="CK10">
            <v>14</v>
          </cell>
          <cell r="CL10">
            <v>64435</v>
          </cell>
          <cell r="CM10">
            <v>34</v>
          </cell>
          <cell r="CN10">
            <v>272199</v>
          </cell>
          <cell r="CO10">
            <v>70</v>
          </cell>
          <cell r="CP10">
            <v>107</v>
          </cell>
          <cell r="CQ10">
            <v>221324</v>
          </cell>
          <cell r="CR10">
            <v>116</v>
          </cell>
          <cell r="CT10">
            <v>370063</v>
          </cell>
          <cell r="CU10">
            <v>245</v>
          </cell>
          <cell r="CV10">
            <v>312</v>
          </cell>
          <cell r="CW10">
            <v>704166</v>
          </cell>
          <cell r="CX10">
            <v>164</v>
          </cell>
          <cell r="CZ10">
            <v>9329</v>
          </cell>
          <cell r="DA10">
            <v>9</v>
          </cell>
          <cell r="DB10">
            <v>6319</v>
          </cell>
          <cell r="DC10">
            <v>7</v>
          </cell>
          <cell r="DD10">
            <v>33011</v>
          </cell>
          <cell r="DE10">
            <v>14</v>
          </cell>
          <cell r="DF10">
            <v>33155</v>
          </cell>
          <cell r="DG10">
            <v>16</v>
          </cell>
          <cell r="DH10">
            <v>22427</v>
          </cell>
          <cell r="DI10">
            <v>8</v>
          </cell>
          <cell r="DJ10">
            <v>24361</v>
          </cell>
          <cell r="DK10">
            <v>5</v>
          </cell>
          <cell r="DL10">
            <v>7702</v>
          </cell>
          <cell r="DM10">
            <v>11</v>
          </cell>
          <cell r="DN10">
            <v>10210</v>
          </cell>
          <cell r="DO10">
            <v>7</v>
          </cell>
          <cell r="DP10">
            <v>3520</v>
          </cell>
          <cell r="DQ10">
            <v>5</v>
          </cell>
          <cell r="DR10">
            <v>6902</v>
          </cell>
          <cell r="DS10">
            <v>6</v>
          </cell>
          <cell r="DT10">
            <v>30508</v>
          </cell>
          <cell r="DU10">
            <v>6</v>
          </cell>
          <cell r="DW10">
            <v>6937.3</v>
          </cell>
          <cell r="DX10">
            <v>11</v>
          </cell>
          <cell r="DY10">
            <v>11710.8</v>
          </cell>
          <cell r="DZ10">
            <v>8.0999999999985448</v>
          </cell>
          <cell r="EA10">
            <v>5154.1000000000004</v>
          </cell>
          <cell r="EB10">
            <v>5.8000000000001819</v>
          </cell>
          <cell r="EC10">
            <v>5747</v>
          </cell>
          <cell r="ED10">
            <v>6.1000000000003638</v>
          </cell>
          <cell r="EE10">
            <v>1157700</v>
          </cell>
          <cell r="EF10">
            <v>532</v>
          </cell>
          <cell r="EI10">
            <v>239469.3</v>
          </cell>
          <cell r="EJ10">
            <v>148.19999999998254</v>
          </cell>
          <cell r="EL10">
            <v>12292500</v>
          </cell>
          <cell r="EM10">
            <v>3200</v>
          </cell>
          <cell r="EN10">
            <v>946500</v>
          </cell>
          <cell r="EO10">
            <v>240</v>
          </cell>
          <cell r="EP10">
            <v>7297600</v>
          </cell>
          <cell r="EQ10">
            <v>900</v>
          </cell>
          <cell r="ER10">
            <v>2511400</v>
          </cell>
          <cell r="ES10">
            <v>300</v>
          </cell>
          <cell r="ET10">
            <v>1308150</v>
          </cell>
          <cell r="EU10">
            <v>670</v>
          </cell>
          <cell r="EV10">
            <v>16735500</v>
          </cell>
          <cell r="EW10">
            <v>2900</v>
          </cell>
          <cell r="EY10">
            <v>42995</v>
          </cell>
          <cell r="EZ10">
            <v>14</v>
          </cell>
          <cell r="FA10">
            <v>37493</v>
          </cell>
          <cell r="FB10">
            <v>11</v>
          </cell>
          <cell r="FC10">
            <v>8085</v>
          </cell>
          <cell r="FD10">
            <v>9</v>
          </cell>
          <cell r="FE10">
            <v>60066</v>
          </cell>
          <cell r="FF10">
            <v>16</v>
          </cell>
          <cell r="FG10">
            <v>51443</v>
          </cell>
          <cell r="FH10">
            <v>26</v>
          </cell>
        </row>
        <row r="11">
          <cell r="B11">
            <v>0.72</v>
          </cell>
          <cell r="E11">
            <v>244680</v>
          </cell>
          <cell r="F11">
            <v>577</v>
          </cell>
          <cell r="G11">
            <v>493</v>
          </cell>
          <cell r="H11">
            <v>266632</v>
          </cell>
          <cell r="I11">
            <v>430</v>
          </cell>
          <cell r="J11">
            <v>115117</v>
          </cell>
          <cell r="K11">
            <v>16208</v>
          </cell>
          <cell r="L11">
            <v>221</v>
          </cell>
          <cell r="N11">
            <v>930443</v>
          </cell>
          <cell r="O11">
            <v>260</v>
          </cell>
          <cell r="Q11">
            <v>245884</v>
          </cell>
          <cell r="R11">
            <v>14</v>
          </cell>
          <cell r="U11">
            <v>120492</v>
          </cell>
          <cell r="V11">
            <v>81</v>
          </cell>
          <cell r="W11">
            <v>89</v>
          </cell>
          <cell r="X11">
            <v>6745</v>
          </cell>
          <cell r="Y11">
            <v>7</v>
          </cell>
          <cell r="AE11">
            <v>8284348.7999999998</v>
          </cell>
          <cell r="AF11">
            <v>1948.7999999998137</v>
          </cell>
          <cell r="AG11">
            <v>3361.679999999702</v>
          </cell>
          <cell r="AH11">
            <v>15731639.280000001</v>
          </cell>
          <cell r="AI11">
            <v>4725.8400000017136</v>
          </cell>
          <cell r="AJ11">
            <v>4725.8399999979883</v>
          </cell>
          <cell r="AK11">
            <v>15922572.959999999</v>
          </cell>
          <cell r="AL11">
            <v>8087.519999999553</v>
          </cell>
          <cell r="AM11">
            <v>0</v>
          </cell>
          <cell r="AN11">
            <v>19055561.280000001</v>
          </cell>
          <cell r="AO11">
            <v>194.88000000268221</v>
          </cell>
          <cell r="AP11">
            <v>146.16000000014901</v>
          </cell>
          <cell r="AQ11">
            <v>19333703.760000002</v>
          </cell>
          <cell r="AR11">
            <v>1948.8000000007451</v>
          </cell>
          <cell r="AS11">
            <v>7600.320000000298</v>
          </cell>
          <cell r="AT11">
            <v>17867329.199999999</v>
          </cell>
          <cell r="AU11">
            <v>4823.2800000011921</v>
          </cell>
          <cell r="AV11">
            <v>5554.0800000000745</v>
          </cell>
          <cell r="AW11">
            <v>15021058.08</v>
          </cell>
          <cell r="AX11">
            <v>3702.7200000006706</v>
          </cell>
          <cell r="AY11">
            <v>3995.0399999991059</v>
          </cell>
          <cell r="AZ11">
            <v>14564941.439999999</v>
          </cell>
          <cell r="BA11">
            <v>4238.640000000596</v>
          </cell>
          <cell r="BB11">
            <v>4189.9199999999255</v>
          </cell>
          <cell r="BC11">
            <v>11350542</v>
          </cell>
          <cell r="BD11">
            <v>2679.5999999996275</v>
          </cell>
          <cell r="BE11">
            <v>3020.6399999987334</v>
          </cell>
          <cell r="BF11">
            <v>18019481.760000002</v>
          </cell>
          <cell r="BG11">
            <v>5700.2400000020862</v>
          </cell>
          <cell r="BH11">
            <v>5456.6400000024587</v>
          </cell>
          <cell r="BM11">
            <v>78651900</v>
          </cell>
          <cell r="BN11">
            <v>34300</v>
          </cell>
          <cell r="BO11">
            <v>0</v>
          </cell>
          <cell r="BP11">
            <v>81547000</v>
          </cell>
          <cell r="BQ11">
            <v>0</v>
          </cell>
          <cell r="BR11">
            <v>0</v>
          </cell>
          <cell r="BS11">
            <v>75555200</v>
          </cell>
          <cell r="BT11">
            <v>10400</v>
          </cell>
          <cell r="BU11">
            <v>36400</v>
          </cell>
          <cell r="BV11">
            <v>10607680</v>
          </cell>
          <cell r="BW11">
            <v>6140</v>
          </cell>
          <cell r="BY11">
            <v>0.66</v>
          </cell>
          <cell r="BZ11">
            <v>9.9999999999999978E-2</v>
          </cell>
          <cell r="CA11">
            <v>-0.13</v>
          </cell>
          <cell r="CB11">
            <v>65384</v>
          </cell>
          <cell r="CC11">
            <v>17</v>
          </cell>
          <cell r="CD11">
            <v>56515</v>
          </cell>
          <cell r="CE11">
            <v>21</v>
          </cell>
          <cell r="CF11">
            <v>19081</v>
          </cell>
          <cell r="CG11">
            <v>7</v>
          </cell>
          <cell r="CH11">
            <v>26142</v>
          </cell>
          <cell r="CI11">
            <v>9</v>
          </cell>
          <cell r="CJ11">
            <v>29303</v>
          </cell>
          <cell r="CK11">
            <v>13</v>
          </cell>
          <cell r="CL11">
            <v>64471</v>
          </cell>
          <cell r="CM11">
            <v>36</v>
          </cell>
          <cell r="CN11">
            <v>272274</v>
          </cell>
          <cell r="CO11">
            <v>75</v>
          </cell>
          <cell r="CP11">
            <v>108</v>
          </cell>
          <cell r="CQ11">
            <v>221444</v>
          </cell>
          <cell r="CR11">
            <v>120</v>
          </cell>
          <cell r="CT11">
            <v>370287</v>
          </cell>
          <cell r="CU11">
            <v>224</v>
          </cell>
          <cell r="CV11">
            <v>301</v>
          </cell>
          <cell r="CW11">
            <v>704340</v>
          </cell>
          <cell r="CX11">
            <v>174</v>
          </cell>
          <cell r="CZ11">
            <v>9338</v>
          </cell>
          <cell r="DA11">
            <v>9</v>
          </cell>
          <cell r="DB11">
            <v>6324</v>
          </cell>
          <cell r="DC11">
            <v>5</v>
          </cell>
          <cell r="DD11">
            <v>33026</v>
          </cell>
          <cell r="DE11">
            <v>15</v>
          </cell>
          <cell r="DF11">
            <v>33170</v>
          </cell>
          <cell r="DG11">
            <v>15</v>
          </cell>
          <cell r="DH11">
            <v>22435</v>
          </cell>
          <cell r="DI11">
            <v>8</v>
          </cell>
          <cell r="DJ11">
            <v>24366</v>
          </cell>
          <cell r="DK11">
            <v>5</v>
          </cell>
          <cell r="DL11">
            <v>7714</v>
          </cell>
          <cell r="DM11">
            <v>12</v>
          </cell>
          <cell r="DN11">
            <v>10221</v>
          </cell>
          <cell r="DO11">
            <v>11</v>
          </cell>
          <cell r="DP11">
            <v>3526</v>
          </cell>
          <cell r="DQ11">
            <v>6</v>
          </cell>
          <cell r="DR11">
            <v>6911</v>
          </cell>
          <cell r="DS11">
            <v>9</v>
          </cell>
          <cell r="DT11">
            <v>30514</v>
          </cell>
          <cell r="DU11">
            <v>6</v>
          </cell>
          <cell r="DW11">
            <v>6948.6</v>
          </cell>
          <cell r="DX11">
            <v>11.300000000000182</v>
          </cell>
          <cell r="DY11">
            <v>11719.4</v>
          </cell>
          <cell r="DZ11">
            <v>8.6000000000003638</v>
          </cell>
          <cell r="EA11">
            <v>5160.1000000000004</v>
          </cell>
          <cell r="EB11">
            <v>6</v>
          </cell>
          <cell r="EC11">
            <v>5754.6</v>
          </cell>
          <cell r="ED11">
            <v>7.6000000000003638</v>
          </cell>
          <cell r="EE11">
            <v>1158279</v>
          </cell>
          <cell r="EF11">
            <v>579</v>
          </cell>
          <cell r="EI11">
            <v>239624</v>
          </cell>
          <cell r="EJ11">
            <v>154.70000000001164</v>
          </cell>
          <cell r="EL11">
            <v>12296100</v>
          </cell>
          <cell r="EM11">
            <v>3600</v>
          </cell>
          <cell r="EN11">
            <v>946780</v>
          </cell>
          <cell r="EO11">
            <v>280</v>
          </cell>
          <cell r="EP11">
            <v>7298700</v>
          </cell>
          <cell r="EQ11">
            <v>1100</v>
          </cell>
          <cell r="ER11">
            <v>2511900</v>
          </cell>
          <cell r="ES11">
            <v>500</v>
          </cell>
          <cell r="ET11">
            <v>1308840</v>
          </cell>
          <cell r="EU11">
            <v>690</v>
          </cell>
          <cell r="EV11">
            <v>16740400</v>
          </cell>
          <cell r="EW11">
            <v>4900</v>
          </cell>
          <cell r="EY11">
            <v>43011</v>
          </cell>
          <cell r="EZ11">
            <v>16</v>
          </cell>
          <cell r="FA11">
            <v>37504</v>
          </cell>
          <cell r="FB11">
            <v>11</v>
          </cell>
          <cell r="FC11">
            <v>8098</v>
          </cell>
          <cell r="FD11">
            <v>13</v>
          </cell>
          <cell r="FE11">
            <v>60081</v>
          </cell>
          <cell r="FF11">
            <v>15</v>
          </cell>
          <cell r="FG11">
            <v>51478</v>
          </cell>
          <cell r="FH11">
            <v>35</v>
          </cell>
        </row>
        <row r="12">
          <cell r="B12">
            <v>0.76</v>
          </cell>
          <cell r="E12">
            <v>245300</v>
          </cell>
          <cell r="F12">
            <v>620</v>
          </cell>
          <cell r="G12">
            <v>534</v>
          </cell>
          <cell r="H12">
            <v>267089</v>
          </cell>
          <cell r="I12">
            <v>457</v>
          </cell>
          <cell r="J12">
            <v>115539</v>
          </cell>
          <cell r="K12">
            <v>16416</v>
          </cell>
          <cell r="L12">
            <v>208</v>
          </cell>
          <cell r="N12">
            <v>930563</v>
          </cell>
          <cell r="O12">
            <v>120</v>
          </cell>
          <cell r="Q12">
            <v>245900</v>
          </cell>
          <cell r="R12">
            <v>16</v>
          </cell>
          <cell r="U12">
            <v>120562</v>
          </cell>
          <cell r="V12">
            <v>70</v>
          </cell>
          <cell r="W12">
            <v>40</v>
          </cell>
          <cell r="X12">
            <v>6750</v>
          </cell>
          <cell r="Y12">
            <v>5</v>
          </cell>
          <cell r="AE12">
            <v>8286297.5999999996</v>
          </cell>
          <cell r="AF12">
            <v>1948.7999999998137</v>
          </cell>
          <cell r="AG12">
            <v>3312.9599999999627</v>
          </cell>
          <cell r="AH12">
            <v>15736316.4</v>
          </cell>
          <cell r="AI12">
            <v>4677.1199999991804</v>
          </cell>
          <cell r="AJ12">
            <v>4725.8400000017136</v>
          </cell>
          <cell r="AK12">
            <v>15922572.959999999</v>
          </cell>
          <cell r="AL12">
            <v>0</v>
          </cell>
          <cell r="AM12">
            <v>0</v>
          </cell>
          <cell r="AN12">
            <v>19063648.800000001</v>
          </cell>
          <cell r="AO12">
            <v>8087.519999999553</v>
          </cell>
          <cell r="AP12">
            <v>146.16000000014901</v>
          </cell>
          <cell r="AQ12">
            <v>19334239.68</v>
          </cell>
          <cell r="AR12">
            <v>535.91999999806285</v>
          </cell>
          <cell r="AS12">
            <v>7990.0800000019372</v>
          </cell>
          <cell r="AT12">
            <v>17872444.800000001</v>
          </cell>
          <cell r="AU12">
            <v>5115.6000000014901</v>
          </cell>
          <cell r="AV12">
            <v>5700.2400000002235</v>
          </cell>
          <cell r="AW12">
            <v>15024858.24</v>
          </cell>
          <cell r="AX12">
            <v>3800.160000000149</v>
          </cell>
          <cell r="AY12">
            <v>3946.320000000298</v>
          </cell>
          <cell r="AZ12">
            <v>14569472.4</v>
          </cell>
          <cell r="BA12">
            <v>4530.9600000008941</v>
          </cell>
          <cell r="BB12">
            <v>4092.480000000447</v>
          </cell>
          <cell r="BC12">
            <v>11353513.92</v>
          </cell>
          <cell r="BD12">
            <v>2971.9199999999255</v>
          </cell>
          <cell r="BE12">
            <v>3215.5200000014156</v>
          </cell>
          <cell r="BF12">
            <v>18025230.719999999</v>
          </cell>
          <cell r="BG12">
            <v>5748.9599999971688</v>
          </cell>
          <cell r="BH12">
            <v>5407.9199999999255</v>
          </cell>
          <cell r="BM12">
            <v>78651900</v>
          </cell>
          <cell r="BN12">
            <v>0</v>
          </cell>
          <cell r="BO12">
            <v>0</v>
          </cell>
          <cell r="BP12">
            <v>81579600</v>
          </cell>
          <cell r="BQ12">
            <v>32600</v>
          </cell>
          <cell r="BR12">
            <v>0</v>
          </cell>
          <cell r="BS12">
            <v>75558200</v>
          </cell>
          <cell r="BT12">
            <v>3000</v>
          </cell>
          <cell r="BU12">
            <v>38700</v>
          </cell>
          <cell r="BV12">
            <v>10614070</v>
          </cell>
          <cell r="BW12">
            <v>6390</v>
          </cell>
          <cell r="BY12">
            <v>0.59</v>
          </cell>
          <cell r="BZ12">
            <v>7.0000000000000062E-2</v>
          </cell>
          <cell r="CA12">
            <v>6.0000000000000053E-2</v>
          </cell>
          <cell r="CB12">
            <v>65399</v>
          </cell>
          <cell r="CC12">
            <v>15</v>
          </cell>
          <cell r="CD12">
            <v>56535</v>
          </cell>
          <cell r="CE12">
            <v>20</v>
          </cell>
          <cell r="CF12">
            <v>19088</v>
          </cell>
          <cell r="CG12">
            <v>7</v>
          </cell>
          <cell r="CH12">
            <v>26152</v>
          </cell>
          <cell r="CI12">
            <v>10</v>
          </cell>
          <cell r="CJ12">
            <v>29319</v>
          </cell>
          <cell r="CK12">
            <v>16</v>
          </cell>
          <cell r="CL12">
            <v>64507</v>
          </cell>
          <cell r="CM12">
            <v>36</v>
          </cell>
          <cell r="CN12">
            <v>272347</v>
          </cell>
          <cell r="CO12">
            <v>73</v>
          </cell>
          <cell r="CP12">
            <v>107</v>
          </cell>
          <cell r="CQ12">
            <v>221570</v>
          </cell>
          <cell r="CR12">
            <v>126</v>
          </cell>
          <cell r="CT12">
            <v>370549</v>
          </cell>
          <cell r="CU12">
            <v>262</v>
          </cell>
          <cell r="CV12">
            <v>255</v>
          </cell>
          <cell r="CW12">
            <v>704512</v>
          </cell>
          <cell r="CX12">
            <v>172</v>
          </cell>
          <cell r="CZ12">
            <v>9345</v>
          </cell>
          <cell r="DA12">
            <v>7</v>
          </cell>
          <cell r="DB12">
            <v>6329</v>
          </cell>
          <cell r="DC12">
            <v>5</v>
          </cell>
          <cell r="DD12">
            <v>33041</v>
          </cell>
          <cell r="DE12">
            <v>15</v>
          </cell>
          <cell r="DF12">
            <v>33185</v>
          </cell>
          <cell r="DG12">
            <v>15</v>
          </cell>
          <cell r="DH12">
            <v>22443</v>
          </cell>
          <cell r="DI12">
            <v>8</v>
          </cell>
          <cell r="DJ12">
            <v>24371</v>
          </cell>
          <cell r="DK12">
            <v>5</v>
          </cell>
          <cell r="DL12">
            <v>7726</v>
          </cell>
          <cell r="DM12">
            <v>12</v>
          </cell>
          <cell r="DN12">
            <v>10232</v>
          </cell>
          <cell r="DO12">
            <v>11</v>
          </cell>
          <cell r="DP12">
            <v>3532</v>
          </cell>
          <cell r="DQ12">
            <v>6</v>
          </cell>
          <cell r="DR12">
            <v>6920</v>
          </cell>
          <cell r="DS12">
            <v>9</v>
          </cell>
          <cell r="DT12">
            <v>30514</v>
          </cell>
          <cell r="DU12">
            <v>0</v>
          </cell>
          <cell r="DW12">
            <v>6960.4</v>
          </cell>
          <cell r="DX12">
            <v>11.799999999999272</v>
          </cell>
          <cell r="DY12">
            <v>11727.2</v>
          </cell>
          <cell r="DZ12">
            <v>7.8000000000010914</v>
          </cell>
          <cell r="EA12">
            <v>5166.2</v>
          </cell>
          <cell r="EB12">
            <v>6.0999999999994543</v>
          </cell>
          <cell r="EC12">
            <v>5762.5</v>
          </cell>
          <cell r="ED12">
            <v>7.8999999999996362</v>
          </cell>
          <cell r="EE12">
            <v>1158881</v>
          </cell>
          <cell r="EF12">
            <v>602</v>
          </cell>
          <cell r="EI12">
            <v>239779.7</v>
          </cell>
          <cell r="EJ12">
            <v>155.70000000001164</v>
          </cell>
          <cell r="EL12">
            <v>12298700</v>
          </cell>
          <cell r="EM12">
            <v>2600</v>
          </cell>
          <cell r="EN12">
            <v>947000</v>
          </cell>
          <cell r="EO12">
            <v>220</v>
          </cell>
          <cell r="EP12">
            <v>7299500</v>
          </cell>
          <cell r="EQ12">
            <v>800</v>
          </cell>
          <cell r="ER12">
            <v>2512300</v>
          </cell>
          <cell r="ES12">
            <v>400</v>
          </cell>
          <cell r="ET12">
            <v>1309460</v>
          </cell>
          <cell r="EU12">
            <v>620</v>
          </cell>
          <cell r="EV12">
            <v>16741100</v>
          </cell>
          <cell r="EW12">
            <v>700</v>
          </cell>
          <cell r="EY12">
            <v>43028</v>
          </cell>
          <cell r="EZ12">
            <v>17</v>
          </cell>
          <cell r="FA12">
            <v>37516</v>
          </cell>
          <cell r="FB12">
            <v>12</v>
          </cell>
          <cell r="FC12">
            <v>8110</v>
          </cell>
          <cell r="FD12">
            <v>12</v>
          </cell>
          <cell r="FE12">
            <v>60095</v>
          </cell>
          <cell r="FF12">
            <v>14</v>
          </cell>
          <cell r="FG12">
            <v>51516</v>
          </cell>
          <cell r="FH12">
            <v>38</v>
          </cell>
        </row>
        <row r="13">
          <cell r="B13">
            <v>0.69</v>
          </cell>
          <cell r="E13">
            <v>245833</v>
          </cell>
          <cell r="F13">
            <v>533</v>
          </cell>
          <cell r="G13">
            <v>606</v>
          </cell>
          <cell r="H13">
            <v>267514</v>
          </cell>
          <cell r="I13">
            <v>425</v>
          </cell>
          <cell r="J13">
            <v>116003</v>
          </cell>
          <cell r="K13">
            <v>16641</v>
          </cell>
          <cell r="L13">
            <v>225</v>
          </cell>
          <cell r="N13">
            <v>930787</v>
          </cell>
          <cell r="O13">
            <v>224</v>
          </cell>
          <cell r="Q13">
            <v>245905</v>
          </cell>
          <cell r="R13">
            <v>5</v>
          </cell>
          <cell r="U13">
            <v>120633</v>
          </cell>
          <cell r="V13">
            <v>71</v>
          </cell>
          <cell r="W13">
            <v>88</v>
          </cell>
          <cell r="X13">
            <v>6760</v>
          </cell>
          <cell r="Y13">
            <v>10</v>
          </cell>
          <cell r="AE13">
            <v>8288295.1199999992</v>
          </cell>
          <cell r="AF13">
            <v>1997.519999999553</v>
          </cell>
          <cell r="AG13">
            <v>2241.1200000001118</v>
          </cell>
          <cell r="AH13">
            <v>15741090.959999999</v>
          </cell>
          <cell r="AI13">
            <v>4774.5599999986589</v>
          </cell>
          <cell r="AJ13">
            <v>5066.8800000008196</v>
          </cell>
          <cell r="AK13">
            <v>15923596.08</v>
          </cell>
          <cell r="AL13">
            <v>1023.1200000010431</v>
          </cell>
          <cell r="AM13">
            <v>0</v>
          </cell>
          <cell r="AN13">
            <v>19071200.399999999</v>
          </cell>
          <cell r="AO13">
            <v>7551.5999999977648</v>
          </cell>
          <cell r="AP13">
            <v>9744</v>
          </cell>
          <cell r="AQ13">
            <v>19334288.399999999</v>
          </cell>
          <cell r="AR13">
            <v>48.719999998807907</v>
          </cell>
          <cell r="AS13">
            <v>1656.480000000447</v>
          </cell>
          <cell r="AT13">
            <v>17878583.52</v>
          </cell>
          <cell r="AU13">
            <v>6138.7199999988079</v>
          </cell>
          <cell r="AV13">
            <v>5992.5599999986589</v>
          </cell>
          <cell r="AW13">
            <v>15028560.959999999</v>
          </cell>
          <cell r="AX13">
            <v>3702.7199999988079</v>
          </cell>
          <cell r="AY13">
            <v>4384.7999999988824</v>
          </cell>
          <cell r="AZ13">
            <v>14573759.76</v>
          </cell>
          <cell r="BA13">
            <v>4287.359999999404</v>
          </cell>
          <cell r="BB13">
            <v>4482.2400000002235</v>
          </cell>
          <cell r="BC13">
            <v>11356583.280000001</v>
          </cell>
          <cell r="BD13">
            <v>3069.3600000012666</v>
          </cell>
          <cell r="BE13">
            <v>4043.7599999997765</v>
          </cell>
          <cell r="BF13">
            <v>18030833.52</v>
          </cell>
          <cell r="BG13">
            <v>5602.8000000007451</v>
          </cell>
          <cell r="BH13">
            <v>6090</v>
          </cell>
          <cell r="BM13">
            <v>78656200</v>
          </cell>
          <cell r="BN13">
            <v>4300</v>
          </cell>
          <cell r="BO13">
            <v>0</v>
          </cell>
          <cell r="BP13">
            <v>81612700</v>
          </cell>
          <cell r="BQ13">
            <v>33100</v>
          </cell>
          <cell r="BR13">
            <v>40000</v>
          </cell>
          <cell r="BS13">
            <v>75558200</v>
          </cell>
          <cell r="BT13">
            <v>0</v>
          </cell>
          <cell r="BU13">
            <v>2800</v>
          </cell>
          <cell r="BV13">
            <v>10620300</v>
          </cell>
          <cell r="BW13">
            <v>6230</v>
          </cell>
          <cell r="BY13">
            <v>0.5</v>
          </cell>
          <cell r="BZ13">
            <v>8.9999999999999969E-2</v>
          </cell>
          <cell r="CA13">
            <v>-0.15000000000000002</v>
          </cell>
          <cell r="CB13">
            <v>65415</v>
          </cell>
          <cell r="CC13">
            <v>16</v>
          </cell>
          <cell r="CD13">
            <v>56557</v>
          </cell>
          <cell r="CE13">
            <v>22</v>
          </cell>
          <cell r="CF13">
            <v>19094</v>
          </cell>
          <cell r="CG13">
            <v>6</v>
          </cell>
          <cell r="CH13">
            <v>26161</v>
          </cell>
          <cell r="CI13">
            <v>9</v>
          </cell>
          <cell r="CJ13">
            <v>29334</v>
          </cell>
          <cell r="CK13">
            <v>15</v>
          </cell>
          <cell r="CL13">
            <v>64541</v>
          </cell>
          <cell r="CM13">
            <v>34</v>
          </cell>
          <cell r="CN13">
            <v>272422</v>
          </cell>
          <cell r="CO13">
            <v>75</v>
          </cell>
          <cell r="CP13">
            <v>113</v>
          </cell>
          <cell r="CQ13">
            <v>221695</v>
          </cell>
          <cell r="CR13">
            <v>125</v>
          </cell>
          <cell r="CT13">
            <v>370812</v>
          </cell>
          <cell r="CU13">
            <v>263</v>
          </cell>
          <cell r="CV13">
            <v>310</v>
          </cell>
          <cell r="CW13">
            <v>704686</v>
          </cell>
          <cell r="CX13">
            <v>174</v>
          </cell>
          <cell r="CZ13">
            <v>9352</v>
          </cell>
          <cell r="DA13">
            <v>7</v>
          </cell>
          <cell r="DB13">
            <v>6333</v>
          </cell>
          <cell r="DC13">
            <v>4</v>
          </cell>
          <cell r="DD13">
            <v>33057</v>
          </cell>
          <cell r="DE13">
            <v>16</v>
          </cell>
          <cell r="DF13">
            <v>33201</v>
          </cell>
          <cell r="DG13">
            <v>16</v>
          </cell>
          <cell r="DH13">
            <v>22452</v>
          </cell>
          <cell r="DI13">
            <v>9</v>
          </cell>
          <cell r="DJ13">
            <v>24375</v>
          </cell>
          <cell r="DK13">
            <v>4</v>
          </cell>
          <cell r="DL13">
            <v>7738</v>
          </cell>
          <cell r="DM13">
            <v>12</v>
          </cell>
          <cell r="DN13">
            <v>10241</v>
          </cell>
          <cell r="DO13">
            <v>9</v>
          </cell>
          <cell r="DP13">
            <v>3535</v>
          </cell>
          <cell r="DQ13">
            <v>3</v>
          </cell>
          <cell r="DR13">
            <v>6927</v>
          </cell>
          <cell r="DS13">
            <v>7</v>
          </cell>
          <cell r="DT13">
            <v>30518</v>
          </cell>
          <cell r="DU13">
            <v>4</v>
          </cell>
          <cell r="DW13">
            <v>6971.2</v>
          </cell>
          <cell r="DX13">
            <v>10.800000000000182</v>
          </cell>
          <cell r="DY13">
            <v>11735.1</v>
          </cell>
          <cell r="DZ13">
            <v>7.8999999999996362</v>
          </cell>
          <cell r="EA13">
            <v>5172</v>
          </cell>
          <cell r="EB13">
            <v>5.8000000000001819</v>
          </cell>
          <cell r="EC13">
            <v>5770</v>
          </cell>
          <cell r="ED13">
            <v>7.5</v>
          </cell>
          <cell r="EE13">
            <v>1159411</v>
          </cell>
          <cell r="EF13">
            <v>530</v>
          </cell>
          <cell r="EI13">
            <v>239930.4</v>
          </cell>
          <cell r="EJ13">
            <v>150.69999999998254</v>
          </cell>
          <cell r="EL13">
            <v>12301300</v>
          </cell>
          <cell r="EM13">
            <v>2600</v>
          </cell>
          <cell r="EN13">
            <v>947250</v>
          </cell>
          <cell r="EO13">
            <v>250</v>
          </cell>
          <cell r="EP13">
            <v>7300300</v>
          </cell>
          <cell r="EQ13">
            <v>800</v>
          </cell>
          <cell r="ER13">
            <v>2512800</v>
          </cell>
          <cell r="ES13">
            <v>500</v>
          </cell>
          <cell r="ET13">
            <v>1310100</v>
          </cell>
          <cell r="EU13">
            <v>640</v>
          </cell>
          <cell r="EV13">
            <v>16742300</v>
          </cell>
          <cell r="EW13">
            <v>1200</v>
          </cell>
          <cell r="EY13">
            <v>43045</v>
          </cell>
          <cell r="EZ13">
            <v>17</v>
          </cell>
          <cell r="FA13">
            <v>37526</v>
          </cell>
          <cell r="FB13">
            <v>10</v>
          </cell>
          <cell r="FC13">
            <v>8120</v>
          </cell>
          <cell r="FD13">
            <v>10</v>
          </cell>
          <cell r="FE13">
            <v>60107</v>
          </cell>
          <cell r="FF13">
            <v>12</v>
          </cell>
          <cell r="FG13">
            <v>51547</v>
          </cell>
          <cell r="FH13">
            <v>31</v>
          </cell>
        </row>
        <row r="14">
          <cell r="F14">
            <v>-245833</v>
          </cell>
          <cell r="G14">
            <v>492</v>
          </cell>
          <cell r="I14">
            <v>-267514</v>
          </cell>
          <cell r="J14">
            <v>116374</v>
          </cell>
          <cell r="L14">
            <v>-16641</v>
          </cell>
          <cell r="O14">
            <v>-930787</v>
          </cell>
          <cell r="R14">
            <v>-245905</v>
          </cell>
          <cell r="V14">
            <v>-120633</v>
          </cell>
          <cell r="W14">
            <v>257.80000000004657</v>
          </cell>
          <cell r="Y14">
            <v>-6760</v>
          </cell>
          <cell r="AF14">
            <v>-8288295.1199999992</v>
          </cell>
          <cell r="AG14">
            <v>2046.2400000002235</v>
          </cell>
          <cell r="AI14">
            <v>-15741090.959999999</v>
          </cell>
          <cell r="AJ14">
            <v>4482.2400000002235</v>
          </cell>
          <cell r="AL14">
            <v>-15923596.08</v>
          </cell>
          <cell r="AM14">
            <v>0</v>
          </cell>
          <cell r="AO14">
            <v>-19071200.399999999</v>
          </cell>
          <cell r="AP14">
            <v>8379.839999999851</v>
          </cell>
          <cell r="AR14">
            <v>-19334288.399999999</v>
          </cell>
          <cell r="AS14">
            <v>876.95999999716878</v>
          </cell>
          <cell r="AU14">
            <v>-17878583.52</v>
          </cell>
          <cell r="AV14">
            <v>5554.0800000019372</v>
          </cell>
          <cell r="AX14">
            <v>-15028560.959999999</v>
          </cell>
          <cell r="AY14">
            <v>4092.4800000023097</v>
          </cell>
          <cell r="BA14">
            <v>-14573759.76</v>
          </cell>
          <cell r="BB14">
            <v>4043.7599999997765</v>
          </cell>
          <cell r="BD14">
            <v>-11356583.280000001</v>
          </cell>
          <cell r="BE14">
            <v>3751.4400000013411</v>
          </cell>
          <cell r="BG14">
            <v>-18030833.52</v>
          </cell>
          <cell r="BH14">
            <v>5310.480000000447</v>
          </cell>
          <cell r="BN14">
            <v>-78656200</v>
          </cell>
          <cell r="BO14">
            <v>0</v>
          </cell>
          <cell r="BQ14">
            <v>-81612700</v>
          </cell>
          <cell r="BR14">
            <v>37600</v>
          </cell>
          <cell r="BT14">
            <v>-75558200</v>
          </cell>
          <cell r="BU14">
            <v>0</v>
          </cell>
          <cell r="BW14">
            <v>-10620300</v>
          </cell>
          <cell r="BZ14">
            <v>0.5</v>
          </cell>
          <cell r="CA14">
            <v>8.0000000000000071E-2</v>
          </cell>
          <cell r="CC14">
            <v>-65415</v>
          </cell>
          <cell r="CE14">
            <v>-56557</v>
          </cell>
          <cell r="CG14">
            <v>-19094</v>
          </cell>
          <cell r="CI14">
            <v>-26161</v>
          </cell>
          <cell r="CK14">
            <v>-29334</v>
          </cell>
          <cell r="CM14">
            <v>-64541</v>
          </cell>
          <cell r="CO14">
            <v>-272422</v>
          </cell>
          <cell r="CP14">
            <v>103</v>
          </cell>
          <cell r="CR14">
            <v>-221695</v>
          </cell>
          <cell r="CU14">
            <v>-370812</v>
          </cell>
          <cell r="CV14">
            <v>406</v>
          </cell>
          <cell r="CX14">
            <v>-704686</v>
          </cell>
          <cell r="DA14">
            <v>-9352</v>
          </cell>
          <cell r="DC14">
            <v>-6333</v>
          </cell>
          <cell r="DE14">
            <v>-33057</v>
          </cell>
          <cell r="DG14">
            <v>-33201</v>
          </cell>
          <cell r="DI14">
            <v>-22452</v>
          </cell>
          <cell r="DK14">
            <v>-24375</v>
          </cell>
          <cell r="DM14">
            <v>-7738</v>
          </cell>
          <cell r="DO14">
            <v>-10241</v>
          </cell>
          <cell r="DQ14">
            <v>-3535</v>
          </cell>
          <cell r="DS14">
            <v>-6927</v>
          </cell>
          <cell r="DU14">
            <v>-30518</v>
          </cell>
          <cell r="DX14">
            <v>-6971.2</v>
          </cell>
          <cell r="DZ14">
            <v>-11735.1</v>
          </cell>
          <cell r="EB14">
            <v>-5172</v>
          </cell>
          <cell r="ED14">
            <v>-5770</v>
          </cell>
          <cell r="EF14">
            <v>-1159411</v>
          </cell>
          <cell r="EJ14">
            <v>-239930.4</v>
          </cell>
          <cell r="EM14">
            <v>-12301300</v>
          </cell>
          <cell r="EO14">
            <v>-947250</v>
          </cell>
          <cell r="EQ14">
            <v>-7300300</v>
          </cell>
          <cell r="ES14">
            <v>-2512800</v>
          </cell>
          <cell r="EU14">
            <v>-1310100</v>
          </cell>
          <cell r="EW14">
            <v>-16742300</v>
          </cell>
          <cell r="EZ14">
            <v>-43045</v>
          </cell>
          <cell r="FB14">
            <v>-37526</v>
          </cell>
          <cell r="FD14">
            <v>-8120</v>
          </cell>
          <cell r="FF14">
            <v>-60107</v>
          </cell>
          <cell r="FH14">
            <v>-51547</v>
          </cell>
        </row>
        <row r="15">
          <cell r="F15">
            <v>0</v>
          </cell>
          <cell r="G15">
            <v>518</v>
          </cell>
          <cell r="I15">
            <v>0</v>
          </cell>
          <cell r="J15">
            <v>116762</v>
          </cell>
          <cell r="L15">
            <v>0</v>
          </cell>
          <cell r="O15">
            <v>0</v>
          </cell>
          <cell r="R15">
            <v>0</v>
          </cell>
          <cell r="V15">
            <v>0</v>
          </cell>
          <cell r="W15">
            <v>218.39999999990687</v>
          </cell>
          <cell r="Y15">
            <v>0</v>
          </cell>
          <cell r="AF15">
            <v>0</v>
          </cell>
          <cell r="AG15">
            <v>2874.4799999995157</v>
          </cell>
          <cell r="AI15">
            <v>0</v>
          </cell>
          <cell r="AJ15">
            <v>4823.2799999993294</v>
          </cell>
          <cell r="AL15">
            <v>0</v>
          </cell>
          <cell r="AM15">
            <v>0</v>
          </cell>
          <cell r="AO15">
            <v>0</v>
          </cell>
          <cell r="AP15">
            <v>7990.0799999982119</v>
          </cell>
          <cell r="AR15">
            <v>0</v>
          </cell>
          <cell r="AS15">
            <v>48.720000002533197</v>
          </cell>
          <cell r="AU15">
            <v>0</v>
          </cell>
          <cell r="AV15">
            <v>5846.3999999985099</v>
          </cell>
          <cell r="AX15">
            <v>0</v>
          </cell>
          <cell r="AY15">
            <v>4384.7999999988824</v>
          </cell>
          <cell r="BA15">
            <v>0</v>
          </cell>
          <cell r="BB15">
            <v>4238.640000000596</v>
          </cell>
          <cell r="BD15">
            <v>0</v>
          </cell>
          <cell r="BE15">
            <v>3800.1599999982864</v>
          </cell>
          <cell r="BG15">
            <v>0</v>
          </cell>
          <cell r="BH15">
            <v>5359.1999999992549</v>
          </cell>
          <cell r="BN15">
            <v>0</v>
          </cell>
          <cell r="BO15">
            <v>0</v>
          </cell>
          <cell r="BQ15">
            <v>0</v>
          </cell>
          <cell r="BR15">
            <v>32500</v>
          </cell>
          <cell r="BT15">
            <v>0</v>
          </cell>
          <cell r="BU15">
            <v>0</v>
          </cell>
          <cell r="BW15">
            <v>0</v>
          </cell>
          <cell r="BZ15">
            <v>0</v>
          </cell>
          <cell r="CA15">
            <v>-9.000000000000008E-2</v>
          </cell>
          <cell r="CC15">
            <v>0</v>
          </cell>
          <cell r="CE15">
            <v>0</v>
          </cell>
          <cell r="CG15">
            <v>0</v>
          </cell>
          <cell r="CI15">
            <v>0</v>
          </cell>
          <cell r="CK15">
            <v>0</v>
          </cell>
          <cell r="CM15">
            <v>0</v>
          </cell>
          <cell r="CO15">
            <v>0</v>
          </cell>
          <cell r="CP15">
            <v>108</v>
          </cell>
          <cell r="CR15">
            <v>0</v>
          </cell>
          <cell r="CU15">
            <v>0</v>
          </cell>
          <cell r="CV15">
            <v>447</v>
          </cell>
          <cell r="CX15">
            <v>0</v>
          </cell>
          <cell r="DA15">
            <v>0</v>
          </cell>
          <cell r="DC15">
            <v>0</v>
          </cell>
          <cell r="DE15">
            <v>0</v>
          </cell>
          <cell r="DG15">
            <v>0</v>
          </cell>
          <cell r="DI15">
            <v>0</v>
          </cell>
          <cell r="DK15">
            <v>0</v>
          </cell>
          <cell r="DM15">
            <v>0</v>
          </cell>
          <cell r="DO15">
            <v>0</v>
          </cell>
          <cell r="DQ15">
            <v>0</v>
          </cell>
          <cell r="DS15">
            <v>0</v>
          </cell>
          <cell r="DU15">
            <v>0</v>
          </cell>
          <cell r="DX15">
            <v>0</v>
          </cell>
          <cell r="DZ15">
            <v>0</v>
          </cell>
          <cell r="EB15">
            <v>0</v>
          </cell>
          <cell r="ED15">
            <v>0</v>
          </cell>
          <cell r="EF15">
            <v>0</v>
          </cell>
          <cell r="EJ15">
            <v>0</v>
          </cell>
          <cell r="EM15">
            <v>0</v>
          </cell>
          <cell r="EO15">
            <v>0</v>
          </cell>
          <cell r="EQ15">
            <v>0</v>
          </cell>
          <cell r="ES15">
            <v>0</v>
          </cell>
          <cell r="EU15">
            <v>0</v>
          </cell>
          <cell r="EW15">
            <v>0</v>
          </cell>
          <cell r="EZ15">
            <v>0</v>
          </cell>
          <cell r="FB15">
            <v>0</v>
          </cell>
          <cell r="FD15">
            <v>0</v>
          </cell>
          <cell r="FF15">
            <v>0</v>
          </cell>
          <cell r="FH15">
            <v>0</v>
          </cell>
        </row>
        <row r="16">
          <cell r="F16">
            <v>0</v>
          </cell>
          <cell r="G16">
            <v>521</v>
          </cell>
          <cell r="I16">
            <v>0</v>
          </cell>
          <cell r="J16">
            <v>117183</v>
          </cell>
          <cell r="L16">
            <v>0</v>
          </cell>
          <cell r="O16">
            <v>0</v>
          </cell>
          <cell r="R16">
            <v>0</v>
          </cell>
          <cell r="V16">
            <v>0</v>
          </cell>
          <cell r="W16">
            <v>50.800000000046566</v>
          </cell>
          <cell r="Y16">
            <v>0</v>
          </cell>
          <cell r="AF16">
            <v>0</v>
          </cell>
          <cell r="AG16">
            <v>2874.480000000447</v>
          </cell>
          <cell r="AI16">
            <v>0</v>
          </cell>
          <cell r="AJ16">
            <v>4774.5599999986589</v>
          </cell>
          <cell r="AL16">
            <v>0</v>
          </cell>
          <cell r="AM16">
            <v>0</v>
          </cell>
          <cell r="AO16">
            <v>0</v>
          </cell>
          <cell r="AP16">
            <v>2484.7200000025332</v>
          </cell>
          <cell r="AR16">
            <v>0</v>
          </cell>
          <cell r="AS16">
            <v>4823.2799999974668</v>
          </cell>
          <cell r="AU16">
            <v>0</v>
          </cell>
          <cell r="AV16">
            <v>5602.8000000007451</v>
          </cell>
          <cell r="AX16">
            <v>0</v>
          </cell>
          <cell r="AY16">
            <v>4287.359999999404</v>
          </cell>
          <cell r="BA16">
            <v>0</v>
          </cell>
          <cell r="BB16">
            <v>4287.359999999404</v>
          </cell>
          <cell r="BD16">
            <v>0</v>
          </cell>
          <cell r="BE16">
            <v>3410.4000000003725</v>
          </cell>
          <cell r="BG16">
            <v>0</v>
          </cell>
          <cell r="BH16">
            <v>5456.6399999987334</v>
          </cell>
          <cell r="BN16">
            <v>0</v>
          </cell>
          <cell r="BO16">
            <v>0</v>
          </cell>
          <cell r="BQ16">
            <v>0</v>
          </cell>
          <cell r="BR16">
            <v>10800</v>
          </cell>
          <cell r="BT16">
            <v>0</v>
          </cell>
          <cell r="BU16">
            <v>21400</v>
          </cell>
          <cell r="BW16">
            <v>0</v>
          </cell>
          <cell r="BZ16">
            <v>0</v>
          </cell>
          <cell r="CA16">
            <v>9.9999999999999978E-2</v>
          </cell>
          <cell r="CC16">
            <v>0</v>
          </cell>
          <cell r="CE16">
            <v>0</v>
          </cell>
          <cell r="CG16">
            <v>0</v>
          </cell>
          <cell r="CI16">
            <v>0</v>
          </cell>
          <cell r="CK16">
            <v>0</v>
          </cell>
          <cell r="CM16">
            <v>0</v>
          </cell>
          <cell r="CO16">
            <v>0</v>
          </cell>
          <cell r="CP16">
            <v>108</v>
          </cell>
          <cell r="CR16">
            <v>0</v>
          </cell>
          <cell r="CU16">
            <v>0</v>
          </cell>
          <cell r="CV16">
            <v>447</v>
          </cell>
          <cell r="CX16">
            <v>0</v>
          </cell>
          <cell r="DA16">
            <v>0</v>
          </cell>
          <cell r="DC16">
            <v>0</v>
          </cell>
          <cell r="DE16">
            <v>0</v>
          </cell>
          <cell r="DG16">
            <v>0</v>
          </cell>
          <cell r="DI16">
            <v>0</v>
          </cell>
          <cell r="DK16">
            <v>0</v>
          </cell>
          <cell r="DM16">
            <v>0</v>
          </cell>
          <cell r="DO16">
            <v>0</v>
          </cell>
          <cell r="DQ16">
            <v>0</v>
          </cell>
          <cell r="DS16">
            <v>0</v>
          </cell>
          <cell r="DU16">
            <v>0</v>
          </cell>
          <cell r="DX16">
            <v>0</v>
          </cell>
          <cell r="DZ16">
            <v>0</v>
          </cell>
          <cell r="EB16">
            <v>0</v>
          </cell>
          <cell r="ED16">
            <v>0</v>
          </cell>
          <cell r="EF16">
            <v>0</v>
          </cell>
          <cell r="EJ16">
            <v>0</v>
          </cell>
          <cell r="EM16">
            <v>0</v>
          </cell>
          <cell r="EO16">
            <v>0</v>
          </cell>
          <cell r="EQ16">
            <v>0</v>
          </cell>
          <cell r="ES16">
            <v>0</v>
          </cell>
          <cell r="EU16">
            <v>0</v>
          </cell>
          <cell r="EW16">
            <v>0</v>
          </cell>
          <cell r="EZ16">
            <v>0</v>
          </cell>
          <cell r="FB16">
            <v>0</v>
          </cell>
          <cell r="FD16">
            <v>0</v>
          </cell>
          <cell r="FF16">
            <v>0</v>
          </cell>
          <cell r="FH16">
            <v>0</v>
          </cell>
        </row>
        <row r="17">
          <cell r="F17">
            <v>0</v>
          </cell>
          <cell r="G17">
            <v>587</v>
          </cell>
          <cell r="I17">
            <v>0</v>
          </cell>
          <cell r="J17">
            <v>117634</v>
          </cell>
          <cell r="L17">
            <v>0</v>
          </cell>
          <cell r="O17">
            <v>0</v>
          </cell>
          <cell r="R17">
            <v>0</v>
          </cell>
          <cell r="V17">
            <v>0</v>
          </cell>
          <cell r="W17">
            <v>97</v>
          </cell>
          <cell r="Y17">
            <v>0</v>
          </cell>
          <cell r="AF17">
            <v>0</v>
          </cell>
          <cell r="AG17">
            <v>2143.679999999702</v>
          </cell>
          <cell r="AI17">
            <v>0</v>
          </cell>
          <cell r="AJ17">
            <v>4628.4000000003725</v>
          </cell>
          <cell r="AL17">
            <v>0</v>
          </cell>
          <cell r="AM17">
            <v>1120.5599999986589</v>
          </cell>
          <cell r="AO17">
            <v>0</v>
          </cell>
          <cell r="AP17">
            <v>8087.519999999553</v>
          </cell>
          <cell r="AR17">
            <v>0</v>
          </cell>
          <cell r="AS17">
            <v>0</v>
          </cell>
          <cell r="AU17">
            <v>0</v>
          </cell>
          <cell r="AV17">
            <v>5748.9599999990314</v>
          </cell>
          <cell r="AX17">
            <v>0</v>
          </cell>
          <cell r="AY17">
            <v>4384.8000000007451</v>
          </cell>
          <cell r="BA17">
            <v>0</v>
          </cell>
          <cell r="BB17">
            <v>4530.9599999990314</v>
          </cell>
          <cell r="BD17">
            <v>0</v>
          </cell>
          <cell r="BE17">
            <v>3556.5600000005215</v>
          </cell>
          <cell r="BG17">
            <v>0</v>
          </cell>
          <cell r="BH17">
            <v>5359.2000000011176</v>
          </cell>
          <cell r="BN17">
            <v>0</v>
          </cell>
          <cell r="BO17">
            <v>0</v>
          </cell>
          <cell r="BQ17">
            <v>0</v>
          </cell>
          <cell r="BR17">
            <v>34600</v>
          </cell>
          <cell r="BT17">
            <v>0</v>
          </cell>
          <cell r="BU17">
            <v>0</v>
          </cell>
          <cell r="BW17">
            <v>0</v>
          </cell>
          <cell r="BZ17">
            <v>0</v>
          </cell>
          <cell r="CA17">
            <v>8.0000000000000071E-2</v>
          </cell>
          <cell r="CC17">
            <v>0</v>
          </cell>
          <cell r="CE17">
            <v>0</v>
          </cell>
          <cell r="CG17">
            <v>0</v>
          </cell>
          <cell r="CI17">
            <v>0</v>
          </cell>
          <cell r="CK17">
            <v>0</v>
          </cell>
          <cell r="CM17">
            <v>0</v>
          </cell>
          <cell r="CO17">
            <v>0</v>
          </cell>
          <cell r="CP17">
            <v>107</v>
          </cell>
          <cell r="CR17">
            <v>0</v>
          </cell>
          <cell r="CU17">
            <v>0</v>
          </cell>
          <cell r="CV17">
            <v>318</v>
          </cell>
          <cell r="CX17">
            <v>0</v>
          </cell>
          <cell r="DA17">
            <v>0</v>
          </cell>
          <cell r="DC17">
            <v>0</v>
          </cell>
          <cell r="DE17">
            <v>0</v>
          </cell>
          <cell r="DG17">
            <v>0</v>
          </cell>
          <cell r="DI17">
            <v>0</v>
          </cell>
          <cell r="DK17">
            <v>0</v>
          </cell>
          <cell r="DM17">
            <v>0</v>
          </cell>
          <cell r="DO17">
            <v>0</v>
          </cell>
          <cell r="DQ17">
            <v>0</v>
          </cell>
          <cell r="DS17">
            <v>0</v>
          </cell>
          <cell r="DU17">
            <v>0</v>
          </cell>
          <cell r="DX17">
            <v>0</v>
          </cell>
          <cell r="DZ17">
            <v>0</v>
          </cell>
          <cell r="EB17">
            <v>0</v>
          </cell>
          <cell r="ED17">
            <v>0</v>
          </cell>
          <cell r="EF17">
            <v>0</v>
          </cell>
          <cell r="EJ17">
            <v>0</v>
          </cell>
          <cell r="EM17">
            <v>0</v>
          </cell>
          <cell r="EO17">
            <v>0</v>
          </cell>
          <cell r="EQ17">
            <v>0</v>
          </cell>
          <cell r="ES17">
            <v>0</v>
          </cell>
          <cell r="EU17">
            <v>0</v>
          </cell>
          <cell r="EW17">
            <v>0</v>
          </cell>
          <cell r="EZ17">
            <v>0</v>
          </cell>
          <cell r="FB17">
            <v>0</v>
          </cell>
          <cell r="FD17">
            <v>0</v>
          </cell>
          <cell r="FF17">
            <v>0</v>
          </cell>
          <cell r="FH17">
            <v>0</v>
          </cell>
        </row>
        <row r="18">
          <cell r="F18">
            <v>0</v>
          </cell>
          <cell r="G18">
            <v>557</v>
          </cell>
          <cell r="I18">
            <v>0</v>
          </cell>
          <cell r="J18">
            <v>118068</v>
          </cell>
          <cell r="L18">
            <v>0</v>
          </cell>
          <cell r="O18">
            <v>0</v>
          </cell>
          <cell r="R18">
            <v>0</v>
          </cell>
          <cell r="V18">
            <v>0</v>
          </cell>
          <cell r="W18">
            <v>41.699999999953434</v>
          </cell>
          <cell r="Y18">
            <v>0</v>
          </cell>
          <cell r="AF18">
            <v>0</v>
          </cell>
          <cell r="AG18">
            <v>1997.5200000004843</v>
          </cell>
          <cell r="AI18">
            <v>0</v>
          </cell>
          <cell r="AJ18">
            <v>4579.679999999702</v>
          </cell>
          <cell r="AL18">
            <v>0</v>
          </cell>
          <cell r="AM18">
            <v>1364.160000000149</v>
          </cell>
          <cell r="AO18">
            <v>0</v>
          </cell>
          <cell r="AP18">
            <v>8720.8799999989569</v>
          </cell>
          <cell r="AR18">
            <v>0</v>
          </cell>
          <cell r="AS18">
            <v>0</v>
          </cell>
          <cell r="AU18">
            <v>0</v>
          </cell>
          <cell r="AV18">
            <v>5895.1200000010431</v>
          </cell>
          <cell r="AX18">
            <v>0</v>
          </cell>
          <cell r="AY18">
            <v>3848.8800000008196</v>
          </cell>
          <cell r="BA18">
            <v>0</v>
          </cell>
          <cell r="BB18">
            <v>4189.9199999999255</v>
          </cell>
          <cell r="BD18">
            <v>0</v>
          </cell>
          <cell r="BE18">
            <v>3069.359999999404</v>
          </cell>
          <cell r="BG18">
            <v>0</v>
          </cell>
          <cell r="BH18">
            <v>5554.0800000000745</v>
          </cell>
          <cell r="BN18">
            <v>0</v>
          </cell>
          <cell r="BO18">
            <v>0</v>
          </cell>
          <cell r="BQ18">
            <v>0</v>
          </cell>
          <cell r="BR18">
            <v>38100</v>
          </cell>
          <cell r="BT18">
            <v>0</v>
          </cell>
          <cell r="BU18">
            <v>0</v>
          </cell>
          <cell r="BW18">
            <v>0</v>
          </cell>
          <cell r="BZ18">
            <v>0</v>
          </cell>
          <cell r="CA18">
            <v>9.9999999999999978E-2</v>
          </cell>
          <cell r="CC18">
            <v>0</v>
          </cell>
          <cell r="CE18">
            <v>0</v>
          </cell>
          <cell r="CG18">
            <v>0</v>
          </cell>
          <cell r="CI18">
            <v>0</v>
          </cell>
          <cell r="CK18">
            <v>0</v>
          </cell>
          <cell r="CM18">
            <v>0</v>
          </cell>
          <cell r="CO18">
            <v>0</v>
          </cell>
          <cell r="CP18">
            <v>108</v>
          </cell>
          <cell r="CR18">
            <v>0</v>
          </cell>
          <cell r="CU18">
            <v>0</v>
          </cell>
          <cell r="CV18">
            <v>226</v>
          </cell>
          <cell r="CX18">
            <v>0</v>
          </cell>
          <cell r="DA18">
            <v>0</v>
          </cell>
          <cell r="DC18">
            <v>0</v>
          </cell>
          <cell r="DE18">
            <v>0</v>
          </cell>
          <cell r="DG18">
            <v>0</v>
          </cell>
          <cell r="DI18">
            <v>0</v>
          </cell>
          <cell r="DK18">
            <v>0</v>
          </cell>
          <cell r="DM18">
            <v>0</v>
          </cell>
          <cell r="DO18">
            <v>0</v>
          </cell>
          <cell r="DQ18">
            <v>0</v>
          </cell>
          <cell r="DS18">
            <v>0</v>
          </cell>
          <cell r="DU18">
            <v>0</v>
          </cell>
          <cell r="DX18">
            <v>0</v>
          </cell>
          <cell r="DZ18">
            <v>0</v>
          </cell>
          <cell r="EB18">
            <v>0</v>
          </cell>
          <cell r="ED18">
            <v>0</v>
          </cell>
          <cell r="EF18">
            <v>0</v>
          </cell>
          <cell r="EJ18">
            <v>0</v>
          </cell>
          <cell r="EM18">
            <v>0</v>
          </cell>
          <cell r="EO18">
            <v>0</v>
          </cell>
          <cell r="EQ18">
            <v>0</v>
          </cell>
          <cell r="ES18">
            <v>0</v>
          </cell>
          <cell r="EU18">
            <v>0</v>
          </cell>
          <cell r="EW18">
            <v>0</v>
          </cell>
          <cell r="EZ18">
            <v>0</v>
          </cell>
          <cell r="FB18">
            <v>0</v>
          </cell>
          <cell r="FD18">
            <v>0</v>
          </cell>
          <cell r="FF18">
            <v>0</v>
          </cell>
          <cell r="FH18">
            <v>0</v>
          </cell>
        </row>
        <row r="19">
          <cell r="F19">
            <v>0</v>
          </cell>
          <cell r="G19">
            <v>568</v>
          </cell>
          <cell r="I19">
            <v>0</v>
          </cell>
          <cell r="J19">
            <v>118505</v>
          </cell>
          <cell r="L19">
            <v>0</v>
          </cell>
          <cell r="O19">
            <v>0</v>
          </cell>
          <cell r="R19">
            <v>0</v>
          </cell>
          <cell r="V19">
            <v>0</v>
          </cell>
          <cell r="W19">
            <v>57.300000000046566</v>
          </cell>
          <cell r="Y19">
            <v>0</v>
          </cell>
          <cell r="AF19">
            <v>0</v>
          </cell>
          <cell r="AG19">
            <v>2094.9599999999627</v>
          </cell>
          <cell r="AI19">
            <v>0</v>
          </cell>
          <cell r="AJ19">
            <v>4482.2400000002235</v>
          </cell>
          <cell r="AL19">
            <v>0</v>
          </cell>
          <cell r="AM19">
            <v>1364.160000000149</v>
          </cell>
          <cell r="AO19">
            <v>0</v>
          </cell>
          <cell r="AP19">
            <v>8769.6000000014901</v>
          </cell>
          <cell r="AR19">
            <v>0</v>
          </cell>
          <cell r="AS19">
            <v>0</v>
          </cell>
          <cell r="AU19">
            <v>0</v>
          </cell>
          <cell r="AV19">
            <v>5943.839999999851</v>
          </cell>
          <cell r="AX19">
            <v>0</v>
          </cell>
          <cell r="AY19">
            <v>4238.6399999987334</v>
          </cell>
          <cell r="BA19">
            <v>0</v>
          </cell>
          <cell r="BB19">
            <v>4482.2400000002235</v>
          </cell>
          <cell r="BD19">
            <v>0</v>
          </cell>
          <cell r="BE19">
            <v>3069.3600000012666</v>
          </cell>
          <cell r="BG19">
            <v>0</v>
          </cell>
          <cell r="BH19">
            <v>5602.8000000007451</v>
          </cell>
          <cell r="BN19">
            <v>0</v>
          </cell>
          <cell r="BO19">
            <v>0</v>
          </cell>
          <cell r="BQ19">
            <v>0</v>
          </cell>
          <cell r="BR19">
            <v>39200</v>
          </cell>
          <cell r="BT19">
            <v>0</v>
          </cell>
          <cell r="BU19">
            <v>0</v>
          </cell>
          <cell r="BW19">
            <v>0</v>
          </cell>
          <cell r="BZ19">
            <v>0</v>
          </cell>
          <cell r="CA19">
            <v>-0.13</v>
          </cell>
          <cell r="CC19">
            <v>0</v>
          </cell>
          <cell r="CE19">
            <v>0</v>
          </cell>
          <cell r="CG19">
            <v>0</v>
          </cell>
          <cell r="CI19">
            <v>0</v>
          </cell>
          <cell r="CK19">
            <v>0</v>
          </cell>
          <cell r="CM19">
            <v>0</v>
          </cell>
          <cell r="CO19">
            <v>0</v>
          </cell>
          <cell r="CP19">
            <v>105</v>
          </cell>
          <cell r="CR19">
            <v>0</v>
          </cell>
          <cell r="CU19">
            <v>0</v>
          </cell>
          <cell r="CV19">
            <v>266</v>
          </cell>
          <cell r="CX19">
            <v>0</v>
          </cell>
          <cell r="DA19">
            <v>0</v>
          </cell>
          <cell r="DC19">
            <v>0</v>
          </cell>
          <cell r="DE19">
            <v>0</v>
          </cell>
          <cell r="DG19">
            <v>0</v>
          </cell>
          <cell r="DI19">
            <v>0</v>
          </cell>
          <cell r="DK19">
            <v>0</v>
          </cell>
          <cell r="DM19">
            <v>0</v>
          </cell>
          <cell r="DO19">
            <v>0</v>
          </cell>
          <cell r="DQ19">
            <v>0</v>
          </cell>
          <cell r="DS19">
            <v>0</v>
          </cell>
          <cell r="DU19">
            <v>0</v>
          </cell>
          <cell r="DX19">
            <v>0</v>
          </cell>
          <cell r="DZ19">
            <v>0</v>
          </cell>
          <cell r="EB19">
            <v>0</v>
          </cell>
          <cell r="ED19">
            <v>0</v>
          </cell>
          <cell r="EF19">
            <v>0</v>
          </cell>
          <cell r="EJ19">
            <v>0</v>
          </cell>
          <cell r="EM19">
            <v>0</v>
          </cell>
          <cell r="EO19">
            <v>0</v>
          </cell>
          <cell r="EQ19">
            <v>0</v>
          </cell>
          <cell r="ES19">
            <v>0</v>
          </cell>
          <cell r="EU19">
            <v>0</v>
          </cell>
          <cell r="EW19">
            <v>0</v>
          </cell>
          <cell r="EZ19">
            <v>0</v>
          </cell>
          <cell r="FB19">
            <v>0</v>
          </cell>
          <cell r="FD19">
            <v>0</v>
          </cell>
          <cell r="FF19">
            <v>0</v>
          </cell>
          <cell r="FH19">
            <v>0</v>
          </cell>
        </row>
        <row r="20">
          <cell r="F20">
            <v>0</v>
          </cell>
          <cell r="G20">
            <v>614</v>
          </cell>
          <cell r="I20">
            <v>0</v>
          </cell>
          <cell r="J20">
            <v>118989</v>
          </cell>
          <cell r="L20">
            <v>0</v>
          </cell>
          <cell r="O20">
            <v>0</v>
          </cell>
          <cell r="R20">
            <v>0</v>
          </cell>
          <cell r="V20">
            <v>0</v>
          </cell>
          <cell r="W20">
            <v>207</v>
          </cell>
          <cell r="Y20">
            <v>0</v>
          </cell>
          <cell r="AF20">
            <v>0</v>
          </cell>
          <cell r="AG20">
            <v>2241.1200000001118</v>
          </cell>
          <cell r="AI20">
            <v>0</v>
          </cell>
          <cell r="AJ20">
            <v>4677.1200000010431</v>
          </cell>
          <cell r="AL20">
            <v>0</v>
          </cell>
          <cell r="AM20">
            <v>0</v>
          </cell>
          <cell r="AO20">
            <v>0</v>
          </cell>
          <cell r="AP20">
            <v>10913.279999997467</v>
          </cell>
          <cell r="AR20">
            <v>0</v>
          </cell>
          <cell r="AS20">
            <v>0</v>
          </cell>
          <cell r="AU20">
            <v>0</v>
          </cell>
          <cell r="AV20">
            <v>6236.160000000149</v>
          </cell>
          <cell r="AX20">
            <v>0</v>
          </cell>
          <cell r="AY20">
            <v>4433.5200000014156</v>
          </cell>
          <cell r="BA20">
            <v>0</v>
          </cell>
          <cell r="BB20">
            <v>4628.4000000003725</v>
          </cell>
          <cell r="BD20">
            <v>0</v>
          </cell>
          <cell r="BE20">
            <v>3264.2399999983609</v>
          </cell>
          <cell r="BG20">
            <v>0</v>
          </cell>
          <cell r="BH20">
            <v>5602.7999999988824</v>
          </cell>
          <cell r="BN20">
            <v>0</v>
          </cell>
          <cell r="BO20">
            <v>0</v>
          </cell>
          <cell r="BQ20">
            <v>0</v>
          </cell>
          <cell r="BR20">
            <v>42300</v>
          </cell>
          <cell r="BT20">
            <v>0</v>
          </cell>
          <cell r="BU20">
            <v>0</v>
          </cell>
          <cell r="BW20">
            <v>0</v>
          </cell>
          <cell r="BZ20">
            <v>0</v>
          </cell>
          <cell r="CA20">
            <v>0.12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0</v>
          </cell>
          <cell r="CO20">
            <v>0</v>
          </cell>
          <cell r="CP20">
            <v>100</v>
          </cell>
          <cell r="CR20">
            <v>0</v>
          </cell>
          <cell r="CU20">
            <v>0</v>
          </cell>
          <cell r="CV20">
            <v>290</v>
          </cell>
          <cell r="CX20">
            <v>0</v>
          </cell>
          <cell r="DA20">
            <v>0</v>
          </cell>
          <cell r="DC20">
            <v>0</v>
          </cell>
          <cell r="DE20">
            <v>0</v>
          </cell>
          <cell r="DG20">
            <v>0</v>
          </cell>
          <cell r="DI20">
            <v>0</v>
          </cell>
          <cell r="DK20">
            <v>0</v>
          </cell>
          <cell r="DM20">
            <v>0</v>
          </cell>
          <cell r="DO20">
            <v>0</v>
          </cell>
          <cell r="DQ20">
            <v>0</v>
          </cell>
          <cell r="DS20">
            <v>0</v>
          </cell>
          <cell r="DU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F20">
            <v>0</v>
          </cell>
          <cell r="EJ20">
            <v>0</v>
          </cell>
          <cell r="EM20">
            <v>0</v>
          </cell>
          <cell r="EO20">
            <v>0</v>
          </cell>
          <cell r="EQ20">
            <v>0</v>
          </cell>
          <cell r="ES20">
            <v>0</v>
          </cell>
          <cell r="EU20">
            <v>0</v>
          </cell>
          <cell r="EW20">
            <v>0</v>
          </cell>
          <cell r="EZ20">
            <v>0</v>
          </cell>
          <cell r="FB20">
            <v>0</v>
          </cell>
          <cell r="FD20">
            <v>0</v>
          </cell>
          <cell r="FF20">
            <v>0</v>
          </cell>
          <cell r="FH20">
            <v>0</v>
          </cell>
        </row>
        <row r="21">
          <cell r="F21">
            <v>0</v>
          </cell>
          <cell r="G21">
            <v>601</v>
          </cell>
          <cell r="I21">
            <v>0</v>
          </cell>
          <cell r="J21">
            <v>119457</v>
          </cell>
          <cell r="L21">
            <v>0</v>
          </cell>
          <cell r="O21">
            <v>0</v>
          </cell>
          <cell r="R21">
            <v>0</v>
          </cell>
          <cell r="V21">
            <v>0</v>
          </cell>
          <cell r="W21">
            <v>93</v>
          </cell>
          <cell r="Y21">
            <v>0</v>
          </cell>
          <cell r="AF21">
            <v>0</v>
          </cell>
          <cell r="AG21">
            <v>2046.2399999992922</v>
          </cell>
          <cell r="AI21">
            <v>0</v>
          </cell>
          <cell r="AJ21">
            <v>4384.7999999988824</v>
          </cell>
          <cell r="AL21">
            <v>0</v>
          </cell>
          <cell r="AM21">
            <v>48.720000000670552</v>
          </cell>
          <cell r="AO21">
            <v>0</v>
          </cell>
          <cell r="AP21">
            <v>8769.6000000014901</v>
          </cell>
          <cell r="AR21">
            <v>0</v>
          </cell>
          <cell r="AS21">
            <v>0</v>
          </cell>
          <cell r="AU21">
            <v>0</v>
          </cell>
          <cell r="AV21">
            <v>6090</v>
          </cell>
          <cell r="AX21">
            <v>0</v>
          </cell>
          <cell r="AY21">
            <v>4092.4799999985844</v>
          </cell>
          <cell r="BA21">
            <v>0</v>
          </cell>
          <cell r="BB21">
            <v>4189.9199999999255</v>
          </cell>
          <cell r="BD21">
            <v>0</v>
          </cell>
          <cell r="BE21">
            <v>2874.480000000447</v>
          </cell>
          <cell r="BG21">
            <v>0</v>
          </cell>
          <cell r="BH21">
            <v>5359.2000000011176</v>
          </cell>
          <cell r="BN21">
            <v>0</v>
          </cell>
          <cell r="BO21">
            <v>0</v>
          </cell>
          <cell r="BQ21">
            <v>0</v>
          </cell>
          <cell r="BR21">
            <v>33100</v>
          </cell>
          <cell r="BT21">
            <v>0</v>
          </cell>
          <cell r="BU21">
            <v>0</v>
          </cell>
          <cell r="BW21">
            <v>0</v>
          </cell>
          <cell r="BZ21">
            <v>0</v>
          </cell>
          <cell r="CA21">
            <v>-0.10999999999999999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O21">
            <v>0</v>
          </cell>
          <cell r="CP21">
            <v>96</v>
          </cell>
          <cell r="CR21">
            <v>0</v>
          </cell>
          <cell r="CU21">
            <v>0</v>
          </cell>
          <cell r="CV21">
            <v>365</v>
          </cell>
          <cell r="CX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U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F21">
            <v>0</v>
          </cell>
          <cell r="EJ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W21">
            <v>0</v>
          </cell>
          <cell r="EZ21">
            <v>0</v>
          </cell>
          <cell r="FB21">
            <v>0</v>
          </cell>
          <cell r="FD21">
            <v>0</v>
          </cell>
          <cell r="FF21">
            <v>0</v>
          </cell>
          <cell r="FH21">
            <v>0</v>
          </cell>
        </row>
        <row r="22">
          <cell r="F22">
            <v>0</v>
          </cell>
          <cell r="G22">
            <v>545</v>
          </cell>
          <cell r="I22">
            <v>0</v>
          </cell>
          <cell r="J22">
            <v>119868</v>
          </cell>
          <cell r="L22">
            <v>0</v>
          </cell>
          <cell r="O22">
            <v>0</v>
          </cell>
          <cell r="R22">
            <v>0</v>
          </cell>
          <cell r="V22">
            <v>0</v>
          </cell>
          <cell r="W22">
            <v>-212</v>
          </cell>
          <cell r="Y22">
            <v>0</v>
          </cell>
          <cell r="AF22">
            <v>0</v>
          </cell>
          <cell r="AG22">
            <v>2143.6800000006333</v>
          </cell>
          <cell r="AI22">
            <v>0</v>
          </cell>
          <cell r="AJ22">
            <v>4530.9599999990314</v>
          </cell>
          <cell r="AL22">
            <v>0</v>
          </cell>
          <cell r="AM22">
            <v>0</v>
          </cell>
          <cell r="AO22">
            <v>0</v>
          </cell>
          <cell r="AP22">
            <v>8477.2800000011921</v>
          </cell>
          <cell r="AR22">
            <v>0</v>
          </cell>
          <cell r="AS22">
            <v>1120.5600000023842</v>
          </cell>
          <cell r="AU22">
            <v>0</v>
          </cell>
          <cell r="AV22">
            <v>5797.679999999702</v>
          </cell>
          <cell r="AX22">
            <v>0</v>
          </cell>
          <cell r="AY22">
            <v>3897.5999999996275</v>
          </cell>
          <cell r="BA22">
            <v>0</v>
          </cell>
          <cell r="BB22">
            <v>4189.9199999999255</v>
          </cell>
          <cell r="BD22">
            <v>0</v>
          </cell>
          <cell r="BE22">
            <v>2874.480000000447</v>
          </cell>
          <cell r="BG22">
            <v>0</v>
          </cell>
          <cell r="BH22">
            <v>5164.3199999984354</v>
          </cell>
          <cell r="BN22">
            <v>0</v>
          </cell>
          <cell r="BO22">
            <v>0</v>
          </cell>
          <cell r="BQ22">
            <v>0</v>
          </cell>
          <cell r="BR22">
            <v>35900</v>
          </cell>
          <cell r="BT22">
            <v>0</v>
          </cell>
          <cell r="BU22">
            <v>0</v>
          </cell>
          <cell r="BW22">
            <v>0</v>
          </cell>
          <cell r="BZ22">
            <v>0</v>
          </cell>
          <cell r="CA22">
            <v>-0.19999999999999996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O22">
            <v>0</v>
          </cell>
          <cell r="CP22">
            <v>101</v>
          </cell>
          <cell r="CR22">
            <v>0</v>
          </cell>
          <cell r="CU22">
            <v>0</v>
          </cell>
          <cell r="CV22">
            <v>326</v>
          </cell>
          <cell r="CX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U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F22">
            <v>0</v>
          </cell>
          <cell r="EJ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W22">
            <v>0</v>
          </cell>
          <cell r="EZ22">
            <v>0</v>
          </cell>
          <cell r="FB22">
            <v>0</v>
          </cell>
          <cell r="FD22">
            <v>0</v>
          </cell>
          <cell r="FF22">
            <v>0</v>
          </cell>
          <cell r="FH22">
            <v>0</v>
          </cell>
        </row>
        <row r="23">
          <cell r="F23">
            <v>0</v>
          </cell>
          <cell r="G23">
            <v>562</v>
          </cell>
          <cell r="I23">
            <v>0</v>
          </cell>
          <cell r="J23">
            <v>120301</v>
          </cell>
          <cell r="L23">
            <v>0</v>
          </cell>
          <cell r="O23">
            <v>0</v>
          </cell>
          <cell r="R23">
            <v>0</v>
          </cell>
          <cell r="V23">
            <v>0</v>
          </cell>
          <cell r="W23">
            <v>329</v>
          </cell>
          <cell r="Y23">
            <v>0</v>
          </cell>
          <cell r="AF23">
            <v>0</v>
          </cell>
          <cell r="AG23">
            <v>2143.679999999702</v>
          </cell>
          <cell r="AI23">
            <v>0</v>
          </cell>
          <cell r="AJ23">
            <v>4530.9600000027567</v>
          </cell>
          <cell r="AL23">
            <v>0</v>
          </cell>
          <cell r="AM23">
            <v>48.719999998807907</v>
          </cell>
          <cell r="AO23">
            <v>0</v>
          </cell>
          <cell r="AP23">
            <v>9549.1199999973178</v>
          </cell>
          <cell r="AR23">
            <v>0</v>
          </cell>
          <cell r="AS23">
            <v>1364.160000000149</v>
          </cell>
          <cell r="AU23">
            <v>0</v>
          </cell>
          <cell r="AV23">
            <v>5651.5200000014156</v>
          </cell>
          <cell r="AX23">
            <v>0</v>
          </cell>
          <cell r="AY23">
            <v>4141.1999999992549</v>
          </cell>
          <cell r="BA23">
            <v>0</v>
          </cell>
          <cell r="BB23">
            <v>4287.359999999404</v>
          </cell>
          <cell r="BD23">
            <v>0</v>
          </cell>
          <cell r="BE23">
            <v>2777.0399999991059</v>
          </cell>
          <cell r="BG23">
            <v>0</v>
          </cell>
          <cell r="BH23">
            <v>5700.2399999983609</v>
          </cell>
          <cell r="BN23">
            <v>0</v>
          </cell>
          <cell r="BO23">
            <v>0</v>
          </cell>
          <cell r="BQ23">
            <v>0</v>
          </cell>
          <cell r="BR23">
            <v>43200</v>
          </cell>
          <cell r="BT23">
            <v>0</v>
          </cell>
          <cell r="BU23">
            <v>0</v>
          </cell>
          <cell r="BW23">
            <v>0</v>
          </cell>
          <cell r="BZ23">
            <v>0</v>
          </cell>
          <cell r="CA23">
            <v>7.999999999999996E-2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O23">
            <v>0</v>
          </cell>
          <cell r="CP23">
            <v>100</v>
          </cell>
          <cell r="CR23">
            <v>0</v>
          </cell>
          <cell r="CU23">
            <v>0</v>
          </cell>
          <cell r="CV23">
            <v>257</v>
          </cell>
          <cell r="CX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U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F23">
            <v>0</v>
          </cell>
          <cell r="EJ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W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  <cell r="FH23">
            <v>0</v>
          </cell>
        </row>
        <row r="24">
          <cell r="F24">
            <v>0</v>
          </cell>
          <cell r="G24">
            <v>574</v>
          </cell>
          <cell r="I24">
            <v>0</v>
          </cell>
          <cell r="J24">
            <v>120746</v>
          </cell>
          <cell r="L24">
            <v>0</v>
          </cell>
          <cell r="O24">
            <v>0</v>
          </cell>
          <cell r="R24">
            <v>0</v>
          </cell>
          <cell r="V24">
            <v>0</v>
          </cell>
          <cell r="W24">
            <v>16</v>
          </cell>
          <cell r="Y24">
            <v>0</v>
          </cell>
          <cell r="AF24">
            <v>0</v>
          </cell>
          <cell r="AG24">
            <v>2143.679999999702</v>
          </cell>
          <cell r="AI24">
            <v>0</v>
          </cell>
          <cell r="AJ24">
            <v>4774.5599999986589</v>
          </cell>
          <cell r="AL24">
            <v>0</v>
          </cell>
          <cell r="AM24">
            <v>146.16000000014901</v>
          </cell>
          <cell r="AO24">
            <v>0</v>
          </cell>
          <cell r="AP24">
            <v>8964.480000000447</v>
          </cell>
          <cell r="AR24">
            <v>0</v>
          </cell>
          <cell r="AS24">
            <v>1461.6000000014901</v>
          </cell>
          <cell r="AU24">
            <v>0</v>
          </cell>
          <cell r="AV24">
            <v>5700.2399999983609</v>
          </cell>
          <cell r="AX24">
            <v>0</v>
          </cell>
          <cell r="AY24">
            <v>4433.5200000014156</v>
          </cell>
          <cell r="BA24">
            <v>0</v>
          </cell>
          <cell r="BB24">
            <v>4482.2400000002235</v>
          </cell>
          <cell r="BD24">
            <v>0</v>
          </cell>
          <cell r="BE24">
            <v>2971.9200000017881</v>
          </cell>
          <cell r="BG24">
            <v>0</v>
          </cell>
          <cell r="BH24">
            <v>5602.8000000007451</v>
          </cell>
          <cell r="BN24">
            <v>0</v>
          </cell>
          <cell r="BO24">
            <v>0</v>
          </cell>
          <cell r="BQ24">
            <v>0</v>
          </cell>
          <cell r="BR24">
            <v>42500</v>
          </cell>
          <cell r="BT24">
            <v>0</v>
          </cell>
          <cell r="BU24">
            <v>0</v>
          </cell>
          <cell r="BW24">
            <v>0</v>
          </cell>
          <cell r="BZ24">
            <v>0</v>
          </cell>
          <cell r="CA24">
            <v>5.9999999999999942E-2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O24">
            <v>0</v>
          </cell>
          <cell r="CP24">
            <v>100</v>
          </cell>
          <cell r="CR24">
            <v>0</v>
          </cell>
          <cell r="CU24">
            <v>0</v>
          </cell>
          <cell r="CV24">
            <v>303</v>
          </cell>
          <cell r="CX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U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F24">
            <v>0</v>
          </cell>
          <cell r="EJ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W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  <cell r="FH24">
            <v>0</v>
          </cell>
        </row>
        <row r="25">
          <cell r="F25">
            <v>0</v>
          </cell>
          <cell r="G25">
            <v>613</v>
          </cell>
          <cell r="I25">
            <v>0</v>
          </cell>
          <cell r="J25">
            <v>121240</v>
          </cell>
          <cell r="L25">
            <v>0</v>
          </cell>
          <cell r="O25">
            <v>0</v>
          </cell>
          <cell r="R25">
            <v>0</v>
          </cell>
          <cell r="V25">
            <v>0</v>
          </cell>
          <cell r="W25">
            <v>-26</v>
          </cell>
          <cell r="Y25">
            <v>0</v>
          </cell>
          <cell r="AF25">
            <v>0</v>
          </cell>
          <cell r="AG25">
            <v>2192.4000000003725</v>
          </cell>
          <cell r="AI25">
            <v>0</v>
          </cell>
          <cell r="AJ25">
            <v>4774.5600000005215</v>
          </cell>
          <cell r="AL25">
            <v>0</v>
          </cell>
          <cell r="AM25">
            <v>194.88000000081956</v>
          </cell>
          <cell r="AO25">
            <v>0</v>
          </cell>
          <cell r="AP25">
            <v>8038.8000000007451</v>
          </cell>
          <cell r="AR25">
            <v>0</v>
          </cell>
          <cell r="AS25">
            <v>1510.320000000298</v>
          </cell>
          <cell r="AU25">
            <v>0</v>
          </cell>
          <cell r="AV25">
            <v>6041.2800000011921</v>
          </cell>
          <cell r="AX25">
            <v>0</v>
          </cell>
          <cell r="AY25">
            <v>4579.679999999702</v>
          </cell>
          <cell r="BA25">
            <v>0</v>
          </cell>
          <cell r="BB25">
            <v>4433.519999999553</v>
          </cell>
          <cell r="BD25">
            <v>0</v>
          </cell>
          <cell r="BE25">
            <v>3312.9599999990314</v>
          </cell>
          <cell r="BG25">
            <v>0</v>
          </cell>
          <cell r="BH25">
            <v>5651.5200000014156</v>
          </cell>
          <cell r="BN25">
            <v>0</v>
          </cell>
          <cell r="BO25">
            <v>0</v>
          </cell>
          <cell r="BQ25">
            <v>0</v>
          </cell>
          <cell r="BR25">
            <v>40900</v>
          </cell>
          <cell r="BT25">
            <v>0</v>
          </cell>
          <cell r="BU25">
            <v>0</v>
          </cell>
          <cell r="BW25">
            <v>0</v>
          </cell>
          <cell r="BZ25">
            <v>0</v>
          </cell>
          <cell r="CA25">
            <v>-4.9999999999999933E-2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O25">
            <v>0</v>
          </cell>
          <cell r="CP25">
            <v>99</v>
          </cell>
          <cell r="CR25">
            <v>0</v>
          </cell>
          <cell r="CU25">
            <v>0</v>
          </cell>
          <cell r="CV25">
            <v>353</v>
          </cell>
          <cell r="CX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U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F25">
            <v>0</v>
          </cell>
          <cell r="EJ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W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  <cell r="FH25">
            <v>0</v>
          </cell>
        </row>
        <row r="26">
          <cell r="F26">
            <v>0</v>
          </cell>
          <cell r="G26">
            <v>643</v>
          </cell>
          <cell r="I26">
            <v>0</v>
          </cell>
          <cell r="J26">
            <v>121742</v>
          </cell>
          <cell r="L26">
            <v>0</v>
          </cell>
          <cell r="O26">
            <v>0</v>
          </cell>
          <cell r="R26">
            <v>0</v>
          </cell>
          <cell r="V26">
            <v>0</v>
          </cell>
          <cell r="W26">
            <v>5</v>
          </cell>
          <cell r="Y26">
            <v>0</v>
          </cell>
          <cell r="AF26">
            <v>0</v>
          </cell>
          <cell r="AG26">
            <v>2094.9599999990314</v>
          </cell>
          <cell r="AI26">
            <v>0</v>
          </cell>
          <cell r="AJ26">
            <v>4823.2800000011921</v>
          </cell>
          <cell r="AL26">
            <v>0</v>
          </cell>
          <cell r="AM26">
            <v>194.88000000081956</v>
          </cell>
          <cell r="AO26">
            <v>0</v>
          </cell>
          <cell r="AP26">
            <v>8428.5600000023842</v>
          </cell>
          <cell r="AR26">
            <v>0</v>
          </cell>
          <cell r="AS26">
            <v>1364.1599999964237</v>
          </cell>
          <cell r="AU26">
            <v>0</v>
          </cell>
          <cell r="AV26">
            <v>6138.7199999988079</v>
          </cell>
          <cell r="AX26">
            <v>0</v>
          </cell>
          <cell r="AY26">
            <v>4384.7999999988824</v>
          </cell>
          <cell r="BA26">
            <v>0</v>
          </cell>
          <cell r="BB26">
            <v>4628.4000000003725</v>
          </cell>
          <cell r="BD26">
            <v>0</v>
          </cell>
          <cell r="BE26">
            <v>3069.359999999404</v>
          </cell>
          <cell r="BG26">
            <v>0</v>
          </cell>
          <cell r="BH26">
            <v>5554.0799999982119</v>
          </cell>
          <cell r="BN26">
            <v>0</v>
          </cell>
          <cell r="BO26">
            <v>0</v>
          </cell>
          <cell r="BQ26">
            <v>0</v>
          </cell>
          <cell r="BR26">
            <v>41000</v>
          </cell>
          <cell r="BT26">
            <v>0</v>
          </cell>
          <cell r="BU26">
            <v>0</v>
          </cell>
          <cell r="BW26">
            <v>0</v>
          </cell>
          <cell r="BZ26">
            <v>0</v>
          </cell>
          <cell r="CA26">
            <v>7.999999999999996E-2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O26">
            <v>0</v>
          </cell>
          <cell r="CP26">
            <v>99</v>
          </cell>
          <cell r="CR26">
            <v>0</v>
          </cell>
          <cell r="CU26">
            <v>0</v>
          </cell>
          <cell r="CV26">
            <v>289</v>
          </cell>
          <cell r="CX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U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F26">
            <v>0</v>
          </cell>
          <cell r="EJ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W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  <cell r="FH26">
            <v>0</v>
          </cell>
        </row>
        <row r="27">
          <cell r="F27">
            <v>0</v>
          </cell>
          <cell r="G27">
            <v>643</v>
          </cell>
          <cell r="I27">
            <v>0</v>
          </cell>
          <cell r="J27">
            <v>122247</v>
          </cell>
          <cell r="L27">
            <v>0</v>
          </cell>
          <cell r="O27">
            <v>0</v>
          </cell>
          <cell r="R27">
            <v>0</v>
          </cell>
          <cell r="V27">
            <v>0</v>
          </cell>
          <cell r="W27">
            <v>89</v>
          </cell>
          <cell r="Y27">
            <v>0</v>
          </cell>
          <cell r="AF27">
            <v>0</v>
          </cell>
          <cell r="AG27">
            <v>3312.9600000008941</v>
          </cell>
          <cell r="AI27">
            <v>0</v>
          </cell>
          <cell r="AJ27">
            <v>5310.4799999985844</v>
          </cell>
          <cell r="AL27">
            <v>0</v>
          </cell>
          <cell r="AM27">
            <v>7941.359999999404</v>
          </cell>
          <cell r="AO27">
            <v>0</v>
          </cell>
          <cell r="AP27">
            <v>779.51999999955297</v>
          </cell>
          <cell r="AR27">
            <v>0</v>
          </cell>
          <cell r="AS27">
            <v>48.720000002533197</v>
          </cell>
          <cell r="AU27">
            <v>0</v>
          </cell>
          <cell r="AV27">
            <v>5943.839999999851</v>
          </cell>
          <cell r="AX27">
            <v>0</v>
          </cell>
          <cell r="AY27">
            <v>4336.0800000019372</v>
          </cell>
          <cell r="BA27">
            <v>0</v>
          </cell>
          <cell r="BB27">
            <v>4628.4000000003725</v>
          </cell>
          <cell r="BD27">
            <v>0</v>
          </cell>
          <cell r="BE27">
            <v>2971.9200000017881</v>
          </cell>
          <cell r="BG27">
            <v>0</v>
          </cell>
          <cell r="BH27">
            <v>5943.8400000017136</v>
          </cell>
          <cell r="BN27">
            <v>0</v>
          </cell>
          <cell r="BO27">
            <v>38900</v>
          </cell>
          <cell r="BQ27">
            <v>0</v>
          </cell>
          <cell r="BR27">
            <v>4000</v>
          </cell>
          <cell r="BT27">
            <v>0</v>
          </cell>
          <cell r="BU27">
            <v>0</v>
          </cell>
          <cell r="BW27">
            <v>0</v>
          </cell>
          <cell r="BZ27">
            <v>0</v>
          </cell>
          <cell r="CA27">
            <v>-9.9999999999999978E-2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O27">
            <v>0</v>
          </cell>
          <cell r="CP27">
            <v>101</v>
          </cell>
          <cell r="CR27">
            <v>0</v>
          </cell>
          <cell r="CU27">
            <v>0</v>
          </cell>
          <cell r="CV27">
            <v>268</v>
          </cell>
          <cell r="CX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U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F27">
            <v>0</v>
          </cell>
          <cell r="EJ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W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  <cell r="FH27">
            <v>0</v>
          </cell>
        </row>
        <row r="28">
          <cell r="F28">
            <v>0</v>
          </cell>
          <cell r="G28">
            <v>628</v>
          </cell>
          <cell r="I28">
            <v>0</v>
          </cell>
          <cell r="J28">
            <v>122700</v>
          </cell>
          <cell r="L28">
            <v>0</v>
          </cell>
          <cell r="O28">
            <v>0</v>
          </cell>
          <cell r="R28">
            <v>0</v>
          </cell>
          <cell r="V28">
            <v>0</v>
          </cell>
          <cell r="W28">
            <v>3</v>
          </cell>
          <cell r="Y28">
            <v>0</v>
          </cell>
          <cell r="AF28">
            <v>0</v>
          </cell>
          <cell r="AG28">
            <v>3410.4000000003725</v>
          </cell>
          <cell r="AI28">
            <v>0</v>
          </cell>
          <cell r="AJ28">
            <v>4384.7999999988824</v>
          </cell>
          <cell r="AL28">
            <v>0</v>
          </cell>
          <cell r="AM28">
            <v>8428.5600000005215</v>
          </cell>
          <cell r="AO28">
            <v>0</v>
          </cell>
          <cell r="AP28">
            <v>194.87999999895692</v>
          </cell>
          <cell r="AR28">
            <v>0</v>
          </cell>
          <cell r="AS28">
            <v>0</v>
          </cell>
          <cell r="AU28">
            <v>0</v>
          </cell>
          <cell r="AV28">
            <v>5895.1200000010431</v>
          </cell>
          <cell r="AX28">
            <v>0</v>
          </cell>
          <cell r="AY28">
            <v>4336.0800000000745</v>
          </cell>
          <cell r="BA28">
            <v>0</v>
          </cell>
          <cell r="BB28">
            <v>4433.5200000014156</v>
          </cell>
          <cell r="BD28">
            <v>0</v>
          </cell>
          <cell r="BE28">
            <v>3166.7999999988824</v>
          </cell>
          <cell r="BG28">
            <v>0</v>
          </cell>
          <cell r="BH28">
            <v>5700.2399999983609</v>
          </cell>
          <cell r="BN28">
            <v>0</v>
          </cell>
          <cell r="BO28">
            <v>44100</v>
          </cell>
          <cell r="BQ28">
            <v>0</v>
          </cell>
          <cell r="BR28">
            <v>0</v>
          </cell>
          <cell r="BT28">
            <v>0</v>
          </cell>
          <cell r="BU28">
            <v>0</v>
          </cell>
          <cell r="BW28">
            <v>0</v>
          </cell>
          <cell r="BZ28">
            <v>0</v>
          </cell>
          <cell r="CA28">
            <v>6.9999999999999951E-2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O28">
            <v>0</v>
          </cell>
          <cell r="CP28">
            <v>98</v>
          </cell>
          <cell r="CR28">
            <v>0</v>
          </cell>
          <cell r="CU28">
            <v>0</v>
          </cell>
          <cell r="CV28">
            <v>231</v>
          </cell>
          <cell r="CX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U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F28">
            <v>0</v>
          </cell>
          <cell r="EJ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W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  <cell r="FH28">
            <v>0</v>
          </cell>
        </row>
        <row r="29">
          <cell r="F29">
            <v>0</v>
          </cell>
          <cell r="G29">
            <v>637</v>
          </cell>
          <cell r="I29">
            <v>0</v>
          </cell>
          <cell r="J29">
            <v>123150</v>
          </cell>
          <cell r="L29">
            <v>0</v>
          </cell>
          <cell r="O29">
            <v>0</v>
          </cell>
          <cell r="R29">
            <v>0</v>
          </cell>
          <cell r="V29">
            <v>0</v>
          </cell>
          <cell r="W29">
            <v>49</v>
          </cell>
          <cell r="Y29">
            <v>0</v>
          </cell>
          <cell r="AF29">
            <v>0</v>
          </cell>
          <cell r="AG29">
            <v>3264.2399999992922</v>
          </cell>
          <cell r="AI29">
            <v>0</v>
          </cell>
          <cell r="AJ29">
            <v>4725.8400000017136</v>
          </cell>
          <cell r="AL29">
            <v>0</v>
          </cell>
          <cell r="AM29">
            <v>7697.7599999997765</v>
          </cell>
          <cell r="AO29">
            <v>0</v>
          </cell>
          <cell r="AP29">
            <v>194.87999999895692</v>
          </cell>
          <cell r="AR29">
            <v>0</v>
          </cell>
          <cell r="AS29">
            <v>0</v>
          </cell>
          <cell r="AU29">
            <v>0</v>
          </cell>
          <cell r="AV29">
            <v>5992.5600000005215</v>
          </cell>
          <cell r="AX29">
            <v>0</v>
          </cell>
          <cell r="AY29">
            <v>3751.4399999976158</v>
          </cell>
          <cell r="BA29">
            <v>0</v>
          </cell>
          <cell r="BB29">
            <v>4092.4799999985844</v>
          </cell>
          <cell r="BD29">
            <v>0</v>
          </cell>
          <cell r="BE29">
            <v>2971.9199999999255</v>
          </cell>
          <cell r="BG29">
            <v>0</v>
          </cell>
          <cell r="BH29">
            <v>5554.0800000019372</v>
          </cell>
          <cell r="BN29">
            <v>0</v>
          </cell>
          <cell r="BO29">
            <v>39100</v>
          </cell>
          <cell r="BQ29">
            <v>0</v>
          </cell>
          <cell r="BR29">
            <v>0</v>
          </cell>
          <cell r="BT29">
            <v>0</v>
          </cell>
          <cell r="BU29">
            <v>0</v>
          </cell>
          <cell r="BW29">
            <v>0</v>
          </cell>
          <cell r="BZ29">
            <v>0</v>
          </cell>
          <cell r="CA29">
            <v>-0.12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O29">
            <v>0</v>
          </cell>
          <cell r="CP29">
            <v>102</v>
          </cell>
          <cell r="CR29">
            <v>0</v>
          </cell>
          <cell r="CU29">
            <v>0</v>
          </cell>
          <cell r="CV29">
            <v>243</v>
          </cell>
          <cell r="CX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U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F29">
            <v>0</v>
          </cell>
          <cell r="EJ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W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  <cell r="FH29">
            <v>0</v>
          </cell>
        </row>
        <row r="30">
          <cell r="F30">
            <v>0</v>
          </cell>
          <cell r="G30">
            <v>616</v>
          </cell>
          <cell r="I30">
            <v>0</v>
          </cell>
          <cell r="J30">
            <v>123605</v>
          </cell>
          <cell r="L30">
            <v>0</v>
          </cell>
          <cell r="O30">
            <v>0</v>
          </cell>
          <cell r="R30">
            <v>0</v>
          </cell>
          <cell r="V30">
            <v>0</v>
          </cell>
          <cell r="W30">
            <v>33</v>
          </cell>
          <cell r="Y30">
            <v>0</v>
          </cell>
          <cell r="AF30">
            <v>0</v>
          </cell>
          <cell r="AG30">
            <v>3410.3999999994412</v>
          </cell>
          <cell r="AI30">
            <v>0</v>
          </cell>
          <cell r="AJ30">
            <v>4872</v>
          </cell>
          <cell r="AL30">
            <v>0</v>
          </cell>
          <cell r="AM30">
            <v>7405.4399999994785</v>
          </cell>
          <cell r="AO30">
            <v>0</v>
          </cell>
          <cell r="AP30">
            <v>146.16000000014901</v>
          </cell>
          <cell r="AR30">
            <v>0</v>
          </cell>
          <cell r="AS30">
            <v>0</v>
          </cell>
          <cell r="AU30">
            <v>0</v>
          </cell>
          <cell r="AV30">
            <v>5895.1199999991804</v>
          </cell>
          <cell r="AX30">
            <v>0</v>
          </cell>
          <cell r="AY30">
            <v>3751.4400000013411</v>
          </cell>
          <cell r="BA30">
            <v>0</v>
          </cell>
          <cell r="BB30">
            <v>4287.3600000012666</v>
          </cell>
          <cell r="BD30">
            <v>0</v>
          </cell>
          <cell r="BE30">
            <v>3020.640000000596</v>
          </cell>
          <cell r="BG30">
            <v>0</v>
          </cell>
          <cell r="BH30">
            <v>5407.9199999980628</v>
          </cell>
          <cell r="BN30">
            <v>0</v>
          </cell>
          <cell r="BO30">
            <v>38900</v>
          </cell>
          <cell r="BQ30">
            <v>0</v>
          </cell>
          <cell r="BR30">
            <v>0</v>
          </cell>
          <cell r="BT30">
            <v>0</v>
          </cell>
          <cell r="BU30">
            <v>0</v>
          </cell>
          <cell r="BW30">
            <v>0</v>
          </cell>
          <cell r="BZ30">
            <v>0</v>
          </cell>
          <cell r="CA30">
            <v>0.1100000000000001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O30">
            <v>0</v>
          </cell>
          <cell r="CP30">
            <v>99</v>
          </cell>
          <cell r="CR30">
            <v>0</v>
          </cell>
          <cell r="CU30">
            <v>0</v>
          </cell>
          <cell r="CV30">
            <v>277</v>
          </cell>
          <cell r="CX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U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F30">
            <v>0</v>
          </cell>
          <cell r="EJ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W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  <cell r="FH30">
            <v>0</v>
          </cell>
        </row>
        <row r="31">
          <cell r="F31">
            <v>0</v>
          </cell>
          <cell r="G31">
            <v>496</v>
          </cell>
          <cell r="I31">
            <v>0</v>
          </cell>
          <cell r="J31">
            <v>124053</v>
          </cell>
          <cell r="L31">
            <v>0</v>
          </cell>
          <cell r="O31">
            <v>0</v>
          </cell>
          <cell r="R31">
            <v>0</v>
          </cell>
          <cell r="V31">
            <v>0</v>
          </cell>
          <cell r="W31">
            <v>25</v>
          </cell>
          <cell r="Y31">
            <v>0</v>
          </cell>
          <cell r="AF31">
            <v>0</v>
          </cell>
          <cell r="AG31">
            <v>3556.5600000005215</v>
          </cell>
          <cell r="AI31">
            <v>0</v>
          </cell>
          <cell r="AJ31">
            <v>4677.1199999991804</v>
          </cell>
          <cell r="AL31">
            <v>0</v>
          </cell>
          <cell r="AM31">
            <v>8331.1199999991804</v>
          </cell>
          <cell r="AO31">
            <v>0</v>
          </cell>
          <cell r="AP31">
            <v>48.719999998807907</v>
          </cell>
          <cell r="AR31">
            <v>0</v>
          </cell>
          <cell r="AS31">
            <v>97.439999997615814</v>
          </cell>
          <cell r="AU31">
            <v>0</v>
          </cell>
          <cell r="AV31">
            <v>5992.5599999986589</v>
          </cell>
          <cell r="AX31">
            <v>0</v>
          </cell>
          <cell r="AY31">
            <v>3897.5999999996275</v>
          </cell>
          <cell r="BA31">
            <v>0</v>
          </cell>
          <cell r="BB31">
            <v>4384.7999999988824</v>
          </cell>
          <cell r="BD31">
            <v>0</v>
          </cell>
          <cell r="BE31">
            <v>2923.1999999992549</v>
          </cell>
          <cell r="BG31">
            <v>0</v>
          </cell>
          <cell r="BH31">
            <v>5456.6400000024587</v>
          </cell>
          <cell r="BN31">
            <v>0</v>
          </cell>
          <cell r="BO31">
            <v>44700</v>
          </cell>
          <cell r="BQ31">
            <v>0</v>
          </cell>
          <cell r="BR31">
            <v>0</v>
          </cell>
          <cell r="BT31">
            <v>0</v>
          </cell>
          <cell r="BU31">
            <v>0</v>
          </cell>
          <cell r="BW31">
            <v>0</v>
          </cell>
          <cell r="BZ31">
            <v>0</v>
          </cell>
          <cell r="CA31">
            <v>6.9999999999999951E-2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O31">
            <v>0</v>
          </cell>
          <cell r="CP31">
            <v>99</v>
          </cell>
          <cell r="CR31">
            <v>0</v>
          </cell>
          <cell r="CU31">
            <v>0</v>
          </cell>
          <cell r="CV31">
            <v>196</v>
          </cell>
          <cell r="CX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U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J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W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</row>
        <row r="32">
          <cell r="F32">
            <v>0</v>
          </cell>
          <cell r="G32">
            <v>649</v>
          </cell>
          <cell r="I32">
            <v>0</v>
          </cell>
          <cell r="J32">
            <v>124510</v>
          </cell>
          <cell r="L32">
            <v>0</v>
          </cell>
          <cell r="O32">
            <v>0</v>
          </cell>
          <cell r="R32">
            <v>0</v>
          </cell>
          <cell r="V32">
            <v>0</v>
          </cell>
          <cell r="W32">
            <v>-25</v>
          </cell>
          <cell r="Y32">
            <v>0</v>
          </cell>
          <cell r="AF32">
            <v>0</v>
          </cell>
          <cell r="AG32">
            <v>3605.2800000002608</v>
          </cell>
          <cell r="AI32">
            <v>0</v>
          </cell>
          <cell r="AJ32">
            <v>4920.7200000006706</v>
          </cell>
          <cell r="AL32">
            <v>0</v>
          </cell>
          <cell r="AM32">
            <v>8477.2800000011921</v>
          </cell>
          <cell r="AO32">
            <v>0</v>
          </cell>
          <cell r="AP32">
            <v>48.720000002533197</v>
          </cell>
          <cell r="AR32">
            <v>0</v>
          </cell>
          <cell r="AS32">
            <v>0</v>
          </cell>
          <cell r="AU32">
            <v>0</v>
          </cell>
          <cell r="AV32">
            <v>5846.4000000003725</v>
          </cell>
          <cell r="AX32">
            <v>0</v>
          </cell>
          <cell r="AY32">
            <v>3995.0400000009686</v>
          </cell>
          <cell r="BA32">
            <v>0</v>
          </cell>
          <cell r="BB32">
            <v>4238.6399999987334</v>
          </cell>
          <cell r="BD32">
            <v>0</v>
          </cell>
          <cell r="BE32">
            <v>2777.0400000009686</v>
          </cell>
          <cell r="BG32">
            <v>0</v>
          </cell>
          <cell r="BH32">
            <v>5651.519999999553</v>
          </cell>
          <cell r="BN32">
            <v>0</v>
          </cell>
          <cell r="BO32">
            <v>45100</v>
          </cell>
          <cell r="BQ32">
            <v>0</v>
          </cell>
          <cell r="BR32">
            <v>0</v>
          </cell>
          <cell r="BT32">
            <v>0</v>
          </cell>
          <cell r="BU32">
            <v>0</v>
          </cell>
          <cell r="BW32">
            <v>0</v>
          </cell>
          <cell r="BZ32">
            <v>0</v>
          </cell>
          <cell r="CA32">
            <v>7.999999999999996E-2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O32">
            <v>0</v>
          </cell>
          <cell r="CP32">
            <v>99</v>
          </cell>
          <cell r="CR32">
            <v>0</v>
          </cell>
          <cell r="CU32">
            <v>0</v>
          </cell>
          <cell r="CV32">
            <v>280</v>
          </cell>
          <cell r="CX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U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J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W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</row>
        <row r="33">
          <cell r="F33">
            <v>0</v>
          </cell>
          <cell r="G33">
            <v>842</v>
          </cell>
          <cell r="I33">
            <v>0</v>
          </cell>
          <cell r="J33">
            <v>124997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84</v>
          </cell>
          <cell r="Y33">
            <v>0</v>
          </cell>
          <cell r="AF33">
            <v>0</v>
          </cell>
          <cell r="AG33">
            <v>3605.2800000002608</v>
          </cell>
          <cell r="AI33">
            <v>0</v>
          </cell>
          <cell r="AJ33">
            <v>4823.2799999993294</v>
          </cell>
          <cell r="AL33">
            <v>0</v>
          </cell>
          <cell r="AM33">
            <v>9305.519999999553</v>
          </cell>
          <cell r="AO33">
            <v>0</v>
          </cell>
          <cell r="AP33">
            <v>146.16000000014901</v>
          </cell>
          <cell r="AR33">
            <v>0</v>
          </cell>
          <cell r="AS33">
            <v>0</v>
          </cell>
          <cell r="AU33">
            <v>0</v>
          </cell>
          <cell r="AV33">
            <v>5992.5600000023842</v>
          </cell>
          <cell r="AX33">
            <v>0</v>
          </cell>
          <cell r="AY33">
            <v>4189.9199999980628</v>
          </cell>
          <cell r="BA33">
            <v>0</v>
          </cell>
          <cell r="BB33">
            <v>4482.2400000002235</v>
          </cell>
          <cell r="BD33">
            <v>0</v>
          </cell>
          <cell r="BE33">
            <v>3118.0799999982119</v>
          </cell>
          <cell r="BG33">
            <v>0</v>
          </cell>
          <cell r="BH33">
            <v>5651.519999999553</v>
          </cell>
          <cell r="BN33">
            <v>0</v>
          </cell>
          <cell r="BO33">
            <v>50300</v>
          </cell>
          <cell r="BQ33">
            <v>0</v>
          </cell>
          <cell r="BR33">
            <v>0</v>
          </cell>
          <cell r="BT33">
            <v>0</v>
          </cell>
          <cell r="BU33">
            <v>0</v>
          </cell>
          <cell r="BW33">
            <v>0</v>
          </cell>
          <cell r="BZ33">
            <v>0</v>
          </cell>
          <cell r="CA33">
            <v>-0.14000000000000001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P33">
            <v>101</v>
          </cell>
          <cell r="CR33">
            <v>0</v>
          </cell>
          <cell r="CU33">
            <v>0</v>
          </cell>
          <cell r="CV33">
            <v>208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730</v>
          </cell>
          <cell r="I34">
            <v>0</v>
          </cell>
          <cell r="J34">
            <v>125511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182</v>
          </cell>
          <cell r="Y34">
            <v>0</v>
          </cell>
          <cell r="AF34">
            <v>0</v>
          </cell>
          <cell r="AG34">
            <v>2094.9599999999627</v>
          </cell>
          <cell r="AI34">
            <v>0</v>
          </cell>
          <cell r="AJ34">
            <v>4920.7200000006706</v>
          </cell>
          <cell r="AL34">
            <v>0</v>
          </cell>
          <cell r="AM34">
            <v>1218</v>
          </cell>
          <cell r="AO34">
            <v>0</v>
          </cell>
          <cell r="AP34">
            <v>9208.0800000019372</v>
          </cell>
          <cell r="AR34">
            <v>0</v>
          </cell>
          <cell r="AS34">
            <v>584.64000000059605</v>
          </cell>
          <cell r="AU34">
            <v>0</v>
          </cell>
          <cell r="AV34">
            <v>6041.2799999974668</v>
          </cell>
          <cell r="AX34">
            <v>0</v>
          </cell>
          <cell r="AY34">
            <v>4433.5200000014156</v>
          </cell>
          <cell r="BA34">
            <v>0</v>
          </cell>
          <cell r="BB34">
            <v>4579.6800000015646</v>
          </cell>
          <cell r="BD34">
            <v>0</v>
          </cell>
          <cell r="BE34">
            <v>3166.8000000007451</v>
          </cell>
          <cell r="BG34">
            <v>0</v>
          </cell>
          <cell r="BH34">
            <v>5943.8399999979883</v>
          </cell>
          <cell r="BN34">
            <v>0</v>
          </cell>
          <cell r="BO34">
            <v>2400</v>
          </cell>
          <cell r="BQ34">
            <v>0</v>
          </cell>
          <cell r="BR34">
            <v>46000</v>
          </cell>
          <cell r="BT34">
            <v>0</v>
          </cell>
          <cell r="BU34">
            <v>0</v>
          </cell>
          <cell r="BW34">
            <v>0</v>
          </cell>
          <cell r="BZ34">
            <v>0</v>
          </cell>
          <cell r="CA34">
            <v>8.0000000000000071E-2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P34">
            <v>101</v>
          </cell>
          <cell r="CR34">
            <v>0</v>
          </cell>
          <cell r="CU34">
            <v>0</v>
          </cell>
          <cell r="CV34">
            <v>199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616</v>
          </cell>
          <cell r="I35">
            <v>0</v>
          </cell>
          <cell r="J35">
            <v>125951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-53.699999999953434</v>
          </cell>
          <cell r="Y35">
            <v>0</v>
          </cell>
          <cell r="AF35">
            <v>0</v>
          </cell>
          <cell r="AG35">
            <v>1851.359999999404</v>
          </cell>
          <cell r="AI35">
            <v>0</v>
          </cell>
          <cell r="AJ35">
            <v>4677.1199999991804</v>
          </cell>
          <cell r="AL35">
            <v>0</v>
          </cell>
          <cell r="AM35">
            <v>828.24000000022352</v>
          </cell>
          <cell r="AO35">
            <v>0</v>
          </cell>
          <cell r="AP35">
            <v>10279.919999998063</v>
          </cell>
          <cell r="AR35">
            <v>0</v>
          </cell>
          <cell r="AS35">
            <v>730.80000000074506</v>
          </cell>
          <cell r="AU35">
            <v>0</v>
          </cell>
          <cell r="AV35">
            <v>5846.4000000003725</v>
          </cell>
          <cell r="AX35">
            <v>0</v>
          </cell>
          <cell r="AY35">
            <v>4336.0800000000745</v>
          </cell>
          <cell r="BA35">
            <v>0</v>
          </cell>
          <cell r="BB35">
            <v>4287.359999999404</v>
          </cell>
          <cell r="BD35">
            <v>0</v>
          </cell>
          <cell r="BE35">
            <v>3069.359999999404</v>
          </cell>
          <cell r="BG35">
            <v>0</v>
          </cell>
          <cell r="BH35">
            <v>5943.8400000017136</v>
          </cell>
          <cell r="BN35">
            <v>0</v>
          </cell>
          <cell r="BO35">
            <v>0</v>
          </cell>
          <cell r="BQ35">
            <v>0</v>
          </cell>
          <cell r="BR35">
            <v>54000</v>
          </cell>
          <cell r="BT35">
            <v>0</v>
          </cell>
          <cell r="BU35">
            <v>0</v>
          </cell>
          <cell r="BW35">
            <v>0</v>
          </cell>
          <cell r="BZ35">
            <v>0</v>
          </cell>
          <cell r="CA35">
            <v>8.9999999999999969E-2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P35">
            <v>98</v>
          </cell>
          <cell r="CR35">
            <v>0</v>
          </cell>
          <cell r="CU35">
            <v>0</v>
          </cell>
          <cell r="CV35">
            <v>161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548</v>
          </cell>
          <cell r="I36">
            <v>0</v>
          </cell>
          <cell r="J36">
            <v>126373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1923.3000000000466</v>
          </cell>
          <cell r="Y36">
            <v>0</v>
          </cell>
          <cell r="AF36">
            <v>0</v>
          </cell>
          <cell r="AG36">
            <v>2971.9200000008568</v>
          </cell>
          <cell r="AI36">
            <v>0</v>
          </cell>
          <cell r="AJ36">
            <v>4823.2800000011921</v>
          </cell>
          <cell r="AL36">
            <v>0</v>
          </cell>
          <cell r="AM36">
            <v>3459.1200000010431</v>
          </cell>
          <cell r="AO36">
            <v>0</v>
          </cell>
          <cell r="AP36">
            <v>6382.320000000298</v>
          </cell>
          <cell r="AR36">
            <v>0</v>
          </cell>
          <cell r="AS36">
            <v>730.79999999701977</v>
          </cell>
          <cell r="AU36">
            <v>0</v>
          </cell>
          <cell r="AV36">
            <v>5846.4000000003725</v>
          </cell>
          <cell r="AX36">
            <v>0</v>
          </cell>
          <cell r="AY36">
            <v>3995.0399999991059</v>
          </cell>
          <cell r="BA36">
            <v>0</v>
          </cell>
          <cell r="BB36">
            <v>4433.519999999553</v>
          </cell>
          <cell r="BD36">
            <v>0</v>
          </cell>
          <cell r="BE36">
            <v>2971.9200000017881</v>
          </cell>
          <cell r="BG36">
            <v>0</v>
          </cell>
          <cell r="BH36">
            <v>5797.6800000015646</v>
          </cell>
          <cell r="BN36">
            <v>0</v>
          </cell>
          <cell r="BO36">
            <v>16700</v>
          </cell>
          <cell r="BQ36">
            <v>0</v>
          </cell>
          <cell r="BR36">
            <v>36500</v>
          </cell>
          <cell r="BT36">
            <v>0</v>
          </cell>
          <cell r="BU36">
            <v>0</v>
          </cell>
          <cell r="BW36">
            <v>0</v>
          </cell>
          <cell r="BZ36">
            <v>0</v>
          </cell>
          <cell r="CA36">
            <v>-0.22999999999999998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P36">
            <v>102</v>
          </cell>
          <cell r="CR36">
            <v>0</v>
          </cell>
          <cell r="CU36">
            <v>0</v>
          </cell>
          <cell r="CV36">
            <v>195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8">
          <cell r="BV38" t="str">
            <v>Total Cold water Heat Exchanger 2022</v>
          </cell>
          <cell r="BY38" t="str">
            <v>Lpg -10- DAYS Consumption February 2022</v>
          </cell>
          <cell r="DW38" t="str">
            <v>F &amp; B Electrical -10 days- consumption February-2022</v>
          </cell>
          <cell r="EL38" t="str">
            <v>F &amp; B Village Chilled Water -10-days consumption January-2022</v>
          </cell>
          <cell r="EY38" t="str">
            <v>F &amp; B Village  Lpg  10 days consumption February 2022</v>
          </cell>
        </row>
        <row r="39">
          <cell r="E39" t="str">
            <v>Domestic Water</v>
          </cell>
          <cell r="H39" t="str">
            <v>Resort Domestic Water</v>
          </cell>
          <cell r="K39" t="str">
            <v>Tse Water</v>
          </cell>
          <cell r="N39" t="str">
            <v>Irrigation Water</v>
          </cell>
          <cell r="Q39" t="str">
            <v>domestic water for irrigation</v>
          </cell>
          <cell r="U39" t="str">
            <v>Cooling Tower make up &amp; Blowdown</v>
          </cell>
          <cell r="AE39" t="str">
            <v>EMDB-1</v>
          </cell>
          <cell r="AH39" t="str">
            <v>EMDB-2</v>
          </cell>
          <cell r="AK39" t="str">
            <v>MDB-1</v>
          </cell>
          <cell r="AN39" t="str">
            <v>MDB-2</v>
          </cell>
          <cell r="AQ39" t="str">
            <v>MDB-3</v>
          </cell>
          <cell r="AT39" t="str">
            <v>MDB-4</v>
          </cell>
          <cell r="AW39" t="str">
            <v>MDB-5</v>
          </cell>
          <cell r="AZ39" t="str">
            <v>MDB-6</v>
          </cell>
          <cell r="BC39" t="str">
            <v>MDB-7</v>
          </cell>
          <cell r="BF39" t="str">
            <v>MDB-8</v>
          </cell>
          <cell r="BM39" t="str">
            <v>Chiller # 1</v>
          </cell>
          <cell r="BP39" t="str">
            <v>Chiller # 2</v>
          </cell>
          <cell r="BS39" t="str">
            <v>Chiller # 3</v>
          </cell>
          <cell r="BV39" t="str">
            <v>Heat Exchanger</v>
          </cell>
          <cell r="BY39" t="str">
            <v>LPG TOTAL CONSUMPTION</v>
          </cell>
          <cell r="CB39" t="str">
            <v>Ird Kitchen</v>
          </cell>
          <cell r="CD39" t="str">
            <v>Suq Kitchen</v>
          </cell>
          <cell r="CF39" t="str">
            <v>Bakery Kitchen</v>
          </cell>
          <cell r="CH39" t="str">
            <v>Shai Saloon Kitchen</v>
          </cell>
          <cell r="CJ39" t="str">
            <v>Banquet Kitchen</v>
          </cell>
          <cell r="CL39" t="str">
            <v>Sea Fu Kitchen</v>
          </cell>
          <cell r="CN39" t="str">
            <v>Steam Boiler</v>
          </cell>
          <cell r="CQ39" t="str">
            <v>Solar Hot Water Boiler</v>
          </cell>
          <cell r="CT39" t="str">
            <v>Lthw Boiler</v>
          </cell>
          <cell r="CW39" t="str">
            <v>Steam Boiler Steam Meter Reading Kg</v>
          </cell>
          <cell r="CZ39" t="str">
            <v>Jean George Water Meter Reading</v>
          </cell>
          <cell r="DD39" t="str">
            <v>Coya Water Meter Reading M³</v>
          </cell>
          <cell r="DH39" t="str">
            <v>Nusret Water meter Reading M³</v>
          </cell>
          <cell r="DL39" t="str">
            <v>Provoceteur Meter Reading M³</v>
          </cell>
          <cell r="DP39" t="str">
            <v>Scalini Meter Reading M³</v>
          </cell>
          <cell r="DT39" t="str">
            <v>Irrigation</v>
          </cell>
          <cell r="DW39" t="str">
            <v>MDB - Coya</v>
          </cell>
          <cell r="DY39" t="str">
            <v>MDB Jean George</v>
          </cell>
          <cell r="EA39" t="str">
            <v>MDB - Nusret</v>
          </cell>
          <cell r="EC39" t="str">
            <v>Peovoceteur SMDB</v>
          </cell>
          <cell r="EI39" t="str">
            <v>Common ESMDB</v>
          </cell>
          <cell r="EL39" t="str">
            <v>Coya Btu</v>
          </cell>
          <cell r="EN39" t="str">
            <v>Coya Cold Room Btu</v>
          </cell>
          <cell r="EP39" t="str">
            <v>Nusret Btu</v>
          </cell>
          <cell r="ER39" t="str">
            <v>Provocateur- A</v>
          </cell>
          <cell r="ET39" t="str">
            <v>Provocateur- B</v>
          </cell>
          <cell r="EV39" t="str">
            <v>Jean George Btu</v>
          </cell>
          <cell r="EY39" t="str">
            <v>Coya Lpg</v>
          </cell>
          <cell r="FA39" t="str">
            <v>Nusret Lpg</v>
          </cell>
          <cell r="FC39" t="str">
            <v>Provocateur Lpg</v>
          </cell>
          <cell r="FE39" t="str">
            <v>Jean George Lpg</v>
          </cell>
          <cell r="FG39" t="str">
            <v>Scalini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workbookViewId="0">
      <selection activeCell="Q13" sqref="Q13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</row>
    <row r="2" spans="1:14" x14ac:dyDescent="0.25">
      <c r="A2" t="s">
        <v>14</v>
      </c>
      <c r="B2">
        <v>1</v>
      </c>
      <c r="C2">
        <v>2</v>
      </c>
      <c r="D2">
        <v>2023</v>
      </c>
      <c r="E2" s="3">
        <f>Submetering!M2+Submetering!N2+Submetering!O2+Submetering!P2+Submetering!Q2+Submetering!R2+Submetering!S2+Submetering!T2+Submetering!U2+Submetering!V2</f>
        <v>36734.880000002682</v>
      </c>
      <c r="F2">
        <v>0.44447999999999999</v>
      </c>
      <c r="G2" s="3">
        <f>Submetering!Z2+Submetering!AA2+Submetering!AB2</f>
        <v>899.64</v>
      </c>
      <c r="H2" s="216">
        <f>1.62/0.52</f>
        <v>3.1153846153846154</v>
      </c>
      <c r="I2" s="3">
        <f>Submetering!G2</f>
        <v>498</v>
      </c>
      <c r="J2">
        <v>13.83</v>
      </c>
      <c r="K2" s="3">
        <f>Submetering!BL2</f>
        <v>232</v>
      </c>
      <c r="L2">
        <v>1.2</v>
      </c>
      <c r="M2" s="216">
        <f>Submetering!E2</f>
        <v>165.89999999999998</v>
      </c>
      <c r="N2">
        <f>Submetering!F2</f>
        <v>311</v>
      </c>
    </row>
    <row r="3" spans="1:14" x14ac:dyDescent="0.25">
      <c r="A3" t="s">
        <v>14</v>
      </c>
      <c r="B3">
        <f>B2+1</f>
        <v>2</v>
      </c>
      <c r="C3">
        <v>2</v>
      </c>
      <c r="D3">
        <v>2023</v>
      </c>
      <c r="E3" s="3">
        <f>Submetering!M3+Submetering!N3+Submetering!O3+Submetering!P3+Submetering!Q3+Submetering!R3+Submetering!S3+Submetering!T3+Submetering!U3+Submetering!V3</f>
        <v>34737.359999995679</v>
      </c>
      <c r="F3">
        <v>0.44447999999999999</v>
      </c>
      <c r="G3" s="3">
        <f>Submetering!Z3+Submetering!AA3+Submetering!AB3</f>
        <v>814.58999999999992</v>
      </c>
      <c r="H3" s="216">
        <f t="shared" ref="H3:H29" si="0">1.62/0.52</f>
        <v>3.1153846153846154</v>
      </c>
      <c r="I3" s="3">
        <f>Submetering!G3</f>
        <v>587</v>
      </c>
      <c r="J3">
        <v>13.83</v>
      </c>
      <c r="K3" s="3">
        <f>Submetering!BL3</f>
        <v>225</v>
      </c>
      <c r="L3">
        <v>1.2</v>
      </c>
      <c r="M3" s="216">
        <f>Submetering!E3</f>
        <v>165.89999999999998</v>
      </c>
      <c r="N3">
        <f>Submetering!F3</f>
        <v>322</v>
      </c>
    </row>
    <row r="4" spans="1:14" x14ac:dyDescent="0.25">
      <c r="A4" t="s">
        <v>14</v>
      </c>
      <c r="B4">
        <f t="shared" ref="B4:B29" si="1">B3+1</f>
        <v>3</v>
      </c>
      <c r="C4">
        <v>2</v>
      </c>
      <c r="D4">
        <v>2023</v>
      </c>
      <c r="E4" s="3">
        <f>Submetering!M4+Submetering!N4+Submetering!O4+Submetering!P4+Submetering!Q4+Submetering!R4+Submetering!S4+Submetering!T4+Submetering!U4+Submetering!V4</f>
        <v>38050.32000000868</v>
      </c>
      <c r="F4">
        <v>0.44447999999999999</v>
      </c>
      <c r="G4" s="3">
        <f>Submetering!Z4+Submetering!AA4+Submetering!AB4</f>
        <v>791.90999999999985</v>
      </c>
      <c r="H4" s="216">
        <f t="shared" si="0"/>
        <v>3.1153846153846154</v>
      </c>
      <c r="I4" s="3">
        <f>Submetering!G4</f>
        <v>577</v>
      </c>
      <c r="J4">
        <v>13.83</v>
      </c>
      <c r="K4" s="3">
        <f>Submetering!BL4</f>
        <v>221</v>
      </c>
      <c r="L4">
        <v>1.2</v>
      </c>
      <c r="M4" s="216">
        <f>Submetering!E4</f>
        <v>170.64</v>
      </c>
      <c r="N4">
        <f>Submetering!F4</f>
        <v>302</v>
      </c>
    </row>
    <row r="5" spans="1:14" x14ac:dyDescent="0.25">
      <c r="A5" t="s">
        <v>14</v>
      </c>
      <c r="B5">
        <f t="shared" si="1"/>
        <v>4</v>
      </c>
      <c r="C5">
        <v>2</v>
      </c>
      <c r="D5">
        <v>2023</v>
      </c>
      <c r="E5" s="3">
        <f>Submetering!M5+Submetering!N5+Submetering!O5+Submetering!P5+Submetering!Q5+Submetering!R5+Submetering!S5+Submetering!T5+Submetering!U5+Submetering!V5</f>
        <v>37416.959999996237</v>
      </c>
      <c r="F5">
        <v>0.44447999999999999</v>
      </c>
      <c r="G5" s="3">
        <f>Submetering!Z5+Submetering!AA5+Submetering!AB5</f>
        <v>871.29</v>
      </c>
      <c r="H5" s="216">
        <f t="shared" si="0"/>
        <v>3.1153846153846154</v>
      </c>
      <c r="I5" s="3">
        <f>Submetering!G5</f>
        <v>620</v>
      </c>
      <c r="J5">
        <v>13.83</v>
      </c>
      <c r="K5" s="3">
        <f>Submetering!BL5</f>
        <v>208</v>
      </c>
      <c r="L5">
        <v>1.2</v>
      </c>
      <c r="M5" s="216">
        <f>Submetering!E5</f>
        <v>180.12</v>
      </c>
      <c r="N5">
        <f>Submetering!F5</f>
        <v>312</v>
      </c>
    </row>
    <row r="6" spans="1:14" x14ac:dyDescent="0.25">
      <c r="A6" t="s">
        <v>14</v>
      </c>
      <c r="B6">
        <f t="shared" si="1"/>
        <v>5</v>
      </c>
      <c r="C6">
        <v>2</v>
      </c>
      <c r="D6">
        <v>2023</v>
      </c>
      <c r="E6" s="3">
        <f>Submetering!M6+Submetering!N6+Submetering!O6+Submetering!P6+Submetering!Q6+Submetering!R6+Submetering!S6+Submetering!T6+Submetering!U6+Submetering!V6</f>
        <v>38196.479999994859</v>
      </c>
      <c r="F6">
        <v>0.44447999999999999</v>
      </c>
      <c r="G6" s="3">
        <f>Submetering!Z6+Submetering!AA6+Submetering!AB6</f>
        <v>875.06999999999994</v>
      </c>
      <c r="H6" s="216">
        <f t="shared" si="0"/>
        <v>3.1153846153846154</v>
      </c>
      <c r="I6" s="3">
        <f>Submetering!G6</f>
        <v>533</v>
      </c>
      <c r="J6">
        <v>13.83</v>
      </c>
      <c r="K6" s="3">
        <f>Submetering!BL6</f>
        <v>225</v>
      </c>
      <c r="L6">
        <v>1.2</v>
      </c>
      <c r="M6" s="216">
        <f>Submetering!E6</f>
        <v>163.53</v>
      </c>
      <c r="N6">
        <f>Submetering!F6</f>
        <v>286</v>
      </c>
    </row>
    <row r="7" spans="1:14" x14ac:dyDescent="0.25">
      <c r="A7" t="s">
        <v>14</v>
      </c>
      <c r="B7">
        <f t="shared" si="1"/>
        <v>6</v>
      </c>
      <c r="C7">
        <v>2</v>
      </c>
      <c r="D7">
        <v>2023</v>
      </c>
      <c r="E7" s="3">
        <f>Submetering!M7+Submetering!N7+Submetering!O7+Submetering!P7+Submetering!Q7+Submetering!R7+Submetering!S7+Submetering!T7+Submetering!U7+Submetering!V7</f>
        <v>0</v>
      </c>
      <c r="F7">
        <v>0.44447999999999999</v>
      </c>
      <c r="G7" s="3">
        <f>Submetering!Z7+Submetering!AA7+Submetering!AB7</f>
        <v>0</v>
      </c>
      <c r="H7" s="216">
        <f t="shared" si="0"/>
        <v>3.1153846153846154</v>
      </c>
      <c r="I7" s="3">
        <f>Submetering!G7</f>
        <v>0</v>
      </c>
      <c r="J7">
        <v>13.83</v>
      </c>
      <c r="K7" s="3">
        <f>Submetering!BL7</f>
        <v>0</v>
      </c>
      <c r="L7">
        <v>1.2</v>
      </c>
      <c r="M7" s="216">
        <f>Submetering!E7</f>
        <v>0</v>
      </c>
      <c r="N7">
        <f>Submetering!F7</f>
        <v>290</v>
      </c>
    </row>
    <row r="8" spans="1:14" x14ac:dyDescent="0.25">
      <c r="A8" t="s">
        <v>14</v>
      </c>
      <c r="B8">
        <f t="shared" si="1"/>
        <v>7</v>
      </c>
      <c r="C8">
        <v>2</v>
      </c>
      <c r="D8">
        <v>2023</v>
      </c>
      <c r="E8" s="3">
        <f>Submetering!M8+Submetering!N8+Submetering!O8+Submetering!P8+Submetering!Q8+Submetering!R8+Submetering!S8+Submetering!T8+Submetering!U8+Submetering!V8</f>
        <v>0</v>
      </c>
      <c r="F8">
        <v>0.44447999999999999</v>
      </c>
      <c r="G8" s="3">
        <f>Submetering!Z8+Submetering!AA8+Submetering!AB8</f>
        <v>0</v>
      </c>
      <c r="H8" s="216">
        <f t="shared" si="0"/>
        <v>3.1153846153846154</v>
      </c>
      <c r="I8" s="3">
        <f>Submetering!G8</f>
        <v>0</v>
      </c>
      <c r="J8">
        <v>13.83</v>
      </c>
      <c r="K8" s="3">
        <f>Submetering!BL8</f>
        <v>0</v>
      </c>
      <c r="L8">
        <v>1.2</v>
      </c>
      <c r="M8" s="216">
        <f>Submetering!E8</f>
        <v>0</v>
      </c>
      <c r="N8">
        <f>Submetering!F8</f>
        <v>0</v>
      </c>
    </row>
    <row r="9" spans="1:14" x14ac:dyDescent="0.25">
      <c r="A9" t="s">
        <v>14</v>
      </c>
      <c r="B9">
        <f t="shared" si="1"/>
        <v>8</v>
      </c>
      <c r="C9">
        <v>2</v>
      </c>
      <c r="D9">
        <v>2023</v>
      </c>
      <c r="E9" s="3">
        <f>Submetering!M9+Submetering!N9+Submetering!O9+Submetering!P9+Submetering!Q9+Submetering!R9+Submetering!S9+Submetering!T9+Submetering!U9+Submetering!V9</f>
        <v>0</v>
      </c>
      <c r="F9">
        <v>0.44447999999999999</v>
      </c>
      <c r="G9" s="3">
        <f>Submetering!Z9+Submetering!AA9+Submetering!AB9</f>
        <v>0</v>
      </c>
      <c r="H9" s="216">
        <f t="shared" si="0"/>
        <v>3.1153846153846154</v>
      </c>
      <c r="I9" s="3">
        <f>Submetering!G9</f>
        <v>0</v>
      </c>
      <c r="J9">
        <v>13.83</v>
      </c>
      <c r="K9" s="3">
        <f>Submetering!BL9</f>
        <v>0</v>
      </c>
      <c r="L9">
        <v>1.2</v>
      </c>
      <c r="M9" s="216">
        <f>Submetering!E9</f>
        <v>0</v>
      </c>
      <c r="N9">
        <f>Submetering!F9</f>
        <v>0</v>
      </c>
    </row>
    <row r="10" spans="1:14" x14ac:dyDescent="0.25">
      <c r="A10" t="s">
        <v>14</v>
      </c>
      <c r="B10">
        <f t="shared" si="1"/>
        <v>9</v>
      </c>
      <c r="C10">
        <v>2</v>
      </c>
      <c r="D10">
        <v>2023</v>
      </c>
      <c r="E10" s="3">
        <f>Submetering!M10+Submetering!N10+Submetering!O10+Submetering!P10+Submetering!Q10+Submetering!R10+Submetering!S10+Submetering!T10+Submetering!U10+Submetering!V10</f>
        <v>0</v>
      </c>
      <c r="F10">
        <v>0.44447999999999999</v>
      </c>
      <c r="G10" s="3">
        <f>Submetering!Z10+Submetering!AA10+Submetering!AB10</f>
        <v>0</v>
      </c>
      <c r="H10" s="216">
        <f t="shared" si="0"/>
        <v>3.1153846153846154</v>
      </c>
      <c r="I10" s="3">
        <f>Submetering!G10</f>
        <v>0</v>
      </c>
      <c r="J10">
        <v>13.83</v>
      </c>
      <c r="K10" s="3">
        <f>Submetering!BL10</f>
        <v>0</v>
      </c>
      <c r="L10">
        <v>1.2</v>
      </c>
      <c r="M10" s="216">
        <f>Submetering!E10</f>
        <v>0</v>
      </c>
      <c r="N10">
        <f>Submetering!F10</f>
        <v>0</v>
      </c>
    </row>
    <row r="11" spans="1:14" x14ac:dyDescent="0.25">
      <c r="A11" t="s">
        <v>14</v>
      </c>
      <c r="B11">
        <f t="shared" si="1"/>
        <v>10</v>
      </c>
      <c r="C11">
        <v>2</v>
      </c>
      <c r="D11">
        <v>2023</v>
      </c>
      <c r="E11" s="3">
        <f>Submetering!M11+Submetering!N11+Submetering!O11+Submetering!P11+Submetering!Q11+Submetering!R11+Submetering!S11+Submetering!T11+Submetering!U11+Submetering!V11</f>
        <v>0</v>
      </c>
      <c r="F11">
        <v>0.44447999999999999</v>
      </c>
      <c r="G11" s="3">
        <f>Submetering!Z11+Submetering!AA11+Submetering!AB11</f>
        <v>0</v>
      </c>
      <c r="H11" s="216">
        <f t="shared" si="0"/>
        <v>3.1153846153846154</v>
      </c>
      <c r="I11" s="3">
        <f>Submetering!G11</f>
        <v>0</v>
      </c>
      <c r="J11">
        <v>13.83</v>
      </c>
      <c r="K11" s="3">
        <f>Submetering!BL11</f>
        <v>0</v>
      </c>
      <c r="L11">
        <v>1.2</v>
      </c>
      <c r="M11" s="216">
        <f>Submetering!E11</f>
        <v>0</v>
      </c>
      <c r="N11">
        <f>Submetering!F11</f>
        <v>0</v>
      </c>
    </row>
    <row r="12" spans="1:14" x14ac:dyDescent="0.25">
      <c r="A12" t="s">
        <v>14</v>
      </c>
      <c r="B12">
        <f t="shared" si="1"/>
        <v>11</v>
      </c>
      <c r="C12">
        <v>2</v>
      </c>
      <c r="D12">
        <v>2023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16">
        <f t="shared" si="0"/>
        <v>3.1153846153846154</v>
      </c>
      <c r="I12" s="3">
        <f>Submetering!G12</f>
        <v>0</v>
      </c>
      <c r="J12">
        <v>13.83</v>
      </c>
      <c r="K12" s="3">
        <f>Submetering!BL12</f>
        <v>0</v>
      </c>
      <c r="L12">
        <v>1.2</v>
      </c>
      <c r="M12" s="216">
        <f>Submetering!E12</f>
        <v>0</v>
      </c>
      <c r="N12">
        <f>Submetering!F12</f>
        <v>0</v>
      </c>
    </row>
    <row r="13" spans="1:14" x14ac:dyDescent="0.25">
      <c r="A13" t="s">
        <v>14</v>
      </c>
      <c r="B13">
        <f t="shared" si="1"/>
        <v>12</v>
      </c>
      <c r="C13">
        <v>2</v>
      </c>
      <c r="D13">
        <v>2023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16">
        <f t="shared" si="0"/>
        <v>3.1153846153846154</v>
      </c>
      <c r="I13" s="3">
        <f>Submetering!G13</f>
        <v>0</v>
      </c>
      <c r="J13">
        <v>13.83</v>
      </c>
      <c r="K13" s="3">
        <f>Submetering!BL13</f>
        <v>0</v>
      </c>
      <c r="L13">
        <v>1.2</v>
      </c>
      <c r="M13" s="216">
        <f>Submetering!E13</f>
        <v>0</v>
      </c>
      <c r="N13">
        <f>Submetering!F13</f>
        <v>0</v>
      </c>
    </row>
    <row r="14" spans="1:14" x14ac:dyDescent="0.25">
      <c r="A14" t="s">
        <v>14</v>
      </c>
      <c r="B14">
        <f t="shared" si="1"/>
        <v>13</v>
      </c>
      <c r="C14">
        <v>2</v>
      </c>
      <c r="D14">
        <v>2023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16">
        <f t="shared" si="0"/>
        <v>3.1153846153846154</v>
      </c>
      <c r="I14" s="3">
        <f>Submetering!G14</f>
        <v>0</v>
      </c>
      <c r="J14">
        <v>13.83</v>
      </c>
      <c r="K14" s="3">
        <f>Submetering!BL14</f>
        <v>0</v>
      </c>
      <c r="L14">
        <v>1.2</v>
      </c>
      <c r="M14" s="216">
        <f>Submetering!E14</f>
        <v>0</v>
      </c>
      <c r="N14">
        <f>Submetering!F14</f>
        <v>0</v>
      </c>
    </row>
    <row r="15" spans="1:14" x14ac:dyDescent="0.25">
      <c r="A15" t="s">
        <v>14</v>
      </c>
      <c r="B15">
        <f t="shared" si="1"/>
        <v>14</v>
      </c>
      <c r="C15">
        <v>2</v>
      </c>
      <c r="D15">
        <v>2023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16">
        <f t="shared" si="0"/>
        <v>3.1153846153846154</v>
      </c>
      <c r="I15" s="3">
        <f>Submetering!G15</f>
        <v>0</v>
      </c>
      <c r="J15">
        <v>13.83</v>
      </c>
      <c r="K15" s="3">
        <f>Submetering!BL15</f>
        <v>0</v>
      </c>
      <c r="L15">
        <v>1.2</v>
      </c>
      <c r="M15" s="216">
        <f>Submetering!E15</f>
        <v>0</v>
      </c>
      <c r="N15">
        <f>Submetering!F15</f>
        <v>0</v>
      </c>
    </row>
    <row r="16" spans="1:14" x14ac:dyDescent="0.25">
      <c r="A16" t="s">
        <v>14</v>
      </c>
      <c r="B16">
        <f t="shared" si="1"/>
        <v>15</v>
      </c>
      <c r="C16">
        <v>2</v>
      </c>
      <c r="D16">
        <v>2023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16">
        <f t="shared" si="0"/>
        <v>3.1153846153846154</v>
      </c>
      <c r="I16" s="3">
        <f>Submetering!G16</f>
        <v>0</v>
      </c>
      <c r="J16">
        <v>13.83</v>
      </c>
      <c r="K16" s="3">
        <f>Submetering!BL16</f>
        <v>0</v>
      </c>
      <c r="L16">
        <v>1.2</v>
      </c>
      <c r="M16" s="216">
        <f>Submetering!E16</f>
        <v>0</v>
      </c>
      <c r="N16">
        <f>Submetering!F16</f>
        <v>0</v>
      </c>
    </row>
    <row r="17" spans="1:14" x14ac:dyDescent="0.25">
      <c r="A17" t="s">
        <v>14</v>
      </c>
      <c r="B17">
        <f t="shared" si="1"/>
        <v>16</v>
      </c>
      <c r="C17">
        <v>2</v>
      </c>
      <c r="D17">
        <v>2023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16">
        <f t="shared" si="0"/>
        <v>3.1153846153846154</v>
      </c>
      <c r="I17" s="3">
        <f>Submetering!G17</f>
        <v>0</v>
      </c>
      <c r="J17">
        <v>13.83</v>
      </c>
      <c r="K17" s="3">
        <f>Submetering!BL17</f>
        <v>0</v>
      </c>
      <c r="L17">
        <v>1.2</v>
      </c>
      <c r="M17" s="216">
        <f>Submetering!E17</f>
        <v>0</v>
      </c>
      <c r="N17">
        <f>Submetering!F17</f>
        <v>0</v>
      </c>
    </row>
    <row r="18" spans="1:14" x14ac:dyDescent="0.25">
      <c r="A18" t="s">
        <v>14</v>
      </c>
      <c r="B18">
        <f t="shared" si="1"/>
        <v>17</v>
      </c>
      <c r="C18">
        <v>2</v>
      </c>
      <c r="D18">
        <v>2023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16">
        <f t="shared" si="0"/>
        <v>3.1153846153846154</v>
      </c>
      <c r="I18" s="3">
        <f>Submetering!G18</f>
        <v>0</v>
      </c>
      <c r="J18">
        <v>13.83</v>
      </c>
      <c r="K18" s="3">
        <f>Submetering!BL18</f>
        <v>0</v>
      </c>
      <c r="L18">
        <v>1.2</v>
      </c>
      <c r="M18" s="216">
        <f>Submetering!E18</f>
        <v>0</v>
      </c>
      <c r="N18">
        <f>Submetering!F18</f>
        <v>0</v>
      </c>
    </row>
    <row r="19" spans="1:14" x14ac:dyDescent="0.25">
      <c r="A19" t="s">
        <v>14</v>
      </c>
      <c r="B19">
        <f t="shared" si="1"/>
        <v>18</v>
      </c>
      <c r="C19">
        <v>2</v>
      </c>
      <c r="D19">
        <v>2023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16">
        <f t="shared" si="0"/>
        <v>3.1153846153846154</v>
      </c>
      <c r="I19" s="3">
        <f>Submetering!G19</f>
        <v>0</v>
      </c>
      <c r="J19">
        <v>13.83</v>
      </c>
      <c r="K19" s="3">
        <f>Submetering!BL19</f>
        <v>0</v>
      </c>
      <c r="L19">
        <v>1.2</v>
      </c>
      <c r="M19" s="216">
        <f>Submetering!E19</f>
        <v>0</v>
      </c>
      <c r="N19">
        <f>Submetering!F19</f>
        <v>0</v>
      </c>
    </row>
    <row r="20" spans="1:14" x14ac:dyDescent="0.25">
      <c r="A20" t="s">
        <v>14</v>
      </c>
      <c r="B20">
        <f t="shared" si="1"/>
        <v>19</v>
      </c>
      <c r="C20">
        <v>2</v>
      </c>
      <c r="D20">
        <v>2023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16">
        <f t="shared" si="0"/>
        <v>3.1153846153846154</v>
      </c>
      <c r="I20" s="3">
        <f>Submetering!G20</f>
        <v>0</v>
      </c>
      <c r="J20">
        <v>13.83</v>
      </c>
      <c r="K20" s="3">
        <f>Submetering!BL20</f>
        <v>0</v>
      </c>
      <c r="L20">
        <v>1.2</v>
      </c>
      <c r="M20" s="216">
        <f>Submetering!E20</f>
        <v>0</v>
      </c>
      <c r="N20">
        <f>Submetering!F20</f>
        <v>0</v>
      </c>
    </row>
    <row r="21" spans="1:14" x14ac:dyDescent="0.25">
      <c r="A21" t="s">
        <v>14</v>
      </c>
      <c r="B21">
        <f t="shared" si="1"/>
        <v>20</v>
      </c>
      <c r="C21">
        <v>2</v>
      </c>
      <c r="D21">
        <v>2023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16">
        <f t="shared" si="0"/>
        <v>3.1153846153846154</v>
      </c>
      <c r="I21" s="3">
        <f>Submetering!G21</f>
        <v>0</v>
      </c>
      <c r="J21">
        <v>13.83</v>
      </c>
      <c r="K21" s="3">
        <f>Submetering!BL21</f>
        <v>0</v>
      </c>
      <c r="L21">
        <v>1.2</v>
      </c>
      <c r="M21" s="216">
        <f>Submetering!E21</f>
        <v>0</v>
      </c>
      <c r="N21">
        <f>Submetering!F21</f>
        <v>0</v>
      </c>
    </row>
    <row r="22" spans="1:14" x14ac:dyDescent="0.25">
      <c r="A22" t="s">
        <v>14</v>
      </c>
      <c r="B22">
        <f t="shared" si="1"/>
        <v>21</v>
      </c>
      <c r="C22">
        <v>2</v>
      </c>
      <c r="D22">
        <v>2023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16">
        <f t="shared" si="0"/>
        <v>3.1153846153846154</v>
      </c>
      <c r="I22" s="3">
        <f>Submetering!G22</f>
        <v>0</v>
      </c>
      <c r="J22">
        <v>13.83</v>
      </c>
      <c r="K22" s="3">
        <f>Submetering!BL22</f>
        <v>0</v>
      </c>
      <c r="L22">
        <v>1.2</v>
      </c>
      <c r="M22" s="216">
        <f>Submetering!E22</f>
        <v>0</v>
      </c>
      <c r="N22">
        <f>Submetering!F22</f>
        <v>0</v>
      </c>
    </row>
    <row r="23" spans="1:14" x14ac:dyDescent="0.25">
      <c r="A23" t="s">
        <v>14</v>
      </c>
      <c r="B23">
        <f t="shared" si="1"/>
        <v>22</v>
      </c>
      <c r="C23">
        <v>2</v>
      </c>
      <c r="D23">
        <v>2023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16">
        <f t="shared" si="0"/>
        <v>3.1153846153846154</v>
      </c>
      <c r="I23" s="3">
        <f>Submetering!G23</f>
        <v>0</v>
      </c>
      <c r="J23">
        <v>13.83</v>
      </c>
      <c r="K23" s="3">
        <f>Submetering!BL23</f>
        <v>0</v>
      </c>
      <c r="L23">
        <v>1.2</v>
      </c>
      <c r="M23" s="216">
        <f>Submetering!E23</f>
        <v>0</v>
      </c>
      <c r="N23">
        <f>Submetering!F23</f>
        <v>0</v>
      </c>
    </row>
    <row r="24" spans="1:14" x14ac:dyDescent="0.25">
      <c r="A24" t="s">
        <v>14</v>
      </c>
      <c r="B24">
        <f t="shared" si="1"/>
        <v>23</v>
      </c>
      <c r="C24">
        <v>2</v>
      </c>
      <c r="D24">
        <v>2023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16">
        <f t="shared" si="0"/>
        <v>3.1153846153846154</v>
      </c>
      <c r="I24" s="3">
        <f>Submetering!G24</f>
        <v>0</v>
      </c>
      <c r="J24">
        <v>13.83</v>
      </c>
      <c r="K24" s="3">
        <f>Submetering!BL24</f>
        <v>0</v>
      </c>
      <c r="L24">
        <v>1.2</v>
      </c>
      <c r="M24" s="216">
        <f>Submetering!E24</f>
        <v>0</v>
      </c>
      <c r="N24">
        <f>Submetering!F24</f>
        <v>0</v>
      </c>
    </row>
    <row r="25" spans="1:14" x14ac:dyDescent="0.25">
      <c r="A25" t="s">
        <v>14</v>
      </c>
      <c r="B25">
        <f t="shared" si="1"/>
        <v>24</v>
      </c>
      <c r="C25">
        <v>2</v>
      </c>
      <c r="D25">
        <v>2023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16">
        <f t="shared" si="0"/>
        <v>3.1153846153846154</v>
      </c>
      <c r="I25" s="3">
        <f>Submetering!G25</f>
        <v>0</v>
      </c>
      <c r="J25">
        <v>13.83</v>
      </c>
      <c r="K25" s="3">
        <f>Submetering!BL25</f>
        <v>0</v>
      </c>
      <c r="L25">
        <v>1.2</v>
      </c>
      <c r="M25" s="216">
        <f>Submetering!E25</f>
        <v>0</v>
      </c>
      <c r="N25">
        <f>Submetering!F25</f>
        <v>0</v>
      </c>
    </row>
    <row r="26" spans="1:14" x14ac:dyDescent="0.25">
      <c r="A26" t="s">
        <v>14</v>
      </c>
      <c r="B26">
        <f>B25+1</f>
        <v>25</v>
      </c>
      <c r="C26">
        <v>2</v>
      </c>
      <c r="D26">
        <v>2023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16">
        <f t="shared" si="0"/>
        <v>3.1153846153846154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16">
        <f>Submetering!E26</f>
        <v>0</v>
      </c>
      <c r="N26">
        <f>Submetering!F26</f>
        <v>0</v>
      </c>
    </row>
    <row r="27" spans="1:14" x14ac:dyDescent="0.25">
      <c r="A27" t="s">
        <v>14</v>
      </c>
      <c r="B27">
        <f t="shared" si="1"/>
        <v>26</v>
      </c>
      <c r="C27">
        <v>2</v>
      </c>
      <c r="D27">
        <v>2023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16">
        <f t="shared" si="0"/>
        <v>3.1153846153846154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16">
        <f>Submetering!E27</f>
        <v>0</v>
      </c>
      <c r="N27">
        <f>Submetering!F27</f>
        <v>0</v>
      </c>
    </row>
    <row r="28" spans="1:14" x14ac:dyDescent="0.25">
      <c r="A28" t="s">
        <v>14</v>
      </c>
      <c r="B28">
        <f t="shared" si="1"/>
        <v>27</v>
      </c>
      <c r="C28">
        <v>2</v>
      </c>
      <c r="D28">
        <v>2023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16">
        <f t="shared" si="0"/>
        <v>3.1153846153846154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16">
        <f>Submetering!E28</f>
        <v>0</v>
      </c>
      <c r="N28">
        <f>Submetering!F28</f>
        <v>0</v>
      </c>
    </row>
    <row r="29" spans="1:14" x14ac:dyDescent="0.25">
      <c r="A29" t="s">
        <v>14</v>
      </c>
      <c r="B29">
        <f t="shared" si="1"/>
        <v>28</v>
      </c>
      <c r="C29">
        <v>2</v>
      </c>
      <c r="D29">
        <v>2023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16">
        <f t="shared" si="0"/>
        <v>3.1153846153846154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16">
        <f>Submetering!E29</f>
        <v>0</v>
      </c>
      <c r="N29">
        <f>Submetering!F29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9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8" sqref="B8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5"/>
    <col min="7" max="25" width="12.5703125" style="3" customWidth="1"/>
    <col min="26" max="29" width="11.5703125" style="3" customWidth="1"/>
    <col min="30" max="35" width="11.5703125" style="80" customWidth="1"/>
    <col min="36" max="63" width="11.5703125" style="78" customWidth="1"/>
  </cols>
  <sheetData>
    <row r="1" spans="1:65" s="4" customFormat="1" ht="61.5" x14ac:dyDescent="0.35">
      <c r="A1" s="4" t="s">
        <v>0</v>
      </c>
      <c r="B1" s="4" t="s">
        <v>1</v>
      </c>
      <c r="C1" s="4" t="s">
        <v>2</v>
      </c>
      <c r="D1" s="4" t="s">
        <v>3</v>
      </c>
      <c r="E1" s="73" t="s">
        <v>12</v>
      </c>
      <c r="F1" s="73" t="s">
        <v>13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79" t="s">
        <v>38</v>
      </c>
      <c r="AE1" s="79" t="s">
        <v>39</v>
      </c>
      <c r="AF1" s="79" t="s">
        <v>40</v>
      </c>
      <c r="AG1" s="79" t="s">
        <v>41</v>
      </c>
      <c r="AH1" s="79" t="s">
        <v>42</v>
      </c>
      <c r="AI1" s="79" t="s">
        <v>43</v>
      </c>
      <c r="AJ1" s="76" t="s">
        <v>44</v>
      </c>
      <c r="AK1" s="76" t="s">
        <v>45</v>
      </c>
      <c r="AL1" s="76" t="s">
        <v>46</v>
      </c>
      <c r="AM1" s="76" t="s">
        <v>47</v>
      </c>
      <c r="AN1" s="76" t="s">
        <v>48</v>
      </c>
      <c r="AO1" s="76" t="s">
        <v>49</v>
      </c>
      <c r="AP1" s="76" t="s">
        <v>50</v>
      </c>
      <c r="AQ1" s="76" t="s">
        <v>51</v>
      </c>
      <c r="AR1" s="76" t="s">
        <v>52</v>
      </c>
      <c r="AS1" s="76" t="s">
        <v>53</v>
      </c>
      <c r="AT1" s="76" t="s">
        <v>54</v>
      </c>
      <c r="AU1" s="76" t="s">
        <v>55</v>
      </c>
      <c r="AV1" s="76" t="s">
        <v>56</v>
      </c>
      <c r="AW1" s="76" t="s">
        <v>57</v>
      </c>
      <c r="AX1" s="76" t="s">
        <v>58</v>
      </c>
      <c r="AY1" s="76" t="s">
        <v>59</v>
      </c>
      <c r="AZ1" s="76" t="s">
        <v>60</v>
      </c>
      <c r="BA1" s="76" t="s">
        <v>61</v>
      </c>
      <c r="BB1" s="76" t="s">
        <v>62</v>
      </c>
      <c r="BC1" s="76" t="s">
        <v>63</v>
      </c>
      <c r="BD1" s="76" t="s">
        <v>64</v>
      </c>
      <c r="BE1" s="76" t="s">
        <v>65</v>
      </c>
      <c r="BF1" s="76" t="s">
        <v>66</v>
      </c>
      <c r="BG1" s="76" t="s">
        <v>67</v>
      </c>
      <c r="BH1" s="76" t="s">
        <v>68</v>
      </c>
      <c r="BI1" s="76" t="s">
        <v>69</v>
      </c>
      <c r="BJ1" s="76" t="s">
        <v>70</v>
      </c>
      <c r="BK1" s="76" t="s">
        <v>71</v>
      </c>
      <c r="BL1" s="76" t="s">
        <v>72</v>
      </c>
    </row>
    <row r="2" spans="1:65" x14ac:dyDescent="0.25">
      <c r="A2" t="s">
        <v>14</v>
      </c>
      <c r="B2">
        <v>1</v>
      </c>
      <c r="C2">
        <v>2</v>
      </c>
      <c r="D2">
        <v>2023</v>
      </c>
      <c r="E2" s="74">
        <f>237*0.7</f>
        <v>165.89999999999998</v>
      </c>
      <c r="F2" s="75">
        <f>278+33</f>
        <v>311</v>
      </c>
      <c r="G2" s="3">
        <f>'DJB Daily Readings'!C10-'DJB Daily Readings'!C9</f>
        <v>498</v>
      </c>
      <c r="H2" s="3">
        <f>'DJB Daily Readings'!F10-'DJB Daily Readings'!F9</f>
        <v>390</v>
      </c>
      <c r="I2" s="3">
        <f>'DJB Daily Readings'!L9</f>
        <v>249</v>
      </c>
      <c r="J2" s="3">
        <f>'DJB Daily Readings'!N9</f>
        <v>0</v>
      </c>
      <c r="K2" s="3">
        <f>'DJB Daily Readings'!O10-'DJB Daily Readings'!O9</f>
        <v>67</v>
      </c>
      <c r="L2" s="3">
        <f>'DJB Daily Readings'!R10-'DJB Daily Readings'!R9</f>
        <v>11</v>
      </c>
      <c r="M2" s="3">
        <f>'DJB Daily Readings'!U10-'DJB Daily Readings'!U9</f>
        <v>1997.519999999553</v>
      </c>
      <c r="N2" s="3">
        <f>'DJB Daily Readings'!X10-'DJB Daily Readings'!X9</f>
        <v>4579.679999999702</v>
      </c>
      <c r="O2" s="3">
        <f>'DJB Daily Readings'!AA10-'DJB Daily Readings'!AA9</f>
        <v>0</v>
      </c>
      <c r="P2" s="3">
        <f>'DJB Daily Readings'!AD10-'DJB Daily Readings'!AD9</f>
        <v>1364.160000000149</v>
      </c>
      <c r="Q2" s="3">
        <f>'DJB Daily Readings'!AG10-'DJB Daily Readings'!AG9</f>
        <v>7405.4400000013411</v>
      </c>
      <c r="R2" s="3">
        <f>'DJB Daily Readings'!AJ10-'DJB Daily Readings'!AJ9</f>
        <v>4482.2400000020862</v>
      </c>
      <c r="S2" s="3">
        <f>'DJB Daily Readings'!AM10-'DJB Daily Readings'!AM9</f>
        <v>3751.4400000013411</v>
      </c>
      <c r="T2" s="3">
        <f>'DJB Daily Readings'!AP10-'DJB Daily Readings'!AP9</f>
        <v>4530.9600000008941</v>
      </c>
      <c r="U2" s="3">
        <f>'DJB Daily Readings'!AS10-'DJB Daily Readings'!AS9</f>
        <v>2923.1999999992549</v>
      </c>
      <c r="V2" s="3">
        <f>'DJB Daily Readings'!AV10-'DJB Daily Readings'!AV9</f>
        <v>5700.2399999983609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35200</v>
      </c>
      <c r="Z2" s="3">
        <f>('DJB Daily Readings'!CK10-'DJB Daily Readings'!CK9)*1.89</f>
        <v>149.31</v>
      </c>
      <c r="AA2" s="3">
        <f>('DJB Daily Readings'!CN10-'DJB Daily Readings'!CN9)*1.89</f>
        <v>228.69</v>
      </c>
      <c r="AB2" s="3">
        <f>('DJB Daily Readings'!CQ10-'DJB Daily Readings'!CQ9)*1.89</f>
        <v>521.64</v>
      </c>
      <c r="AC2" s="3">
        <f>'DJB Daily Readings'!CT10-'DJB Daily Readings'!CT9</f>
        <v>183</v>
      </c>
      <c r="AD2" s="80">
        <f>('DJB Daily Readings'!BY10-'DJB Daily Readings'!BY9)*1.89</f>
        <v>32.129999999999995</v>
      </c>
      <c r="AE2" s="80">
        <f>('DJB Daily Readings'!CA10-'DJB Daily Readings'!CA9)*1.89</f>
        <v>37.799999999999997</v>
      </c>
      <c r="AF2" s="80">
        <f>('DJB Daily Readings'!CC10-'DJB Daily Readings'!CC9)*1.89</f>
        <v>15.12</v>
      </c>
      <c r="AG2" s="80">
        <f>('DJB Daily Readings'!CE10-'DJB Daily Readings'!CE9)*1.89</f>
        <v>18.899999999999999</v>
      </c>
      <c r="AH2" s="80">
        <f>('DJB Daily Readings'!CG10-'DJB Daily Readings'!CG9)*1.89</f>
        <v>26.459999999999997</v>
      </c>
      <c r="AI2" s="80">
        <f>('DJB Daily Readings'!CI10-'DJB Daily Readings'!CI9)*1.89</f>
        <v>66.149999999999991</v>
      </c>
      <c r="AJ2" s="77">
        <f>'DJB Daily Readings'!CY10-'DJB Daily Readings'!CY9</f>
        <v>8</v>
      </c>
      <c r="AK2" s="77">
        <f>'DJB Daily Readings'!CW10-'DJB Daily Readings'!CW9</f>
        <v>10</v>
      </c>
      <c r="AL2" s="78">
        <f>'DJB Daily Readings'!DC10-'DJB Daily Readings'!DC9</f>
        <v>12</v>
      </c>
      <c r="AM2" s="78">
        <f>'DJB Daily Readings'!DA10-'DJB Daily Readings'!DA9</f>
        <v>14</v>
      </c>
      <c r="AN2" s="78">
        <f>'DJB Daily Readings'!DG10-'DJB Daily Readings'!DG9</f>
        <v>4</v>
      </c>
      <c r="AO2" s="78">
        <f>'DJB Daily Readings'!DE10-'DJB Daily Readings'!DE9</f>
        <v>9</v>
      </c>
      <c r="AP2" s="78">
        <f>'DJB Daily Readings'!DK10-'DJB Daily Readings'!DK9</f>
        <v>8</v>
      </c>
      <c r="AQ2" s="78">
        <f>'DJB Daily Readings'!DI10-'DJB Daily Readings'!DI9</f>
        <v>8</v>
      </c>
      <c r="AR2" s="78">
        <f>'DJB Daily Readings'!DO10-'DJB Daily Readings'!DO9</f>
        <v>6</v>
      </c>
      <c r="AS2" s="78">
        <f>'DJB Daily Readings'!DM10-'DJB Daily Readings'!DM9</f>
        <v>4</v>
      </c>
      <c r="AT2" s="78">
        <f>'DJB Daily Readings'!DQ10-'DJB Daily Readings'!DQ9</f>
        <v>4</v>
      </c>
      <c r="AU2" s="78">
        <f>'DJB Daily Readings'!DT10-'DJB Daily Readings'!DT9</f>
        <v>11.199999999999818</v>
      </c>
      <c r="AW2" s="78">
        <f>'DJB Daily Readings'!DX10-'DJB Daily Readings'!DX9</f>
        <v>5.8000000000001819</v>
      </c>
      <c r="AX2" s="78">
        <f>'DJB Daily Readings'!DZ10-'DJB Daily Readings'!DZ9</f>
        <v>6.2999999999992724</v>
      </c>
      <c r="AY2" s="78">
        <f>'DJB Daily Readings'!EB10-'DJB Daily Readings'!EB9</f>
        <v>484</v>
      </c>
      <c r="AZ2" s="78">
        <f>'DJB Daily Readings'!ED10-'DJB Daily Readings'!ED9</f>
        <v>153.80000000001746</v>
      </c>
      <c r="BA2" s="78">
        <f>'DJB Daily Readings'!EG10-'DJB Daily Readings'!EG9</f>
        <v>2700</v>
      </c>
      <c r="BB2" s="78">
        <f>'DJB Daily Readings'!EI10-'DJB Daily Readings'!EI9</f>
        <v>220</v>
      </c>
      <c r="BC2" s="78">
        <f>'DJB Daily Readings'!EQ10-'DJB Daily Readings'!EQ9</f>
        <v>1600</v>
      </c>
      <c r="BD2" s="78">
        <f>'DJB Daily Readings'!EK10-'DJB Daily Readings'!EK9</f>
        <v>800</v>
      </c>
      <c r="BE2" s="78">
        <f>'DJB Daily Readings'!EM10-'DJB Daily Readings'!EM9</f>
        <v>200</v>
      </c>
      <c r="BF2" s="78">
        <f>'DJB Daily Readings'!EO10-'DJB Daily Readings'!EO9</f>
        <v>540</v>
      </c>
      <c r="BG2" s="78">
        <f>('DJB Daily Readings'!ET10-'DJB Daily Readings'!ET9)*1.89</f>
        <v>30.24</v>
      </c>
      <c r="BH2" s="78">
        <f>('DJB Daily Readings'!EV10-'DJB Daily Readings'!EV9)*1.89</f>
        <v>20.79</v>
      </c>
      <c r="BI2" s="78">
        <f>('DJB Daily Readings'!EZ10-'DJB Daily Readings'!EZ9)*1.89</f>
        <v>28.349999999999998</v>
      </c>
      <c r="BJ2" s="78">
        <f>('DJB Daily Readings'!EX10-'DJB Daily Readings'!EX9)*1.89</f>
        <v>15.12</v>
      </c>
      <c r="BK2" s="78">
        <f>('DJB Daily Readings'!FB10-'DJB Daily Readings'!FB9)*1.89</f>
        <v>51.029999999999994</v>
      </c>
      <c r="BL2" s="78">
        <f>'DJB Daily Readings'!J9</f>
        <v>232</v>
      </c>
    </row>
    <row r="3" spans="1:65" x14ac:dyDescent="0.25">
      <c r="A3" t="s">
        <v>14</v>
      </c>
      <c r="B3">
        <f>B2+1</f>
        <v>2</v>
      </c>
      <c r="C3">
        <v>2</v>
      </c>
      <c r="D3">
        <v>2023</v>
      </c>
      <c r="E3" s="74">
        <f>237*0.7</f>
        <v>165.89999999999998</v>
      </c>
      <c r="F3" s="75">
        <f>286+36</f>
        <v>322</v>
      </c>
      <c r="G3" s="3">
        <f>'DJB Daily Readings'!C11-'DJB Daily Readings'!C10</f>
        <v>587</v>
      </c>
      <c r="H3" s="3">
        <f>'DJB Daily Readings'!F11-'DJB Daily Readings'!F10</f>
        <v>461</v>
      </c>
      <c r="I3" s="3">
        <f>'DJB Daily Readings'!L10</f>
        <v>0</v>
      </c>
      <c r="J3" s="3">
        <f>'DJB Daily Readings'!N10</f>
        <v>0</v>
      </c>
      <c r="K3" s="3">
        <f>'DJB Daily Readings'!O11-'DJB Daily Readings'!O10</f>
        <v>67</v>
      </c>
      <c r="L3" s="3">
        <f>'DJB Daily Readings'!R11-'DJB Daily Readings'!R10</f>
        <v>6</v>
      </c>
      <c r="M3" s="3">
        <f>'DJB Daily Readings'!U11-'DJB Daily Readings'!U10</f>
        <v>1802.640000000596</v>
      </c>
      <c r="N3" s="3">
        <f>'DJB Daily Readings'!X11-'DJB Daily Readings'!X10</f>
        <v>4189.9199999999255</v>
      </c>
      <c r="O3" s="3">
        <f>'DJB Daily Readings'!AA11-'DJB Daily Readings'!AA10</f>
        <v>828.24000000022352</v>
      </c>
      <c r="P3" s="3">
        <f>'DJB Daily Readings'!AD11-'DJB Daily Readings'!AD10</f>
        <v>633.35999999940395</v>
      </c>
      <c r="Q3" s="3">
        <f>'DJB Daily Readings'!AG11-'DJB Daily Readings'!AG10</f>
        <v>7454.160000000149</v>
      </c>
      <c r="R3" s="3">
        <f>'DJB Daily Readings'!AJ11-'DJB Daily Readings'!AJ10</f>
        <v>4238.6399999968708</v>
      </c>
      <c r="S3" s="3">
        <f>'DJB Daily Readings'!AM11-'DJB Daily Readings'!AM10</f>
        <v>3654</v>
      </c>
      <c r="T3" s="3">
        <f>'DJB Daily Readings'!AP11-'DJB Daily Readings'!AP10</f>
        <v>3995.0399999991059</v>
      </c>
      <c r="U3" s="3">
        <f>'DJB Daily Readings'!AS11-'DJB Daily Readings'!AS10</f>
        <v>2582.160000000149</v>
      </c>
      <c r="V3" s="3">
        <f>'DJB Daily Readings'!AV11-'DJB Daily Readings'!AV10</f>
        <v>5359.1999999992549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39700</v>
      </c>
      <c r="Z3" s="3">
        <f>('DJB Daily Readings'!CK11-'DJB Daily Readings'!CK10)*1.89</f>
        <v>132.29999999999998</v>
      </c>
      <c r="AA3" s="3">
        <f>('DJB Daily Readings'!CN11-'DJB Daily Readings'!CN10)*1.89</f>
        <v>219.23999999999998</v>
      </c>
      <c r="AB3" s="3">
        <f>('DJB Daily Readings'!CQ11-'DJB Daily Readings'!CQ10)*1.89</f>
        <v>463.04999999999995</v>
      </c>
      <c r="AC3" s="3">
        <f>'DJB Daily Readings'!CT11-'DJB Daily Readings'!CT10</f>
        <v>164</v>
      </c>
      <c r="AD3" s="80">
        <f>('DJB Daily Readings'!BY11-'DJB Daily Readings'!BY10)*1.89</f>
        <v>22.68</v>
      </c>
      <c r="AE3" s="80">
        <f>('DJB Daily Readings'!CA11-'DJB Daily Readings'!CA10)*1.89</f>
        <v>32.129999999999995</v>
      </c>
      <c r="AF3" s="80">
        <f>('DJB Daily Readings'!CC11-'DJB Daily Readings'!CC10)*1.89</f>
        <v>11.34</v>
      </c>
      <c r="AG3" s="80">
        <f>('DJB Daily Readings'!CE11-'DJB Daily Readings'!CE10)*1.89</f>
        <v>13.229999999999999</v>
      </c>
      <c r="AH3" s="80">
        <f>('DJB Daily Readings'!CG11-'DJB Daily Readings'!CG10)*1.89</f>
        <v>26.459999999999997</v>
      </c>
      <c r="AI3" s="80">
        <f>('DJB Daily Readings'!CI11-'DJB Daily Readings'!CI10)*1.89</f>
        <v>64.259999999999991</v>
      </c>
      <c r="AJ3" s="77">
        <f>'DJB Daily Readings'!CY11-'DJB Daily Readings'!CY10</f>
        <v>7</v>
      </c>
      <c r="AK3" s="77">
        <f>'DJB Daily Readings'!CW11-'DJB Daily Readings'!CW10</f>
        <v>9</v>
      </c>
      <c r="AL3" s="78">
        <f>'DJB Daily Readings'!DC11-'DJB Daily Readings'!DC10</f>
        <v>16</v>
      </c>
      <c r="AM3" s="78">
        <f>'DJB Daily Readings'!DA11-'DJB Daily Readings'!DA10</f>
        <v>14</v>
      </c>
      <c r="AN3" s="78">
        <f>'DJB Daily Readings'!DG11-'DJB Daily Readings'!DG10</f>
        <v>5</v>
      </c>
      <c r="AO3" s="78">
        <f>'DJB Daily Readings'!DE11-'DJB Daily Readings'!DE10</f>
        <v>8</v>
      </c>
      <c r="AP3" s="78">
        <f>'DJB Daily Readings'!DK11-'DJB Daily Readings'!DK10</f>
        <v>7</v>
      </c>
      <c r="AQ3" s="78">
        <f>'DJB Daily Readings'!DI11-'DJB Daily Readings'!DI10</f>
        <v>11</v>
      </c>
      <c r="AR3" s="78">
        <f>'DJB Daily Readings'!DO11-'DJB Daily Readings'!DO10</f>
        <v>6</v>
      </c>
      <c r="AS3" s="78">
        <f>'DJB Daily Readings'!DM11-'DJB Daily Readings'!DM10</f>
        <v>5</v>
      </c>
      <c r="AT3" s="78">
        <f>'DJB Daily Readings'!DQ11-'DJB Daily Readings'!DQ10</f>
        <v>6</v>
      </c>
      <c r="AU3" s="78">
        <f>'DJB Daily Readings'!DT11-'DJB Daily Readings'!DT10</f>
        <v>11</v>
      </c>
      <c r="AW3" s="78">
        <f>'DJB Daily Readings'!DX11-'DJB Daily Readings'!DX10</f>
        <v>5.8000000000001819</v>
      </c>
      <c r="AX3" s="78">
        <f>'DJB Daily Readings'!DZ11-'DJB Daily Readings'!DZ10</f>
        <v>6.1000000000003638</v>
      </c>
      <c r="AY3" s="78">
        <f>'DJB Daily Readings'!EB11-'DJB Daily Readings'!EB10</f>
        <v>532</v>
      </c>
      <c r="AZ3" s="78">
        <f>'DJB Daily Readings'!ED11-'DJB Daily Readings'!ED10</f>
        <v>148.19999999998254</v>
      </c>
      <c r="BA3" s="78">
        <f>'DJB Daily Readings'!EG11-'DJB Daily Readings'!EG10</f>
        <v>3200</v>
      </c>
      <c r="BB3" s="78">
        <f>'DJB Daily Readings'!EI11-'DJB Daily Readings'!EI10</f>
        <v>240</v>
      </c>
      <c r="BC3" s="78">
        <f>'DJB Daily Readings'!EQ11-'DJB Daily Readings'!EQ10</f>
        <v>2900</v>
      </c>
      <c r="BD3" s="78">
        <f>'DJB Daily Readings'!EK11-'DJB Daily Readings'!EK10</f>
        <v>900</v>
      </c>
      <c r="BE3" s="78">
        <f>'DJB Daily Readings'!EM11-'DJB Daily Readings'!EM10</f>
        <v>300</v>
      </c>
      <c r="BF3" s="78">
        <f>'DJB Daily Readings'!EO11-'DJB Daily Readings'!EO10</f>
        <v>670</v>
      </c>
      <c r="BG3" s="78">
        <f>('DJB Daily Readings'!ET11-'DJB Daily Readings'!ET10)*1.89</f>
        <v>26.459999999999997</v>
      </c>
      <c r="BH3" s="78">
        <f>('DJB Daily Readings'!EV11-'DJB Daily Readings'!EV10)*1.89</f>
        <v>20.79</v>
      </c>
      <c r="BI3" s="78">
        <f>('DJB Daily Readings'!EZ11-'DJB Daily Readings'!EZ10)*1.89</f>
        <v>30.24</v>
      </c>
      <c r="BJ3" s="78">
        <f>('DJB Daily Readings'!EX11-'DJB Daily Readings'!EX10)*1.89</f>
        <v>17.009999999999998</v>
      </c>
      <c r="BK3" s="78">
        <f>('DJB Daily Readings'!FB11-'DJB Daily Readings'!FB10)*1.89</f>
        <v>49.14</v>
      </c>
      <c r="BL3" s="78">
        <f>'DJB Daily Readings'!J11</f>
        <v>225</v>
      </c>
    </row>
    <row r="4" spans="1:65" x14ac:dyDescent="0.25">
      <c r="A4" t="s">
        <v>14</v>
      </c>
      <c r="B4">
        <f t="shared" ref="B4:B29" si="0">B3+1</f>
        <v>3</v>
      </c>
      <c r="C4">
        <v>2</v>
      </c>
      <c r="D4">
        <v>2023</v>
      </c>
      <c r="E4" s="74">
        <f>237*0.72</f>
        <v>170.64</v>
      </c>
      <c r="F4" s="75">
        <f>268+34</f>
        <v>302</v>
      </c>
      <c r="G4" s="3">
        <f>'DJB Daily Readings'!C12-'DJB Daily Readings'!C11</f>
        <v>577</v>
      </c>
      <c r="H4" s="3">
        <f>'DJB Daily Readings'!F12-'DJB Daily Readings'!F11</f>
        <v>430</v>
      </c>
      <c r="I4" s="3">
        <f>'DJB Daily Readings'!L11</f>
        <v>272</v>
      </c>
      <c r="J4" s="3">
        <f>'DJB Daily Readings'!N11</f>
        <v>0</v>
      </c>
      <c r="K4" s="3">
        <f>'DJB Daily Readings'!O12-'DJB Daily Readings'!O11</f>
        <v>81</v>
      </c>
      <c r="L4" s="3">
        <f>'DJB Daily Readings'!R12-'DJB Daily Readings'!R11</f>
        <v>7</v>
      </c>
      <c r="M4" s="3">
        <f>'DJB Daily Readings'!U12-'DJB Daily Readings'!U11</f>
        <v>1948.7999999998137</v>
      </c>
      <c r="N4" s="3">
        <f>'DJB Daily Readings'!X12-'DJB Daily Readings'!X11</f>
        <v>4725.8400000017136</v>
      </c>
      <c r="O4" s="3">
        <f>'DJB Daily Readings'!AA12-'DJB Daily Readings'!AA11</f>
        <v>8087.519999999553</v>
      </c>
      <c r="P4" s="3">
        <f>'DJB Daily Readings'!AD12-'DJB Daily Readings'!AD11</f>
        <v>194.88000000268221</v>
      </c>
      <c r="Q4" s="3">
        <f>'DJB Daily Readings'!AG12-'DJB Daily Readings'!AG11</f>
        <v>1948.8000000007451</v>
      </c>
      <c r="R4" s="3">
        <f>'DJB Daily Readings'!AJ12-'DJB Daily Readings'!AJ11</f>
        <v>4823.2800000011921</v>
      </c>
      <c r="S4" s="3">
        <f>'DJB Daily Readings'!AM12-'DJB Daily Readings'!AM11</f>
        <v>3702.7200000006706</v>
      </c>
      <c r="T4" s="3">
        <f>'DJB Daily Readings'!AP12-'DJB Daily Readings'!AP11</f>
        <v>4238.640000000596</v>
      </c>
      <c r="U4" s="3">
        <f>'DJB Daily Readings'!AS12-'DJB Daily Readings'!AS11</f>
        <v>2679.5999999996275</v>
      </c>
      <c r="V4" s="3">
        <f>'DJB Daily Readings'!AV12-'DJB Daily Readings'!AV11</f>
        <v>5700.2400000020862</v>
      </c>
      <c r="W4" s="3">
        <f>'DJB Daily Readings'!AZ12-'DJB Daily Readings'!AZ11</f>
        <v>34300</v>
      </c>
      <c r="X4" s="3">
        <f>'DJB Daily Readings'!BC12-'DJB Daily Readings'!BC11</f>
        <v>0</v>
      </c>
      <c r="Y4" s="3">
        <f>'DJB Daily Readings'!BF12-'DJB Daily Readings'!BF11</f>
        <v>10400</v>
      </c>
      <c r="Z4" s="3">
        <f>('DJB Daily Readings'!CK12-'DJB Daily Readings'!CK11)*1.89</f>
        <v>141.75</v>
      </c>
      <c r="AA4" s="3">
        <f>('DJB Daily Readings'!CN12-'DJB Daily Readings'!CN11)*1.89</f>
        <v>226.79999999999998</v>
      </c>
      <c r="AB4" s="3">
        <f>('DJB Daily Readings'!CQ12-'DJB Daily Readings'!CQ11)*1.89</f>
        <v>423.35999999999996</v>
      </c>
      <c r="AC4" s="3">
        <f>'DJB Daily Readings'!CT12-'DJB Daily Readings'!CT11</f>
        <v>174</v>
      </c>
      <c r="AD4" s="80">
        <f>('DJB Daily Readings'!BY12-'DJB Daily Readings'!BY11)*1.89</f>
        <v>32.129999999999995</v>
      </c>
      <c r="AE4" s="80">
        <f>('DJB Daily Readings'!CA12-'DJB Daily Readings'!CA11)*1.89</f>
        <v>39.69</v>
      </c>
      <c r="AF4" s="80">
        <f>('DJB Daily Readings'!CC12-'DJB Daily Readings'!CC11)*1.89</f>
        <v>13.229999999999999</v>
      </c>
      <c r="AG4" s="80">
        <f>('DJB Daily Readings'!CE12-'DJB Daily Readings'!CE11)*1.89</f>
        <v>17.009999999999998</v>
      </c>
      <c r="AH4" s="80">
        <f>('DJB Daily Readings'!CG12-'DJB Daily Readings'!CG11)*1.89</f>
        <v>24.57</v>
      </c>
      <c r="AI4" s="80">
        <f>('DJB Daily Readings'!CI12-'DJB Daily Readings'!CI11)*1.89</f>
        <v>68.039999999999992</v>
      </c>
      <c r="AJ4" s="77">
        <f>'DJB Daily Readings'!CY12-'DJB Daily Readings'!CY11</f>
        <v>5</v>
      </c>
      <c r="AK4" s="77">
        <f>'DJB Daily Readings'!CW12-'DJB Daily Readings'!CW11</f>
        <v>9</v>
      </c>
      <c r="AL4" s="78">
        <f>'DJB Daily Readings'!DC12-'DJB Daily Readings'!DC11</f>
        <v>15</v>
      </c>
      <c r="AM4" s="78">
        <f>'DJB Daily Readings'!DA12-'DJB Daily Readings'!DA11</f>
        <v>15</v>
      </c>
      <c r="AN4" s="78">
        <f>'DJB Daily Readings'!DG12-'DJB Daily Readings'!DG11</f>
        <v>5</v>
      </c>
      <c r="AO4" s="78">
        <f>'DJB Daily Readings'!DE12-'DJB Daily Readings'!DE11</f>
        <v>8</v>
      </c>
      <c r="AP4" s="78">
        <f>'DJB Daily Readings'!DK12-'DJB Daily Readings'!DK11</f>
        <v>11</v>
      </c>
      <c r="AQ4" s="78">
        <f>'DJB Daily Readings'!DI12-'DJB Daily Readings'!DI11</f>
        <v>12</v>
      </c>
      <c r="AR4" s="78">
        <f>'DJB Daily Readings'!DO12-'DJB Daily Readings'!DO11</f>
        <v>9</v>
      </c>
      <c r="AS4" s="78">
        <f>'DJB Daily Readings'!DM12-'DJB Daily Readings'!DM11</f>
        <v>6</v>
      </c>
      <c r="AT4" s="78">
        <f>'DJB Daily Readings'!DQ12-'DJB Daily Readings'!DQ11</f>
        <v>6</v>
      </c>
      <c r="AU4" s="78">
        <f>'DJB Daily Readings'!DT12-'DJB Daily Readings'!DT11</f>
        <v>11.300000000000182</v>
      </c>
      <c r="AW4" s="78">
        <f>'DJB Daily Readings'!DX12-'DJB Daily Readings'!DX11</f>
        <v>6</v>
      </c>
      <c r="AX4" s="78">
        <f>'DJB Daily Readings'!DZ12-'DJB Daily Readings'!DZ11</f>
        <v>7.6000000000003638</v>
      </c>
      <c r="AY4" s="78">
        <f>'DJB Daily Readings'!EB12-'DJB Daily Readings'!EB11</f>
        <v>579</v>
      </c>
      <c r="AZ4" s="78">
        <f>'DJB Daily Readings'!ED12-'DJB Daily Readings'!ED11</f>
        <v>154.70000000001164</v>
      </c>
      <c r="BA4" s="78">
        <f>'DJB Daily Readings'!EG12-'DJB Daily Readings'!EG11</f>
        <v>3600</v>
      </c>
      <c r="BB4" s="78">
        <f>'DJB Daily Readings'!EI12-'DJB Daily Readings'!EI11</f>
        <v>280</v>
      </c>
      <c r="BC4" s="78">
        <f>'DJB Daily Readings'!EQ12-'DJB Daily Readings'!EQ11</f>
        <v>4900</v>
      </c>
      <c r="BD4" s="78">
        <f>'DJB Daily Readings'!EK12-'DJB Daily Readings'!EK11</f>
        <v>1100</v>
      </c>
      <c r="BE4" s="78">
        <f>'DJB Daily Readings'!EM12-'DJB Daily Readings'!EM11</f>
        <v>500</v>
      </c>
      <c r="BF4" s="78">
        <f>'DJB Daily Readings'!EO12-'DJB Daily Readings'!EO11</f>
        <v>690</v>
      </c>
      <c r="BG4" s="78">
        <f>('DJB Daily Readings'!ET12-'DJB Daily Readings'!ET11)*1.89</f>
        <v>30.24</v>
      </c>
      <c r="BH4" s="78">
        <f>('DJB Daily Readings'!EV12-'DJB Daily Readings'!EV11)*1.89</f>
        <v>20.79</v>
      </c>
      <c r="BI4" s="78">
        <f>('DJB Daily Readings'!EZ12-'DJB Daily Readings'!EZ11)*1.89</f>
        <v>28.349999999999998</v>
      </c>
      <c r="BJ4" s="78">
        <f>('DJB Daily Readings'!EX12-'DJB Daily Readings'!EX11)*1.89</f>
        <v>24.57</v>
      </c>
      <c r="BK4" s="78">
        <f>('DJB Daily Readings'!FB12-'DJB Daily Readings'!FB11)*1.89</f>
        <v>66.149999999999991</v>
      </c>
      <c r="BL4" s="78">
        <f>'DJB Daily Readings'!J12</f>
        <v>221</v>
      </c>
    </row>
    <row r="5" spans="1:65" x14ac:dyDescent="0.25">
      <c r="A5" t="s">
        <v>14</v>
      </c>
      <c r="B5">
        <f t="shared" si="0"/>
        <v>4</v>
      </c>
      <c r="C5">
        <v>2</v>
      </c>
      <c r="D5">
        <v>2023</v>
      </c>
      <c r="E5" s="74">
        <f>237*0.76</f>
        <v>180.12</v>
      </c>
      <c r="F5" s="75">
        <f>280+32</f>
        <v>312</v>
      </c>
      <c r="G5" s="3">
        <f>'DJB Daily Readings'!C13-'DJB Daily Readings'!C12</f>
        <v>620</v>
      </c>
      <c r="H5" s="3">
        <f>'DJB Daily Readings'!F13-'DJB Daily Readings'!F12</f>
        <v>457</v>
      </c>
      <c r="I5" s="3">
        <f>'DJB Daily Readings'!L12</f>
        <v>260</v>
      </c>
      <c r="J5" s="3">
        <f>'DJB Daily Readings'!N12</f>
        <v>14</v>
      </c>
      <c r="K5" s="3">
        <f>'DJB Daily Readings'!O13-'DJB Daily Readings'!O12</f>
        <v>70</v>
      </c>
      <c r="L5" s="3">
        <f>'DJB Daily Readings'!R13-'DJB Daily Readings'!R12</f>
        <v>5</v>
      </c>
      <c r="M5" s="3">
        <f>'DJB Daily Readings'!U13-'DJB Daily Readings'!U12</f>
        <v>1948.7999999998137</v>
      </c>
      <c r="N5" s="3">
        <f>'DJB Daily Readings'!X13-'DJB Daily Readings'!X12</f>
        <v>4677.1199999991804</v>
      </c>
      <c r="O5" s="3">
        <f>'DJB Daily Readings'!AA13-'DJB Daily Readings'!AA12</f>
        <v>0</v>
      </c>
      <c r="P5" s="3">
        <f>'DJB Daily Readings'!AD13-'DJB Daily Readings'!AD12</f>
        <v>8087.519999999553</v>
      </c>
      <c r="Q5" s="3">
        <f>'DJB Daily Readings'!AG13-'DJB Daily Readings'!AG12</f>
        <v>535.91999999806285</v>
      </c>
      <c r="R5" s="3">
        <f>'DJB Daily Readings'!AJ13-'DJB Daily Readings'!AJ12</f>
        <v>5115.6000000014901</v>
      </c>
      <c r="S5" s="3">
        <f>'DJB Daily Readings'!AM13-'DJB Daily Readings'!AM12</f>
        <v>3800.160000000149</v>
      </c>
      <c r="T5" s="3">
        <f>'DJB Daily Readings'!AP13-'DJB Daily Readings'!AP12</f>
        <v>4530.9600000008941</v>
      </c>
      <c r="U5" s="3">
        <f>'DJB Daily Readings'!AS13-'DJB Daily Readings'!AS12</f>
        <v>2971.9199999999255</v>
      </c>
      <c r="V5" s="3">
        <f>'DJB Daily Readings'!AV13-'DJB Daily Readings'!AV12</f>
        <v>5748.9599999971688</v>
      </c>
      <c r="W5" s="3">
        <f>'DJB Daily Readings'!AZ13-'DJB Daily Readings'!AZ12</f>
        <v>0</v>
      </c>
      <c r="X5" s="3">
        <f>'DJB Daily Readings'!BC13-'DJB Daily Readings'!BC12</f>
        <v>32600</v>
      </c>
      <c r="Y5" s="3">
        <f>'DJB Daily Readings'!BF13-'DJB Daily Readings'!BF12</f>
        <v>3000</v>
      </c>
      <c r="Z5" s="3">
        <f>('DJB Daily Readings'!CK13-'DJB Daily Readings'!CK12)*1.89</f>
        <v>137.97</v>
      </c>
      <c r="AA5" s="3">
        <f>('DJB Daily Readings'!CN13-'DJB Daily Readings'!CN12)*1.89</f>
        <v>238.14</v>
      </c>
      <c r="AB5" s="3">
        <f>('DJB Daily Readings'!CQ13-'DJB Daily Readings'!CQ12)*1.89</f>
        <v>495.17999999999995</v>
      </c>
      <c r="AC5" s="3">
        <f>'DJB Daily Readings'!CT13-'DJB Daily Readings'!CT12</f>
        <v>172</v>
      </c>
      <c r="AD5" s="80">
        <f>('DJB Daily Readings'!BY13-'DJB Daily Readings'!BY12)*1.89</f>
        <v>28.349999999999998</v>
      </c>
      <c r="AE5" s="80">
        <f>('DJB Daily Readings'!CA13-'DJB Daily Readings'!CA12)*1.89</f>
        <v>37.799999999999997</v>
      </c>
      <c r="AF5" s="80">
        <f>('DJB Daily Readings'!CC13-'DJB Daily Readings'!CC12)*1.89</f>
        <v>13.229999999999999</v>
      </c>
      <c r="AG5" s="80">
        <f>('DJB Daily Readings'!CE13-'DJB Daily Readings'!CE12)*1.89</f>
        <v>18.899999999999999</v>
      </c>
      <c r="AH5" s="80">
        <f>('DJB Daily Readings'!CG13-'DJB Daily Readings'!CG12)*1.89</f>
        <v>30.24</v>
      </c>
      <c r="AI5" s="80">
        <f>('DJB Daily Readings'!CI13-'DJB Daily Readings'!CI12)*1.89</f>
        <v>68.039999999999992</v>
      </c>
      <c r="AJ5" s="77">
        <f>'DJB Daily Readings'!CY13-'DJB Daily Readings'!CY12</f>
        <v>5</v>
      </c>
      <c r="AK5" s="77">
        <f>'DJB Daily Readings'!CW13-'DJB Daily Readings'!CW12</f>
        <v>7</v>
      </c>
      <c r="AL5" s="78">
        <f>'DJB Daily Readings'!DC13-'DJB Daily Readings'!DC12</f>
        <v>15</v>
      </c>
      <c r="AM5" s="78">
        <f>'DJB Daily Readings'!DA13-'DJB Daily Readings'!DA12</f>
        <v>15</v>
      </c>
      <c r="AN5" s="78">
        <f>'DJB Daily Readings'!DG13-'DJB Daily Readings'!DG12</f>
        <v>5</v>
      </c>
      <c r="AO5" s="78">
        <f>'DJB Daily Readings'!DE13-'DJB Daily Readings'!DE12</f>
        <v>8</v>
      </c>
      <c r="AP5" s="78">
        <f>'DJB Daily Readings'!DK13-'DJB Daily Readings'!DK12</f>
        <v>11</v>
      </c>
      <c r="AQ5" s="78">
        <f>'DJB Daily Readings'!DI13-'DJB Daily Readings'!DI12</f>
        <v>12</v>
      </c>
      <c r="AR5" s="78">
        <f>'DJB Daily Readings'!DO13-'DJB Daily Readings'!DO12</f>
        <v>9</v>
      </c>
      <c r="AS5" s="78">
        <f>'DJB Daily Readings'!DM13-'DJB Daily Readings'!DM12</f>
        <v>6</v>
      </c>
      <c r="AT5" s="78">
        <f>'DJB Daily Readings'!DQ13-'DJB Daily Readings'!DQ12</f>
        <v>0</v>
      </c>
      <c r="AU5" s="78">
        <f>'DJB Daily Readings'!DT13-'DJB Daily Readings'!DT12</f>
        <v>11.799999999999272</v>
      </c>
      <c r="AW5" s="78">
        <f>'DJB Daily Readings'!DX13-'DJB Daily Readings'!DX12</f>
        <v>6.0999999999994543</v>
      </c>
      <c r="AX5" s="78">
        <f>'DJB Daily Readings'!DZ13-'DJB Daily Readings'!DZ12</f>
        <v>7.8999999999996362</v>
      </c>
      <c r="AY5" s="78">
        <f>'DJB Daily Readings'!EB13-'DJB Daily Readings'!EB12</f>
        <v>602</v>
      </c>
      <c r="AZ5" s="78">
        <f>'DJB Daily Readings'!ED13-'DJB Daily Readings'!ED12</f>
        <v>155.70000000001164</v>
      </c>
      <c r="BA5" s="78">
        <f>'DJB Daily Readings'!EG13-'DJB Daily Readings'!EG12</f>
        <v>2600</v>
      </c>
      <c r="BB5" s="78">
        <f>'DJB Daily Readings'!EI13-'DJB Daily Readings'!EI12</f>
        <v>220</v>
      </c>
      <c r="BC5" s="78">
        <f>'DJB Daily Readings'!EQ13-'DJB Daily Readings'!EQ12</f>
        <v>700</v>
      </c>
      <c r="BD5" s="78">
        <f>'DJB Daily Readings'!EK13-'DJB Daily Readings'!EK12</f>
        <v>800</v>
      </c>
      <c r="BE5" s="78">
        <f>'DJB Daily Readings'!EM13-'DJB Daily Readings'!EM12</f>
        <v>400</v>
      </c>
      <c r="BF5" s="78">
        <f>'DJB Daily Readings'!EO13-'DJB Daily Readings'!EO12</f>
        <v>620</v>
      </c>
      <c r="BG5" s="78">
        <f>('DJB Daily Readings'!ET13-'DJB Daily Readings'!ET12)*1.89</f>
        <v>32.129999999999995</v>
      </c>
      <c r="BH5" s="78">
        <f>('DJB Daily Readings'!EV13-'DJB Daily Readings'!EV12)*1.89</f>
        <v>22.68</v>
      </c>
      <c r="BI5" s="78">
        <f>('DJB Daily Readings'!EZ13-'DJB Daily Readings'!EZ12)*1.89</f>
        <v>26.459999999999997</v>
      </c>
      <c r="BJ5" s="78">
        <f>('DJB Daily Readings'!EX13-'DJB Daily Readings'!EX12)*1.89</f>
        <v>22.68</v>
      </c>
      <c r="BK5" s="78">
        <f>('DJB Daily Readings'!FB13-'DJB Daily Readings'!FB12)*1.89</f>
        <v>71.819999999999993</v>
      </c>
      <c r="BL5" s="78">
        <f>'DJB Daily Readings'!J13</f>
        <v>208</v>
      </c>
      <c r="BM5" s="78"/>
    </row>
    <row r="6" spans="1:65" x14ac:dyDescent="0.25">
      <c r="A6" t="s">
        <v>14</v>
      </c>
      <c r="B6">
        <f t="shared" si="0"/>
        <v>5</v>
      </c>
      <c r="C6">
        <v>2</v>
      </c>
      <c r="D6">
        <v>2023</v>
      </c>
      <c r="E6" s="74">
        <f>237*0.69</f>
        <v>163.53</v>
      </c>
      <c r="F6" s="75">
        <f>267+19</f>
        <v>286</v>
      </c>
      <c r="G6" s="3">
        <f>'DJB Daily Readings'!C14-'DJB Daily Readings'!C13</f>
        <v>533</v>
      </c>
      <c r="H6" s="3">
        <f>'DJB Daily Readings'!F14-'DJB Daily Readings'!F13</f>
        <v>425</v>
      </c>
      <c r="I6" s="3">
        <f>'DJB Daily Readings'!L13</f>
        <v>120</v>
      </c>
      <c r="J6" s="3">
        <f>'DJB Daily Readings'!N13</f>
        <v>16</v>
      </c>
      <c r="K6" s="3">
        <f>'DJB Daily Readings'!O14-'DJB Daily Readings'!O13</f>
        <v>71</v>
      </c>
      <c r="L6" s="3">
        <f>'DJB Daily Readings'!R14-'DJB Daily Readings'!R13</f>
        <v>10</v>
      </c>
      <c r="M6" s="3">
        <f>'DJB Daily Readings'!U14-'DJB Daily Readings'!U13</f>
        <v>1997.519999999553</v>
      </c>
      <c r="N6" s="3">
        <f>'DJB Daily Readings'!X14-'DJB Daily Readings'!X13</f>
        <v>4774.5599999986589</v>
      </c>
      <c r="O6" s="3">
        <f>'DJB Daily Readings'!AA14-'DJB Daily Readings'!AA13</f>
        <v>1023.1200000010431</v>
      </c>
      <c r="P6" s="3">
        <f>'DJB Daily Readings'!AD14-'DJB Daily Readings'!AD13</f>
        <v>7551.5999999977648</v>
      </c>
      <c r="Q6" s="3">
        <f>'DJB Daily Readings'!AG14-'DJB Daily Readings'!AG13</f>
        <v>48.719999998807907</v>
      </c>
      <c r="R6" s="3">
        <f>'DJB Daily Readings'!AJ14-'DJB Daily Readings'!AJ13</f>
        <v>6138.7199999988079</v>
      </c>
      <c r="S6" s="3">
        <f>'DJB Daily Readings'!AM14-'DJB Daily Readings'!AM13</f>
        <v>3702.7199999988079</v>
      </c>
      <c r="T6" s="3">
        <f>'DJB Daily Readings'!AP14-'DJB Daily Readings'!AP13</f>
        <v>4287.359999999404</v>
      </c>
      <c r="U6" s="3">
        <f>'DJB Daily Readings'!AS14-'DJB Daily Readings'!AS13</f>
        <v>3069.3600000012666</v>
      </c>
      <c r="V6" s="3">
        <f>'DJB Daily Readings'!AV14-'DJB Daily Readings'!AV13</f>
        <v>5602.8000000007451</v>
      </c>
      <c r="W6" s="3">
        <f>'DJB Daily Readings'!AZ14-'DJB Daily Readings'!AZ13</f>
        <v>4300</v>
      </c>
      <c r="X6" s="3">
        <f>'DJB Daily Readings'!BC14-'DJB Daily Readings'!BC13</f>
        <v>33100</v>
      </c>
      <c r="Y6" s="3">
        <f>'DJB Daily Readings'!BF14-'DJB Daily Readings'!BF13</f>
        <v>0</v>
      </c>
      <c r="Z6" s="3">
        <f>('DJB Daily Readings'!CK14-'DJB Daily Readings'!CK13)*1.89</f>
        <v>141.75</v>
      </c>
      <c r="AA6" s="3">
        <f>('DJB Daily Readings'!CN14-'DJB Daily Readings'!CN13)*1.89</f>
        <v>236.25</v>
      </c>
      <c r="AB6" s="3">
        <f>('DJB Daily Readings'!CQ14-'DJB Daily Readings'!CQ13)*1.89</f>
        <v>497.07</v>
      </c>
      <c r="AC6" s="3">
        <f>'DJB Daily Readings'!CT14-'DJB Daily Readings'!CT13</f>
        <v>174</v>
      </c>
      <c r="AD6" s="80">
        <f>('DJB Daily Readings'!BY14-'DJB Daily Readings'!BY13)*1.89</f>
        <v>30.24</v>
      </c>
      <c r="AE6" s="80">
        <f>('DJB Daily Readings'!CA14-'DJB Daily Readings'!CA13)*1.89</f>
        <v>41.58</v>
      </c>
      <c r="AF6" s="80">
        <f>('DJB Daily Readings'!CC14-'DJB Daily Readings'!CC13)*1.89</f>
        <v>11.34</v>
      </c>
      <c r="AG6" s="80">
        <f>('DJB Daily Readings'!CE14-'DJB Daily Readings'!CE13)*1.89</f>
        <v>17.009999999999998</v>
      </c>
      <c r="AH6" s="80">
        <f>('DJB Daily Readings'!CG14-'DJB Daily Readings'!CG13)*1.89</f>
        <v>28.349999999999998</v>
      </c>
      <c r="AI6" s="80">
        <f>('DJB Daily Readings'!CI14-'DJB Daily Readings'!CI13)*1.89</f>
        <v>64.259999999999991</v>
      </c>
      <c r="AJ6" s="77">
        <f>'DJB Daily Readings'!CY14-'DJB Daily Readings'!CY13</f>
        <v>4</v>
      </c>
      <c r="AK6" s="77">
        <f>'DJB Daily Readings'!CW14-'DJB Daily Readings'!CW13</f>
        <v>7</v>
      </c>
      <c r="AL6" s="78">
        <f>'DJB Daily Readings'!DC14-'DJB Daily Readings'!DC13</f>
        <v>16</v>
      </c>
      <c r="AM6" s="78">
        <f>'DJB Daily Readings'!DA14-'DJB Daily Readings'!DA13</f>
        <v>16</v>
      </c>
      <c r="AN6" s="78">
        <f>'DJB Daily Readings'!DG14-'DJB Daily Readings'!DG13</f>
        <v>4</v>
      </c>
      <c r="AO6" s="78">
        <f>'DJB Daily Readings'!DE14-'DJB Daily Readings'!DE13</f>
        <v>9</v>
      </c>
      <c r="AP6" s="78">
        <f>'DJB Daily Readings'!DK14-'DJB Daily Readings'!DK13</f>
        <v>9</v>
      </c>
      <c r="AQ6" s="78">
        <f>'DJB Daily Readings'!DI14-'DJB Daily Readings'!DI13</f>
        <v>12</v>
      </c>
      <c r="AR6" s="78">
        <f>'DJB Daily Readings'!DO14-'DJB Daily Readings'!DO13</f>
        <v>7</v>
      </c>
      <c r="AS6" s="78">
        <f>'DJB Daily Readings'!DM14-'DJB Daily Readings'!DM13</f>
        <v>3</v>
      </c>
      <c r="AT6" s="78">
        <f>'DJB Daily Readings'!DQ14-'DJB Daily Readings'!DQ13</f>
        <v>4</v>
      </c>
      <c r="AU6" s="78">
        <f>'DJB Daily Readings'!DT14-'DJB Daily Readings'!DT13</f>
        <v>10.800000000000182</v>
      </c>
      <c r="AW6" s="78">
        <f>'DJB Daily Readings'!DX14-'DJB Daily Readings'!DX13</f>
        <v>5.8000000000001819</v>
      </c>
      <c r="AX6" s="78">
        <f>'DJB Daily Readings'!DZ14-'DJB Daily Readings'!DZ13</f>
        <v>7.5</v>
      </c>
      <c r="AY6" s="78">
        <f>'DJB Daily Readings'!EB14-'DJB Daily Readings'!EB13</f>
        <v>530</v>
      </c>
      <c r="AZ6" s="78">
        <f>'DJB Daily Readings'!ED14-'DJB Daily Readings'!ED13</f>
        <v>150.69999999998254</v>
      </c>
      <c r="BA6" s="78">
        <f>'DJB Daily Readings'!EG14-'DJB Daily Readings'!EG13</f>
        <v>2600</v>
      </c>
      <c r="BB6" s="78">
        <f>'DJB Daily Readings'!EI14-'DJB Daily Readings'!EI13</f>
        <v>250</v>
      </c>
      <c r="BC6" s="78">
        <f>'DJB Daily Readings'!EQ14-'DJB Daily Readings'!EQ13</f>
        <v>1200</v>
      </c>
      <c r="BD6" s="78">
        <f>'DJB Daily Readings'!EK14-'DJB Daily Readings'!EK13</f>
        <v>800</v>
      </c>
      <c r="BE6" s="78">
        <f>'DJB Daily Readings'!EM14-'DJB Daily Readings'!EM13</f>
        <v>500</v>
      </c>
      <c r="BF6" s="78">
        <f>'DJB Daily Readings'!EO14-'DJB Daily Readings'!EO13</f>
        <v>640</v>
      </c>
      <c r="BG6" s="78">
        <f>('DJB Daily Readings'!ET14-'DJB Daily Readings'!ET13)*1.89</f>
        <v>32.129999999999995</v>
      </c>
      <c r="BH6" s="78">
        <f>('DJB Daily Readings'!EV14-'DJB Daily Readings'!EV13)*1.89</f>
        <v>18.899999999999999</v>
      </c>
      <c r="BI6" s="78">
        <f>('DJB Daily Readings'!EZ14-'DJB Daily Readings'!EZ13)*1.89</f>
        <v>22.68</v>
      </c>
      <c r="BJ6" s="78">
        <f>('DJB Daily Readings'!EX14-'DJB Daily Readings'!EX13)*1.89</f>
        <v>18.899999999999999</v>
      </c>
      <c r="BK6" s="78">
        <f>('DJB Daily Readings'!FB14-'DJB Daily Readings'!FB13)*1.89</f>
        <v>58.589999999999996</v>
      </c>
      <c r="BL6" s="78">
        <f>'DJB Daily Readings'!J14</f>
        <v>225</v>
      </c>
    </row>
    <row r="7" spans="1:65" x14ac:dyDescent="0.25">
      <c r="A7" t="s">
        <v>14</v>
      </c>
      <c r="B7">
        <f t="shared" si="0"/>
        <v>6</v>
      </c>
      <c r="C7">
        <v>2</v>
      </c>
      <c r="D7">
        <v>2023</v>
      </c>
      <c r="E7" s="74"/>
      <c r="F7" s="75">
        <f>273+17</f>
        <v>290</v>
      </c>
      <c r="AJ7" s="77"/>
      <c r="AK7" s="77"/>
      <c r="BL7" s="78"/>
    </row>
    <row r="8" spans="1:65" x14ac:dyDescent="0.25">
      <c r="A8" t="s">
        <v>14</v>
      </c>
      <c r="B8">
        <f t="shared" si="0"/>
        <v>7</v>
      </c>
      <c r="C8">
        <v>2</v>
      </c>
      <c r="D8">
        <v>2023</v>
      </c>
      <c r="E8" s="74"/>
      <c r="AJ8" s="77"/>
      <c r="AK8" s="77"/>
      <c r="BL8" s="78"/>
    </row>
    <row r="9" spans="1:65" x14ac:dyDescent="0.25">
      <c r="A9" t="s">
        <v>14</v>
      </c>
      <c r="B9">
        <f t="shared" si="0"/>
        <v>8</v>
      </c>
      <c r="C9">
        <v>2</v>
      </c>
      <c r="D9">
        <v>2023</v>
      </c>
      <c r="E9" s="74"/>
      <c r="AJ9" s="77"/>
      <c r="AK9" s="77"/>
      <c r="BL9" s="78"/>
    </row>
    <row r="10" spans="1:65" x14ac:dyDescent="0.25">
      <c r="A10" t="s">
        <v>14</v>
      </c>
      <c r="B10">
        <f t="shared" si="0"/>
        <v>9</v>
      </c>
      <c r="C10">
        <v>2</v>
      </c>
      <c r="D10">
        <v>2023</v>
      </c>
      <c r="E10" s="74"/>
      <c r="AJ10" s="77"/>
      <c r="AK10" s="77"/>
      <c r="BL10" s="78"/>
    </row>
    <row r="11" spans="1:65" x14ac:dyDescent="0.25">
      <c r="A11" t="s">
        <v>14</v>
      </c>
      <c r="B11">
        <f t="shared" si="0"/>
        <v>10</v>
      </c>
      <c r="C11">
        <v>2</v>
      </c>
      <c r="D11">
        <v>2023</v>
      </c>
      <c r="E11" s="74"/>
      <c r="AJ11" s="77"/>
      <c r="AK11" s="77"/>
      <c r="BL11" s="78"/>
    </row>
    <row r="12" spans="1:65" x14ac:dyDescent="0.25">
      <c r="A12" t="s">
        <v>14</v>
      </c>
      <c r="B12">
        <f t="shared" si="0"/>
        <v>11</v>
      </c>
      <c r="C12">
        <v>2</v>
      </c>
      <c r="D12">
        <v>2023</v>
      </c>
      <c r="E12" s="74"/>
      <c r="AJ12" s="77"/>
      <c r="AK12" s="77"/>
      <c r="BL12" s="78"/>
    </row>
    <row r="13" spans="1:65" x14ac:dyDescent="0.25">
      <c r="A13" t="s">
        <v>14</v>
      </c>
      <c r="B13">
        <f t="shared" si="0"/>
        <v>12</v>
      </c>
      <c r="C13">
        <v>2</v>
      </c>
      <c r="D13">
        <v>2023</v>
      </c>
      <c r="E13" s="74"/>
      <c r="AJ13" s="77"/>
      <c r="AK13" s="77"/>
      <c r="BL13" s="78"/>
    </row>
    <row r="14" spans="1:65" x14ac:dyDescent="0.25">
      <c r="A14" t="s">
        <v>14</v>
      </c>
      <c r="B14">
        <f t="shared" si="0"/>
        <v>13</v>
      </c>
      <c r="C14">
        <v>2</v>
      </c>
      <c r="D14">
        <v>2023</v>
      </c>
      <c r="E14" s="74"/>
      <c r="AJ14" s="77"/>
      <c r="AK14" s="77"/>
      <c r="BL14" s="78"/>
    </row>
    <row r="15" spans="1:65" x14ac:dyDescent="0.25">
      <c r="A15" t="s">
        <v>14</v>
      </c>
      <c r="B15">
        <f t="shared" si="0"/>
        <v>14</v>
      </c>
      <c r="C15">
        <v>2</v>
      </c>
      <c r="D15">
        <v>2023</v>
      </c>
      <c r="E15" s="74"/>
      <c r="AJ15" s="77"/>
      <c r="AK15" s="77"/>
      <c r="BL15" s="78"/>
    </row>
    <row r="16" spans="1:65" x14ac:dyDescent="0.25">
      <c r="A16" t="s">
        <v>14</v>
      </c>
      <c r="B16">
        <f t="shared" si="0"/>
        <v>15</v>
      </c>
      <c r="C16">
        <v>2</v>
      </c>
      <c r="D16">
        <v>2023</v>
      </c>
      <c r="E16" s="74"/>
      <c r="AJ16" s="77"/>
      <c r="AK16" s="77"/>
      <c r="BL16" s="78"/>
    </row>
    <row r="17" spans="1:64" x14ac:dyDescent="0.25">
      <c r="A17" t="s">
        <v>14</v>
      </c>
      <c r="B17">
        <f t="shared" si="0"/>
        <v>16</v>
      </c>
      <c r="C17">
        <v>2</v>
      </c>
      <c r="D17">
        <v>2023</v>
      </c>
      <c r="E17" s="74"/>
      <c r="AJ17" s="77"/>
      <c r="AK17" s="77"/>
      <c r="BL17" s="78"/>
    </row>
    <row r="18" spans="1:64" x14ac:dyDescent="0.25">
      <c r="A18" t="s">
        <v>14</v>
      </c>
      <c r="B18">
        <f t="shared" si="0"/>
        <v>17</v>
      </c>
      <c r="C18">
        <v>2</v>
      </c>
      <c r="D18">
        <v>2023</v>
      </c>
      <c r="E18" s="74"/>
      <c r="AJ18" s="77"/>
      <c r="AK18" s="77"/>
      <c r="BL18" s="78"/>
    </row>
    <row r="19" spans="1:64" x14ac:dyDescent="0.25">
      <c r="A19" t="s">
        <v>14</v>
      </c>
      <c r="B19">
        <f t="shared" si="0"/>
        <v>18</v>
      </c>
      <c r="C19">
        <v>2</v>
      </c>
      <c r="D19">
        <v>2023</v>
      </c>
      <c r="E19" s="74"/>
      <c r="AJ19" s="77"/>
      <c r="AK19" s="77"/>
      <c r="BL19" s="78"/>
    </row>
    <row r="20" spans="1:64" x14ac:dyDescent="0.25">
      <c r="A20" t="s">
        <v>14</v>
      </c>
      <c r="B20">
        <f t="shared" si="0"/>
        <v>19</v>
      </c>
      <c r="C20">
        <v>2</v>
      </c>
      <c r="D20">
        <v>2023</v>
      </c>
      <c r="E20" s="74"/>
      <c r="AJ20" s="77"/>
      <c r="AK20" s="77"/>
      <c r="BL20" s="78"/>
    </row>
    <row r="21" spans="1:64" x14ac:dyDescent="0.25">
      <c r="A21" t="s">
        <v>14</v>
      </c>
      <c r="B21">
        <f t="shared" si="0"/>
        <v>20</v>
      </c>
      <c r="C21">
        <v>2</v>
      </c>
      <c r="D21">
        <v>2023</v>
      </c>
      <c r="E21" s="74"/>
      <c r="AJ21" s="77"/>
      <c r="AK21" s="77"/>
      <c r="BL21" s="78"/>
    </row>
    <row r="22" spans="1:64" x14ac:dyDescent="0.25">
      <c r="A22" t="s">
        <v>14</v>
      </c>
      <c r="B22">
        <f t="shared" si="0"/>
        <v>21</v>
      </c>
      <c r="C22">
        <v>2</v>
      </c>
      <c r="D22">
        <v>2023</v>
      </c>
      <c r="E22" s="74"/>
      <c r="AJ22" s="77"/>
      <c r="AK22" s="77"/>
      <c r="BL22" s="78"/>
    </row>
    <row r="23" spans="1:64" x14ac:dyDescent="0.25">
      <c r="A23" t="s">
        <v>14</v>
      </c>
      <c r="B23">
        <f t="shared" si="0"/>
        <v>22</v>
      </c>
      <c r="C23">
        <v>2</v>
      </c>
      <c r="D23">
        <v>2023</v>
      </c>
      <c r="E23" s="74"/>
      <c r="AJ23" s="77"/>
      <c r="AK23" s="77"/>
      <c r="BL23" s="78"/>
    </row>
    <row r="24" spans="1:64" x14ac:dyDescent="0.25">
      <c r="A24" t="s">
        <v>14</v>
      </c>
      <c r="B24">
        <f t="shared" si="0"/>
        <v>23</v>
      </c>
      <c r="C24">
        <v>2</v>
      </c>
      <c r="D24">
        <v>2023</v>
      </c>
      <c r="E24" s="74"/>
      <c r="AJ24" s="77"/>
      <c r="AK24" s="77"/>
      <c r="BL24" s="78"/>
    </row>
    <row r="25" spans="1:64" x14ac:dyDescent="0.25">
      <c r="A25" t="s">
        <v>14</v>
      </c>
      <c r="B25">
        <f t="shared" si="0"/>
        <v>24</v>
      </c>
      <c r="C25">
        <v>2</v>
      </c>
      <c r="D25">
        <v>2023</v>
      </c>
      <c r="E25" s="74"/>
      <c r="AJ25" s="77"/>
      <c r="AK25" s="77"/>
      <c r="BL25" s="78"/>
    </row>
    <row r="26" spans="1:64" x14ac:dyDescent="0.25">
      <c r="A26" t="s">
        <v>14</v>
      </c>
      <c r="B26">
        <f>B25+1</f>
        <v>25</v>
      </c>
      <c r="C26">
        <v>2</v>
      </c>
      <c r="D26">
        <v>2023</v>
      </c>
      <c r="E26" s="74"/>
      <c r="AJ26" s="77"/>
      <c r="AK26" s="77"/>
      <c r="BL26" s="78"/>
    </row>
    <row r="27" spans="1:64" x14ac:dyDescent="0.25">
      <c r="A27" t="s">
        <v>14</v>
      </c>
      <c r="B27">
        <f t="shared" si="0"/>
        <v>26</v>
      </c>
      <c r="C27">
        <v>2</v>
      </c>
      <c r="D27">
        <v>2023</v>
      </c>
      <c r="E27" s="74"/>
      <c r="AJ27" s="77"/>
      <c r="AK27" s="77"/>
      <c r="BL27" s="78"/>
    </row>
    <row r="28" spans="1:64" x14ac:dyDescent="0.25">
      <c r="A28" t="s">
        <v>14</v>
      </c>
      <c r="B28">
        <f t="shared" si="0"/>
        <v>27</v>
      </c>
      <c r="C28">
        <v>2</v>
      </c>
      <c r="D28">
        <v>2023</v>
      </c>
      <c r="E28" s="74"/>
      <c r="AJ28" s="77"/>
      <c r="AK28" s="77"/>
      <c r="BL28" s="78"/>
    </row>
    <row r="29" spans="1:64" x14ac:dyDescent="0.25">
      <c r="A29" t="s">
        <v>14</v>
      </c>
      <c r="B29">
        <f t="shared" si="0"/>
        <v>28</v>
      </c>
      <c r="C29">
        <v>2</v>
      </c>
      <c r="D29">
        <v>2023</v>
      </c>
      <c r="E29" s="74"/>
      <c r="AJ29" s="77"/>
      <c r="AK29" s="77"/>
      <c r="BL29" s="7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L11" sqref="L11"/>
    </sheetView>
  </sheetViews>
  <sheetFormatPr defaultRowHeight="16.5" x14ac:dyDescent="0.3"/>
  <cols>
    <col min="1" max="1" width="43.7109375" style="72" customWidth="1"/>
    <col min="2" max="2" width="15.140625" style="142" customWidth="1"/>
    <col min="3" max="3" width="13.5703125" style="1" bestFit="1" customWidth="1"/>
    <col min="4" max="4" width="12.85546875" style="145" customWidth="1"/>
    <col min="5" max="5" width="12.85546875" style="1" customWidth="1"/>
    <col min="6" max="6" width="10.42578125" bestFit="1" customWidth="1"/>
    <col min="7" max="7" width="12.85546875" style="2" customWidth="1"/>
    <col min="8" max="8" width="12.85546875" style="1" customWidth="1"/>
    <col min="9" max="9" width="11" customWidth="1"/>
    <col min="10" max="10" width="12.85546875" style="2" customWidth="1"/>
    <col min="11" max="11" width="11.7109375" style="1" customWidth="1"/>
    <col min="12" max="12" width="12.5703125" style="2" customWidth="1"/>
    <col min="13" max="13" width="12.5703125" style="1" customWidth="1"/>
    <col min="14" max="14" width="12.5703125" style="2" customWidth="1"/>
    <col min="15" max="15" width="10.42578125" bestFit="1" customWidth="1"/>
    <col min="16" max="16" width="13.140625" style="2" customWidth="1"/>
    <col min="17" max="17" width="13.140625" style="1" customWidth="1"/>
    <col min="18" max="18" width="10.7109375" style="1" customWidth="1"/>
    <col min="19" max="19" width="14" style="2" customWidth="1"/>
    <col min="20" max="20" width="2" customWidth="1"/>
    <col min="21" max="21" width="11.85546875" style="1" customWidth="1"/>
    <col min="22" max="23" width="13.42578125" style="2" customWidth="1"/>
    <col min="24" max="24" width="13.85546875" bestFit="1" customWidth="1"/>
    <col min="25" max="25" width="13.140625" style="2" bestFit="1" customWidth="1"/>
    <col min="26" max="26" width="13.140625" style="1" customWidth="1"/>
    <col min="27" max="27" width="15.140625" customWidth="1"/>
    <col min="28" max="28" width="13.140625" style="2" bestFit="1" customWidth="1"/>
    <col min="29" max="29" width="13.140625" style="1" customWidth="1"/>
    <col min="30" max="30" width="13.5703125" bestFit="1" customWidth="1"/>
    <col min="31" max="31" width="12.5703125" style="2" customWidth="1"/>
    <col min="32" max="32" width="12.5703125" style="1" customWidth="1"/>
    <col min="33" max="33" width="13.5703125" bestFit="1" customWidth="1"/>
    <col min="34" max="34" width="13.5703125" style="2" bestFit="1" customWidth="1"/>
    <col min="35" max="35" width="13.5703125" style="1" customWidth="1"/>
    <col min="36" max="36" width="13.5703125" bestFit="1" customWidth="1"/>
    <col min="37" max="37" width="13.5703125" style="2" bestFit="1" customWidth="1"/>
    <col min="38" max="38" width="13.5703125" style="2" customWidth="1"/>
    <col min="39" max="39" width="13.5703125" bestFit="1" customWidth="1"/>
    <col min="40" max="40" width="13.5703125" style="2" bestFit="1" customWidth="1"/>
    <col min="41" max="41" width="13.5703125" style="2" customWidth="1"/>
    <col min="42" max="42" width="13.5703125" bestFit="1" customWidth="1"/>
    <col min="43" max="43" width="13.5703125" style="2" bestFit="1" customWidth="1"/>
    <col min="44" max="44" width="13.5703125" style="2" customWidth="1"/>
    <col min="45" max="45" width="13.5703125" bestFit="1" customWidth="1"/>
    <col min="46" max="46" width="13.5703125" style="2" bestFit="1" customWidth="1"/>
    <col min="47" max="47" width="13.5703125" style="2" customWidth="1"/>
    <col min="48" max="48" width="13.5703125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" bestFit="1" customWidth="1"/>
    <col min="53" max="53" width="13.7109375" style="161" customWidth="1"/>
    <col min="54" max="54" width="13.7109375" customWidth="1"/>
    <col min="55" max="55" width="14.42578125" bestFit="1" customWidth="1"/>
    <col min="56" max="56" width="13.7109375" style="161" customWidth="1"/>
    <col min="57" max="57" width="13.7109375" customWidth="1"/>
    <col min="58" max="58" width="16.7109375" bestFit="1" customWidth="1"/>
    <col min="59" max="59" width="12.85546875" style="161" customWidth="1"/>
    <col min="60" max="70" width="12.85546875" customWidth="1"/>
    <col min="71" max="71" width="11.7109375" customWidth="1"/>
    <col min="72" max="72" width="12.5703125" style="168" customWidth="1"/>
    <col min="73" max="73" width="2" customWidth="1"/>
    <col min="74" max="74" width="8.85546875" style="222" customWidth="1"/>
    <col min="75" max="77" width="12.85546875" customWidth="1"/>
    <col min="78" max="78" width="12.85546875" style="168" customWidth="1"/>
    <col min="79" max="79" width="12.85546875" customWidth="1"/>
    <col min="80" max="80" width="12.85546875" style="168" customWidth="1"/>
    <col min="81" max="81" width="12.85546875" customWidth="1"/>
    <col min="82" max="82" width="12.85546875" style="168" customWidth="1"/>
    <col min="83" max="83" width="12.85546875" customWidth="1"/>
    <col min="84" max="84" width="12.85546875" style="168" customWidth="1"/>
    <col min="85" max="85" width="12.85546875" customWidth="1"/>
    <col min="86" max="86" width="12.85546875" style="168" customWidth="1"/>
    <col min="87" max="87" width="12.85546875" customWidth="1"/>
    <col min="88" max="88" width="12.85546875" style="168" customWidth="1"/>
    <col min="89" max="89" width="10.85546875" customWidth="1"/>
    <col min="90" max="90" width="16" style="168" bestFit="1" customWidth="1"/>
    <col min="91" max="91" width="16" customWidth="1"/>
    <col min="92" max="92" width="10.42578125" customWidth="1"/>
    <col min="93" max="93" width="12.5703125" style="168" customWidth="1"/>
    <col min="94" max="94" width="12.5703125" customWidth="1"/>
    <col min="95" max="95" width="13" customWidth="1"/>
    <col min="96" max="96" width="13.7109375" style="168" customWidth="1"/>
    <col min="97" max="98" width="13.7109375" customWidth="1"/>
    <col min="99" max="99" width="13" style="170" customWidth="1"/>
    <col min="100" max="100" width="4" customWidth="1"/>
    <col min="101" max="101" width="10" style="1" customWidth="1"/>
    <col min="102" max="102" width="13.7109375" style="4" customWidth="1"/>
    <col min="103" max="103" width="10.85546875" customWidth="1"/>
    <col min="104" max="104" width="14.140625" style="4" customWidth="1"/>
    <col min="105" max="105" width="11.85546875" customWidth="1"/>
    <col min="106" max="106" width="14.7109375" style="4" customWidth="1"/>
    <col min="107" max="107" width="11.140625" customWidth="1"/>
    <col min="108" max="108" width="14.5703125" style="4" customWidth="1"/>
    <col min="109" max="109" width="10.7109375" customWidth="1"/>
    <col min="110" max="110" width="14.7109375" style="4" customWidth="1"/>
    <col min="111" max="111" width="10.5703125" customWidth="1"/>
    <col min="112" max="112" width="14.140625" style="4" customWidth="1"/>
    <col min="113" max="113" width="10.42578125" customWidth="1"/>
    <col min="114" max="114" width="13.85546875" style="4" customWidth="1"/>
    <col min="115" max="115" width="11.140625" customWidth="1"/>
    <col min="116" max="116" width="14.42578125" style="4" customWidth="1"/>
    <col min="117" max="117" width="10.42578125" customWidth="1"/>
    <col min="118" max="118" width="14.140625" style="4" customWidth="1"/>
    <col min="119" max="119" width="11.140625" customWidth="1"/>
    <col min="120" max="120" width="14" style="4" customWidth="1"/>
    <col min="122" max="122" width="14.28515625" style="4" customWidth="1"/>
    <col min="123" max="123" width="2.5703125" customWidth="1"/>
    <col min="124" max="124" width="12.7109375" customWidth="1"/>
    <col min="125" max="125" width="11.5703125" style="161" customWidth="1"/>
    <col min="126" max="126" width="10.42578125" customWidth="1"/>
    <col min="127" max="127" width="11.42578125" style="197" customWidth="1"/>
    <col min="128" max="128" width="12.28515625" customWidth="1"/>
    <col min="129" max="129" width="12.42578125" style="161" customWidth="1"/>
    <col min="130" max="130" width="11.42578125" customWidth="1"/>
    <col min="131" max="131" width="12" style="161" customWidth="1"/>
    <col min="132" max="132" width="9.28515625" bestFit="1" customWidth="1"/>
    <col min="133" max="133" width="11.7109375" style="161" customWidth="1"/>
    <col min="134" max="134" width="9.28515625" bestFit="1" customWidth="1"/>
    <col min="135" max="135" width="12.7109375" style="161" customWidth="1"/>
    <col min="136" max="136" width="2.5703125" customWidth="1"/>
    <col min="137" max="137" width="11.28515625" customWidth="1"/>
    <col min="138" max="138" width="11.7109375" style="168" customWidth="1"/>
    <col min="139" max="139" width="11.7109375" bestFit="1" customWidth="1"/>
    <col min="140" max="140" width="13.28515625" style="168" customWidth="1"/>
    <col min="141" max="141" width="11" customWidth="1"/>
    <col min="142" max="142" width="11.5703125" style="168" customWidth="1"/>
    <col min="143" max="143" width="11.85546875" customWidth="1"/>
    <col min="144" max="144" width="11.5703125" style="168" customWidth="1"/>
    <col min="145" max="145" width="10.42578125" customWidth="1"/>
    <col min="146" max="146" width="12.28515625" style="168" customWidth="1"/>
    <col min="147" max="147" width="10.140625" bestFit="1" customWidth="1"/>
    <col min="148" max="148" width="16.5703125" style="168" bestFit="1" customWidth="1"/>
    <col min="149" max="149" width="3.42578125" customWidth="1"/>
    <col min="150" max="150" width="10.42578125" customWidth="1"/>
    <col min="151" max="151" width="12.5703125" style="168" customWidth="1"/>
    <col min="152" max="152" width="10.28515625" customWidth="1"/>
    <col min="153" max="153" width="12.85546875" style="168" customWidth="1"/>
    <col min="154" max="154" width="10.7109375" customWidth="1"/>
    <col min="155" max="155" width="12.7109375" style="168" customWidth="1"/>
    <col min="156" max="156" width="10.85546875" customWidth="1"/>
    <col min="157" max="157" width="12.85546875" style="168" customWidth="1"/>
    <col min="159" max="159" width="12.85546875" style="168" customWidth="1"/>
  </cols>
  <sheetData>
    <row r="1" spans="1:159" ht="15" x14ac:dyDescent="0.25">
      <c r="A1" s="412" t="s">
        <v>73</v>
      </c>
      <c r="B1" s="412"/>
      <c r="C1" s="412"/>
      <c r="D1" s="412"/>
      <c r="E1" s="412"/>
      <c r="F1" s="412"/>
      <c r="G1" s="412"/>
      <c r="H1" s="412"/>
      <c r="I1" s="412"/>
      <c r="J1" s="412"/>
      <c r="K1" s="412"/>
      <c r="L1" s="412"/>
      <c r="M1" s="412"/>
      <c r="N1" s="412"/>
      <c r="O1" s="412"/>
      <c r="P1" s="412"/>
      <c r="Q1" s="412"/>
      <c r="R1" s="412"/>
      <c r="S1" s="412"/>
      <c r="T1" s="412"/>
      <c r="U1" s="412"/>
      <c r="V1" s="412"/>
      <c r="W1" s="412"/>
      <c r="X1" s="412"/>
      <c r="Y1" s="412"/>
      <c r="Z1" s="412"/>
      <c r="AA1" s="412"/>
      <c r="AB1" s="412"/>
      <c r="AC1" s="412"/>
      <c r="AD1" s="412"/>
      <c r="AE1" s="412"/>
      <c r="AF1" s="412"/>
      <c r="AG1" s="412"/>
      <c r="AH1" s="412"/>
      <c r="AI1" s="412"/>
      <c r="AJ1" s="412"/>
      <c r="AK1" s="412"/>
      <c r="AL1" s="412"/>
      <c r="AM1" s="412"/>
      <c r="AN1" s="412"/>
      <c r="AO1" s="412"/>
      <c r="AP1" s="412"/>
      <c r="AQ1" s="412"/>
      <c r="AR1" s="412"/>
      <c r="AS1" s="412"/>
      <c r="AT1" s="412"/>
      <c r="AU1" s="412"/>
      <c r="AV1" s="412"/>
      <c r="AW1" s="412"/>
      <c r="AX1" s="412"/>
      <c r="AY1" s="412"/>
      <c r="AZ1" s="412"/>
      <c r="BA1" s="412"/>
      <c r="BB1" s="412"/>
      <c r="BC1" s="412"/>
      <c r="BD1" s="412"/>
      <c r="BE1" s="412"/>
      <c r="BF1" s="412"/>
      <c r="BG1" s="412"/>
      <c r="BH1" s="412"/>
      <c r="BI1" s="412"/>
      <c r="BJ1" s="412"/>
      <c r="BK1" s="412"/>
      <c r="BL1" s="412"/>
      <c r="BM1" s="412"/>
      <c r="BN1" s="412"/>
      <c r="BO1" s="412"/>
      <c r="BP1" s="412"/>
      <c r="BQ1" s="412"/>
      <c r="BR1" s="412"/>
      <c r="BS1" s="412"/>
      <c r="BT1" s="412"/>
      <c r="BU1" s="412"/>
      <c r="BV1" s="412"/>
      <c r="BW1" s="412"/>
      <c r="BX1" s="412"/>
      <c r="BY1" s="412"/>
      <c r="BZ1" s="412"/>
      <c r="CA1" s="412"/>
      <c r="CB1" s="412"/>
      <c r="CC1" s="412"/>
      <c r="CD1" s="412"/>
      <c r="CE1" s="412"/>
      <c r="CF1" s="412"/>
      <c r="CG1" s="412"/>
      <c r="CH1" s="412"/>
      <c r="CI1" s="412"/>
      <c r="CJ1" s="412"/>
      <c r="CK1" s="412"/>
      <c r="CL1" s="412"/>
      <c r="CM1" s="412"/>
      <c r="CN1" s="412"/>
      <c r="CO1" s="412"/>
      <c r="CP1" s="412"/>
      <c r="CQ1" s="412"/>
      <c r="CR1" s="412"/>
      <c r="CS1" s="412"/>
      <c r="CT1" s="412"/>
      <c r="CU1" s="412"/>
      <c r="CV1" s="412"/>
      <c r="CW1" s="412"/>
      <c r="CX1" s="412"/>
      <c r="CY1" s="412"/>
      <c r="CZ1" s="412"/>
      <c r="DA1" s="412"/>
      <c r="DB1" s="412"/>
      <c r="DC1" s="412"/>
      <c r="DD1" s="412"/>
      <c r="DE1" s="412"/>
      <c r="DF1" s="412"/>
      <c r="DG1" s="412"/>
      <c r="DH1" s="412"/>
      <c r="DI1" s="412"/>
      <c r="DJ1" s="412"/>
      <c r="DK1" s="412"/>
      <c r="DL1" s="412"/>
      <c r="DM1" s="412"/>
      <c r="DN1" s="412"/>
      <c r="DO1" s="412"/>
      <c r="DP1" s="412"/>
      <c r="DQ1" s="412"/>
      <c r="DR1" s="412"/>
      <c r="DS1" s="412"/>
      <c r="DT1" s="412"/>
      <c r="DU1" s="412"/>
      <c r="DV1" s="412"/>
      <c r="DW1" s="412"/>
      <c r="DX1" s="412"/>
      <c r="DY1" s="412"/>
      <c r="DZ1" s="412"/>
      <c r="EA1" s="412"/>
      <c r="EB1" s="412"/>
      <c r="EC1" s="412"/>
      <c r="ED1" s="412"/>
      <c r="EE1" s="412"/>
      <c r="EF1" s="412"/>
      <c r="EG1" s="412"/>
      <c r="EH1" s="412"/>
      <c r="EI1" s="412"/>
      <c r="EJ1" s="412"/>
      <c r="EK1" s="412"/>
      <c r="EL1" s="412"/>
      <c r="EM1" s="412"/>
      <c r="EN1" s="412"/>
      <c r="EO1" s="412"/>
      <c r="EP1" s="412"/>
      <c r="EQ1" s="412"/>
      <c r="ER1" s="412"/>
      <c r="ES1" s="412"/>
      <c r="ET1" s="412"/>
      <c r="EU1" s="412"/>
      <c r="EV1" s="412"/>
      <c r="EW1" s="412"/>
      <c r="EX1" s="412"/>
      <c r="EY1" s="412"/>
      <c r="EZ1" s="412"/>
      <c r="FA1" s="412"/>
      <c r="FB1" s="412"/>
      <c r="FC1" s="412"/>
    </row>
    <row r="2" spans="1:159" ht="16.5" customHeight="1" x14ac:dyDescent="0.25">
      <c r="A2" s="412"/>
      <c r="B2" s="412"/>
      <c r="C2" s="412"/>
      <c r="D2" s="412"/>
      <c r="E2" s="412"/>
      <c r="F2" s="412"/>
      <c r="G2" s="412"/>
      <c r="H2" s="412"/>
      <c r="I2" s="412"/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  <c r="X2" s="412"/>
      <c r="Y2" s="412"/>
      <c r="Z2" s="412"/>
      <c r="AA2" s="412"/>
      <c r="AB2" s="412"/>
      <c r="AC2" s="412"/>
      <c r="AD2" s="412"/>
      <c r="AE2" s="412"/>
      <c r="AF2" s="412"/>
      <c r="AG2" s="412"/>
      <c r="AH2" s="412"/>
      <c r="AI2" s="412"/>
      <c r="AJ2" s="412"/>
      <c r="AK2" s="412"/>
      <c r="AL2" s="412"/>
      <c r="AM2" s="412"/>
      <c r="AN2" s="412"/>
      <c r="AO2" s="412"/>
      <c r="AP2" s="412"/>
      <c r="AQ2" s="412"/>
      <c r="AR2" s="412"/>
      <c r="AS2" s="412"/>
      <c r="AT2" s="412"/>
      <c r="AU2" s="412"/>
      <c r="AV2" s="412"/>
      <c r="AW2" s="412"/>
      <c r="AX2" s="412"/>
      <c r="AY2" s="412"/>
      <c r="AZ2" s="412"/>
      <c r="BA2" s="412"/>
      <c r="BB2" s="412"/>
      <c r="BC2" s="412"/>
      <c r="BD2" s="412"/>
      <c r="BE2" s="412"/>
      <c r="BF2" s="412"/>
      <c r="BG2" s="412"/>
      <c r="BH2" s="412"/>
      <c r="BI2" s="412"/>
      <c r="BJ2" s="412"/>
      <c r="BK2" s="412"/>
      <c r="BL2" s="412"/>
      <c r="BM2" s="412"/>
      <c r="BN2" s="412"/>
      <c r="BO2" s="412"/>
      <c r="BP2" s="412"/>
      <c r="BQ2" s="412"/>
      <c r="BR2" s="412"/>
      <c r="BS2" s="412"/>
      <c r="BT2" s="412"/>
      <c r="BU2" s="412"/>
      <c r="BV2" s="412"/>
      <c r="BW2" s="412"/>
      <c r="BX2" s="412"/>
      <c r="BY2" s="412"/>
      <c r="BZ2" s="412"/>
      <c r="CA2" s="412"/>
      <c r="CB2" s="412"/>
      <c r="CC2" s="412"/>
      <c r="CD2" s="412"/>
      <c r="CE2" s="412"/>
      <c r="CF2" s="412"/>
      <c r="CG2" s="412"/>
      <c r="CH2" s="412"/>
      <c r="CI2" s="412"/>
      <c r="CJ2" s="412"/>
      <c r="CK2" s="412"/>
      <c r="CL2" s="412"/>
      <c r="CM2" s="412"/>
      <c r="CN2" s="412"/>
      <c r="CO2" s="412"/>
      <c r="CP2" s="412"/>
      <c r="CQ2" s="412"/>
      <c r="CR2" s="412"/>
      <c r="CS2" s="412"/>
      <c r="CT2" s="412"/>
      <c r="CU2" s="412"/>
      <c r="CV2" s="412"/>
      <c r="CW2" s="412"/>
      <c r="CX2" s="412"/>
      <c r="CY2" s="412"/>
      <c r="CZ2" s="412"/>
      <c r="DA2" s="412"/>
      <c r="DB2" s="412"/>
      <c r="DC2" s="412"/>
      <c r="DD2" s="412"/>
      <c r="DE2" s="412"/>
      <c r="DF2" s="412"/>
      <c r="DG2" s="412"/>
      <c r="DH2" s="412"/>
      <c r="DI2" s="412"/>
      <c r="DJ2" s="412"/>
      <c r="DK2" s="412"/>
      <c r="DL2" s="412"/>
      <c r="DM2" s="412"/>
      <c r="DN2" s="412"/>
      <c r="DO2" s="412"/>
      <c r="DP2" s="412"/>
      <c r="DQ2" s="412"/>
      <c r="DR2" s="412"/>
      <c r="DS2" s="412"/>
      <c r="DT2" s="412"/>
      <c r="DU2" s="412"/>
      <c r="DV2" s="412"/>
      <c r="DW2" s="412"/>
      <c r="DX2" s="412"/>
      <c r="DY2" s="412"/>
      <c r="DZ2" s="412"/>
      <c r="EA2" s="412"/>
      <c r="EB2" s="412"/>
      <c r="EC2" s="412"/>
      <c r="ED2" s="412"/>
      <c r="EE2" s="412"/>
      <c r="EF2" s="412"/>
      <c r="EG2" s="412"/>
      <c r="EH2" s="412"/>
      <c r="EI2" s="412"/>
      <c r="EJ2" s="412"/>
      <c r="EK2" s="412"/>
      <c r="EL2" s="412"/>
      <c r="EM2" s="412"/>
      <c r="EN2" s="412"/>
      <c r="EO2" s="412"/>
      <c r="EP2" s="412"/>
      <c r="EQ2" s="412"/>
      <c r="ER2" s="412"/>
      <c r="ES2" s="412"/>
      <c r="ET2" s="412"/>
      <c r="EU2" s="412"/>
      <c r="EV2" s="412"/>
      <c r="EW2" s="412"/>
      <c r="EX2" s="412"/>
      <c r="EY2" s="412"/>
      <c r="EZ2" s="412"/>
      <c r="FA2" s="412"/>
      <c r="FB2" s="412"/>
      <c r="FC2" s="412"/>
    </row>
    <row r="3" spans="1:159" ht="45" customHeight="1" x14ac:dyDescent="0.25">
      <c r="A3" s="412"/>
      <c r="B3" s="412"/>
      <c r="C3" s="412"/>
      <c r="D3" s="412"/>
      <c r="E3" s="412"/>
      <c r="F3" s="412"/>
      <c r="G3" s="412"/>
      <c r="H3" s="412"/>
      <c r="I3" s="412"/>
      <c r="J3" s="412"/>
      <c r="K3" s="412"/>
      <c r="L3" s="412"/>
      <c r="M3" s="412"/>
      <c r="N3" s="412"/>
      <c r="O3" s="412"/>
      <c r="P3" s="412"/>
      <c r="Q3" s="412"/>
      <c r="R3" s="412"/>
      <c r="S3" s="412"/>
      <c r="T3" s="412"/>
      <c r="U3" s="412"/>
      <c r="V3" s="412"/>
      <c r="W3" s="412"/>
      <c r="X3" s="412"/>
      <c r="Y3" s="412"/>
      <c r="Z3" s="412"/>
      <c r="AA3" s="412"/>
      <c r="AB3" s="412"/>
      <c r="AC3" s="412"/>
      <c r="AD3" s="412"/>
      <c r="AE3" s="412"/>
      <c r="AF3" s="412"/>
      <c r="AG3" s="412"/>
      <c r="AH3" s="412"/>
      <c r="AI3" s="412"/>
      <c r="AJ3" s="412"/>
      <c r="AK3" s="412"/>
      <c r="AL3" s="412"/>
      <c r="AM3" s="412"/>
      <c r="AN3" s="412"/>
      <c r="AO3" s="412"/>
      <c r="AP3" s="412"/>
      <c r="AQ3" s="412"/>
      <c r="AR3" s="412"/>
      <c r="AS3" s="412"/>
      <c r="AT3" s="412"/>
      <c r="AU3" s="412"/>
      <c r="AV3" s="412"/>
      <c r="AW3" s="412"/>
      <c r="AX3" s="412"/>
      <c r="AY3" s="412"/>
      <c r="AZ3" s="412"/>
      <c r="BA3" s="412"/>
      <c r="BB3" s="412"/>
      <c r="BC3" s="412"/>
      <c r="BD3" s="412"/>
      <c r="BE3" s="412"/>
      <c r="BF3" s="412"/>
      <c r="BG3" s="412"/>
      <c r="BH3" s="412"/>
      <c r="BI3" s="412"/>
      <c r="BJ3" s="412"/>
      <c r="BK3" s="412"/>
      <c r="BL3" s="412"/>
      <c r="BM3" s="412"/>
      <c r="BN3" s="412"/>
      <c r="BO3" s="412"/>
      <c r="BP3" s="412"/>
      <c r="BQ3" s="412"/>
      <c r="BR3" s="412"/>
      <c r="BS3" s="412"/>
      <c r="BT3" s="412"/>
      <c r="BU3" s="412"/>
      <c r="BV3" s="412"/>
      <c r="BW3" s="412"/>
      <c r="BX3" s="412"/>
      <c r="BY3" s="412"/>
      <c r="BZ3" s="412"/>
      <c r="CA3" s="412"/>
      <c r="CB3" s="412"/>
      <c r="CC3" s="412"/>
      <c r="CD3" s="412"/>
      <c r="CE3" s="412"/>
      <c r="CF3" s="412"/>
      <c r="CG3" s="412"/>
      <c r="CH3" s="412"/>
      <c r="CI3" s="412"/>
      <c r="CJ3" s="412"/>
      <c r="CK3" s="412"/>
      <c r="CL3" s="412"/>
      <c r="CM3" s="412"/>
      <c r="CN3" s="412"/>
      <c r="CO3" s="412"/>
      <c r="CP3" s="412"/>
      <c r="CQ3" s="412"/>
      <c r="CR3" s="412"/>
      <c r="CS3" s="412"/>
      <c r="CT3" s="412"/>
      <c r="CU3" s="412"/>
      <c r="CV3" s="412"/>
      <c r="CW3" s="412"/>
      <c r="CX3" s="412"/>
      <c r="CY3" s="412"/>
      <c r="CZ3" s="412"/>
      <c r="DA3" s="412"/>
      <c r="DB3" s="412"/>
      <c r="DC3" s="412"/>
      <c r="DD3" s="412"/>
      <c r="DE3" s="412"/>
      <c r="DF3" s="412"/>
      <c r="DG3" s="412"/>
      <c r="DH3" s="412"/>
      <c r="DI3" s="412"/>
      <c r="DJ3" s="412"/>
      <c r="DK3" s="412"/>
      <c r="DL3" s="412"/>
      <c r="DM3" s="412"/>
      <c r="DN3" s="412"/>
      <c r="DO3" s="412"/>
      <c r="DP3" s="412"/>
      <c r="DQ3" s="412"/>
      <c r="DR3" s="412"/>
      <c r="DS3" s="412"/>
      <c r="DT3" s="412"/>
      <c r="DU3" s="412"/>
      <c r="DV3" s="412"/>
      <c r="DW3" s="412"/>
      <c r="DX3" s="412"/>
      <c r="DY3" s="412"/>
      <c r="DZ3" s="412"/>
      <c r="EA3" s="412"/>
      <c r="EB3" s="412"/>
      <c r="EC3" s="412"/>
      <c r="ED3" s="412"/>
      <c r="EE3" s="412"/>
      <c r="EF3" s="412"/>
      <c r="EG3" s="412"/>
      <c r="EH3" s="412"/>
      <c r="EI3" s="412"/>
      <c r="EJ3" s="412"/>
      <c r="EK3" s="412"/>
      <c r="EL3" s="412"/>
      <c r="EM3" s="412"/>
      <c r="EN3" s="412"/>
      <c r="EO3" s="412"/>
      <c r="EP3" s="412"/>
      <c r="EQ3" s="412"/>
      <c r="ER3" s="412"/>
      <c r="ES3" s="412"/>
      <c r="ET3" s="412"/>
      <c r="EU3" s="412"/>
      <c r="EV3" s="412"/>
      <c r="EW3" s="412"/>
      <c r="EX3" s="412"/>
      <c r="EY3" s="412"/>
      <c r="EZ3" s="412"/>
      <c r="FA3" s="412"/>
      <c r="FB3" s="412"/>
      <c r="FC3" s="412"/>
    </row>
    <row r="4" spans="1:159" ht="16.5" customHeight="1" x14ac:dyDescent="0.25">
      <c r="A4" s="412"/>
      <c r="B4" s="412"/>
      <c r="C4" s="412"/>
      <c r="D4" s="412"/>
      <c r="E4" s="412"/>
      <c r="F4" s="412"/>
      <c r="G4" s="412"/>
      <c r="H4" s="412"/>
      <c r="I4" s="412"/>
      <c r="J4" s="412"/>
      <c r="K4" s="412"/>
      <c r="L4" s="412"/>
      <c r="M4" s="412"/>
      <c r="N4" s="412"/>
      <c r="O4" s="412"/>
      <c r="P4" s="412"/>
      <c r="Q4" s="412"/>
      <c r="R4" s="412"/>
      <c r="S4" s="412"/>
      <c r="T4" s="412"/>
      <c r="U4" s="412"/>
      <c r="V4" s="412"/>
      <c r="W4" s="412"/>
      <c r="X4" s="412"/>
      <c r="Y4" s="412"/>
      <c r="Z4" s="412"/>
      <c r="AA4" s="412"/>
      <c r="AB4" s="412"/>
      <c r="AC4" s="412"/>
      <c r="AD4" s="412"/>
      <c r="AE4" s="412"/>
      <c r="AF4" s="412"/>
      <c r="AG4" s="412"/>
      <c r="AH4" s="412"/>
      <c r="AI4" s="412"/>
      <c r="AJ4" s="412"/>
      <c r="AK4" s="412"/>
      <c r="AL4" s="412"/>
      <c r="AM4" s="412"/>
      <c r="AN4" s="412"/>
      <c r="AO4" s="412"/>
      <c r="AP4" s="412"/>
      <c r="AQ4" s="412"/>
      <c r="AR4" s="412"/>
      <c r="AS4" s="412"/>
      <c r="AT4" s="412"/>
      <c r="AU4" s="412"/>
      <c r="AV4" s="412"/>
      <c r="AW4" s="412"/>
      <c r="AX4" s="412"/>
      <c r="AY4" s="412"/>
      <c r="AZ4" s="412"/>
      <c r="BA4" s="412"/>
      <c r="BB4" s="412"/>
      <c r="BC4" s="412"/>
      <c r="BD4" s="412"/>
      <c r="BE4" s="412"/>
      <c r="BF4" s="412"/>
      <c r="BG4" s="412"/>
      <c r="BH4" s="412"/>
      <c r="BI4" s="412"/>
      <c r="BJ4" s="412"/>
      <c r="BK4" s="412"/>
      <c r="BL4" s="412"/>
      <c r="BM4" s="412"/>
      <c r="BN4" s="412"/>
      <c r="BO4" s="412"/>
      <c r="BP4" s="412"/>
      <c r="BQ4" s="412"/>
      <c r="BR4" s="412"/>
      <c r="BS4" s="412"/>
      <c r="BT4" s="412"/>
      <c r="BU4" s="412"/>
      <c r="BV4" s="412"/>
      <c r="BW4" s="412"/>
      <c r="BX4" s="412"/>
      <c r="BY4" s="412"/>
      <c r="BZ4" s="412"/>
      <c r="CA4" s="412"/>
      <c r="CB4" s="412"/>
      <c r="CC4" s="412"/>
      <c r="CD4" s="412"/>
      <c r="CE4" s="412"/>
      <c r="CF4" s="412"/>
      <c r="CG4" s="412"/>
      <c r="CH4" s="412"/>
      <c r="CI4" s="412"/>
      <c r="CJ4" s="412"/>
      <c r="CK4" s="412"/>
      <c r="CL4" s="412"/>
      <c r="CM4" s="412"/>
      <c r="CN4" s="412"/>
      <c r="CO4" s="412"/>
      <c r="CP4" s="412"/>
      <c r="CQ4" s="412"/>
      <c r="CR4" s="412"/>
      <c r="CS4" s="412"/>
      <c r="CT4" s="412"/>
      <c r="CU4" s="412"/>
      <c r="CV4" s="412"/>
      <c r="CW4" s="412"/>
      <c r="CX4" s="412"/>
      <c r="CY4" s="412"/>
      <c r="CZ4" s="412"/>
      <c r="DA4" s="412"/>
      <c r="DB4" s="412"/>
      <c r="DC4" s="412"/>
      <c r="DD4" s="412"/>
      <c r="DE4" s="412"/>
      <c r="DF4" s="412"/>
      <c r="DG4" s="412"/>
      <c r="DH4" s="412"/>
      <c r="DI4" s="412"/>
      <c r="DJ4" s="412"/>
      <c r="DK4" s="412"/>
      <c r="DL4" s="412"/>
      <c r="DM4" s="412"/>
      <c r="DN4" s="412"/>
      <c r="DO4" s="412"/>
      <c r="DP4" s="412"/>
      <c r="DQ4" s="412"/>
      <c r="DR4" s="412"/>
      <c r="DS4" s="412"/>
      <c r="DT4" s="412"/>
      <c r="DU4" s="412"/>
      <c r="DV4" s="412"/>
      <c r="DW4" s="412"/>
      <c r="DX4" s="412"/>
      <c r="DY4" s="412"/>
      <c r="DZ4" s="412"/>
      <c r="EA4" s="412"/>
      <c r="EB4" s="412"/>
      <c r="EC4" s="412"/>
      <c r="ED4" s="412"/>
      <c r="EE4" s="412"/>
      <c r="EF4" s="412"/>
      <c r="EG4" s="412"/>
      <c r="EH4" s="412"/>
      <c r="EI4" s="412"/>
      <c r="EJ4" s="412"/>
      <c r="EK4" s="412"/>
      <c r="EL4" s="412"/>
      <c r="EM4" s="412"/>
      <c r="EN4" s="412"/>
      <c r="EO4" s="412"/>
      <c r="EP4" s="412"/>
      <c r="EQ4" s="412"/>
      <c r="ER4" s="412"/>
      <c r="ES4" s="412"/>
      <c r="ET4" s="412"/>
      <c r="EU4" s="412"/>
      <c r="EV4" s="412"/>
      <c r="EW4" s="412"/>
      <c r="EX4" s="412"/>
      <c r="EY4" s="412"/>
      <c r="EZ4" s="412"/>
      <c r="FA4" s="412"/>
      <c r="FB4" s="412"/>
      <c r="FC4" s="412"/>
    </row>
    <row r="5" spans="1:159" ht="10.5" customHeight="1" thickBot="1" x14ac:dyDescent="0.3">
      <c r="A5" s="413"/>
      <c r="B5" s="413"/>
      <c r="C5" s="413"/>
      <c r="D5" s="413"/>
      <c r="E5" s="413"/>
      <c r="F5" s="413"/>
      <c r="G5" s="413"/>
      <c r="H5" s="413"/>
      <c r="I5" s="413"/>
      <c r="J5" s="413"/>
      <c r="K5" s="413"/>
      <c r="L5" s="413"/>
      <c r="M5" s="413"/>
      <c r="N5" s="413"/>
      <c r="O5" s="413"/>
      <c r="P5" s="413"/>
      <c r="Q5" s="413"/>
      <c r="R5" s="413"/>
      <c r="S5" s="413"/>
      <c r="T5" s="412"/>
      <c r="U5" s="413"/>
      <c r="V5" s="413"/>
      <c r="W5" s="413"/>
      <c r="X5" s="413"/>
      <c r="Y5" s="413"/>
      <c r="Z5" s="413"/>
      <c r="AA5" s="413"/>
      <c r="AB5" s="413"/>
      <c r="AC5" s="413"/>
      <c r="AD5" s="413"/>
      <c r="AE5" s="413"/>
      <c r="AF5" s="413"/>
      <c r="AG5" s="413"/>
      <c r="AH5" s="413"/>
      <c r="AI5" s="413"/>
      <c r="AJ5" s="413"/>
      <c r="AK5" s="413"/>
      <c r="AL5" s="413"/>
      <c r="AM5" s="413"/>
      <c r="AN5" s="413"/>
      <c r="AO5" s="413"/>
      <c r="AP5" s="413"/>
      <c r="AQ5" s="413"/>
      <c r="AR5" s="413"/>
      <c r="AS5" s="413"/>
      <c r="AT5" s="413"/>
      <c r="AU5" s="413"/>
      <c r="AV5" s="413"/>
      <c r="AW5" s="413"/>
      <c r="AX5" s="413"/>
      <c r="AY5" s="412"/>
      <c r="AZ5" s="413"/>
      <c r="BA5" s="413"/>
      <c r="BB5" s="413"/>
      <c r="BC5" s="413"/>
      <c r="BD5" s="413"/>
      <c r="BE5" s="413"/>
      <c r="BF5" s="413"/>
      <c r="BG5" s="413"/>
      <c r="BH5" s="413"/>
      <c r="BI5" s="413"/>
      <c r="BJ5" s="413"/>
      <c r="BK5" s="413"/>
      <c r="BL5" s="413"/>
      <c r="BM5" s="413"/>
      <c r="BN5" s="413"/>
      <c r="BO5" s="413"/>
      <c r="BP5" s="413"/>
      <c r="BQ5" s="413"/>
      <c r="BR5" s="413"/>
      <c r="BS5" s="413"/>
      <c r="BT5" s="413"/>
      <c r="BU5" s="412"/>
      <c r="BV5" s="413"/>
      <c r="BW5" s="413"/>
      <c r="BX5" s="413"/>
      <c r="BY5" s="413"/>
      <c r="BZ5" s="413"/>
      <c r="CA5" s="413"/>
      <c r="CB5" s="413"/>
      <c r="CC5" s="413"/>
      <c r="CD5" s="413"/>
      <c r="CE5" s="413"/>
      <c r="CF5" s="413"/>
      <c r="CG5" s="413"/>
      <c r="CH5" s="413"/>
      <c r="CI5" s="413"/>
      <c r="CJ5" s="413"/>
      <c r="CK5" s="413"/>
      <c r="CL5" s="413"/>
      <c r="CM5" s="413"/>
      <c r="CN5" s="413"/>
      <c r="CO5" s="413"/>
      <c r="CP5" s="413"/>
      <c r="CQ5" s="413"/>
      <c r="CR5" s="413"/>
      <c r="CS5" s="413"/>
      <c r="CT5" s="413"/>
      <c r="CU5" s="413"/>
      <c r="CV5" s="413"/>
      <c r="CW5" s="413"/>
      <c r="CX5" s="413"/>
      <c r="CY5" s="413"/>
      <c r="CZ5" s="413"/>
      <c r="DA5" s="413"/>
      <c r="DB5" s="413"/>
      <c r="DC5" s="413"/>
      <c r="DD5" s="413"/>
      <c r="DE5" s="413"/>
      <c r="DF5" s="413"/>
      <c r="DG5" s="413"/>
      <c r="DH5" s="413"/>
      <c r="DI5" s="413"/>
      <c r="DJ5" s="413"/>
      <c r="DK5" s="413"/>
      <c r="DL5" s="413"/>
      <c r="DM5" s="413"/>
      <c r="DN5" s="413"/>
      <c r="DO5" s="413"/>
      <c r="DP5" s="413"/>
      <c r="DQ5" s="413"/>
      <c r="DR5" s="413"/>
      <c r="DS5" s="412"/>
      <c r="DT5" s="413"/>
      <c r="DU5" s="413"/>
      <c r="DV5" s="413"/>
      <c r="DW5" s="413"/>
      <c r="DX5" s="413"/>
      <c r="DY5" s="413"/>
      <c r="DZ5" s="413"/>
      <c r="EA5" s="413"/>
      <c r="EB5" s="413"/>
      <c r="EC5" s="413"/>
      <c r="ED5" s="413"/>
      <c r="EE5" s="413"/>
      <c r="EF5" s="412"/>
      <c r="EG5" s="413"/>
      <c r="EH5" s="413"/>
      <c r="EI5" s="413"/>
      <c r="EJ5" s="413"/>
      <c r="EK5" s="413"/>
      <c r="EL5" s="413"/>
      <c r="EM5" s="413"/>
      <c r="EN5" s="413"/>
      <c r="EO5" s="413"/>
      <c r="EP5" s="413"/>
      <c r="EQ5" s="413"/>
      <c r="ER5" s="413"/>
      <c r="ES5" s="412"/>
      <c r="ET5" s="413"/>
      <c r="EU5" s="413"/>
      <c r="EV5" s="413"/>
      <c r="EW5" s="413"/>
      <c r="EX5" s="413"/>
      <c r="EY5" s="413"/>
      <c r="EZ5" s="413"/>
      <c r="FA5" s="413"/>
      <c r="FB5" s="413"/>
      <c r="FC5" s="413"/>
    </row>
    <row r="6" spans="1:159" ht="24.75" customHeight="1" thickBot="1" x14ac:dyDescent="0.3">
      <c r="A6" s="414" t="s">
        <v>185</v>
      </c>
      <c r="B6" s="415"/>
      <c r="C6" s="415"/>
      <c r="D6" s="415"/>
      <c r="E6" s="415"/>
      <c r="F6" s="415"/>
      <c r="G6" s="415"/>
      <c r="H6" s="415"/>
      <c r="I6" s="415"/>
      <c r="J6" s="415"/>
      <c r="K6" s="415"/>
      <c r="L6" s="415"/>
      <c r="M6" s="415"/>
      <c r="N6" s="415"/>
      <c r="O6" s="415"/>
      <c r="P6" s="415"/>
      <c r="Q6" s="415"/>
      <c r="R6" s="415"/>
      <c r="S6" s="416"/>
      <c r="T6" s="443"/>
      <c r="U6" s="417" t="s">
        <v>186</v>
      </c>
      <c r="V6" s="418"/>
      <c r="W6" s="418"/>
      <c r="X6" s="418"/>
      <c r="Y6" s="418"/>
      <c r="Z6" s="418"/>
      <c r="AA6" s="418"/>
      <c r="AB6" s="418"/>
      <c r="AC6" s="418"/>
      <c r="AD6" s="418"/>
      <c r="AE6" s="418"/>
      <c r="AF6" s="418"/>
      <c r="AG6" s="418"/>
      <c r="AH6" s="418"/>
      <c r="AI6" s="418"/>
      <c r="AJ6" s="418"/>
      <c r="AK6" s="418"/>
      <c r="AL6" s="418"/>
      <c r="AM6" s="418"/>
      <c r="AN6" s="418"/>
      <c r="AO6" s="418"/>
      <c r="AP6" s="418"/>
      <c r="AQ6" s="418"/>
      <c r="AR6" s="418"/>
      <c r="AS6" s="418"/>
      <c r="AT6" s="418"/>
      <c r="AU6" s="418"/>
      <c r="AV6" s="418"/>
      <c r="AW6" s="418"/>
      <c r="AX6" s="419"/>
      <c r="AY6" s="460"/>
      <c r="AZ6" s="417" t="s">
        <v>187</v>
      </c>
      <c r="BA6" s="418"/>
      <c r="BB6" s="418"/>
      <c r="BC6" s="418"/>
      <c r="BD6" s="418"/>
      <c r="BE6" s="418"/>
      <c r="BF6" s="418"/>
      <c r="BG6" s="418"/>
      <c r="BH6" s="418"/>
      <c r="BI6" s="418"/>
      <c r="BJ6" s="418"/>
      <c r="BK6" s="418"/>
      <c r="BL6" s="418"/>
      <c r="BM6" s="418"/>
      <c r="BN6" s="418"/>
      <c r="BO6" s="418"/>
      <c r="BP6" s="418"/>
      <c r="BQ6" s="418"/>
      <c r="BR6" s="418"/>
      <c r="BS6" s="418"/>
      <c r="BT6" s="419"/>
      <c r="BU6" s="556"/>
      <c r="BV6" s="420" t="s">
        <v>188</v>
      </c>
      <c r="BW6" s="421"/>
      <c r="BX6" s="421"/>
      <c r="BY6" s="421"/>
      <c r="BZ6" s="421"/>
      <c r="CA6" s="421"/>
      <c r="CB6" s="421"/>
      <c r="CC6" s="421"/>
      <c r="CD6" s="421"/>
      <c r="CE6" s="421"/>
      <c r="CF6" s="421"/>
      <c r="CG6" s="421"/>
      <c r="CH6" s="421"/>
      <c r="CI6" s="421"/>
      <c r="CJ6" s="421"/>
      <c r="CK6" s="421"/>
      <c r="CL6" s="421"/>
      <c r="CM6" s="421"/>
      <c r="CN6" s="421"/>
      <c r="CO6" s="421"/>
      <c r="CP6" s="421"/>
      <c r="CQ6" s="421"/>
      <c r="CR6" s="421"/>
      <c r="CS6" s="421"/>
      <c r="CT6" s="421"/>
      <c r="CU6" s="422"/>
      <c r="CV6" s="484"/>
      <c r="CW6" s="433" t="s">
        <v>74</v>
      </c>
      <c r="CX6" s="433"/>
      <c r="CY6" s="433"/>
      <c r="CZ6" s="433"/>
      <c r="DA6" s="433"/>
      <c r="DB6" s="433"/>
      <c r="DC6" s="433"/>
      <c r="DD6" s="433"/>
      <c r="DE6" s="433"/>
      <c r="DF6" s="433"/>
      <c r="DG6" s="433"/>
      <c r="DH6" s="433"/>
      <c r="DI6" s="433"/>
      <c r="DJ6" s="433"/>
      <c r="DK6" s="433"/>
      <c r="DL6" s="433"/>
      <c r="DM6" s="433"/>
      <c r="DN6" s="433"/>
      <c r="DO6" s="433"/>
      <c r="DP6" s="433"/>
      <c r="DQ6" s="433"/>
      <c r="DR6" s="434"/>
      <c r="DS6" s="500"/>
      <c r="DT6" s="508" t="s">
        <v>189</v>
      </c>
      <c r="DU6" s="509"/>
      <c r="DV6" s="509"/>
      <c r="DW6" s="509"/>
      <c r="DX6" s="509"/>
      <c r="DY6" s="509"/>
      <c r="DZ6" s="509"/>
      <c r="EA6" s="509"/>
      <c r="EB6" s="509"/>
      <c r="EC6" s="509"/>
      <c r="ED6" s="509"/>
      <c r="EE6" s="510"/>
      <c r="EF6" s="547"/>
      <c r="EG6" s="508" t="s">
        <v>190</v>
      </c>
      <c r="EH6" s="509"/>
      <c r="EI6" s="509"/>
      <c r="EJ6" s="509"/>
      <c r="EK6" s="509"/>
      <c r="EL6" s="509"/>
      <c r="EM6" s="509"/>
      <c r="EN6" s="509"/>
      <c r="EO6" s="509"/>
      <c r="EP6" s="509"/>
      <c r="EQ6" s="509"/>
      <c r="ER6" s="510"/>
      <c r="ES6" s="523"/>
      <c r="ET6" s="520" t="s">
        <v>191</v>
      </c>
      <c r="EU6" s="521"/>
      <c r="EV6" s="521"/>
      <c r="EW6" s="521"/>
      <c r="EX6" s="521"/>
      <c r="EY6" s="521"/>
      <c r="EZ6" s="521"/>
      <c r="FA6" s="521"/>
      <c r="FB6" s="521"/>
      <c r="FC6" s="522"/>
    </row>
    <row r="7" spans="1:159" ht="45" customHeight="1" thickBot="1" x14ac:dyDescent="0.3">
      <c r="A7" s="423" t="s">
        <v>75</v>
      </c>
      <c r="B7" s="425" t="s">
        <v>76</v>
      </c>
      <c r="C7" s="427" t="s">
        <v>77</v>
      </c>
      <c r="D7" s="428"/>
      <c r="E7" s="429"/>
      <c r="F7" s="430" t="s">
        <v>78</v>
      </c>
      <c r="G7" s="431"/>
      <c r="H7" s="432"/>
      <c r="I7" s="435" t="s">
        <v>79</v>
      </c>
      <c r="J7" s="435"/>
      <c r="K7" s="436" t="s">
        <v>80</v>
      </c>
      <c r="L7" s="437"/>
      <c r="M7" s="438" t="s">
        <v>81</v>
      </c>
      <c r="N7" s="432"/>
      <c r="O7" s="438" t="s">
        <v>82</v>
      </c>
      <c r="P7" s="431"/>
      <c r="Q7" s="432"/>
      <c r="R7" s="436" t="s">
        <v>83</v>
      </c>
      <c r="S7" s="439"/>
      <c r="T7" s="443"/>
      <c r="U7" s="440" t="s">
        <v>84</v>
      </c>
      <c r="V7" s="441"/>
      <c r="W7" s="442"/>
      <c r="X7" s="450" t="s">
        <v>85</v>
      </c>
      <c r="Y7" s="441"/>
      <c r="Z7" s="442"/>
      <c r="AA7" s="450" t="s">
        <v>86</v>
      </c>
      <c r="AB7" s="441"/>
      <c r="AC7" s="442"/>
      <c r="AD7" s="450" t="s">
        <v>87</v>
      </c>
      <c r="AE7" s="441"/>
      <c r="AF7" s="442"/>
      <c r="AG7" s="450" t="s">
        <v>88</v>
      </c>
      <c r="AH7" s="441"/>
      <c r="AI7" s="442"/>
      <c r="AJ7" s="451" t="s">
        <v>89</v>
      </c>
      <c r="AK7" s="452"/>
      <c r="AL7" s="453"/>
      <c r="AM7" s="451" t="s">
        <v>90</v>
      </c>
      <c r="AN7" s="452"/>
      <c r="AO7" s="453"/>
      <c r="AP7" s="450" t="s">
        <v>91</v>
      </c>
      <c r="AQ7" s="441"/>
      <c r="AR7" s="442"/>
      <c r="AS7" s="451" t="s">
        <v>92</v>
      </c>
      <c r="AT7" s="452"/>
      <c r="AU7" s="453"/>
      <c r="AV7" s="454" t="s">
        <v>93</v>
      </c>
      <c r="AW7" s="455"/>
      <c r="AX7" s="456"/>
      <c r="AY7" s="460"/>
      <c r="AZ7" s="457" t="s">
        <v>94</v>
      </c>
      <c r="BA7" s="455"/>
      <c r="BB7" s="458"/>
      <c r="BC7" s="459" t="s">
        <v>95</v>
      </c>
      <c r="BD7" s="459"/>
      <c r="BE7" s="459"/>
      <c r="BF7" s="459" t="s">
        <v>96</v>
      </c>
      <c r="BG7" s="459"/>
      <c r="BH7" s="459"/>
      <c r="BI7" s="472" t="s">
        <v>97</v>
      </c>
      <c r="BJ7" s="472"/>
      <c r="BK7" s="472" t="s">
        <v>98</v>
      </c>
      <c r="BL7" s="472"/>
      <c r="BM7" s="472" t="s">
        <v>99</v>
      </c>
      <c r="BN7" s="472"/>
      <c r="BO7" s="472" t="s">
        <v>100</v>
      </c>
      <c r="BP7" s="472"/>
      <c r="BQ7" s="473" t="s">
        <v>101</v>
      </c>
      <c r="BR7" s="474"/>
      <c r="BS7" s="475" t="s">
        <v>102</v>
      </c>
      <c r="BT7" s="476"/>
      <c r="BU7" s="557"/>
      <c r="BV7" s="559" t="s">
        <v>103</v>
      </c>
      <c r="BW7" s="478"/>
      <c r="BX7" s="479"/>
      <c r="BY7" s="560" t="s">
        <v>104</v>
      </c>
      <c r="BZ7" s="560"/>
      <c r="CA7" s="470" t="s">
        <v>105</v>
      </c>
      <c r="CB7" s="471"/>
      <c r="CC7" s="470" t="s">
        <v>106</v>
      </c>
      <c r="CD7" s="471"/>
      <c r="CE7" s="470" t="s">
        <v>107</v>
      </c>
      <c r="CF7" s="471"/>
      <c r="CG7" s="470" t="s">
        <v>108</v>
      </c>
      <c r="CH7" s="471"/>
      <c r="CI7" s="470" t="s">
        <v>109</v>
      </c>
      <c r="CJ7" s="471"/>
      <c r="CK7" s="477" t="s">
        <v>110</v>
      </c>
      <c r="CL7" s="478"/>
      <c r="CM7" s="479"/>
      <c r="CN7" s="477" t="s">
        <v>111</v>
      </c>
      <c r="CO7" s="478"/>
      <c r="CP7" s="479"/>
      <c r="CQ7" s="477" t="s">
        <v>112</v>
      </c>
      <c r="CR7" s="478"/>
      <c r="CS7" s="479"/>
      <c r="CT7" s="480" t="s">
        <v>113</v>
      </c>
      <c r="CU7" s="481"/>
      <c r="CV7" s="485"/>
      <c r="CW7" s="482" t="s">
        <v>114</v>
      </c>
      <c r="CX7" s="483"/>
      <c r="CY7" s="483"/>
      <c r="CZ7" s="483"/>
      <c r="DA7" s="489" t="s">
        <v>115</v>
      </c>
      <c r="DB7" s="428"/>
      <c r="DC7" s="428"/>
      <c r="DD7" s="490"/>
      <c r="DE7" s="489" t="s">
        <v>116</v>
      </c>
      <c r="DF7" s="428"/>
      <c r="DG7" s="428"/>
      <c r="DH7" s="428"/>
      <c r="DI7" s="482" t="s">
        <v>117</v>
      </c>
      <c r="DJ7" s="489"/>
      <c r="DK7" s="489"/>
      <c r="DL7" s="491"/>
      <c r="DM7" s="427" t="s">
        <v>118</v>
      </c>
      <c r="DN7" s="428"/>
      <c r="DO7" s="428"/>
      <c r="DP7" s="429"/>
      <c r="DQ7" s="427" t="s">
        <v>119</v>
      </c>
      <c r="DR7" s="429"/>
      <c r="DS7" s="501"/>
      <c r="DT7" s="498" t="s">
        <v>120</v>
      </c>
      <c r="DU7" s="499"/>
      <c r="DV7" s="506" t="s">
        <v>121</v>
      </c>
      <c r="DW7" s="499"/>
      <c r="DX7" s="507" t="s">
        <v>122</v>
      </c>
      <c r="DY7" s="506"/>
      <c r="DZ7" s="506" t="s">
        <v>123</v>
      </c>
      <c r="EA7" s="499"/>
      <c r="EB7" s="506" t="s">
        <v>124</v>
      </c>
      <c r="EC7" s="499"/>
      <c r="ED7" s="506" t="s">
        <v>125</v>
      </c>
      <c r="EE7" s="511"/>
      <c r="EF7" s="548"/>
      <c r="EG7" s="518" t="s">
        <v>126</v>
      </c>
      <c r="EH7" s="507"/>
      <c r="EI7" s="507" t="s">
        <v>127</v>
      </c>
      <c r="EJ7" s="507"/>
      <c r="EK7" s="507" t="s">
        <v>128</v>
      </c>
      <c r="EL7" s="507"/>
      <c r="EM7" s="507" t="s">
        <v>129</v>
      </c>
      <c r="EN7" s="507"/>
      <c r="EO7" s="507" t="s">
        <v>130</v>
      </c>
      <c r="EP7" s="507"/>
      <c r="EQ7" s="507" t="s">
        <v>131</v>
      </c>
      <c r="ER7" s="519"/>
      <c r="ES7" s="523"/>
      <c r="ET7" s="482" t="s">
        <v>132</v>
      </c>
      <c r="EU7" s="483"/>
      <c r="EV7" s="483" t="s">
        <v>133</v>
      </c>
      <c r="EW7" s="483"/>
      <c r="EX7" s="483" t="s">
        <v>134</v>
      </c>
      <c r="EY7" s="483"/>
      <c r="EZ7" s="483" t="s">
        <v>135</v>
      </c>
      <c r="FA7" s="483"/>
      <c r="FB7" s="483" t="s">
        <v>136</v>
      </c>
      <c r="FC7" s="491"/>
    </row>
    <row r="8" spans="1:159" s="4" customFormat="1" ht="44.25" customHeight="1" thickBot="1" x14ac:dyDescent="0.3">
      <c r="A8" s="424"/>
      <c r="B8" s="426"/>
      <c r="C8" s="240" t="s">
        <v>137</v>
      </c>
      <c r="D8" s="241" t="s">
        <v>138</v>
      </c>
      <c r="E8" s="81" t="s">
        <v>192</v>
      </c>
      <c r="F8" s="231" t="s">
        <v>139</v>
      </c>
      <c r="G8" s="21" t="s">
        <v>140</v>
      </c>
      <c r="H8" s="81" t="s">
        <v>192</v>
      </c>
      <c r="I8" s="22" t="s">
        <v>139</v>
      </c>
      <c r="J8" s="21" t="s">
        <v>141</v>
      </c>
      <c r="K8" s="242" t="s">
        <v>139</v>
      </c>
      <c r="L8" s="21" t="s">
        <v>141</v>
      </c>
      <c r="M8" s="22" t="s">
        <v>139</v>
      </c>
      <c r="N8" s="21" t="s">
        <v>141</v>
      </c>
      <c r="O8" s="22" t="s">
        <v>139</v>
      </c>
      <c r="P8" s="21" t="s">
        <v>140</v>
      </c>
      <c r="Q8" s="81" t="s">
        <v>192</v>
      </c>
      <c r="R8" s="22" t="s">
        <v>139</v>
      </c>
      <c r="S8" s="243" t="s">
        <v>140</v>
      </c>
      <c r="T8" s="443"/>
      <c r="U8" s="245" t="s">
        <v>142</v>
      </c>
      <c r="V8" s="21" t="s">
        <v>143</v>
      </c>
      <c r="W8" s="82" t="s">
        <v>144</v>
      </c>
      <c r="X8" s="22" t="s">
        <v>145</v>
      </c>
      <c r="Y8" s="21" t="s">
        <v>143</v>
      </c>
      <c r="Z8" s="82" t="s">
        <v>144</v>
      </c>
      <c r="AA8" s="22" t="s">
        <v>145</v>
      </c>
      <c r="AB8" s="21" t="s">
        <v>143</v>
      </c>
      <c r="AC8" s="82" t="s">
        <v>144</v>
      </c>
      <c r="AD8" s="22" t="s">
        <v>145</v>
      </c>
      <c r="AE8" s="21" t="s">
        <v>143</v>
      </c>
      <c r="AF8" s="82" t="s">
        <v>144</v>
      </c>
      <c r="AG8" s="22" t="s">
        <v>142</v>
      </c>
      <c r="AH8" s="21" t="s">
        <v>143</v>
      </c>
      <c r="AI8" s="82" t="s">
        <v>144</v>
      </c>
      <c r="AJ8" s="22" t="s">
        <v>145</v>
      </c>
      <c r="AK8" s="21" t="s">
        <v>143</v>
      </c>
      <c r="AL8" s="82" t="s">
        <v>144</v>
      </c>
      <c r="AM8" s="22" t="s">
        <v>145</v>
      </c>
      <c r="AN8" s="21" t="s">
        <v>143</v>
      </c>
      <c r="AO8" s="82" t="s">
        <v>144</v>
      </c>
      <c r="AP8" s="22" t="s">
        <v>145</v>
      </c>
      <c r="AQ8" s="21" t="s">
        <v>143</v>
      </c>
      <c r="AR8" s="82" t="s">
        <v>144</v>
      </c>
      <c r="AS8" s="22" t="s">
        <v>145</v>
      </c>
      <c r="AT8" s="21" t="s">
        <v>143</v>
      </c>
      <c r="AU8" s="82" t="s">
        <v>144</v>
      </c>
      <c r="AV8" s="22" t="s">
        <v>145</v>
      </c>
      <c r="AW8" s="21" t="s">
        <v>143</v>
      </c>
      <c r="AX8" s="246" t="s">
        <v>144</v>
      </c>
      <c r="AY8" s="460"/>
      <c r="AZ8" s="245" t="s">
        <v>146</v>
      </c>
      <c r="BA8" s="155" t="s">
        <v>147</v>
      </c>
      <c r="BB8" s="82" t="s">
        <v>144</v>
      </c>
      <c r="BC8" s="22" t="s">
        <v>146</v>
      </c>
      <c r="BD8" s="155" t="s">
        <v>147</v>
      </c>
      <c r="BE8" s="82" t="s">
        <v>144</v>
      </c>
      <c r="BF8" s="22" t="s">
        <v>146</v>
      </c>
      <c r="BG8" s="155" t="s">
        <v>147</v>
      </c>
      <c r="BH8" s="82" t="s">
        <v>144</v>
      </c>
      <c r="BI8" s="22" t="s">
        <v>146</v>
      </c>
      <c r="BJ8" s="21" t="s">
        <v>147</v>
      </c>
      <c r="BK8" s="22" t="s">
        <v>146</v>
      </c>
      <c r="BL8" s="21" t="s">
        <v>147</v>
      </c>
      <c r="BM8" s="22" t="s">
        <v>146</v>
      </c>
      <c r="BN8" s="21" t="s">
        <v>147</v>
      </c>
      <c r="BO8" s="22" t="s">
        <v>146</v>
      </c>
      <c r="BP8" s="21" t="s">
        <v>147</v>
      </c>
      <c r="BQ8" s="231" t="s">
        <v>146</v>
      </c>
      <c r="BR8" s="21" t="s">
        <v>147</v>
      </c>
      <c r="BS8" s="231" t="s">
        <v>146</v>
      </c>
      <c r="BT8" s="249" t="s">
        <v>147</v>
      </c>
      <c r="BU8" s="557"/>
      <c r="BV8" s="218" t="s">
        <v>148</v>
      </c>
      <c r="BW8" s="22" t="s">
        <v>149</v>
      </c>
      <c r="BX8" s="81" t="s">
        <v>192</v>
      </c>
      <c r="BY8" s="22" t="s">
        <v>149</v>
      </c>
      <c r="BZ8" s="164" t="s">
        <v>140</v>
      </c>
      <c r="CA8" s="22" t="s">
        <v>149</v>
      </c>
      <c r="CB8" s="164" t="s">
        <v>140</v>
      </c>
      <c r="CC8" s="22" t="s">
        <v>149</v>
      </c>
      <c r="CD8" s="164" t="s">
        <v>140</v>
      </c>
      <c r="CE8" s="22" t="s">
        <v>149</v>
      </c>
      <c r="CF8" s="164" t="s">
        <v>140</v>
      </c>
      <c r="CG8" s="22" t="s">
        <v>149</v>
      </c>
      <c r="CH8" s="164" t="s">
        <v>140</v>
      </c>
      <c r="CI8" s="22" t="s">
        <v>149</v>
      </c>
      <c r="CJ8" s="164" t="s">
        <v>140</v>
      </c>
      <c r="CK8" s="22" t="s">
        <v>149</v>
      </c>
      <c r="CL8" s="164" t="s">
        <v>140</v>
      </c>
      <c r="CM8" s="81" t="s">
        <v>192</v>
      </c>
      <c r="CN8" s="22" t="s">
        <v>149</v>
      </c>
      <c r="CO8" s="164" t="s">
        <v>140</v>
      </c>
      <c r="CP8" s="81" t="s">
        <v>192</v>
      </c>
      <c r="CQ8" s="24" t="s">
        <v>149</v>
      </c>
      <c r="CR8" s="164" t="s">
        <v>140</v>
      </c>
      <c r="CS8" s="81" t="s">
        <v>192</v>
      </c>
      <c r="CT8" s="22" t="s">
        <v>150</v>
      </c>
      <c r="CU8" s="175" t="s">
        <v>151</v>
      </c>
      <c r="CV8" s="485"/>
      <c r="CW8" s="233" t="s">
        <v>152</v>
      </c>
      <c r="CX8" s="234" t="s">
        <v>141</v>
      </c>
      <c r="CY8" s="24" t="s">
        <v>153</v>
      </c>
      <c r="CZ8" s="234" t="s">
        <v>141</v>
      </c>
      <c r="DA8" s="24" t="s">
        <v>152</v>
      </c>
      <c r="DB8" s="234" t="s">
        <v>140</v>
      </c>
      <c r="DC8" s="24" t="s">
        <v>153</v>
      </c>
      <c r="DD8" s="234" t="s">
        <v>140</v>
      </c>
      <c r="DE8" s="24" t="s">
        <v>152</v>
      </c>
      <c r="DF8" s="234" t="s">
        <v>141</v>
      </c>
      <c r="DG8" s="24" t="s">
        <v>153</v>
      </c>
      <c r="DH8" s="234" t="s">
        <v>141</v>
      </c>
      <c r="DI8" s="24" t="s">
        <v>152</v>
      </c>
      <c r="DJ8" s="235" t="s">
        <v>140</v>
      </c>
      <c r="DK8" s="24" t="s">
        <v>153</v>
      </c>
      <c r="DL8" s="235" t="s">
        <v>140</v>
      </c>
      <c r="DM8" s="24" t="s">
        <v>152</v>
      </c>
      <c r="DN8" s="235" t="s">
        <v>140</v>
      </c>
      <c r="DO8" s="24" t="s">
        <v>153</v>
      </c>
      <c r="DP8" s="235" t="s">
        <v>140</v>
      </c>
      <c r="DQ8" s="236" t="s">
        <v>154</v>
      </c>
      <c r="DR8" s="237" t="s">
        <v>140</v>
      </c>
      <c r="DS8" s="501"/>
      <c r="DT8" s="190" t="s">
        <v>142</v>
      </c>
      <c r="DU8" s="199" t="s">
        <v>155</v>
      </c>
      <c r="DV8" s="192" t="s">
        <v>142</v>
      </c>
      <c r="DW8" s="193" t="s">
        <v>155</v>
      </c>
      <c r="DX8" s="191" t="s">
        <v>145</v>
      </c>
      <c r="DY8" s="203" t="s">
        <v>155</v>
      </c>
      <c r="DZ8" s="191" t="s">
        <v>145</v>
      </c>
      <c r="EA8" s="203" t="s">
        <v>155</v>
      </c>
      <c r="EB8" s="191" t="s">
        <v>145</v>
      </c>
      <c r="EC8" s="203" t="s">
        <v>155</v>
      </c>
      <c r="ED8" s="191" t="s">
        <v>145</v>
      </c>
      <c r="EE8" s="206" t="s">
        <v>155</v>
      </c>
      <c r="EF8" s="548"/>
      <c r="EG8" s="190" t="s">
        <v>145</v>
      </c>
      <c r="EH8" s="214" t="s">
        <v>155</v>
      </c>
      <c r="EI8" s="191" t="s">
        <v>145</v>
      </c>
      <c r="EJ8" s="214" t="s">
        <v>155</v>
      </c>
      <c r="EK8" s="191" t="s">
        <v>142</v>
      </c>
      <c r="EL8" s="214" t="s">
        <v>155</v>
      </c>
      <c r="EM8" s="191" t="s">
        <v>145</v>
      </c>
      <c r="EN8" s="214" t="s">
        <v>155</v>
      </c>
      <c r="EO8" s="191" t="s">
        <v>145</v>
      </c>
      <c r="EP8" s="214" t="s">
        <v>155</v>
      </c>
      <c r="EQ8" s="191" t="s">
        <v>145</v>
      </c>
      <c r="ER8" s="215" t="s">
        <v>155</v>
      </c>
      <c r="ES8" s="460"/>
      <c r="ET8" s="225" t="s">
        <v>149</v>
      </c>
      <c r="EU8" s="226" t="s">
        <v>140</v>
      </c>
      <c r="EV8" s="23" t="s">
        <v>149</v>
      </c>
      <c r="EW8" s="226" t="s">
        <v>140</v>
      </c>
      <c r="EX8" s="23" t="s">
        <v>149</v>
      </c>
      <c r="EY8" s="226" t="s">
        <v>140</v>
      </c>
      <c r="EZ8" s="23" t="s">
        <v>149</v>
      </c>
      <c r="FA8" s="226" t="s">
        <v>140</v>
      </c>
      <c r="FB8" s="23" t="s">
        <v>149</v>
      </c>
      <c r="FC8" s="227" t="s">
        <v>140</v>
      </c>
    </row>
    <row r="9" spans="1:159" ht="30" customHeight="1" x14ac:dyDescent="0.25">
      <c r="A9" s="186">
        <v>44957</v>
      </c>
      <c r="B9" s="258">
        <f>'[1]February - 2023'!$B$8</f>
        <v>0.77</v>
      </c>
      <c r="C9" s="238">
        <f>'[1]February - 2023'!E8</f>
        <v>243018</v>
      </c>
      <c r="D9" s="534">
        <f>C10-C9</f>
        <v>498</v>
      </c>
      <c r="E9" s="448">
        <f>'[1]February - 2023'!G8</f>
        <v>500</v>
      </c>
      <c r="F9" s="150">
        <f>'[1]February - 2023'!H8</f>
        <v>265351</v>
      </c>
      <c r="G9" s="446">
        <f>F10-F9</f>
        <v>390</v>
      </c>
      <c r="H9" s="448">
        <f>'[1]February - 2023'!J8</f>
        <v>114355</v>
      </c>
      <c r="I9" s="239">
        <f>'[1]February - 2023'!K8</f>
        <v>15530</v>
      </c>
      <c r="J9" s="446">
        <f>I10-I9</f>
        <v>232</v>
      </c>
      <c r="K9" s="239">
        <f>'[1]February - 2023'!N8</f>
        <v>929662</v>
      </c>
      <c r="L9" s="445">
        <f>K10-K9</f>
        <v>249</v>
      </c>
      <c r="M9" s="239">
        <f>'[1]February - 2023'!Q8</f>
        <v>245870</v>
      </c>
      <c r="N9" s="445">
        <f>M10-M9</f>
        <v>0</v>
      </c>
      <c r="O9" s="239">
        <f>'[1]February - 2023'!U8</f>
        <v>120277</v>
      </c>
      <c r="P9" s="446">
        <f>O10-O9</f>
        <v>67</v>
      </c>
      <c r="Q9" s="448">
        <f>'[1]February - 2023'!W9</f>
        <v>0</v>
      </c>
      <c r="R9" s="239">
        <f>'[1]February - 2023'!X8</f>
        <v>6721</v>
      </c>
      <c r="S9" s="536">
        <f>R10-R9</f>
        <v>11</v>
      </c>
      <c r="T9" s="444"/>
      <c r="U9" s="244">
        <f>'[1]February - 2023'!AE8</f>
        <v>8278599.8399999999</v>
      </c>
      <c r="V9" s="538">
        <f>U10-U9</f>
        <v>1997.519999999553</v>
      </c>
      <c r="W9" s="464">
        <f>'[1]February - 2023'!AG8</f>
        <v>2971.9199999989942</v>
      </c>
      <c r="X9" s="232">
        <f>'[1]February - 2023'!AH8</f>
        <v>15718143.84</v>
      </c>
      <c r="Y9" s="446">
        <f>X10-X9</f>
        <v>4579.679999999702</v>
      </c>
      <c r="Z9" s="464">
        <f>'[1]February - 2023'!AJ8</f>
        <v>4482.2400000002235</v>
      </c>
      <c r="AA9" s="232">
        <f>'[1]February - 2023'!AK8</f>
        <v>15913657.199999999</v>
      </c>
      <c r="AB9" s="446">
        <f>AA10-AA9</f>
        <v>0</v>
      </c>
      <c r="AC9" s="464">
        <f>'[1]February - 2023'!AM8</f>
        <v>0</v>
      </c>
      <c r="AD9" s="232">
        <f>'[1]February - 2023'!AN8</f>
        <v>19053368.879999999</v>
      </c>
      <c r="AE9" s="446">
        <f>AD10-AD9</f>
        <v>1364.160000000149</v>
      </c>
      <c r="AF9" s="464">
        <f>'[1]February - 2023'!AP8</f>
        <v>194.87999999895692</v>
      </c>
      <c r="AG9" s="232">
        <f>'[1]February - 2023'!AQ8</f>
        <v>19316895.359999999</v>
      </c>
      <c r="AH9" s="446">
        <f>AG10-AG9</f>
        <v>7405.4400000013411</v>
      </c>
      <c r="AI9" s="464">
        <f>'[1]February - 2023'!AS8</f>
        <v>8087.519999999553</v>
      </c>
      <c r="AJ9" s="232">
        <f>'[1]February - 2023'!AT8</f>
        <v>17853785.039999999</v>
      </c>
      <c r="AK9" s="446">
        <f>AJ10-AJ9</f>
        <v>4482.2400000020862</v>
      </c>
      <c r="AL9" s="464">
        <f>'[1]February - 2023'!AV8</f>
        <v>5066.8800000008196</v>
      </c>
      <c r="AM9" s="232">
        <f>'[1]February - 2023'!AW8</f>
        <v>15009949.919999998</v>
      </c>
      <c r="AN9" s="446">
        <f>AM10-AM9</f>
        <v>3751.4400000013411</v>
      </c>
      <c r="AO9" s="464">
        <f>'[1]February - 2023'!AY8</f>
        <v>3702.7200000006706</v>
      </c>
      <c r="AP9" s="232">
        <f>'[1]February - 2023'!AZ8</f>
        <v>14552176.799999999</v>
      </c>
      <c r="AQ9" s="446">
        <f>AP10-AP9</f>
        <v>4530.9600000008941</v>
      </c>
      <c r="AR9" s="464">
        <f>'[1]February - 2023'!BB8</f>
        <v>3848.8800000008196</v>
      </c>
      <c r="AS9" s="232">
        <f>'[1]February - 2023'!BC8</f>
        <v>11342357.040000001</v>
      </c>
      <c r="AT9" s="446">
        <f>AS10-AS9</f>
        <v>2923.1999999992549</v>
      </c>
      <c r="AU9" s="464">
        <f>'[1]February - 2023'!BE8</f>
        <v>2825.7599999997765</v>
      </c>
      <c r="AV9" s="232">
        <f>'[1]February - 2023'!BF8</f>
        <v>18002722.080000002</v>
      </c>
      <c r="AW9" s="446">
        <f>AV10-AV9</f>
        <v>5700.2399999983609</v>
      </c>
      <c r="AX9" s="466">
        <f>'[1]February - 2023'!BH8</f>
        <v>4969.4399999994785</v>
      </c>
      <c r="AY9" s="461"/>
      <c r="AZ9" s="247">
        <f>'[1]February - 2023'!BM8</f>
        <v>78617600</v>
      </c>
      <c r="BA9" s="468">
        <f>AZ10-AZ9</f>
        <v>0</v>
      </c>
      <c r="BB9" s="462">
        <f>'[1]February - 2023'!BO8</f>
        <v>0</v>
      </c>
      <c r="BC9" s="247">
        <f>'[1]February - 2023'!BP8</f>
        <v>81547000</v>
      </c>
      <c r="BD9" s="468">
        <f>BC10-BC9</f>
        <v>0</v>
      </c>
      <c r="BE9" s="462">
        <f>'[1]February - 2023'!BR8</f>
        <v>0</v>
      </c>
      <c r="BF9" s="247">
        <f>'[1]February - 2023'!BS8</f>
        <v>75469900</v>
      </c>
      <c r="BG9" s="468">
        <f>BF10-BF9</f>
        <v>35200</v>
      </c>
      <c r="BH9" s="462">
        <f>'[1]February - 2023'!BU8</f>
        <v>41400</v>
      </c>
      <c r="BI9" s="26"/>
      <c r="BJ9" s="445"/>
      <c r="BK9" s="26"/>
      <c r="BL9" s="26"/>
      <c r="BM9" s="26"/>
      <c r="BN9" s="26"/>
      <c r="BO9" s="26"/>
      <c r="BP9" s="26"/>
      <c r="BQ9" s="26"/>
      <c r="BR9" s="26"/>
      <c r="BS9" s="248">
        <f>'[1]February - 2023'!BV8</f>
        <v>10588930</v>
      </c>
      <c r="BT9" s="541">
        <f>BS10-BS9</f>
        <v>5910</v>
      </c>
      <c r="BU9" s="557"/>
      <c r="BV9" s="84">
        <f>'[1]February - 2023'!BY8</f>
        <v>0.78</v>
      </c>
      <c r="BW9" s="552">
        <f>BV10-BV9</f>
        <v>6.9999999999999951E-2</v>
      </c>
      <c r="BX9" s="554">
        <f>'[1]February - 2023'!$CA$8</f>
        <v>7.999999999999996E-2</v>
      </c>
      <c r="BY9" s="85">
        <f>'[1]February - 2023'!CB8</f>
        <v>65338</v>
      </c>
      <c r="BZ9" s="540">
        <f>BY10-BY9</f>
        <v>17</v>
      </c>
      <c r="CA9" s="85">
        <f>'[1]February - 2023'!CD8</f>
        <v>56457</v>
      </c>
      <c r="CB9" s="540">
        <f>CA10-CA9</f>
        <v>20</v>
      </c>
      <c r="CC9" s="85">
        <f>'[1]February - 2023'!CF8</f>
        <v>19060</v>
      </c>
      <c r="CD9" s="540">
        <f>CC10-CC9</f>
        <v>8</v>
      </c>
      <c r="CE9" s="85">
        <f>'[1]February - 2023'!CH8</f>
        <v>26116</v>
      </c>
      <c r="CF9" s="540">
        <f>CE10-CE9</f>
        <v>10</v>
      </c>
      <c r="CG9" s="85">
        <f>'[1]February - 2023'!CJ8</f>
        <v>29262</v>
      </c>
      <c r="CH9" s="540">
        <f>CG10-CG9</f>
        <v>14</v>
      </c>
      <c r="CI9" s="85">
        <f>'[1]February - 2023'!CL8</f>
        <v>64366</v>
      </c>
      <c r="CJ9" s="540">
        <f>CI10-CI9</f>
        <v>35</v>
      </c>
      <c r="CK9" s="85">
        <f>'[1]February - 2023'!CN8</f>
        <v>272050</v>
      </c>
      <c r="CL9" s="540">
        <f>CK10-CK9</f>
        <v>79</v>
      </c>
      <c r="CM9" s="492">
        <f>'[1]February - 2023'!CP8</f>
        <v>109</v>
      </c>
      <c r="CN9" s="85">
        <f>'[1]February - 2023'!CQ8</f>
        <v>221087</v>
      </c>
      <c r="CO9" s="540">
        <f>CN10-CN9</f>
        <v>121</v>
      </c>
      <c r="CP9" s="492">
        <f>'[1]February - 2023'!CV8</f>
        <v>237</v>
      </c>
      <c r="CQ9" s="85">
        <f>'[1]February - 2023'!CT8</f>
        <v>369542</v>
      </c>
      <c r="CR9" s="540">
        <f>CQ10-CQ9</f>
        <v>276</v>
      </c>
      <c r="CS9" s="492">
        <f>'[1]February - 2023'!CV8</f>
        <v>237</v>
      </c>
      <c r="CT9" s="85">
        <f>'[1]February - 2023'!CW8</f>
        <v>703819</v>
      </c>
      <c r="CU9" s="494">
        <f>CT10-CT9</f>
        <v>183</v>
      </c>
      <c r="CV9" s="485"/>
      <c r="CW9" s="259">
        <f>'[1]February - 2023'!CZ8</f>
        <v>9310</v>
      </c>
      <c r="CX9" s="496">
        <f>CW10-CW9</f>
        <v>10</v>
      </c>
      <c r="CY9" s="260">
        <f>'[1]February - 2023'!DB8</f>
        <v>6304</v>
      </c>
      <c r="CZ9" s="496">
        <f>CY10-CY9</f>
        <v>8</v>
      </c>
      <c r="DA9" s="260">
        <f>'[1]February - 2023'!DD8</f>
        <v>32983</v>
      </c>
      <c r="DB9" s="496">
        <f>DA10-DA9</f>
        <v>14</v>
      </c>
      <c r="DC9" s="260">
        <f>'[1]February - 2023'!DF8</f>
        <v>33127</v>
      </c>
      <c r="DD9" s="496">
        <f>DC10-DC9</f>
        <v>12</v>
      </c>
      <c r="DE9" s="260">
        <f>'[1]February - 2023'!DH8</f>
        <v>22410</v>
      </c>
      <c r="DF9" s="496">
        <f>DE10-DE9</f>
        <v>9</v>
      </c>
      <c r="DG9" s="260">
        <f>'[1]February - 2023'!DJ8</f>
        <v>24352</v>
      </c>
      <c r="DH9" s="496">
        <f>DG10-DG9</f>
        <v>4</v>
      </c>
      <c r="DI9" s="260">
        <f>'[1]February - 2023'!DL8</f>
        <v>7683</v>
      </c>
      <c r="DJ9" s="496">
        <f>DI10-DI9</f>
        <v>8</v>
      </c>
      <c r="DK9" s="260">
        <f>'[1]February - 2023'!DN8</f>
        <v>10195</v>
      </c>
      <c r="DL9" s="496">
        <f>DK10-DK9</f>
        <v>8</v>
      </c>
      <c r="DM9" s="260">
        <f>'[1]February - 2023'!DP8</f>
        <v>3511</v>
      </c>
      <c r="DN9" s="496">
        <f>DM10-DM9</f>
        <v>4</v>
      </c>
      <c r="DO9" s="260">
        <f>'[1]February - 2023'!DR8</f>
        <v>6890</v>
      </c>
      <c r="DP9" s="496">
        <f>DO10-DO9</f>
        <v>6</v>
      </c>
      <c r="DQ9" s="260">
        <f>'[1]February - 2023'!DT8</f>
        <v>30498</v>
      </c>
      <c r="DR9" s="550">
        <f>DQ10-DQ9</f>
        <v>4</v>
      </c>
      <c r="DS9" s="501"/>
      <c r="DT9" s="189">
        <f>'[1]February - 2023'!DW8</f>
        <v>6915.1</v>
      </c>
      <c r="DU9" s="514">
        <f>DT10-DT9</f>
        <v>11.199999999999818</v>
      </c>
      <c r="DV9" s="87">
        <f>'[1]February - 2023'!DY8</f>
        <v>11694.4</v>
      </c>
      <c r="DW9" s="512">
        <f>DV10-DV9</f>
        <v>8.3000000000010914</v>
      </c>
      <c r="DX9" s="87">
        <f>'[1]February - 2023'!EA8</f>
        <v>5142.5</v>
      </c>
      <c r="DY9" s="514">
        <f>DX10-DX9</f>
        <v>5.8000000000001819</v>
      </c>
      <c r="DZ9" s="87">
        <f>'[1]February - 2023'!EC8</f>
        <v>5734.6</v>
      </c>
      <c r="EA9" s="514">
        <f>DZ10-DZ9</f>
        <v>6.2999999999992724</v>
      </c>
      <c r="EB9" s="87">
        <f>'[1]February - 2023'!EE8</f>
        <v>1156684</v>
      </c>
      <c r="EC9" s="514">
        <f>EB10-EB9</f>
        <v>484</v>
      </c>
      <c r="ED9" s="87">
        <f>'[1]February - 2023'!EI8</f>
        <v>239167.3</v>
      </c>
      <c r="EE9" s="516">
        <f>ED10-ED9</f>
        <v>153.80000000001746</v>
      </c>
      <c r="EF9" s="548"/>
      <c r="EG9" s="213">
        <f>'[1]February - 2023'!EL8</f>
        <v>12286600</v>
      </c>
      <c r="EH9" s="525">
        <f>EG10-EG9</f>
        <v>2700</v>
      </c>
      <c r="EI9" s="86">
        <f>'[1]February - 2023'!EN8</f>
        <v>946040</v>
      </c>
      <c r="EJ9" s="525">
        <f>EI10-EI9</f>
        <v>220</v>
      </c>
      <c r="EK9" s="86">
        <f>'[1]February - 2023'!EP8</f>
        <v>7295900</v>
      </c>
      <c r="EL9" s="525">
        <f>EK10-EK9</f>
        <v>800</v>
      </c>
      <c r="EM9" s="86">
        <f>'[1]February - 2023'!ER8</f>
        <v>2510900</v>
      </c>
      <c r="EN9" s="525">
        <f>EM10-EM9</f>
        <v>200</v>
      </c>
      <c r="EO9" s="86">
        <f>'[1]February - 2023'!ET8</f>
        <v>1306940</v>
      </c>
      <c r="EP9" s="525">
        <f>EO10-EO9</f>
        <v>540</v>
      </c>
      <c r="EQ9" s="86">
        <f>'[1]February - 2023'!EV8</f>
        <v>16731000</v>
      </c>
      <c r="ER9" s="532">
        <f>EQ10-EQ9</f>
        <v>1600</v>
      </c>
      <c r="ES9" s="523"/>
      <c r="ET9" s="253">
        <f>'[1]February - 2023'!EY8</f>
        <v>42965</v>
      </c>
      <c r="EU9" s="497">
        <f>ET10-ET9</f>
        <v>16</v>
      </c>
      <c r="EV9" s="254">
        <f>'[1]February - 2023'!FA8</f>
        <v>37471</v>
      </c>
      <c r="EW9" s="497">
        <f>EV10-EV9</f>
        <v>11</v>
      </c>
      <c r="EX9" s="254">
        <f>'[1]February - 2023'!FC8</f>
        <v>8068</v>
      </c>
      <c r="EY9" s="497">
        <f>'[1]February - 2023'!$FD$8</f>
        <v>8</v>
      </c>
      <c r="EZ9" s="254">
        <f>'[1]February - 2023'!FE8</f>
        <v>60035</v>
      </c>
      <c r="FA9" s="497">
        <f>EZ10-EZ9</f>
        <v>15</v>
      </c>
      <c r="FB9" s="254">
        <f>'[1]February - 2023'!FG8</f>
        <v>51390</v>
      </c>
      <c r="FC9" s="528">
        <f>FB10-FB9</f>
        <v>27</v>
      </c>
    </row>
    <row r="10" spans="1:159" ht="30" customHeight="1" x14ac:dyDescent="0.25">
      <c r="A10" s="186">
        <v>44958</v>
      </c>
      <c r="B10" s="188">
        <f>'[1]February - 2023'!B9</f>
        <v>0.7</v>
      </c>
      <c r="C10" s="228">
        <f>'[1]February - 2023'!E9</f>
        <v>243516</v>
      </c>
      <c r="D10" s="535"/>
      <c r="E10" s="449"/>
      <c r="F10" s="150">
        <f>'[1]February - 2023'!H9</f>
        <v>265741</v>
      </c>
      <c r="G10" s="447"/>
      <c r="H10" s="449"/>
      <c r="I10" s="239">
        <f>'[1]February - 2023'!K9</f>
        <v>15762</v>
      </c>
      <c r="J10" s="447"/>
      <c r="K10" s="239">
        <f>'[1]February - 2023'!N9</f>
        <v>929911</v>
      </c>
      <c r="L10" s="446"/>
      <c r="M10" s="239">
        <f>'[1]February - 2023'!Q9</f>
        <v>245870</v>
      </c>
      <c r="N10" s="446"/>
      <c r="O10" s="239">
        <f>'[1]February - 2023'!U9</f>
        <v>120344</v>
      </c>
      <c r="P10" s="447"/>
      <c r="Q10" s="449"/>
      <c r="R10" s="239">
        <f>'[1]February - 2023'!X9</f>
        <v>6732</v>
      </c>
      <c r="S10" s="537"/>
      <c r="T10" s="444"/>
      <c r="U10" s="244">
        <f>'[1]February - 2023'!AE9</f>
        <v>8280597.3599999994</v>
      </c>
      <c r="V10" s="539"/>
      <c r="W10" s="465"/>
      <c r="X10" s="261">
        <f>'[1]February - 2023'!AH9</f>
        <v>15722723.52</v>
      </c>
      <c r="Y10" s="447"/>
      <c r="Z10" s="465"/>
      <c r="AA10" s="261">
        <f>'[1]February - 2023'!AK9</f>
        <v>15913657.199999999</v>
      </c>
      <c r="AB10" s="447"/>
      <c r="AC10" s="465"/>
      <c r="AD10" s="261">
        <f>'[1]February - 2023'!AN9</f>
        <v>19054733.039999999</v>
      </c>
      <c r="AE10" s="447"/>
      <c r="AF10" s="465"/>
      <c r="AG10" s="261">
        <f>'[1]February - 2023'!AQ9</f>
        <v>19324300.800000001</v>
      </c>
      <c r="AH10" s="447"/>
      <c r="AI10" s="465"/>
      <c r="AJ10" s="261">
        <f>'[1]February - 2023'!AT9</f>
        <v>17858267.280000001</v>
      </c>
      <c r="AK10" s="447"/>
      <c r="AL10" s="465"/>
      <c r="AM10" s="261">
        <f>'[1]February - 2023'!AW9</f>
        <v>15013701.359999999</v>
      </c>
      <c r="AN10" s="447"/>
      <c r="AO10" s="465"/>
      <c r="AP10" s="261">
        <f>'[1]February - 2023'!AZ9</f>
        <v>14556707.76</v>
      </c>
      <c r="AQ10" s="447"/>
      <c r="AR10" s="465"/>
      <c r="AS10" s="261">
        <f>'[1]February - 2023'!BC9</f>
        <v>11345280.24</v>
      </c>
      <c r="AT10" s="447"/>
      <c r="AU10" s="465"/>
      <c r="AV10" s="261">
        <f>'[1]February - 2023'!BF9</f>
        <v>18008422.32</v>
      </c>
      <c r="AW10" s="447"/>
      <c r="AX10" s="467"/>
      <c r="AY10" s="461"/>
      <c r="AZ10" s="247">
        <f>'[1]February - 2023'!BM9</f>
        <v>78617600</v>
      </c>
      <c r="BA10" s="469"/>
      <c r="BB10" s="463"/>
      <c r="BC10" s="247">
        <f>'[1]February - 2023'!BP9</f>
        <v>81547000</v>
      </c>
      <c r="BD10" s="469"/>
      <c r="BE10" s="463"/>
      <c r="BF10" s="247">
        <f>'[1]February - 2023'!BS9</f>
        <v>75505100</v>
      </c>
      <c r="BG10" s="469"/>
      <c r="BH10" s="463"/>
      <c r="BI10" s="25"/>
      <c r="BJ10" s="446"/>
      <c r="BK10" s="25"/>
      <c r="BL10" s="25"/>
      <c r="BM10" s="25"/>
      <c r="BN10" s="25"/>
      <c r="BO10" s="25"/>
      <c r="BP10" s="25"/>
      <c r="BQ10" s="25"/>
      <c r="BR10" s="25"/>
      <c r="BS10" s="248">
        <f>'[1]February - 2023'!BV9</f>
        <v>10594840</v>
      </c>
      <c r="BT10" s="551"/>
      <c r="BU10" s="557"/>
      <c r="BV10" s="84">
        <f>'[1]February - 2023'!BY9</f>
        <v>0.85</v>
      </c>
      <c r="BW10" s="553"/>
      <c r="BX10" s="555"/>
      <c r="BY10" s="85">
        <f>'[1]February - 2023'!CB9</f>
        <v>65355</v>
      </c>
      <c r="BZ10" s="541"/>
      <c r="CA10" s="85">
        <f>'[1]February - 2023'!CD9</f>
        <v>56477</v>
      </c>
      <c r="CB10" s="541"/>
      <c r="CC10" s="85">
        <f>'[1]February - 2023'!CF9</f>
        <v>19068</v>
      </c>
      <c r="CD10" s="541"/>
      <c r="CE10" s="85">
        <f>'[1]February - 2023'!CH9</f>
        <v>26126</v>
      </c>
      <c r="CF10" s="541"/>
      <c r="CG10" s="85">
        <f>'[1]February - 2023'!CJ9</f>
        <v>29276</v>
      </c>
      <c r="CH10" s="541"/>
      <c r="CI10" s="85">
        <f>'[1]February - 2023'!CL9</f>
        <v>64401</v>
      </c>
      <c r="CJ10" s="541"/>
      <c r="CK10" s="85">
        <f>'[1]February - 2023'!CN9</f>
        <v>272129</v>
      </c>
      <c r="CL10" s="541"/>
      <c r="CM10" s="493"/>
      <c r="CN10" s="85">
        <f>'[1]February - 2023'!CQ9</f>
        <v>221208</v>
      </c>
      <c r="CO10" s="541"/>
      <c r="CP10" s="493"/>
      <c r="CQ10" s="85">
        <f>'[1]February - 2023'!CT9</f>
        <v>369818</v>
      </c>
      <c r="CR10" s="541"/>
      <c r="CS10" s="493"/>
      <c r="CT10" s="85">
        <f>'[1]February - 2023'!CW9</f>
        <v>704002</v>
      </c>
      <c r="CU10" s="495"/>
      <c r="CV10" s="485"/>
      <c r="CW10" s="259">
        <f>'[1]February - 2023'!CZ9</f>
        <v>9320</v>
      </c>
      <c r="CX10" s="497"/>
      <c r="CY10" s="260">
        <f>'[1]February - 2023'!DB9</f>
        <v>6312</v>
      </c>
      <c r="CZ10" s="497"/>
      <c r="DA10" s="260">
        <f>'[1]February - 2023'!DD9</f>
        <v>32997</v>
      </c>
      <c r="DB10" s="497"/>
      <c r="DC10" s="260">
        <f>'[1]February - 2023'!DF9</f>
        <v>33139</v>
      </c>
      <c r="DD10" s="497"/>
      <c r="DE10" s="260">
        <f>'[1]February - 2023'!DH9</f>
        <v>22419</v>
      </c>
      <c r="DF10" s="497"/>
      <c r="DG10" s="260">
        <f>'[1]February - 2023'!DJ9</f>
        <v>24356</v>
      </c>
      <c r="DH10" s="497"/>
      <c r="DI10" s="260">
        <f>'[1]February - 2023'!DL9</f>
        <v>7691</v>
      </c>
      <c r="DJ10" s="497"/>
      <c r="DK10" s="260">
        <f>'[1]February - 2023'!DN9</f>
        <v>10203</v>
      </c>
      <c r="DL10" s="497"/>
      <c r="DM10" s="260">
        <f>'[1]February - 2023'!DP9</f>
        <v>3515</v>
      </c>
      <c r="DN10" s="497"/>
      <c r="DO10" s="260">
        <f>'[1]February - 2023'!DR9</f>
        <v>6896</v>
      </c>
      <c r="DP10" s="497"/>
      <c r="DQ10" s="260">
        <f>'[1]February - 2023'!DT9</f>
        <v>30502</v>
      </c>
      <c r="DR10" s="528"/>
      <c r="DS10" s="501"/>
      <c r="DT10" s="189">
        <f>'[1]February - 2023'!DW9</f>
        <v>6926.3</v>
      </c>
      <c r="DU10" s="515"/>
      <c r="DV10" s="87">
        <f>'[1]February - 2023'!DY9</f>
        <v>11702.7</v>
      </c>
      <c r="DW10" s="513"/>
      <c r="DX10" s="87">
        <f>'[1]February - 2023'!EA9</f>
        <v>5148.3</v>
      </c>
      <c r="DY10" s="515"/>
      <c r="DZ10" s="87">
        <f>'[1]February - 2023'!EC9</f>
        <v>5740.9</v>
      </c>
      <c r="EA10" s="515"/>
      <c r="EB10" s="87">
        <f>'[1]February - 2023'!EE9</f>
        <v>1157168</v>
      </c>
      <c r="EC10" s="515"/>
      <c r="ED10" s="87">
        <f>'[1]February - 2023'!EI9</f>
        <v>239321.1</v>
      </c>
      <c r="EE10" s="517"/>
      <c r="EF10" s="548"/>
      <c r="EG10" s="213">
        <f>'[1]February - 2023'!EL9</f>
        <v>12289300</v>
      </c>
      <c r="EH10" s="526"/>
      <c r="EI10" s="86">
        <f>'[1]February - 2023'!EN9</f>
        <v>946260</v>
      </c>
      <c r="EJ10" s="526"/>
      <c r="EK10" s="86">
        <f>'[1]February - 2023'!EP9</f>
        <v>7296700</v>
      </c>
      <c r="EL10" s="526"/>
      <c r="EM10" s="86">
        <f>'[1]February - 2023'!ER9</f>
        <v>2511100</v>
      </c>
      <c r="EN10" s="526"/>
      <c r="EO10" s="86">
        <f>'[1]February - 2023'!ET9</f>
        <v>1307480</v>
      </c>
      <c r="EP10" s="526"/>
      <c r="EQ10" s="86">
        <f>'[1]February - 2023'!EV9</f>
        <v>16732600</v>
      </c>
      <c r="ER10" s="533"/>
      <c r="ES10" s="523"/>
      <c r="ET10" s="253">
        <f>'[1]February - 2023'!EY9</f>
        <v>42981</v>
      </c>
      <c r="EU10" s="527"/>
      <c r="EV10" s="254">
        <f>'[1]February - 2023'!FA9</f>
        <v>37482</v>
      </c>
      <c r="EW10" s="527"/>
      <c r="EX10" s="254">
        <f>'[1]February - 2023'!FC9</f>
        <v>8076</v>
      </c>
      <c r="EY10" s="527"/>
      <c r="EZ10" s="254">
        <f>'[1]February - 2023'!FE9</f>
        <v>60050</v>
      </c>
      <c r="FA10" s="527"/>
      <c r="FB10" s="254">
        <f>'[1]February - 2023'!FG9</f>
        <v>51417</v>
      </c>
      <c r="FC10" s="529"/>
    </row>
    <row r="11" spans="1:159" ht="30" customHeight="1" x14ac:dyDescent="0.25">
      <c r="A11" s="186">
        <v>44959</v>
      </c>
      <c r="B11" s="188">
        <f>'[1]February - 2023'!B10</f>
        <v>0.76</v>
      </c>
      <c r="C11" s="228">
        <f>'[1]February - 2023'!E10</f>
        <v>244103</v>
      </c>
      <c r="D11" s="151">
        <f>'[1]February - 2023'!F11</f>
        <v>577</v>
      </c>
      <c r="E11" s="150">
        <f>'[1]February - 2023'!G10</f>
        <v>525</v>
      </c>
      <c r="F11" s="150">
        <f>'[1]February - 2023'!H10</f>
        <v>266202</v>
      </c>
      <c r="G11" s="151">
        <f>'[1]February - 2023'!I11</f>
        <v>430</v>
      </c>
      <c r="H11" s="150">
        <f>'[1]February - 2023'!J10</f>
        <v>114743</v>
      </c>
      <c r="I11" s="239">
        <f>'[1]February - 2023'!K10</f>
        <v>15987</v>
      </c>
      <c r="J11" s="151">
        <f>'[1]February - 2023'!L10</f>
        <v>225</v>
      </c>
      <c r="K11" s="239">
        <f>'[1]February - 2023'!N10</f>
        <v>930183</v>
      </c>
      <c r="L11" s="151">
        <f>'[1]February - 2023'!O10</f>
        <v>272</v>
      </c>
      <c r="M11" s="239">
        <f>'[1]February - 2023'!Q10</f>
        <v>245870</v>
      </c>
      <c r="N11" s="151">
        <f>'[1]February - 2023'!R10</f>
        <v>0</v>
      </c>
      <c r="O11" s="239">
        <f>'[1]February - 2023'!U10</f>
        <v>120411</v>
      </c>
      <c r="P11" s="151">
        <f>'[1]February - 2023'!V10</f>
        <v>67</v>
      </c>
      <c r="Q11" s="150">
        <f>'[1]February - 2023'!W10</f>
        <v>43</v>
      </c>
      <c r="R11" s="239">
        <f>'[1]February - 2023'!X10</f>
        <v>6738</v>
      </c>
      <c r="S11" s="187">
        <f>'[1]February - 2023'!Y10</f>
        <v>6</v>
      </c>
      <c r="T11" s="444"/>
      <c r="U11" s="244">
        <f>'[1]February - 2023'!AE10</f>
        <v>8282400</v>
      </c>
      <c r="V11" s="217">
        <f>'[1]February - 2023'!AF10</f>
        <v>1802.640000000596</v>
      </c>
      <c r="W11" s="88">
        <f>'[1]February - 2023'!AG10</f>
        <v>3215.5200000004843</v>
      </c>
      <c r="X11" s="261">
        <f>'[1]February - 2023'!AH10</f>
        <v>15726913.439999999</v>
      </c>
      <c r="Y11" s="217">
        <f>'[1]February - 2023'!AI10</f>
        <v>4189.9199999999255</v>
      </c>
      <c r="Z11" s="88">
        <f>'[1]February - 2023'!AJ10</f>
        <v>4872</v>
      </c>
      <c r="AA11" s="261">
        <f>'[1]February - 2023'!AK10</f>
        <v>15914485.439999999</v>
      </c>
      <c r="AB11" s="217">
        <f>'[1]February - 2023'!AL10</f>
        <v>828.24000000022352</v>
      </c>
      <c r="AC11" s="88">
        <f>'[1]February - 2023'!AM10</f>
        <v>0</v>
      </c>
      <c r="AD11" s="261">
        <f>'[1]February - 2023'!AN10</f>
        <v>19055366.399999999</v>
      </c>
      <c r="AE11" s="217">
        <f>'[1]February - 2023'!AO10</f>
        <v>633.35999999940395</v>
      </c>
      <c r="AF11" s="88">
        <f>'[1]February - 2023'!AP10</f>
        <v>146.16000000014901</v>
      </c>
      <c r="AG11" s="261">
        <f>'[1]February - 2023'!AQ10</f>
        <v>19331754.960000001</v>
      </c>
      <c r="AH11" s="217">
        <f>'[1]February - 2023'!AR10</f>
        <v>7454.160000000149</v>
      </c>
      <c r="AI11" s="88">
        <f>'[1]February - 2023'!AS10</f>
        <v>7697.7599999979138</v>
      </c>
      <c r="AJ11" s="261">
        <f>'[1]February - 2023'!AT10</f>
        <v>17862505.919999998</v>
      </c>
      <c r="AK11" s="217">
        <f>'[1]February - 2023'!AU10</f>
        <v>4238.6399999968708</v>
      </c>
      <c r="AL11" s="88">
        <f>'[1]February - 2023'!AV10</f>
        <v>5505.359999999404</v>
      </c>
      <c r="AM11" s="261">
        <f>'[1]February - 2023'!AW10</f>
        <v>15017355.359999999</v>
      </c>
      <c r="AN11" s="217">
        <f>'[1]February - 2023'!AX10</f>
        <v>3654</v>
      </c>
      <c r="AO11" s="88">
        <f>'[1]February - 2023'!AY10</f>
        <v>4189.9199999999255</v>
      </c>
      <c r="AP11" s="261">
        <f>'[1]February - 2023'!AZ10</f>
        <v>14560702.799999999</v>
      </c>
      <c r="AQ11" s="217">
        <f>'[1]February - 2023'!BA10</f>
        <v>3995.0399999991059</v>
      </c>
      <c r="AR11" s="88">
        <f>'[1]February - 2023'!BB10</f>
        <v>4141.1999999992549</v>
      </c>
      <c r="AS11" s="261">
        <f>'[1]February - 2023'!BC10</f>
        <v>11347862.4</v>
      </c>
      <c r="AT11" s="217">
        <f>'[1]February - 2023'!BD10</f>
        <v>2582.160000000149</v>
      </c>
      <c r="AU11" s="88">
        <f>'[1]February - 2023'!BE10</f>
        <v>3264.2400000002235</v>
      </c>
      <c r="AV11" s="261">
        <f>'[1]February - 2023'!BF10</f>
        <v>18013781.52</v>
      </c>
      <c r="AW11" s="229">
        <f>'[1]February - 2023'!BG10</f>
        <v>5359.1999999992549</v>
      </c>
      <c r="AX11" s="230">
        <f>'[1]February - 2023'!BH10</f>
        <v>5066.8799999989569</v>
      </c>
      <c r="AY11" s="461"/>
      <c r="AZ11" s="247">
        <f>'[1]February - 2023'!BM10</f>
        <v>78617600</v>
      </c>
      <c r="BA11" s="160">
        <f>'[1]February - 2023'!BN10</f>
        <v>0</v>
      </c>
      <c r="BB11" s="89">
        <f>'[1]February - 2023'!BO11</f>
        <v>0</v>
      </c>
      <c r="BC11" s="247">
        <f>'[1]February - 2023'!BP10</f>
        <v>81547000</v>
      </c>
      <c r="BD11" s="223">
        <f>'[1]February - 2023'!BQ10</f>
        <v>0</v>
      </c>
      <c r="BE11" s="89">
        <f>'[1]February - 2023'!BR10</f>
        <v>0</v>
      </c>
      <c r="BF11" s="247">
        <f>'[1]February - 2023'!BS10</f>
        <v>75544800</v>
      </c>
      <c r="BG11" s="223">
        <f>'[1]February - 2023'!BT10</f>
        <v>39700</v>
      </c>
      <c r="BH11" s="89">
        <f>'[1]February - 2023'!BU10</f>
        <v>37000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48">
        <f>'[1]February - 2023'!BV10</f>
        <v>10601540</v>
      </c>
      <c r="BT11" s="165">
        <f>'[1]February - 2023'!BW10</f>
        <v>6700</v>
      </c>
      <c r="BU11" s="557"/>
      <c r="BV11" s="84">
        <f>'[1]February - 2023'!BY10</f>
        <v>0.76</v>
      </c>
      <c r="BW11" s="219">
        <f>'[1]February - 2023'!BZ10</f>
        <v>8.9999999999999969E-2</v>
      </c>
      <c r="BX11" s="84">
        <f>'[1]February - 2023'!CA10</f>
        <v>9.9999999999999978E-2</v>
      </c>
      <c r="BY11" s="85">
        <f>'[1]February - 2023'!CB10</f>
        <v>65367</v>
      </c>
      <c r="BZ11" s="171">
        <f>'[1]February - 2023'!CC10</f>
        <v>12</v>
      </c>
      <c r="CA11" s="85">
        <f>'[1]February - 2023'!CD10</f>
        <v>56494</v>
      </c>
      <c r="CB11" s="171">
        <f>'[1]February - 2023'!CE10</f>
        <v>17</v>
      </c>
      <c r="CC11" s="85">
        <f>'[1]February - 2023'!CF10</f>
        <v>19074</v>
      </c>
      <c r="CD11" s="171">
        <f>'[1]February - 2023'!CG10</f>
        <v>6</v>
      </c>
      <c r="CE11" s="85">
        <f>'[1]February - 2023'!CH10</f>
        <v>26133</v>
      </c>
      <c r="CF11" s="171">
        <f>'[1]February - 2023'!CI10</f>
        <v>7</v>
      </c>
      <c r="CG11" s="85">
        <f>'[1]February - 2023'!CJ10</f>
        <v>29290</v>
      </c>
      <c r="CH11" s="171">
        <f>'[1]February - 2023'!CK10</f>
        <v>14</v>
      </c>
      <c r="CI11" s="85">
        <f>'[1]February - 2023'!CL10</f>
        <v>64435</v>
      </c>
      <c r="CJ11" s="171">
        <f>'[1]February - 2023'!CM10</f>
        <v>34</v>
      </c>
      <c r="CK11" s="85">
        <f>'[1]February - 2023'!CN10</f>
        <v>272199</v>
      </c>
      <c r="CL11" s="224">
        <f>'[1]February - 2023'!CO10</f>
        <v>70</v>
      </c>
      <c r="CM11" s="85">
        <f>'[1]February - 2023'!CP10</f>
        <v>107</v>
      </c>
      <c r="CN11" s="85">
        <f>'[1]February - 2023'!CQ10</f>
        <v>221324</v>
      </c>
      <c r="CO11" s="224">
        <f>'[1]February - 2023'!CR10</f>
        <v>116</v>
      </c>
      <c r="CP11" s="85">
        <f>'[1]February - 2023'!CV10</f>
        <v>312</v>
      </c>
      <c r="CQ11" s="85">
        <f>'[1]February - 2023'!CT10</f>
        <v>370063</v>
      </c>
      <c r="CR11" s="224">
        <f>'[1]February - 2023'!CU10</f>
        <v>245</v>
      </c>
      <c r="CS11" s="85">
        <f>'[1]February - 2023'!CV10</f>
        <v>312</v>
      </c>
      <c r="CT11" s="85">
        <f>'[1]February - 2023'!CW10</f>
        <v>704166</v>
      </c>
      <c r="CU11" s="171">
        <f>'[1]February - 2023'!CX10</f>
        <v>164</v>
      </c>
      <c r="CV11" s="485"/>
      <c r="CW11" s="259">
        <f>'[1]February - 2023'!CZ10</f>
        <v>9329</v>
      </c>
      <c r="CX11" s="178">
        <f>'[1]February - 2023'!DA10</f>
        <v>9</v>
      </c>
      <c r="CY11" s="260">
        <f>'[1]February - 2023'!DB10</f>
        <v>6319</v>
      </c>
      <c r="CZ11" s="178">
        <f>'[1]February - 2023'!DC10</f>
        <v>7</v>
      </c>
      <c r="DA11" s="260">
        <f>'[1]February - 2023'!DD10</f>
        <v>33011</v>
      </c>
      <c r="DB11" s="178">
        <f>'[1]February - 2023'!DE10</f>
        <v>14</v>
      </c>
      <c r="DC11" s="260">
        <f>'[1]February - 2023'!DF10</f>
        <v>33155</v>
      </c>
      <c r="DD11" s="178">
        <f>'[1]February - 2023'!DG10</f>
        <v>16</v>
      </c>
      <c r="DE11" s="260">
        <f>'[1]February - 2023'!DH10</f>
        <v>22427</v>
      </c>
      <c r="DF11" s="178">
        <f>'[1]February - 2023'!DI10</f>
        <v>8</v>
      </c>
      <c r="DG11" s="260">
        <f>'[1]February - 2023'!DJ10</f>
        <v>24361</v>
      </c>
      <c r="DH11" s="178">
        <f>'[1]February - 2023'!DK10</f>
        <v>5</v>
      </c>
      <c r="DI11" s="260">
        <f>'[1]February - 2023'!DL10</f>
        <v>7702</v>
      </c>
      <c r="DJ11" s="178">
        <f>'[1]February - 2023'!DM10</f>
        <v>11</v>
      </c>
      <c r="DK11" s="260">
        <f>'[1]February - 2023'!DN10</f>
        <v>10210</v>
      </c>
      <c r="DL11" s="178">
        <f>'[1]February - 2023'!DO10</f>
        <v>7</v>
      </c>
      <c r="DM11" s="260">
        <f>'[1]February - 2023'!DP10</f>
        <v>3520</v>
      </c>
      <c r="DN11" s="178">
        <f>'[1]February - 2023'!DQ10</f>
        <v>5</v>
      </c>
      <c r="DO11" s="260">
        <f>'[1]February - 2023'!DR10</f>
        <v>6902</v>
      </c>
      <c r="DP11" s="178">
        <f>'[1]February - 2023'!DS10</f>
        <v>6</v>
      </c>
      <c r="DQ11" s="260">
        <f>'[1]February - 2023'!DT10</f>
        <v>30508</v>
      </c>
      <c r="DR11" s="185">
        <f>'[1]February - 2023'!DU10</f>
        <v>6</v>
      </c>
      <c r="DS11" s="501"/>
      <c r="DT11" s="189">
        <f>'[1]February - 2023'!DW10</f>
        <v>6937.3</v>
      </c>
      <c r="DU11" s="200">
        <f>'[1]February - 2023'!DX10</f>
        <v>11</v>
      </c>
      <c r="DV11" s="87">
        <f>'[1]February - 2023'!DY10</f>
        <v>11710.8</v>
      </c>
      <c r="DW11" s="194">
        <f>'[1]February - 2023'!DZ10</f>
        <v>8.0999999999985448</v>
      </c>
      <c r="DX11" s="87">
        <f>'[1]February - 2023'!EA10</f>
        <v>5154.1000000000004</v>
      </c>
      <c r="DY11" s="194">
        <f>'[1]February - 2023'!EB10</f>
        <v>5.8000000000001819</v>
      </c>
      <c r="DZ11" s="87">
        <f>'[1]February - 2023'!EC10</f>
        <v>5747</v>
      </c>
      <c r="EA11" s="194">
        <f>'[1]February - 2023'!ED10</f>
        <v>6.1000000000003638</v>
      </c>
      <c r="EB11" s="87">
        <f>'[1]February - 2023'!EE10</f>
        <v>1157700</v>
      </c>
      <c r="EC11" s="194">
        <f>'[1]February - 2023'!EF10</f>
        <v>532</v>
      </c>
      <c r="ED11" s="87">
        <f>'[1]February - 2023'!EI10</f>
        <v>239469.3</v>
      </c>
      <c r="EE11" s="207">
        <f>'[1]February - 2023'!EJ10</f>
        <v>148.19999999998254</v>
      </c>
      <c r="EF11" s="548"/>
      <c r="EG11" s="213">
        <f>'[1]February - 2023'!EL10</f>
        <v>12292500</v>
      </c>
      <c r="EH11" s="208">
        <f>'[1]February - 2023'!EM10</f>
        <v>3200</v>
      </c>
      <c r="EI11" s="86">
        <f>'[1]February - 2023'!EN10</f>
        <v>946500</v>
      </c>
      <c r="EJ11" s="208">
        <f>'[1]February - 2023'!EO10</f>
        <v>240</v>
      </c>
      <c r="EK11" s="86">
        <f>'[1]February - 2023'!EP10</f>
        <v>7297600</v>
      </c>
      <c r="EL11" s="208">
        <f>'[1]February - 2023'!EQ10</f>
        <v>900</v>
      </c>
      <c r="EM11" s="86">
        <f>'[1]February - 2023'!ER10</f>
        <v>2511400</v>
      </c>
      <c r="EN11" s="208">
        <f>'[1]February - 2023'!ES10</f>
        <v>300</v>
      </c>
      <c r="EO11" s="86">
        <f>'[1]February - 2023'!ET10</f>
        <v>1308150</v>
      </c>
      <c r="EP11" s="208">
        <f>'[1]February - 2023'!EU10</f>
        <v>670</v>
      </c>
      <c r="EQ11" s="86">
        <f>'[1]February - 2023'!EV10</f>
        <v>16735500</v>
      </c>
      <c r="ER11" s="208">
        <f>'[1]February - 2023'!EW10</f>
        <v>2900</v>
      </c>
      <c r="ES11" s="523"/>
      <c r="ET11" s="253">
        <f>'[1]February - 2023'!EY10</f>
        <v>42995</v>
      </c>
      <c r="EU11" s="250">
        <f>'[1]February - 2023'!EZ10</f>
        <v>14</v>
      </c>
      <c r="EV11" s="254">
        <f>'[1]February - 2023'!FA10</f>
        <v>37493</v>
      </c>
      <c r="EW11" s="250">
        <f>'[1]February - 2023'!FB10</f>
        <v>11</v>
      </c>
      <c r="EX11" s="254">
        <f>'[1]February - 2023'!FC10</f>
        <v>8085</v>
      </c>
      <c r="EY11" s="250">
        <f>'[1]February - 2023'!FD10</f>
        <v>9</v>
      </c>
      <c r="EZ11" s="254">
        <f>'[1]February - 2023'!FE10</f>
        <v>60066</v>
      </c>
      <c r="FA11" s="250">
        <f>'[1]February - 2023'!FF10</f>
        <v>16</v>
      </c>
      <c r="FB11" s="254">
        <f>'[1]February - 2023'!FG10</f>
        <v>51443</v>
      </c>
      <c r="FC11" s="251">
        <f>'[1]February - 2023'!FH10</f>
        <v>26</v>
      </c>
    </row>
    <row r="12" spans="1:159" ht="30" customHeight="1" x14ac:dyDescent="0.25">
      <c r="A12" s="186">
        <v>44960</v>
      </c>
      <c r="B12" s="188">
        <f>'[1]February - 2023'!B11</f>
        <v>0.72</v>
      </c>
      <c r="C12" s="228">
        <f>'[1]February - 2023'!E11</f>
        <v>244680</v>
      </c>
      <c r="D12" s="151">
        <f>'[1]February - 2023'!F12</f>
        <v>620</v>
      </c>
      <c r="E12" s="150">
        <f>'[1]February - 2023'!G11</f>
        <v>493</v>
      </c>
      <c r="F12" s="150">
        <f>'[1]February - 2023'!H11</f>
        <v>266632</v>
      </c>
      <c r="G12" s="151">
        <f>'[1]February - 2023'!I12</f>
        <v>457</v>
      </c>
      <c r="H12" s="150">
        <f>'[1]February - 2023'!J11</f>
        <v>115117</v>
      </c>
      <c r="I12" s="239">
        <f>'[1]February - 2023'!K11</f>
        <v>16208</v>
      </c>
      <c r="J12" s="151">
        <f>'[1]February - 2023'!L11</f>
        <v>221</v>
      </c>
      <c r="K12" s="239">
        <f>'[1]February - 2023'!N11</f>
        <v>930443</v>
      </c>
      <c r="L12" s="151">
        <f>'[1]February - 2023'!O11</f>
        <v>260</v>
      </c>
      <c r="M12" s="239">
        <f>'[1]February - 2023'!Q11</f>
        <v>245884</v>
      </c>
      <c r="N12" s="151">
        <f>'[1]February - 2023'!R11</f>
        <v>14</v>
      </c>
      <c r="O12" s="239">
        <f>'[1]February - 2023'!U11</f>
        <v>120492</v>
      </c>
      <c r="P12" s="151">
        <f>'[1]February - 2023'!V11</f>
        <v>81</v>
      </c>
      <c r="Q12" s="150">
        <f>'[1]February - 2023'!W11</f>
        <v>89</v>
      </c>
      <c r="R12" s="239">
        <f>'[1]February - 2023'!X11</f>
        <v>6745</v>
      </c>
      <c r="S12" s="187">
        <f>'[1]February - 2023'!Y11</f>
        <v>7</v>
      </c>
      <c r="T12" s="444"/>
      <c r="U12" s="244">
        <f>'[1]February - 2023'!AE11</f>
        <v>8284348.7999999998</v>
      </c>
      <c r="V12" s="265">
        <f>'[1]February - 2023'!AF11</f>
        <v>1948.7999999998137</v>
      </c>
      <c r="W12" s="88">
        <f>'[1]February - 2023'!AG11</f>
        <v>3361.679999999702</v>
      </c>
      <c r="X12" s="261">
        <f>'[1]February - 2023'!AH11</f>
        <v>15731639.280000001</v>
      </c>
      <c r="Y12" s="265">
        <f>'[1]February - 2023'!AI11</f>
        <v>4725.8400000017136</v>
      </c>
      <c r="Z12" s="88">
        <f>'[1]February - 2023'!AJ11</f>
        <v>4725.8399999979883</v>
      </c>
      <c r="AA12" s="261">
        <f>'[1]February - 2023'!AK11</f>
        <v>15922572.959999999</v>
      </c>
      <c r="AB12" s="265">
        <f>'[1]February - 2023'!AL11</f>
        <v>8087.519999999553</v>
      </c>
      <c r="AC12" s="88">
        <f>'[1]February - 2023'!AM11</f>
        <v>0</v>
      </c>
      <c r="AD12" s="261">
        <f>'[1]February - 2023'!AN11</f>
        <v>19055561.280000001</v>
      </c>
      <c r="AE12" s="265">
        <f>'[1]February - 2023'!AO11</f>
        <v>194.88000000268221</v>
      </c>
      <c r="AF12" s="88">
        <f>'[1]February - 2023'!AP11</f>
        <v>146.16000000014901</v>
      </c>
      <c r="AG12" s="261">
        <f>'[1]February - 2023'!AQ11</f>
        <v>19333703.760000002</v>
      </c>
      <c r="AH12" s="265">
        <f>'[1]February - 2023'!AR11</f>
        <v>1948.8000000007451</v>
      </c>
      <c r="AI12" s="88">
        <f>'[1]February - 2023'!AS11</f>
        <v>7600.320000000298</v>
      </c>
      <c r="AJ12" s="261">
        <f>'[1]February - 2023'!AT11</f>
        <v>17867329.199999999</v>
      </c>
      <c r="AK12" s="265">
        <f>'[1]February - 2023'!AU11</f>
        <v>4823.2800000011921</v>
      </c>
      <c r="AL12" s="88">
        <f>'[1]February - 2023'!AV11</f>
        <v>5554.0800000000745</v>
      </c>
      <c r="AM12" s="261">
        <f>'[1]February - 2023'!AW11</f>
        <v>15021058.08</v>
      </c>
      <c r="AN12" s="265">
        <f>'[1]February - 2023'!AX11</f>
        <v>3702.7200000006706</v>
      </c>
      <c r="AO12" s="88">
        <f>'[1]February - 2023'!AY11</f>
        <v>3995.0399999991059</v>
      </c>
      <c r="AP12" s="261">
        <f>'[1]February - 2023'!AZ11</f>
        <v>14564941.439999999</v>
      </c>
      <c r="AQ12" s="265">
        <f>'[1]February - 2023'!BA11</f>
        <v>4238.640000000596</v>
      </c>
      <c r="AR12" s="88">
        <f>'[1]February - 2023'!BB11</f>
        <v>4189.9199999999255</v>
      </c>
      <c r="AS12" s="261">
        <f>'[1]February - 2023'!BC11</f>
        <v>11350542</v>
      </c>
      <c r="AT12" s="265">
        <f>'[1]February - 2023'!BD11</f>
        <v>2679.5999999996275</v>
      </c>
      <c r="AU12" s="88">
        <f>'[1]February - 2023'!BE11</f>
        <v>3020.6399999987334</v>
      </c>
      <c r="AV12" s="261">
        <f>'[1]February - 2023'!BF11</f>
        <v>18019481.760000002</v>
      </c>
      <c r="AW12" s="229">
        <f>'[1]February - 2023'!BG11</f>
        <v>5700.2400000020862</v>
      </c>
      <c r="AX12" s="230">
        <f>'[1]February - 2023'!BH11</f>
        <v>5456.6400000024587</v>
      </c>
      <c r="AY12" s="461"/>
      <c r="AZ12" s="247">
        <f>'[1]February - 2023'!BM11</f>
        <v>78651900</v>
      </c>
      <c r="BA12" s="160">
        <f>'[1]February - 2023'!BN11</f>
        <v>34300</v>
      </c>
      <c r="BB12" s="89">
        <f>'[1]February - 2023'!BO12</f>
        <v>0</v>
      </c>
      <c r="BC12" s="247">
        <f>'[1]February - 2023'!BP11</f>
        <v>81547000</v>
      </c>
      <c r="BD12" s="223">
        <f>'[1]February - 2023'!BQ11</f>
        <v>0</v>
      </c>
      <c r="BE12" s="89">
        <f>'[1]February - 2023'!BR11</f>
        <v>0</v>
      </c>
      <c r="BF12" s="247">
        <f>'[1]February - 2023'!BS11</f>
        <v>75555200</v>
      </c>
      <c r="BG12" s="223">
        <f>'[1]February - 2023'!BT11</f>
        <v>10400</v>
      </c>
      <c r="BH12" s="89">
        <f>'[1]February - 2023'!BU11</f>
        <v>36400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48">
        <f>'[1]February - 2023'!BV11</f>
        <v>10607680</v>
      </c>
      <c r="BT12" s="165">
        <f>'[1]February - 2023'!BW11</f>
        <v>6140</v>
      </c>
      <c r="BU12" s="557"/>
      <c r="BV12" s="84">
        <f>'[1]February - 2023'!BY11</f>
        <v>0.66</v>
      </c>
      <c r="BW12" s="219">
        <f>'[1]February - 2023'!BZ11</f>
        <v>9.9999999999999978E-2</v>
      </c>
      <c r="BX12" s="84">
        <f>'[1]February - 2023'!CA11</f>
        <v>-0.13</v>
      </c>
      <c r="BY12" s="85">
        <f>'[1]February - 2023'!CB11</f>
        <v>65384</v>
      </c>
      <c r="BZ12" s="171">
        <f>'[1]February - 2023'!CC11</f>
        <v>17</v>
      </c>
      <c r="CA12" s="85">
        <f>'[1]February - 2023'!CD11</f>
        <v>56515</v>
      </c>
      <c r="CB12" s="171">
        <f>'[1]February - 2023'!CE11</f>
        <v>21</v>
      </c>
      <c r="CC12" s="85">
        <f>'[1]February - 2023'!CF11</f>
        <v>19081</v>
      </c>
      <c r="CD12" s="171">
        <f>'[1]February - 2023'!CG11</f>
        <v>7</v>
      </c>
      <c r="CE12" s="85">
        <f>'[1]February - 2023'!CH11</f>
        <v>26142</v>
      </c>
      <c r="CF12" s="171">
        <f>'[1]February - 2023'!CI11</f>
        <v>9</v>
      </c>
      <c r="CG12" s="85">
        <f>'[1]February - 2023'!CJ11</f>
        <v>29303</v>
      </c>
      <c r="CH12" s="171">
        <f>'[1]February - 2023'!CK11</f>
        <v>13</v>
      </c>
      <c r="CI12" s="85">
        <f>'[1]February - 2023'!CL11</f>
        <v>64471</v>
      </c>
      <c r="CJ12" s="171">
        <f>'[1]February - 2023'!CM11</f>
        <v>36</v>
      </c>
      <c r="CK12" s="85">
        <f>'[1]February - 2023'!CN11</f>
        <v>272274</v>
      </c>
      <c r="CL12" s="224">
        <f>'[1]February - 2023'!CO11</f>
        <v>75</v>
      </c>
      <c r="CM12" s="85">
        <f>'[1]February - 2023'!CP11</f>
        <v>108</v>
      </c>
      <c r="CN12" s="85">
        <f>'[1]February - 2023'!CQ11</f>
        <v>221444</v>
      </c>
      <c r="CO12" s="224">
        <f>'[1]February - 2023'!CR11</f>
        <v>120</v>
      </c>
      <c r="CP12" s="85">
        <f>'[1]February - 2023'!CV11</f>
        <v>301</v>
      </c>
      <c r="CQ12" s="85">
        <f>'[1]February - 2023'!CT11</f>
        <v>370287</v>
      </c>
      <c r="CR12" s="224">
        <f>'[1]February - 2023'!CU11</f>
        <v>224</v>
      </c>
      <c r="CS12" s="85">
        <f>'[1]February - 2023'!CV11</f>
        <v>301</v>
      </c>
      <c r="CT12" s="85">
        <f>'[1]February - 2023'!CW11</f>
        <v>704340</v>
      </c>
      <c r="CU12" s="171">
        <f>'[1]February - 2023'!CX11</f>
        <v>174</v>
      </c>
      <c r="CV12" s="485"/>
      <c r="CW12" s="259">
        <f>'[1]February - 2023'!CZ11</f>
        <v>9338</v>
      </c>
      <c r="CX12" s="262">
        <f>'[1]February - 2023'!DA11</f>
        <v>9</v>
      </c>
      <c r="CY12" s="260">
        <f>'[1]February - 2023'!DB11</f>
        <v>6324</v>
      </c>
      <c r="CZ12" s="262">
        <f>'[1]February - 2023'!DC11</f>
        <v>5</v>
      </c>
      <c r="DA12" s="260">
        <f>'[1]February - 2023'!DD11</f>
        <v>33026</v>
      </c>
      <c r="DB12" s="262">
        <f>'[1]February - 2023'!DE11</f>
        <v>15</v>
      </c>
      <c r="DC12" s="260">
        <f>'[1]February - 2023'!DF11</f>
        <v>33170</v>
      </c>
      <c r="DD12" s="262">
        <f>'[1]February - 2023'!DG11</f>
        <v>15</v>
      </c>
      <c r="DE12" s="260">
        <f>'[1]February - 2023'!DH11</f>
        <v>22435</v>
      </c>
      <c r="DF12" s="262">
        <f>'[1]February - 2023'!DI11</f>
        <v>8</v>
      </c>
      <c r="DG12" s="260">
        <f>'[1]February - 2023'!DJ11</f>
        <v>24366</v>
      </c>
      <c r="DH12" s="262">
        <f>'[1]February - 2023'!DK11</f>
        <v>5</v>
      </c>
      <c r="DI12" s="260">
        <f>'[1]February - 2023'!DL11</f>
        <v>7714</v>
      </c>
      <c r="DJ12" s="262">
        <f>'[1]February - 2023'!DM11</f>
        <v>12</v>
      </c>
      <c r="DK12" s="260">
        <f>'[1]February - 2023'!DN11</f>
        <v>10221</v>
      </c>
      <c r="DL12" s="262">
        <f>'[1]February - 2023'!DO11</f>
        <v>11</v>
      </c>
      <c r="DM12" s="260">
        <f>'[1]February - 2023'!DP11</f>
        <v>3526</v>
      </c>
      <c r="DN12" s="262">
        <f>'[1]February - 2023'!DQ11</f>
        <v>6</v>
      </c>
      <c r="DO12" s="260">
        <f>'[1]February - 2023'!DR11</f>
        <v>6911</v>
      </c>
      <c r="DP12" s="262">
        <f>'[1]February - 2023'!DS11</f>
        <v>9</v>
      </c>
      <c r="DQ12" s="260">
        <f>'[1]February - 2023'!DT11</f>
        <v>30514</v>
      </c>
      <c r="DR12" s="263">
        <f>'[1]February - 2023'!DU11</f>
        <v>6</v>
      </c>
      <c r="DS12" s="501"/>
      <c r="DT12" s="189">
        <f>'[1]February - 2023'!DW11</f>
        <v>6948.6</v>
      </c>
      <c r="DU12" s="200">
        <f>'[1]February - 2023'!DX11</f>
        <v>11.300000000000182</v>
      </c>
      <c r="DV12" s="87">
        <f>'[1]February - 2023'!DY11</f>
        <v>11719.4</v>
      </c>
      <c r="DW12" s="194">
        <f>'[1]February - 2023'!DZ11</f>
        <v>8.6000000000003638</v>
      </c>
      <c r="DX12" s="87">
        <f>'[1]February - 2023'!EA11</f>
        <v>5160.1000000000004</v>
      </c>
      <c r="DY12" s="194">
        <f>'[1]February - 2023'!EB11</f>
        <v>6</v>
      </c>
      <c r="DZ12" s="87">
        <f>'[1]February - 2023'!EC11</f>
        <v>5754.6</v>
      </c>
      <c r="EA12" s="194">
        <f>'[1]February - 2023'!ED11</f>
        <v>7.6000000000003638</v>
      </c>
      <c r="EB12" s="87">
        <f>'[1]February - 2023'!EE11</f>
        <v>1158279</v>
      </c>
      <c r="EC12" s="194">
        <f>'[1]February - 2023'!EF11</f>
        <v>579</v>
      </c>
      <c r="ED12" s="87">
        <f>'[1]February - 2023'!EI11</f>
        <v>239624</v>
      </c>
      <c r="EE12" s="207">
        <f>'[1]February - 2023'!EJ11</f>
        <v>154.70000000001164</v>
      </c>
      <c r="EF12" s="548"/>
      <c r="EG12" s="213">
        <f>'[1]February - 2023'!EL11</f>
        <v>12296100</v>
      </c>
      <c r="EH12" s="208">
        <f>'[1]February - 2023'!EM11</f>
        <v>3600</v>
      </c>
      <c r="EI12" s="86">
        <f>'[1]February - 2023'!EN11</f>
        <v>946780</v>
      </c>
      <c r="EJ12" s="208">
        <f>'[1]February - 2023'!EO11</f>
        <v>280</v>
      </c>
      <c r="EK12" s="86">
        <f>'[1]February - 2023'!EP11</f>
        <v>7298700</v>
      </c>
      <c r="EL12" s="208">
        <f>'[1]February - 2023'!EQ11</f>
        <v>1100</v>
      </c>
      <c r="EM12" s="86">
        <f>'[1]February - 2023'!ER11</f>
        <v>2511900</v>
      </c>
      <c r="EN12" s="208">
        <f>'[1]February - 2023'!ES11</f>
        <v>500</v>
      </c>
      <c r="EO12" s="86">
        <f>'[1]February - 2023'!ET11</f>
        <v>1308840</v>
      </c>
      <c r="EP12" s="208">
        <f>'[1]February - 2023'!EU11</f>
        <v>690</v>
      </c>
      <c r="EQ12" s="86">
        <f>'[1]February - 2023'!EV11</f>
        <v>16740400</v>
      </c>
      <c r="ER12" s="208">
        <f>'[1]February - 2023'!EW11</f>
        <v>4900</v>
      </c>
      <c r="ES12" s="523"/>
      <c r="ET12" s="253">
        <f>'[1]February - 2023'!EY11</f>
        <v>43011</v>
      </c>
      <c r="EU12" s="266">
        <f>'[1]February - 2023'!EZ11</f>
        <v>16</v>
      </c>
      <c r="EV12" s="254">
        <f>'[1]February - 2023'!FA11</f>
        <v>37504</v>
      </c>
      <c r="EW12" s="266">
        <f>'[1]February - 2023'!FB11</f>
        <v>11</v>
      </c>
      <c r="EX12" s="254">
        <f>'[1]February - 2023'!FC11</f>
        <v>8098</v>
      </c>
      <c r="EY12" s="266">
        <f>'[1]February - 2023'!FD11</f>
        <v>13</v>
      </c>
      <c r="EZ12" s="254">
        <f>'[1]February - 2023'!FE11</f>
        <v>60081</v>
      </c>
      <c r="FA12" s="266">
        <f>'[1]February - 2023'!FF11</f>
        <v>15</v>
      </c>
      <c r="FB12" s="254">
        <f>'[1]February - 2023'!FG11</f>
        <v>51478</v>
      </c>
      <c r="FC12" s="264">
        <f>'[1]February - 2023'!FH11</f>
        <v>35</v>
      </c>
    </row>
    <row r="13" spans="1:159" ht="30" customHeight="1" x14ac:dyDescent="0.25">
      <c r="A13" s="186">
        <v>44961</v>
      </c>
      <c r="B13" s="188">
        <f>'[1]February - 2023'!B12</f>
        <v>0.76</v>
      </c>
      <c r="C13" s="228">
        <f>'[1]February - 2023'!E12</f>
        <v>245300</v>
      </c>
      <c r="D13" s="151">
        <f>'[1]February - 2023'!F13</f>
        <v>533</v>
      </c>
      <c r="E13" s="150">
        <f>'[1]February - 2023'!G12</f>
        <v>534</v>
      </c>
      <c r="F13" s="150">
        <f>'[1]February - 2023'!H12</f>
        <v>267089</v>
      </c>
      <c r="G13" s="151">
        <f>'[1]February - 2023'!I13</f>
        <v>425</v>
      </c>
      <c r="H13" s="150">
        <f>'[1]February - 2023'!J12</f>
        <v>115539</v>
      </c>
      <c r="I13" s="239">
        <f>'[1]February - 2023'!K12</f>
        <v>16416</v>
      </c>
      <c r="J13" s="151">
        <f>'[1]February - 2023'!L12</f>
        <v>208</v>
      </c>
      <c r="K13" s="239">
        <f>'[1]February - 2023'!N12</f>
        <v>930563</v>
      </c>
      <c r="L13" s="151">
        <f>'[1]February - 2023'!O12</f>
        <v>120</v>
      </c>
      <c r="M13" s="239">
        <f>'[1]February - 2023'!Q12</f>
        <v>245900</v>
      </c>
      <c r="N13" s="151">
        <f>'[1]February - 2023'!R12</f>
        <v>16</v>
      </c>
      <c r="O13" s="239">
        <f>'[1]February - 2023'!U12</f>
        <v>120562</v>
      </c>
      <c r="P13" s="151">
        <f>'[1]February - 2023'!V12</f>
        <v>70</v>
      </c>
      <c r="Q13" s="150">
        <f>'[1]February - 2023'!W12</f>
        <v>40</v>
      </c>
      <c r="R13" s="239">
        <f>'[1]February - 2023'!X12</f>
        <v>6750</v>
      </c>
      <c r="S13" s="187">
        <f>'[1]February - 2023'!Y12</f>
        <v>5</v>
      </c>
      <c r="T13" s="444"/>
      <c r="U13" s="244">
        <f>'[1]February - 2023'!AE12</f>
        <v>8286297.5999999996</v>
      </c>
      <c r="V13" s="265">
        <f>'[1]February - 2023'!AF12</f>
        <v>1948.7999999998137</v>
      </c>
      <c r="W13" s="88">
        <f>'[1]February - 2023'!AG12</f>
        <v>3312.9599999999627</v>
      </c>
      <c r="X13" s="261">
        <f>'[1]February - 2023'!AH12</f>
        <v>15736316.4</v>
      </c>
      <c r="Y13" s="265">
        <f>'[1]February - 2023'!AI12</f>
        <v>4677.1199999991804</v>
      </c>
      <c r="Z13" s="88">
        <f>'[1]February - 2023'!AJ12</f>
        <v>4725.8400000017136</v>
      </c>
      <c r="AA13" s="261">
        <f>'[1]February - 2023'!AK12</f>
        <v>15922572.959999999</v>
      </c>
      <c r="AB13" s="265">
        <f>'[1]February - 2023'!AL12</f>
        <v>0</v>
      </c>
      <c r="AC13" s="88">
        <f>'[1]February - 2023'!AM12</f>
        <v>0</v>
      </c>
      <c r="AD13" s="261">
        <f>'[1]February - 2023'!AN12</f>
        <v>19063648.800000001</v>
      </c>
      <c r="AE13" s="265">
        <f>'[1]February - 2023'!AO12</f>
        <v>8087.519999999553</v>
      </c>
      <c r="AF13" s="88">
        <f>'[1]February - 2023'!AP12</f>
        <v>146.16000000014901</v>
      </c>
      <c r="AG13" s="261">
        <f>'[1]February - 2023'!AQ12</f>
        <v>19334239.68</v>
      </c>
      <c r="AH13" s="265">
        <f>'[1]February - 2023'!AR12</f>
        <v>535.91999999806285</v>
      </c>
      <c r="AI13" s="88">
        <f>'[1]February - 2023'!AS12</f>
        <v>7990.0800000019372</v>
      </c>
      <c r="AJ13" s="261">
        <f>'[1]February - 2023'!AT12</f>
        <v>17872444.800000001</v>
      </c>
      <c r="AK13" s="265">
        <f>'[1]February - 2023'!AU12</f>
        <v>5115.6000000014901</v>
      </c>
      <c r="AL13" s="88">
        <f>'[1]February - 2023'!AV12</f>
        <v>5700.2400000002235</v>
      </c>
      <c r="AM13" s="261">
        <f>'[1]February - 2023'!AW12</f>
        <v>15024858.24</v>
      </c>
      <c r="AN13" s="265">
        <f>'[1]February - 2023'!AX12</f>
        <v>3800.160000000149</v>
      </c>
      <c r="AO13" s="88">
        <f>'[1]February - 2023'!AY12</f>
        <v>3946.320000000298</v>
      </c>
      <c r="AP13" s="261">
        <f>'[1]February - 2023'!AZ12</f>
        <v>14569472.4</v>
      </c>
      <c r="AQ13" s="265">
        <f>'[1]February - 2023'!BA12</f>
        <v>4530.9600000008941</v>
      </c>
      <c r="AR13" s="88">
        <f>'[1]February - 2023'!BB12</f>
        <v>4092.480000000447</v>
      </c>
      <c r="AS13" s="261">
        <f>'[1]February - 2023'!BC12</f>
        <v>11353513.92</v>
      </c>
      <c r="AT13" s="265">
        <f>'[1]February - 2023'!BD12</f>
        <v>2971.9199999999255</v>
      </c>
      <c r="AU13" s="88">
        <f>'[1]February - 2023'!BE12</f>
        <v>3215.5200000014156</v>
      </c>
      <c r="AV13" s="261">
        <f>'[1]February - 2023'!BF12</f>
        <v>18025230.719999999</v>
      </c>
      <c r="AW13" s="229">
        <f>'[1]February - 2023'!BG12</f>
        <v>5748.9599999971688</v>
      </c>
      <c r="AX13" s="230">
        <f>'[1]February - 2023'!BH12</f>
        <v>5407.9199999999255</v>
      </c>
      <c r="AY13" s="461"/>
      <c r="AZ13" s="247">
        <f>'[1]February - 2023'!BM12</f>
        <v>78651900</v>
      </c>
      <c r="BA13" s="160">
        <f>'[1]February - 2023'!BN12</f>
        <v>0</v>
      </c>
      <c r="BB13" s="89">
        <f>'[1]February - 2023'!BO13</f>
        <v>0</v>
      </c>
      <c r="BC13" s="247">
        <f>'[1]February - 2023'!BP12</f>
        <v>81579600</v>
      </c>
      <c r="BD13" s="223">
        <f>'[1]February - 2023'!BQ12</f>
        <v>32600</v>
      </c>
      <c r="BE13" s="89">
        <f>'[1]February - 2023'!BR12</f>
        <v>0</v>
      </c>
      <c r="BF13" s="247">
        <f>'[1]February - 2023'!BS12</f>
        <v>75558200</v>
      </c>
      <c r="BG13" s="223">
        <f>'[1]February - 2023'!BT12</f>
        <v>3000</v>
      </c>
      <c r="BH13" s="89">
        <f>'[1]February - 2023'!BU12</f>
        <v>38700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48">
        <f>'[1]February - 2023'!BV12</f>
        <v>10614070</v>
      </c>
      <c r="BT13" s="165">
        <f>'[1]February - 2023'!BW12</f>
        <v>6390</v>
      </c>
      <c r="BU13" s="557"/>
      <c r="BV13" s="84">
        <f>'[1]February - 2023'!BY12</f>
        <v>0.59</v>
      </c>
      <c r="BW13" s="219">
        <f>'[1]February - 2023'!BZ12</f>
        <v>7.0000000000000062E-2</v>
      </c>
      <c r="BX13" s="84">
        <f>'[1]February - 2023'!CA12</f>
        <v>6.0000000000000053E-2</v>
      </c>
      <c r="BY13" s="85">
        <f>'[1]February - 2023'!CB12</f>
        <v>65399</v>
      </c>
      <c r="BZ13" s="171">
        <f>'[1]February - 2023'!CC12</f>
        <v>15</v>
      </c>
      <c r="CA13" s="85">
        <f>'[1]February - 2023'!CD12</f>
        <v>56535</v>
      </c>
      <c r="CB13" s="171">
        <f>'[1]February - 2023'!CE12</f>
        <v>20</v>
      </c>
      <c r="CC13" s="85">
        <f>'[1]February - 2023'!CF12</f>
        <v>19088</v>
      </c>
      <c r="CD13" s="171">
        <f>'[1]February - 2023'!CG12</f>
        <v>7</v>
      </c>
      <c r="CE13" s="85">
        <f>'[1]February - 2023'!CH12</f>
        <v>26152</v>
      </c>
      <c r="CF13" s="171">
        <f>'[1]February - 2023'!CI12</f>
        <v>10</v>
      </c>
      <c r="CG13" s="85">
        <f>'[1]February - 2023'!CJ12</f>
        <v>29319</v>
      </c>
      <c r="CH13" s="171">
        <f>'[1]February - 2023'!CK12</f>
        <v>16</v>
      </c>
      <c r="CI13" s="85">
        <f>'[1]February - 2023'!CL12</f>
        <v>64507</v>
      </c>
      <c r="CJ13" s="171">
        <f>'[1]February - 2023'!CM12</f>
        <v>36</v>
      </c>
      <c r="CK13" s="85">
        <f>'[1]February - 2023'!CN12</f>
        <v>272347</v>
      </c>
      <c r="CL13" s="224">
        <f>'[1]February - 2023'!CO12</f>
        <v>73</v>
      </c>
      <c r="CM13" s="85">
        <f>'[1]February - 2023'!CP12</f>
        <v>107</v>
      </c>
      <c r="CN13" s="85">
        <f>'[1]February - 2023'!CQ12</f>
        <v>221570</v>
      </c>
      <c r="CO13" s="224">
        <f>'[1]February - 2023'!CR12</f>
        <v>126</v>
      </c>
      <c r="CP13" s="85">
        <f>'[1]February - 2023'!CV12</f>
        <v>255</v>
      </c>
      <c r="CQ13" s="85">
        <f>'[1]February - 2023'!CT12</f>
        <v>370549</v>
      </c>
      <c r="CR13" s="224">
        <f>'[1]February - 2023'!CU12</f>
        <v>262</v>
      </c>
      <c r="CS13" s="85">
        <f>'[1]February - 2023'!CV12</f>
        <v>255</v>
      </c>
      <c r="CT13" s="85">
        <f>'[1]February - 2023'!CW12</f>
        <v>704512</v>
      </c>
      <c r="CU13" s="171">
        <f>'[1]February - 2023'!CX12</f>
        <v>172</v>
      </c>
      <c r="CV13" s="485"/>
      <c r="CW13" s="259">
        <f>'[1]February - 2023'!CZ12</f>
        <v>9345</v>
      </c>
      <c r="CX13" s="262">
        <f>'[1]February - 2023'!DA12</f>
        <v>7</v>
      </c>
      <c r="CY13" s="260">
        <f>'[1]February - 2023'!DB12</f>
        <v>6329</v>
      </c>
      <c r="CZ13" s="262">
        <f>'[1]February - 2023'!DC12</f>
        <v>5</v>
      </c>
      <c r="DA13" s="260">
        <f>'[1]February - 2023'!DD12</f>
        <v>33041</v>
      </c>
      <c r="DB13" s="262">
        <f>'[1]February - 2023'!DE12</f>
        <v>15</v>
      </c>
      <c r="DC13" s="260">
        <f>'[1]February - 2023'!DF12</f>
        <v>33185</v>
      </c>
      <c r="DD13" s="262">
        <f>'[1]February - 2023'!DG12</f>
        <v>15</v>
      </c>
      <c r="DE13" s="260">
        <f>'[1]February - 2023'!DH12</f>
        <v>22443</v>
      </c>
      <c r="DF13" s="262">
        <f>'[1]February - 2023'!DI12</f>
        <v>8</v>
      </c>
      <c r="DG13" s="260">
        <f>'[1]February - 2023'!DJ12</f>
        <v>24371</v>
      </c>
      <c r="DH13" s="262">
        <f>'[1]February - 2023'!DK12</f>
        <v>5</v>
      </c>
      <c r="DI13" s="260">
        <f>'[1]February - 2023'!DL12</f>
        <v>7726</v>
      </c>
      <c r="DJ13" s="262">
        <f>'[1]February - 2023'!DM12</f>
        <v>12</v>
      </c>
      <c r="DK13" s="260">
        <f>'[1]February - 2023'!DN12</f>
        <v>10232</v>
      </c>
      <c r="DL13" s="262">
        <f>'[1]February - 2023'!DO12</f>
        <v>11</v>
      </c>
      <c r="DM13" s="260">
        <f>'[1]February - 2023'!DP12</f>
        <v>3532</v>
      </c>
      <c r="DN13" s="262">
        <f>'[1]February - 2023'!DQ12</f>
        <v>6</v>
      </c>
      <c r="DO13" s="260">
        <f>'[1]February - 2023'!DR12</f>
        <v>6920</v>
      </c>
      <c r="DP13" s="262">
        <f>'[1]February - 2023'!DS12</f>
        <v>9</v>
      </c>
      <c r="DQ13" s="260">
        <f>'[1]February - 2023'!DT12</f>
        <v>30514</v>
      </c>
      <c r="DR13" s="263">
        <f>'[1]February - 2023'!DU12</f>
        <v>0</v>
      </c>
      <c r="DS13" s="501"/>
      <c r="DT13" s="189">
        <f>'[1]February - 2023'!DW12</f>
        <v>6960.4</v>
      </c>
      <c r="DU13" s="200">
        <f>'[1]February - 2023'!DX12</f>
        <v>11.799999999999272</v>
      </c>
      <c r="DV13" s="87">
        <f>'[1]February - 2023'!DY12</f>
        <v>11727.2</v>
      </c>
      <c r="DW13" s="194">
        <f>'[1]February - 2023'!DZ12</f>
        <v>7.8000000000010914</v>
      </c>
      <c r="DX13" s="87">
        <f>'[1]February - 2023'!EA12</f>
        <v>5166.2</v>
      </c>
      <c r="DY13" s="194">
        <f>'[1]February - 2023'!EB12</f>
        <v>6.0999999999994543</v>
      </c>
      <c r="DZ13" s="87">
        <f>'[1]February - 2023'!EC12</f>
        <v>5762.5</v>
      </c>
      <c r="EA13" s="194">
        <f>'[1]February - 2023'!ED12</f>
        <v>7.8999999999996362</v>
      </c>
      <c r="EB13" s="87">
        <f>'[1]February - 2023'!EE12</f>
        <v>1158881</v>
      </c>
      <c r="EC13" s="194">
        <f>'[1]February - 2023'!EF12</f>
        <v>602</v>
      </c>
      <c r="ED13" s="87">
        <f>'[1]February - 2023'!EI12</f>
        <v>239779.7</v>
      </c>
      <c r="EE13" s="207">
        <f>'[1]February - 2023'!EJ12</f>
        <v>155.70000000001164</v>
      </c>
      <c r="EF13" s="548"/>
      <c r="EG13" s="213">
        <f>'[1]February - 2023'!EL12</f>
        <v>12298700</v>
      </c>
      <c r="EH13" s="208">
        <f>'[1]February - 2023'!EM12</f>
        <v>2600</v>
      </c>
      <c r="EI13" s="86">
        <f>'[1]February - 2023'!EN12</f>
        <v>947000</v>
      </c>
      <c r="EJ13" s="208">
        <f>'[1]February - 2023'!EO12</f>
        <v>220</v>
      </c>
      <c r="EK13" s="86">
        <f>'[1]February - 2023'!EP12</f>
        <v>7299500</v>
      </c>
      <c r="EL13" s="208">
        <f>'[1]February - 2023'!EQ12</f>
        <v>800</v>
      </c>
      <c r="EM13" s="86">
        <f>'[1]February - 2023'!ER12</f>
        <v>2512300</v>
      </c>
      <c r="EN13" s="208">
        <f>'[1]February - 2023'!ES12</f>
        <v>400</v>
      </c>
      <c r="EO13" s="86">
        <f>'[1]February - 2023'!ET12</f>
        <v>1309460</v>
      </c>
      <c r="EP13" s="208">
        <f>'[1]February - 2023'!EU12</f>
        <v>620</v>
      </c>
      <c r="EQ13" s="86">
        <f>'[1]February - 2023'!EV12</f>
        <v>16741100</v>
      </c>
      <c r="ER13" s="208">
        <f>'[1]February - 2023'!EW12</f>
        <v>700</v>
      </c>
      <c r="ES13" s="523"/>
      <c r="ET13" s="253">
        <f>'[1]February - 2023'!EY12</f>
        <v>43028</v>
      </c>
      <c r="EU13" s="266">
        <f>'[1]February - 2023'!EZ12</f>
        <v>17</v>
      </c>
      <c r="EV13" s="254">
        <f>'[1]February - 2023'!FA12</f>
        <v>37516</v>
      </c>
      <c r="EW13" s="266">
        <f>'[1]February - 2023'!FB12</f>
        <v>12</v>
      </c>
      <c r="EX13" s="254">
        <f>'[1]February - 2023'!FC12</f>
        <v>8110</v>
      </c>
      <c r="EY13" s="266">
        <f>'[1]February - 2023'!FD12</f>
        <v>12</v>
      </c>
      <c r="EZ13" s="254">
        <f>'[1]February - 2023'!FE12</f>
        <v>60095</v>
      </c>
      <c r="FA13" s="266">
        <f>'[1]February - 2023'!FF12</f>
        <v>14</v>
      </c>
      <c r="FB13" s="254">
        <f>'[1]February - 2023'!FG12</f>
        <v>51516</v>
      </c>
      <c r="FC13" s="264">
        <f>'[1]February - 2023'!FH12</f>
        <v>38</v>
      </c>
    </row>
    <row r="14" spans="1:159" ht="30" customHeight="1" x14ac:dyDescent="0.25">
      <c r="A14" s="186">
        <v>44962</v>
      </c>
      <c r="B14" s="188">
        <f>'[1]February - 2023'!B13</f>
        <v>0.69</v>
      </c>
      <c r="C14" s="228">
        <f>'[1]February - 2023'!E13</f>
        <v>245833</v>
      </c>
      <c r="D14" s="151">
        <f>'[1]February - 2023'!F14</f>
        <v>-245833</v>
      </c>
      <c r="E14" s="150">
        <f>'[1]February - 2023'!G13</f>
        <v>606</v>
      </c>
      <c r="F14" s="150">
        <f>'[1]February - 2023'!H13</f>
        <v>267514</v>
      </c>
      <c r="G14" s="151">
        <f>'[1]February - 2023'!I14</f>
        <v>-267514</v>
      </c>
      <c r="H14" s="150">
        <f>'[1]February - 2023'!J13</f>
        <v>116003</v>
      </c>
      <c r="I14" s="239">
        <f>'[1]February - 2023'!K13</f>
        <v>16641</v>
      </c>
      <c r="J14" s="151">
        <f>'[1]February - 2023'!L13</f>
        <v>225</v>
      </c>
      <c r="K14" s="239">
        <f>'[1]February - 2023'!N13</f>
        <v>930787</v>
      </c>
      <c r="L14" s="151">
        <f>'[1]February - 2023'!O13</f>
        <v>224</v>
      </c>
      <c r="M14" s="239">
        <f>'[1]February - 2023'!Q13</f>
        <v>245905</v>
      </c>
      <c r="N14" s="151">
        <f>'[1]February - 2023'!R13</f>
        <v>5</v>
      </c>
      <c r="O14" s="239">
        <f>'[1]February - 2023'!U13</f>
        <v>120633</v>
      </c>
      <c r="P14" s="151">
        <f>'[1]February - 2023'!V13</f>
        <v>71</v>
      </c>
      <c r="Q14" s="150">
        <f>'[1]February - 2023'!W13</f>
        <v>88</v>
      </c>
      <c r="R14" s="239">
        <f>'[1]February - 2023'!X13</f>
        <v>6760</v>
      </c>
      <c r="S14" s="187">
        <f>'[1]February - 2023'!Y13</f>
        <v>10</v>
      </c>
      <c r="T14" s="444"/>
      <c r="U14" s="244">
        <f>'[1]February - 2023'!AE13</f>
        <v>8288295.1199999992</v>
      </c>
      <c r="V14" s="265">
        <f>'[1]February - 2023'!AF13</f>
        <v>1997.519999999553</v>
      </c>
      <c r="W14" s="88">
        <f>'[1]February - 2023'!AG13</f>
        <v>2241.1200000001118</v>
      </c>
      <c r="X14" s="261">
        <f>'[1]February - 2023'!AH13</f>
        <v>15741090.959999999</v>
      </c>
      <c r="Y14" s="265">
        <f>'[1]February - 2023'!AI13</f>
        <v>4774.5599999986589</v>
      </c>
      <c r="Z14" s="88">
        <f>'[1]February - 2023'!AJ13</f>
        <v>5066.8800000008196</v>
      </c>
      <c r="AA14" s="261">
        <f>'[1]February - 2023'!AK13</f>
        <v>15923596.08</v>
      </c>
      <c r="AB14" s="265">
        <f>'[1]February - 2023'!AL13</f>
        <v>1023.1200000010431</v>
      </c>
      <c r="AC14" s="88">
        <f>'[1]February - 2023'!AM13</f>
        <v>0</v>
      </c>
      <c r="AD14" s="261">
        <f>'[1]February - 2023'!AN13</f>
        <v>19071200.399999999</v>
      </c>
      <c r="AE14" s="265">
        <f>'[1]February - 2023'!AO13</f>
        <v>7551.5999999977648</v>
      </c>
      <c r="AF14" s="88">
        <f>'[1]February - 2023'!AP13</f>
        <v>9744</v>
      </c>
      <c r="AG14" s="261">
        <f>'[1]February - 2023'!AQ13</f>
        <v>19334288.399999999</v>
      </c>
      <c r="AH14" s="265">
        <f>'[1]February - 2023'!AR13</f>
        <v>48.719999998807907</v>
      </c>
      <c r="AI14" s="88">
        <f>'[1]February - 2023'!AS13</f>
        <v>1656.480000000447</v>
      </c>
      <c r="AJ14" s="261">
        <f>'[1]February - 2023'!AT13</f>
        <v>17878583.52</v>
      </c>
      <c r="AK14" s="265">
        <f>'[1]February - 2023'!AU13</f>
        <v>6138.7199999988079</v>
      </c>
      <c r="AL14" s="88">
        <f>'[1]February - 2023'!AV13</f>
        <v>5992.5599999986589</v>
      </c>
      <c r="AM14" s="261">
        <f>'[1]February - 2023'!AW13</f>
        <v>15028560.959999999</v>
      </c>
      <c r="AN14" s="265">
        <f>'[1]February - 2023'!AX13</f>
        <v>3702.7199999988079</v>
      </c>
      <c r="AO14" s="88">
        <f>'[1]February - 2023'!AY13</f>
        <v>4384.7999999988824</v>
      </c>
      <c r="AP14" s="261">
        <f>'[1]February - 2023'!AZ13</f>
        <v>14573759.76</v>
      </c>
      <c r="AQ14" s="265">
        <f>'[1]February - 2023'!BA13</f>
        <v>4287.359999999404</v>
      </c>
      <c r="AR14" s="88">
        <f>'[1]February - 2023'!BB13</f>
        <v>4482.2400000002235</v>
      </c>
      <c r="AS14" s="261">
        <f>'[1]February - 2023'!BC13</f>
        <v>11356583.280000001</v>
      </c>
      <c r="AT14" s="265">
        <f>'[1]February - 2023'!BD13</f>
        <v>3069.3600000012666</v>
      </c>
      <c r="AU14" s="88">
        <f>'[1]February - 2023'!BE13</f>
        <v>4043.7599999997765</v>
      </c>
      <c r="AV14" s="261">
        <f>'[1]February - 2023'!BF13</f>
        <v>18030833.52</v>
      </c>
      <c r="AW14" s="229">
        <f>'[1]February - 2023'!BG13</f>
        <v>5602.8000000007451</v>
      </c>
      <c r="AX14" s="230">
        <f>'[1]February - 2023'!BH13</f>
        <v>6090</v>
      </c>
      <c r="AY14" s="461"/>
      <c r="AZ14" s="247">
        <f>'[1]February - 2023'!BM13</f>
        <v>78656200</v>
      </c>
      <c r="BA14" s="160">
        <f>'[1]February - 2023'!BN13</f>
        <v>4300</v>
      </c>
      <c r="BB14" s="89">
        <f>'[1]February - 2023'!BO14</f>
        <v>0</v>
      </c>
      <c r="BC14" s="247">
        <f>'[1]February - 2023'!BP13</f>
        <v>81612700</v>
      </c>
      <c r="BD14" s="223">
        <f>'[1]February - 2023'!BQ13</f>
        <v>33100</v>
      </c>
      <c r="BE14" s="89">
        <f>'[1]February - 2023'!BR13</f>
        <v>40000</v>
      </c>
      <c r="BF14" s="247">
        <f>'[1]February - 2023'!BS13</f>
        <v>75558200</v>
      </c>
      <c r="BG14" s="223">
        <f>'[1]February - 2023'!BT13</f>
        <v>0</v>
      </c>
      <c r="BH14" s="89">
        <f>'[1]February - 2023'!BU13</f>
        <v>2800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48">
        <f>'[1]February - 2023'!BV13</f>
        <v>10620300</v>
      </c>
      <c r="BT14" s="165">
        <f>'[1]February - 2023'!BW13</f>
        <v>6230</v>
      </c>
      <c r="BU14" s="557"/>
      <c r="BV14" s="84">
        <f>'[1]February - 2023'!BY13</f>
        <v>0.5</v>
      </c>
      <c r="BW14" s="219">
        <f>'[1]February - 2023'!BZ13</f>
        <v>8.9999999999999969E-2</v>
      </c>
      <c r="BX14" s="84">
        <f>'[1]February - 2023'!CA13</f>
        <v>-0.15000000000000002</v>
      </c>
      <c r="BY14" s="85">
        <f>'[1]February - 2023'!CB13</f>
        <v>65415</v>
      </c>
      <c r="BZ14" s="171">
        <f>'[1]February - 2023'!CC13</f>
        <v>16</v>
      </c>
      <c r="CA14" s="85">
        <f>'[1]February - 2023'!CD13</f>
        <v>56557</v>
      </c>
      <c r="CB14" s="171">
        <f>'[1]February - 2023'!CE13</f>
        <v>22</v>
      </c>
      <c r="CC14" s="85">
        <f>'[1]February - 2023'!CF13</f>
        <v>19094</v>
      </c>
      <c r="CD14" s="171">
        <f>'[1]February - 2023'!CG13</f>
        <v>6</v>
      </c>
      <c r="CE14" s="85">
        <f>'[1]February - 2023'!CH13</f>
        <v>26161</v>
      </c>
      <c r="CF14" s="171">
        <f>'[1]February - 2023'!CI13</f>
        <v>9</v>
      </c>
      <c r="CG14" s="85">
        <f>'[1]February - 2023'!CJ13</f>
        <v>29334</v>
      </c>
      <c r="CH14" s="171">
        <f>'[1]February - 2023'!CK13</f>
        <v>15</v>
      </c>
      <c r="CI14" s="85">
        <f>'[1]February - 2023'!CL13</f>
        <v>64541</v>
      </c>
      <c r="CJ14" s="171">
        <f>'[1]February - 2023'!CM13</f>
        <v>34</v>
      </c>
      <c r="CK14" s="85">
        <f>'[1]February - 2023'!CN13</f>
        <v>272422</v>
      </c>
      <c r="CL14" s="224">
        <f>'[1]February - 2023'!CO13</f>
        <v>75</v>
      </c>
      <c r="CM14" s="85">
        <f>'[1]February - 2023'!CP13</f>
        <v>113</v>
      </c>
      <c r="CN14" s="85">
        <f>'[1]February - 2023'!CQ13</f>
        <v>221695</v>
      </c>
      <c r="CO14" s="224">
        <f>'[1]February - 2023'!CR13</f>
        <v>125</v>
      </c>
      <c r="CP14" s="85">
        <f>'[1]February - 2023'!CV13</f>
        <v>310</v>
      </c>
      <c r="CQ14" s="85">
        <f>'[1]February - 2023'!CT13</f>
        <v>370812</v>
      </c>
      <c r="CR14" s="224">
        <f>'[1]February - 2023'!CU13</f>
        <v>263</v>
      </c>
      <c r="CS14" s="85">
        <f>'[1]February - 2023'!CV13</f>
        <v>310</v>
      </c>
      <c r="CT14" s="85">
        <f>'[1]February - 2023'!CW13</f>
        <v>704686</v>
      </c>
      <c r="CU14" s="171">
        <f>'[1]February - 2023'!CX13</f>
        <v>174</v>
      </c>
      <c r="CV14" s="485"/>
      <c r="CW14" s="259">
        <f>'[1]February - 2023'!CZ13</f>
        <v>9352</v>
      </c>
      <c r="CX14" s="262">
        <f>'[1]February - 2023'!DA13</f>
        <v>7</v>
      </c>
      <c r="CY14" s="260">
        <f>'[1]February - 2023'!DB13</f>
        <v>6333</v>
      </c>
      <c r="CZ14" s="262">
        <f>'[1]February - 2023'!DC13</f>
        <v>4</v>
      </c>
      <c r="DA14" s="260">
        <f>'[1]February - 2023'!DD13</f>
        <v>33057</v>
      </c>
      <c r="DB14" s="262">
        <f>'[1]February - 2023'!DE13</f>
        <v>16</v>
      </c>
      <c r="DC14" s="260">
        <f>'[1]February - 2023'!DF13</f>
        <v>33201</v>
      </c>
      <c r="DD14" s="262">
        <f>'[1]February - 2023'!DG13</f>
        <v>16</v>
      </c>
      <c r="DE14" s="260">
        <f>'[1]February - 2023'!DH13</f>
        <v>22452</v>
      </c>
      <c r="DF14" s="262">
        <f>'[1]February - 2023'!DI13</f>
        <v>9</v>
      </c>
      <c r="DG14" s="260">
        <f>'[1]February - 2023'!DJ13</f>
        <v>24375</v>
      </c>
      <c r="DH14" s="262">
        <f>'[1]February - 2023'!DK13</f>
        <v>4</v>
      </c>
      <c r="DI14" s="260">
        <f>'[1]February - 2023'!DL13</f>
        <v>7738</v>
      </c>
      <c r="DJ14" s="262">
        <f>'[1]February - 2023'!DM13</f>
        <v>12</v>
      </c>
      <c r="DK14" s="260">
        <f>'[1]February - 2023'!DN13</f>
        <v>10241</v>
      </c>
      <c r="DL14" s="262">
        <f>'[1]February - 2023'!DO13</f>
        <v>9</v>
      </c>
      <c r="DM14" s="260">
        <f>'[1]February - 2023'!DP13</f>
        <v>3535</v>
      </c>
      <c r="DN14" s="262">
        <f>'[1]February - 2023'!DQ13</f>
        <v>3</v>
      </c>
      <c r="DO14" s="260">
        <f>'[1]February - 2023'!DR13</f>
        <v>6927</v>
      </c>
      <c r="DP14" s="262">
        <f>'[1]February - 2023'!DS13</f>
        <v>7</v>
      </c>
      <c r="DQ14" s="260">
        <f>'[1]February - 2023'!DT13</f>
        <v>30518</v>
      </c>
      <c r="DR14" s="263">
        <f>'[1]February - 2023'!DU13</f>
        <v>4</v>
      </c>
      <c r="DS14" s="501"/>
      <c r="DT14" s="189">
        <f>'[1]February - 2023'!DW13</f>
        <v>6971.2</v>
      </c>
      <c r="DU14" s="200">
        <f>'[1]February - 2023'!DX13</f>
        <v>10.800000000000182</v>
      </c>
      <c r="DV14" s="87">
        <f>'[1]February - 2023'!DY13</f>
        <v>11735.1</v>
      </c>
      <c r="DW14" s="194">
        <f>'[1]February - 2023'!DZ13</f>
        <v>7.8999999999996362</v>
      </c>
      <c r="DX14" s="87">
        <f>'[1]February - 2023'!EA13</f>
        <v>5172</v>
      </c>
      <c r="DY14" s="194">
        <f>'[1]February - 2023'!EB13</f>
        <v>5.8000000000001819</v>
      </c>
      <c r="DZ14" s="87">
        <f>'[1]February - 2023'!EC13</f>
        <v>5770</v>
      </c>
      <c r="EA14" s="194">
        <f>'[1]February - 2023'!ED13</f>
        <v>7.5</v>
      </c>
      <c r="EB14" s="87">
        <f>'[1]February - 2023'!EE13</f>
        <v>1159411</v>
      </c>
      <c r="EC14" s="194">
        <f>'[1]February - 2023'!EF13</f>
        <v>530</v>
      </c>
      <c r="ED14" s="87">
        <f>'[1]February - 2023'!EI13</f>
        <v>239930.4</v>
      </c>
      <c r="EE14" s="207">
        <f>'[1]February - 2023'!EJ13</f>
        <v>150.69999999998254</v>
      </c>
      <c r="EF14" s="548"/>
      <c r="EG14" s="213">
        <f>'[1]February - 2023'!EL13</f>
        <v>12301300</v>
      </c>
      <c r="EH14" s="208">
        <f>'[1]February - 2023'!EM13</f>
        <v>2600</v>
      </c>
      <c r="EI14" s="86">
        <f>'[1]February - 2023'!EN13</f>
        <v>947250</v>
      </c>
      <c r="EJ14" s="208">
        <f>'[1]February - 2023'!EO13</f>
        <v>250</v>
      </c>
      <c r="EK14" s="86">
        <f>'[1]February - 2023'!EP13</f>
        <v>7300300</v>
      </c>
      <c r="EL14" s="208">
        <f>'[1]February - 2023'!EQ13</f>
        <v>800</v>
      </c>
      <c r="EM14" s="86">
        <f>'[1]February - 2023'!ER13</f>
        <v>2512800</v>
      </c>
      <c r="EN14" s="208">
        <f>'[1]February - 2023'!ES13</f>
        <v>500</v>
      </c>
      <c r="EO14" s="86">
        <f>'[1]February - 2023'!ET13</f>
        <v>1310100</v>
      </c>
      <c r="EP14" s="208">
        <f>'[1]February - 2023'!EU13</f>
        <v>640</v>
      </c>
      <c r="EQ14" s="86">
        <f>'[1]February - 2023'!EV13</f>
        <v>16742300</v>
      </c>
      <c r="ER14" s="208">
        <f>'[1]February - 2023'!EW13</f>
        <v>1200</v>
      </c>
      <c r="ES14" s="523"/>
      <c r="ET14" s="253">
        <f>'[1]February - 2023'!EY13</f>
        <v>43045</v>
      </c>
      <c r="EU14" s="266">
        <f>'[1]February - 2023'!EZ13</f>
        <v>17</v>
      </c>
      <c r="EV14" s="254">
        <f>'[1]February - 2023'!FA13</f>
        <v>37526</v>
      </c>
      <c r="EW14" s="266">
        <f>'[1]February - 2023'!FB13</f>
        <v>10</v>
      </c>
      <c r="EX14" s="254">
        <f>'[1]February - 2023'!FC13</f>
        <v>8120</v>
      </c>
      <c r="EY14" s="266">
        <f>'[1]February - 2023'!FD13</f>
        <v>10</v>
      </c>
      <c r="EZ14" s="254">
        <f>'[1]February - 2023'!FE13</f>
        <v>60107</v>
      </c>
      <c r="FA14" s="266">
        <f>'[1]February - 2023'!FF13</f>
        <v>12</v>
      </c>
      <c r="FB14" s="254">
        <f>'[1]February - 2023'!FG13</f>
        <v>51547</v>
      </c>
      <c r="FC14" s="264">
        <f>'[1]February - 2023'!FH13</f>
        <v>31</v>
      </c>
    </row>
    <row r="15" spans="1:159" ht="30" customHeight="1" x14ac:dyDescent="0.25">
      <c r="A15" s="186">
        <v>44963</v>
      </c>
      <c r="B15" s="188">
        <f>'[1]February - 2023'!B14</f>
        <v>0</v>
      </c>
      <c r="C15" s="228">
        <f>'[1]February - 2023'!E14</f>
        <v>0</v>
      </c>
      <c r="D15" s="151">
        <f>'[1]February - 2023'!F15</f>
        <v>0</v>
      </c>
      <c r="E15" s="150">
        <f>'[1]February - 2023'!G14</f>
        <v>492</v>
      </c>
      <c r="F15" s="150">
        <f>'[1]February - 2023'!H14</f>
        <v>0</v>
      </c>
      <c r="G15" s="151">
        <f>'[1]February - 2023'!I15</f>
        <v>0</v>
      </c>
      <c r="H15" s="150">
        <f>'[1]February - 2023'!J14</f>
        <v>116374</v>
      </c>
      <c r="I15" s="239">
        <f>'[1]February - 2023'!K14</f>
        <v>0</v>
      </c>
      <c r="J15" s="151">
        <f>'[1]February - 2023'!L14</f>
        <v>-16641</v>
      </c>
      <c r="K15" s="239">
        <f>'[1]February - 2023'!N14</f>
        <v>0</v>
      </c>
      <c r="L15" s="151">
        <f>'[1]February - 2023'!O14</f>
        <v>-930787</v>
      </c>
      <c r="M15" s="239">
        <f>'[1]February - 2023'!Q14</f>
        <v>0</v>
      </c>
      <c r="N15" s="151">
        <f>'[1]February - 2023'!R14</f>
        <v>-245905</v>
      </c>
      <c r="O15" s="239">
        <f>'[1]February - 2023'!U14</f>
        <v>0</v>
      </c>
      <c r="P15" s="151">
        <f>'[1]February - 2023'!V14</f>
        <v>-120633</v>
      </c>
      <c r="Q15" s="150">
        <f>'[1]February - 2023'!W14</f>
        <v>257.80000000004657</v>
      </c>
      <c r="R15" s="239">
        <f>'[1]February - 2023'!X14</f>
        <v>0</v>
      </c>
      <c r="S15" s="187">
        <f>'[1]February - 2023'!Y14</f>
        <v>-6760</v>
      </c>
      <c r="T15" s="444"/>
      <c r="U15" s="244">
        <f>'[1]February - 2023'!AE14</f>
        <v>0</v>
      </c>
      <c r="V15" s="265">
        <f>'[1]February - 2023'!AF14</f>
        <v>-8288295.1199999992</v>
      </c>
      <c r="W15" s="88">
        <f>'[1]February - 2023'!AG14</f>
        <v>2046.2400000002235</v>
      </c>
      <c r="X15" s="261">
        <f>'[1]February - 2023'!AH14</f>
        <v>0</v>
      </c>
      <c r="Y15" s="265">
        <f>'[1]February - 2023'!AI14</f>
        <v>-15741090.959999999</v>
      </c>
      <c r="Z15" s="88">
        <f>'[1]February - 2023'!AJ14</f>
        <v>4482.2400000002235</v>
      </c>
      <c r="AA15" s="261">
        <f>'[1]February - 2023'!AK14</f>
        <v>0</v>
      </c>
      <c r="AB15" s="265">
        <f>'[1]February - 2023'!AL14</f>
        <v>-15923596.08</v>
      </c>
      <c r="AC15" s="88">
        <f>'[1]February - 2023'!AM14</f>
        <v>0</v>
      </c>
      <c r="AD15" s="261">
        <f>'[1]February - 2023'!AN14</f>
        <v>0</v>
      </c>
      <c r="AE15" s="265">
        <f>'[1]February - 2023'!AO14</f>
        <v>-19071200.399999999</v>
      </c>
      <c r="AF15" s="88">
        <f>'[1]February - 2023'!AP14</f>
        <v>8379.839999999851</v>
      </c>
      <c r="AG15" s="261">
        <f>'[1]February - 2023'!AQ14</f>
        <v>0</v>
      </c>
      <c r="AH15" s="265">
        <f>'[1]February - 2023'!AR14</f>
        <v>-19334288.399999999</v>
      </c>
      <c r="AI15" s="88">
        <f>'[1]February - 2023'!AS14</f>
        <v>876.95999999716878</v>
      </c>
      <c r="AJ15" s="261">
        <f>'[1]February - 2023'!AT14</f>
        <v>0</v>
      </c>
      <c r="AK15" s="265">
        <f>'[1]February - 2023'!AU14</f>
        <v>-17878583.52</v>
      </c>
      <c r="AL15" s="88">
        <f>'[1]February - 2023'!AV14</f>
        <v>5554.0800000019372</v>
      </c>
      <c r="AM15" s="261">
        <f>'[1]February - 2023'!AW14</f>
        <v>0</v>
      </c>
      <c r="AN15" s="265">
        <f>'[1]February - 2023'!AX14</f>
        <v>-15028560.959999999</v>
      </c>
      <c r="AO15" s="88">
        <f>'[1]February - 2023'!AY14</f>
        <v>4092.4800000023097</v>
      </c>
      <c r="AP15" s="261">
        <f>'[1]February - 2023'!AZ14</f>
        <v>0</v>
      </c>
      <c r="AQ15" s="265">
        <f>'[1]February - 2023'!BA14</f>
        <v>-14573759.76</v>
      </c>
      <c r="AR15" s="88">
        <f>'[1]February - 2023'!BB14</f>
        <v>4043.7599999997765</v>
      </c>
      <c r="AS15" s="261">
        <f>'[1]February - 2023'!BC14</f>
        <v>0</v>
      </c>
      <c r="AT15" s="265">
        <f>'[1]February - 2023'!BD14</f>
        <v>-11356583.280000001</v>
      </c>
      <c r="AU15" s="88">
        <f>'[1]February - 2023'!BE14</f>
        <v>3751.4400000013411</v>
      </c>
      <c r="AV15" s="261">
        <f>'[1]February - 2023'!BF14</f>
        <v>0</v>
      </c>
      <c r="AW15" s="229">
        <f>'[1]February - 2023'!BG14</f>
        <v>-18030833.52</v>
      </c>
      <c r="AX15" s="230">
        <f>'[1]February - 2023'!BH14</f>
        <v>5310.480000000447</v>
      </c>
      <c r="AY15" s="461"/>
      <c r="AZ15" s="247">
        <f>'[1]February - 2023'!BM14</f>
        <v>0</v>
      </c>
      <c r="BA15" s="160">
        <f>'[1]February - 2023'!BN14</f>
        <v>-78656200</v>
      </c>
      <c r="BB15" s="89">
        <f>'[1]February - 2023'!BO15</f>
        <v>0</v>
      </c>
      <c r="BC15" s="247">
        <f>'[1]February - 2023'!BP14</f>
        <v>0</v>
      </c>
      <c r="BD15" s="223">
        <f>'[1]February - 2023'!BQ14</f>
        <v>-81612700</v>
      </c>
      <c r="BE15" s="89">
        <f>'[1]February - 2023'!BR14</f>
        <v>37600</v>
      </c>
      <c r="BF15" s="247">
        <f>'[1]February - 2023'!BS14</f>
        <v>0</v>
      </c>
      <c r="BG15" s="223">
        <f>'[1]February - 2023'!BT14</f>
        <v>-75558200</v>
      </c>
      <c r="BH15" s="89">
        <f>'[1]February - 2023'!BU14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48">
        <f>'[1]February - 2023'!BV14</f>
        <v>0</v>
      </c>
      <c r="BT15" s="165">
        <f>'[1]February - 2023'!BW14</f>
        <v>-10620300</v>
      </c>
      <c r="BU15" s="557"/>
      <c r="BV15" s="84">
        <f>'[1]February - 2023'!BY14</f>
        <v>0</v>
      </c>
      <c r="BW15" s="219">
        <f>'[1]February - 2023'!BZ14</f>
        <v>0.5</v>
      </c>
      <c r="BX15" s="84">
        <f>'[1]February - 2023'!CA14</f>
        <v>8.0000000000000071E-2</v>
      </c>
      <c r="BY15" s="85">
        <f>'[1]February - 2023'!CB14</f>
        <v>0</v>
      </c>
      <c r="BZ15" s="171">
        <f>'[1]February - 2023'!CC14</f>
        <v>-65415</v>
      </c>
      <c r="CA15" s="85">
        <f>'[1]February - 2023'!CD14</f>
        <v>0</v>
      </c>
      <c r="CB15" s="171">
        <f>'[1]February - 2023'!CE14</f>
        <v>-56557</v>
      </c>
      <c r="CC15" s="85">
        <f>'[1]February - 2023'!CF14</f>
        <v>0</v>
      </c>
      <c r="CD15" s="171">
        <f>'[1]February - 2023'!CG14</f>
        <v>-19094</v>
      </c>
      <c r="CE15" s="85">
        <f>'[1]February - 2023'!CH14</f>
        <v>0</v>
      </c>
      <c r="CF15" s="171">
        <f>'[1]February - 2023'!CI14</f>
        <v>-26161</v>
      </c>
      <c r="CG15" s="85">
        <f>'[1]February - 2023'!CJ14</f>
        <v>0</v>
      </c>
      <c r="CH15" s="171">
        <f>'[1]February - 2023'!CK14</f>
        <v>-29334</v>
      </c>
      <c r="CI15" s="85">
        <f>'[1]February - 2023'!CL14</f>
        <v>0</v>
      </c>
      <c r="CJ15" s="171">
        <f>'[1]February - 2023'!CM14</f>
        <v>-64541</v>
      </c>
      <c r="CK15" s="85">
        <f>'[1]February - 2023'!CN14</f>
        <v>0</v>
      </c>
      <c r="CL15" s="224">
        <f>'[1]February - 2023'!CO14</f>
        <v>-272422</v>
      </c>
      <c r="CM15" s="85">
        <f>'[1]February - 2023'!CP14</f>
        <v>103</v>
      </c>
      <c r="CN15" s="85">
        <f>'[1]February - 2023'!CQ14</f>
        <v>0</v>
      </c>
      <c r="CO15" s="224">
        <f>'[1]February - 2023'!CR14</f>
        <v>-221695</v>
      </c>
      <c r="CP15" s="85">
        <f>'[1]February - 2023'!CV14</f>
        <v>406</v>
      </c>
      <c r="CQ15" s="85">
        <f>'[1]February - 2023'!CT14</f>
        <v>0</v>
      </c>
      <c r="CR15" s="224">
        <f>'[1]February - 2023'!CU14</f>
        <v>-370812</v>
      </c>
      <c r="CS15" s="85">
        <f>'[1]February - 2023'!CV14</f>
        <v>406</v>
      </c>
      <c r="CT15" s="85">
        <f>'[1]February - 2023'!CW14</f>
        <v>0</v>
      </c>
      <c r="CU15" s="171">
        <f>'[1]February - 2023'!CX14</f>
        <v>-704686</v>
      </c>
      <c r="CV15" s="485"/>
      <c r="CW15" s="259">
        <f>'[1]February - 2023'!CZ14</f>
        <v>0</v>
      </c>
      <c r="CX15" s="262">
        <f>'[1]February - 2023'!DA14</f>
        <v>-9352</v>
      </c>
      <c r="CY15" s="260">
        <f>'[1]February - 2023'!DB14</f>
        <v>0</v>
      </c>
      <c r="CZ15" s="262">
        <f>'[1]February - 2023'!DC14</f>
        <v>-6333</v>
      </c>
      <c r="DA15" s="260">
        <f>'[1]February - 2023'!DD14</f>
        <v>0</v>
      </c>
      <c r="DB15" s="262">
        <f>'[1]February - 2023'!DE14</f>
        <v>-33057</v>
      </c>
      <c r="DC15" s="260">
        <f>'[1]February - 2023'!DF14</f>
        <v>0</v>
      </c>
      <c r="DD15" s="262">
        <f>'[1]February - 2023'!DG14</f>
        <v>-33201</v>
      </c>
      <c r="DE15" s="260">
        <f>'[1]February - 2023'!DH14</f>
        <v>0</v>
      </c>
      <c r="DF15" s="262">
        <f>'[1]February - 2023'!DI14</f>
        <v>-22452</v>
      </c>
      <c r="DG15" s="260">
        <f>'[1]February - 2023'!DJ14</f>
        <v>0</v>
      </c>
      <c r="DH15" s="262">
        <f>'[1]February - 2023'!DK14</f>
        <v>-24375</v>
      </c>
      <c r="DI15" s="260">
        <f>'[1]February - 2023'!DL14</f>
        <v>0</v>
      </c>
      <c r="DJ15" s="262">
        <f>'[1]February - 2023'!DM14</f>
        <v>-7738</v>
      </c>
      <c r="DK15" s="260">
        <f>'[1]February - 2023'!DN14</f>
        <v>0</v>
      </c>
      <c r="DL15" s="262">
        <f>'[1]February - 2023'!DO14</f>
        <v>-10241</v>
      </c>
      <c r="DM15" s="260">
        <f>'[1]February - 2023'!DP14</f>
        <v>0</v>
      </c>
      <c r="DN15" s="262">
        <f>'[1]February - 2023'!DQ14</f>
        <v>-3535</v>
      </c>
      <c r="DO15" s="260">
        <f>'[1]February - 2023'!DR14</f>
        <v>0</v>
      </c>
      <c r="DP15" s="262">
        <f>'[1]February - 2023'!DS14</f>
        <v>-6927</v>
      </c>
      <c r="DQ15" s="260">
        <f>'[1]February - 2023'!DT14</f>
        <v>0</v>
      </c>
      <c r="DR15" s="263">
        <f>'[1]February - 2023'!DU14</f>
        <v>-30518</v>
      </c>
      <c r="DS15" s="501"/>
      <c r="DT15" s="189">
        <f>'[1]February - 2023'!DW14</f>
        <v>0</v>
      </c>
      <c r="DU15" s="200">
        <f>'[1]February - 2023'!DX14</f>
        <v>-6971.2</v>
      </c>
      <c r="DV15" s="87">
        <f>'[1]February - 2023'!DY14</f>
        <v>0</v>
      </c>
      <c r="DW15" s="194">
        <f>'[1]February - 2023'!DZ14</f>
        <v>-11735.1</v>
      </c>
      <c r="DX15" s="87">
        <f>'[1]February - 2023'!EA14</f>
        <v>0</v>
      </c>
      <c r="DY15" s="194">
        <f>'[1]February - 2023'!EB14</f>
        <v>-5172</v>
      </c>
      <c r="DZ15" s="87">
        <f>'[1]February - 2023'!EC14</f>
        <v>0</v>
      </c>
      <c r="EA15" s="194">
        <f>'[1]February - 2023'!ED14</f>
        <v>-5770</v>
      </c>
      <c r="EB15" s="87">
        <f>'[1]February - 2023'!EE14</f>
        <v>0</v>
      </c>
      <c r="EC15" s="194">
        <f>'[1]February - 2023'!EF14</f>
        <v>-1159411</v>
      </c>
      <c r="ED15" s="87">
        <f>'[1]February - 2023'!EI14</f>
        <v>0</v>
      </c>
      <c r="EE15" s="207">
        <f>'[1]February - 2023'!EJ14</f>
        <v>-239930.4</v>
      </c>
      <c r="EF15" s="548"/>
      <c r="EG15" s="213">
        <f>'[1]February - 2023'!EL14</f>
        <v>0</v>
      </c>
      <c r="EH15" s="208">
        <f>'[1]February - 2023'!EM14</f>
        <v>-12301300</v>
      </c>
      <c r="EI15" s="86">
        <f>'[1]February - 2023'!EN14</f>
        <v>0</v>
      </c>
      <c r="EJ15" s="208">
        <f>'[1]February - 2023'!EO14</f>
        <v>-947250</v>
      </c>
      <c r="EK15" s="86">
        <f>'[1]February - 2023'!EP14</f>
        <v>0</v>
      </c>
      <c r="EL15" s="208">
        <f>'[1]February - 2023'!EQ14</f>
        <v>-7300300</v>
      </c>
      <c r="EM15" s="86">
        <f>'[1]February - 2023'!ER14</f>
        <v>0</v>
      </c>
      <c r="EN15" s="208">
        <f>'[1]February - 2023'!ES14</f>
        <v>-2512800</v>
      </c>
      <c r="EO15" s="86">
        <f>'[1]February - 2023'!ET14</f>
        <v>0</v>
      </c>
      <c r="EP15" s="208">
        <f>'[1]February - 2023'!EU14</f>
        <v>-1310100</v>
      </c>
      <c r="EQ15" s="86">
        <f>'[1]February - 2023'!EV14</f>
        <v>0</v>
      </c>
      <c r="ER15" s="208">
        <f>'[1]February - 2023'!EW14</f>
        <v>-16742300</v>
      </c>
      <c r="ES15" s="523"/>
      <c r="ET15" s="253">
        <f>'[1]February - 2023'!EY14</f>
        <v>0</v>
      </c>
      <c r="EU15" s="266">
        <f>'[1]February - 2023'!EZ14</f>
        <v>-43045</v>
      </c>
      <c r="EV15" s="254">
        <f>'[1]February - 2023'!FA14</f>
        <v>0</v>
      </c>
      <c r="EW15" s="266">
        <f>'[1]February - 2023'!FB14</f>
        <v>-37526</v>
      </c>
      <c r="EX15" s="254">
        <f>'[1]February - 2023'!FC14</f>
        <v>0</v>
      </c>
      <c r="EY15" s="266">
        <f>'[1]February - 2023'!FD14</f>
        <v>-8120</v>
      </c>
      <c r="EZ15" s="254">
        <f>'[1]February - 2023'!FE14</f>
        <v>0</v>
      </c>
      <c r="FA15" s="266">
        <f>'[1]February - 2023'!FF14</f>
        <v>-60107</v>
      </c>
      <c r="FB15" s="254">
        <f>'[1]February - 2023'!FG14</f>
        <v>0</v>
      </c>
      <c r="FC15" s="264">
        <f>'[1]February - 2023'!FH14</f>
        <v>-51547</v>
      </c>
    </row>
    <row r="16" spans="1:159" ht="30" customHeight="1" x14ac:dyDescent="0.25">
      <c r="A16" s="186">
        <v>44964</v>
      </c>
      <c r="B16" s="188">
        <f>'[1]February - 2023'!B15</f>
        <v>0</v>
      </c>
      <c r="C16" s="228">
        <f>'[1]February - 2023'!E15</f>
        <v>0</v>
      </c>
      <c r="D16" s="151">
        <f>'[1]February - 2023'!F16</f>
        <v>0</v>
      </c>
      <c r="E16" s="150">
        <f>'[1]February - 2023'!G15</f>
        <v>518</v>
      </c>
      <c r="F16" s="150">
        <f>'[1]February - 2023'!H15</f>
        <v>0</v>
      </c>
      <c r="G16" s="151">
        <f>'[1]February - 2023'!I16</f>
        <v>0</v>
      </c>
      <c r="H16" s="150">
        <f>'[1]February - 2023'!J15</f>
        <v>116762</v>
      </c>
      <c r="I16" s="239">
        <f>'[1]February - 2023'!K15</f>
        <v>0</v>
      </c>
      <c r="J16" s="151">
        <f>'[1]February - 2023'!L15</f>
        <v>0</v>
      </c>
      <c r="K16" s="239">
        <f>'[1]February - 2023'!N15</f>
        <v>0</v>
      </c>
      <c r="L16" s="151">
        <f>'[1]February - 2023'!O15</f>
        <v>0</v>
      </c>
      <c r="M16" s="239">
        <f>'[1]February - 2023'!Q15</f>
        <v>0</v>
      </c>
      <c r="N16" s="151">
        <f>'[1]February - 2023'!R15</f>
        <v>0</v>
      </c>
      <c r="O16" s="239">
        <f>'[1]February - 2023'!U15</f>
        <v>0</v>
      </c>
      <c r="P16" s="151">
        <f>'[1]February - 2023'!V15</f>
        <v>0</v>
      </c>
      <c r="Q16" s="150">
        <f>'[1]February - 2023'!W15</f>
        <v>218.39999999990687</v>
      </c>
      <c r="R16" s="239">
        <f>'[1]February - 2023'!X15</f>
        <v>0</v>
      </c>
      <c r="S16" s="187">
        <f>'[1]February - 2023'!Y15</f>
        <v>0</v>
      </c>
      <c r="T16" s="444"/>
      <c r="U16" s="244">
        <f>'[1]February - 2023'!AE15</f>
        <v>0</v>
      </c>
      <c r="V16" s="265">
        <f>'[1]February - 2023'!AF15</f>
        <v>0</v>
      </c>
      <c r="W16" s="88">
        <f>'[1]February - 2023'!AG15</f>
        <v>2874.4799999995157</v>
      </c>
      <c r="X16" s="261">
        <f>'[1]February - 2023'!AH15</f>
        <v>0</v>
      </c>
      <c r="Y16" s="265">
        <f>'[1]February - 2023'!AI15</f>
        <v>0</v>
      </c>
      <c r="Z16" s="88">
        <f>'[1]February - 2023'!AJ15</f>
        <v>4823.2799999993294</v>
      </c>
      <c r="AA16" s="261">
        <f>'[1]February - 2023'!AK15</f>
        <v>0</v>
      </c>
      <c r="AB16" s="265">
        <f>'[1]February - 2023'!AL15</f>
        <v>0</v>
      </c>
      <c r="AC16" s="88">
        <f>'[1]February - 2023'!AM15</f>
        <v>0</v>
      </c>
      <c r="AD16" s="261">
        <f>'[1]February - 2023'!AN15</f>
        <v>0</v>
      </c>
      <c r="AE16" s="265">
        <f>'[1]February - 2023'!AO15</f>
        <v>0</v>
      </c>
      <c r="AF16" s="88">
        <f>'[1]February - 2023'!AP15</f>
        <v>7990.0799999982119</v>
      </c>
      <c r="AG16" s="261">
        <f>'[1]February - 2023'!AQ15</f>
        <v>0</v>
      </c>
      <c r="AH16" s="265">
        <f>'[1]February - 2023'!AR15</f>
        <v>0</v>
      </c>
      <c r="AI16" s="88">
        <f>'[1]February - 2023'!AS15</f>
        <v>48.720000002533197</v>
      </c>
      <c r="AJ16" s="261">
        <f>'[1]February - 2023'!AT15</f>
        <v>0</v>
      </c>
      <c r="AK16" s="265">
        <f>'[1]February - 2023'!AU15</f>
        <v>0</v>
      </c>
      <c r="AL16" s="88">
        <f>'[1]February - 2023'!AV15</f>
        <v>5846.3999999985099</v>
      </c>
      <c r="AM16" s="261">
        <f>'[1]February - 2023'!AW15</f>
        <v>0</v>
      </c>
      <c r="AN16" s="265">
        <f>'[1]February - 2023'!AX15</f>
        <v>0</v>
      </c>
      <c r="AO16" s="88">
        <f>'[1]February - 2023'!AY15</f>
        <v>4384.7999999988824</v>
      </c>
      <c r="AP16" s="261">
        <f>'[1]February - 2023'!AZ15</f>
        <v>0</v>
      </c>
      <c r="AQ16" s="265">
        <f>'[1]February - 2023'!BA15</f>
        <v>0</v>
      </c>
      <c r="AR16" s="88">
        <f>'[1]February - 2023'!BB15</f>
        <v>4238.640000000596</v>
      </c>
      <c r="AS16" s="261">
        <f>'[1]February - 2023'!BC15</f>
        <v>0</v>
      </c>
      <c r="AT16" s="265">
        <f>'[1]February - 2023'!BD15</f>
        <v>0</v>
      </c>
      <c r="AU16" s="88">
        <f>'[1]February - 2023'!BE15</f>
        <v>3800.1599999982864</v>
      </c>
      <c r="AV16" s="261">
        <f>'[1]February - 2023'!BF15</f>
        <v>0</v>
      </c>
      <c r="AW16" s="229">
        <f>'[1]February - 2023'!BG15</f>
        <v>0</v>
      </c>
      <c r="AX16" s="230">
        <f>'[1]February - 2023'!BH15</f>
        <v>5359.1999999992549</v>
      </c>
      <c r="AY16" s="461"/>
      <c r="AZ16" s="247">
        <f>'[1]February - 2023'!BM15</f>
        <v>0</v>
      </c>
      <c r="BA16" s="160">
        <f>'[1]February - 2023'!BN15</f>
        <v>0</v>
      </c>
      <c r="BB16" s="89">
        <f>'[1]February - 2023'!BO16</f>
        <v>0</v>
      </c>
      <c r="BC16" s="247">
        <f>'[1]February - 2023'!BP15</f>
        <v>0</v>
      </c>
      <c r="BD16" s="223">
        <f>'[1]February - 2023'!BQ15</f>
        <v>0</v>
      </c>
      <c r="BE16" s="89">
        <f>'[1]February - 2023'!BR15</f>
        <v>32500</v>
      </c>
      <c r="BF16" s="247">
        <f>'[1]February - 2023'!BS15</f>
        <v>0</v>
      </c>
      <c r="BG16" s="223">
        <f>'[1]February - 2023'!BT15</f>
        <v>0</v>
      </c>
      <c r="BH16" s="89">
        <f>'[1]February - 2023'!BU15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48">
        <f>'[1]February - 2023'!BV15</f>
        <v>0</v>
      </c>
      <c r="BT16" s="165">
        <f>'[1]February - 2023'!BW15</f>
        <v>0</v>
      </c>
      <c r="BU16" s="557"/>
      <c r="BV16" s="84">
        <f>'[1]February - 2023'!BY15</f>
        <v>0</v>
      </c>
      <c r="BW16" s="219">
        <f>'[1]February - 2023'!BZ15</f>
        <v>0</v>
      </c>
      <c r="BX16" s="84">
        <f>'[1]February - 2023'!CA15</f>
        <v>-9.000000000000008E-2</v>
      </c>
      <c r="BY16" s="85">
        <f>'[1]February - 2023'!CB15</f>
        <v>0</v>
      </c>
      <c r="BZ16" s="171">
        <f>'[1]February - 2023'!CC15</f>
        <v>0</v>
      </c>
      <c r="CA16" s="85">
        <f>'[1]February - 2023'!CD15</f>
        <v>0</v>
      </c>
      <c r="CB16" s="171">
        <f>'[1]February - 2023'!CE15</f>
        <v>0</v>
      </c>
      <c r="CC16" s="85">
        <f>'[1]February - 2023'!CF15</f>
        <v>0</v>
      </c>
      <c r="CD16" s="171">
        <f>'[1]February - 2023'!CG15</f>
        <v>0</v>
      </c>
      <c r="CE16" s="85">
        <f>'[1]February - 2023'!CH15</f>
        <v>0</v>
      </c>
      <c r="CF16" s="171">
        <f>'[1]February - 2023'!CI15</f>
        <v>0</v>
      </c>
      <c r="CG16" s="85">
        <f>'[1]February - 2023'!CJ15</f>
        <v>0</v>
      </c>
      <c r="CH16" s="171">
        <f>'[1]February - 2023'!CK15</f>
        <v>0</v>
      </c>
      <c r="CI16" s="85">
        <f>'[1]February - 2023'!CL15</f>
        <v>0</v>
      </c>
      <c r="CJ16" s="171">
        <f>'[1]February - 2023'!CM15</f>
        <v>0</v>
      </c>
      <c r="CK16" s="85">
        <f>'[1]February - 2023'!CN15</f>
        <v>0</v>
      </c>
      <c r="CL16" s="224">
        <f>'[1]February - 2023'!CO15</f>
        <v>0</v>
      </c>
      <c r="CM16" s="85">
        <f>'[1]February - 2023'!CP15</f>
        <v>108</v>
      </c>
      <c r="CN16" s="85">
        <f>'[1]February - 2023'!CQ15</f>
        <v>0</v>
      </c>
      <c r="CO16" s="224">
        <f>'[1]February - 2023'!CR15</f>
        <v>0</v>
      </c>
      <c r="CP16" s="85">
        <f>'[1]February - 2023'!CV15</f>
        <v>447</v>
      </c>
      <c r="CQ16" s="85">
        <f>'[1]February - 2023'!CT15</f>
        <v>0</v>
      </c>
      <c r="CR16" s="224">
        <f>'[1]February - 2023'!CU15</f>
        <v>0</v>
      </c>
      <c r="CS16" s="85">
        <f>'[1]February - 2023'!CV15</f>
        <v>447</v>
      </c>
      <c r="CT16" s="85">
        <f>'[1]February - 2023'!CW15</f>
        <v>0</v>
      </c>
      <c r="CU16" s="171">
        <f>'[1]February - 2023'!CX15</f>
        <v>0</v>
      </c>
      <c r="CV16" s="485"/>
      <c r="CW16" s="259">
        <f>'[1]February - 2023'!CZ15</f>
        <v>0</v>
      </c>
      <c r="CX16" s="262">
        <f>'[1]February - 2023'!DA15</f>
        <v>0</v>
      </c>
      <c r="CY16" s="260">
        <f>'[1]February - 2023'!DB15</f>
        <v>0</v>
      </c>
      <c r="CZ16" s="262">
        <f>'[1]February - 2023'!DC15</f>
        <v>0</v>
      </c>
      <c r="DA16" s="260">
        <f>'[1]February - 2023'!DD15</f>
        <v>0</v>
      </c>
      <c r="DB16" s="262">
        <f>'[1]February - 2023'!DE15</f>
        <v>0</v>
      </c>
      <c r="DC16" s="260">
        <f>'[1]February - 2023'!DF15</f>
        <v>0</v>
      </c>
      <c r="DD16" s="262">
        <f>'[1]February - 2023'!DG15</f>
        <v>0</v>
      </c>
      <c r="DE16" s="260">
        <f>'[1]February - 2023'!DH15</f>
        <v>0</v>
      </c>
      <c r="DF16" s="262">
        <f>'[1]February - 2023'!DI15</f>
        <v>0</v>
      </c>
      <c r="DG16" s="260">
        <f>'[1]February - 2023'!DJ15</f>
        <v>0</v>
      </c>
      <c r="DH16" s="262">
        <f>'[1]February - 2023'!DK15</f>
        <v>0</v>
      </c>
      <c r="DI16" s="260">
        <f>'[1]February - 2023'!DL15</f>
        <v>0</v>
      </c>
      <c r="DJ16" s="262">
        <f>'[1]February - 2023'!DM15</f>
        <v>0</v>
      </c>
      <c r="DK16" s="260">
        <f>'[1]February - 2023'!DN15</f>
        <v>0</v>
      </c>
      <c r="DL16" s="262">
        <f>'[1]February - 2023'!DO15</f>
        <v>0</v>
      </c>
      <c r="DM16" s="260">
        <f>'[1]February - 2023'!DP15</f>
        <v>0</v>
      </c>
      <c r="DN16" s="262">
        <f>'[1]February - 2023'!DQ15</f>
        <v>0</v>
      </c>
      <c r="DO16" s="260">
        <f>'[1]February - 2023'!DR15</f>
        <v>0</v>
      </c>
      <c r="DP16" s="262">
        <f>'[1]February - 2023'!DS15</f>
        <v>0</v>
      </c>
      <c r="DQ16" s="260">
        <f>'[1]February - 2023'!DT15</f>
        <v>0</v>
      </c>
      <c r="DR16" s="263">
        <f>'[1]February - 2023'!DU15</f>
        <v>0</v>
      </c>
      <c r="DS16" s="501"/>
      <c r="DT16" s="189">
        <f>'[1]February - 2023'!DW15</f>
        <v>0</v>
      </c>
      <c r="DU16" s="200">
        <f>'[1]February - 2023'!DX15</f>
        <v>0</v>
      </c>
      <c r="DV16" s="87">
        <f>'[1]February - 2023'!DY15</f>
        <v>0</v>
      </c>
      <c r="DW16" s="194">
        <f>'[1]February - 2023'!DZ15</f>
        <v>0</v>
      </c>
      <c r="DX16" s="87">
        <f>'[1]February - 2023'!EA15</f>
        <v>0</v>
      </c>
      <c r="DY16" s="194">
        <f>'[1]February - 2023'!EB15</f>
        <v>0</v>
      </c>
      <c r="DZ16" s="87">
        <f>'[1]February - 2023'!EC15</f>
        <v>0</v>
      </c>
      <c r="EA16" s="194">
        <f>'[1]February - 2023'!ED15</f>
        <v>0</v>
      </c>
      <c r="EB16" s="87">
        <f>'[1]February - 2023'!EE15</f>
        <v>0</v>
      </c>
      <c r="EC16" s="194">
        <f>'[1]February - 2023'!EF15</f>
        <v>0</v>
      </c>
      <c r="ED16" s="87">
        <f>'[1]February - 2023'!EI15</f>
        <v>0</v>
      </c>
      <c r="EE16" s="207">
        <f>'[1]February - 2023'!EJ15</f>
        <v>0</v>
      </c>
      <c r="EF16" s="548"/>
      <c r="EG16" s="213">
        <f>'[1]February - 2023'!EL15</f>
        <v>0</v>
      </c>
      <c r="EH16" s="208">
        <f>'[1]February - 2023'!EM15</f>
        <v>0</v>
      </c>
      <c r="EI16" s="86">
        <f>'[1]February - 2023'!EN15</f>
        <v>0</v>
      </c>
      <c r="EJ16" s="208">
        <f>'[1]February - 2023'!EO15</f>
        <v>0</v>
      </c>
      <c r="EK16" s="86">
        <f>'[1]February - 2023'!EP15</f>
        <v>0</v>
      </c>
      <c r="EL16" s="208">
        <f>'[1]February - 2023'!EQ15</f>
        <v>0</v>
      </c>
      <c r="EM16" s="86">
        <f>'[1]February - 2023'!ER15</f>
        <v>0</v>
      </c>
      <c r="EN16" s="208">
        <f>'[1]February - 2023'!ES15</f>
        <v>0</v>
      </c>
      <c r="EO16" s="86">
        <f>'[1]February - 2023'!ET15</f>
        <v>0</v>
      </c>
      <c r="EP16" s="208">
        <f>'[1]February - 2023'!EU15</f>
        <v>0</v>
      </c>
      <c r="EQ16" s="86">
        <f>'[1]February - 2023'!EV15</f>
        <v>0</v>
      </c>
      <c r="ER16" s="208">
        <f>'[1]February - 2023'!EW15</f>
        <v>0</v>
      </c>
      <c r="ES16" s="523"/>
      <c r="ET16" s="253">
        <f>'[1]February - 2023'!EY15</f>
        <v>0</v>
      </c>
      <c r="EU16" s="266">
        <f>'[1]February - 2023'!EZ15</f>
        <v>0</v>
      </c>
      <c r="EV16" s="254">
        <f>'[1]February - 2023'!FA15</f>
        <v>0</v>
      </c>
      <c r="EW16" s="266">
        <f>'[1]February - 2023'!FB15</f>
        <v>0</v>
      </c>
      <c r="EX16" s="254">
        <f>'[1]February - 2023'!FC15</f>
        <v>0</v>
      </c>
      <c r="EY16" s="266">
        <f>'[1]February - 2023'!FD15</f>
        <v>0</v>
      </c>
      <c r="EZ16" s="254">
        <f>'[1]February - 2023'!FE15</f>
        <v>0</v>
      </c>
      <c r="FA16" s="266">
        <f>'[1]February - 2023'!FF15</f>
        <v>0</v>
      </c>
      <c r="FB16" s="254">
        <f>'[1]February - 2023'!FG15</f>
        <v>0</v>
      </c>
      <c r="FC16" s="264">
        <f>'[1]February - 2023'!FH15</f>
        <v>0</v>
      </c>
    </row>
    <row r="17" spans="1:159" ht="30" customHeight="1" x14ac:dyDescent="0.25">
      <c r="A17" s="186">
        <v>44965</v>
      </c>
      <c r="B17" s="188">
        <f>'[1]February - 2023'!B16</f>
        <v>0</v>
      </c>
      <c r="C17" s="228">
        <f>'[1]February - 2023'!E16</f>
        <v>0</v>
      </c>
      <c r="D17" s="151">
        <f>'[1]February - 2023'!F17</f>
        <v>0</v>
      </c>
      <c r="E17" s="150">
        <f>'[1]February - 2023'!G16</f>
        <v>521</v>
      </c>
      <c r="F17" s="150">
        <f>'[1]February - 2023'!H16</f>
        <v>0</v>
      </c>
      <c r="G17" s="151">
        <f>'[1]February - 2023'!I17</f>
        <v>0</v>
      </c>
      <c r="H17" s="150">
        <f>'[1]February - 2023'!J16</f>
        <v>117183</v>
      </c>
      <c r="I17" s="239">
        <f>'[1]February - 2023'!K16</f>
        <v>0</v>
      </c>
      <c r="J17" s="151">
        <f>'[1]February - 2023'!L16</f>
        <v>0</v>
      </c>
      <c r="K17" s="239">
        <f>'[1]February - 2023'!N16</f>
        <v>0</v>
      </c>
      <c r="L17" s="151">
        <f>'[1]February - 2023'!O16</f>
        <v>0</v>
      </c>
      <c r="M17" s="239">
        <f>'[1]February - 2023'!Q16</f>
        <v>0</v>
      </c>
      <c r="N17" s="151">
        <f>'[1]February - 2023'!R16</f>
        <v>0</v>
      </c>
      <c r="O17" s="239">
        <f>'[1]February - 2023'!U16</f>
        <v>0</v>
      </c>
      <c r="P17" s="151">
        <f>'[1]February - 2023'!V16</f>
        <v>0</v>
      </c>
      <c r="Q17" s="150">
        <f>'[1]February - 2023'!W16</f>
        <v>50.800000000046566</v>
      </c>
      <c r="R17" s="239">
        <f>'[1]February - 2023'!X16</f>
        <v>0</v>
      </c>
      <c r="S17" s="187">
        <f>'[1]February - 2023'!Y16</f>
        <v>0</v>
      </c>
      <c r="T17" s="444"/>
      <c r="U17" s="244">
        <f>'[1]February - 2023'!AE16</f>
        <v>0</v>
      </c>
      <c r="V17" s="265">
        <f>'[1]February - 2023'!AF16</f>
        <v>0</v>
      </c>
      <c r="W17" s="88">
        <f>'[1]February - 2023'!AG16</f>
        <v>2874.480000000447</v>
      </c>
      <c r="X17" s="261">
        <f>'[1]February - 2023'!AH16</f>
        <v>0</v>
      </c>
      <c r="Y17" s="265">
        <f>'[1]February - 2023'!AI16</f>
        <v>0</v>
      </c>
      <c r="Z17" s="88">
        <f>'[1]February - 2023'!AJ16</f>
        <v>4774.5599999986589</v>
      </c>
      <c r="AA17" s="261">
        <f>'[1]February - 2023'!AK16</f>
        <v>0</v>
      </c>
      <c r="AB17" s="265">
        <f>'[1]February - 2023'!AL16</f>
        <v>0</v>
      </c>
      <c r="AC17" s="88">
        <f>'[1]February - 2023'!AM16</f>
        <v>0</v>
      </c>
      <c r="AD17" s="261">
        <f>'[1]February - 2023'!AN16</f>
        <v>0</v>
      </c>
      <c r="AE17" s="265">
        <f>'[1]February - 2023'!AO16</f>
        <v>0</v>
      </c>
      <c r="AF17" s="88">
        <f>'[1]February - 2023'!AP16</f>
        <v>2484.7200000025332</v>
      </c>
      <c r="AG17" s="261">
        <f>'[1]February - 2023'!AQ16</f>
        <v>0</v>
      </c>
      <c r="AH17" s="265">
        <f>'[1]February - 2023'!AR16</f>
        <v>0</v>
      </c>
      <c r="AI17" s="88">
        <f>'[1]February - 2023'!AS16</f>
        <v>4823.2799999974668</v>
      </c>
      <c r="AJ17" s="261">
        <f>'[1]February - 2023'!AT16</f>
        <v>0</v>
      </c>
      <c r="AK17" s="265">
        <f>'[1]February - 2023'!AU16</f>
        <v>0</v>
      </c>
      <c r="AL17" s="88">
        <f>'[1]February - 2023'!AV16</f>
        <v>5602.8000000007451</v>
      </c>
      <c r="AM17" s="261">
        <f>'[1]February - 2023'!AW16</f>
        <v>0</v>
      </c>
      <c r="AN17" s="265">
        <f>'[1]February - 2023'!AX16</f>
        <v>0</v>
      </c>
      <c r="AO17" s="88">
        <f>'[1]February - 2023'!AY16</f>
        <v>4287.359999999404</v>
      </c>
      <c r="AP17" s="261">
        <f>'[1]February - 2023'!AZ16</f>
        <v>0</v>
      </c>
      <c r="AQ17" s="265">
        <f>'[1]February - 2023'!BA16</f>
        <v>0</v>
      </c>
      <c r="AR17" s="88">
        <f>'[1]February - 2023'!BB16</f>
        <v>4287.359999999404</v>
      </c>
      <c r="AS17" s="261">
        <f>'[1]February - 2023'!BC16</f>
        <v>0</v>
      </c>
      <c r="AT17" s="265">
        <f>'[1]February - 2023'!BD16</f>
        <v>0</v>
      </c>
      <c r="AU17" s="88">
        <f>'[1]February - 2023'!BE16</f>
        <v>3410.4000000003725</v>
      </c>
      <c r="AV17" s="261">
        <f>'[1]February - 2023'!BF16</f>
        <v>0</v>
      </c>
      <c r="AW17" s="229">
        <f>'[1]February - 2023'!BG16</f>
        <v>0</v>
      </c>
      <c r="AX17" s="230">
        <f>'[1]February - 2023'!BH16</f>
        <v>5456.6399999987334</v>
      </c>
      <c r="AY17" s="461"/>
      <c r="AZ17" s="247">
        <f>'[1]February - 2023'!BM16</f>
        <v>0</v>
      </c>
      <c r="BA17" s="160">
        <f>'[1]February - 2023'!BN16</f>
        <v>0</v>
      </c>
      <c r="BB17" s="89">
        <f>'[1]February - 2023'!BO17</f>
        <v>0</v>
      </c>
      <c r="BC17" s="247">
        <f>'[1]February - 2023'!BP16</f>
        <v>0</v>
      </c>
      <c r="BD17" s="223">
        <f>'[1]February - 2023'!BQ16</f>
        <v>0</v>
      </c>
      <c r="BE17" s="89">
        <f>'[1]February - 2023'!BR16</f>
        <v>10800</v>
      </c>
      <c r="BF17" s="247">
        <f>'[1]February - 2023'!BS16</f>
        <v>0</v>
      </c>
      <c r="BG17" s="223">
        <f>'[1]February - 2023'!BT16</f>
        <v>0</v>
      </c>
      <c r="BH17" s="89">
        <f>'[1]February - 2023'!BU16</f>
        <v>21400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48">
        <f>'[1]February - 2023'!BV16</f>
        <v>0</v>
      </c>
      <c r="BT17" s="165">
        <f>'[1]February - 2023'!BW16</f>
        <v>0</v>
      </c>
      <c r="BU17" s="557"/>
      <c r="BV17" s="84">
        <f>'[1]February - 2023'!BY16</f>
        <v>0</v>
      </c>
      <c r="BW17" s="219">
        <f>'[1]February - 2023'!BZ16</f>
        <v>0</v>
      </c>
      <c r="BX17" s="84">
        <f>'[1]February - 2023'!CA16</f>
        <v>9.9999999999999978E-2</v>
      </c>
      <c r="BY17" s="85">
        <f>'[1]February - 2023'!CB16</f>
        <v>0</v>
      </c>
      <c r="BZ17" s="171">
        <f>'[1]February - 2023'!CC16</f>
        <v>0</v>
      </c>
      <c r="CA17" s="85">
        <f>'[1]February - 2023'!CD16</f>
        <v>0</v>
      </c>
      <c r="CB17" s="171">
        <f>'[1]February - 2023'!CE16</f>
        <v>0</v>
      </c>
      <c r="CC17" s="85">
        <f>'[1]February - 2023'!CF16</f>
        <v>0</v>
      </c>
      <c r="CD17" s="171">
        <f>'[1]February - 2023'!CG16</f>
        <v>0</v>
      </c>
      <c r="CE17" s="85">
        <f>'[1]February - 2023'!CH16</f>
        <v>0</v>
      </c>
      <c r="CF17" s="171">
        <f>'[1]February - 2023'!CI16</f>
        <v>0</v>
      </c>
      <c r="CG17" s="85">
        <f>'[1]February - 2023'!CJ16</f>
        <v>0</v>
      </c>
      <c r="CH17" s="171">
        <f>'[1]February - 2023'!CK16</f>
        <v>0</v>
      </c>
      <c r="CI17" s="85">
        <f>'[1]February - 2023'!CL16</f>
        <v>0</v>
      </c>
      <c r="CJ17" s="171">
        <f>'[1]February - 2023'!CM16</f>
        <v>0</v>
      </c>
      <c r="CK17" s="85">
        <f>'[1]February - 2023'!CN16</f>
        <v>0</v>
      </c>
      <c r="CL17" s="224">
        <f>'[1]February - 2023'!CO16</f>
        <v>0</v>
      </c>
      <c r="CM17" s="85">
        <f>'[1]February - 2023'!CP16</f>
        <v>108</v>
      </c>
      <c r="CN17" s="85">
        <f>'[1]February - 2023'!CQ16</f>
        <v>0</v>
      </c>
      <c r="CO17" s="224">
        <f>'[1]February - 2023'!CR16</f>
        <v>0</v>
      </c>
      <c r="CP17" s="85">
        <f>'[1]February - 2023'!CV16</f>
        <v>447</v>
      </c>
      <c r="CQ17" s="85">
        <f>'[1]February - 2023'!CT16</f>
        <v>0</v>
      </c>
      <c r="CR17" s="224">
        <f>'[1]February - 2023'!CU16</f>
        <v>0</v>
      </c>
      <c r="CS17" s="85">
        <f>'[1]February - 2023'!CV16</f>
        <v>447</v>
      </c>
      <c r="CT17" s="85">
        <f>'[1]February - 2023'!CW16</f>
        <v>0</v>
      </c>
      <c r="CU17" s="171">
        <f>'[1]February - 2023'!CX16</f>
        <v>0</v>
      </c>
      <c r="CV17" s="485"/>
      <c r="CW17" s="259">
        <f>'[1]February - 2023'!CZ16</f>
        <v>0</v>
      </c>
      <c r="CX17" s="262">
        <f>'[1]February - 2023'!DA16</f>
        <v>0</v>
      </c>
      <c r="CY17" s="260">
        <f>'[1]February - 2023'!DB16</f>
        <v>0</v>
      </c>
      <c r="CZ17" s="262">
        <f>'[1]February - 2023'!DC16</f>
        <v>0</v>
      </c>
      <c r="DA17" s="260">
        <f>'[1]February - 2023'!DD16</f>
        <v>0</v>
      </c>
      <c r="DB17" s="262">
        <f>'[1]February - 2023'!DE16</f>
        <v>0</v>
      </c>
      <c r="DC17" s="260">
        <f>'[1]February - 2023'!DF16</f>
        <v>0</v>
      </c>
      <c r="DD17" s="262">
        <f>'[1]February - 2023'!DG16</f>
        <v>0</v>
      </c>
      <c r="DE17" s="260">
        <f>'[1]February - 2023'!DH16</f>
        <v>0</v>
      </c>
      <c r="DF17" s="262">
        <f>'[1]February - 2023'!DI16</f>
        <v>0</v>
      </c>
      <c r="DG17" s="260">
        <f>'[1]February - 2023'!DJ16</f>
        <v>0</v>
      </c>
      <c r="DH17" s="262">
        <f>'[1]February - 2023'!DK16</f>
        <v>0</v>
      </c>
      <c r="DI17" s="260">
        <f>'[1]February - 2023'!DL16</f>
        <v>0</v>
      </c>
      <c r="DJ17" s="262">
        <f>'[1]February - 2023'!DM16</f>
        <v>0</v>
      </c>
      <c r="DK17" s="260">
        <f>'[1]February - 2023'!DN16</f>
        <v>0</v>
      </c>
      <c r="DL17" s="262">
        <f>'[1]February - 2023'!DO16</f>
        <v>0</v>
      </c>
      <c r="DM17" s="260">
        <f>'[1]February - 2023'!DP16</f>
        <v>0</v>
      </c>
      <c r="DN17" s="262">
        <f>'[1]February - 2023'!DQ16</f>
        <v>0</v>
      </c>
      <c r="DO17" s="260">
        <f>'[1]February - 2023'!DR16</f>
        <v>0</v>
      </c>
      <c r="DP17" s="262">
        <f>'[1]February - 2023'!DS16</f>
        <v>0</v>
      </c>
      <c r="DQ17" s="260">
        <f>'[1]February - 2023'!DT16</f>
        <v>0</v>
      </c>
      <c r="DR17" s="263">
        <f>'[1]February - 2023'!DU16</f>
        <v>0</v>
      </c>
      <c r="DS17" s="501"/>
      <c r="DT17" s="189">
        <f>'[1]February - 2023'!DW16</f>
        <v>0</v>
      </c>
      <c r="DU17" s="200">
        <f>'[1]February - 2023'!DX16</f>
        <v>0</v>
      </c>
      <c r="DV17" s="87">
        <f>'[1]February - 2023'!DY16</f>
        <v>0</v>
      </c>
      <c r="DW17" s="194">
        <f>'[1]February - 2023'!DZ16</f>
        <v>0</v>
      </c>
      <c r="DX17" s="87">
        <f>'[1]February - 2023'!EA16</f>
        <v>0</v>
      </c>
      <c r="DY17" s="194">
        <f>'[1]February - 2023'!EB16</f>
        <v>0</v>
      </c>
      <c r="DZ17" s="87">
        <f>'[1]February - 2023'!EC16</f>
        <v>0</v>
      </c>
      <c r="EA17" s="194">
        <f>'[1]February - 2023'!ED16</f>
        <v>0</v>
      </c>
      <c r="EB17" s="87">
        <f>'[1]February - 2023'!EE16</f>
        <v>0</v>
      </c>
      <c r="EC17" s="194">
        <f>'[1]February - 2023'!EF16</f>
        <v>0</v>
      </c>
      <c r="ED17" s="87">
        <f>'[1]February - 2023'!EI16</f>
        <v>0</v>
      </c>
      <c r="EE17" s="207">
        <f>'[1]February - 2023'!EJ16</f>
        <v>0</v>
      </c>
      <c r="EF17" s="548"/>
      <c r="EG17" s="213">
        <f>'[1]February - 2023'!EL16</f>
        <v>0</v>
      </c>
      <c r="EH17" s="208">
        <f>'[1]February - 2023'!EM16</f>
        <v>0</v>
      </c>
      <c r="EI17" s="86">
        <f>'[1]February - 2023'!EN16</f>
        <v>0</v>
      </c>
      <c r="EJ17" s="208">
        <f>'[1]February - 2023'!EO16</f>
        <v>0</v>
      </c>
      <c r="EK17" s="86">
        <f>'[1]February - 2023'!EP16</f>
        <v>0</v>
      </c>
      <c r="EL17" s="208">
        <f>'[1]February - 2023'!EQ16</f>
        <v>0</v>
      </c>
      <c r="EM17" s="86">
        <f>'[1]February - 2023'!ER16</f>
        <v>0</v>
      </c>
      <c r="EN17" s="208">
        <f>'[1]February - 2023'!ES16</f>
        <v>0</v>
      </c>
      <c r="EO17" s="86">
        <f>'[1]February - 2023'!ET16</f>
        <v>0</v>
      </c>
      <c r="EP17" s="208">
        <f>'[1]February - 2023'!EU16</f>
        <v>0</v>
      </c>
      <c r="EQ17" s="86">
        <f>'[1]February - 2023'!EV16</f>
        <v>0</v>
      </c>
      <c r="ER17" s="208">
        <f>'[1]February - 2023'!EW16</f>
        <v>0</v>
      </c>
      <c r="ES17" s="523"/>
      <c r="ET17" s="253">
        <f>'[1]February - 2023'!EY16</f>
        <v>0</v>
      </c>
      <c r="EU17" s="266">
        <f>'[1]February - 2023'!EZ16</f>
        <v>0</v>
      </c>
      <c r="EV17" s="254">
        <f>'[1]February - 2023'!FA16</f>
        <v>0</v>
      </c>
      <c r="EW17" s="266">
        <f>'[1]February - 2023'!FB16</f>
        <v>0</v>
      </c>
      <c r="EX17" s="254">
        <f>'[1]February - 2023'!FC16</f>
        <v>0</v>
      </c>
      <c r="EY17" s="266">
        <f>'[1]February - 2023'!FD16</f>
        <v>0</v>
      </c>
      <c r="EZ17" s="254">
        <f>'[1]February - 2023'!FE16</f>
        <v>0</v>
      </c>
      <c r="FA17" s="266">
        <f>'[1]February - 2023'!FF16</f>
        <v>0</v>
      </c>
      <c r="FB17" s="254">
        <f>'[1]February - 2023'!FG16</f>
        <v>0</v>
      </c>
      <c r="FC17" s="264">
        <f>'[1]February - 2023'!FH16</f>
        <v>0</v>
      </c>
    </row>
    <row r="18" spans="1:159" ht="30" customHeight="1" x14ac:dyDescent="0.25">
      <c r="A18" s="186">
        <v>44966</v>
      </c>
      <c r="B18" s="188">
        <f>'[1]February - 2023'!B17</f>
        <v>0</v>
      </c>
      <c r="C18" s="228">
        <f>'[1]February - 2023'!E17</f>
        <v>0</v>
      </c>
      <c r="D18" s="151">
        <f>'[1]February - 2023'!F18</f>
        <v>0</v>
      </c>
      <c r="E18" s="150">
        <f>'[1]February - 2023'!G17</f>
        <v>587</v>
      </c>
      <c r="F18" s="150">
        <f>'[1]February - 2023'!H17</f>
        <v>0</v>
      </c>
      <c r="G18" s="151">
        <f>'[1]February - 2023'!I18</f>
        <v>0</v>
      </c>
      <c r="H18" s="150">
        <f>'[1]February - 2023'!J17</f>
        <v>117634</v>
      </c>
      <c r="I18" s="239">
        <f>'[1]February - 2023'!K17</f>
        <v>0</v>
      </c>
      <c r="J18" s="151">
        <f>'[1]February - 2023'!L17</f>
        <v>0</v>
      </c>
      <c r="K18" s="239">
        <f>'[1]February - 2023'!N17</f>
        <v>0</v>
      </c>
      <c r="L18" s="151">
        <f>'[1]February - 2023'!O17</f>
        <v>0</v>
      </c>
      <c r="M18" s="239">
        <f>'[1]February - 2023'!Q17</f>
        <v>0</v>
      </c>
      <c r="N18" s="151">
        <f>'[1]February - 2023'!R17</f>
        <v>0</v>
      </c>
      <c r="O18" s="239">
        <f>'[1]February - 2023'!U17</f>
        <v>0</v>
      </c>
      <c r="P18" s="151">
        <f>'[1]February - 2023'!V17</f>
        <v>0</v>
      </c>
      <c r="Q18" s="150">
        <f>'[1]February - 2023'!W17</f>
        <v>97</v>
      </c>
      <c r="R18" s="239">
        <f>'[1]February - 2023'!X17</f>
        <v>0</v>
      </c>
      <c r="S18" s="187">
        <f>'[1]February - 2023'!Y17</f>
        <v>0</v>
      </c>
      <c r="T18" s="444"/>
      <c r="U18" s="244">
        <f>'[1]February - 2023'!AE17</f>
        <v>0</v>
      </c>
      <c r="V18" s="265">
        <f>'[1]February - 2023'!AF17</f>
        <v>0</v>
      </c>
      <c r="W18" s="88">
        <f>'[1]February - 2023'!AG17</f>
        <v>2143.679999999702</v>
      </c>
      <c r="X18" s="261">
        <f>'[1]February - 2023'!AH17</f>
        <v>0</v>
      </c>
      <c r="Y18" s="265">
        <f>'[1]February - 2023'!AI17</f>
        <v>0</v>
      </c>
      <c r="Z18" s="88">
        <f>'[1]February - 2023'!AJ17</f>
        <v>4628.4000000003725</v>
      </c>
      <c r="AA18" s="261">
        <f>'[1]February - 2023'!AK17</f>
        <v>0</v>
      </c>
      <c r="AB18" s="265">
        <f>'[1]February - 2023'!AL17</f>
        <v>0</v>
      </c>
      <c r="AC18" s="88">
        <f>'[1]February - 2023'!AM17</f>
        <v>1120.5599999986589</v>
      </c>
      <c r="AD18" s="261">
        <f>'[1]February - 2023'!AN17</f>
        <v>0</v>
      </c>
      <c r="AE18" s="265">
        <f>'[1]February - 2023'!AO17</f>
        <v>0</v>
      </c>
      <c r="AF18" s="88">
        <f>'[1]February - 2023'!AP17</f>
        <v>8087.519999999553</v>
      </c>
      <c r="AG18" s="261">
        <f>'[1]February - 2023'!AQ17</f>
        <v>0</v>
      </c>
      <c r="AH18" s="265">
        <f>'[1]February - 2023'!AR17</f>
        <v>0</v>
      </c>
      <c r="AI18" s="88">
        <f>'[1]February - 2023'!AS17</f>
        <v>0</v>
      </c>
      <c r="AJ18" s="261">
        <f>'[1]February - 2023'!AT17</f>
        <v>0</v>
      </c>
      <c r="AK18" s="265">
        <f>'[1]February - 2023'!AU17</f>
        <v>0</v>
      </c>
      <c r="AL18" s="88">
        <f>'[1]February - 2023'!AV17</f>
        <v>5748.9599999990314</v>
      </c>
      <c r="AM18" s="261">
        <f>'[1]February - 2023'!AW17</f>
        <v>0</v>
      </c>
      <c r="AN18" s="265">
        <f>'[1]February - 2023'!AX17</f>
        <v>0</v>
      </c>
      <c r="AO18" s="88">
        <f>'[1]February - 2023'!AY17</f>
        <v>4384.8000000007451</v>
      </c>
      <c r="AP18" s="261">
        <f>'[1]February - 2023'!AZ17</f>
        <v>0</v>
      </c>
      <c r="AQ18" s="265">
        <f>'[1]February - 2023'!BA17</f>
        <v>0</v>
      </c>
      <c r="AR18" s="88">
        <f>'[1]February - 2023'!BB17</f>
        <v>4530.9599999990314</v>
      </c>
      <c r="AS18" s="261">
        <f>'[1]February - 2023'!BC17</f>
        <v>0</v>
      </c>
      <c r="AT18" s="265">
        <f>'[1]February - 2023'!BD17</f>
        <v>0</v>
      </c>
      <c r="AU18" s="88">
        <f>'[1]February - 2023'!BE17</f>
        <v>3556.5600000005215</v>
      </c>
      <c r="AV18" s="261">
        <f>'[1]February - 2023'!BF17</f>
        <v>0</v>
      </c>
      <c r="AW18" s="229">
        <f>'[1]February - 2023'!BG17</f>
        <v>0</v>
      </c>
      <c r="AX18" s="230">
        <f>'[1]February - 2023'!BH17</f>
        <v>5359.2000000011176</v>
      </c>
      <c r="AY18" s="461"/>
      <c r="AZ18" s="247">
        <f>'[1]February - 2023'!BM17</f>
        <v>0</v>
      </c>
      <c r="BA18" s="160">
        <f>'[1]February - 2023'!BN17</f>
        <v>0</v>
      </c>
      <c r="BB18" s="89">
        <f>'[1]February - 2023'!BO18</f>
        <v>0</v>
      </c>
      <c r="BC18" s="247">
        <f>'[1]February - 2023'!BP17</f>
        <v>0</v>
      </c>
      <c r="BD18" s="223">
        <f>'[1]February - 2023'!BQ17</f>
        <v>0</v>
      </c>
      <c r="BE18" s="89">
        <f>'[1]February - 2023'!BR17</f>
        <v>34600</v>
      </c>
      <c r="BF18" s="247">
        <f>'[1]February - 2023'!BS17</f>
        <v>0</v>
      </c>
      <c r="BG18" s="223">
        <f>'[1]February - 2023'!BT17</f>
        <v>0</v>
      </c>
      <c r="BH18" s="89">
        <f>'[1]February - 2023'!BU17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48">
        <f>'[1]February - 2023'!BV17</f>
        <v>0</v>
      </c>
      <c r="BT18" s="165">
        <f>'[1]February - 2023'!BW17</f>
        <v>0</v>
      </c>
      <c r="BU18" s="557"/>
      <c r="BV18" s="84">
        <f>'[1]February - 2023'!BY17</f>
        <v>0</v>
      </c>
      <c r="BW18" s="219">
        <f>'[1]February - 2023'!BZ17</f>
        <v>0</v>
      </c>
      <c r="BX18" s="84">
        <f>'[1]February - 2023'!CA17</f>
        <v>8.0000000000000071E-2</v>
      </c>
      <c r="BY18" s="85">
        <f>'[1]February - 2023'!CB17</f>
        <v>0</v>
      </c>
      <c r="BZ18" s="171">
        <f>'[1]February - 2023'!CC17</f>
        <v>0</v>
      </c>
      <c r="CA18" s="85">
        <f>'[1]February - 2023'!CD17</f>
        <v>0</v>
      </c>
      <c r="CB18" s="171">
        <f>'[1]February - 2023'!CE17</f>
        <v>0</v>
      </c>
      <c r="CC18" s="85">
        <f>'[1]February - 2023'!CF17</f>
        <v>0</v>
      </c>
      <c r="CD18" s="171">
        <f>'[1]February - 2023'!CG17</f>
        <v>0</v>
      </c>
      <c r="CE18" s="85">
        <f>'[1]February - 2023'!CH17</f>
        <v>0</v>
      </c>
      <c r="CF18" s="171">
        <f>'[1]February - 2023'!CI17</f>
        <v>0</v>
      </c>
      <c r="CG18" s="85">
        <f>'[1]February - 2023'!CJ17</f>
        <v>0</v>
      </c>
      <c r="CH18" s="171">
        <f>'[1]February - 2023'!CK17</f>
        <v>0</v>
      </c>
      <c r="CI18" s="85">
        <f>'[1]February - 2023'!CL17</f>
        <v>0</v>
      </c>
      <c r="CJ18" s="171">
        <f>'[1]February - 2023'!CM17</f>
        <v>0</v>
      </c>
      <c r="CK18" s="85">
        <f>'[1]February - 2023'!CN17</f>
        <v>0</v>
      </c>
      <c r="CL18" s="224">
        <f>'[1]February - 2023'!CO17</f>
        <v>0</v>
      </c>
      <c r="CM18" s="85">
        <f>'[1]February - 2023'!CP17</f>
        <v>107</v>
      </c>
      <c r="CN18" s="85">
        <f>'[1]February - 2023'!CQ17</f>
        <v>0</v>
      </c>
      <c r="CO18" s="224">
        <f>'[1]February - 2023'!CR17</f>
        <v>0</v>
      </c>
      <c r="CP18" s="85">
        <f>'[1]February - 2023'!CV17</f>
        <v>318</v>
      </c>
      <c r="CQ18" s="85">
        <f>'[1]February - 2023'!CT17</f>
        <v>0</v>
      </c>
      <c r="CR18" s="224">
        <f>'[1]February - 2023'!CU17</f>
        <v>0</v>
      </c>
      <c r="CS18" s="85">
        <f>'[1]February - 2023'!CV17</f>
        <v>318</v>
      </c>
      <c r="CT18" s="85">
        <f>'[1]February - 2023'!CW17</f>
        <v>0</v>
      </c>
      <c r="CU18" s="171">
        <f>'[1]February - 2023'!CX17</f>
        <v>0</v>
      </c>
      <c r="CV18" s="485"/>
      <c r="CW18" s="259">
        <f>'[1]February - 2023'!CZ17</f>
        <v>0</v>
      </c>
      <c r="CX18" s="262">
        <f>'[1]February - 2023'!DA17</f>
        <v>0</v>
      </c>
      <c r="CY18" s="260">
        <f>'[1]February - 2023'!DB17</f>
        <v>0</v>
      </c>
      <c r="CZ18" s="262">
        <f>'[1]February - 2023'!DC17</f>
        <v>0</v>
      </c>
      <c r="DA18" s="260">
        <f>'[1]February - 2023'!DD17</f>
        <v>0</v>
      </c>
      <c r="DB18" s="262">
        <f>'[1]February - 2023'!DE17</f>
        <v>0</v>
      </c>
      <c r="DC18" s="260">
        <f>'[1]February - 2023'!DF17</f>
        <v>0</v>
      </c>
      <c r="DD18" s="262">
        <f>'[1]February - 2023'!DG17</f>
        <v>0</v>
      </c>
      <c r="DE18" s="260">
        <f>'[1]February - 2023'!DH17</f>
        <v>0</v>
      </c>
      <c r="DF18" s="262">
        <f>'[1]February - 2023'!DI17</f>
        <v>0</v>
      </c>
      <c r="DG18" s="260">
        <f>'[1]February - 2023'!DJ17</f>
        <v>0</v>
      </c>
      <c r="DH18" s="262">
        <f>'[1]February - 2023'!DK17</f>
        <v>0</v>
      </c>
      <c r="DI18" s="260">
        <f>'[1]February - 2023'!DL17</f>
        <v>0</v>
      </c>
      <c r="DJ18" s="262">
        <f>'[1]February - 2023'!DM17</f>
        <v>0</v>
      </c>
      <c r="DK18" s="260">
        <f>'[1]February - 2023'!DN17</f>
        <v>0</v>
      </c>
      <c r="DL18" s="262">
        <f>'[1]February - 2023'!DO17</f>
        <v>0</v>
      </c>
      <c r="DM18" s="260">
        <f>'[1]February - 2023'!DP17</f>
        <v>0</v>
      </c>
      <c r="DN18" s="262">
        <f>'[1]February - 2023'!DQ17</f>
        <v>0</v>
      </c>
      <c r="DO18" s="260">
        <f>'[1]February - 2023'!DR17</f>
        <v>0</v>
      </c>
      <c r="DP18" s="262">
        <f>'[1]February - 2023'!DS17</f>
        <v>0</v>
      </c>
      <c r="DQ18" s="260">
        <f>'[1]February - 2023'!DT17</f>
        <v>0</v>
      </c>
      <c r="DR18" s="263">
        <f>'[1]February - 2023'!DU17</f>
        <v>0</v>
      </c>
      <c r="DS18" s="501"/>
      <c r="DT18" s="189">
        <f>'[1]February - 2023'!DW17</f>
        <v>0</v>
      </c>
      <c r="DU18" s="200">
        <f>'[1]February - 2023'!DX17</f>
        <v>0</v>
      </c>
      <c r="DV18" s="87">
        <f>'[1]February - 2023'!DY17</f>
        <v>0</v>
      </c>
      <c r="DW18" s="194">
        <f>'[1]February - 2023'!DZ17</f>
        <v>0</v>
      </c>
      <c r="DX18" s="87">
        <f>'[1]February - 2023'!EA17</f>
        <v>0</v>
      </c>
      <c r="DY18" s="194">
        <f>'[1]February - 2023'!EB17</f>
        <v>0</v>
      </c>
      <c r="DZ18" s="87">
        <f>'[1]February - 2023'!EC17</f>
        <v>0</v>
      </c>
      <c r="EA18" s="194">
        <f>'[1]February - 2023'!ED17</f>
        <v>0</v>
      </c>
      <c r="EB18" s="87">
        <f>'[1]February - 2023'!EE17</f>
        <v>0</v>
      </c>
      <c r="EC18" s="194">
        <f>'[1]February - 2023'!EF17</f>
        <v>0</v>
      </c>
      <c r="ED18" s="87">
        <f>'[1]February - 2023'!EI17</f>
        <v>0</v>
      </c>
      <c r="EE18" s="207">
        <f>'[1]February - 2023'!EJ17</f>
        <v>0</v>
      </c>
      <c r="EF18" s="548"/>
      <c r="EG18" s="213">
        <f>'[1]February - 2023'!EL17</f>
        <v>0</v>
      </c>
      <c r="EH18" s="208">
        <f>'[1]February - 2023'!EM17</f>
        <v>0</v>
      </c>
      <c r="EI18" s="86">
        <f>'[1]February - 2023'!EN17</f>
        <v>0</v>
      </c>
      <c r="EJ18" s="208">
        <f>'[1]February - 2023'!EO17</f>
        <v>0</v>
      </c>
      <c r="EK18" s="86">
        <f>'[1]February - 2023'!EP17</f>
        <v>0</v>
      </c>
      <c r="EL18" s="208">
        <f>'[1]February - 2023'!EQ17</f>
        <v>0</v>
      </c>
      <c r="EM18" s="86">
        <f>'[1]February - 2023'!ER17</f>
        <v>0</v>
      </c>
      <c r="EN18" s="208">
        <f>'[1]February - 2023'!ES17</f>
        <v>0</v>
      </c>
      <c r="EO18" s="86">
        <f>'[1]February - 2023'!ET17</f>
        <v>0</v>
      </c>
      <c r="EP18" s="208">
        <f>'[1]February - 2023'!EU17</f>
        <v>0</v>
      </c>
      <c r="EQ18" s="86">
        <f>'[1]February - 2023'!EV17</f>
        <v>0</v>
      </c>
      <c r="ER18" s="208">
        <f>'[1]February - 2023'!EW17</f>
        <v>0</v>
      </c>
      <c r="ES18" s="523"/>
      <c r="ET18" s="253">
        <f>'[1]February - 2023'!EY17</f>
        <v>0</v>
      </c>
      <c r="EU18" s="266">
        <f>'[1]February - 2023'!EZ17</f>
        <v>0</v>
      </c>
      <c r="EV18" s="254">
        <f>'[1]February - 2023'!FA17</f>
        <v>0</v>
      </c>
      <c r="EW18" s="266">
        <f>'[1]February - 2023'!FB17</f>
        <v>0</v>
      </c>
      <c r="EX18" s="254">
        <f>'[1]February - 2023'!FC17</f>
        <v>0</v>
      </c>
      <c r="EY18" s="266">
        <f>'[1]February - 2023'!FD17</f>
        <v>0</v>
      </c>
      <c r="EZ18" s="254">
        <f>'[1]February - 2023'!FE17</f>
        <v>0</v>
      </c>
      <c r="FA18" s="266">
        <f>'[1]February - 2023'!FF17</f>
        <v>0</v>
      </c>
      <c r="FB18" s="254">
        <f>'[1]February - 2023'!FG17</f>
        <v>0</v>
      </c>
      <c r="FC18" s="264">
        <f>'[1]February - 2023'!FH17</f>
        <v>0</v>
      </c>
    </row>
    <row r="19" spans="1:159" ht="30" customHeight="1" x14ac:dyDescent="0.25">
      <c r="A19" s="186">
        <v>44967</v>
      </c>
      <c r="B19" s="188">
        <f>'[1]February - 2023'!B18</f>
        <v>0</v>
      </c>
      <c r="C19" s="228">
        <f>'[1]February - 2023'!E18</f>
        <v>0</v>
      </c>
      <c r="D19" s="151">
        <f>'[1]February - 2023'!F19</f>
        <v>0</v>
      </c>
      <c r="E19" s="150">
        <f>'[1]February - 2023'!G18</f>
        <v>557</v>
      </c>
      <c r="F19" s="150">
        <f>'[1]February - 2023'!H18</f>
        <v>0</v>
      </c>
      <c r="G19" s="151">
        <f>'[1]February - 2023'!I19</f>
        <v>0</v>
      </c>
      <c r="H19" s="150">
        <f>'[1]February - 2023'!J18</f>
        <v>118068</v>
      </c>
      <c r="I19" s="239">
        <f>'[1]February - 2023'!K18</f>
        <v>0</v>
      </c>
      <c r="J19" s="151">
        <f>'[1]February - 2023'!L18</f>
        <v>0</v>
      </c>
      <c r="K19" s="239">
        <f>'[1]February - 2023'!N18</f>
        <v>0</v>
      </c>
      <c r="L19" s="151">
        <f>'[1]February - 2023'!O18</f>
        <v>0</v>
      </c>
      <c r="M19" s="239">
        <f>'[1]February - 2023'!Q18</f>
        <v>0</v>
      </c>
      <c r="N19" s="151">
        <f>'[1]February - 2023'!R18</f>
        <v>0</v>
      </c>
      <c r="O19" s="239">
        <f>'[1]February - 2023'!U18</f>
        <v>0</v>
      </c>
      <c r="P19" s="151">
        <f>'[1]February - 2023'!V18</f>
        <v>0</v>
      </c>
      <c r="Q19" s="150">
        <f>'[1]February - 2023'!W18</f>
        <v>41.699999999953434</v>
      </c>
      <c r="R19" s="239">
        <f>'[1]February - 2023'!X18</f>
        <v>0</v>
      </c>
      <c r="S19" s="187">
        <f>'[1]February - 2023'!Y18</f>
        <v>0</v>
      </c>
      <c r="T19" s="444"/>
      <c r="U19" s="244">
        <f>'[1]February - 2023'!AE18</f>
        <v>0</v>
      </c>
      <c r="V19" s="265">
        <f>'[1]February - 2023'!AF18</f>
        <v>0</v>
      </c>
      <c r="W19" s="88">
        <f>'[1]February - 2023'!AG18</f>
        <v>1997.5200000004843</v>
      </c>
      <c r="X19" s="261">
        <f>'[1]February - 2023'!AH18</f>
        <v>0</v>
      </c>
      <c r="Y19" s="265">
        <f>'[1]February - 2023'!AI18</f>
        <v>0</v>
      </c>
      <c r="Z19" s="88">
        <f>'[1]February - 2023'!AJ18</f>
        <v>4579.679999999702</v>
      </c>
      <c r="AA19" s="261">
        <f>'[1]February - 2023'!AK18</f>
        <v>0</v>
      </c>
      <c r="AB19" s="265">
        <f>'[1]February - 2023'!AL18</f>
        <v>0</v>
      </c>
      <c r="AC19" s="88">
        <f>'[1]February - 2023'!AM18</f>
        <v>1364.160000000149</v>
      </c>
      <c r="AD19" s="261">
        <f>'[1]February - 2023'!AN18</f>
        <v>0</v>
      </c>
      <c r="AE19" s="265">
        <f>'[1]February - 2023'!AO18</f>
        <v>0</v>
      </c>
      <c r="AF19" s="88">
        <f>'[1]February - 2023'!AP18</f>
        <v>8720.8799999989569</v>
      </c>
      <c r="AG19" s="261">
        <f>'[1]February - 2023'!AQ18</f>
        <v>0</v>
      </c>
      <c r="AH19" s="265">
        <f>'[1]February - 2023'!AR18</f>
        <v>0</v>
      </c>
      <c r="AI19" s="88">
        <f>'[1]February - 2023'!AS18</f>
        <v>0</v>
      </c>
      <c r="AJ19" s="261">
        <f>'[1]February - 2023'!AT18</f>
        <v>0</v>
      </c>
      <c r="AK19" s="265">
        <f>'[1]February - 2023'!AU18</f>
        <v>0</v>
      </c>
      <c r="AL19" s="88">
        <f>'[1]February - 2023'!AV18</f>
        <v>5895.1200000010431</v>
      </c>
      <c r="AM19" s="261">
        <f>'[1]February - 2023'!AW18</f>
        <v>0</v>
      </c>
      <c r="AN19" s="265">
        <f>'[1]February - 2023'!AX18</f>
        <v>0</v>
      </c>
      <c r="AO19" s="88">
        <f>'[1]February - 2023'!AY18</f>
        <v>3848.8800000008196</v>
      </c>
      <c r="AP19" s="261">
        <f>'[1]February - 2023'!AZ18</f>
        <v>0</v>
      </c>
      <c r="AQ19" s="265">
        <f>'[1]February - 2023'!BA18</f>
        <v>0</v>
      </c>
      <c r="AR19" s="88">
        <f>'[1]February - 2023'!BB18</f>
        <v>4189.9199999999255</v>
      </c>
      <c r="AS19" s="261">
        <f>'[1]February - 2023'!BC18</f>
        <v>0</v>
      </c>
      <c r="AT19" s="265">
        <f>'[1]February - 2023'!BD18</f>
        <v>0</v>
      </c>
      <c r="AU19" s="88">
        <f>'[1]February - 2023'!BE18</f>
        <v>3069.359999999404</v>
      </c>
      <c r="AV19" s="261">
        <f>'[1]February - 2023'!BF18</f>
        <v>0</v>
      </c>
      <c r="AW19" s="229">
        <f>'[1]February - 2023'!BG18</f>
        <v>0</v>
      </c>
      <c r="AX19" s="230">
        <f>'[1]February - 2023'!BH18</f>
        <v>5554.0800000000745</v>
      </c>
      <c r="AY19" s="461"/>
      <c r="AZ19" s="247">
        <f>'[1]February - 2023'!BM18</f>
        <v>0</v>
      </c>
      <c r="BA19" s="160">
        <f>'[1]February - 2023'!BN18</f>
        <v>0</v>
      </c>
      <c r="BB19" s="89">
        <f>'[1]February - 2023'!BO19</f>
        <v>0</v>
      </c>
      <c r="BC19" s="247">
        <f>'[1]February - 2023'!BP18</f>
        <v>0</v>
      </c>
      <c r="BD19" s="223">
        <f>'[1]February - 2023'!BQ18</f>
        <v>0</v>
      </c>
      <c r="BE19" s="89">
        <f>'[1]February - 2023'!BR18</f>
        <v>38100</v>
      </c>
      <c r="BF19" s="247">
        <f>'[1]February - 2023'!BS18</f>
        <v>0</v>
      </c>
      <c r="BG19" s="223">
        <f>'[1]February - 2023'!BT18</f>
        <v>0</v>
      </c>
      <c r="BH19" s="89">
        <f>'[1]February - 2023'!BU18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48">
        <f>'[1]February - 2023'!BV18</f>
        <v>0</v>
      </c>
      <c r="BT19" s="165">
        <f>'[1]February - 2023'!BW18</f>
        <v>0</v>
      </c>
      <c r="BU19" s="557"/>
      <c r="BV19" s="84">
        <f>'[1]February - 2023'!BY18</f>
        <v>0</v>
      </c>
      <c r="BW19" s="219">
        <f>'[1]February - 2023'!BZ18</f>
        <v>0</v>
      </c>
      <c r="BX19" s="84">
        <f>'[1]February - 2023'!CA18</f>
        <v>9.9999999999999978E-2</v>
      </c>
      <c r="BY19" s="85">
        <f>'[1]February - 2023'!CB18</f>
        <v>0</v>
      </c>
      <c r="BZ19" s="171">
        <f>'[1]February - 2023'!CC18</f>
        <v>0</v>
      </c>
      <c r="CA19" s="85">
        <f>'[1]February - 2023'!CD18</f>
        <v>0</v>
      </c>
      <c r="CB19" s="171">
        <f>'[1]February - 2023'!CE18</f>
        <v>0</v>
      </c>
      <c r="CC19" s="85">
        <f>'[1]February - 2023'!CF18</f>
        <v>0</v>
      </c>
      <c r="CD19" s="171">
        <f>'[1]February - 2023'!CG18</f>
        <v>0</v>
      </c>
      <c r="CE19" s="85">
        <f>'[1]February - 2023'!CH18</f>
        <v>0</v>
      </c>
      <c r="CF19" s="171">
        <f>'[1]February - 2023'!CI18</f>
        <v>0</v>
      </c>
      <c r="CG19" s="85">
        <f>'[1]February - 2023'!CJ18</f>
        <v>0</v>
      </c>
      <c r="CH19" s="171">
        <f>'[1]February - 2023'!CK18</f>
        <v>0</v>
      </c>
      <c r="CI19" s="85">
        <f>'[1]February - 2023'!CL18</f>
        <v>0</v>
      </c>
      <c r="CJ19" s="171">
        <f>'[1]February - 2023'!CM18</f>
        <v>0</v>
      </c>
      <c r="CK19" s="85">
        <f>'[1]February - 2023'!CN18</f>
        <v>0</v>
      </c>
      <c r="CL19" s="224">
        <f>'[1]February - 2023'!CO18</f>
        <v>0</v>
      </c>
      <c r="CM19" s="85">
        <f>'[1]February - 2023'!CP18</f>
        <v>108</v>
      </c>
      <c r="CN19" s="85">
        <f>'[1]February - 2023'!CQ18</f>
        <v>0</v>
      </c>
      <c r="CO19" s="224">
        <f>'[1]February - 2023'!CR18</f>
        <v>0</v>
      </c>
      <c r="CP19" s="85">
        <f>'[1]February - 2023'!CV18</f>
        <v>226</v>
      </c>
      <c r="CQ19" s="85">
        <f>'[1]February - 2023'!CT18</f>
        <v>0</v>
      </c>
      <c r="CR19" s="224">
        <f>'[1]February - 2023'!CU18</f>
        <v>0</v>
      </c>
      <c r="CS19" s="85">
        <f>'[1]February - 2023'!CV18</f>
        <v>226</v>
      </c>
      <c r="CT19" s="85">
        <f>'[1]February - 2023'!CW18</f>
        <v>0</v>
      </c>
      <c r="CU19" s="171">
        <f>'[1]February - 2023'!CX18</f>
        <v>0</v>
      </c>
      <c r="CV19" s="485"/>
      <c r="CW19" s="259">
        <f>'[1]February - 2023'!CZ18</f>
        <v>0</v>
      </c>
      <c r="CX19" s="262">
        <f>'[1]February - 2023'!DA18</f>
        <v>0</v>
      </c>
      <c r="CY19" s="260">
        <f>'[1]February - 2023'!DB18</f>
        <v>0</v>
      </c>
      <c r="CZ19" s="262">
        <f>'[1]February - 2023'!DC18</f>
        <v>0</v>
      </c>
      <c r="DA19" s="260">
        <f>'[1]February - 2023'!DD18</f>
        <v>0</v>
      </c>
      <c r="DB19" s="262">
        <f>'[1]February - 2023'!DE18</f>
        <v>0</v>
      </c>
      <c r="DC19" s="260">
        <f>'[1]February - 2023'!DF18</f>
        <v>0</v>
      </c>
      <c r="DD19" s="262">
        <f>'[1]February - 2023'!DG18</f>
        <v>0</v>
      </c>
      <c r="DE19" s="260">
        <f>'[1]February - 2023'!DH18</f>
        <v>0</v>
      </c>
      <c r="DF19" s="262">
        <f>'[1]February - 2023'!DI18</f>
        <v>0</v>
      </c>
      <c r="DG19" s="260">
        <f>'[1]February - 2023'!DJ18</f>
        <v>0</v>
      </c>
      <c r="DH19" s="262">
        <f>'[1]February - 2023'!DK18</f>
        <v>0</v>
      </c>
      <c r="DI19" s="260">
        <f>'[1]February - 2023'!DL18</f>
        <v>0</v>
      </c>
      <c r="DJ19" s="262">
        <f>'[1]February - 2023'!DM18</f>
        <v>0</v>
      </c>
      <c r="DK19" s="260">
        <f>'[1]February - 2023'!DN18</f>
        <v>0</v>
      </c>
      <c r="DL19" s="262">
        <f>'[1]February - 2023'!DO18</f>
        <v>0</v>
      </c>
      <c r="DM19" s="260">
        <f>'[1]February - 2023'!DP18</f>
        <v>0</v>
      </c>
      <c r="DN19" s="262">
        <f>'[1]February - 2023'!DQ18</f>
        <v>0</v>
      </c>
      <c r="DO19" s="260">
        <f>'[1]February - 2023'!DR18</f>
        <v>0</v>
      </c>
      <c r="DP19" s="262">
        <f>'[1]February - 2023'!DS18</f>
        <v>0</v>
      </c>
      <c r="DQ19" s="260">
        <f>'[1]February - 2023'!DT18</f>
        <v>0</v>
      </c>
      <c r="DR19" s="263">
        <f>'[1]February - 2023'!DU18</f>
        <v>0</v>
      </c>
      <c r="DS19" s="501"/>
      <c r="DT19" s="189">
        <f>'[1]February - 2023'!DW18</f>
        <v>0</v>
      </c>
      <c r="DU19" s="200">
        <f>'[1]February - 2023'!DX18</f>
        <v>0</v>
      </c>
      <c r="DV19" s="87">
        <f>'[1]February - 2023'!DY18</f>
        <v>0</v>
      </c>
      <c r="DW19" s="194">
        <f>'[1]February - 2023'!DZ18</f>
        <v>0</v>
      </c>
      <c r="DX19" s="87">
        <f>'[1]February - 2023'!EA18</f>
        <v>0</v>
      </c>
      <c r="DY19" s="194">
        <f>'[1]February - 2023'!EB18</f>
        <v>0</v>
      </c>
      <c r="DZ19" s="87">
        <f>'[1]February - 2023'!EC18</f>
        <v>0</v>
      </c>
      <c r="EA19" s="194">
        <f>'[1]February - 2023'!ED18</f>
        <v>0</v>
      </c>
      <c r="EB19" s="87">
        <f>'[1]February - 2023'!EE18</f>
        <v>0</v>
      </c>
      <c r="EC19" s="194">
        <f>'[1]February - 2023'!EF18</f>
        <v>0</v>
      </c>
      <c r="ED19" s="87">
        <f>'[1]February - 2023'!EI18</f>
        <v>0</v>
      </c>
      <c r="EE19" s="207">
        <f>'[1]February - 2023'!EJ18</f>
        <v>0</v>
      </c>
      <c r="EF19" s="548"/>
      <c r="EG19" s="213">
        <f>'[1]February - 2023'!EL18</f>
        <v>0</v>
      </c>
      <c r="EH19" s="208">
        <f>'[1]February - 2023'!EM18</f>
        <v>0</v>
      </c>
      <c r="EI19" s="86">
        <f>'[1]February - 2023'!EN18</f>
        <v>0</v>
      </c>
      <c r="EJ19" s="208">
        <f>'[1]February - 2023'!EO18</f>
        <v>0</v>
      </c>
      <c r="EK19" s="86">
        <f>'[1]February - 2023'!EP18</f>
        <v>0</v>
      </c>
      <c r="EL19" s="208">
        <f>'[1]February - 2023'!EQ18</f>
        <v>0</v>
      </c>
      <c r="EM19" s="86">
        <f>'[1]February - 2023'!ER18</f>
        <v>0</v>
      </c>
      <c r="EN19" s="208">
        <f>'[1]February - 2023'!ES18</f>
        <v>0</v>
      </c>
      <c r="EO19" s="86">
        <f>'[1]February - 2023'!ET18</f>
        <v>0</v>
      </c>
      <c r="EP19" s="208">
        <f>'[1]February - 2023'!EU18</f>
        <v>0</v>
      </c>
      <c r="EQ19" s="86">
        <f>'[1]February - 2023'!EV18</f>
        <v>0</v>
      </c>
      <c r="ER19" s="208">
        <f>'[1]February - 2023'!EW18</f>
        <v>0</v>
      </c>
      <c r="ES19" s="523"/>
      <c r="ET19" s="253">
        <f>'[1]February - 2023'!EY18</f>
        <v>0</v>
      </c>
      <c r="EU19" s="266">
        <f>'[1]February - 2023'!EZ18</f>
        <v>0</v>
      </c>
      <c r="EV19" s="254">
        <f>'[1]February - 2023'!FA18</f>
        <v>0</v>
      </c>
      <c r="EW19" s="266">
        <f>'[1]February - 2023'!FB18</f>
        <v>0</v>
      </c>
      <c r="EX19" s="254">
        <f>'[1]February - 2023'!FC18</f>
        <v>0</v>
      </c>
      <c r="EY19" s="266">
        <f>'[1]February - 2023'!FD18</f>
        <v>0</v>
      </c>
      <c r="EZ19" s="254">
        <f>'[1]February - 2023'!FE18</f>
        <v>0</v>
      </c>
      <c r="FA19" s="266">
        <f>'[1]February - 2023'!FF18</f>
        <v>0</v>
      </c>
      <c r="FB19" s="254">
        <f>'[1]February - 2023'!FG18</f>
        <v>0</v>
      </c>
      <c r="FC19" s="264">
        <f>'[1]February - 2023'!FH18</f>
        <v>0</v>
      </c>
    </row>
    <row r="20" spans="1:159" ht="30" customHeight="1" x14ac:dyDescent="0.25">
      <c r="A20" s="186">
        <v>44968</v>
      </c>
      <c r="B20" s="188">
        <f>'[1]February - 2023'!B19</f>
        <v>0</v>
      </c>
      <c r="C20" s="228">
        <f>'[1]February - 2023'!E19</f>
        <v>0</v>
      </c>
      <c r="D20" s="151">
        <f>'[1]February - 2023'!F20</f>
        <v>0</v>
      </c>
      <c r="E20" s="150">
        <f>'[1]February - 2023'!G19</f>
        <v>568</v>
      </c>
      <c r="F20" s="150">
        <f>'[1]February - 2023'!H19</f>
        <v>0</v>
      </c>
      <c r="G20" s="151">
        <f>'[1]February - 2023'!I20</f>
        <v>0</v>
      </c>
      <c r="H20" s="150">
        <f>'[1]February - 2023'!J19</f>
        <v>118505</v>
      </c>
      <c r="I20" s="239">
        <f>'[1]February - 2023'!K19</f>
        <v>0</v>
      </c>
      <c r="J20" s="151">
        <f>'[1]February - 2023'!L19</f>
        <v>0</v>
      </c>
      <c r="K20" s="239">
        <f>'[1]February - 2023'!N19</f>
        <v>0</v>
      </c>
      <c r="L20" s="151">
        <f>'[1]February - 2023'!O19</f>
        <v>0</v>
      </c>
      <c r="M20" s="239">
        <f>'[1]February - 2023'!Q19</f>
        <v>0</v>
      </c>
      <c r="N20" s="151">
        <f>'[1]February - 2023'!R19</f>
        <v>0</v>
      </c>
      <c r="O20" s="239">
        <f>'[1]February - 2023'!U19</f>
        <v>0</v>
      </c>
      <c r="P20" s="151">
        <f>'[1]February - 2023'!V19</f>
        <v>0</v>
      </c>
      <c r="Q20" s="150">
        <f>'[1]February - 2023'!W19</f>
        <v>57.300000000046566</v>
      </c>
      <c r="R20" s="239">
        <f>'[1]February - 2023'!X19</f>
        <v>0</v>
      </c>
      <c r="S20" s="187">
        <f>'[1]February - 2023'!Y19</f>
        <v>0</v>
      </c>
      <c r="T20" s="444"/>
      <c r="U20" s="244">
        <f>'[1]February - 2023'!AE19</f>
        <v>0</v>
      </c>
      <c r="V20" s="265">
        <f>'[1]February - 2023'!AF19</f>
        <v>0</v>
      </c>
      <c r="W20" s="88">
        <f>'[1]February - 2023'!AG19</f>
        <v>2094.9599999999627</v>
      </c>
      <c r="X20" s="261">
        <f>'[1]February - 2023'!AH19</f>
        <v>0</v>
      </c>
      <c r="Y20" s="265">
        <f>'[1]February - 2023'!AI19</f>
        <v>0</v>
      </c>
      <c r="Z20" s="88">
        <f>'[1]February - 2023'!AJ19</f>
        <v>4482.2400000002235</v>
      </c>
      <c r="AA20" s="261">
        <f>'[1]February - 2023'!AK19</f>
        <v>0</v>
      </c>
      <c r="AB20" s="265">
        <f>'[1]February - 2023'!AL19</f>
        <v>0</v>
      </c>
      <c r="AC20" s="88">
        <f>'[1]February - 2023'!AM19</f>
        <v>1364.160000000149</v>
      </c>
      <c r="AD20" s="261">
        <f>'[1]February - 2023'!AN19</f>
        <v>0</v>
      </c>
      <c r="AE20" s="265">
        <f>'[1]February - 2023'!AO19</f>
        <v>0</v>
      </c>
      <c r="AF20" s="88">
        <f>'[1]February - 2023'!AP19</f>
        <v>8769.6000000014901</v>
      </c>
      <c r="AG20" s="261">
        <f>'[1]February - 2023'!AQ19</f>
        <v>0</v>
      </c>
      <c r="AH20" s="265">
        <f>'[1]February - 2023'!AR19</f>
        <v>0</v>
      </c>
      <c r="AI20" s="88">
        <f>'[1]February - 2023'!AS19</f>
        <v>0</v>
      </c>
      <c r="AJ20" s="261">
        <f>'[1]February - 2023'!AT19</f>
        <v>0</v>
      </c>
      <c r="AK20" s="265">
        <f>'[1]February - 2023'!AU19</f>
        <v>0</v>
      </c>
      <c r="AL20" s="88">
        <f>'[1]February - 2023'!AV19</f>
        <v>5943.839999999851</v>
      </c>
      <c r="AM20" s="261">
        <f>'[1]February - 2023'!AW19</f>
        <v>0</v>
      </c>
      <c r="AN20" s="265">
        <f>'[1]February - 2023'!AX19</f>
        <v>0</v>
      </c>
      <c r="AO20" s="88">
        <f>'[1]February - 2023'!AY19</f>
        <v>4238.6399999987334</v>
      </c>
      <c r="AP20" s="261">
        <f>'[1]February - 2023'!AZ19</f>
        <v>0</v>
      </c>
      <c r="AQ20" s="265">
        <f>'[1]February - 2023'!BA19</f>
        <v>0</v>
      </c>
      <c r="AR20" s="88">
        <f>'[1]February - 2023'!BB19</f>
        <v>4482.2400000002235</v>
      </c>
      <c r="AS20" s="261">
        <f>'[1]February - 2023'!BC19</f>
        <v>0</v>
      </c>
      <c r="AT20" s="265">
        <f>'[1]February - 2023'!BD19</f>
        <v>0</v>
      </c>
      <c r="AU20" s="88">
        <f>'[1]February - 2023'!BE19</f>
        <v>3069.3600000012666</v>
      </c>
      <c r="AV20" s="261">
        <f>'[1]February - 2023'!BF19</f>
        <v>0</v>
      </c>
      <c r="AW20" s="229">
        <f>'[1]February - 2023'!BG19</f>
        <v>0</v>
      </c>
      <c r="AX20" s="230">
        <f>'[1]February - 2023'!BH19</f>
        <v>5602.8000000007451</v>
      </c>
      <c r="AY20" s="461"/>
      <c r="AZ20" s="247">
        <f>'[1]February - 2023'!BM19</f>
        <v>0</v>
      </c>
      <c r="BA20" s="160">
        <f>'[1]February - 2023'!BN19</f>
        <v>0</v>
      </c>
      <c r="BB20" s="89">
        <f>'[1]February - 2023'!BO20</f>
        <v>0</v>
      </c>
      <c r="BC20" s="247">
        <f>'[1]February - 2023'!BP19</f>
        <v>0</v>
      </c>
      <c r="BD20" s="223">
        <f>'[1]February - 2023'!BQ19</f>
        <v>0</v>
      </c>
      <c r="BE20" s="89">
        <f>'[1]February - 2023'!BR19</f>
        <v>39200</v>
      </c>
      <c r="BF20" s="247">
        <f>'[1]February - 2023'!BS19</f>
        <v>0</v>
      </c>
      <c r="BG20" s="223">
        <f>'[1]February - 2023'!BT19</f>
        <v>0</v>
      </c>
      <c r="BH20" s="89">
        <f>'[1]February - 2023'!BU19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48">
        <f>'[1]February - 2023'!BV19</f>
        <v>0</v>
      </c>
      <c r="BT20" s="165">
        <f>'[1]February - 2023'!BW19</f>
        <v>0</v>
      </c>
      <c r="BU20" s="557"/>
      <c r="BV20" s="84">
        <f>'[1]February - 2023'!BY19</f>
        <v>0</v>
      </c>
      <c r="BW20" s="219">
        <f>'[1]February - 2023'!BZ19</f>
        <v>0</v>
      </c>
      <c r="BX20" s="84">
        <f>'[1]February - 2023'!CA19</f>
        <v>-0.13</v>
      </c>
      <c r="BY20" s="85">
        <f>'[1]February - 2023'!CB19</f>
        <v>0</v>
      </c>
      <c r="BZ20" s="171">
        <f>'[1]February - 2023'!CC19</f>
        <v>0</v>
      </c>
      <c r="CA20" s="85">
        <f>'[1]February - 2023'!CD19</f>
        <v>0</v>
      </c>
      <c r="CB20" s="171">
        <f>'[1]February - 2023'!CE19</f>
        <v>0</v>
      </c>
      <c r="CC20" s="85">
        <f>'[1]February - 2023'!CF19</f>
        <v>0</v>
      </c>
      <c r="CD20" s="171">
        <f>'[1]February - 2023'!CG19</f>
        <v>0</v>
      </c>
      <c r="CE20" s="85">
        <f>'[1]February - 2023'!CH19</f>
        <v>0</v>
      </c>
      <c r="CF20" s="171">
        <f>'[1]February - 2023'!CI19</f>
        <v>0</v>
      </c>
      <c r="CG20" s="85">
        <f>'[1]February - 2023'!CJ19</f>
        <v>0</v>
      </c>
      <c r="CH20" s="171">
        <f>'[1]February - 2023'!CK19</f>
        <v>0</v>
      </c>
      <c r="CI20" s="85">
        <f>'[1]February - 2023'!CL19</f>
        <v>0</v>
      </c>
      <c r="CJ20" s="171">
        <f>'[1]February - 2023'!CM19</f>
        <v>0</v>
      </c>
      <c r="CK20" s="85">
        <f>'[1]February - 2023'!CN19</f>
        <v>0</v>
      </c>
      <c r="CL20" s="224">
        <f>'[1]February - 2023'!CO19</f>
        <v>0</v>
      </c>
      <c r="CM20" s="85">
        <f>'[1]February - 2023'!CP19</f>
        <v>105</v>
      </c>
      <c r="CN20" s="85">
        <f>'[1]February - 2023'!CQ19</f>
        <v>0</v>
      </c>
      <c r="CO20" s="224">
        <f>'[1]February - 2023'!CR19</f>
        <v>0</v>
      </c>
      <c r="CP20" s="85">
        <f>'[1]February - 2023'!CV19</f>
        <v>266</v>
      </c>
      <c r="CQ20" s="85">
        <f>'[1]February - 2023'!CT19</f>
        <v>0</v>
      </c>
      <c r="CR20" s="224">
        <f>'[1]February - 2023'!CU19</f>
        <v>0</v>
      </c>
      <c r="CS20" s="85">
        <f>'[1]February - 2023'!CV19</f>
        <v>266</v>
      </c>
      <c r="CT20" s="85">
        <f>'[1]February - 2023'!CW19</f>
        <v>0</v>
      </c>
      <c r="CU20" s="171">
        <f>'[1]February - 2023'!CX19</f>
        <v>0</v>
      </c>
      <c r="CV20" s="485"/>
      <c r="CW20" s="259">
        <f>'[1]February - 2023'!CZ19</f>
        <v>0</v>
      </c>
      <c r="CX20" s="262">
        <f>'[1]February - 2023'!DA19</f>
        <v>0</v>
      </c>
      <c r="CY20" s="260">
        <f>'[1]February - 2023'!DB19</f>
        <v>0</v>
      </c>
      <c r="CZ20" s="262">
        <f>'[1]February - 2023'!DC19</f>
        <v>0</v>
      </c>
      <c r="DA20" s="260">
        <f>'[1]February - 2023'!DD19</f>
        <v>0</v>
      </c>
      <c r="DB20" s="262">
        <f>'[1]February - 2023'!DE19</f>
        <v>0</v>
      </c>
      <c r="DC20" s="260">
        <f>'[1]February - 2023'!DF19</f>
        <v>0</v>
      </c>
      <c r="DD20" s="262">
        <f>'[1]February - 2023'!DG19</f>
        <v>0</v>
      </c>
      <c r="DE20" s="260">
        <f>'[1]February - 2023'!DH19</f>
        <v>0</v>
      </c>
      <c r="DF20" s="262">
        <f>'[1]February - 2023'!DI19</f>
        <v>0</v>
      </c>
      <c r="DG20" s="260">
        <f>'[1]February - 2023'!DJ19</f>
        <v>0</v>
      </c>
      <c r="DH20" s="262">
        <f>'[1]February - 2023'!DK19</f>
        <v>0</v>
      </c>
      <c r="DI20" s="260">
        <f>'[1]February - 2023'!DL19</f>
        <v>0</v>
      </c>
      <c r="DJ20" s="262">
        <f>'[1]February - 2023'!DM19</f>
        <v>0</v>
      </c>
      <c r="DK20" s="260">
        <f>'[1]February - 2023'!DN19</f>
        <v>0</v>
      </c>
      <c r="DL20" s="262">
        <f>'[1]February - 2023'!DO19</f>
        <v>0</v>
      </c>
      <c r="DM20" s="260">
        <f>'[1]February - 2023'!DP19</f>
        <v>0</v>
      </c>
      <c r="DN20" s="262">
        <f>'[1]February - 2023'!DQ19</f>
        <v>0</v>
      </c>
      <c r="DO20" s="260">
        <f>'[1]February - 2023'!DR19</f>
        <v>0</v>
      </c>
      <c r="DP20" s="262">
        <f>'[1]February - 2023'!DS19</f>
        <v>0</v>
      </c>
      <c r="DQ20" s="260">
        <f>'[1]February - 2023'!DT19</f>
        <v>0</v>
      </c>
      <c r="DR20" s="263">
        <f>'[1]February - 2023'!DU19</f>
        <v>0</v>
      </c>
      <c r="DS20" s="501"/>
      <c r="DT20" s="189">
        <f>'[1]February - 2023'!DW19</f>
        <v>0</v>
      </c>
      <c r="DU20" s="200">
        <f>'[1]February - 2023'!DX19</f>
        <v>0</v>
      </c>
      <c r="DV20" s="87">
        <f>'[1]February - 2023'!DY19</f>
        <v>0</v>
      </c>
      <c r="DW20" s="194">
        <f>'[1]February - 2023'!DZ19</f>
        <v>0</v>
      </c>
      <c r="DX20" s="87">
        <f>'[1]February - 2023'!EA19</f>
        <v>0</v>
      </c>
      <c r="DY20" s="194">
        <f>'[1]February - 2023'!EB19</f>
        <v>0</v>
      </c>
      <c r="DZ20" s="87">
        <f>'[1]February - 2023'!EC19</f>
        <v>0</v>
      </c>
      <c r="EA20" s="194">
        <f>'[1]February - 2023'!ED19</f>
        <v>0</v>
      </c>
      <c r="EB20" s="87">
        <f>'[1]February - 2023'!EE19</f>
        <v>0</v>
      </c>
      <c r="EC20" s="194">
        <f>'[1]February - 2023'!EF19</f>
        <v>0</v>
      </c>
      <c r="ED20" s="87">
        <f>'[1]February - 2023'!EI19</f>
        <v>0</v>
      </c>
      <c r="EE20" s="207">
        <f>'[1]February - 2023'!EJ19</f>
        <v>0</v>
      </c>
      <c r="EF20" s="548"/>
      <c r="EG20" s="213">
        <f>'[1]February - 2023'!EL19</f>
        <v>0</v>
      </c>
      <c r="EH20" s="208">
        <f>'[1]February - 2023'!EM19</f>
        <v>0</v>
      </c>
      <c r="EI20" s="86">
        <f>'[1]February - 2023'!EN19</f>
        <v>0</v>
      </c>
      <c r="EJ20" s="208">
        <f>'[1]February - 2023'!EO19</f>
        <v>0</v>
      </c>
      <c r="EK20" s="86">
        <f>'[1]February - 2023'!EP19</f>
        <v>0</v>
      </c>
      <c r="EL20" s="208">
        <f>'[1]February - 2023'!EQ19</f>
        <v>0</v>
      </c>
      <c r="EM20" s="86">
        <f>'[1]February - 2023'!ER19</f>
        <v>0</v>
      </c>
      <c r="EN20" s="208">
        <f>'[1]February - 2023'!ES19</f>
        <v>0</v>
      </c>
      <c r="EO20" s="86">
        <f>'[1]February - 2023'!ET19</f>
        <v>0</v>
      </c>
      <c r="EP20" s="208">
        <f>'[1]February - 2023'!EU19</f>
        <v>0</v>
      </c>
      <c r="EQ20" s="86">
        <f>'[1]February - 2023'!EV19</f>
        <v>0</v>
      </c>
      <c r="ER20" s="208">
        <f>'[1]February - 2023'!EW19</f>
        <v>0</v>
      </c>
      <c r="ES20" s="523"/>
      <c r="ET20" s="253">
        <f>'[1]February - 2023'!EY19</f>
        <v>0</v>
      </c>
      <c r="EU20" s="266">
        <f>'[1]February - 2023'!EZ19</f>
        <v>0</v>
      </c>
      <c r="EV20" s="254">
        <f>'[1]February - 2023'!FA19</f>
        <v>0</v>
      </c>
      <c r="EW20" s="266">
        <f>'[1]February - 2023'!FB19</f>
        <v>0</v>
      </c>
      <c r="EX20" s="254">
        <f>'[1]February - 2023'!FC19</f>
        <v>0</v>
      </c>
      <c r="EY20" s="266">
        <f>'[1]February - 2023'!FD19</f>
        <v>0</v>
      </c>
      <c r="EZ20" s="254">
        <f>'[1]February - 2023'!FE19</f>
        <v>0</v>
      </c>
      <c r="FA20" s="266">
        <f>'[1]February - 2023'!FF19</f>
        <v>0</v>
      </c>
      <c r="FB20" s="254">
        <f>'[1]February - 2023'!FG19</f>
        <v>0</v>
      </c>
      <c r="FC20" s="264">
        <f>'[1]February - 2023'!FH19</f>
        <v>0</v>
      </c>
    </row>
    <row r="21" spans="1:159" ht="30" customHeight="1" x14ac:dyDescent="0.25">
      <c r="A21" s="186">
        <v>44969</v>
      </c>
      <c r="B21" s="188">
        <f>'[1]February - 2023'!B20</f>
        <v>0</v>
      </c>
      <c r="C21" s="228">
        <f>'[1]February - 2023'!E20</f>
        <v>0</v>
      </c>
      <c r="D21" s="151">
        <f>'[1]February - 2023'!F21</f>
        <v>0</v>
      </c>
      <c r="E21" s="150">
        <f>'[1]February - 2023'!G20</f>
        <v>614</v>
      </c>
      <c r="F21" s="150">
        <f>'[1]February - 2023'!H20</f>
        <v>0</v>
      </c>
      <c r="G21" s="151">
        <f>'[1]February - 2023'!I21</f>
        <v>0</v>
      </c>
      <c r="H21" s="150">
        <f>'[1]February - 2023'!J20</f>
        <v>118989</v>
      </c>
      <c r="I21" s="239">
        <f>'[1]February - 2023'!K20</f>
        <v>0</v>
      </c>
      <c r="J21" s="151">
        <f>'[1]February - 2023'!L20</f>
        <v>0</v>
      </c>
      <c r="K21" s="239">
        <f>'[1]February - 2023'!N20</f>
        <v>0</v>
      </c>
      <c r="L21" s="151">
        <f>'[1]February - 2023'!O20</f>
        <v>0</v>
      </c>
      <c r="M21" s="239">
        <f>'[1]February - 2023'!Q20</f>
        <v>0</v>
      </c>
      <c r="N21" s="151">
        <f>'[1]February - 2023'!R20</f>
        <v>0</v>
      </c>
      <c r="O21" s="239">
        <f>'[1]February - 2023'!U20</f>
        <v>0</v>
      </c>
      <c r="P21" s="151">
        <f>'[1]February - 2023'!V20</f>
        <v>0</v>
      </c>
      <c r="Q21" s="150">
        <f>'[1]February - 2023'!W20</f>
        <v>207</v>
      </c>
      <c r="R21" s="239">
        <f>'[1]February - 2023'!X20</f>
        <v>0</v>
      </c>
      <c r="S21" s="187">
        <f>'[1]February - 2023'!Y20</f>
        <v>0</v>
      </c>
      <c r="T21" s="444"/>
      <c r="U21" s="244">
        <f>'[1]February - 2023'!AE20</f>
        <v>0</v>
      </c>
      <c r="V21" s="265">
        <f>'[1]February - 2023'!AF20</f>
        <v>0</v>
      </c>
      <c r="W21" s="88">
        <f>'[1]February - 2023'!AG20</f>
        <v>2241.1200000001118</v>
      </c>
      <c r="X21" s="261">
        <f>'[1]February - 2023'!AH20</f>
        <v>0</v>
      </c>
      <c r="Y21" s="265">
        <f>'[1]February - 2023'!AI20</f>
        <v>0</v>
      </c>
      <c r="Z21" s="88">
        <f>'[1]February - 2023'!AJ20</f>
        <v>4677.1200000010431</v>
      </c>
      <c r="AA21" s="261">
        <f>'[1]February - 2023'!AK20</f>
        <v>0</v>
      </c>
      <c r="AB21" s="265">
        <f>'[1]February - 2023'!AL20</f>
        <v>0</v>
      </c>
      <c r="AC21" s="88">
        <f>'[1]February - 2023'!AM20</f>
        <v>0</v>
      </c>
      <c r="AD21" s="261">
        <f>'[1]February - 2023'!AN20</f>
        <v>0</v>
      </c>
      <c r="AE21" s="265">
        <f>'[1]February - 2023'!AO20</f>
        <v>0</v>
      </c>
      <c r="AF21" s="88">
        <f>'[1]February - 2023'!AP20</f>
        <v>10913.279999997467</v>
      </c>
      <c r="AG21" s="261">
        <f>'[1]February - 2023'!AQ20</f>
        <v>0</v>
      </c>
      <c r="AH21" s="265">
        <f>'[1]February - 2023'!AR20</f>
        <v>0</v>
      </c>
      <c r="AI21" s="88">
        <f>'[1]February - 2023'!AS20</f>
        <v>0</v>
      </c>
      <c r="AJ21" s="261">
        <f>'[1]February - 2023'!AT20</f>
        <v>0</v>
      </c>
      <c r="AK21" s="265">
        <f>'[1]February - 2023'!AU20</f>
        <v>0</v>
      </c>
      <c r="AL21" s="88">
        <f>'[1]February - 2023'!AV20</f>
        <v>6236.160000000149</v>
      </c>
      <c r="AM21" s="261">
        <f>'[1]February - 2023'!AW20</f>
        <v>0</v>
      </c>
      <c r="AN21" s="265">
        <f>'[1]February - 2023'!AX20</f>
        <v>0</v>
      </c>
      <c r="AO21" s="88">
        <f>'[1]February - 2023'!AY20</f>
        <v>4433.5200000014156</v>
      </c>
      <c r="AP21" s="261">
        <f>'[1]February - 2023'!AZ20</f>
        <v>0</v>
      </c>
      <c r="AQ21" s="265">
        <f>'[1]February - 2023'!BA20</f>
        <v>0</v>
      </c>
      <c r="AR21" s="88">
        <f>'[1]February - 2023'!BB20</f>
        <v>4628.4000000003725</v>
      </c>
      <c r="AS21" s="261">
        <f>'[1]February - 2023'!BC20</f>
        <v>0</v>
      </c>
      <c r="AT21" s="265">
        <f>'[1]February - 2023'!BD20</f>
        <v>0</v>
      </c>
      <c r="AU21" s="88">
        <f>'[1]February - 2023'!BE20</f>
        <v>3264.2399999983609</v>
      </c>
      <c r="AV21" s="261">
        <f>'[1]February - 2023'!BF20</f>
        <v>0</v>
      </c>
      <c r="AW21" s="229">
        <f>'[1]February - 2023'!BG20</f>
        <v>0</v>
      </c>
      <c r="AX21" s="230">
        <f>'[1]February - 2023'!BH20</f>
        <v>5602.7999999988824</v>
      </c>
      <c r="AY21" s="461"/>
      <c r="AZ21" s="247">
        <f>'[1]February - 2023'!BM20</f>
        <v>0</v>
      </c>
      <c r="BA21" s="160">
        <f>'[1]February - 2023'!BN20</f>
        <v>0</v>
      </c>
      <c r="BB21" s="89">
        <f>'[1]February - 2023'!BO21</f>
        <v>0</v>
      </c>
      <c r="BC21" s="247">
        <f>'[1]February - 2023'!BP20</f>
        <v>0</v>
      </c>
      <c r="BD21" s="223">
        <f>'[1]February - 2023'!BQ20</f>
        <v>0</v>
      </c>
      <c r="BE21" s="89">
        <f>'[1]February - 2023'!BR20</f>
        <v>42300</v>
      </c>
      <c r="BF21" s="247">
        <f>'[1]February - 2023'!BS20</f>
        <v>0</v>
      </c>
      <c r="BG21" s="223">
        <f>'[1]February - 2023'!BT20</f>
        <v>0</v>
      </c>
      <c r="BH21" s="89">
        <f>'[1]February - 2023'!BU20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48">
        <f>'[1]February - 2023'!BV20</f>
        <v>0</v>
      </c>
      <c r="BT21" s="165">
        <f>'[1]February - 2023'!BW20</f>
        <v>0</v>
      </c>
      <c r="BU21" s="557"/>
      <c r="BV21" s="84">
        <f>'[1]February - 2023'!BY20</f>
        <v>0</v>
      </c>
      <c r="BW21" s="219">
        <f>'[1]February - 2023'!BZ20</f>
        <v>0</v>
      </c>
      <c r="BX21" s="84">
        <f>'[1]February - 2023'!CA20</f>
        <v>0.12</v>
      </c>
      <c r="BY21" s="85">
        <f>'[1]February - 2023'!CB20</f>
        <v>0</v>
      </c>
      <c r="BZ21" s="171">
        <f>'[1]February - 2023'!CC20</f>
        <v>0</v>
      </c>
      <c r="CA21" s="85">
        <f>'[1]February - 2023'!CD20</f>
        <v>0</v>
      </c>
      <c r="CB21" s="171">
        <f>'[1]February - 2023'!CE20</f>
        <v>0</v>
      </c>
      <c r="CC21" s="85">
        <f>'[1]February - 2023'!CF20</f>
        <v>0</v>
      </c>
      <c r="CD21" s="171">
        <f>'[1]February - 2023'!CG20</f>
        <v>0</v>
      </c>
      <c r="CE21" s="85">
        <f>'[1]February - 2023'!CH20</f>
        <v>0</v>
      </c>
      <c r="CF21" s="171">
        <f>'[1]February - 2023'!CI20</f>
        <v>0</v>
      </c>
      <c r="CG21" s="85">
        <f>'[1]February - 2023'!CJ20</f>
        <v>0</v>
      </c>
      <c r="CH21" s="171">
        <f>'[1]February - 2023'!CK20</f>
        <v>0</v>
      </c>
      <c r="CI21" s="85">
        <f>'[1]February - 2023'!CL20</f>
        <v>0</v>
      </c>
      <c r="CJ21" s="171">
        <f>'[1]February - 2023'!CM20</f>
        <v>0</v>
      </c>
      <c r="CK21" s="85">
        <f>'[1]February - 2023'!CN20</f>
        <v>0</v>
      </c>
      <c r="CL21" s="224">
        <f>'[1]February - 2023'!CO20</f>
        <v>0</v>
      </c>
      <c r="CM21" s="85">
        <f>'[1]February - 2023'!CP20</f>
        <v>100</v>
      </c>
      <c r="CN21" s="85">
        <f>'[1]February - 2023'!CQ20</f>
        <v>0</v>
      </c>
      <c r="CO21" s="224">
        <f>'[1]February - 2023'!CR20</f>
        <v>0</v>
      </c>
      <c r="CP21" s="85">
        <f>'[1]February - 2023'!CV20</f>
        <v>290</v>
      </c>
      <c r="CQ21" s="85">
        <f>'[1]February - 2023'!CT20</f>
        <v>0</v>
      </c>
      <c r="CR21" s="224">
        <f>'[1]February - 2023'!CU20</f>
        <v>0</v>
      </c>
      <c r="CS21" s="85">
        <f>'[1]February - 2023'!CV20</f>
        <v>290</v>
      </c>
      <c r="CT21" s="85">
        <f>'[1]February - 2023'!CW20</f>
        <v>0</v>
      </c>
      <c r="CU21" s="171">
        <f>'[1]February - 2023'!CX20</f>
        <v>0</v>
      </c>
      <c r="CV21" s="485"/>
      <c r="CW21" s="259">
        <f>'[1]February - 2023'!CZ20</f>
        <v>0</v>
      </c>
      <c r="CX21" s="262">
        <f>'[1]February - 2023'!DA20</f>
        <v>0</v>
      </c>
      <c r="CY21" s="260">
        <f>'[1]February - 2023'!DB20</f>
        <v>0</v>
      </c>
      <c r="CZ21" s="262">
        <f>'[1]February - 2023'!DC20</f>
        <v>0</v>
      </c>
      <c r="DA21" s="260">
        <f>'[1]February - 2023'!DD20</f>
        <v>0</v>
      </c>
      <c r="DB21" s="262">
        <f>'[1]February - 2023'!DE20</f>
        <v>0</v>
      </c>
      <c r="DC21" s="260">
        <f>'[1]February - 2023'!DF20</f>
        <v>0</v>
      </c>
      <c r="DD21" s="262">
        <f>'[1]February - 2023'!DG20</f>
        <v>0</v>
      </c>
      <c r="DE21" s="260">
        <f>'[1]February - 2023'!DH20</f>
        <v>0</v>
      </c>
      <c r="DF21" s="262">
        <f>'[1]February - 2023'!DI20</f>
        <v>0</v>
      </c>
      <c r="DG21" s="260">
        <f>'[1]February - 2023'!DJ20</f>
        <v>0</v>
      </c>
      <c r="DH21" s="262">
        <f>'[1]February - 2023'!DK20</f>
        <v>0</v>
      </c>
      <c r="DI21" s="260">
        <f>'[1]February - 2023'!DL20</f>
        <v>0</v>
      </c>
      <c r="DJ21" s="262">
        <f>'[1]February - 2023'!DM20</f>
        <v>0</v>
      </c>
      <c r="DK21" s="260">
        <f>'[1]February - 2023'!DN20</f>
        <v>0</v>
      </c>
      <c r="DL21" s="262">
        <f>'[1]February - 2023'!DO20</f>
        <v>0</v>
      </c>
      <c r="DM21" s="260">
        <f>'[1]February - 2023'!DP20</f>
        <v>0</v>
      </c>
      <c r="DN21" s="262">
        <f>'[1]February - 2023'!DQ20</f>
        <v>0</v>
      </c>
      <c r="DO21" s="260">
        <f>'[1]February - 2023'!DR20</f>
        <v>0</v>
      </c>
      <c r="DP21" s="262">
        <f>'[1]February - 2023'!DS20</f>
        <v>0</v>
      </c>
      <c r="DQ21" s="260">
        <f>'[1]February - 2023'!DT20</f>
        <v>0</v>
      </c>
      <c r="DR21" s="263">
        <f>'[1]February - 2023'!DU20</f>
        <v>0</v>
      </c>
      <c r="DS21" s="501"/>
      <c r="DT21" s="189">
        <f>'[1]February - 2023'!DW20</f>
        <v>0</v>
      </c>
      <c r="DU21" s="200">
        <f>'[1]February - 2023'!DX20</f>
        <v>0</v>
      </c>
      <c r="DV21" s="87">
        <f>'[1]February - 2023'!DY20</f>
        <v>0</v>
      </c>
      <c r="DW21" s="194">
        <f>'[1]February - 2023'!DZ20</f>
        <v>0</v>
      </c>
      <c r="DX21" s="87">
        <f>'[1]February - 2023'!EA20</f>
        <v>0</v>
      </c>
      <c r="DY21" s="194">
        <f>'[1]February - 2023'!EB20</f>
        <v>0</v>
      </c>
      <c r="DZ21" s="87">
        <f>'[1]February - 2023'!EC20</f>
        <v>0</v>
      </c>
      <c r="EA21" s="194">
        <f>'[1]February - 2023'!ED20</f>
        <v>0</v>
      </c>
      <c r="EB21" s="87">
        <f>'[1]February - 2023'!EE20</f>
        <v>0</v>
      </c>
      <c r="EC21" s="194">
        <f>'[1]February - 2023'!EF20</f>
        <v>0</v>
      </c>
      <c r="ED21" s="87">
        <f>'[1]February - 2023'!EI20</f>
        <v>0</v>
      </c>
      <c r="EE21" s="207">
        <f>'[1]February - 2023'!EJ20</f>
        <v>0</v>
      </c>
      <c r="EF21" s="548"/>
      <c r="EG21" s="213">
        <f>'[1]February - 2023'!EL20</f>
        <v>0</v>
      </c>
      <c r="EH21" s="208">
        <f>'[1]February - 2023'!EM20</f>
        <v>0</v>
      </c>
      <c r="EI21" s="86">
        <f>'[1]February - 2023'!EN20</f>
        <v>0</v>
      </c>
      <c r="EJ21" s="208">
        <f>'[1]February - 2023'!EO20</f>
        <v>0</v>
      </c>
      <c r="EK21" s="86">
        <f>'[1]February - 2023'!EP20</f>
        <v>0</v>
      </c>
      <c r="EL21" s="208">
        <f>'[1]February - 2023'!EQ20</f>
        <v>0</v>
      </c>
      <c r="EM21" s="86">
        <f>'[1]February - 2023'!ER20</f>
        <v>0</v>
      </c>
      <c r="EN21" s="208">
        <f>'[1]February - 2023'!ES20</f>
        <v>0</v>
      </c>
      <c r="EO21" s="86">
        <f>'[1]February - 2023'!ET20</f>
        <v>0</v>
      </c>
      <c r="EP21" s="208">
        <f>'[1]February - 2023'!EU20</f>
        <v>0</v>
      </c>
      <c r="EQ21" s="86">
        <f>'[1]February - 2023'!EV20</f>
        <v>0</v>
      </c>
      <c r="ER21" s="208">
        <f>'[1]February - 2023'!EW20</f>
        <v>0</v>
      </c>
      <c r="ES21" s="523"/>
      <c r="ET21" s="253">
        <f>'[1]February - 2023'!EY20</f>
        <v>0</v>
      </c>
      <c r="EU21" s="266">
        <f>'[1]February - 2023'!EZ20</f>
        <v>0</v>
      </c>
      <c r="EV21" s="254">
        <f>'[1]February - 2023'!FA20</f>
        <v>0</v>
      </c>
      <c r="EW21" s="266">
        <f>'[1]February - 2023'!FB20</f>
        <v>0</v>
      </c>
      <c r="EX21" s="254">
        <f>'[1]February - 2023'!FC20</f>
        <v>0</v>
      </c>
      <c r="EY21" s="266">
        <f>'[1]February - 2023'!FD20</f>
        <v>0</v>
      </c>
      <c r="EZ21" s="254">
        <f>'[1]February - 2023'!FE20</f>
        <v>0</v>
      </c>
      <c r="FA21" s="266">
        <f>'[1]February - 2023'!FF20</f>
        <v>0</v>
      </c>
      <c r="FB21" s="254">
        <f>'[1]February - 2023'!FG20</f>
        <v>0</v>
      </c>
      <c r="FC21" s="264">
        <f>'[1]February - 2023'!FH20</f>
        <v>0</v>
      </c>
    </row>
    <row r="22" spans="1:159" ht="30" customHeight="1" x14ac:dyDescent="0.25">
      <c r="A22" s="186">
        <v>44970</v>
      </c>
      <c r="B22" s="188">
        <f>'[1]February - 2023'!B21</f>
        <v>0</v>
      </c>
      <c r="C22" s="228">
        <f>'[1]February - 2023'!E21</f>
        <v>0</v>
      </c>
      <c r="D22" s="151">
        <f>'[1]February - 2023'!F22</f>
        <v>0</v>
      </c>
      <c r="E22" s="150">
        <f>'[1]February - 2023'!G21</f>
        <v>601</v>
      </c>
      <c r="F22" s="150">
        <f>'[1]February - 2023'!H21</f>
        <v>0</v>
      </c>
      <c r="G22" s="151">
        <f>'[1]February - 2023'!I22</f>
        <v>0</v>
      </c>
      <c r="H22" s="150">
        <f>'[1]February - 2023'!J21</f>
        <v>119457</v>
      </c>
      <c r="I22" s="239">
        <f>'[1]February - 2023'!K21</f>
        <v>0</v>
      </c>
      <c r="J22" s="151">
        <f>'[1]February - 2023'!L21</f>
        <v>0</v>
      </c>
      <c r="K22" s="239">
        <f>'[1]February - 2023'!N21</f>
        <v>0</v>
      </c>
      <c r="L22" s="151">
        <f>'[1]February - 2023'!O21</f>
        <v>0</v>
      </c>
      <c r="M22" s="239">
        <f>'[1]February - 2023'!Q21</f>
        <v>0</v>
      </c>
      <c r="N22" s="151">
        <f>'[1]February - 2023'!R21</f>
        <v>0</v>
      </c>
      <c r="O22" s="239">
        <f>'[1]February - 2023'!U21</f>
        <v>0</v>
      </c>
      <c r="P22" s="151">
        <f>'[1]February - 2023'!V21</f>
        <v>0</v>
      </c>
      <c r="Q22" s="150">
        <f>'[1]February - 2023'!W21</f>
        <v>93</v>
      </c>
      <c r="R22" s="239">
        <f>'[1]February - 2023'!X21</f>
        <v>0</v>
      </c>
      <c r="S22" s="187">
        <f>'[1]February - 2023'!Y21</f>
        <v>0</v>
      </c>
      <c r="T22" s="444"/>
      <c r="U22" s="244">
        <f>'[1]February - 2023'!AE21</f>
        <v>0</v>
      </c>
      <c r="V22" s="265">
        <f>'[1]February - 2023'!AF21</f>
        <v>0</v>
      </c>
      <c r="W22" s="88">
        <f>'[1]February - 2023'!AG21</f>
        <v>2046.2399999992922</v>
      </c>
      <c r="X22" s="261">
        <f>'[1]February - 2023'!AH21</f>
        <v>0</v>
      </c>
      <c r="Y22" s="265">
        <f>'[1]February - 2023'!AI21</f>
        <v>0</v>
      </c>
      <c r="Z22" s="88">
        <f>'[1]February - 2023'!AJ21</f>
        <v>4384.7999999988824</v>
      </c>
      <c r="AA22" s="261">
        <f>'[1]February - 2023'!AK21</f>
        <v>0</v>
      </c>
      <c r="AB22" s="265">
        <f>'[1]February - 2023'!AL21</f>
        <v>0</v>
      </c>
      <c r="AC22" s="88">
        <f>'[1]February - 2023'!AM21</f>
        <v>48.720000000670552</v>
      </c>
      <c r="AD22" s="261">
        <f>'[1]February - 2023'!AN21</f>
        <v>0</v>
      </c>
      <c r="AE22" s="265">
        <f>'[1]February - 2023'!AO21</f>
        <v>0</v>
      </c>
      <c r="AF22" s="88">
        <f>'[1]February - 2023'!AP21</f>
        <v>8769.6000000014901</v>
      </c>
      <c r="AG22" s="261">
        <f>'[1]February - 2023'!AQ21</f>
        <v>0</v>
      </c>
      <c r="AH22" s="265">
        <f>'[1]February - 2023'!AR21</f>
        <v>0</v>
      </c>
      <c r="AI22" s="88">
        <f>'[1]February - 2023'!AS21</f>
        <v>0</v>
      </c>
      <c r="AJ22" s="261">
        <f>'[1]February - 2023'!AT21</f>
        <v>0</v>
      </c>
      <c r="AK22" s="265">
        <f>'[1]February - 2023'!AU21</f>
        <v>0</v>
      </c>
      <c r="AL22" s="88">
        <f>'[1]February - 2023'!AV21</f>
        <v>6090</v>
      </c>
      <c r="AM22" s="261">
        <f>'[1]February - 2023'!AW21</f>
        <v>0</v>
      </c>
      <c r="AN22" s="265">
        <f>'[1]February - 2023'!AX21</f>
        <v>0</v>
      </c>
      <c r="AO22" s="88">
        <f>'[1]February - 2023'!AY21</f>
        <v>4092.4799999985844</v>
      </c>
      <c r="AP22" s="261">
        <f>'[1]February - 2023'!AZ21</f>
        <v>0</v>
      </c>
      <c r="AQ22" s="265">
        <f>'[1]February - 2023'!BA21</f>
        <v>0</v>
      </c>
      <c r="AR22" s="88">
        <f>'[1]February - 2023'!BB21</f>
        <v>4189.9199999999255</v>
      </c>
      <c r="AS22" s="261">
        <f>'[1]February - 2023'!BC21</f>
        <v>0</v>
      </c>
      <c r="AT22" s="265">
        <f>'[1]February - 2023'!BD21</f>
        <v>0</v>
      </c>
      <c r="AU22" s="88">
        <f>'[1]February - 2023'!BE21</f>
        <v>2874.480000000447</v>
      </c>
      <c r="AV22" s="261">
        <f>'[1]February - 2023'!BF21</f>
        <v>0</v>
      </c>
      <c r="AW22" s="229">
        <f>'[1]February - 2023'!BG21</f>
        <v>0</v>
      </c>
      <c r="AX22" s="230">
        <f>'[1]February - 2023'!BH21</f>
        <v>5359.2000000011176</v>
      </c>
      <c r="AY22" s="461"/>
      <c r="AZ22" s="247">
        <f>'[1]February - 2023'!BM21</f>
        <v>0</v>
      </c>
      <c r="BA22" s="160">
        <f>'[1]February - 2023'!BN21</f>
        <v>0</v>
      </c>
      <c r="BB22" s="89">
        <f>'[1]February - 2023'!BO22</f>
        <v>0</v>
      </c>
      <c r="BC22" s="247">
        <f>'[1]February - 2023'!BP21</f>
        <v>0</v>
      </c>
      <c r="BD22" s="223">
        <f>'[1]February - 2023'!BQ21</f>
        <v>0</v>
      </c>
      <c r="BE22" s="89">
        <f>'[1]February - 2023'!BR21</f>
        <v>33100</v>
      </c>
      <c r="BF22" s="247">
        <f>'[1]February - 2023'!BS21</f>
        <v>0</v>
      </c>
      <c r="BG22" s="223">
        <f>'[1]February - 2023'!BT21</f>
        <v>0</v>
      </c>
      <c r="BH22" s="89">
        <f>'[1]February - 2023'!BU21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48">
        <f>'[1]February - 2023'!BV21</f>
        <v>0</v>
      </c>
      <c r="BT22" s="165">
        <f>'[1]February - 2023'!BW21</f>
        <v>0</v>
      </c>
      <c r="BU22" s="557"/>
      <c r="BV22" s="84">
        <f>'[1]February - 2023'!BY21</f>
        <v>0</v>
      </c>
      <c r="BW22" s="219">
        <f>'[1]February - 2023'!BZ21</f>
        <v>0</v>
      </c>
      <c r="BX22" s="84">
        <f>'[1]February - 2023'!CA21</f>
        <v>-0.10999999999999999</v>
      </c>
      <c r="BY22" s="85">
        <f>'[1]February - 2023'!CB21</f>
        <v>0</v>
      </c>
      <c r="BZ22" s="171">
        <f>'[1]February - 2023'!CC21</f>
        <v>0</v>
      </c>
      <c r="CA22" s="85">
        <f>'[1]February - 2023'!CD21</f>
        <v>0</v>
      </c>
      <c r="CB22" s="171">
        <f>'[1]February - 2023'!CE21</f>
        <v>0</v>
      </c>
      <c r="CC22" s="85">
        <f>'[1]February - 2023'!CF21</f>
        <v>0</v>
      </c>
      <c r="CD22" s="171">
        <f>'[1]February - 2023'!CG21</f>
        <v>0</v>
      </c>
      <c r="CE22" s="85">
        <f>'[1]February - 2023'!CH21</f>
        <v>0</v>
      </c>
      <c r="CF22" s="171">
        <f>'[1]February - 2023'!CI21</f>
        <v>0</v>
      </c>
      <c r="CG22" s="85">
        <f>'[1]February - 2023'!CJ21</f>
        <v>0</v>
      </c>
      <c r="CH22" s="171">
        <f>'[1]February - 2023'!CK21</f>
        <v>0</v>
      </c>
      <c r="CI22" s="85">
        <f>'[1]February - 2023'!CL21</f>
        <v>0</v>
      </c>
      <c r="CJ22" s="171">
        <f>'[1]February - 2023'!CM21</f>
        <v>0</v>
      </c>
      <c r="CK22" s="85">
        <f>'[1]February - 2023'!CN21</f>
        <v>0</v>
      </c>
      <c r="CL22" s="224">
        <f>'[1]February - 2023'!CO21</f>
        <v>0</v>
      </c>
      <c r="CM22" s="85">
        <f>'[1]February - 2023'!CP21</f>
        <v>96</v>
      </c>
      <c r="CN22" s="85">
        <f>'[1]February - 2023'!CQ21</f>
        <v>0</v>
      </c>
      <c r="CO22" s="224">
        <f>'[1]February - 2023'!CR21</f>
        <v>0</v>
      </c>
      <c r="CP22" s="85">
        <f>'[1]February - 2023'!CV21</f>
        <v>365</v>
      </c>
      <c r="CQ22" s="85">
        <f>'[1]February - 2023'!CT21</f>
        <v>0</v>
      </c>
      <c r="CR22" s="224">
        <f>'[1]February - 2023'!CU21</f>
        <v>0</v>
      </c>
      <c r="CS22" s="85">
        <f>'[1]February - 2023'!CV21</f>
        <v>365</v>
      </c>
      <c r="CT22" s="85">
        <f>'[1]February - 2023'!CW21</f>
        <v>0</v>
      </c>
      <c r="CU22" s="171">
        <f>'[1]February - 2023'!CX21</f>
        <v>0</v>
      </c>
      <c r="CV22" s="485"/>
      <c r="CW22" s="259">
        <f>'[1]February - 2023'!CZ21</f>
        <v>0</v>
      </c>
      <c r="CX22" s="262">
        <f>'[1]February - 2023'!DA21</f>
        <v>0</v>
      </c>
      <c r="CY22" s="260">
        <f>'[1]February - 2023'!DB21</f>
        <v>0</v>
      </c>
      <c r="CZ22" s="262">
        <f>'[1]February - 2023'!DC21</f>
        <v>0</v>
      </c>
      <c r="DA22" s="260">
        <f>'[1]February - 2023'!DD21</f>
        <v>0</v>
      </c>
      <c r="DB22" s="262">
        <f>'[1]February - 2023'!DE21</f>
        <v>0</v>
      </c>
      <c r="DC22" s="260">
        <f>'[1]February - 2023'!DF21</f>
        <v>0</v>
      </c>
      <c r="DD22" s="262">
        <f>'[1]February - 2023'!DG21</f>
        <v>0</v>
      </c>
      <c r="DE22" s="260">
        <f>'[1]February - 2023'!DH21</f>
        <v>0</v>
      </c>
      <c r="DF22" s="262">
        <f>'[1]February - 2023'!DI21</f>
        <v>0</v>
      </c>
      <c r="DG22" s="260">
        <f>'[1]February - 2023'!DJ21</f>
        <v>0</v>
      </c>
      <c r="DH22" s="262">
        <f>'[1]February - 2023'!DK21</f>
        <v>0</v>
      </c>
      <c r="DI22" s="260">
        <f>'[1]February - 2023'!DL21</f>
        <v>0</v>
      </c>
      <c r="DJ22" s="262">
        <f>'[1]February - 2023'!DM21</f>
        <v>0</v>
      </c>
      <c r="DK22" s="260">
        <f>'[1]February - 2023'!DN21</f>
        <v>0</v>
      </c>
      <c r="DL22" s="262">
        <f>'[1]February - 2023'!DO21</f>
        <v>0</v>
      </c>
      <c r="DM22" s="260">
        <f>'[1]February - 2023'!DP21</f>
        <v>0</v>
      </c>
      <c r="DN22" s="262">
        <f>'[1]February - 2023'!DQ21</f>
        <v>0</v>
      </c>
      <c r="DO22" s="260">
        <f>'[1]February - 2023'!DR21</f>
        <v>0</v>
      </c>
      <c r="DP22" s="262">
        <f>'[1]February - 2023'!DS21</f>
        <v>0</v>
      </c>
      <c r="DQ22" s="260">
        <f>'[1]February - 2023'!DT21</f>
        <v>0</v>
      </c>
      <c r="DR22" s="263">
        <f>'[1]February - 2023'!DU21</f>
        <v>0</v>
      </c>
      <c r="DS22" s="501"/>
      <c r="DT22" s="189">
        <f>'[1]February - 2023'!DW21</f>
        <v>0</v>
      </c>
      <c r="DU22" s="200">
        <f>'[1]February - 2023'!DX21</f>
        <v>0</v>
      </c>
      <c r="DV22" s="87">
        <f>'[1]February - 2023'!DY21</f>
        <v>0</v>
      </c>
      <c r="DW22" s="194">
        <f>'[1]February - 2023'!DZ21</f>
        <v>0</v>
      </c>
      <c r="DX22" s="87">
        <f>'[1]February - 2023'!EA21</f>
        <v>0</v>
      </c>
      <c r="DY22" s="194">
        <f>'[1]February - 2023'!EB21</f>
        <v>0</v>
      </c>
      <c r="DZ22" s="87">
        <f>'[1]February - 2023'!EC21</f>
        <v>0</v>
      </c>
      <c r="EA22" s="194">
        <f>'[1]February - 2023'!ED21</f>
        <v>0</v>
      </c>
      <c r="EB22" s="87">
        <f>'[1]February - 2023'!EE21</f>
        <v>0</v>
      </c>
      <c r="EC22" s="194">
        <f>'[1]February - 2023'!EF21</f>
        <v>0</v>
      </c>
      <c r="ED22" s="87">
        <f>'[1]February - 2023'!EI21</f>
        <v>0</v>
      </c>
      <c r="EE22" s="207">
        <f>'[1]February - 2023'!EJ21</f>
        <v>0</v>
      </c>
      <c r="EF22" s="548"/>
      <c r="EG22" s="213">
        <f>'[1]February - 2023'!EL21</f>
        <v>0</v>
      </c>
      <c r="EH22" s="208">
        <f>'[1]February - 2023'!EM21</f>
        <v>0</v>
      </c>
      <c r="EI22" s="86">
        <f>'[1]February - 2023'!EN21</f>
        <v>0</v>
      </c>
      <c r="EJ22" s="208">
        <f>'[1]February - 2023'!EO21</f>
        <v>0</v>
      </c>
      <c r="EK22" s="86">
        <f>'[1]February - 2023'!EP21</f>
        <v>0</v>
      </c>
      <c r="EL22" s="208">
        <f>'[1]February - 2023'!EQ21</f>
        <v>0</v>
      </c>
      <c r="EM22" s="86">
        <f>'[1]February - 2023'!ER21</f>
        <v>0</v>
      </c>
      <c r="EN22" s="208">
        <f>'[1]February - 2023'!ES21</f>
        <v>0</v>
      </c>
      <c r="EO22" s="86">
        <f>'[1]February - 2023'!ET21</f>
        <v>0</v>
      </c>
      <c r="EP22" s="208">
        <f>'[1]February - 2023'!EU21</f>
        <v>0</v>
      </c>
      <c r="EQ22" s="86">
        <f>'[1]February - 2023'!EV21</f>
        <v>0</v>
      </c>
      <c r="ER22" s="208">
        <f>'[1]February - 2023'!EW21</f>
        <v>0</v>
      </c>
      <c r="ES22" s="523"/>
      <c r="ET22" s="253">
        <f>'[1]February - 2023'!EY21</f>
        <v>0</v>
      </c>
      <c r="EU22" s="266">
        <f>'[1]February - 2023'!EZ21</f>
        <v>0</v>
      </c>
      <c r="EV22" s="254">
        <f>'[1]February - 2023'!FA21</f>
        <v>0</v>
      </c>
      <c r="EW22" s="266">
        <f>'[1]February - 2023'!FB21</f>
        <v>0</v>
      </c>
      <c r="EX22" s="254">
        <f>'[1]February - 2023'!FC21</f>
        <v>0</v>
      </c>
      <c r="EY22" s="266">
        <f>'[1]February - 2023'!FD21</f>
        <v>0</v>
      </c>
      <c r="EZ22" s="254">
        <f>'[1]February - 2023'!FE21</f>
        <v>0</v>
      </c>
      <c r="FA22" s="266">
        <f>'[1]February - 2023'!FF21</f>
        <v>0</v>
      </c>
      <c r="FB22" s="254">
        <f>'[1]February - 2023'!FG21</f>
        <v>0</v>
      </c>
      <c r="FC22" s="264">
        <f>'[1]February - 2023'!FH21</f>
        <v>0</v>
      </c>
    </row>
    <row r="23" spans="1:159" ht="30" customHeight="1" x14ac:dyDescent="0.25">
      <c r="A23" s="186">
        <v>44971</v>
      </c>
      <c r="B23" s="188">
        <f>'[1]February - 2023'!B22</f>
        <v>0</v>
      </c>
      <c r="C23" s="228">
        <f>'[1]February - 2023'!E22</f>
        <v>0</v>
      </c>
      <c r="D23" s="151">
        <f>'[1]February - 2023'!F23</f>
        <v>0</v>
      </c>
      <c r="E23" s="150">
        <f>'[1]February - 2023'!G22</f>
        <v>545</v>
      </c>
      <c r="F23" s="150">
        <f>'[1]February - 2023'!H22</f>
        <v>0</v>
      </c>
      <c r="G23" s="151">
        <f>'[1]February - 2023'!I23</f>
        <v>0</v>
      </c>
      <c r="H23" s="150">
        <f>'[1]February - 2023'!J22</f>
        <v>119868</v>
      </c>
      <c r="I23" s="239">
        <f>'[1]February - 2023'!K22</f>
        <v>0</v>
      </c>
      <c r="J23" s="151">
        <f>'[1]February - 2023'!L22</f>
        <v>0</v>
      </c>
      <c r="K23" s="239">
        <f>'[1]February - 2023'!N22</f>
        <v>0</v>
      </c>
      <c r="L23" s="151">
        <f>'[1]February - 2023'!O22</f>
        <v>0</v>
      </c>
      <c r="M23" s="239">
        <f>'[1]February - 2023'!Q22</f>
        <v>0</v>
      </c>
      <c r="N23" s="151">
        <f>'[1]February - 2023'!R22</f>
        <v>0</v>
      </c>
      <c r="O23" s="239">
        <f>'[1]February - 2023'!U22</f>
        <v>0</v>
      </c>
      <c r="P23" s="151">
        <f>'[1]February - 2023'!V22</f>
        <v>0</v>
      </c>
      <c r="Q23" s="150">
        <f>'[1]February - 2023'!W22</f>
        <v>-212</v>
      </c>
      <c r="R23" s="239">
        <f>'[1]February - 2023'!X22</f>
        <v>0</v>
      </c>
      <c r="S23" s="187">
        <f>'[1]February - 2023'!Y22</f>
        <v>0</v>
      </c>
      <c r="T23" s="444"/>
      <c r="U23" s="244">
        <f>'[1]February - 2023'!AE22</f>
        <v>0</v>
      </c>
      <c r="V23" s="265">
        <f>'[1]February - 2023'!AF22</f>
        <v>0</v>
      </c>
      <c r="W23" s="88">
        <f>'[1]February - 2023'!AG22</f>
        <v>2143.6800000006333</v>
      </c>
      <c r="X23" s="261">
        <f>'[1]February - 2023'!AH22</f>
        <v>0</v>
      </c>
      <c r="Y23" s="265">
        <f>'[1]February - 2023'!AI22</f>
        <v>0</v>
      </c>
      <c r="Z23" s="88">
        <f>'[1]February - 2023'!AJ22</f>
        <v>4530.9599999990314</v>
      </c>
      <c r="AA23" s="261">
        <f>'[1]February - 2023'!AK22</f>
        <v>0</v>
      </c>
      <c r="AB23" s="265">
        <f>'[1]February - 2023'!AL22</f>
        <v>0</v>
      </c>
      <c r="AC23" s="88">
        <f>'[1]February - 2023'!AM22</f>
        <v>0</v>
      </c>
      <c r="AD23" s="261">
        <f>'[1]February - 2023'!AN22</f>
        <v>0</v>
      </c>
      <c r="AE23" s="265">
        <f>'[1]February - 2023'!AO22</f>
        <v>0</v>
      </c>
      <c r="AF23" s="88">
        <f>'[1]February - 2023'!AP22</f>
        <v>8477.2800000011921</v>
      </c>
      <c r="AG23" s="261">
        <f>'[1]February - 2023'!AQ22</f>
        <v>0</v>
      </c>
      <c r="AH23" s="265">
        <f>'[1]February - 2023'!AR22</f>
        <v>0</v>
      </c>
      <c r="AI23" s="88">
        <f>'[1]February - 2023'!AS22</f>
        <v>1120.5600000023842</v>
      </c>
      <c r="AJ23" s="261">
        <f>'[1]February - 2023'!AT22</f>
        <v>0</v>
      </c>
      <c r="AK23" s="265">
        <f>'[1]February - 2023'!AU22</f>
        <v>0</v>
      </c>
      <c r="AL23" s="88">
        <f>'[1]February - 2023'!AV22</f>
        <v>5797.679999999702</v>
      </c>
      <c r="AM23" s="261">
        <f>'[1]February - 2023'!AW22</f>
        <v>0</v>
      </c>
      <c r="AN23" s="265">
        <f>'[1]February - 2023'!AX22</f>
        <v>0</v>
      </c>
      <c r="AO23" s="88">
        <f>'[1]February - 2023'!AY22</f>
        <v>3897.5999999996275</v>
      </c>
      <c r="AP23" s="261">
        <f>'[1]February - 2023'!AZ22</f>
        <v>0</v>
      </c>
      <c r="AQ23" s="265">
        <f>'[1]February - 2023'!BA22</f>
        <v>0</v>
      </c>
      <c r="AR23" s="88">
        <f>'[1]February - 2023'!BB22</f>
        <v>4189.9199999999255</v>
      </c>
      <c r="AS23" s="261">
        <f>'[1]February - 2023'!BC22</f>
        <v>0</v>
      </c>
      <c r="AT23" s="265">
        <f>'[1]February - 2023'!BD22</f>
        <v>0</v>
      </c>
      <c r="AU23" s="88">
        <f>'[1]February - 2023'!BE22</f>
        <v>2874.480000000447</v>
      </c>
      <c r="AV23" s="261">
        <f>'[1]February - 2023'!BF22</f>
        <v>0</v>
      </c>
      <c r="AW23" s="229">
        <f>'[1]February - 2023'!BG22</f>
        <v>0</v>
      </c>
      <c r="AX23" s="230">
        <f>'[1]February - 2023'!BH22</f>
        <v>5164.3199999984354</v>
      </c>
      <c r="AY23" s="461"/>
      <c r="AZ23" s="247">
        <f>'[1]February - 2023'!BM22</f>
        <v>0</v>
      </c>
      <c r="BA23" s="160">
        <f>'[1]February - 2023'!BN22</f>
        <v>0</v>
      </c>
      <c r="BB23" s="89">
        <f>'[1]February - 2023'!BO23</f>
        <v>0</v>
      </c>
      <c r="BC23" s="247">
        <f>'[1]February - 2023'!BP22</f>
        <v>0</v>
      </c>
      <c r="BD23" s="223">
        <f>'[1]February - 2023'!BQ22</f>
        <v>0</v>
      </c>
      <c r="BE23" s="89">
        <f>'[1]February - 2023'!BR22</f>
        <v>35900</v>
      </c>
      <c r="BF23" s="247">
        <f>'[1]February - 2023'!BS22</f>
        <v>0</v>
      </c>
      <c r="BG23" s="223">
        <f>'[1]February - 2023'!BT22</f>
        <v>0</v>
      </c>
      <c r="BH23" s="89">
        <f>'[1]February - 2023'!BU22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48">
        <f>'[1]February - 2023'!BV22</f>
        <v>0</v>
      </c>
      <c r="BT23" s="165">
        <f>'[1]February - 2023'!BW22</f>
        <v>0</v>
      </c>
      <c r="BU23" s="557"/>
      <c r="BV23" s="84">
        <f>'[1]February - 2023'!BY22</f>
        <v>0</v>
      </c>
      <c r="BW23" s="219">
        <f>'[1]February - 2023'!BZ22</f>
        <v>0</v>
      </c>
      <c r="BX23" s="84">
        <f>'[1]February - 2023'!CA22</f>
        <v>-0.19999999999999996</v>
      </c>
      <c r="BY23" s="85">
        <f>'[1]February - 2023'!CB22</f>
        <v>0</v>
      </c>
      <c r="BZ23" s="171">
        <f>'[1]February - 2023'!CC22</f>
        <v>0</v>
      </c>
      <c r="CA23" s="85">
        <f>'[1]February - 2023'!CD22</f>
        <v>0</v>
      </c>
      <c r="CB23" s="171">
        <f>'[1]February - 2023'!CE22</f>
        <v>0</v>
      </c>
      <c r="CC23" s="85">
        <f>'[1]February - 2023'!CF22</f>
        <v>0</v>
      </c>
      <c r="CD23" s="171">
        <f>'[1]February - 2023'!CG22</f>
        <v>0</v>
      </c>
      <c r="CE23" s="85">
        <f>'[1]February - 2023'!CH22</f>
        <v>0</v>
      </c>
      <c r="CF23" s="171">
        <f>'[1]February - 2023'!CI22</f>
        <v>0</v>
      </c>
      <c r="CG23" s="85">
        <f>'[1]February - 2023'!CJ22</f>
        <v>0</v>
      </c>
      <c r="CH23" s="171">
        <f>'[1]February - 2023'!CK22</f>
        <v>0</v>
      </c>
      <c r="CI23" s="85">
        <f>'[1]February - 2023'!CL22</f>
        <v>0</v>
      </c>
      <c r="CJ23" s="171">
        <f>'[1]February - 2023'!CM22</f>
        <v>0</v>
      </c>
      <c r="CK23" s="85">
        <f>'[1]February - 2023'!CN22</f>
        <v>0</v>
      </c>
      <c r="CL23" s="224">
        <f>'[1]February - 2023'!CO22</f>
        <v>0</v>
      </c>
      <c r="CM23" s="85">
        <f>'[1]February - 2023'!CP22</f>
        <v>101</v>
      </c>
      <c r="CN23" s="85">
        <f>'[1]February - 2023'!CQ22</f>
        <v>0</v>
      </c>
      <c r="CO23" s="224">
        <f>'[1]February - 2023'!CR22</f>
        <v>0</v>
      </c>
      <c r="CP23" s="85">
        <f>'[1]February - 2023'!CV22</f>
        <v>326</v>
      </c>
      <c r="CQ23" s="85">
        <f>'[1]February - 2023'!CT22</f>
        <v>0</v>
      </c>
      <c r="CR23" s="224">
        <f>'[1]February - 2023'!CU22</f>
        <v>0</v>
      </c>
      <c r="CS23" s="85">
        <f>'[1]February - 2023'!CV22</f>
        <v>326</v>
      </c>
      <c r="CT23" s="85">
        <f>'[1]February - 2023'!CW22</f>
        <v>0</v>
      </c>
      <c r="CU23" s="171">
        <f>'[1]February - 2023'!CX22</f>
        <v>0</v>
      </c>
      <c r="CV23" s="485"/>
      <c r="CW23" s="259">
        <f>'[1]February - 2023'!CZ22</f>
        <v>0</v>
      </c>
      <c r="CX23" s="262">
        <f>'[1]February - 2023'!DA22</f>
        <v>0</v>
      </c>
      <c r="CY23" s="260">
        <f>'[1]February - 2023'!DB22</f>
        <v>0</v>
      </c>
      <c r="CZ23" s="262">
        <f>'[1]February - 2023'!DC22</f>
        <v>0</v>
      </c>
      <c r="DA23" s="260">
        <f>'[1]February - 2023'!DD22</f>
        <v>0</v>
      </c>
      <c r="DB23" s="262">
        <f>'[1]February - 2023'!DE22</f>
        <v>0</v>
      </c>
      <c r="DC23" s="260">
        <f>'[1]February - 2023'!DF22</f>
        <v>0</v>
      </c>
      <c r="DD23" s="262">
        <f>'[1]February - 2023'!DG22</f>
        <v>0</v>
      </c>
      <c r="DE23" s="260">
        <f>'[1]February - 2023'!DH22</f>
        <v>0</v>
      </c>
      <c r="DF23" s="262">
        <f>'[1]February - 2023'!DI22</f>
        <v>0</v>
      </c>
      <c r="DG23" s="260">
        <f>'[1]February - 2023'!DJ22</f>
        <v>0</v>
      </c>
      <c r="DH23" s="262">
        <f>'[1]February - 2023'!DK22</f>
        <v>0</v>
      </c>
      <c r="DI23" s="260">
        <f>'[1]February - 2023'!DL22</f>
        <v>0</v>
      </c>
      <c r="DJ23" s="262">
        <f>'[1]February - 2023'!DM22</f>
        <v>0</v>
      </c>
      <c r="DK23" s="260">
        <f>'[1]February - 2023'!DN22</f>
        <v>0</v>
      </c>
      <c r="DL23" s="262">
        <f>'[1]February - 2023'!DO22</f>
        <v>0</v>
      </c>
      <c r="DM23" s="260">
        <f>'[1]February - 2023'!DP22</f>
        <v>0</v>
      </c>
      <c r="DN23" s="262">
        <f>'[1]February - 2023'!DQ22</f>
        <v>0</v>
      </c>
      <c r="DO23" s="260">
        <f>'[1]February - 2023'!DR22</f>
        <v>0</v>
      </c>
      <c r="DP23" s="262">
        <f>'[1]February - 2023'!DS22</f>
        <v>0</v>
      </c>
      <c r="DQ23" s="260">
        <f>'[1]February - 2023'!DT22</f>
        <v>0</v>
      </c>
      <c r="DR23" s="263">
        <f>'[1]February - 2023'!DU22</f>
        <v>0</v>
      </c>
      <c r="DS23" s="501"/>
      <c r="DT23" s="189">
        <f>'[1]February - 2023'!DW22</f>
        <v>0</v>
      </c>
      <c r="DU23" s="200">
        <f>'[1]February - 2023'!DX22</f>
        <v>0</v>
      </c>
      <c r="DV23" s="87">
        <f>'[1]February - 2023'!DY22</f>
        <v>0</v>
      </c>
      <c r="DW23" s="194">
        <f>'[1]February - 2023'!DZ22</f>
        <v>0</v>
      </c>
      <c r="DX23" s="87">
        <f>'[1]February - 2023'!EA22</f>
        <v>0</v>
      </c>
      <c r="DY23" s="194">
        <f>'[1]February - 2023'!EB22</f>
        <v>0</v>
      </c>
      <c r="DZ23" s="87">
        <f>'[1]February - 2023'!EC22</f>
        <v>0</v>
      </c>
      <c r="EA23" s="194">
        <f>'[1]February - 2023'!ED22</f>
        <v>0</v>
      </c>
      <c r="EB23" s="87">
        <f>'[1]February - 2023'!EE22</f>
        <v>0</v>
      </c>
      <c r="EC23" s="194">
        <f>'[1]February - 2023'!EF22</f>
        <v>0</v>
      </c>
      <c r="ED23" s="87">
        <f>'[1]February - 2023'!EI22</f>
        <v>0</v>
      </c>
      <c r="EE23" s="207">
        <f>'[1]February - 2023'!EJ22</f>
        <v>0</v>
      </c>
      <c r="EF23" s="548"/>
      <c r="EG23" s="213">
        <f>'[1]February - 2023'!EL22</f>
        <v>0</v>
      </c>
      <c r="EH23" s="208">
        <f>'[1]February - 2023'!EM22</f>
        <v>0</v>
      </c>
      <c r="EI23" s="86">
        <f>'[1]February - 2023'!EN22</f>
        <v>0</v>
      </c>
      <c r="EJ23" s="208">
        <f>'[1]February - 2023'!EO22</f>
        <v>0</v>
      </c>
      <c r="EK23" s="86">
        <f>'[1]February - 2023'!EP22</f>
        <v>0</v>
      </c>
      <c r="EL23" s="208">
        <f>'[1]February - 2023'!EQ22</f>
        <v>0</v>
      </c>
      <c r="EM23" s="86">
        <f>'[1]February - 2023'!ER22</f>
        <v>0</v>
      </c>
      <c r="EN23" s="208">
        <f>'[1]February - 2023'!ES22</f>
        <v>0</v>
      </c>
      <c r="EO23" s="86">
        <f>'[1]February - 2023'!ET22</f>
        <v>0</v>
      </c>
      <c r="EP23" s="208">
        <f>'[1]February - 2023'!EU22</f>
        <v>0</v>
      </c>
      <c r="EQ23" s="86">
        <f>'[1]February - 2023'!EV22</f>
        <v>0</v>
      </c>
      <c r="ER23" s="208">
        <f>'[1]February - 2023'!EW22</f>
        <v>0</v>
      </c>
      <c r="ES23" s="523"/>
      <c r="ET23" s="253">
        <f>'[1]February - 2023'!EY22</f>
        <v>0</v>
      </c>
      <c r="EU23" s="266">
        <f>'[1]February - 2023'!EZ22</f>
        <v>0</v>
      </c>
      <c r="EV23" s="254">
        <f>'[1]February - 2023'!FA22</f>
        <v>0</v>
      </c>
      <c r="EW23" s="266">
        <f>'[1]February - 2023'!FB22</f>
        <v>0</v>
      </c>
      <c r="EX23" s="254">
        <f>'[1]February - 2023'!FC22</f>
        <v>0</v>
      </c>
      <c r="EY23" s="266">
        <f>'[1]February - 2023'!FD22</f>
        <v>0</v>
      </c>
      <c r="EZ23" s="254">
        <f>'[1]February - 2023'!FE22</f>
        <v>0</v>
      </c>
      <c r="FA23" s="266">
        <f>'[1]February - 2023'!FF22</f>
        <v>0</v>
      </c>
      <c r="FB23" s="254">
        <f>'[1]February - 2023'!FG22</f>
        <v>0</v>
      </c>
      <c r="FC23" s="264">
        <f>'[1]February - 2023'!FH22</f>
        <v>0</v>
      </c>
    </row>
    <row r="24" spans="1:159" ht="30" customHeight="1" x14ac:dyDescent="0.25">
      <c r="A24" s="186">
        <v>44972</v>
      </c>
      <c r="B24" s="188">
        <f>'[1]February - 2023'!B23</f>
        <v>0</v>
      </c>
      <c r="C24" s="228">
        <f>'[1]February - 2023'!E23</f>
        <v>0</v>
      </c>
      <c r="D24" s="151">
        <f>'[1]February - 2023'!F24</f>
        <v>0</v>
      </c>
      <c r="E24" s="150">
        <f>'[1]February - 2023'!G23</f>
        <v>562</v>
      </c>
      <c r="F24" s="150">
        <f>'[1]February - 2023'!H23</f>
        <v>0</v>
      </c>
      <c r="G24" s="151">
        <f>'[1]February - 2023'!I24</f>
        <v>0</v>
      </c>
      <c r="H24" s="150">
        <f>'[1]February - 2023'!J23</f>
        <v>120301</v>
      </c>
      <c r="I24" s="239">
        <f>'[1]February - 2023'!K23</f>
        <v>0</v>
      </c>
      <c r="J24" s="151">
        <f>'[1]February - 2023'!L23</f>
        <v>0</v>
      </c>
      <c r="K24" s="239">
        <f>'[1]February - 2023'!N23</f>
        <v>0</v>
      </c>
      <c r="L24" s="151">
        <f>'[1]February - 2023'!O23</f>
        <v>0</v>
      </c>
      <c r="M24" s="239">
        <f>'[1]February - 2023'!Q23</f>
        <v>0</v>
      </c>
      <c r="N24" s="151">
        <f>'[1]February - 2023'!R23</f>
        <v>0</v>
      </c>
      <c r="O24" s="239">
        <f>'[1]February - 2023'!U23</f>
        <v>0</v>
      </c>
      <c r="P24" s="151">
        <f>'[1]February - 2023'!V23</f>
        <v>0</v>
      </c>
      <c r="Q24" s="150">
        <f>'[1]February - 2023'!W23</f>
        <v>329</v>
      </c>
      <c r="R24" s="239">
        <f>'[1]February - 2023'!X23</f>
        <v>0</v>
      </c>
      <c r="S24" s="187">
        <f>'[1]February - 2023'!Y23</f>
        <v>0</v>
      </c>
      <c r="T24" s="444"/>
      <c r="U24" s="244">
        <f>'[1]February - 2023'!AE23</f>
        <v>0</v>
      </c>
      <c r="V24" s="265">
        <f>'[1]February - 2023'!AF23</f>
        <v>0</v>
      </c>
      <c r="W24" s="88">
        <f>'[1]February - 2023'!AG23</f>
        <v>2143.679999999702</v>
      </c>
      <c r="X24" s="261">
        <f>'[1]February - 2023'!AH23</f>
        <v>0</v>
      </c>
      <c r="Y24" s="265">
        <f>'[1]February - 2023'!AI23</f>
        <v>0</v>
      </c>
      <c r="Z24" s="88">
        <f>'[1]February - 2023'!AJ23</f>
        <v>4530.9600000027567</v>
      </c>
      <c r="AA24" s="261">
        <f>'[1]February - 2023'!AK23</f>
        <v>0</v>
      </c>
      <c r="AB24" s="265">
        <f>'[1]February - 2023'!AL23</f>
        <v>0</v>
      </c>
      <c r="AC24" s="88">
        <f>'[1]February - 2023'!AM23</f>
        <v>48.719999998807907</v>
      </c>
      <c r="AD24" s="261">
        <f>'[1]February - 2023'!AN23</f>
        <v>0</v>
      </c>
      <c r="AE24" s="265">
        <f>'[1]February - 2023'!AO23</f>
        <v>0</v>
      </c>
      <c r="AF24" s="88">
        <f>'[1]February - 2023'!AP23</f>
        <v>9549.1199999973178</v>
      </c>
      <c r="AG24" s="261">
        <f>'[1]February - 2023'!AQ23</f>
        <v>0</v>
      </c>
      <c r="AH24" s="265">
        <f>'[1]February - 2023'!AR23</f>
        <v>0</v>
      </c>
      <c r="AI24" s="88">
        <f>'[1]February - 2023'!AS23</f>
        <v>1364.160000000149</v>
      </c>
      <c r="AJ24" s="261">
        <f>'[1]February - 2023'!AT23</f>
        <v>0</v>
      </c>
      <c r="AK24" s="265">
        <f>'[1]February - 2023'!AU23</f>
        <v>0</v>
      </c>
      <c r="AL24" s="88">
        <f>'[1]February - 2023'!AV23</f>
        <v>5651.5200000014156</v>
      </c>
      <c r="AM24" s="261">
        <f>'[1]February - 2023'!AW23</f>
        <v>0</v>
      </c>
      <c r="AN24" s="265">
        <f>'[1]February - 2023'!AX23</f>
        <v>0</v>
      </c>
      <c r="AO24" s="88">
        <f>'[1]February - 2023'!AY23</f>
        <v>4141.1999999992549</v>
      </c>
      <c r="AP24" s="261">
        <f>'[1]February - 2023'!AZ23</f>
        <v>0</v>
      </c>
      <c r="AQ24" s="265">
        <f>'[1]February - 2023'!BA23</f>
        <v>0</v>
      </c>
      <c r="AR24" s="88">
        <f>'[1]February - 2023'!BB23</f>
        <v>4287.359999999404</v>
      </c>
      <c r="AS24" s="261">
        <f>'[1]February - 2023'!BC23</f>
        <v>0</v>
      </c>
      <c r="AT24" s="265">
        <f>'[1]February - 2023'!BD23</f>
        <v>0</v>
      </c>
      <c r="AU24" s="88">
        <f>'[1]February - 2023'!BE23</f>
        <v>2777.0399999991059</v>
      </c>
      <c r="AV24" s="261">
        <f>'[1]February - 2023'!BF23</f>
        <v>0</v>
      </c>
      <c r="AW24" s="229">
        <f>'[1]February - 2023'!BG23</f>
        <v>0</v>
      </c>
      <c r="AX24" s="230">
        <f>'[1]February - 2023'!BH23</f>
        <v>5700.2399999983609</v>
      </c>
      <c r="AY24" s="461"/>
      <c r="AZ24" s="247">
        <f>'[1]February - 2023'!BM23</f>
        <v>0</v>
      </c>
      <c r="BA24" s="160">
        <f>'[1]February - 2023'!BN23</f>
        <v>0</v>
      </c>
      <c r="BB24" s="89">
        <f>'[1]February - 2023'!BO24</f>
        <v>0</v>
      </c>
      <c r="BC24" s="247">
        <f>'[1]February - 2023'!BP23</f>
        <v>0</v>
      </c>
      <c r="BD24" s="223">
        <f>'[1]February - 2023'!BQ23</f>
        <v>0</v>
      </c>
      <c r="BE24" s="89">
        <f>'[1]February - 2023'!BR23</f>
        <v>43200</v>
      </c>
      <c r="BF24" s="247">
        <f>'[1]February - 2023'!BS23</f>
        <v>0</v>
      </c>
      <c r="BG24" s="223">
        <f>'[1]February - 2023'!BT23</f>
        <v>0</v>
      </c>
      <c r="BH24" s="89">
        <f>'[1]February - 2023'!BU23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48">
        <f>'[1]February - 2023'!BV23</f>
        <v>0</v>
      </c>
      <c r="BT24" s="165">
        <f>'[1]February - 2023'!BW23</f>
        <v>0</v>
      </c>
      <c r="BU24" s="557"/>
      <c r="BV24" s="84">
        <f>'[1]February - 2023'!BY23</f>
        <v>0</v>
      </c>
      <c r="BW24" s="219">
        <f>'[1]February - 2023'!BZ23</f>
        <v>0</v>
      </c>
      <c r="BX24" s="84">
        <f>'[1]February - 2023'!CA23</f>
        <v>7.999999999999996E-2</v>
      </c>
      <c r="BY24" s="85">
        <f>'[1]February - 2023'!CB23</f>
        <v>0</v>
      </c>
      <c r="BZ24" s="171">
        <f>'[1]February - 2023'!CC23</f>
        <v>0</v>
      </c>
      <c r="CA24" s="85">
        <f>'[1]February - 2023'!CD23</f>
        <v>0</v>
      </c>
      <c r="CB24" s="171">
        <f>'[1]February - 2023'!CE23</f>
        <v>0</v>
      </c>
      <c r="CC24" s="85">
        <f>'[1]February - 2023'!CF23</f>
        <v>0</v>
      </c>
      <c r="CD24" s="171">
        <f>'[1]February - 2023'!CG23</f>
        <v>0</v>
      </c>
      <c r="CE24" s="85">
        <f>'[1]February - 2023'!CH23</f>
        <v>0</v>
      </c>
      <c r="CF24" s="171">
        <f>'[1]February - 2023'!CI23</f>
        <v>0</v>
      </c>
      <c r="CG24" s="85">
        <f>'[1]February - 2023'!CJ23</f>
        <v>0</v>
      </c>
      <c r="CH24" s="171">
        <f>'[1]February - 2023'!CK23</f>
        <v>0</v>
      </c>
      <c r="CI24" s="85">
        <f>'[1]February - 2023'!CL23</f>
        <v>0</v>
      </c>
      <c r="CJ24" s="171">
        <f>'[1]February - 2023'!CM23</f>
        <v>0</v>
      </c>
      <c r="CK24" s="85">
        <f>'[1]February - 2023'!CN23</f>
        <v>0</v>
      </c>
      <c r="CL24" s="224">
        <f>'[1]February - 2023'!CO23</f>
        <v>0</v>
      </c>
      <c r="CM24" s="85">
        <f>'[1]February - 2023'!CP23</f>
        <v>100</v>
      </c>
      <c r="CN24" s="85">
        <f>'[1]February - 2023'!CQ23</f>
        <v>0</v>
      </c>
      <c r="CO24" s="224">
        <f>'[1]February - 2023'!CR23</f>
        <v>0</v>
      </c>
      <c r="CP24" s="85">
        <f>'[1]February - 2023'!CV23</f>
        <v>257</v>
      </c>
      <c r="CQ24" s="85">
        <f>'[1]February - 2023'!CT23</f>
        <v>0</v>
      </c>
      <c r="CR24" s="224">
        <f>'[1]February - 2023'!CU23</f>
        <v>0</v>
      </c>
      <c r="CS24" s="85">
        <f>'[1]February - 2023'!CV23</f>
        <v>257</v>
      </c>
      <c r="CT24" s="85">
        <f>'[1]February - 2023'!CW23</f>
        <v>0</v>
      </c>
      <c r="CU24" s="171">
        <f>'[1]February - 2023'!CX23</f>
        <v>0</v>
      </c>
      <c r="CV24" s="485"/>
      <c r="CW24" s="259">
        <f>'[1]February - 2023'!CZ23</f>
        <v>0</v>
      </c>
      <c r="CX24" s="262">
        <f>'[1]February - 2023'!DA23</f>
        <v>0</v>
      </c>
      <c r="CY24" s="260">
        <f>'[1]February - 2023'!DB23</f>
        <v>0</v>
      </c>
      <c r="CZ24" s="262">
        <f>'[1]February - 2023'!DC23</f>
        <v>0</v>
      </c>
      <c r="DA24" s="260">
        <f>'[1]February - 2023'!DD23</f>
        <v>0</v>
      </c>
      <c r="DB24" s="262">
        <f>'[1]February - 2023'!DE23</f>
        <v>0</v>
      </c>
      <c r="DC24" s="260">
        <f>'[1]February - 2023'!DF23</f>
        <v>0</v>
      </c>
      <c r="DD24" s="262">
        <f>'[1]February - 2023'!DG23</f>
        <v>0</v>
      </c>
      <c r="DE24" s="260">
        <f>'[1]February - 2023'!DH23</f>
        <v>0</v>
      </c>
      <c r="DF24" s="262">
        <f>'[1]February - 2023'!DI23</f>
        <v>0</v>
      </c>
      <c r="DG24" s="260">
        <f>'[1]February - 2023'!DJ23</f>
        <v>0</v>
      </c>
      <c r="DH24" s="262">
        <f>'[1]February - 2023'!DK23</f>
        <v>0</v>
      </c>
      <c r="DI24" s="260">
        <f>'[1]February - 2023'!DL23</f>
        <v>0</v>
      </c>
      <c r="DJ24" s="262">
        <f>'[1]February - 2023'!DM23</f>
        <v>0</v>
      </c>
      <c r="DK24" s="260">
        <f>'[1]February - 2023'!DN23</f>
        <v>0</v>
      </c>
      <c r="DL24" s="262">
        <f>'[1]February - 2023'!DO23</f>
        <v>0</v>
      </c>
      <c r="DM24" s="260">
        <f>'[1]February - 2023'!DP23</f>
        <v>0</v>
      </c>
      <c r="DN24" s="262">
        <f>'[1]February - 2023'!DQ23</f>
        <v>0</v>
      </c>
      <c r="DO24" s="260">
        <f>'[1]February - 2023'!DR23</f>
        <v>0</v>
      </c>
      <c r="DP24" s="262">
        <f>'[1]February - 2023'!DS23</f>
        <v>0</v>
      </c>
      <c r="DQ24" s="260">
        <f>'[1]February - 2023'!DT23</f>
        <v>0</v>
      </c>
      <c r="DR24" s="263">
        <f>'[1]February - 2023'!DU23</f>
        <v>0</v>
      </c>
      <c r="DS24" s="501"/>
      <c r="DT24" s="189">
        <f>'[1]February - 2023'!DW23</f>
        <v>0</v>
      </c>
      <c r="DU24" s="200">
        <f>'[1]February - 2023'!DX23</f>
        <v>0</v>
      </c>
      <c r="DV24" s="87">
        <f>'[1]February - 2023'!DY23</f>
        <v>0</v>
      </c>
      <c r="DW24" s="194">
        <f>'[1]February - 2023'!DZ23</f>
        <v>0</v>
      </c>
      <c r="DX24" s="87">
        <f>'[1]February - 2023'!EA23</f>
        <v>0</v>
      </c>
      <c r="DY24" s="194">
        <f>'[1]February - 2023'!EB23</f>
        <v>0</v>
      </c>
      <c r="DZ24" s="87">
        <f>'[1]February - 2023'!EC23</f>
        <v>0</v>
      </c>
      <c r="EA24" s="194">
        <f>'[1]February - 2023'!ED23</f>
        <v>0</v>
      </c>
      <c r="EB24" s="87">
        <f>'[1]February - 2023'!EE23</f>
        <v>0</v>
      </c>
      <c r="EC24" s="194">
        <f>'[1]February - 2023'!EF23</f>
        <v>0</v>
      </c>
      <c r="ED24" s="87">
        <f>'[1]February - 2023'!EI23</f>
        <v>0</v>
      </c>
      <c r="EE24" s="207">
        <f>'[1]February - 2023'!EJ23</f>
        <v>0</v>
      </c>
      <c r="EF24" s="548"/>
      <c r="EG24" s="213">
        <f>'[1]February - 2023'!EL23</f>
        <v>0</v>
      </c>
      <c r="EH24" s="208">
        <f>'[1]February - 2023'!EM23</f>
        <v>0</v>
      </c>
      <c r="EI24" s="86">
        <f>'[1]February - 2023'!EN23</f>
        <v>0</v>
      </c>
      <c r="EJ24" s="208">
        <f>'[1]February - 2023'!EO23</f>
        <v>0</v>
      </c>
      <c r="EK24" s="86">
        <f>'[1]February - 2023'!EP23</f>
        <v>0</v>
      </c>
      <c r="EL24" s="208">
        <f>'[1]February - 2023'!EQ23</f>
        <v>0</v>
      </c>
      <c r="EM24" s="86">
        <f>'[1]February - 2023'!ER23</f>
        <v>0</v>
      </c>
      <c r="EN24" s="208">
        <f>'[1]February - 2023'!ES23</f>
        <v>0</v>
      </c>
      <c r="EO24" s="86">
        <f>'[1]February - 2023'!ET23</f>
        <v>0</v>
      </c>
      <c r="EP24" s="208">
        <f>'[1]February - 2023'!EU23</f>
        <v>0</v>
      </c>
      <c r="EQ24" s="86">
        <f>'[1]February - 2023'!EV23</f>
        <v>0</v>
      </c>
      <c r="ER24" s="208">
        <f>'[1]February - 2023'!EW23</f>
        <v>0</v>
      </c>
      <c r="ES24" s="523"/>
      <c r="ET24" s="253">
        <f>'[1]February - 2023'!EY23</f>
        <v>0</v>
      </c>
      <c r="EU24" s="266">
        <f>'[1]February - 2023'!EZ23</f>
        <v>0</v>
      </c>
      <c r="EV24" s="254">
        <f>'[1]February - 2023'!FA23</f>
        <v>0</v>
      </c>
      <c r="EW24" s="266">
        <f>'[1]February - 2023'!FB23</f>
        <v>0</v>
      </c>
      <c r="EX24" s="254">
        <f>'[1]February - 2023'!FC23</f>
        <v>0</v>
      </c>
      <c r="EY24" s="266">
        <f>'[1]February - 2023'!FD23</f>
        <v>0</v>
      </c>
      <c r="EZ24" s="254">
        <f>'[1]February - 2023'!FE23</f>
        <v>0</v>
      </c>
      <c r="FA24" s="266">
        <f>'[1]February - 2023'!FF23</f>
        <v>0</v>
      </c>
      <c r="FB24" s="254">
        <f>'[1]February - 2023'!FG23</f>
        <v>0</v>
      </c>
      <c r="FC24" s="264">
        <f>'[1]February - 2023'!FH23</f>
        <v>0</v>
      </c>
    </row>
    <row r="25" spans="1:159" ht="30" customHeight="1" x14ac:dyDescent="0.25">
      <c r="A25" s="186">
        <v>44973</v>
      </c>
      <c r="B25" s="188">
        <f>'[1]February - 2023'!B24</f>
        <v>0</v>
      </c>
      <c r="C25" s="228">
        <f>'[1]February - 2023'!E24</f>
        <v>0</v>
      </c>
      <c r="D25" s="151">
        <f>'[1]February - 2023'!F25</f>
        <v>0</v>
      </c>
      <c r="E25" s="150">
        <f>'[1]February - 2023'!G24</f>
        <v>574</v>
      </c>
      <c r="F25" s="150">
        <f>'[1]February - 2023'!H24</f>
        <v>0</v>
      </c>
      <c r="G25" s="151">
        <f>'[1]February - 2023'!I25</f>
        <v>0</v>
      </c>
      <c r="H25" s="150">
        <f>'[1]February - 2023'!J24</f>
        <v>120746</v>
      </c>
      <c r="I25" s="239">
        <f>'[1]February - 2023'!K24</f>
        <v>0</v>
      </c>
      <c r="J25" s="151">
        <f>'[1]February - 2023'!L24</f>
        <v>0</v>
      </c>
      <c r="K25" s="239">
        <f>'[1]February - 2023'!N24</f>
        <v>0</v>
      </c>
      <c r="L25" s="151">
        <f>'[1]February - 2023'!O24</f>
        <v>0</v>
      </c>
      <c r="M25" s="239">
        <f>'[1]February - 2023'!Q24</f>
        <v>0</v>
      </c>
      <c r="N25" s="151">
        <f>'[1]February - 2023'!R24</f>
        <v>0</v>
      </c>
      <c r="O25" s="239">
        <f>'[1]February - 2023'!U24</f>
        <v>0</v>
      </c>
      <c r="P25" s="151">
        <f>'[1]February - 2023'!V24</f>
        <v>0</v>
      </c>
      <c r="Q25" s="150">
        <f>'[1]February - 2023'!W24</f>
        <v>16</v>
      </c>
      <c r="R25" s="239">
        <f>'[1]February - 2023'!X24</f>
        <v>0</v>
      </c>
      <c r="S25" s="187">
        <f>'[1]February - 2023'!Y24</f>
        <v>0</v>
      </c>
      <c r="T25" s="444"/>
      <c r="U25" s="244">
        <f>'[1]February - 2023'!AE24</f>
        <v>0</v>
      </c>
      <c r="V25" s="265">
        <f>'[1]February - 2023'!AF24</f>
        <v>0</v>
      </c>
      <c r="W25" s="88">
        <f>'[1]February - 2023'!AG24</f>
        <v>2143.679999999702</v>
      </c>
      <c r="X25" s="261">
        <f>'[1]February - 2023'!AH24</f>
        <v>0</v>
      </c>
      <c r="Y25" s="265">
        <f>'[1]February - 2023'!AI24</f>
        <v>0</v>
      </c>
      <c r="Z25" s="88">
        <f>'[1]February - 2023'!AJ24</f>
        <v>4774.5599999986589</v>
      </c>
      <c r="AA25" s="261">
        <f>'[1]February - 2023'!AK24</f>
        <v>0</v>
      </c>
      <c r="AB25" s="265">
        <f>'[1]February - 2023'!AL24</f>
        <v>0</v>
      </c>
      <c r="AC25" s="88">
        <f>'[1]February - 2023'!AM24</f>
        <v>146.16000000014901</v>
      </c>
      <c r="AD25" s="261">
        <f>'[1]February - 2023'!AN24</f>
        <v>0</v>
      </c>
      <c r="AE25" s="265">
        <f>'[1]February - 2023'!AO24</f>
        <v>0</v>
      </c>
      <c r="AF25" s="88">
        <f>'[1]February - 2023'!AP24</f>
        <v>8964.480000000447</v>
      </c>
      <c r="AG25" s="261">
        <f>'[1]February - 2023'!AQ24</f>
        <v>0</v>
      </c>
      <c r="AH25" s="265">
        <f>'[1]February - 2023'!AR24</f>
        <v>0</v>
      </c>
      <c r="AI25" s="88">
        <f>'[1]February - 2023'!AS24</f>
        <v>1461.6000000014901</v>
      </c>
      <c r="AJ25" s="261">
        <f>'[1]February - 2023'!AT24</f>
        <v>0</v>
      </c>
      <c r="AK25" s="265">
        <f>'[1]February - 2023'!AU24</f>
        <v>0</v>
      </c>
      <c r="AL25" s="88">
        <f>'[1]February - 2023'!AV24</f>
        <v>5700.2399999983609</v>
      </c>
      <c r="AM25" s="261">
        <f>'[1]February - 2023'!AW24</f>
        <v>0</v>
      </c>
      <c r="AN25" s="265">
        <f>'[1]February - 2023'!AX24</f>
        <v>0</v>
      </c>
      <c r="AO25" s="88">
        <f>'[1]February - 2023'!AY24</f>
        <v>4433.5200000014156</v>
      </c>
      <c r="AP25" s="261">
        <f>'[1]February - 2023'!AZ24</f>
        <v>0</v>
      </c>
      <c r="AQ25" s="265">
        <f>'[1]February - 2023'!BA24</f>
        <v>0</v>
      </c>
      <c r="AR25" s="88">
        <f>'[1]February - 2023'!BB24</f>
        <v>4482.2400000002235</v>
      </c>
      <c r="AS25" s="261">
        <f>'[1]February - 2023'!BC24</f>
        <v>0</v>
      </c>
      <c r="AT25" s="265">
        <f>'[1]February - 2023'!BD24</f>
        <v>0</v>
      </c>
      <c r="AU25" s="88">
        <f>'[1]February - 2023'!BE24</f>
        <v>2971.9200000017881</v>
      </c>
      <c r="AV25" s="261">
        <f>'[1]February - 2023'!BF24</f>
        <v>0</v>
      </c>
      <c r="AW25" s="229">
        <f>'[1]February - 2023'!BG24</f>
        <v>0</v>
      </c>
      <c r="AX25" s="230">
        <f>'[1]February - 2023'!BH24</f>
        <v>5602.8000000007451</v>
      </c>
      <c r="AY25" s="461"/>
      <c r="AZ25" s="247">
        <f>'[1]February - 2023'!BM24</f>
        <v>0</v>
      </c>
      <c r="BA25" s="160">
        <f>'[1]February - 2023'!BN24</f>
        <v>0</v>
      </c>
      <c r="BB25" s="89">
        <f>'[1]February - 2023'!BO25</f>
        <v>0</v>
      </c>
      <c r="BC25" s="247">
        <f>'[1]February - 2023'!BP24</f>
        <v>0</v>
      </c>
      <c r="BD25" s="223">
        <f>'[1]February - 2023'!BQ24</f>
        <v>0</v>
      </c>
      <c r="BE25" s="89">
        <f>'[1]February - 2023'!BR24</f>
        <v>42500</v>
      </c>
      <c r="BF25" s="247">
        <f>'[1]February - 2023'!BS24</f>
        <v>0</v>
      </c>
      <c r="BG25" s="223">
        <f>'[1]February - 2023'!BT24</f>
        <v>0</v>
      </c>
      <c r="BH25" s="89">
        <f>'[1]February - 2023'!BU24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48">
        <f>'[1]February - 2023'!BV24</f>
        <v>0</v>
      </c>
      <c r="BT25" s="165">
        <f>'[1]February - 2023'!BW24</f>
        <v>0</v>
      </c>
      <c r="BU25" s="557"/>
      <c r="BV25" s="84">
        <f>'[1]February - 2023'!BY24</f>
        <v>0</v>
      </c>
      <c r="BW25" s="219">
        <f>'[1]February - 2023'!BZ24</f>
        <v>0</v>
      </c>
      <c r="BX25" s="84">
        <f>'[1]February - 2023'!CA24</f>
        <v>5.9999999999999942E-2</v>
      </c>
      <c r="BY25" s="85">
        <f>'[1]February - 2023'!CB24</f>
        <v>0</v>
      </c>
      <c r="BZ25" s="171">
        <f>'[1]February - 2023'!CC24</f>
        <v>0</v>
      </c>
      <c r="CA25" s="85">
        <f>'[1]February - 2023'!CD24</f>
        <v>0</v>
      </c>
      <c r="CB25" s="171">
        <f>'[1]February - 2023'!CE24</f>
        <v>0</v>
      </c>
      <c r="CC25" s="85">
        <f>'[1]February - 2023'!CF24</f>
        <v>0</v>
      </c>
      <c r="CD25" s="171">
        <f>'[1]February - 2023'!CG24</f>
        <v>0</v>
      </c>
      <c r="CE25" s="85">
        <f>'[1]February - 2023'!CH24</f>
        <v>0</v>
      </c>
      <c r="CF25" s="171">
        <f>'[1]February - 2023'!CI24</f>
        <v>0</v>
      </c>
      <c r="CG25" s="85">
        <f>'[1]February - 2023'!CJ24</f>
        <v>0</v>
      </c>
      <c r="CH25" s="171">
        <f>'[1]February - 2023'!CK24</f>
        <v>0</v>
      </c>
      <c r="CI25" s="85">
        <f>'[1]February - 2023'!CL24</f>
        <v>0</v>
      </c>
      <c r="CJ25" s="171">
        <f>'[1]February - 2023'!CM24</f>
        <v>0</v>
      </c>
      <c r="CK25" s="85">
        <f>'[1]February - 2023'!CN24</f>
        <v>0</v>
      </c>
      <c r="CL25" s="224">
        <f>'[1]February - 2023'!CO24</f>
        <v>0</v>
      </c>
      <c r="CM25" s="85">
        <f>'[1]February - 2023'!CP24</f>
        <v>100</v>
      </c>
      <c r="CN25" s="85">
        <f>'[1]February - 2023'!CQ24</f>
        <v>0</v>
      </c>
      <c r="CO25" s="224">
        <f>'[1]February - 2023'!CR24</f>
        <v>0</v>
      </c>
      <c r="CP25" s="85">
        <f>'[1]February - 2023'!CV24</f>
        <v>303</v>
      </c>
      <c r="CQ25" s="85">
        <f>'[1]February - 2023'!CT24</f>
        <v>0</v>
      </c>
      <c r="CR25" s="224">
        <f>'[1]February - 2023'!CU24</f>
        <v>0</v>
      </c>
      <c r="CS25" s="85">
        <f>'[1]February - 2023'!CV24</f>
        <v>303</v>
      </c>
      <c r="CT25" s="85">
        <f>'[1]February - 2023'!CW24</f>
        <v>0</v>
      </c>
      <c r="CU25" s="171">
        <f>'[1]February - 2023'!CX24</f>
        <v>0</v>
      </c>
      <c r="CV25" s="485"/>
      <c r="CW25" s="259">
        <f>'[1]February - 2023'!CZ24</f>
        <v>0</v>
      </c>
      <c r="CX25" s="262">
        <f>'[1]February - 2023'!DA24</f>
        <v>0</v>
      </c>
      <c r="CY25" s="260">
        <f>'[1]February - 2023'!DB24</f>
        <v>0</v>
      </c>
      <c r="CZ25" s="262">
        <f>'[1]February - 2023'!DC24</f>
        <v>0</v>
      </c>
      <c r="DA25" s="260">
        <f>'[1]February - 2023'!DD24</f>
        <v>0</v>
      </c>
      <c r="DB25" s="262">
        <f>'[1]February - 2023'!DE24</f>
        <v>0</v>
      </c>
      <c r="DC25" s="260">
        <f>'[1]February - 2023'!DF24</f>
        <v>0</v>
      </c>
      <c r="DD25" s="262">
        <f>'[1]February - 2023'!DG24</f>
        <v>0</v>
      </c>
      <c r="DE25" s="260">
        <f>'[1]February - 2023'!DH24</f>
        <v>0</v>
      </c>
      <c r="DF25" s="262">
        <f>'[1]February - 2023'!DI24</f>
        <v>0</v>
      </c>
      <c r="DG25" s="260">
        <f>'[1]February - 2023'!DJ24</f>
        <v>0</v>
      </c>
      <c r="DH25" s="262">
        <f>'[1]February - 2023'!DK24</f>
        <v>0</v>
      </c>
      <c r="DI25" s="260">
        <f>'[1]February - 2023'!DL24</f>
        <v>0</v>
      </c>
      <c r="DJ25" s="262">
        <f>'[1]February - 2023'!DM24</f>
        <v>0</v>
      </c>
      <c r="DK25" s="260">
        <f>'[1]February - 2023'!DN24</f>
        <v>0</v>
      </c>
      <c r="DL25" s="262">
        <f>'[1]February - 2023'!DO24</f>
        <v>0</v>
      </c>
      <c r="DM25" s="260">
        <f>'[1]February - 2023'!DP24</f>
        <v>0</v>
      </c>
      <c r="DN25" s="262">
        <f>'[1]February - 2023'!DQ24</f>
        <v>0</v>
      </c>
      <c r="DO25" s="260">
        <f>'[1]February - 2023'!DR24</f>
        <v>0</v>
      </c>
      <c r="DP25" s="262">
        <f>'[1]February - 2023'!DS24</f>
        <v>0</v>
      </c>
      <c r="DQ25" s="260">
        <f>'[1]February - 2023'!DT24</f>
        <v>0</v>
      </c>
      <c r="DR25" s="263">
        <f>'[1]February - 2023'!DU24</f>
        <v>0</v>
      </c>
      <c r="DS25" s="501"/>
      <c r="DT25" s="189">
        <f>'[1]February - 2023'!DW24</f>
        <v>0</v>
      </c>
      <c r="DU25" s="200">
        <f>'[1]February - 2023'!DX24</f>
        <v>0</v>
      </c>
      <c r="DV25" s="87">
        <f>'[1]February - 2023'!DY24</f>
        <v>0</v>
      </c>
      <c r="DW25" s="194">
        <f>'[1]February - 2023'!DZ24</f>
        <v>0</v>
      </c>
      <c r="DX25" s="87">
        <f>'[1]February - 2023'!EA24</f>
        <v>0</v>
      </c>
      <c r="DY25" s="194">
        <f>'[1]February - 2023'!EB24</f>
        <v>0</v>
      </c>
      <c r="DZ25" s="87">
        <f>'[1]February - 2023'!EC24</f>
        <v>0</v>
      </c>
      <c r="EA25" s="194">
        <f>'[1]February - 2023'!ED24</f>
        <v>0</v>
      </c>
      <c r="EB25" s="87">
        <f>'[1]February - 2023'!EE24</f>
        <v>0</v>
      </c>
      <c r="EC25" s="194">
        <f>'[1]February - 2023'!EF24</f>
        <v>0</v>
      </c>
      <c r="ED25" s="87">
        <f>'[1]February - 2023'!EI24</f>
        <v>0</v>
      </c>
      <c r="EE25" s="207">
        <f>'[1]February - 2023'!EJ24</f>
        <v>0</v>
      </c>
      <c r="EF25" s="548"/>
      <c r="EG25" s="213">
        <f>'[1]February - 2023'!EL24</f>
        <v>0</v>
      </c>
      <c r="EH25" s="208">
        <f>'[1]February - 2023'!EM24</f>
        <v>0</v>
      </c>
      <c r="EI25" s="86">
        <f>'[1]February - 2023'!EN24</f>
        <v>0</v>
      </c>
      <c r="EJ25" s="208">
        <f>'[1]February - 2023'!EO24</f>
        <v>0</v>
      </c>
      <c r="EK25" s="86">
        <f>'[1]February - 2023'!EP24</f>
        <v>0</v>
      </c>
      <c r="EL25" s="208">
        <f>'[1]February - 2023'!EQ24</f>
        <v>0</v>
      </c>
      <c r="EM25" s="86">
        <f>'[1]February - 2023'!ER24</f>
        <v>0</v>
      </c>
      <c r="EN25" s="208">
        <f>'[1]February - 2023'!ES24</f>
        <v>0</v>
      </c>
      <c r="EO25" s="86">
        <f>'[1]February - 2023'!ET24</f>
        <v>0</v>
      </c>
      <c r="EP25" s="208">
        <f>'[1]February - 2023'!EU24</f>
        <v>0</v>
      </c>
      <c r="EQ25" s="86">
        <f>'[1]February - 2023'!EV24</f>
        <v>0</v>
      </c>
      <c r="ER25" s="208">
        <f>'[1]February - 2023'!EW24</f>
        <v>0</v>
      </c>
      <c r="ES25" s="523"/>
      <c r="ET25" s="253">
        <f>'[1]February - 2023'!EY24</f>
        <v>0</v>
      </c>
      <c r="EU25" s="266">
        <f>'[1]February - 2023'!EZ24</f>
        <v>0</v>
      </c>
      <c r="EV25" s="254">
        <f>'[1]February - 2023'!FA24</f>
        <v>0</v>
      </c>
      <c r="EW25" s="266">
        <f>'[1]February - 2023'!FB24</f>
        <v>0</v>
      </c>
      <c r="EX25" s="254">
        <f>'[1]February - 2023'!FC24</f>
        <v>0</v>
      </c>
      <c r="EY25" s="266">
        <f>'[1]February - 2023'!FD24</f>
        <v>0</v>
      </c>
      <c r="EZ25" s="254">
        <f>'[1]February - 2023'!FE24</f>
        <v>0</v>
      </c>
      <c r="FA25" s="266">
        <f>'[1]February - 2023'!FF24</f>
        <v>0</v>
      </c>
      <c r="FB25" s="254">
        <f>'[1]February - 2023'!FG24</f>
        <v>0</v>
      </c>
      <c r="FC25" s="264">
        <f>'[1]February - 2023'!FH24</f>
        <v>0</v>
      </c>
    </row>
    <row r="26" spans="1:159" ht="30" customHeight="1" x14ac:dyDescent="0.25">
      <c r="A26" s="186">
        <v>44974</v>
      </c>
      <c r="B26" s="188">
        <f>'[1]February - 2023'!B25</f>
        <v>0</v>
      </c>
      <c r="C26" s="228">
        <f>'[1]February - 2023'!E25</f>
        <v>0</v>
      </c>
      <c r="D26" s="151">
        <f>'[1]February - 2023'!F26</f>
        <v>0</v>
      </c>
      <c r="E26" s="150">
        <f>'[1]February - 2023'!G25</f>
        <v>613</v>
      </c>
      <c r="F26" s="150">
        <f>'[1]February - 2023'!H25</f>
        <v>0</v>
      </c>
      <c r="G26" s="151">
        <f>'[1]February - 2023'!I26</f>
        <v>0</v>
      </c>
      <c r="H26" s="150">
        <f>'[1]February - 2023'!J25</f>
        <v>121240</v>
      </c>
      <c r="I26" s="239">
        <f>'[1]February - 2023'!K25</f>
        <v>0</v>
      </c>
      <c r="J26" s="151">
        <f>'[1]February - 2023'!L25</f>
        <v>0</v>
      </c>
      <c r="K26" s="239">
        <f>'[1]February - 2023'!N25</f>
        <v>0</v>
      </c>
      <c r="L26" s="151">
        <f>'[1]February - 2023'!O25</f>
        <v>0</v>
      </c>
      <c r="M26" s="239">
        <f>'[1]February - 2023'!Q25</f>
        <v>0</v>
      </c>
      <c r="N26" s="151">
        <f>'[1]February - 2023'!R25</f>
        <v>0</v>
      </c>
      <c r="O26" s="239">
        <f>'[1]February - 2023'!U25</f>
        <v>0</v>
      </c>
      <c r="P26" s="151">
        <f>'[1]February - 2023'!V25</f>
        <v>0</v>
      </c>
      <c r="Q26" s="150">
        <f>'[1]February - 2023'!W25</f>
        <v>-26</v>
      </c>
      <c r="R26" s="239">
        <f>'[1]February - 2023'!X25</f>
        <v>0</v>
      </c>
      <c r="S26" s="187">
        <f>'[1]February - 2023'!Y25</f>
        <v>0</v>
      </c>
      <c r="T26" s="444"/>
      <c r="U26" s="244">
        <f>'[1]February - 2023'!AE25</f>
        <v>0</v>
      </c>
      <c r="V26" s="265">
        <f>'[1]February - 2023'!AF25</f>
        <v>0</v>
      </c>
      <c r="W26" s="88">
        <f>'[1]February - 2023'!AG25</f>
        <v>2192.4000000003725</v>
      </c>
      <c r="X26" s="261">
        <f>'[1]February - 2023'!AH25</f>
        <v>0</v>
      </c>
      <c r="Y26" s="265">
        <f>'[1]February - 2023'!AI25</f>
        <v>0</v>
      </c>
      <c r="Z26" s="88">
        <f>'[1]February - 2023'!AJ25</f>
        <v>4774.5600000005215</v>
      </c>
      <c r="AA26" s="261">
        <f>'[1]February - 2023'!AK25</f>
        <v>0</v>
      </c>
      <c r="AB26" s="265">
        <f>'[1]February - 2023'!AL25</f>
        <v>0</v>
      </c>
      <c r="AC26" s="88">
        <f>'[1]February - 2023'!AM25</f>
        <v>194.88000000081956</v>
      </c>
      <c r="AD26" s="261">
        <f>'[1]February - 2023'!AN25</f>
        <v>0</v>
      </c>
      <c r="AE26" s="265">
        <f>'[1]February - 2023'!AO25</f>
        <v>0</v>
      </c>
      <c r="AF26" s="88">
        <f>'[1]February - 2023'!AP25</f>
        <v>8038.8000000007451</v>
      </c>
      <c r="AG26" s="261">
        <f>'[1]February - 2023'!AQ25</f>
        <v>0</v>
      </c>
      <c r="AH26" s="265">
        <f>'[1]February - 2023'!AR25</f>
        <v>0</v>
      </c>
      <c r="AI26" s="88">
        <f>'[1]February - 2023'!AS25</f>
        <v>1510.320000000298</v>
      </c>
      <c r="AJ26" s="261">
        <f>'[1]February - 2023'!AT25</f>
        <v>0</v>
      </c>
      <c r="AK26" s="265">
        <f>'[1]February - 2023'!AU25</f>
        <v>0</v>
      </c>
      <c r="AL26" s="88">
        <f>'[1]February - 2023'!AV25</f>
        <v>6041.2800000011921</v>
      </c>
      <c r="AM26" s="261">
        <f>'[1]February - 2023'!AW25</f>
        <v>0</v>
      </c>
      <c r="AN26" s="265">
        <f>'[1]February - 2023'!AX25</f>
        <v>0</v>
      </c>
      <c r="AO26" s="88">
        <f>'[1]February - 2023'!AY25</f>
        <v>4579.679999999702</v>
      </c>
      <c r="AP26" s="261">
        <f>'[1]February - 2023'!AZ25</f>
        <v>0</v>
      </c>
      <c r="AQ26" s="265">
        <f>'[1]February - 2023'!BA25</f>
        <v>0</v>
      </c>
      <c r="AR26" s="88">
        <f>'[1]February - 2023'!BB25</f>
        <v>4433.519999999553</v>
      </c>
      <c r="AS26" s="261">
        <f>'[1]February - 2023'!BC25</f>
        <v>0</v>
      </c>
      <c r="AT26" s="265">
        <f>'[1]February - 2023'!BD25</f>
        <v>0</v>
      </c>
      <c r="AU26" s="88">
        <f>'[1]February - 2023'!BE25</f>
        <v>3312.9599999990314</v>
      </c>
      <c r="AV26" s="261">
        <f>'[1]February - 2023'!BF25</f>
        <v>0</v>
      </c>
      <c r="AW26" s="229">
        <f>'[1]February - 2023'!BG25</f>
        <v>0</v>
      </c>
      <c r="AX26" s="230">
        <f>'[1]February - 2023'!BH25</f>
        <v>5651.5200000014156</v>
      </c>
      <c r="AY26" s="461"/>
      <c r="AZ26" s="247">
        <f>'[1]February - 2023'!BM25</f>
        <v>0</v>
      </c>
      <c r="BA26" s="160">
        <f>'[1]February - 2023'!BN25</f>
        <v>0</v>
      </c>
      <c r="BB26" s="89">
        <f>'[1]February - 2023'!BO26</f>
        <v>0</v>
      </c>
      <c r="BC26" s="247">
        <f>'[1]February - 2023'!BP25</f>
        <v>0</v>
      </c>
      <c r="BD26" s="223">
        <f>'[1]February - 2023'!BQ25</f>
        <v>0</v>
      </c>
      <c r="BE26" s="89">
        <f>'[1]February - 2023'!BR25</f>
        <v>40900</v>
      </c>
      <c r="BF26" s="247">
        <f>'[1]February - 2023'!BS25</f>
        <v>0</v>
      </c>
      <c r="BG26" s="223">
        <f>'[1]February - 2023'!BT25</f>
        <v>0</v>
      </c>
      <c r="BH26" s="89">
        <f>'[1]February - 2023'!BU25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48">
        <f>'[1]February - 2023'!BV25</f>
        <v>0</v>
      </c>
      <c r="BT26" s="165">
        <f>'[1]February - 2023'!BW25</f>
        <v>0</v>
      </c>
      <c r="BU26" s="557"/>
      <c r="BV26" s="84">
        <f>'[1]February - 2023'!BY25</f>
        <v>0</v>
      </c>
      <c r="BW26" s="219">
        <f>'[1]February - 2023'!BZ25</f>
        <v>0</v>
      </c>
      <c r="BX26" s="84">
        <f>'[1]February - 2023'!CA25</f>
        <v>-4.9999999999999933E-2</v>
      </c>
      <c r="BY26" s="85">
        <f>'[1]February - 2023'!CB25</f>
        <v>0</v>
      </c>
      <c r="BZ26" s="171">
        <f>'[1]February - 2023'!CC25</f>
        <v>0</v>
      </c>
      <c r="CA26" s="85">
        <f>'[1]February - 2023'!CD25</f>
        <v>0</v>
      </c>
      <c r="CB26" s="171">
        <f>'[1]February - 2023'!CE25</f>
        <v>0</v>
      </c>
      <c r="CC26" s="85">
        <f>'[1]February - 2023'!CF25</f>
        <v>0</v>
      </c>
      <c r="CD26" s="171">
        <f>'[1]February - 2023'!CG25</f>
        <v>0</v>
      </c>
      <c r="CE26" s="85">
        <f>'[1]February - 2023'!CH25</f>
        <v>0</v>
      </c>
      <c r="CF26" s="171">
        <f>'[1]February - 2023'!CI25</f>
        <v>0</v>
      </c>
      <c r="CG26" s="85">
        <f>'[1]February - 2023'!CJ25</f>
        <v>0</v>
      </c>
      <c r="CH26" s="171">
        <f>'[1]February - 2023'!CK25</f>
        <v>0</v>
      </c>
      <c r="CI26" s="85">
        <f>'[1]February - 2023'!CL25</f>
        <v>0</v>
      </c>
      <c r="CJ26" s="171">
        <f>'[1]February - 2023'!CM25</f>
        <v>0</v>
      </c>
      <c r="CK26" s="85">
        <f>'[1]February - 2023'!CN25</f>
        <v>0</v>
      </c>
      <c r="CL26" s="224">
        <f>'[1]February - 2023'!CO25</f>
        <v>0</v>
      </c>
      <c r="CM26" s="85">
        <f>'[1]February - 2023'!CP25</f>
        <v>99</v>
      </c>
      <c r="CN26" s="85">
        <f>'[1]February - 2023'!CQ25</f>
        <v>0</v>
      </c>
      <c r="CO26" s="224">
        <f>'[1]February - 2023'!CR25</f>
        <v>0</v>
      </c>
      <c r="CP26" s="85">
        <f>'[1]February - 2023'!CV25</f>
        <v>353</v>
      </c>
      <c r="CQ26" s="85">
        <f>'[1]February - 2023'!CT25</f>
        <v>0</v>
      </c>
      <c r="CR26" s="224">
        <f>'[1]February - 2023'!CU25</f>
        <v>0</v>
      </c>
      <c r="CS26" s="85">
        <f>'[1]February - 2023'!CV25</f>
        <v>353</v>
      </c>
      <c r="CT26" s="85">
        <f>'[1]February - 2023'!CW25</f>
        <v>0</v>
      </c>
      <c r="CU26" s="171">
        <f>'[1]February - 2023'!CX25</f>
        <v>0</v>
      </c>
      <c r="CV26" s="485"/>
      <c r="CW26" s="259">
        <f>'[1]February - 2023'!CZ25</f>
        <v>0</v>
      </c>
      <c r="CX26" s="262">
        <f>'[1]February - 2023'!DA25</f>
        <v>0</v>
      </c>
      <c r="CY26" s="260">
        <f>'[1]February - 2023'!DB25</f>
        <v>0</v>
      </c>
      <c r="CZ26" s="262">
        <f>'[1]February - 2023'!DC25</f>
        <v>0</v>
      </c>
      <c r="DA26" s="260">
        <f>'[1]February - 2023'!DD25</f>
        <v>0</v>
      </c>
      <c r="DB26" s="262">
        <f>'[1]February - 2023'!DE25</f>
        <v>0</v>
      </c>
      <c r="DC26" s="260">
        <f>'[1]February - 2023'!DF25</f>
        <v>0</v>
      </c>
      <c r="DD26" s="262">
        <f>'[1]February - 2023'!DG25</f>
        <v>0</v>
      </c>
      <c r="DE26" s="260">
        <f>'[1]February - 2023'!DH25</f>
        <v>0</v>
      </c>
      <c r="DF26" s="262">
        <f>'[1]February - 2023'!DI25</f>
        <v>0</v>
      </c>
      <c r="DG26" s="260">
        <f>'[1]February - 2023'!DJ25</f>
        <v>0</v>
      </c>
      <c r="DH26" s="262">
        <f>'[1]February - 2023'!DK25</f>
        <v>0</v>
      </c>
      <c r="DI26" s="260">
        <f>'[1]February - 2023'!DL25</f>
        <v>0</v>
      </c>
      <c r="DJ26" s="262">
        <f>'[1]February - 2023'!DM25</f>
        <v>0</v>
      </c>
      <c r="DK26" s="260">
        <f>'[1]February - 2023'!DN25</f>
        <v>0</v>
      </c>
      <c r="DL26" s="262">
        <f>'[1]February - 2023'!DO25</f>
        <v>0</v>
      </c>
      <c r="DM26" s="260">
        <f>'[1]February - 2023'!DP25</f>
        <v>0</v>
      </c>
      <c r="DN26" s="262">
        <f>'[1]February - 2023'!DQ25</f>
        <v>0</v>
      </c>
      <c r="DO26" s="260">
        <f>'[1]February - 2023'!DR25</f>
        <v>0</v>
      </c>
      <c r="DP26" s="262">
        <f>'[1]February - 2023'!DS25</f>
        <v>0</v>
      </c>
      <c r="DQ26" s="260">
        <f>'[1]February - 2023'!DT25</f>
        <v>0</v>
      </c>
      <c r="DR26" s="263">
        <f>'[1]February - 2023'!DU25</f>
        <v>0</v>
      </c>
      <c r="DS26" s="501"/>
      <c r="DT26" s="189">
        <f>'[1]February - 2023'!DW25</f>
        <v>0</v>
      </c>
      <c r="DU26" s="200">
        <f>'[1]February - 2023'!DX25</f>
        <v>0</v>
      </c>
      <c r="DV26" s="87">
        <f>'[1]February - 2023'!DY25</f>
        <v>0</v>
      </c>
      <c r="DW26" s="194">
        <f>'[1]February - 2023'!DZ25</f>
        <v>0</v>
      </c>
      <c r="DX26" s="87">
        <f>'[1]February - 2023'!EA25</f>
        <v>0</v>
      </c>
      <c r="DY26" s="194">
        <f>'[1]February - 2023'!EB25</f>
        <v>0</v>
      </c>
      <c r="DZ26" s="87">
        <f>'[1]February - 2023'!EC25</f>
        <v>0</v>
      </c>
      <c r="EA26" s="194">
        <f>'[1]February - 2023'!ED25</f>
        <v>0</v>
      </c>
      <c r="EB26" s="87">
        <f>'[1]February - 2023'!EE25</f>
        <v>0</v>
      </c>
      <c r="EC26" s="194">
        <f>'[1]February - 2023'!EF25</f>
        <v>0</v>
      </c>
      <c r="ED26" s="87">
        <f>'[1]February - 2023'!EI25</f>
        <v>0</v>
      </c>
      <c r="EE26" s="207">
        <f>'[1]February - 2023'!EJ25</f>
        <v>0</v>
      </c>
      <c r="EF26" s="548"/>
      <c r="EG26" s="213">
        <f>'[1]February - 2023'!EL25</f>
        <v>0</v>
      </c>
      <c r="EH26" s="208">
        <f>'[1]February - 2023'!EM25</f>
        <v>0</v>
      </c>
      <c r="EI26" s="86">
        <f>'[1]February - 2023'!EN25</f>
        <v>0</v>
      </c>
      <c r="EJ26" s="208">
        <f>'[1]February - 2023'!EO25</f>
        <v>0</v>
      </c>
      <c r="EK26" s="86">
        <f>'[1]February - 2023'!EP25</f>
        <v>0</v>
      </c>
      <c r="EL26" s="208">
        <f>'[1]February - 2023'!EQ25</f>
        <v>0</v>
      </c>
      <c r="EM26" s="86">
        <f>'[1]February - 2023'!ER25</f>
        <v>0</v>
      </c>
      <c r="EN26" s="208">
        <f>'[1]February - 2023'!ES25</f>
        <v>0</v>
      </c>
      <c r="EO26" s="86">
        <f>'[1]February - 2023'!ET25</f>
        <v>0</v>
      </c>
      <c r="EP26" s="208">
        <f>'[1]February - 2023'!EU25</f>
        <v>0</v>
      </c>
      <c r="EQ26" s="86">
        <f>'[1]February - 2023'!EV25</f>
        <v>0</v>
      </c>
      <c r="ER26" s="208">
        <f>'[1]February - 2023'!EW25</f>
        <v>0</v>
      </c>
      <c r="ES26" s="523"/>
      <c r="ET26" s="253">
        <f>'[1]February - 2023'!EY25</f>
        <v>0</v>
      </c>
      <c r="EU26" s="266">
        <f>'[1]February - 2023'!EZ25</f>
        <v>0</v>
      </c>
      <c r="EV26" s="254">
        <f>'[1]February - 2023'!FA25</f>
        <v>0</v>
      </c>
      <c r="EW26" s="266">
        <f>'[1]February - 2023'!FB25</f>
        <v>0</v>
      </c>
      <c r="EX26" s="254">
        <f>'[1]February - 2023'!FC25</f>
        <v>0</v>
      </c>
      <c r="EY26" s="266">
        <f>'[1]February - 2023'!FD25</f>
        <v>0</v>
      </c>
      <c r="EZ26" s="254">
        <f>'[1]February - 2023'!FE25</f>
        <v>0</v>
      </c>
      <c r="FA26" s="266">
        <f>'[1]February - 2023'!FF25</f>
        <v>0</v>
      </c>
      <c r="FB26" s="254">
        <f>'[1]February - 2023'!FG25</f>
        <v>0</v>
      </c>
      <c r="FC26" s="264">
        <f>'[1]February - 2023'!FH25</f>
        <v>0</v>
      </c>
    </row>
    <row r="27" spans="1:159" ht="30" customHeight="1" x14ac:dyDescent="0.25">
      <c r="A27" s="186">
        <v>44975</v>
      </c>
      <c r="B27" s="188">
        <f>'[1]February - 2023'!B26</f>
        <v>0</v>
      </c>
      <c r="C27" s="228">
        <f>'[1]February - 2023'!E26</f>
        <v>0</v>
      </c>
      <c r="D27" s="151">
        <f>'[1]February - 2023'!F27</f>
        <v>0</v>
      </c>
      <c r="E27" s="150">
        <f>'[1]February - 2023'!G26</f>
        <v>643</v>
      </c>
      <c r="F27" s="150">
        <f>'[1]February - 2023'!H26</f>
        <v>0</v>
      </c>
      <c r="G27" s="151">
        <f>'[1]February - 2023'!I27</f>
        <v>0</v>
      </c>
      <c r="H27" s="150">
        <f>'[1]February - 2023'!J26</f>
        <v>121742</v>
      </c>
      <c r="I27" s="239">
        <f>'[1]February - 2023'!K26</f>
        <v>0</v>
      </c>
      <c r="J27" s="151">
        <f>'[1]February - 2023'!L26</f>
        <v>0</v>
      </c>
      <c r="K27" s="239">
        <f>'[1]February - 2023'!N26</f>
        <v>0</v>
      </c>
      <c r="L27" s="151">
        <f>'[1]February - 2023'!O26</f>
        <v>0</v>
      </c>
      <c r="M27" s="239">
        <f>'[1]February - 2023'!Q26</f>
        <v>0</v>
      </c>
      <c r="N27" s="151">
        <f>'[1]February - 2023'!R26</f>
        <v>0</v>
      </c>
      <c r="O27" s="239">
        <f>'[1]February - 2023'!U26</f>
        <v>0</v>
      </c>
      <c r="P27" s="151">
        <f>'[1]February - 2023'!V26</f>
        <v>0</v>
      </c>
      <c r="Q27" s="150">
        <f>'[1]February - 2023'!W26</f>
        <v>5</v>
      </c>
      <c r="R27" s="239">
        <f>'[1]February - 2023'!X26</f>
        <v>0</v>
      </c>
      <c r="S27" s="187">
        <f>'[1]February - 2023'!Y26</f>
        <v>0</v>
      </c>
      <c r="T27" s="444"/>
      <c r="U27" s="244">
        <f>'[1]February - 2023'!AE26</f>
        <v>0</v>
      </c>
      <c r="V27" s="265">
        <f>'[1]February - 2023'!AF26</f>
        <v>0</v>
      </c>
      <c r="W27" s="88">
        <f>'[1]February - 2023'!AG26</f>
        <v>2094.9599999990314</v>
      </c>
      <c r="X27" s="261">
        <f>'[1]February - 2023'!AH26</f>
        <v>0</v>
      </c>
      <c r="Y27" s="265">
        <f>'[1]February - 2023'!AI26</f>
        <v>0</v>
      </c>
      <c r="Z27" s="88">
        <f>'[1]February - 2023'!AJ26</f>
        <v>4823.2800000011921</v>
      </c>
      <c r="AA27" s="261">
        <f>'[1]February - 2023'!AK26</f>
        <v>0</v>
      </c>
      <c r="AB27" s="265">
        <f>'[1]February - 2023'!AL26</f>
        <v>0</v>
      </c>
      <c r="AC27" s="88">
        <f>'[1]February - 2023'!AM26</f>
        <v>194.88000000081956</v>
      </c>
      <c r="AD27" s="261">
        <f>'[1]February - 2023'!AN26</f>
        <v>0</v>
      </c>
      <c r="AE27" s="265">
        <f>'[1]February - 2023'!AO26</f>
        <v>0</v>
      </c>
      <c r="AF27" s="88">
        <f>'[1]February - 2023'!AP26</f>
        <v>8428.5600000023842</v>
      </c>
      <c r="AG27" s="261">
        <f>'[1]February - 2023'!AQ26</f>
        <v>0</v>
      </c>
      <c r="AH27" s="265">
        <f>'[1]February - 2023'!AR26</f>
        <v>0</v>
      </c>
      <c r="AI27" s="88">
        <f>'[1]February - 2023'!AS26</f>
        <v>1364.1599999964237</v>
      </c>
      <c r="AJ27" s="261">
        <f>'[1]February - 2023'!AT26</f>
        <v>0</v>
      </c>
      <c r="AK27" s="265">
        <f>'[1]February - 2023'!AU26</f>
        <v>0</v>
      </c>
      <c r="AL27" s="88">
        <f>'[1]February - 2023'!AV26</f>
        <v>6138.7199999988079</v>
      </c>
      <c r="AM27" s="261">
        <f>'[1]February - 2023'!AW26</f>
        <v>0</v>
      </c>
      <c r="AN27" s="265">
        <f>'[1]February - 2023'!AX26</f>
        <v>0</v>
      </c>
      <c r="AO27" s="88">
        <f>'[1]February - 2023'!AY26</f>
        <v>4384.7999999988824</v>
      </c>
      <c r="AP27" s="261">
        <f>'[1]February - 2023'!AZ26</f>
        <v>0</v>
      </c>
      <c r="AQ27" s="265">
        <f>'[1]February - 2023'!BA26</f>
        <v>0</v>
      </c>
      <c r="AR27" s="88">
        <f>'[1]February - 2023'!BB26</f>
        <v>4628.4000000003725</v>
      </c>
      <c r="AS27" s="261">
        <f>'[1]February - 2023'!BC26</f>
        <v>0</v>
      </c>
      <c r="AT27" s="265">
        <f>'[1]February - 2023'!BD26</f>
        <v>0</v>
      </c>
      <c r="AU27" s="88">
        <f>'[1]February - 2023'!BE26</f>
        <v>3069.359999999404</v>
      </c>
      <c r="AV27" s="261">
        <f>'[1]February - 2023'!BF26</f>
        <v>0</v>
      </c>
      <c r="AW27" s="229">
        <f>'[1]February - 2023'!BG26</f>
        <v>0</v>
      </c>
      <c r="AX27" s="230">
        <f>'[1]February - 2023'!BH26</f>
        <v>5554.0799999982119</v>
      </c>
      <c r="AY27" s="461"/>
      <c r="AZ27" s="247">
        <f>'[1]February - 2023'!BM26</f>
        <v>0</v>
      </c>
      <c r="BA27" s="160">
        <f>'[1]February - 2023'!BN26</f>
        <v>0</v>
      </c>
      <c r="BB27" s="89">
        <f>'[1]February - 2023'!BO27</f>
        <v>38900</v>
      </c>
      <c r="BC27" s="247">
        <f>'[1]February - 2023'!BP26</f>
        <v>0</v>
      </c>
      <c r="BD27" s="223">
        <f>'[1]February - 2023'!BQ26</f>
        <v>0</v>
      </c>
      <c r="BE27" s="89">
        <f>'[1]February - 2023'!BR26</f>
        <v>41000</v>
      </c>
      <c r="BF27" s="247">
        <f>'[1]February - 2023'!BS26</f>
        <v>0</v>
      </c>
      <c r="BG27" s="223">
        <f>'[1]February - 2023'!BT26</f>
        <v>0</v>
      </c>
      <c r="BH27" s="89">
        <f>'[1]February - 2023'!BU26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48">
        <f>'[1]February - 2023'!BV26</f>
        <v>0</v>
      </c>
      <c r="BT27" s="165">
        <f>'[1]February - 2023'!BW26</f>
        <v>0</v>
      </c>
      <c r="BU27" s="557"/>
      <c r="BV27" s="84">
        <f>'[1]February - 2023'!BY26</f>
        <v>0</v>
      </c>
      <c r="BW27" s="219">
        <f>'[1]February - 2023'!BZ26</f>
        <v>0</v>
      </c>
      <c r="BX27" s="84">
        <f>'[1]February - 2023'!CA26</f>
        <v>7.999999999999996E-2</v>
      </c>
      <c r="BY27" s="85">
        <f>'[1]February - 2023'!CB26</f>
        <v>0</v>
      </c>
      <c r="BZ27" s="171">
        <f>'[1]February - 2023'!CC26</f>
        <v>0</v>
      </c>
      <c r="CA27" s="85">
        <f>'[1]February - 2023'!CD26</f>
        <v>0</v>
      </c>
      <c r="CB27" s="171">
        <f>'[1]February - 2023'!CE26</f>
        <v>0</v>
      </c>
      <c r="CC27" s="85">
        <f>'[1]February - 2023'!CF26</f>
        <v>0</v>
      </c>
      <c r="CD27" s="171">
        <f>'[1]February - 2023'!CG26</f>
        <v>0</v>
      </c>
      <c r="CE27" s="85">
        <f>'[1]February - 2023'!CH26</f>
        <v>0</v>
      </c>
      <c r="CF27" s="171">
        <f>'[1]February - 2023'!CI26</f>
        <v>0</v>
      </c>
      <c r="CG27" s="85">
        <f>'[1]February - 2023'!CJ26</f>
        <v>0</v>
      </c>
      <c r="CH27" s="171">
        <f>'[1]February - 2023'!CK26</f>
        <v>0</v>
      </c>
      <c r="CI27" s="85">
        <f>'[1]February - 2023'!CL26</f>
        <v>0</v>
      </c>
      <c r="CJ27" s="171">
        <f>'[1]February - 2023'!CM26</f>
        <v>0</v>
      </c>
      <c r="CK27" s="85">
        <f>'[1]February - 2023'!CN26</f>
        <v>0</v>
      </c>
      <c r="CL27" s="224">
        <f>'[1]February - 2023'!CO26</f>
        <v>0</v>
      </c>
      <c r="CM27" s="85">
        <f>'[1]February - 2023'!CP26</f>
        <v>99</v>
      </c>
      <c r="CN27" s="85">
        <f>'[1]February - 2023'!CQ26</f>
        <v>0</v>
      </c>
      <c r="CO27" s="224">
        <f>'[1]February - 2023'!CR26</f>
        <v>0</v>
      </c>
      <c r="CP27" s="85">
        <f>'[1]February - 2023'!CV26</f>
        <v>289</v>
      </c>
      <c r="CQ27" s="85">
        <f>'[1]February - 2023'!CT26</f>
        <v>0</v>
      </c>
      <c r="CR27" s="224">
        <f>'[1]February - 2023'!CU26</f>
        <v>0</v>
      </c>
      <c r="CS27" s="85">
        <f>'[1]February - 2023'!CV26</f>
        <v>289</v>
      </c>
      <c r="CT27" s="85">
        <f>'[1]February - 2023'!CW26</f>
        <v>0</v>
      </c>
      <c r="CU27" s="171">
        <f>'[1]February - 2023'!CX26</f>
        <v>0</v>
      </c>
      <c r="CV27" s="485"/>
      <c r="CW27" s="259">
        <f>'[1]February - 2023'!CZ26</f>
        <v>0</v>
      </c>
      <c r="CX27" s="262">
        <f>'[1]February - 2023'!DA26</f>
        <v>0</v>
      </c>
      <c r="CY27" s="260">
        <f>'[1]February - 2023'!DB26</f>
        <v>0</v>
      </c>
      <c r="CZ27" s="262">
        <f>'[1]February - 2023'!DC26</f>
        <v>0</v>
      </c>
      <c r="DA27" s="260">
        <f>'[1]February - 2023'!DD26</f>
        <v>0</v>
      </c>
      <c r="DB27" s="262">
        <f>'[1]February - 2023'!DE26</f>
        <v>0</v>
      </c>
      <c r="DC27" s="260">
        <f>'[1]February - 2023'!DF26</f>
        <v>0</v>
      </c>
      <c r="DD27" s="262">
        <f>'[1]February - 2023'!DG26</f>
        <v>0</v>
      </c>
      <c r="DE27" s="260">
        <f>'[1]February - 2023'!DH26</f>
        <v>0</v>
      </c>
      <c r="DF27" s="262">
        <f>'[1]February - 2023'!DI26</f>
        <v>0</v>
      </c>
      <c r="DG27" s="260">
        <f>'[1]February - 2023'!DJ26</f>
        <v>0</v>
      </c>
      <c r="DH27" s="262">
        <f>'[1]February - 2023'!DK26</f>
        <v>0</v>
      </c>
      <c r="DI27" s="260">
        <f>'[1]February - 2023'!DL26</f>
        <v>0</v>
      </c>
      <c r="DJ27" s="262">
        <f>'[1]February - 2023'!DM26</f>
        <v>0</v>
      </c>
      <c r="DK27" s="260">
        <f>'[1]February - 2023'!DN26</f>
        <v>0</v>
      </c>
      <c r="DL27" s="262">
        <f>'[1]February - 2023'!DO26</f>
        <v>0</v>
      </c>
      <c r="DM27" s="260">
        <f>'[1]February - 2023'!DP26</f>
        <v>0</v>
      </c>
      <c r="DN27" s="262">
        <f>'[1]February - 2023'!DQ26</f>
        <v>0</v>
      </c>
      <c r="DO27" s="260">
        <f>'[1]February - 2023'!DR26</f>
        <v>0</v>
      </c>
      <c r="DP27" s="262">
        <f>'[1]February - 2023'!DS26</f>
        <v>0</v>
      </c>
      <c r="DQ27" s="260">
        <f>'[1]February - 2023'!DT26</f>
        <v>0</v>
      </c>
      <c r="DR27" s="263">
        <f>'[1]February - 2023'!DU26</f>
        <v>0</v>
      </c>
      <c r="DS27" s="501"/>
      <c r="DT27" s="189">
        <f>'[1]February - 2023'!DW26</f>
        <v>0</v>
      </c>
      <c r="DU27" s="200">
        <f>'[1]February - 2023'!DX26</f>
        <v>0</v>
      </c>
      <c r="DV27" s="87">
        <f>'[1]February - 2023'!DY26</f>
        <v>0</v>
      </c>
      <c r="DW27" s="194">
        <f>'[1]February - 2023'!DZ26</f>
        <v>0</v>
      </c>
      <c r="DX27" s="87">
        <f>'[1]February - 2023'!EA26</f>
        <v>0</v>
      </c>
      <c r="DY27" s="194">
        <f>'[1]February - 2023'!EB26</f>
        <v>0</v>
      </c>
      <c r="DZ27" s="87">
        <f>'[1]February - 2023'!EC26</f>
        <v>0</v>
      </c>
      <c r="EA27" s="194">
        <f>'[1]February - 2023'!ED26</f>
        <v>0</v>
      </c>
      <c r="EB27" s="87">
        <f>'[1]February - 2023'!EE26</f>
        <v>0</v>
      </c>
      <c r="EC27" s="194">
        <f>'[1]February - 2023'!EF26</f>
        <v>0</v>
      </c>
      <c r="ED27" s="87">
        <f>'[1]February - 2023'!EI26</f>
        <v>0</v>
      </c>
      <c r="EE27" s="207">
        <f>'[1]February - 2023'!EJ26</f>
        <v>0</v>
      </c>
      <c r="EF27" s="548"/>
      <c r="EG27" s="213">
        <f>'[1]February - 2023'!EL26</f>
        <v>0</v>
      </c>
      <c r="EH27" s="208">
        <f>'[1]February - 2023'!EM26</f>
        <v>0</v>
      </c>
      <c r="EI27" s="86">
        <f>'[1]February - 2023'!EN26</f>
        <v>0</v>
      </c>
      <c r="EJ27" s="208">
        <f>'[1]February - 2023'!EO26</f>
        <v>0</v>
      </c>
      <c r="EK27" s="86">
        <f>'[1]February - 2023'!EP26</f>
        <v>0</v>
      </c>
      <c r="EL27" s="208">
        <f>'[1]February - 2023'!EQ26</f>
        <v>0</v>
      </c>
      <c r="EM27" s="86">
        <f>'[1]February - 2023'!ER26</f>
        <v>0</v>
      </c>
      <c r="EN27" s="208">
        <f>'[1]February - 2023'!ES26</f>
        <v>0</v>
      </c>
      <c r="EO27" s="86">
        <f>'[1]February - 2023'!ET26</f>
        <v>0</v>
      </c>
      <c r="EP27" s="208">
        <f>'[1]February - 2023'!EU26</f>
        <v>0</v>
      </c>
      <c r="EQ27" s="86">
        <f>'[1]February - 2023'!EV26</f>
        <v>0</v>
      </c>
      <c r="ER27" s="208">
        <f>'[1]February - 2023'!EW26</f>
        <v>0</v>
      </c>
      <c r="ES27" s="523"/>
      <c r="ET27" s="253">
        <f>'[1]February - 2023'!EY26</f>
        <v>0</v>
      </c>
      <c r="EU27" s="266">
        <f>'[1]February - 2023'!EZ26</f>
        <v>0</v>
      </c>
      <c r="EV27" s="254">
        <f>'[1]February - 2023'!FA26</f>
        <v>0</v>
      </c>
      <c r="EW27" s="266">
        <f>'[1]February - 2023'!FB26</f>
        <v>0</v>
      </c>
      <c r="EX27" s="254">
        <f>'[1]February - 2023'!FC26</f>
        <v>0</v>
      </c>
      <c r="EY27" s="266">
        <f>'[1]February - 2023'!FD26</f>
        <v>0</v>
      </c>
      <c r="EZ27" s="254">
        <f>'[1]February - 2023'!FE26</f>
        <v>0</v>
      </c>
      <c r="FA27" s="266">
        <f>'[1]February - 2023'!FF26</f>
        <v>0</v>
      </c>
      <c r="FB27" s="254">
        <f>'[1]February - 2023'!FG26</f>
        <v>0</v>
      </c>
      <c r="FC27" s="264">
        <f>'[1]February - 2023'!FH26</f>
        <v>0</v>
      </c>
    </row>
    <row r="28" spans="1:159" ht="30" customHeight="1" x14ac:dyDescent="0.25">
      <c r="A28" s="186">
        <v>44976</v>
      </c>
      <c r="B28" s="188">
        <f>'[1]February - 2023'!B27</f>
        <v>0</v>
      </c>
      <c r="C28" s="228">
        <f>'[1]February - 2023'!E27</f>
        <v>0</v>
      </c>
      <c r="D28" s="151">
        <f>'[1]February - 2023'!F28</f>
        <v>0</v>
      </c>
      <c r="E28" s="150">
        <f>'[1]February - 2023'!G27</f>
        <v>643</v>
      </c>
      <c r="F28" s="150">
        <f>'[1]February - 2023'!H27</f>
        <v>0</v>
      </c>
      <c r="G28" s="151">
        <f>'[1]February - 2023'!I28</f>
        <v>0</v>
      </c>
      <c r="H28" s="150">
        <f>'[1]February - 2023'!J27</f>
        <v>122247</v>
      </c>
      <c r="I28" s="239">
        <f>'[1]February - 2023'!K27</f>
        <v>0</v>
      </c>
      <c r="J28" s="151">
        <f>'[1]February - 2023'!L27</f>
        <v>0</v>
      </c>
      <c r="K28" s="239">
        <f>'[1]February - 2023'!N27</f>
        <v>0</v>
      </c>
      <c r="L28" s="151">
        <f>'[1]February - 2023'!O27</f>
        <v>0</v>
      </c>
      <c r="M28" s="239">
        <f>'[1]February - 2023'!Q27</f>
        <v>0</v>
      </c>
      <c r="N28" s="151">
        <f>'[1]February - 2023'!R27</f>
        <v>0</v>
      </c>
      <c r="O28" s="239">
        <f>'[1]February - 2023'!U27</f>
        <v>0</v>
      </c>
      <c r="P28" s="151">
        <f>'[1]February - 2023'!V27</f>
        <v>0</v>
      </c>
      <c r="Q28" s="150">
        <f>'[1]February - 2023'!W27</f>
        <v>89</v>
      </c>
      <c r="R28" s="239">
        <f>'[1]February - 2023'!X27</f>
        <v>0</v>
      </c>
      <c r="S28" s="187">
        <f>'[1]February - 2023'!Y27</f>
        <v>0</v>
      </c>
      <c r="T28" s="444"/>
      <c r="U28" s="244">
        <f>'[1]February - 2023'!AE27</f>
        <v>0</v>
      </c>
      <c r="V28" s="265">
        <f>'[1]February - 2023'!AF27</f>
        <v>0</v>
      </c>
      <c r="W28" s="88">
        <f>'[1]February - 2023'!AG27</f>
        <v>3312.9600000008941</v>
      </c>
      <c r="X28" s="261">
        <f>'[1]February - 2023'!AH27</f>
        <v>0</v>
      </c>
      <c r="Y28" s="265">
        <f>'[1]February - 2023'!AI27</f>
        <v>0</v>
      </c>
      <c r="Z28" s="88">
        <f>'[1]February - 2023'!AJ27</f>
        <v>5310.4799999985844</v>
      </c>
      <c r="AA28" s="261">
        <f>'[1]February - 2023'!AK27</f>
        <v>0</v>
      </c>
      <c r="AB28" s="265">
        <f>'[1]February - 2023'!AL27</f>
        <v>0</v>
      </c>
      <c r="AC28" s="88">
        <f>'[1]February - 2023'!AM27</f>
        <v>7941.359999999404</v>
      </c>
      <c r="AD28" s="261">
        <f>'[1]February - 2023'!AN27</f>
        <v>0</v>
      </c>
      <c r="AE28" s="265">
        <f>'[1]February - 2023'!AO27</f>
        <v>0</v>
      </c>
      <c r="AF28" s="88">
        <f>'[1]February - 2023'!AP27</f>
        <v>779.51999999955297</v>
      </c>
      <c r="AG28" s="261">
        <f>'[1]February - 2023'!AQ27</f>
        <v>0</v>
      </c>
      <c r="AH28" s="265">
        <f>'[1]February - 2023'!AR27</f>
        <v>0</v>
      </c>
      <c r="AI28" s="88">
        <f>'[1]February - 2023'!AS27</f>
        <v>48.720000002533197</v>
      </c>
      <c r="AJ28" s="261">
        <f>'[1]February - 2023'!AT27</f>
        <v>0</v>
      </c>
      <c r="AK28" s="265">
        <f>'[1]February - 2023'!AU27</f>
        <v>0</v>
      </c>
      <c r="AL28" s="88">
        <f>'[1]February - 2023'!AV27</f>
        <v>5943.839999999851</v>
      </c>
      <c r="AM28" s="261">
        <f>'[1]February - 2023'!AW27</f>
        <v>0</v>
      </c>
      <c r="AN28" s="265">
        <f>'[1]February - 2023'!AX27</f>
        <v>0</v>
      </c>
      <c r="AO28" s="88">
        <f>'[1]February - 2023'!AY27</f>
        <v>4336.0800000019372</v>
      </c>
      <c r="AP28" s="261">
        <f>'[1]February - 2023'!AZ27</f>
        <v>0</v>
      </c>
      <c r="AQ28" s="265">
        <f>'[1]February - 2023'!BA27</f>
        <v>0</v>
      </c>
      <c r="AR28" s="88">
        <f>'[1]February - 2023'!BB27</f>
        <v>4628.4000000003725</v>
      </c>
      <c r="AS28" s="261">
        <f>'[1]February - 2023'!BC27</f>
        <v>0</v>
      </c>
      <c r="AT28" s="265">
        <f>'[1]February - 2023'!BD27</f>
        <v>0</v>
      </c>
      <c r="AU28" s="88">
        <f>'[1]February - 2023'!BE27</f>
        <v>2971.9200000017881</v>
      </c>
      <c r="AV28" s="261">
        <f>'[1]February - 2023'!BF27</f>
        <v>0</v>
      </c>
      <c r="AW28" s="229">
        <f>'[1]February - 2023'!BG27</f>
        <v>0</v>
      </c>
      <c r="AX28" s="230">
        <f>'[1]February - 2023'!BH27</f>
        <v>5943.8400000017136</v>
      </c>
      <c r="AY28" s="461"/>
      <c r="AZ28" s="247">
        <f>'[1]February - 2023'!BM27</f>
        <v>0</v>
      </c>
      <c r="BA28" s="160">
        <f>'[1]February - 2023'!BN27</f>
        <v>0</v>
      </c>
      <c r="BB28" s="89">
        <f>'[1]February - 2023'!BO28</f>
        <v>44100</v>
      </c>
      <c r="BC28" s="247">
        <f>'[1]February - 2023'!BP27</f>
        <v>0</v>
      </c>
      <c r="BD28" s="223">
        <f>'[1]February - 2023'!BQ27</f>
        <v>0</v>
      </c>
      <c r="BE28" s="89">
        <f>'[1]February - 2023'!BR27</f>
        <v>4000</v>
      </c>
      <c r="BF28" s="247">
        <f>'[1]February - 2023'!BS27</f>
        <v>0</v>
      </c>
      <c r="BG28" s="223">
        <f>'[1]February - 2023'!BT27</f>
        <v>0</v>
      </c>
      <c r="BH28" s="89">
        <f>'[1]February - 2023'!BU27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48">
        <f>'[1]February - 2023'!BV27</f>
        <v>0</v>
      </c>
      <c r="BT28" s="165">
        <f>'[1]February - 2023'!BW27</f>
        <v>0</v>
      </c>
      <c r="BU28" s="557"/>
      <c r="BV28" s="84">
        <f>'[1]February - 2023'!BY27</f>
        <v>0</v>
      </c>
      <c r="BW28" s="219">
        <f>'[1]February - 2023'!BZ27</f>
        <v>0</v>
      </c>
      <c r="BX28" s="84">
        <f>'[1]February - 2023'!CA27</f>
        <v>-9.9999999999999978E-2</v>
      </c>
      <c r="BY28" s="85">
        <f>'[1]February - 2023'!CB27</f>
        <v>0</v>
      </c>
      <c r="BZ28" s="171">
        <f>'[1]February - 2023'!CC27</f>
        <v>0</v>
      </c>
      <c r="CA28" s="85">
        <f>'[1]February - 2023'!CD27</f>
        <v>0</v>
      </c>
      <c r="CB28" s="171">
        <f>'[1]February - 2023'!CE27</f>
        <v>0</v>
      </c>
      <c r="CC28" s="85">
        <f>'[1]February - 2023'!CF27</f>
        <v>0</v>
      </c>
      <c r="CD28" s="171">
        <f>'[1]February - 2023'!CG27</f>
        <v>0</v>
      </c>
      <c r="CE28" s="85">
        <f>'[1]February - 2023'!CH27</f>
        <v>0</v>
      </c>
      <c r="CF28" s="171">
        <f>'[1]February - 2023'!CI27</f>
        <v>0</v>
      </c>
      <c r="CG28" s="85">
        <f>'[1]February - 2023'!CJ27</f>
        <v>0</v>
      </c>
      <c r="CH28" s="171">
        <f>'[1]February - 2023'!CK27</f>
        <v>0</v>
      </c>
      <c r="CI28" s="85">
        <f>'[1]February - 2023'!CL27</f>
        <v>0</v>
      </c>
      <c r="CJ28" s="171">
        <f>'[1]February - 2023'!CM27</f>
        <v>0</v>
      </c>
      <c r="CK28" s="85">
        <f>'[1]February - 2023'!CN27</f>
        <v>0</v>
      </c>
      <c r="CL28" s="224">
        <f>'[1]February - 2023'!CO27</f>
        <v>0</v>
      </c>
      <c r="CM28" s="85">
        <f>'[1]February - 2023'!CP27</f>
        <v>101</v>
      </c>
      <c r="CN28" s="85">
        <f>'[1]February - 2023'!CQ27</f>
        <v>0</v>
      </c>
      <c r="CO28" s="224">
        <f>'[1]February - 2023'!CR27</f>
        <v>0</v>
      </c>
      <c r="CP28" s="85">
        <f>'[1]February - 2023'!CV27</f>
        <v>268</v>
      </c>
      <c r="CQ28" s="85">
        <f>'[1]February - 2023'!CT27</f>
        <v>0</v>
      </c>
      <c r="CR28" s="224">
        <f>'[1]February - 2023'!CU27</f>
        <v>0</v>
      </c>
      <c r="CS28" s="85">
        <f>'[1]February - 2023'!CV27</f>
        <v>268</v>
      </c>
      <c r="CT28" s="85">
        <f>'[1]February - 2023'!CW27</f>
        <v>0</v>
      </c>
      <c r="CU28" s="171">
        <f>'[1]February - 2023'!CX27</f>
        <v>0</v>
      </c>
      <c r="CV28" s="485"/>
      <c r="CW28" s="259">
        <f>'[1]February - 2023'!CZ27</f>
        <v>0</v>
      </c>
      <c r="CX28" s="262">
        <f>'[1]February - 2023'!DA27</f>
        <v>0</v>
      </c>
      <c r="CY28" s="260">
        <f>'[1]February - 2023'!DB27</f>
        <v>0</v>
      </c>
      <c r="CZ28" s="262">
        <f>'[1]February - 2023'!DC27</f>
        <v>0</v>
      </c>
      <c r="DA28" s="260">
        <f>'[1]February - 2023'!DD27</f>
        <v>0</v>
      </c>
      <c r="DB28" s="262">
        <f>'[1]February - 2023'!DE27</f>
        <v>0</v>
      </c>
      <c r="DC28" s="260">
        <f>'[1]February - 2023'!DF27</f>
        <v>0</v>
      </c>
      <c r="DD28" s="262">
        <f>'[1]February - 2023'!DG27</f>
        <v>0</v>
      </c>
      <c r="DE28" s="260">
        <f>'[1]February - 2023'!DH27</f>
        <v>0</v>
      </c>
      <c r="DF28" s="262">
        <f>'[1]February - 2023'!DI27</f>
        <v>0</v>
      </c>
      <c r="DG28" s="260">
        <f>'[1]February - 2023'!DJ27</f>
        <v>0</v>
      </c>
      <c r="DH28" s="262">
        <f>'[1]February - 2023'!DK27</f>
        <v>0</v>
      </c>
      <c r="DI28" s="260">
        <f>'[1]February - 2023'!DL27</f>
        <v>0</v>
      </c>
      <c r="DJ28" s="262">
        <f>'[1]February - 2023'!DM27</f>
        <v>0</v>
      </c>
      <c r="DK28" s="260">
        <f>'[1]February - 2023'!DN27</f>
        <v>0</v>
      </c>
      <c r="DL28" s="262">
        <f>'[1]February - 2023'!DO27</f>
        <v>0</v>
      </c>
      <c r="DM28" s="260">
        <f>'[1]February - 2023'!DP27</f>
        <v>0</v>
      </c>
      <c r="DN28" s="262">
        <f>'[1]February - 2023'!DQ27</f>
        <v>0</v>
      </c>
      <c r="DO28" s="260">
        <f>'[1]February - 2023'!DR27</f>
        <v>0</v>
      </c>
      <c r="DP28" s="262">
        <f>'[1]February - 2023'!DS27</f>
        <v>0</v>
      </c>
      <c r="DQ28" s="260">
        <f>'[1]February - 2023'!DT27</f>
        <v>0</v>
      </c>
      <c r="DR28" s="263">
        <f>'[1]February - 2023'!DU27</f>
        <v>0</v>
      </c>
      <c r="DS28" s="501"/>
      <c r="DT28" s="189">
        <f>'[1]February - 2023'!DW27</f>
        <v>0</v>
      </c>
      <c r="DU28" s="200">
        <f>'[1]February - 2023'!DX27</f>
        <v>0</v>
      </c>
      <c r="DV28" s="87">
        <f>'[1]February - 2023'!DY27</f>
        <v>0</v>
      </c>
      <c r="DW28" s="194">
        <f>'[1]February - 2023'!DZ27</f>
        <v>0</v>
      </c>
      <c r="DX28" s="87">
        <f>'[1]February - 2023'!EA27</f>
        <v>0</v>
      </c>
      <c r="DY28" s="194">
        <f>'[1]February - 2023'!EB27</f>
        <v>0</v>
      </c>
      <c r="DZ28" s="87">
        <f>'[1]February - 2023'!EC27</f>
        <v>0</v>
      </c>
      <c r="EA28" s="194">
        <f>'[1]February - 2023'!ED27</f>
        <v>0</v>
      </c>
      <c r="EB28" s="87">
        <f>'[1]February - 2023'!EE27</f>
        <v>0</v>
      </c>
      <c r="EC28" s="194">
        <f>'[1]February - 2023'!EF27</f>
        <v>0</v>
      </c>
      <c r="ED28" s="87">
        <f>'[1]February - 2023'!EI27</f>
        <v>0</v>
      </c>
      <c r="EE28" s="207">
        <f>'[1]February - 2023'!EJ27</f>
        <v>0</v>
      </c>
      <c r="EF28" s="548"/>
      <c r="EG28" s="213">
        <f>'[1]February - 2023'!EL27</f>
        <v>0</v>
      </c>
      <c r="EH28" s="208">
        <f>'[1]February - 2023'!EM27</f>
        <v>0</v>
      </c>
      <c r="EI28" s="86">
        <f>'[1]February - 2023'!EN27</f>
        <v>0</v>
      </c>
      <c r="EJ28" s="208">
        <f>'[1]February - 2023'!EO27</f>
        <v>0</v>
      </c>
      <c r="EK28" s="86">
        <f>'[1]February - 2023'!EP27</f>
        <v>0</v>
      </c>
      <c r="EL28" s="208">
        <f>'[1]February - 2023'!EQ27</f>
        <v>0</v>
      </c>
      <c r="EM28" s="86">
        <f>'[1]February - 2023'!ER27</f>
        <v>0</v>
      </c>
      <c r="EN28" s="208">
        <f>'[1]February - 2023'!ES27</f>
        <v>0</v>
      </c>
      <c r="EO28" s="86">
        <f>'[1]February - 2023'!ET27</f>
        <v>0</v>
      </c>
      <c r="EP28" s="208">
        <f>'[1]February - 2023'!EU27</f>
        <v>0</v>
      </c>
      <c r="EQ28" s="86">
        <f>'[1]February - 2023'!EV27</f>
        <v>0</v>
      </c>
      <c r="ER28" s="208">
        <f>'[1]February - 2023'!EW27</f>
        <v>0</v>
      </c>
      <c r="ES28" s="523"/>
      <c r="ET28" s="253">
        <f>'[1]February - 2023'!EY27</f>
        <v>0</v>
      </c>
      <c r="EU28" s="266">
        <f>'[1]February - 2023'!EZ27</f>
        <v>0</v>
      </c>
      <c r="EV28" s="254">
        <f>'[1]February - 2023'!FA27</f>
        <v>0</v>
      </c>
      <c r="EW28" s="266">
        <f>'[1]February - 2023'!FB27</f>
        <v>0</v>
      </c>
      <c r="EX28" s="254">
        <f>'[1]February - 2023'!FC27</f>
        <v>0</v>
      </c>
      <c r="EY28" s="266">
        <f>'[1]February - 2023'!FD27</f>
        <v>0</v>
      </c>
      <c r="EZ28" s="254">
        <f>'[1]February - 2023'!FE27</f>
        <v>0</v>
      </c>
      <c r="FA28" s="266">
        <f>'[1]February - 2023'!FF27</f>
        <v>0</v>
      </c>
      <c r="FB28" s="254">
        <f>'[1]February - 2023'!FG27</f>
        <v>0</v>
      </c>
      <c r="FC28" s="264">
        <f>'[1]February - 2023'!FH27</f>
        <v>0</v>
      </c>
    </row>
    <row r="29" spans="1:159" ht="30" customHeight="1" x14ac:dyDescent="0.25">
      <c r="A29" s="186">
        <v>44977</v>
      </c>
      <c r="B29" s="188">
        <f>'[1]February - 2023'!B28</f>
        <v>0</v>
      </c>
      <c r="C29" s="228">
        <f>'[1]February - 2023'!E28</f>
        <v>0</v>
      </c>
      <c r="D29" s="151">
        <f>'[1]February - 2023'!F29</f>
        <v>0</v>
      </c>
      <c r="E29" s="150">
        <f>'[1]February - 2023'!G28</f>
        <v>628</v>
      </c>
      <c r="F29" s="150">
        <f>'[1]February - 2023'!H28</f>
        <v>0</v>
      </c>
      <c r="G29" s="151">
        <f>'[1]February - 2023'!I29</f>
        <v>0</v>
      </c>
      <c r="H29" s="150">
        <f>'[1]February - 2023'!J28</f>
        <v>122700</v>
      </c>
      <c r="I29" s="239">
        <f>'[1]February - 2023'!K28</f>
        <v>0</v>
      </c>
      <c r="J29" s="151">
        <f>'[1]February - 2023'!L28</f>
        <v>0</v>
      </c>
      <c r="K29" s="239">
        <f>'[1]February - 2023'!N28</f>
        <v>0</v>
      </c>
      <c r="L29" s="151">
        <f>'[1]February - 2023'!O28</f>
        <v>0</v>
      </c>
      <c r="M29" s="239">
        <f>'[1]February - 2023'!Q28</f>
        <v>0</v>
      </c>
      <c r="N29" s="151">
        <f>'[1]February - 2023'!R28</f>
        <v>0</v>
      </c>
      <c r="O29" s="239">
        <f>'[1]February - 2023'!U28</f>
        <v>0</v>
      </c>
      <c r="P29" s="151">
        <f>'[1]February - 2023'!V28</f>
        <v>0</v>
      </c>
      <c r="Q29" s="150">
        <f>'[1]February - 2023'!W28</f>
        <v>3</v>
      </c>
      <c r="R29" s="239">
        <f>'[1]February - 2023'!X28</f>
        <v>0</v>
      </c>
      <c r="S29" s="187">
        <f>'[1]February - 2023'!Y28</f>
        <v>0</v>
      </c>
      <c r="T29" s="444"/>
      <c r="U29" s="244">
        <f>'[1]February - 2023'!AE28</f>
        <v>0</v>
      </c>
      <c r="V29" s="265">
        <f>'[1]February - 2023'!AF28</f>
        <v>0</v>
      </c>
      <c r="W29" s="88">
        <f>'[1]February - 2023'!AG28</f>
        <v>3410.4000000003725</v>
      </c>
      <c r="X29" s="261">
        <f>'[1]February - 2023'!AH28</f>
        <v>0</v>
      </c>
      <c r="Y29" s="265">
        <f>'[1]February - 2023'!AI28</f>
        <v>0</v>
      </c>
      <c r="Z29" s="88">
        <f>'[1]February - 2023'!AJ28</f>
        <v>4384.7999999988824</v>
      </c>
      <c r="AA29" s="261">
        <f>'[1]February - 2023'!AK28</f>
        <v>0</v>
      </c>
      <c r="AB29" s="265">
        <f>'[1]February - 2023'!AL28</f>
        <v>0</v>
      </c>
      <c r="AC29" s="88">
        <f>'[1]February - 2023'!AM28</f>
        <v>8428.5600000005215</v>
      </c>
      <c r="AD29" s="261">
        <f>'[1]February - 2023'!AN28</f>
        <v>0</v>
      </c>
      <c r="AE29" s="265">
        <f>'[1]February - 2023'!AO28</f>
        <v>0</v>
      </c>
      <c r="AF29" s="88">
        <f>'[1]February - 2023'!AP28</f>
        <v>194.87999999895692</v>
      </c>
      <c r="AG29" s="261">
        <f>'[1]February - 2023'!AQ28</f>
        <v>0</v>
      </c>
      <c r="AH29" s="265">
        <f>'[1]February - 2023'!AR28</f>
        <v>0</v>
      </c>
      <c r="AI29" s="88">
        <f>'[1]February - 2023'!AS28</f>
        <v>0</v>
      </c>
      <c r="AJ29" s="261">
        <f>'[1]February - 2023'!AT28</f>
        <v>0</v>
      </c>
      <c r="AK29" s="265">
        <f>'[1]February - 2023'!AU28</f>
        <v>0</v>
      </c>
      <c r="AL29" s="88">
        <f>'[1]February - 2023'!AV28</f>
        <v>5895.1200000010431</v>
      </c>
      <c r="AM29" s="261">
        <f>'[1]February - 2023'!AW28</f>
        <v>0</v>
      </c>
      <c r="AN29" s="265">
        <f>'[1]February - 2023'!AX28</f>
        <v>0</v>
      </c>
      <c r="AO29" s="88">
        <f>'[1]February - 2023'!AY28</f>
        <v>4336.0800000000745</v>
      </c>
      <c r="AP29" s="261">
        <f>'[1]February - 2023'!AZ28</f>
        <v>0</v>
      </c>
      <c r="AQ29" s="265">
        <f>'[1]February - 2023'!BA28</f>
        <v>0</v>
      </c>
      <c r="AR29" s="88">
        <f>'[1]February - 2023'!BB28</f>
        <v>4433.5200000014156</v>
      </c>
      <c r="AS29" s="261">
        <f>'[1]February - 2023'!BC28</f>
        <v>0</v>
      </c>
      <c r="AT29" s="265">
        <f>'[1]February - 2023'!BD28</f>
        <v>0</v>
      </c>
      <c r="AU29" s="88">
        <f>'[1]February - 2023'!BE28</f>
        <v>3166.7999999988824</v>
      </c>
      <c r="AV29" s="261">
        <f>'[1]February - 2023'!BF28</f>
        <v>0</v>
      </c>
      <c r="AW29" s="229">
        <f>'[1]February - 2023'!BG28</f>
        <v>0</v>
      </c>
      <c r="AX29" s="230">
        <f>'[1]February - 2023'!BH28</f>
        <v>5700.2399999983609</v>
      </c>
      <c r="AY29" s="461"/>
      <c r="AZ29" s="247">
        <f>'[1]February - 2023'!BM28</f>
        <v>0</v>
      </c>
      <c r="BA29" s="160">
        <f>'[1]February - 2023'!BN28</f>
        <v>0</v>
      </c>
      <c r="BB29" s="89">
        <f>'[1]February - 2023'!BO29</f>
        <v>39100</v>
      </c>
      <c r="BC29" s="247">
        <f>'[1]February - 2023'!BP28</f>
        <v>0</v>
      </c>
      <c r="BD29" s="223">
        <f>'[1]February - 2023'!BQ28</f>
        <v>0</v>
      </c>
      <c r="BE29" s="89">
        <f>'[1]February - 2023'!BR28</f>
        <v>0</v>
      </c>
      <c r="BF29" s="247">
        <f>'[1]February - 2023'!BS28</f>
        <v>0</v>
      </c>
      <c r="BG29" s="223">
        <f>'[1]February - 2023'!BT28</f>
        <v>0</v>
      </c>
      <c r="BH29" s="89">
        <f>'[1]February - 2023'!BU28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48">
        <f>'[1]February - 2023'!BV28</f>
        <v>0</v>
      </c>
      <c r="BT29" s="165">
        <f>'[1]February - 2023'!BW28</f>
        <v>0</v>
      </c>
      <c r="BU29" s="557"/>
      <c r="BV29" s="84">
        <f>'[1]February - 2023'!BY28</f>
        <v>0</v>
      </c>
      <c r="BW29" s="219">
        <f>'[1]February - 2023'!BZ28</f>
        <v>0</v>
      </c>
      <c r="BX29" s="84">
        <f>'[1]February - 2023'!CA28</f>
        <v>6.9999999999999951E-2</v>
      </c>
      <c r="BY29" s="85">
        <f>'[1]February - 2023'!CB28</f>
        <v>0</v>
      </c>
      <c r="BZ29" s="171">
        <f>'[1]February - 2023'!CC28</f>
        <v>0</v>
      </c>
      <c r="CA29" s="85">
        <f>'[1]February - 2023'!CD28</f>
        <v>0</v>
      </c>
      <c r="CB29" s="171">
        <f>'[1]February - 2023'!CE28</f>
        <v>0</v>
      </c>
      <c r="CC29" s="85">
        <f>'[1]February - 2023'!CF28</f>
        <v>0</v>
      </c>
      <c r="CD29" s="171">
        <f>'[1]February - 2023'!CG28</f>
        <v>0</v>
      </c>
      <c r="CE29" s="85">
        <f>'[1]February - 2023'!CH28</f>
        <v>0</v>
      </c>
      <c r="CF29" s="171">
        <f>'[1]February - 2023'!CI28</f>
        <v>0</v>
      </c>
      <c r="CG29" s="85">
        <f>'[1]February - 2023'!CJ28</f>
        <v>0</v>
      </c>
      <c r="CH29" s="171">
        <f>'[1]February - 2023'!CK28</f>
        <v>0</v>
      </c>
      <c r="CI29" s="85">
        <f>'[1]February - 2023'!CL28</f>
        <v>0</v>
      </c>
      <c r="CJ29" s="171">
        <f>'[1]February - 2023'!CM28</f>
        <v>0</v>
      </c>
      <c r="CK29" s="85">
        <f>'[1]February - 2023'!CN28</f>
        <v>0</v>
      </c>
      <c r="CL29" s="224">
        <f>'[1]February - 2023'!CO28</f>
        <v>0</v>
      </c>
      <c r="CM29" s="85">
        <f>'[1]February - 2023'!CP28</f>
        <v>98</v>
      </c>
      <c r="CN29" s="85">
        <f>'[1]February - 2023'!CQ28</f>
        <v>0</v>
      </c>
      <c r="CO29" s="224">
        <f>'[1]February - 2023'!CR28</f>
        <v>0</v>
      </c>
      <c r="CP29" s="85">
        <f>'[1]February - 2023'!CV28</f>
        <v>231</v>
      </c>
      <c r="CQ29" s="85">
        <f>'[1]February - 2023'!CT28</f>
        <v>0</v>
      </c>
      <c r="CR29" s="224">
        <f>'[1]February - 2023'!CU28</f>
        <v>0</v>
      </c>
      <c r="CS29" s="85">
        <f>'[1]February - 2023'!CV28</f>
        <v>231</v>
      </c>
      <c r="CT29" s="85">
        <f>'[1]February - 2023'!CW28</f>
        <v>0</v>
      </c>
      <c r="CU29" s="171">
        <f>'[1]February - 2023'!CX28</f>
        <v>0</v>
      </c>
      <c r="CV29" s="485"/>
      <c r="CW29" s="259">
        <f>'[1]February - 2023'!CZ28</f>
        <v>0</v>
      </c>
      <c r="CX29" s="262">
        <f>'[1]February - 2023'!DA28</f>
        <v>0</v>
      </c>
      <c r="CY29" s="260">
        <f>'[1]February - 2023'!DB28</f>
        <v>0</v>
      </c>
      <c r="CZ29" s="262">
        <f>'[1]February - 2023'!DC28</f>
        <v>0</v>
      </c>
      <c r="DA29" s="260">
        <f>'[1]February - 2023'!DD28</f>
        <v>0</v>
      </c>
      <c r="DB29" s="262">
        <f>'[1]February - 2023'!DE28</f>
        <v>0</v>
      </c>
      <c r="DC29" s="260">
        <f>'[1]February - 2023'!DF28</f>
        <v>0</v>
      </c>
      <c r="DD29" s="262">
        <f>'[1]February - 2023'!DG28</f>
        <v>0</v>
      </c>
      <c r="DE29" s="260">
        <f>'[1]February - 2023'!DH28</f>
        <v>0</v>
      </c>
      <c r="DF29" s="262">
        <f>'[1]February - 2023'!DI28</f>
        <v>0</v>
      </c>
      <c r="DG29" s="260">
        <f>'[1]February - 2023'!DJ28</f>
        <v>0</v>
      </c>
      <c r="DH29" s="262">
        <f>'[1]February - 2023'!DK28</f>
        <v>0</v>
      </c>
      <c r="DI29" s="260">
        <f>'[1]February - 2023'!DL28</f>
        <v>0</v>
      </c>
      <c r="DJ29" s="262">
        <f>'[1]February - 2023'!DM28</f>
        <v>0</v>
      </c>
      <c r="DK29" s="260">
        <f>'[1]February - 2023'!DN28</f>
        <v>0</v>
      </c>
      <c r="DL29" s="262">
        <f>'[1]February - 2023'!DO28</f>
        <v>0</v>
      </c>
      <c r="DM29" s="260">
        <f>'[1]February - 2023'!DP28</f>
        <v>0</v>
      </c>
      <c r="DN29" s="262">
        <f>'[1]February - 2023'!DQ28</f>
        <v>0</v>
      </c>
      <c r="DO29" s="260">
        <f>'[1]February - 2023'!DR28</f>
        <v>0</v>
      </c>
      <c r="DP29" s="262">
        <f>'[1]February - 2023'!DS28</f>
        <v>0</v>
      </c>
      <c r="DQ29" s="260">
        <f>'[1]February - 2023'!DT28</f>
        <v>0</v>
      </c>
      <c r="DR29" s="263">
        <f>'[1]February - 2023'!DU28</f>
        <v>0</v>
      </c>
      <c r="DS29" s="501"/>
      <c r="DT29" s="189">
        <f>'[1]February - 2023'!DW28</f>
        <v>0</v>
      </c>
      <c r="DU29" s="200">
        <f>'[1]February - 2023'!DX28</f>
        <v>0</v>
      </c>
      <c r="DV29" s="87">
        <f>'[1]February - 2023'!DY28</f>
        <v>0</v>
      </c>
      <c r="DW29" s="194">
        <f>'[1]February - 2023'!DZ28</f>
        <v>0</v>
      </c>
      <c r="DX29" s="87">
        <f>'[1]February - 2023'!EA28</f>
        <v>0</v>
      </c>
      <c r="DY29" s="194">
        <f>'[1]February - 2023'!EB28</f>
        <v>0</v>
      </c>
      <c r="DZ29" s="87">
        <f>'[1]February - 2023'!EC28</f>
        <v>0</v>
      </c>
      <c r="EA29" s="194">
        <f>'[1]February - 2023'!ED28</f>
        <v>0</v>
      </c>
      <c r="EB29" s="87">
        <f>'[1]February - 2023'!EE28</f>
        <v>0</v>
      </c>
      <c r="EC29" s="194">
        <f>'[1]February - 2023'!EF28</f>
        <v>0</v>
      </c>
      <c r="ED29" s="87">
        <f>'[1]February - 2023'!EI28</f>
        <v>0</v>
      </c>
      <c r="EE29" s="207">
        <f>'[1]February - 2023'!EJ28</f>
        <v>0</v>
      </c>
      <c r="EF29" s="548"/>
      <c r="EG29" s="213">
        <f>'[1]February - 2023'!EL28</f>
        <v>0</v>
      </c>
      <c r="EH29" s="208">
        <f>'[1]February - 2023'!EM28</f>
        <v>0</v>
      </c>
      <c r="EI29" s="86">
        <f>'[1]February - 2023'!EN28</f>
        <v>0</v>
      </c>
      <c r="EJ29" s="208">
        <f>'[1]February - 2023'!EO28</f>
        <v>0</v>
      </c>
      <c r="EK29" s="86">
        <f>'[1]February - 2023'!EP28</f>
        <v>0</v>
      </c>
      <c r="EL29" s="208">
        <f>'[1]February - 2023'!EQ28</f>
        <v>0</v>
      </c>
      <c r="EM29" s="86">
        <f>'[1]February - 2023'!ER28</f>
        <v>0</v>
      </c>
      <c r="EN29" s="208">
        <f>'[1]February - 2023'!ES28</f>
        <v>0</v>
      </c>
      <c r="EO29" s="86">
        <f>'[1]February - 2023'!ET28</f>
        <v>0</v>
      </c>
      <c r="EP29" s="208">
        <f>'[1]February - 2023'!EU28</f>
        <v>0</v>
      </c>
      <c r="EQ29" s="86">
        <f>'[1]February - 2023'!EV28</f>
        <v>0</v>
      </c>
      <c r="ER29" s="208">
        <f>'[1]February - 2023'!EW28</f>
        <v>0</v>
      </c>
      <c r="ES29" s="523"/>
      <c r="ET29" s="253">
        <f>'[1]February - 2023'!EY28</f>
        <v>0</v>
      </c>
      <c r="EU29" s="266">
        <f>'[1]February - 2023'!EZ28</f>
        <v>0</v>
      </c>
      <c r="EV29" s="254">
        <f>'[1]February - 2023'!FA28</f>
        <v>0</v>
      </c>
      <c r="EW29" s="266">
        <f>'[1]February - 2023'!FB28</f>
        <v>0</v>
      </c>
      <c r="EX29" s="254">
        <f>'[1]February - 2023'!FC28</f>
        <v>0</v>
      </c>
      <c r="EY29" s="266">
        <f>'[1]February - 2023'!FD28</f>
        <v>0</v>
      </c>
      <c r="EZ29" s="254">
        <f>'[1]February - 2023'!FE28</f>
        <v>0</v>
      </c>
      <c r="FA29" s="266">
        <f>'[1]February - 2023'!FF28</f>
        <v>0</v>
      </c>
      <c r="FB29" s="254">
        <f>'[1]February - 2023'!FG28</f>
        <v>0</v>
      </c>
      <c r="FC29" s="264">
        <f>'[1]February - 2023'!FH28</f>
        <v>0</v>
      </c>
    </row>
    <row r="30" spans="1:159" ht="30" customHeight="1" x14ac:dyDescent="0.25">
      <c r="A30" s="186">
        <v>44978</v>
      </c>
      <c r="B30" s="188">
        <f>'[1]February - 2023'!B29</f>
        <v>0</v>
      </c>
      <c r="C30" s="228">
        <f>'[1]February - 2023'!E29</f>
        <v>0</v>
      </c>
      <c r="D30" s="151">
        <f>'[1]February - 2023'!F30</f>
        <v>0</v>
      </c>
      <c r="E30" s="150">
        <f>'[1]February - 2023'!G29</f>
        <v>637</v>
      </c>
      <c r="F30" s="150">
        <f>'[1]February - 2023'!H29</f>
        <v>0</v>
      </c>
      <c r="G30" s="151">
        <f>'[1]February - 2023'!I30</f>
        <v>0</v>
      </c>
      <c r="H30" s="150">
        <f>'[1]February - 2023'!J29</f>
        <v>123150</v>
      </c>
      <c r="I30" s="239">
        <f>'[1]February - 2023'!K29</f>
        <v>0</v>
      </c>
      <c r="J30" s="151">
        <f>'[1]February - 2023'!L29</f>
        <v>0</v>
      </c>
      <c r="K30" s="239">
        <f>'[1]February - 2023'!N29</f>
        <v>0</v>
      </c>
      <c r="L30" s="151">
        <f>'[1]February - 2023'!O29</f>
        <v>0</v>
      </c>
      <c r="M30" s="239">
        <f>'[1]February - 2023'!Q29</f>
        <v>0</v>
      </c>
      <c r="N30" s="151">
        <f>'[1]February - 2023'!R29</f>
        <v>0</v>
      </c>
      <c r="O30" s="239">
        <f>'[1]February - 2023'!U29</f>
        <v>0</v>
      </c>
      <c r="P30" s="151">
        <f>'[1]February - 2023'!V29</f>
        <v>0</v>
      </c>
      <c r="Q30" s="150">
        <f>'[1]February - 2023'!W29</f>
        <v>49</v>
      </c>
      <c r="R30" s="239">
        <f>'[1]February - 2023'!X29</f>
        <v>0</v>
      </c>
      <c r="S30" s="187">
        <f>'[1]February - 2023'!Y29</f>
        <v>0</v>
      </c>
      <c r="T30" s="444"/>
      <c r="U30" s="244">
        <f>'[1]February - 2023'!AE29</f>
        <v>0</v>
      </c>
      <c r="V30" s="265">
        <f>'[1]February - 2023'!AF29</f>
        <v>0</v>
      </c>
      <c r="W30" s="88">
        <f>'[1]February - 2023'!AG29</f>
        <v>3264.2399999992922</v>
      </c>
      <c r="X30" s="261">
        <f>'[1]February - 2023'!AH29</f>
        <v>0</v>
      </c>
      <c r="Y30" s="265">
        <f>'[1]February - 2023'!AI29</f>
        <v>0</v>
      </c>
      <c r="Z30" s="88">
        <f>'[1]February - 2023'!AJ29</f>
        <v>4725.8400000017136</v>
      </c>
      <c r="AA30" s="261">
        <f>'[1]February - 2023'!AK29</f>
        <v>0</v>
      </c>
      <c r="AB30" s="265">
        <f>'[1]February - 2023'!AL29</f>
        <v>0</v>
      </c>
      <c r="AC30" s="88">
        <f>'[1]February - 2023'!AM29</f>
        <v>7697.7599999997765</v>
      </c>
      <c r="AD30" s="261">
        <f>'[1]February - 2023'!AN29</f>
        <v>0</v>
      </c>
      <c r="AE30" s="265">
        <f>'[1]February - 2023'!AO29</f>
        <v>0</v>
      </c>
      <c r="AF30" s="88">
        <f>'[1]February - 2023'!AP29</f>
        <v>194.87999999895692</v>
      </c>
      <c r="AG30" s="261">
        <f>'[1]February - 2023'!AQ29</f>
        <v>0</v>
      </c>
      <c r="AH30" s="265">
        <f>'[1]February - 2023'!AR29</f>
        <v>0</v>
      </c>
      <c r="AI30" s="88">
        <f>'[1]February - 2023'!AS29</f>
        <v>0</v>
      </c>
      <c r="AJ30" s="261">
        <f>'[1]February - 2023'!AT29</f>
        <v>0</v>
      </c>
      <c r="AK30" s="265">
        <f>'[1]February - 2023'!AU29</f>
        <v>0</v>
      </c>
      <c r="AL30" s="88">
        <f>'[1]February - 2023'!AV29</f>
        <v>5992.5600000005215</v>
      </c>
      <c r="AM30" s="261">
        <f>'[1]February - 2023'!AW29</f>
        <v>0</v>
      </c>
      <c r="AN30" s="265">
        <f>'[1]February - 2023'!AX29</f>
        <v>0</v>
      </c>
      <c r="AO30" s="88">
        <f>'[1]February - 2023'!AY29</f>
        <v>3751.4399999976158</v>
      </c>
      <c r="AP30" s="261">
        <f>'[1]February - 2023'!AZ29</f>
        <v>0</v>
      </c>
      <c r="AQ30" s="265">
        <f>'[1]February - 2023'!BA29</f>
        <v>0</v>
      </c>
      <c r="AR30" s="88">
        <f>'[1]February - 2023'!BB29</f>
        <v>4092.4799999985844</v>
      </c>
      <c r="AS30" s="261">
        <f>'[1]February - 2023'!BC29</f>
        <v>0</v>
      </c>
      <c r="AT30" s="265">
        <f>'[1]February - 2023'!BD29</f>
        <v>0</v>
      </c>
      <c r="AU30" s="88">
        <f>'[1]February - 2023'!BE29</f>
        <v>2971.9199999999255</v>
      </c>
      <c r="AV30" s="261">
        <f>'[1]February - 2023'!BF29</f>
        <v>0</v>
      </c>
      <c r="AW30" s="229">
        <f>'[1]February - 2023'!BG29</f>
        <v>0</v>
      </c>
      <c r="AX30" s="230">
        <f>'[1]February - 2023'!BH29</f>
        <v>5554.0800000019372</v>
      </c>
      <c r="AY30" s="461"/>
      <c r="AZ30" s="247">
        <f>'[1]February - 2023'!BM29</f>
        <v>0</v>
      </c>
      <c r="BA30" s="160">
        <f>'[1]February - 2023'!BN29</f>
        <v>0</v>
      </c>
      <c r="BB30" s="89">
        <f>'[1]February - 2023'!BO30</f>
        <v>38900</v>
      </c>
      <c r="BC30" s="247">
        <f>'[1]February - 2023'!BP29</f>
        <v>0</v>
      </c>
      <c r="BD30" s="223">
        <f>'[1]February - 2023'!BQ29</f>
        <v>0</v>
      </c>
      <c r="BE30" s="89">
        <f>'[1]February - 2023'!BR29</f>
        <v>0</v>
      </c>
      <c r="BF30" s="247">
        <f>'[1]February - 2023'!BS29</f>
        <v>0</v>
      </c>
      <c r="BG30" s="223">
        <f>'[1]February - 2023'!BT29</f>
        <v>0</v>
      </c>
      <c r="BH30" s="89">
        <f>'[1]February - 2023'!BU29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48">
        <f>'[1]February - 2023'!BV29</f>
        <v>0</v>
      </c>
      <c r="BT30" s="165">
        <f>'[1]February - 2023'!BW29</f>
        <v>0</v>
      </c>
      <c r="BU30" s="557"/>
      <c r="BV30" s="84">
        <f>'[1]February - 2023'!BY29</f>
        <v>0</v>
      </c>
      <c r="BW30" s="219">
        <f>'[1]February - 2023'!BZ29</f>
        <v>0</v>
      </c>
      <c r="BX30" s="84">
        <f>'[1]February - 2023'!CA29</f>
        <v>-0.12</v>
      </c>
      <c r="BY30" s="85">
        <f>'[1]February - 2023'!CB29</f>
        <v>0</v>
      </c>
      <c r="BZ30" s="171">
        <f>'[1]February - 2023'!CC29</f>
        <v>0</v>
      </c>
      <c r="CA30" s="85">
        <f>'[1]February - 2023'!CD29</f>
        <v>0</v>
      </c>
      <c r="CB30" s="171">
        <f>'[1]February - 2023'!CE29</f>
        <v>0</v>
      </c>
      <c r="CC30" s="85">
        <f>'[1]February - 2023'!CF29</f>
        <v>0</v>
      </c>
      <c r="CD30" s="171">
        <f>'[1]February - 2023'!CG29</f>
        <v>0</v>
      </c>
      <c r="CE30" s="85">
        <f>'[1]February - 2023'!CH29</f>
        <v>0</v>
      </c>
      <c r="CF30" s="171">
        <f>'[1]February - 2023'!CI29</f>
        <v>0</v>
      </c>
      <c r="CG30" s="85">
        <f>'[1]February - 2023'!CJ29</f>
        <v>0</v>
      </c>
      <c r="CH30" s="171">
        <f>'[1]February - 2023'!CK29</f>
        <v>0</v>
      </c>
      <c r="CI30" s="85">
        <f>'[1]February - 2023'!CL29</f>
        <v>0</v>
      </c>
      <c r="CJ30" s="171">
        <f>'[1]February - 2023'!CM29</f>
        <v>0</v>
      </c>
      <c r="CK30" s="85">
        <f>'[1]February - 2023'!CN29</f>
        <v>0</v>
      </c>
      <c r="CL30" s="224">
        <f>'[1]February - 2023'!CO29</f>
        <v>0</v>
      </c>
      <c r="CM30" s="85">
        <f>'[1]February - 2023'!CP29</f>
        <v>102</v>
      </c>
      <c r="CN30" s="85">
        <f>'[1]February - 2023'!CQ29</f>
        <v>0</v>
      </c>
      <c r="CO30" s="224">
        <f>'[1]February - 2023'!CR29</f>
        <v>0</v>
      </c>
      <c r="CP30" s="85">
        <f>'[1]February - 2023'!CV29</f>
        <v>243</v>
      </c>
      <c r="CQ30" s="85">
        <f>'[1]February - 2023'!CT29</f>
        <v>0</v>
      </c>
      <c r="CR30" s="224">
        <f>'[1]February - 2023'!CU29</f>
        <v>0</v>
      </c>
      <c r="CS30" s="85">
        <f>'[1]February - 2023'!CV29</f>
        <v>243</v>
      </c>
      <c r="CT30" s="85">
        <f>'[1]February - 2023'!CW29</f>
        <v>0</v>
      </c>
      <c r="CU30" s="171">
        <f>'[1]February - 2023'!CX29</f>
        <v>0</v>
      </c>
      <c r="CV30" s="485"/>
      <c r="CW30" s="259">
        <f>'[1]February - 2023'!CZ29</f>
        <v>0</v>
      </c>
      <c r="CX30" s="262">
        <f>'[1]February - 2023'!DA29</f>
        <v>0</v>
      </c>
      <c r="CY30" s="260">
        <f>'[1]February - 2023'!DB29</f>
        <v>0</v>
      </c>
      <c r="CZ30" s="262">
        <f>'[1]February - 2023'!DC29</f>
        <v>0</v>
      </c>
      <c r="DA30" s="260">
        <f>'[1]February - 2023'!DD29</f>
        <v>0</v>
      </c>
      <c r="DB30" s="262">
        <f>'[1]February - 2023'!DE29</f>
        <v>0</v>
      </c>
      <c r="DC30" s="260">
        <f>'[1]February - 2023'!DF29</f>
        <v>0</v>
      </c>
      <c r="DD30" s="262">
        <f>'[1]February - 2023'!DG29</f>
        <v>0</v>
      </c>
      <c r="DE30" s="260">
        <f>'[1]February - 2023'!DH29</f>
        <v>0</v>
      </c>
      <c r="DF30" s="262">
        <f>'[1]February - 2023'!DI29</f>
        <v>0</v>
      </c>
      <c r="DG30" s="260">
        <f>'[1]February - 2023'!DJ29</f>
        <v>0</v>
      </c>
      <c r="DH30" s="262">
        <f>'[1]February - 2023'!DK29</f>
        <v>0</v>
      </c>
      <c r="DI30" s="260">
        <f>'[1]February - 2023'!DL29</f>
        <v>0</v>
      </c>
      <c r="DJ30" s="262">
        <f>'[1]February - 2023'!DM29</f>
        <v>0</v>
      </c>
      <c r="DK30" s="260">
        <f>'[1]February - 2023'!DN29</f>
        <v>0</v>
      </c>
      <c r="DL30" s="262">
        <f>'[1]February - 2023'!DO29</f>
        <v>0</v>
      </c>
      <c r="DM30" s="260">
        <f>'[1]February - 2023'!DP29</f>
        <v>0</v>
      </c>
      <c r="DN30" s="262">
        <f>'[1]February - 2023'!DQ29</f>
        <v>0</v>
      </c>
      <c r="DO30" s="260">
        <f>'[1]February - 2023'!DR29</f>
        <v>0</v>
      </c>
      <c r="DP30" s="262">
        <f>'[1]February - 2023'!DS29</f>
        <v>0</v>
      </c>
      <c r="DQ30" s="260">
        <f>'[1]February - 2023'!DT29</f>
        <v>0</v>
      </c>
      <c r="DR30" s="263">
        <f>'[1]February - 2023'!DU29</f>
        <v>0</v>
      </c>
      <c r="DS30" s="501"/>
      <c r="DT30" s="189">
        <f>'[1]February - 2023'!DW29</f>
        <v>0</v>
      </c>
      <c r="DU30" s="200">
        <f>'[1]February - 2023'!DX29</f>
        <v>0</v>
      </c>
      <c r="DV30" s="87">
        <f>'[1]February - 2023'!DY29</f>
        <v>0</v>
      </c>
      <c r="DW30" s="194">
        <f>'[1]February - 2023'!DZ29</f>
        <v>0</v>
      </c>
      <c r="DX30" s="87">
        <f>'[1]February - 2023'!EA29</f>
        <v>0</v>
      </c>
      <c r="DY30" s="194">
        <f>'[1]February - 2023'!EB29</f>
        <v>0</v>
      </c>
      <c r="DZ30" s="87">
        <f>'[1]February - 2023'!EC29</f>
        <v>0</v>
      </c>
      <c r="EA30" s="194">
        <f>'[1]February - 2023'!ED29</f>
        <v>0</v>
      </c>
      <c r="EB30" s="87">
        <f>'[1]February - 2023'!EE29</f>
        <v>0</v>
      </c>
      <c r="EC30" s="194">
        <f>'[1]February - 2023'!EF29</f>
        <v>0</v>
      </c>
      <c r="ED30" s="87">
        <f>'[1]February - 2023'!EI29</f>
        <v>0</v>
      </c>
      <c r="EE30" s="207">
        <f>'[1]February - 2023'!EJ29</f>
        <v>0</v>
      </c>
      <c r="EF30" s="548"/>
      <c r="EG30" s="213">
        <f>'[1]February - 2023'!EL29</f>
        <v>0</v>
      </c>
      <c r="EH30" s="208">
        <f>'[1]February - 2023'!EM29</f>
        <v>0</v>
      </c>
      <c r="EI30" s="86">
        <f>'[1]February - 2023'!EN29</f>
        <v>0</v>
      </c>
      <c r="EJ30" s="208">
        <f>'[1]February - 2023'!EO29</f>
        <v>0</v>
      </c>
      <c r="EK30" s="86">
        <f>'[1]February - 2023'!EP29</f>
        <v>0</v>
      </c>
      <c r="EL30" s="208">
        <f>'[1]February - 2023'!EQ29</f>
        <v>0</v>
      </c>
      <c r="EM30" s="86">
        <f>'[1]February - 2023'!ER29</f>
        <v>0</v>
      </c>
      <c r="EN30" s="208">
        <f>'[1]February - 2023'!ES29</f>
        <v>0</v>
      </c>
      <c r="EO30" s="86">
        <f>'[1]February - 2023'!ET29</f>
        <v>0</v>
      </c>
      <c r="EP30" s="208">
        <f>'[1]February - 2023'!EU29</f>
        <v>0</v>
      </c>
      <c r="EQ30" s="86">
        <f>'[1]February - 2023'!EV29</f>
        <v>0</v>
      </c>
      <c r="ER30" s="208">
        <f>'[1]February - 2023'!EW29</f>
        <v>0</v>
      </c>
      <c r="ES30" s="523"/>
      <c r="ET30" s="253">
        <f>'[1]February - 2023'!EY29</f>
        <v>0</v>
      </c>
      <c r="EU30" s="266">
        <f>'[1]February - 2023'!EZ29</f>
        <v>0</v>
      </c>
      <c r="EV30" s="254">
        <f>'[1]February - 2023'!FA29</f>
        <v>0</v>
      </c>
      <c r="EW30" s="266">
        <f>'[1]February - 2023'!FB29</f>
        <v>0</v>
      </c>
      <c r="EX30" s="254">
        <f>'[1]February - 2023'!FC29</f>
        <v>0</v>
      </c>
      <c r="EY30" s="266">
        <f>'[1]February - 2023'!FD29</f>
        <v>0</v>
      </c>
      <c r="EZ30" s="254">
        <f>'[1]February - 2023'!FE29</f>
        <v>0</v>
      </c>
      <c r="FA30" s="266">
        <f>'[1]February - 2023'!FF29</f>
        <v>0</v>
      </c>
      <c r="FB30" s="254">
        <f>'[1]February - 2023'!FG29</f>
        <v>0</v>
      </c>
      <c r="FC30" s="264">
        <f>'[1]February - 2023'!FH29</f>
        <v>0</v>
      </c>
    </row>
    <row r="31" spans="1:159" ht="30" customHeight="1" x14ac:dyDescent="0.25">
      <c r="A31" s="186">
        <v>44979</v>
      </c>
      <c r="B31" s="188">
        <f>'[1]February - 2023'!B30</f>
        <v>0</v>
      </c>
      <c r="C31" s="228">
        <f>'[1]February - 2023'!E30</f>
        <v>0</v>
      </c>
      <c r="D31" s="151">
        <f>'[1]February - 2023'!F31</f>
        <v>0</v>
      </c>
      <c r="E31" s="150">
        <f>'[1]February - 2023'!G30</f>
        <v>616</v>
      </c>
      <c r="F31" s="150">
        <f>'[1]February - 2023'!H30</f>
        <v>0</v>
      </c>
      <c r="G31" s="151">
        <f>'[1]February - 2023'!I31</f>
        <v>0</v>
      </c>
      <c r="H31" s="150">
        <f>'[1]February - 2023'!J30</f>
        <v>123605</v>
      </c>
      <c r="I31" s="239">
        <f>'[1]February - 2023'!K30</f>
        <v>0</v>
      </c>
      <c r="J31" s="151">
        <f>'[1]February - 2023'!L30</f>
        <v>0</v>
      </c>
      <c r="K31" s="239">
        <f>'[1]February - 2023'!N30</f>
        <v>0</v>
      </c>
      <c r="L31" s="151">
        <f>'[1]February - 2023'!O30</f>
        <v>0</v>
      </c>
      <c r="M31" s="239">
        <f>'[1]February - 2023'!Q30</f>
        <v>0</v>
      </c>
      <c r="N31" s="151">
        <f>'[1]February - 2023'!R30</f>
        <v>0</v>
      </c>
      <c r="O31" s="239">
        <f>'[1]February - 2023'!U30</f>
        <v>0</v>
      </c>
      <c r="P31" s="151">
        <f>'[1]February - 2023'!V30</f>
        <v>0</v>
      </c>
      <c r="Q31" s="150">
        <f>'[1]February - 2023'!W30</f>
        <v>33</v>
      </c>
      <c r="R31" s="239">
        <f>'[1]February - 2023'!X30</f>
        <v>0</v>
      </c>
      <c r="S31" s="187">
        <f>'[1]February - 2023'!Y30</f>
        <v>0</v>
      </c>
      <c r="T31" s="444"/>
      <c r="U31" s="244">
        <f>'[1]February - 2023'!AE30</f>
        <v>0</v>
      </c>
      <c r="V31" s="265">
        <f>'[1]February - 2023'!AF30</f>
        <v>0</v>
      </c>
      <c r="W31" s="88">
        <f>'[1]February - 2023'!AG30</f>
        <v>3410.3999999994412</v>
      </c>
      <c r="X31" s="261">
        <f>'[1]February - 2023'!AH30</f>
        <v>0</v>
      </c>
      <c r="Y31" s="265">
        <f>'[1]February - 2023'!AI30</f>
        <v>0</v>
      </c>
      <c r="Z31" s="88">
        <f>'[1]February - 2023'!AJ30</f>
        <v>4872</v>
      </c>
      <c r="AA31" s="261">
        <f>'[1]February - 2023'!AK30</f>
        <v>0</v>
      </c>
      <c r="AB31" s="265">
        <f>'[1]February - 2023'!AL30</f>
        <v>0</v>
      </c>
      <c r="AC31" s="88">
        <f>'[1]February - 2023'!AM30</f>
        <v>7405.4399999994785</v>
      </c>
      <c r="AD31" s="261">
        <f>'[1]February - 2023'!AN30</f>
        <v>0</v>
      </c>
      <c r="AE31" s="265">
        <f>'[1]February - 2023'!AO30</f>
        <v>0</v>
      </c>
      <c r="AF31" s="88">
        <f>'[1]February - 2023'!AP30</f>
        <v>146.16000000014901</v>
      </c>
      <c r="AG31" s="261">
        <f>'[1]February - 2023'!AQ30</f>
        <v>0</v>
      </c>
      <c r="AH31" s="265">
        <f>'[1]February - 2023'!AR30</f>
        <v>0</v>
      </c>
      <c r="AI31" s="88">
        <f>'[1]February - 2023'!AS30</f>
        <v>0</v>
      </c>
      <c r="AJ31" s="261">
        <f>'[1]February - 2023'!AT30</f>
        <v>0</v>
      </c>
      <c r="AK31" s="265">
        <f>'[1]February - 2023'!AU30</f>
        <v>0</v>
      </c>
      <c r="AL31" s="88">
        <f>'[1]February - 2023'!AV30</f>
        <v>5895.1199999991804</v>
      </c>
      <c r="AM31" s="261">
        <f>'[1]February - 2023'!AW30</f>
        <v>0</v>
      </c>
      <c r="AN31" s="265">
        <f>'[1]February - 2023'!AX30</f>
        <v>0</v>
      </c>
      <c r="AO31" s="88">
        <f>'[1]February - 2023'!AY30</f>
        <v>3751.4400000013411</v>
      </c>
      <c r="AP31" s="261">
        <f>'[1]February - 2023'!AZ30</f>
        <v>0</v>
      </c>
      <c r="AQ31" s="265">
        <f>'[1]February - 2023'!BA30</f>
        <v>0</v>
      </c>
      <c r="AR31" s="88">
        <f>'[1]February - 2023'!BB30</f>
        <v>4287.3600000012666</v>
      </c>
      <c r="AS31" s="261">
        <f>'[1]February - 2023'!BC30</f>
        <v>0</v>
      </c>
      <c r="AT31" s="265">
        <f>'[1]February - 2023'!BD30</f>
        <v>0</v>
      </c>
      <c r="AU31" s="88">
        <f>'[1]February - 2023'!BE30</f>
        <v>3020.640000000596</v>
      </c>
      <c r="AV31" s="261">
        <f>'[1]February - 2023'!BF30</f>
        <v>0</v>
      </c>
      <c r="AW31" s="229">
        <f>'[1]February - 2023'!BG30</f>
        <v>0</v>
      </c>
      <c r="AX31" s="230">
        <f>'[1]February - 2023'!BH30</f>
        <v>5407.9199999980628</v>
      </c>
      <c r="AY31" s="461"/>
      <c r="AZ31" s="247">
        <f>'[1]February - 2023'!BM30</f>
        <v>0</v>
      </c>
      <c r="BA31" s="160">
        <f>'[1]February - 2023'!BN30</f>
        <v>0</v>
      </c>
      <c r="BB31" s="89">
        <f>'[1]February - 2023'!BO31</f>
        <v>44700</v>
      </c>
      <c r="BC31" s="247">
        <f>'[1]February - 2023'!BP30</f>
        <v>0</v>
      </c>
      <c r="BD31" s="223">
        <f>'[1]February - 2023'!BQ30</f>
        <v>0</v>
      </c>
      <c r="BE31" s="89">
        <f>'[1]February - 2023'!BR30</f>
        <v>0</v>
      </c>
      <c r="BF31" s="247">
        <f>'[1]February - 2023'!BS30</f>
        <v>0</v>
      </c>
      <c r="BG31" s="223">
        <f>'[1]February - 2023'!BT30</f>
        <v>0</v>
      </c>
      <c r="BH31" s="89">
        <f>'[1]February - 2023'!BU30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48">
        <f>'[1]February - 2023'!BV30</f>
        <v>0</v>
      </c>
      <c r="BT31" s="165">
        <f>'[1]February - 2023'!BW30</f>
        <v>0</v>
      </c>
      <c r="BU31" s="557"/>
      <c r="BV31" s="84">
        <f>'[1]February - 2023'!BY30</f>
        <v>0</v>
      </c>
      <c r="BW31" s="219">
        <f>'[1]February - 2023'!BZ30</f>
        <v>0</v>
      </c>
      <c r="BX31" s="84">
        <f>'[1]February - 2023'!CA30</f>
        <v>0.1100000000000001</v>
      </c>
      <c r="BY31" s="85">
        <f>'[1]February - 2023'!CB30</f>
        <v>0</v>
      </c>
      <c r="BZ31" s="171">
        <f>'[1]February - 2023'!CC30</f>
        <v>0</v>
      </c>
      <c r="CA31" s="85">
        <f>'[1]February - 2023'!CD30</f>
        <v>0</v>
      </c>
      <c r="CB31" s="171">
        <f>'[1]February - 2023'!CE30</f>
        <v>0</v>
      </c>
      <c r="CC31" s="85">
        <f>'[1]February - 2023'!CF30</f>
        <v>0</v>
      </c>
      <c r="CD31" s="171">
        <f>'[1]February - 2023'!CG30</f>
        <v>0</v>
      </c>
      <c r="CE31" s="85">
        <f>'[1]February - 2023'!CH30</f>
        <v>0</v>
      </c>
      <c r="CF31" s="171">
        <f>'[1]February - 2023'!CI30</f>
        <v>0</v>
      </c>
      <c r="CG31" s="85">
        <f>'[1]February - 2023'!CJ30</f>
        <v>0</v>
      </c>
      <c r="CH31" s="171">
        <f>'[1]February - 2023'!CK30</f>
        <v>0</v>
      </c>
      <c r="CI31" s="85">
        <f>'[1]February - 2023'!CL30</f>
        <v>0</v>
      </c>
      <c r="CJ31" s="171">
        <f>'[1]February - 2023'!CM30</f>
        <v>0</v>
      </c>
      <c r="CK31" s="85">
        <f>'[1]February - 2023'!CN30</f>
        <v>0</v>
      </c>
      <c r="CL31" s="224">
        <f>'[1]February - 2023'!CO30</f>
        <v>0</v>
      </c>
      <c r="CM31" s="85">
        <f>'[1]February - 2023'!CP30</f>
        <v>99</v>
      </c>
      <c r="CN31" s="85">
        <f>'[1]February - 2023'!CQ30</f>
        <v>0</v>
      </c>
      <c r="CO31" s="224">
        <f>'[1]February - 2023'!CR30</f>
        <v>0</v>
      </c>
      <c r="CP31" s="85">
        <f>'[1]February - 2023'!CV30</f>
        <v>277</v>
      </c>
      <c r="CQ31" s="85">
        <f>'[1]February - 2023'!CT30</f>
        <v>0</v>
      </c>
      <c r="CR31" s="224">
        <f>'[1]February - 2023'!CU30</f>
        <v>0</v>
      </c>
      <c r="CS31" s="85">
        <f>'[1]February - 2023'!CV30</f>
        <v>277</v>
      </c>
      <c r="CT31" s="85">
        <f>'[1]February - 2023'!CW30</f>
        <v>0</v>
      </c>
      <c r="CU31" s="171">
        <f>'[1]February - 2023'!CX30</f>
        <v>0</v>
      </c>
      <c r="CV31" s="485"/>
      <c r="CW31" s="259">
        <f>'[1]February - 2023'!CZ30</f>
        <v>0</v>
      </c>
      <c r="CX31" s="262">
        <f>'[1]February - 2023'!DA30</f>
        <v>0</v>
      </c>
      <c r="CY31" s="260">
        <f>'[1]February - 2023'!DB30</f>
        <v>0</v>
      </c>
      <c r="CZ31" s="262">
        <f>'[1]February - 2023'!DC30</f>
        <v>0</v>
      </c>
      <c r="DA31" s="260">
        <f>'[1]February - 2023'!DD30</f>
        <v>0</v>
      </c>
      <c r="DB31" s="262">
        <f>'[1]February - 2023'!DE30</f>
        <v>0</v>
      </c>
      <c r="DC31" s="260">
        <f>'[1]February - 2023'!DF30</f>
        <v>0</v>
      </c>
      <c r="DD31" s="262">
        <f>'[1]February - 2023'!DG30</f>
        <v>0</v>
      </c>
      <c r="DE31" s="260">
        <f>'[1]February - 2023'!DH30</f>
        <v>0</v>
      </c>
      <c r="DF31" s="262">
        <f>'[1]February - 2023'!DI30</f>
        <v>0</v>
      </c>
      <c r="DG31" s="260">
        <f>'[1]February - 2023'!DJ30</f>
        <v>0</v>
      </c>
      <c r="DH31" s="262">
        <f>'[1]February - 2023'!DK30</f>
        <v>0</v>
      </c>
      <c r="DI31" s="260">
        <f>'[1]February - 2023'!DL30</f>
        <v>0</v>
      </c>
      <c r="DJ31" s="262">
        <f>'[1]February - 2023'!DM30</f>
        <v>0</v>
      </c>
      <c r="DK31" s="260">
        <f>'[1]February - 2023'!DN30</f>
        <v>0</v>
      </c>
      <c r="DL31" s="262">
        <f>'[1]February - 2023'!DO30</f>
        <v>0</v>
      </c>
      <c r="DM31" s="260">
        <f>'[1]February - 2023'!DP30</f>
        <v>0</v>
      </c>
      <c r="DN31" s="262">
        <f>'[1]February - 2023'!DQ30</f>
        <v>0</v>
      </c>
      <c r="DO31" s="260">
        <f>'[1]February - 2023'!DR30</f>
        <v>0</v>
      </c>
      <c r="DP31" s="262">
        <f>'[1]February - 2023'!DS30</f>
        <v>0</v>
      </c>
      <c r="DQ31" s="260">
        <f>'[1]February - 2023'!DT30</f>
        <v>0</v>
      </c>
      <c r="DR31" s="263">
        <f>'[1]February - 2023'!DU30</f>
        <v>0</v>
      </c>
      <c r="DS31" s="501"/>
      <c r="DT31" s="189">
        <f>'[1]February - 2023'!DW30</f>
        <v>0</v>
      </c>
      <c r="DU31" s="200">
        <f>'[1]February - 2023'!DX30</f>
        <v>0</v>
      </c>
      <c r="DV31" s="87">
        <f>'[1]February - 2023'!DY30</f>
        <v>0</v>
      </c>
      <c r="DW31" s="194">
        <f>'[1]February - 2023'!DZ30</f>
        <v>0</v>
      </c>
      <c r="DX31" s="87">
        <f>'[1]February - 2023'!EA30</f>
        <v>0</v>
      </c>
      <c r="DY31" s="194">
        <f>'[1]February - 2023'!EB30</f>
        <v>0</v>
      </c>
      <c r="DZ31" s="87">
        <f>'[1]February - 2023'!EC30</f>
        <v>0</v>
      </c>
      <c r="EA31" s="194">
        <f>'[1]February - 2023'!ED30</f>
        <v>0</v>
      </c>
      <c r="EB31" s="87">
        <f>'[1]February - 2023'!EE30</f>
        <v>0</v>
      </c>
      <c r="EC31" s="194">
        <f>'[1]February - 2023'!EF30</f>
        <v>0</v>
      </c>
      <c r="ED31" s="87">
        <f>'[1]February - 2023'!EI30</f>
        <v>0</v>
      </c>
      <c r="EE31" s="207">
        <f>'[1]February - 2023'!EJ30</f>
        <v>0</v>
      </c>
      <c r="EF31" s="548"/>
      <c r="EG31" s="213">
        <f>'[1]February - 2023'!EL30</f>
        <v>0</v>
      </c>
      <c r="EH31" s="208">
        <f>'[1]February - 2023'!EM30</f>
        <v>0</v>
      </c>
      <c r="EI31" s="86">
        <f>'[1]February - 2023'!EN30</f>
        <v>0</v>
      </c>
      <c r="EJ31" s="208">
        <f>'[1]February - 2023'!EO30</f>
        <v>0</v>
      </c>
      <c r="EK31" s="86">
        <f>'[1]February - 2023'!EP30</f>
        <v>0</v>
      </c>
      <c r="EL31" s="208">
        <f>'[1]February - 2023'!EQ30</f>
        <v>0</v>
      </c>
      <c r="EM31" s="86">
        <f>'[1]February - 2023'!ER30</f>
        <v>0</v>
      </c>
      <c r="EN31" s="208">
        <f>'[1]February - 2023'!ES30</f>
        <v>0</v>
      </c>
      <c r="EO31" s="86">
        <f>'[1]February - 2023'!ET30</f>
        <v>0</v>
      </c>
      <c r="EP31" s="208">
        <f>'[1]February - 2023'!EU30</f>
        <v>0</v>
      </c>
      <c r="EQ31" s="86">
        <f>'[1]February - 2023'!EV30</f>
        <v>0</v>
      </c>
      <c r="ER31" s="208">
        <f>'[1]February - 2023'!EW30</f>
        <v>0</v>
      </c>
      <c r="ES31" s="523"/>
      <c r="ET31" s="253">
        <f>'[1]February - 2023'!EY30</f>
        <v>0</v>
      </c>
      <c r="EU31" s="266">
        <f>'[1]February - 2023'!EZ30</f>
        <v>0</v>
      </c>
      <c r="EV31" s="254">
        <f>'[1]February - 2023'!FA30</f>
        <v>0</v>
      </c>
      <c r="EW31" s="266">
        <f>'[1]February - 2023'!FB30</f>
        <v>0</v>
      </c>
      <c r="EX31" s="254">
        <f>'[1]February - 2023'!FC30</f>
        <v>0</v>
      </c>
      <c r="EY31" s="266">
        <f>'[1]February - 2023'!FD30</f>
        <v>0</v>
      </c>
      <c r="EZ31" s="254">
        <f>'[1]February - 2023'!FE30</f>
        <v>0</v>
      </c>
      <c r="FA31" s="266">
        <f>'[1]February - 2023'!FF30</f>
        <v>0</v>
      </c>
      <c r="FB31" s="254">
        <f>'[1]February - 2023'!FG30</f>
        <v>0</v>
      </c>
      <c r="FC31" s="264">
        <f>'[1]February - 2023'!FH30</f>
        <v>0</v>
      </c>
    </row>
    <row r="32" spans="1:159" ht="30" customHeight="1" x14ac:dyDescent="0.25">
      <c r="A32" s="186">
        <v>44980</v>
      </c>
      <c r="B32" s="188">
        <f>'[1]February - 2023'!B31</f>
        <v>0</v>
      </c>
      <c r="C32" s="228">
        <f>'[1]February - 2023'!E31</f>
        <v>0</v>
      </c>
      <c r="D32" s="151">
        <f>'[1]February - 2023'!F32</f>
        <v>0</v>
      </c>
      <c r="E32" s="150">
        <f>'[1]February - 2023'!G31</f>
        <v>496</v>
      </c>
      <c r="F32" s="150">
        <f>'[1]February - 2023'!H31</f>
        <v>0</v>
      </c>
      <c r="G32" s="151">
        <f>'[1]February - 2023'!I32</f>
        <v>0</v>
      </c>
      <c r="H32" s="150">
        <f>'[1]February - 2023'!J31</f>
        <v>124053</v>
      </c>
      <c r="I32" s="239">
        <f>'[1]February - 2023'!K31</f>
        <v>0</v>
      </c>
      <c r="J32" s="151">
        <f>'[1]February - 2023'!L31</f>
        <v>0</v>
      </c>
      <c r="K32" s="239">
        <f>'[1]February - 2023'!N31</f>
        <v>0</v>
      </c>
      <c r="L32" s="151">
        <f>'[1]February - 2023'!O31</f>
        <v>0</v>
      </c>
      <c r="M32" s="239">
        <f>'[1]February - 2023'!Q31</f>
        <v>0</v>
      </c>
      <c r="N32" s="151">
        <f>'[1]February - 2023'!R31</f>
        <v>0</v>
      </c>
      <c r="O32" s="239">
        <f>'[1]February - 2023'!U31</f>
        <v>0</v>
      </c>
      <c r="P32" s="151">
        <f>'[1]February - 2023'!V31</f>
        <v>0</v>
      </c>
      <c r="Q32" s="150">
        <f>'[1]February - 2023'!W31</f>
        <v>25</v>
      </c>
      <c r="R32" s="239">
        <f>'[1]February - 2023'!X31</f>
        <v>0</v>
      </c>
      <c r="S32" s="187">
        <f>'[1]February - 2023'!Y31</f>
        <v>0</v>
      </c>
      <c r="T32" s="444"/>
      <c r="U32" s="244">
        <f>'[1]February - 2023'!AE31</f>
        <v>0</v>
      </c>
      <c r="V32" s="265">
        <f>'[1]February - 2023'!AF31</f>
        <v>0</v>
      </c>
      <c r="W32" s="88">
        <f>'[1]February - 2023'!AG31</f>
        <v>3556.5600000005215</v>
      </c>
      <c r="X32" s="261">
        <f>'[1]February - 2023'!AH31</f>
        <v>0</v>
      </c>
      <c r="Y32" s="265">
        <f>'[1]February - 2023'!AI31</f>
        <v>0</v>
      </c>
      <c r="Z32" s="88">
        <f>'[1]February - 2023'!AJ31</f>
        <v>4677.1199999991804</v>
      </c>
      <c r="AA32" s="261">
        <f>'[1]February - 2023'!AK31</f>
        <v>0</v>
      </c>
      <c r="AB32" s="265">
        <f>'[1]February - 2023'!AL31</f>
        <v>0</v>
      </c>
      <c r="AC32" s="88">
        <f>'[1]February - 2023'!AM31</f>
        <v>8331.1199999991804</v>
      </c>
      <c r="AD32" s="261">
        <f>'[1]February - 2023'!AN31</f>
        <v>0</v>
      </c>
      <c r="AE32" s="265">
        <f>'[1]February - 2023'!AO31</f>
        <v>0</v>
      </c>
      <c r="AF32" s="88">
        <f>'[1]February - 2023'!AP31</f>
        <v>48.719999998807907</v>
      </c>
      <c r="AG32" s="261">
        <f>'[1]February - 2023'!AQ31</f>
        <v>0</v>
      </c>
      <c r="AH32" s="265">
        <f>'[1]February - 2023'!AR31</f>
        <v>0</v>
      </c>
      <c r="AI32" s="88">
        <f>'[1]February - 2023'!AS31</f>
        <v>97.439999997615814</v>
      </c>
      <c r="AJ32" s="261">
        <f>'[1]February - 2023'!AT31</f>
        <v>0</v>
      </c>
      <c r="AK32" s="265">
        <f>'[1]February - 2023'!AU31</f>
        <v>0</v>
      </c>
      <c r="AL32" s="88">
        <f>'[1]February - 2023'!AV31</f>
        <v>5992.5599999986589</v>
      </c>
      <c r="AM32" s="261">
        <f>'[1]February - 2023'!AW31</f>
        <v>0</v>
      </c>
      <c r="AN32" s="265">
        <f>'[1]February - 2023'!AX31</f>
        <v>0</v>
      </c>
      <c r="AO32" s="88">
        <f>'[1]February - 2023'!AY31</f>
        <v>3897.5999999996275</v>
      </c>
      <c r="AP32" s="261">
        <f>'[1]February - 2023'!AZ31</f>
        <v>0</v>
      </c>
      <c r="AQ32" s="265">
        <f>'[1]February - 2023'!BA31</f>
        <v>0</v>
      </c>
      <c r="AR32" s="88">
        <f>'[1]February - 2023'!BB31</f>
        <v>4384.7999999988824</v>
      </c>
      <c r="AS32" s="261">
        <f>'[1]February - 2023'!BC31</f>
        <v>0</v>
      </c>
      <c r="AT32" s="265">
        <f>'[1]February - 2023'!BD31</f>
        <v>0</v>
      </c>
      <c r="AU32" s="88">
        <f>'[1]February - 2023'!BE31</f>
        <v>2923.1999999992549</v>
      </c>
      <c r="AV32" s="261">
        <f>'[1]February - 2023'!BF31</f>
        <v>0</v>
      </c>
      <c r="AW32" s="229">
        <f>'[1]February - 2023'!BG31</f>
        <v>0</v>
      </c>
      <c r="AX32" s="230">
        <f>'[1]February - 2023'!BH31</f>
        <v>5456.6400000024587</v>
      </c>
      <c r="AY32" s="461"/>
      <c r="AZ32" s="247">
        <f>'[1]February - 2023'!BM31</f>
        <v>0</v>
      </c>
      <c r="BA32" s="160">
        <f>'[1]February - 2023'!BN31</f>
        <v>0</v>
      </c>
      <c r="BB32" s="89">
        <f>'[1]February - 2023'!BO32</f>
        <v>45100</v>
      </c>
      <c r="BC32" s="247">
        <f>'[1]February - 2023'!BP31</f>
        <v>0</v>
      </c>
      <c r="BD32" s="223">
        <f>'[1]February - 2023'!BQ31</f>
        <v>0</v>
      </c>
      <c r="BE32" s="89">
        <f>'[1]February - 2023'!BR31</f>
        <v>0</v>
      </c>
      <c r="BF32" s="247">
        <f>'[1]February - 2023'!BS31</f>
        <v>0</v>
      </c>
      <c r="BG32" s="223">
        <f>'[1]February - 2023'!BT31</f>
        <v>0</v>
      </c>
      <c r="BH32" s="89">
        <f>'[1]February - 2023'!BU31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48">
        <f>'[1]February - 2023'!BV31</f>
        <v>0</v>
      </c>
      <c r="BT32" s="165">
        <f>'[1]February - 2023'!BW31</f>
        <v>0</v>
      </c>
      <c r="BU32" s="557"/>
      <c r="BV32" s="84">
        <f>'[1]February - 2023'!BY31</f>
        <v>0</v>
      </c>
      <c r="BW32" s="219">
        <f>'[1]February - 2023'!BZ31</f>
        <v>0</v>
      </c>
      <c r="BX32" s="84">
        <f>'[1]February - 2023'!CA31</f>
        <v>6.9999999999999951E-2</v>
      </c>
      <c r="BY32" s="85">
        <f>'[1]February - 2023'!CB31</f>
        <v>0</v>
      </c>
      <c r="BZ32" s="171">
        <f>'[1]February - 2023'!CC31</f>
        <v>0</v>
      </c>
      <c r="CA32" s="85">
        <f>'[1]February - 2023'!CD31</f>
        <v>0</v>
      </c>
      <c r="CB32" s="171">
        <f>'[1]February - 2023'!CE31</f>
        <v>0</v>
      </c>
      <c r="CC32" s="85">
        <f>'[1]February - 2023'!CF31</f>
        <v>0</v>
      </c>
      <c r="CD32" s="171">
        <f>'[1]February - 2023'!CG31</f>
        <v>0</v>
      </c>
      <c r="CE32" s="85">
        <f>'[1]February - 2023'!CH31</f>
        <v>0</v>
      </c>
      <c r="CF32" s="171">
        <f>'[1]February - 2023'!CI31</f>
        <v>0</v>
      </c>
      <c r="CG32" s="85">
        <f>'[1]February - 2023'!CJ31</f>
        <v>0</v>
      </c>
      <c r="CH32" s="171">
        <f>'[1]February - 2023'!CK31</f>
        <v>0</v>
      </c>
      <c r="CI32" s="85">
        <f>'[1]February - 2023'!CL31</f>
        <v>0</v>
      </c>
      <c r="CJ32" s="171">
        <f>'[1]February - 2023'!CM31</f>
        <v>0</v>
      </c>
      <c r="CK32" s="85">
        <f>'[1]February - 2023'!CN31</f>
        <v>0</v>
      </c>
      <c r="CL32" s="224">
        <f>'[1]February - 2023'!CO31</f>
        <v>0</v>
      </c>
      <c r="CM32" s="85">
        <f>'[1]February - 2023'!CP31</f>
        <v>99</v>
      </c>
      <c r="CN32" s="85">
        <f>'[1]February - 2023'!CQ31</f>
        <v>0</v>
      </c>
      <c r="CO32" s="224">
        <f>'[1]February - 2023'!CR31</f>
        <v>0</v>
      </c>
      <c r="CP32" s="85">
        <f>'[1]February - 2023'!CV31</f>
        <v>196</v>
      </c>
      <c r="CQ32" s="85">
        <f>'[1]February - 2023'!CT31</f>
        <v>0</v>
      </c>
      <c r="CR32" s="224">
        <f>'[1]February - 2023'!CU31</f>
        <v>0</v>
      </c>
      <c r="CS32" s="85">
        <f>'[1]February - 2023'!CV31</f>
        <v>196</v>
      </c>
      <c r="CT32" s="85">
        <f>'[1]February - 2023'!CW31</f>
        <v>0</v>
      </c>
      <c r="CU32" s="171">
        <f>'[1]February - 2023'!CX31</f>
        <v>0</v>
      </c>
      <c r="CV32" s="485"/>
      <c r="CW32" s="259">
        <f>'[1]February - 2023'!CZ31</f>
        <v>0</v>
      </c>
      <c r="CX32" s="262">
        <f>'[1]February - 2023'!DA31</f>
        <v>0</v>
      </c>
      <c r="CY32" s="260">
        <f>'[1]February - 2023'!DB31</f>
        <v>0</v>
      </c>
      <c r="CZ32" s="262">
        <f>'[1]February - 2023'!DC31</f>
        <v>0</v>
      </c>
      <c r="DA32" s="260">
        <f>'[1]February - 2023'!DD31</f>
        <v>0</v>
      </c>
      <c r="DB32" s="262">
        <f>'[1]February - 2023'!DE31</f>
        <v>0</v>
      </c>
      <c r="DC32" s="260">
        <f>'[1]February - 2023'!DF31</f>
        <v>0</v>
      </c>
      <c r="DD32" s="262">
        <f>'[1]February - 2023'!DG31</f>
        <v>0</v>
      </c>
      <c r="DE32" s="260">
        <f>'[1]February - 2023'!DH31</f>
        <v>0</v>
      </c>
      <c r="DF32" s="262">
        <f>'[1]February - 2023'!DI31</f>
        <v>0</v>
      </c>
      <c r="DG32" s="260">
        <f>'[1]February - 2023'!DJ31</f>
        <v>0</v>
      </c>
      <c r="DH32" s="262">
        <f>'[1]February - 2023'!DK31</f>
        <v>0</v>
      </c>
      <c r="DI32" s="260">
        <f>'[1]February - 2023'!DL31</f>
        <v>0</v>
      </c>
      <c r="DJ32" s="262">
        <f>'[1]February - 2023'!DM31</f>
        <v>0</v>
      </c>
      <c r="DK32" s="260">
        <f>'[1]February - 2023'!DN31</f>
        <v>0</v>
      </c>
      <c r="DL32" s="262">
        <f>'[1]February - 2023'!DO31</f>
        <v>0</v>
      </c>
      <c r="DM32" s="260">
        <f>'[1]February - 2023'!DP31</f>
        <v>0</v>
      </c>
      <c r="DN32" s="262">
        <f>'[1]February - 2023'!DQ31</f>
        <v>0</v>
      </c>
      <c r="DO32" s="260">
        <f>'[1]February - 2023'!DR31</f>
        <v>0</v>
      </c>
      <c r="DP32" s="262">
        <f>'[1]February - 2023'!DS31</f>
        <v>0</v>
      </c>
      <c r="DQ32" s="260">
        <f>'[1]February - 2023'!DT31</f>
        <v>0</v>
      </c>
      <c r="DR32" s="263">
        <f>'[1]February - 2023'!DU31</f>
        <v>0</v>
      </c>
      <c r="DS32" s="501"/>
      <c r="DT32" s="189">
        <f>'[1]February - 2023'!DW31</f>
        <v>0</v>
      </c>
      <c r="DU32" s="200">
        <f>'[1]February - 2023'!DX31</f>
        <v>0</v>
      </c>
      <c r="DV32" s="87">
        <f>'[1]February - 2023'!DY31</f>
        <v>0</v>
      </c>
      <c r="DW32" s="194">
        <f>'[1]February - 2023'!DZ31</f>
        <v>0</v>
      </c>
      <c r="DX32" s="87">
        <f>'[1]February - 2023'!EA31</f>
        <v>0</v>
      </c>
      <c r="DY32" s="194">
        <f>'[1]February - 2023'!EB31</f>
        <v>0</v>
      </c>
      <c r="DZ32" s="87">
        <f>'[1]February - 2023'!EC31</f>
        <v>0</v>
      </c>
      <c r="EA32" s="194">
        <f>'[1]February - 2023'!ED31</f>
        <v>0</v>
      </c>
      <c r="EB32" s="87">
        <f>'[1]February - 2023'!EE31</f>
        <v>0</v>
      </c>
      <c r="EC32" s="194">
        <f>'[1]February - 2023'!EF31</f>
        <v>0</v>
      </c>
      <c r="ED32" s="87">
        <f>'[1]February - 2023'!EI31</f>
        <v>0</v>
      </c>
      <c r="EE32" s="207">
        <f>'[1]February - 2023'!EJ31</f>
        <v>0</v>
      </c>
      <c r="EF32" s="548"/>
      <c r="EG32" s="213">
        <f>'[1]February - 2023'!EL31</f>
        <v>0</v>
      </c>
      <c r="EH32" s="208">
        <f>'[1]February - 2023'!EM31</f>
        <v>0</v>
      </c>
      <c r="EI32" s="86">
        <f>'[1]February - 2023'!EN31</f>
        <v>0</v>
      </c>
      <c r="EJ32" s="208">
        <f>'[1]February - 2023'!EO31</f>
        <v>0</v>
      </c>
      <c r="EK32" s="86">
        <f>'[1]February - 2023'!EP31</f>
        <v>0</v>
      </c>
      <c r="EL32" s="208">
        <f>'[1]February - 2023'!EQ31</f>
        <v>0</v>
      </c>
      <c r="EM32" s="86">
        <f>'[1]February - 2023'!ER31</f>
        <v>0</v>
      </c>
      <c r="EN32" s="208">
        <f>'[1]February - 2023'!ES31</f>
        <v>0</v>
      </c>
      <c r="EO32" s="86">
        <f>'[1]February - 2023'!ET31</f>
        <v>0</v>
      </c>
      <c r="EP32" s="208">
        <f>'[1]February - 2023'!EU31</f>
        <v>0</v>
      </c>
      <c r="EQ32" s="86">
        <f>'[1]February - 2023'!EV31</f>
        <v>0</v>
      </c>
      <c r="ER32" s="208">
        <f>'[1]February - 2023'!EW31</f>
        <v>0</v>
      </c>
      <c r="ES32" s="523"/>
      <c r="ET32" s="253">
        <f>'[1]February - 2023'!EY31</f>
        <v>0</v>
      </c>
      <c r="EU32" s="266">
        <f>'[1]February - 2023'!EZ31</f>
        <v>0</v>
      </c>
      <c r="EV32" s="254">
        <f>'[1]February - 2023'!FA31</f>
        <v>0</v>
      </c>
      <c r="EW32" s="266">
        <f>'[1]February - 2023'!FB31</f>
        <v>0</v>
      </c>
      <c r="EX32" s="254">
        <f>'[1]February - 2023'!FC31</f>
        <v>0</v>
      </c>
      <c r="EY32" s="266">
        <f>'[1]February - 2023'!FD31</f>
        <v>0</v>
      </c>
      <c r="EZ32" s="254">
        <f>'[1]February - 2023'!FE31</f>
        <v>0</v>
      </c>
      <c r="FA32" s="266">
        <f>'[1]February - 2023'!FF31</f>
        <v>0</v>
      </c>
      <c r="FB32" s="254">
        <f>'[1]February - 2023'!FG31</f>
        <v>0</v>
      </c>
      <c r="FC32" s="264">
        <f>'[1]February - 2023'!FH31</f>
        <v>0</v>
      </c>
    </row>
    <row r="33" spans="1:160" ht="30" customHeight="1" x14ac:dyDescent="0.25">
      <c r="A33" s="186">
        <v>44981</v>
      </c>
      <c r="B33" s="188">
        <f>'[1]February - 2023'!B32</f>
        <v>0</v>
      </c>
      <c r="C33" s="228">
        <f>'[1]February - 2023'!E32</f>
        <v>0</v>
      </c>
      <c r="D33" s="151">
        <f>'[1]February - 2023'!F33</f>
        <v>0</v>
      </c>
      <c r="E33" s="150">
        <f>'[1]February - 2023'!G32</f>
        <v>649</v>
      </c>
      <c r="F33" s="150">
        <f>'[1]February - 2023'!H32</f>
        <v>0</v>
      </c>
      <c r="G33" s="151">
        <f>'[1]February - 2023'!I33</f>
        <v>0</v>
      </c>
      <c r="H33" s="150">
        <f>'[1]February - 2023'!J32</f>
        <v>124510</v>
      </c>
      <c r="I33" s="239">
        <f>'[1]February - 2023'!K32</f>
        <v>0</v>
      </c>
      <c r="J33" s="151">
        <f>'[1]February - 2023'!L32</f>
        <v>0</v>
      </c>
      <c r="K33" s="239">
        <f>'[1]February - 2023'!N32</f>
        <v>0</v>
      </c>
      <c r="L33" s="151">
        <f>'[1]February - 2023'!O32</f>
        <v>0</v>
      </c>
      <c r="M33" s="239">
        <f>'[1]February - 2023'!Q32</f>
        <v>0</v>
      </c>
      <c r="N33" s="151">
        <f>'[1]February - 2023'!R32</f>
        <v>0</v>
      </c>
      <c r="O33" s="239">
        <f>'[1]February - 2023'!U32</f>
        <v>0</v>
      </c>
      <c r="P33" s="151">
        <f>'[1]February - 2023'!V32</f>
        <v>0</v>
      </c>
      <c r="Q33" s="150">
        <f>'[1]February - 2023'!W32</f>
        <v>-25</v>
      </c>
      <c r="R33" s="239">
        <f>'[1]February - 2023'!X32</f>
        <v>0</v>
      </c>
      <c r="S33" s="187">
        <f>'[1]February - 2023'!Y32</f>
        <v>0</v>
      </c>
      <c r="T33" s="444"/>
      <c r="U33" s="244">
        <f>'[1]February - 2023'!AE32</f>
        <v>0</v>
      </c>
      <c r="V33" s="265">
        <f>'[1]February - 2023'!AF32</f>
        <v>0</v>
      </c>
      <c r="W33" s="88">
        <f>'[1]February - 2023'!AG32</f>
        <v>3605.2800000002608</v>
      </c>
      <c r="X33" s="261">
        <f>'[1]February - 2023'!AH32</f>
        <v>0</v>
      </c>
      <c r="Y33" s="265">
        <f>'[1]February - 2023'!AI32</f>
        <v>0</v>
      </c>
      <c r="Z33" s="88">
        <f>'[1]February - 2023'!AJ32</f>
        <v>4920.7200000006706</v>
      </c>
      <c r="AA33" s="261">
        <f>'[1]February - 2023'!AK32</f>
        <v>0</v>
      </c>
      <c r="AB33" s="265">
        <f>'[1]February - 2023'!AL32</f>
        <v>0</v>
      </c>
      <c r="AC33" s="88">
        <f>'[1]February - 2023'!AM32</f>
        <v>8477.2800000011921</v>
      </c>
      <c r="AD33" s="261">
        <f>'[1]February - 2023'!AN32</f>
        <v>0</v>
      </c>
      <c r="AE33" s="265">
        <f>'[1]February - 2023'!AO32</f>
        <v>0</v>
      </c>
      <c r="AF33" s="88">
        <f>'[1]February - 2023'!AP32</f>
        <v>48.720000002533197</v>
      </c>
      <c r="AG33" s="261">
        <f>'[1]February - 2023'!AQ32</f>
        <v>0</v>
      </c>
      <c r="AH33" s="265">
        <f>'[1]February - 2023'!AR32</f>
        <v>0</v>
      </c>
      <c r="AI33" s="88">
        <f>'[1]February - 2023'!AS32</f>
        <v>0</v>
      </c>
      <c r="AJ33" s="261">
        <f>'[1]February - 2023'!AT32</f>
        <v>0</v>
      </c>
      <c r="AK33" s="265">
        <f>'[1]February - 2023'!AU32</f>
        <v>0</v>
      </c>
      <c r="AL33" s="88">
        <f>'[1]February - 2023'!AV32</f>
        <v>5846.4000000003725</v>
      </c>
      <c r="AM33" s="261">
        <f>'[1]February - 2023'!AW32</f>
        <v>0</v>
      </c>
      <c r="AN33" s="265">
        <f>'[1]February - 2023'!AX32</f>
        <v>0</v>
      </c>
      <c r="AO33" s="88">
        <f>'[1]February - 2023'!AY32</f>
        <v>3995.0400000009686</v>
      </c>
      <c r="AP33" s="261">
        <f>'[1]February - 2023'!AZ32</f>
        <v>0</v>
      </c>
      <c r="AQ33" s="265">
        <f>'[1]February - 2023'!BA32</f>
        <v>0</v>
      </c>
      <c r="AR33" s="88">
        <f>'[1]February - 2023'!BB32</f>
        <v>4238.6399999987334</v>
      </c>
      <c r="AS33" s="261">
        <f>'[1]February - 2023'!BC32</f>
        <v>0</v>
      </c>
      <c r="AT33" s="265">
        <f>'[1]February - 2023'!BD32</f>
        <v>0</v>
      </c>
      <c r="AU33" s="88">
        <f>'[1]February - 2023'!BE32</f>
        <v>2777.0400000009686</v>
      </c>
      <c r="AV33" s="261">
        <f>'[1]February - 2023'!BF32</f>
        <v>0</v>
      </c>
      <c r="AW33" s="229">
        <f>'[1]February - 2023'!BG32</f>
        <v>0</v>
      </c>
      <c r="AX33" s="230">
        <f>'[1]February - 2023'!BH32</f>
        <v>5651.519999999553</v>
      </c>
      <c r="AY33" s="461"/>
      <c r="AZ33" s="247">
        <f>'[1]February - 2023'!BM32</f>
        <v>0</v>
      </c>
      <c r="BA33" s="160">
        <f>'[1]February - 2023'!BN32</f>
        <v>0</v>
      </c>
      <c r="BB33" s="89">
        <f>'[1]February - 2023'!BO33</f>
        <v>50300</v>
      </c>
      <c r="BC33" s="247">
        <f>'[1]February - 2023'!BP32</f>
        <v>0</v>
      </c>
      <c r="BD33" s="223">
        <f>'[1]February - 2023'!BQ32</f>
        <v>0</v>
      </c>
      <c r="BE33" s="89">
        <f>'[1]February - 2023'!BR32</f>
        <v>0</v>
      </c>
      <c r="BF33" s="247">
        <f>'[1]February - 2023'!BS32</f>
        <v>0</v>
      </c>
      <c r="BG33" s="223">
        <f>'[1]February - 2023'!BT32</f>
        <v>0</v>
      </c>
      <c r="BH33" s="89">
        <f>'[1]February - 2023'!BU32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48">
        <f>'[1]February - 2023'!BV32</f>
        <v>0</v>
      </c>
      <c r="BT33" s="165">
        <f>'[1]February - 2023'!BW32</f>
        <v>0</v>
      </c>
      <c r="BU33" s="557"/>
      <c r="BV33" s="84">
        <f>'[1]February - 2023'!BY32</f>
        <v>0</v>
      </c>
      <c r="BW33" s="219">
        <f>'[1]February - 2023'!BZ32</f>
        <v>0</v>
      </c>
      <c r="BX33" s="84">
        <f>'[1]February - 2023'!CA32</f>
        <v>7.999999999999996E-2</v>
      </c>
      <c r="BY33" s="85">
        <f>'[1]February - 2023'!CB32</f>
        <v>0</v>
      </c>
      <c r="BZ33" s="171">
        <f>'[1]February - 2023'!CC32</f>
        <v>0</v>
      </c>
      <c r="CA33" s="85">
        <f>'[1]February - 2023'!CD32</f>
        <v>0</v>
      </c>
      <c r="CB33" s="171">
        <f>'[1]February - 2023'!CE32</f>
        <v>0</v>
      </c>
      <c r="CC33" s="85">
        <f>'[1]February - 2023'!CF32</f>
        <v>0</v>
      </c>
      <c r="CD33" s="171">
        <f>'[1]February - 2023'!CG32</f>
        <v>0</v>
      </c>
      <c r="CE33" s="85">
        <f>'[1]February - 2023'!CH32</f>
        <v>0</v>
      </c>
      <c r="CF33" s="171">
        <f>'[1]February - 2023'!CI32</f>
        <v>0</v>
      </c>
      <c r="CG33" s="85">
        <f>'[1]February - 2023'!CJ32</f>
        <v>0</v>
      </c>
      <c r="CH33" s="171">
        <f>'[1]February - 2023'!CK32</f>
        <v>0</v>
      </c>
      <c r="CI33" s="85">
        <f>'[1]February - 2023'!CL32</f>
        <v>0</v>
      </c>
      <c r="CJ33" s="171">
        <f>'[1]February - 2023'!CM32</f>
        <v>0</v>
      </c>
      <c r="CK33" s="85">
        <f>'[1]February - 2023'!CN32</f>
        <v>0</v>
      </c>
      <c r="CL33" s="224">
        <f>'[1]February - 2023'!CO32</f>
        <v>0</v>
      </c>
      <c r="CM33" s="85">
        <f>'[1]February - 2023'!CP32</f>
        <v>99</v>
      </c>
      <c r="CN33" s="85">
        <f>'[1]February - 2023'!CQ32</f>
        <v>0</v>
      </c>
      <c r="CO33" s="224">
        <f>'[1]February - 2023'!CR32</f>
        <v>0</v>
      </c>
      <c r="CP33" s="85">
        <f>'[1]February - 2023'!CV32</f>
        <v>280</v>
      </c>
      <c r="CQ33" s="85">
        <f>'[1]February - 2023'!CT32</f>
        <v>0</v>
      </c>
      <c r="CR33" s="224">
        <f>'[1]February - 2023'!CU32</f>
        <v>0</v>
      </c>
      <c r="CS33" s="85">
        <f>'[1]February - 2023'!CV32</f>
        <v>280</v>
      </c>
      <c r="CT33" s="85">
        <f>'[1]February - 2023'!CW32</f>
        <v>0</v>
      </c>
      <c r="CU33" s="171">
        <f>'[1]February - 2023'!CX32</f>
        <v>0</v>
      </c>
      <c r="CV33" s="485"/>
      <c r="CW33" s="259">
        <f>'[1]February - 2023'!CZ32</f>
        <v>0</v>
      </c>
      <c r="CX33" s="262">
        <f>'[1]February - 2023'!DA32</f>
        <v>0</v>
      </c>
      <c r="CY33" s="260">
        <f>'[1]February - 2023'!DB32</f>
        <v>0</v>
      </c>
      <c r="CZ33" s="262">
        <f>'[1]February - 2023'!DC32</f>
        <v>0</v>
      </c>
      <c r="DA33" s="260">
        <f>'[1]February - 2023'!DD32</f>
        <v>0</v>
      </c>
      <c r="DB33" s="262">
        <f>'[1]February - 2023'!DE32</f>
        <v>0</v>
      </c>
      <c r="DC33" s="260">
        <f>'[1]February - 2023'!DF32</f>
        <v>0</v>
      </c>
      <c r="DD33" s="262">
        <f>'[1]February - 2023'!DG32</f>
        <v>0</v>
      </c>
      <c r="DE33" s="260">
        <f>'[1]February - 2023'!DH32</f>
        <v>0</v>
      </c>
      <c r="DF33" s="262">
        <f>'[1]February - 2023'!DI32</f>
        <v>0</v>
      </c>
      <c r="DG33" s="260">
        <f>'[1]February - 2023'!DJ32</f>
        <v>0</v>
      </c>
      <c r="DH33" s="262">
        <f>'[1]February - 2023'!DK32</f>
        <v>0</v>
      </c>
      <c r="DI33" s="260">
        <f>'[1]February - 2023'!DL32</f>
        <v>0</v>
      </c>
      <c r="DJ33" s="262">
        <f>'[1]February - 2023'!DM32</f>
        <v>0</v>
      </c>
      <c r="DK33" s="260">
        <f>'[1]February - 2023'!DN32</f>
        <v>0</v>
      </c>
      <c r="DL33" s="262">
        <f>'[1]February - 2023'!DO32</f>
        <v>0</v>
      </c>
      <c r="DM33" s="260">
        <f>'[1]February - 2023'!DP32</f>
        <v>0</v>
      </c>
      <c r="DN33" s="262">
        <f>'[1]February - 2023'!DQ32</f>
        <v>0</v>
      </c>
      <c r="DO33" s="260">
        <f>'[1]February - 2023'!DR32</f>
        <v>0</v>
      </c>
      <c r="DP33" s="262">
        <f>'[1]February - 2023'!DS32</f>
        <v>0</v>
      </c>
      <c r="DQ33" s="260">
        <f>'[1]February - 2023'!DT32</f>
        <v>0</v>
      </c>
      <c r="DR33" s="263">
        <f>'[1]February - 2023'!DU32</f>
        <v>0</v>
      </c>
      <c r="DS33" s="501"/>
      <c r="DT33" s="189">
        <f>'[1]February - 2023'!DW32</f>
        <v>0</v>
      </c>
      <c r="DU33" s="200">
        <f>'[1]February - 2023'!DX32</f>
        <v>0</v>
      </c>
      <c r="DV33" s="87">
        <f>'[1]February - 2023'!DY32</f>
        <v>0</v>
      </c>
      <c r="DW33" s="194">
        <f>'[1]February - 2023'!DZ32</f>
        <v>0</v>
      </c>
      <c r="DX33" s="87">
        <f>'[1]February - 2023'!EA32</f>
        <v>0</v>
      </c>
      <c r="DY33" s="194">
        <f>'[1]February - 2023'!EB32</f>
        <v>0</v>
      </c>
      <c r="DZ33" s="87">
        <f>'[1]February - 2023'!EC32</f>
        <v>0</v>
      </c>
      <c r="EA33" s="194">
        <f>'[1]February - 2023'!ED32</f>
        <v>0</v>
      </c>
      <c r="EB33" s="87">
        <f>'[1]February - 2023'!EE32</f>
        <v>0</v>
      </c>
      <c r="EC33" s="194">
        <f>'[1]February - 2023'!EF32</f>
        <v>0</v>
      </c>
      <c r="ED33" s="87">
        <f>'[1]February - 2023'!EI32</f>
        <v>0</v>
      </c>
      <c r="EE33" s="207">
        <f>'[1]February - 2023'!EJ32</f>
        <v>0</v>
      </c>
      <c r="EF33" s="548"/>
      <c r="EG33" s="213">
        <f>'[1]February - 2023'!EL32</f>
        <v>0</v>
      </c>
      <c r="EH33" s="208">
        <f>'[1]February - 2023'!EM32</f>
        <v>0</v>
      </c>
      <c r="EI33" s="86">
        <f>'[1]February - 2023'!EN32</f>
        <v>0</v>
      </c>
      <c r="EJ33" s="208">
        <f>'[1]February - 2023'!EO32</f>
        <v>0</v>
      </c>
      <c r="EK33" s="86">
        <f>'[1]February - 2023'!EP32</f>
        <v>0</v>
      </c>
      <c r="EL33" s="208">
        <f>'[1]February - 2023'!EQ32</f>
        <v>0</v>
      </c>
      <c r="EM33" s="86">
        <f>'[1]February - 2023'!ER32</f>
        <v>0</v>
      </c>
      <c r="EN33" s="208">
        <f>'[1]February - 2023'!ES32</f>
        <v>0</v>
      </c>
      <c r="EO33" s="86">
        <f>'[1]February - 2023'!ET32</f>
        <v>0</v>
      </c>
      <c r="EP33" s="208">
        <f>'[1]February - 2023'!EU32</f>
        <v>0</v>
      </c>
      <c r="EQ33" s="86">
        <f>'[1]February - 2023'!EV32</f>
        <v>0</v>
      </c>
      <c r="ER33" s="208">
        <f>'[1]February - 2023'!EW32</f>
        <v>0</v>
      </c>
      <c r="ES33" s="523"/>
      <c r="ET33" s="253">
        <f>'[1]February - 2023'!EY32</f>
        <v>0</v>
      </c>
      <c r="EU33" s="266">
        <f>'[1]February - 2023'!EZ32</f>
        <v>0</v>
      </c>
      <c r="EV33" s="254">
        <f>'[1]February - 2023'!FA32</f>
        <v>0</v>
      </c>
      <c r="EW33" s="266">
        <f>'[1]February - 2023'!FB32</f>
        <v>0</v>
      </c>
      <c r="EX33" s="254">
        <f>'[1]February - 2023'!FC32</f>
        <v>0</v>
      </c>
      <c r="EY33" s="266">
        <f>'[1]February - 2023'!FD32</f>
        <v>0</v>
      </c>
      <c r="EZ33" s="254">
        <f>'[1]February - 2023'!FE32</f>
        <v>0</v>
      </c>
      <c r="FA33" s="266">
        <f>'[1]February - 2023'!FF32</f>
        <v>0</v>
      </c>
      <c r="FB33" s="254">
        <f>'[1]February - 2023'!FG32</f>
        <v>0</v>
      </c>
      <c r="FC33" s="264">
        <f>'[1]February - 2023'!FH32</f>
        <v>0</v>
      </c>
    </row>
    <row r="34" spans="1:160" ht="30" customHeight="1" x14ac:dyDescent="0.25">
      <c r="A34" s="186">
        <v>44982</v>
      </c>
      <c r="B34" s="188">
        <f>'[1]February - 2023'!B33</f>
        <v>0</v>
      </c>
      <c r="C34" s="228">
        <f>'[1]February - 2023'!E33</f>
        <v>0</v>
      </c>
      <c r="D34" s="151">
        <f>'[1]February - 2023'!F34</f>
        <v>0</v>
      </c>
      <c r="E34" s="150">
        <f>'[1]February - 2023'!G33</f>
        <v>842</v>
      </c>
      <c r="F34" s="150">
        <f>'[1]February - 2023'!H33</f>
        <v>0</v>
      </c>
      <c r="G34" s="151">
        <f>'[1]February - 2023'!I34</f>
        <v>0</v>
      </c>
      <c r="H34" s="150">
        <f>'[1]February - 2023'!J33</f>
        <v>124997</v>
      </c>
      <c r="I34" s="239">
        <f>'[1]February - 2023'!K33</f>
        <v>0</v>
      </c>
      <c r="J34" s="151">
        <f>'[1]February - 2023'!L33</f>
        <v>0</v>
      </c>
      <c r="K34" s="239">
        <f>'[1]February - 2023'!N33</f>
        <v>0</v>
      </c>
      <c r="L34" s="151">
        <f>'[1]February - 2023'!O33</f>
        <v>0</v>
      </c>
      <c r="M34" s="239">
        <f>'[1]February - 2023'!Q33</f>
        <v>0</v>
      </c>
      <c r="N34" s="151">
        <f>'[1]February - 2023'!R33</f>
        <v>0</v>
      </c>
      <c r="O34" s="239">
        <f>'[1]February - 2023'!U33</f>
        <v>0</v>
      </c>
      <c r="P34" s="151">
        <f>'[1]February - 2023'!V33</f>
        <v>0</v>
      </c>
      <c r="Q34" s="150">
        <f>'[1]February - 2023'!W33</f>
        <v>84</v>
      </c>
      <c r="R34" s="239">
        <f>'[1]February - 2023'!X33</f>
        <v>0</v>
      </c>
      <c r="S34" s="187">
        <f>'[1]February - 2023'!Y33</f>
        <v>0</v>
      </c>
      <c r="T34" s="444"/>
      <c r="U34" s="244">
        <f>'[1]February - 2023'!AE33</f>
        <v>0</v>
      </c>
      <c r="V34" s="265">
        <f>'[1]February - 2023'!AF33</f>
        <v>0</v>
      </c>
      <c r="W34" s="88">
        <f>'[1]February - 2023'!AG33</f>
        <v>3605.2800000002608</v>
      </c>
      <c r="X34" s="261">
        <f>'[1]February - 2023'!AH33</f>
        <v>0</v>
      </c>
      <c r="Y34" s="265">
        <f>'[1]February - 2023'!AI33</f>
        <v>0</v>
      </c>
      <c r="Z34" s="88">
        <f>'[1]February - 2023'!AJ33</f>
        <v>4823.2799999993294</v>
      </c>
      <c r="AA34" s="261">
        <f>'[1]February - 2023'!AK33</f>
        <v>0</v>
      </c>
      <c r="AB34" s="265">
        <f>'[1]February - 2023'!AL33</f>
        <v>0</v>
      </c>
      <c r="AC34" s="88">
        <f>'[1]February - 2023'!AM33</f>
        <v>9305.519999999553</v>
      </c>
      <c r="AD34" s="261">
        <f>'[1]February - 2023'!AN33</f>
        <v>0</v>
      </c>
      <c r="AE34" s="265">
        <f>'[1]February - 2023'!AO33</f>
        <v>0</v>
      </c>
      <c r="AF34" s="88">
        <f>'[1]February - 2023'!AP33</f>
        <v>146.16000000014901</v>
      </c>
      <c r="AG34" s="261">
        <f>'[1]February - 2023'!AQ33</f>
        <v>0</v>
      </c>
      <c r="AH34" s="265">
        <f>'[1]February - 2023'!AR33</f>
        <v>0</v>
      </c>
      <c r="AI34" s="88">
        <f>'[1]February - 2023'!AS33</f>
        <v>0</v>
      </c>
      <c r="AJ34" s="261">
        <f>'[1]February - 2023'!AT33</f>
        <v>0</v>
      </c>
      <c r="AK34" s="265">
        <f>'[1]February - 2023'!AU33</f>
        <v>0</v>
      </c>
      <c r="AL34" s="88">
        <f>'[1]February - 2023'!AV33</f>
        <v>5992.5600000023842</v>
      </c>
      <c r="AM34" s="261">
        <f>'[1]February - 2023'!AW33</f>
        <v>0</v>
      </c>
      <c r="AN34" s="265">
        <f>'[1]February - 2023'!AX33</f>
        <v>0</v>
      </c>
      <c r="AO34" s="88">
        <f>'[1]February - 2023'!AY33</f>
        <v>4189.9199999980628</v>
      </c>
      <c r="AP34" s="261">
        <f>'[1]February - 2023'!AZ33</f>
        <v>0</v>
      </c>
      <c r="AQ34" s="265">
        <f>'[1]February - 2023'!BA33</f>
        <v>0</v>
      </c>
      <c r="AR34" s="88">
        <f>'[1]February - 2023'!BB33</f>
        <v>4482.2400000002235</v>
      </c>
      <c r="AS34" s="261">
        <f>'[1]February - 2023'!BC33</f>
        <v>0</v>
      </c>
      <c r="AT34" s="265">
        <f>'[1]February - 2023'!BD33</f>
        <v>0</v>
      </c>
      <c r="AU34" s="88">
        <f>'[1]February - 2023'!BE33</f>
        <v>3118.0799999982119</v>
      </c>
      <c r="AV34" s="261">
        <f>'[1]February - 2023'!BF33</f>
        <v>0</v>
      </c>
      <c r="AW34" s="229">
        <f>'[1]February - 2023'!BG33</f>
        <v>0</v>
      </c>
      <c r="AX34" s="230">
        <f>'[1]February - 2023'!BH33</f>
        <v>5651.519999999553</v>
      </c>
      <c r="AY34" s="461"/>
      <c r="AZ34" s="247">
        <f>'[1]February - 2023'!BM33</f>
        <v>0</v>
      </c>
      <c r="BA34" s="160">
        <f>'[1]February - 2023'!BN33</f>
        <v>0</v>
      </c>
      <c r="BB34" s="89">
        <f>'[1]February - 2023'!BO34</f>
        <v>2400</v>
      </c>
      <c r="BC34" s="247">
        <f>'[1]February - 2023'!BP33</f>
        <v>0</v>
      </c>
      <c r="BD34" s="223">
        <f>'[1]February - 2023'!BQ33</f>
        <v>0</v>
      </c>
      <c r="BE34" s="89">
        <f>'[1]February - 2023'!BR33</f>
        <v>0</v>
      </c>
      <c r="BF34" s="247">
        <f>'[1]February - 2023'!BS33</f>
        <v>0</v>
      </c>
      <c r="BG34" s="223">
        <f>'[1]February - 2023'!BT33</f>
        <v>0</v>
      </c>
      <c r="BH34" s="89">
        <f>'[1]February - 2023'!BU33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48">
        <f>'[1]February - 2023'!BV33</f>
        <v>0</v>
      </c>
      <c r="BT34" s="165">
        <f>'[1]February - 2023'!BW33</f>
        <v>0</v>
      </c>
      <c r="BU34" s="557"/>
      <c r="BV34" s="84">
        <f>'[1]February - 2023'!BY33</f>
        <v>0</v>
      </c>
      <c r="BW34" s="219">
        <f>'[1]February - 2023'!BZ33</f>
        <v>0</v>
      </c>
      <c r="BX34" s="84">
        <f>'[1]February - 2023'!CA33</f>
        <v>-0.14000000000000001</v>
      </c>
      <c r="BY34" s="85">
        <f>'[1]February - 2023'!CB33</f>
        <v>0</v>
      </c>
      <c r="BZ34" s="171">
        <f>'[1]February - 2023'!CC33</f>
        <v>0</v>
      </c>
      <c r="CA34" s="85">
        <f>'[1]February - 2023'!CD33</f>
        <v>0</v>
      </c>
      <c r="CB34" s="171">
        <f>'[1]February - 2023'!CE33</f>
        <v>0</v>
      </c>
      <c r="CC34" s="85">
        <f>'[1]February - 2023'!CF33</f>
        <v>0</v>
      </c>
      <c r="CD34" s="171">
        <f>'[1]February - 2023'!CG33</f>
        <v>0</v>
      </c>
      <c r="CE34" s="85">
        <f>'[1]February - 2023'!CH33</f>
        <v>0</v>
      </c>
      <c r="CF34" s="171">
        <f>'[1]February - 2023'!CI33</f>
        <v>0</v>
      </c>
      <c r="CG34" s="85">
        <f>'[1]February - 2023'!CJ33</f>
        <v>0</v>
      </c>
      <c r="CH34" s="171">
        <f>'[1]February - 2023'!CK33</f>
        <v>0</v>
      </c>
      <c r="CI34" s="85">
        <f>'[1]February - 2023'!CL33</f>
        <v>0</v>
      </c>
      <c r="CJ34" s="171">
        <f>'[1]February - 2023'!CM33</f>
        <v>0</v>
      </c>
      <c r="CK34" s="85">
        <f>'[1]February - 2023'!CN33</f>
        <v>0</v>
      </c>
      <c r="CL34" s="224">
        <f>'[1]February - 2023'!CO33</f>
        <v>0</v>
      </c>
      <c r="CM34" s="85">
        <f>'[1]February - 2023'!CP33</f>
        <v>101</v>
      </c>
      <c r="CN34" s="85">
        <f>'[1]February - 2023'!CQ33</f>
        <v>0</v>
      </c>
      <c r="CO34" s="224">
        <f>'[1]February - 2023'!CR33</f>
        <v>0</v>
      </c>
      <c r="CP34" s="85">
        <f>'[1]February - 2023'!CV33</f>
        <v>208</v>
      </c>
      <c r="CQ34" s="85">
        <f>'[1]February - 2023'!CT33</f>
        <v>0</v>
      </c>
      <c r="CR34" s="224">
        <f>'[1]February - 2023'!CU33</f>
        <v>0</v>
      </c>
      <c r="CS34" s="85">
        <f>'[1]February - 2023'!CV33</f>
        <v>208</v>
      </c>
      <c r="CT34" s="85">
        <f>'[1]February - 2023'!CW33</f>
        <v>0</v>
      </c>
      <c r="CU34" s="171">
        <f>'[1]February - 2023'!CX33</f>
        <v>0</v>
      </c>
      <c r="CV34" s="485"/>
      <c r="CW34" s="259">
        <f>'[1]February - 2023'!CZ33</f>
        <v>0</v>
      </c>
      <c r="CX34" s="262">
        <f>'[1]February - 2023'!DA33</f>
        <v>0</v>
      </c>
      <c r="CY34" s="260">
        <f>'[1]February - 2023'!DB33</f>
        <v>0</v>
      </c>
      <c r="CZ34" s="262">
        <f>'[1]February - 2023'!DC33</f>
        <v>0</v>
      </c>
      <c r="DA34" s="260">
        <f>'[1]February - 2023'!DD33</f>
        <v>0</v>
      </c>
      <c r="DB34" s="262">
        <f>'[1]February - 2023'!DE33</f>
        <v>0</v>
      </c>
      <c r="DC34" s="260">
        <f>'[1]February - 2023'!DF33</f>
        <v>0</v>
      </c>
      <c r="DD34" s="262">
        <f>'[1]February - 2023'!DG33</f>
        <v>0</v>
      </c>
      <c r="DE34" s="260">
        <f>'[1]February - 2023'!DH33</f>
        <v>0</v>
      </c>
      <c r="DF34" s="262">
        <f>'[1]February - 2023'!DI33</f>
        <v>0</v>
      </c>
      <c r="DG34" s="260">
        <f>'[1]February - 2023'!DJ33</f>
        <v>0</v>
      </c>
      <c r="DH34" s="262">
        <f>'[1]February - 2023'!DK33</f>
        <v>0</v>
      </c>
      <c r="DI34" s="260">
        <f>'[1]February - 2023'!DL33</f>
        <v>0</v>
      </c>
      <c r="DJ34" s="262">
        <f>'[1]February - 2023'!DM33</f>
        <v>0</v>
      </c>
      <c r="DK34" s="260">
        <f>'[1]February - 2023'!DN33</f>
        <v>0</v>
      </c>
      <c r="DL34" s="262">
        <f>'[1]February - 2023'!DO33</f>
        <v>0</v>
      </c>
      <c r="DM34" s="260">
        <f>'[1]February - 2023'!DP33</f>
        <v>0</v>
      </c>
      <c r="DN34" s="262">
        <f>'[1]February - 2023'!DQ33</f>
        <v>0</v>
      </c>
      <c r="DO34" s="260">
        <f>'[1]February - 2023'!DR33</f>
        <v>0</v>
      </c>
      <c r="DP34" s="262">
        <f>'[1]February - 2023'!DS33</f>
        <v>0</v>
      </c>
      <c r="DQ34" s="260">
        <f>'[1]February - 2023'!DT33</f>
        <v>0</v>
      </c>
      <c r="DR34" s="263">
        <f>'[1]February - 2023'!DU33</f>
        <v>0</v>
      </c>
      <c r="DS34" s="501"/>
      <c r="DT34" s="189">
        <f>'[1]February - 2023'!DW33</f>
        <v>0</v>
      </c>
      <c r="DU34" s="200">
        <f>'[1]February - 2023'!DX33</f>
        <v>0</v>
      </c>
      <c r="DV34" s="87">
        <f>'[1]February - 2023'!DY33</f>
        <v>0</v>
      </c>
      <c r="DW34" s="194">
        <f>'[1]February - 2023'!DZ33</f>
        <v>0</v>
      </c>
      <c r="DX34" s="87">
        <f>'[1]February - 2023'!EA33</f>
        <v>0</v>
      </c>
      <c r="DY34" s="194">
        <f>'[1]February - 2023'!EB33</f>
        <v>0</v>
      </c>
      <c r="DZ34" s="87">
        <f>'[1]February - 2023'!EC33</f>
        <v>0</v>
      </c>
      <c r="EA34" s="194">
        <f>'[1]February - 2023'!ED33</f>
        <v>0</v>
      </c>
      <c r="EB34" s="87">
        <f>'[1]February - 2023'!EE33</f>
        <v>0</v>
      </c>
      <c r="EC34" s="194">
        <f>'[1]February - 2023'!EF33</f>
        <v>0</v>
      </c>
      <c r="ED34" s="87">
        <f>'[1]February - 2023'!EI33</f>
        <v>0</v>
      </c>
      <c r="EE34" s="207">
        <f>'[1]February - 2023'!EJ33</f>
        <v>0</v>
      </c>
      <c r="EF34" s="548"/>
      <c r="EG34" s="213">
        <f>'[1]February - 2023'!EL33</f>
        <v>0</v>
      </c>
      <c r="EH34" s="208">
        <f>'[1]February - 2023'!EM33</f>
        <v>0</v>
      </c>
      <c r="EI34" s="86">
        <f>'[1]February - 2023'!EN33</f>
        <v>0</v>
      </c>
      <c r="EJ34" s="208">
        <f>'[1]February - 2023'!EO33</f>
        <v>0</v>
      </c>
      <c r="EK34" s="86">
        <f>'[1]February - 2023'!EP33</f>
        <v>0</v>
      </c>
      <c r="EL34" s="208">
        <f>'[1]February - 2023'!EQ33</f>
        <v>0</v>
      </c>
      <c r="EM34" s="86">
        <f>'[1]February - 2023'!ER33</f>
        <v>0</v>
      </c>
      <c r="EN34" s="208">
        <f>'[1]February - 2023'!ES33</f>
        <v>0</v>
      </c>
      <c r="EO34" s="86">
        <f>'[1]February - 2023'!ET33</f>
        <v>0</v>
      </c>
      <c r="EP34" s="208">
        <f>'[1]February - 2023'!EU33</f>
        <v>0</v>
      </c>
      <c r="EQ34" s="86">
        <f>'[1]February - 2023'!EV33</f>
        <v>0</v>
      </c>
      <c r="ER34" s="208">
        <f>'[1]February - 2023'!EW33</f>
        <v>0</v>
      </c>
      <c r="ES34" s="523"/>
      <c r="ET34" s="253">
        <f>'[1]February - 2023'!EY33</f>
        <v>0</v>
      </c>
      <c r="EU34" s="266">
        <f>'[1]February - 2023'!EZ33</f>
        <v>0</v>
      </c>
      <c r="EV34" s="254">
        <f>'[1]February - 2023'!FA33</f>
        <v>0</v>
      </c>
      <c r="EW34" s="266">
        <f>'[1]February - 2023'!FB33</f>
        <v>0</v>
      </c>
      <c r="EX34" s="254">
        <f>'[1]February - 2023'!FC33</f>
        <v>0</v>
      </c>
      <c r="EY34" s="266">
        <f>'[1]February - 2023'!FD33</f>
        <v>0</v>
      </c>
      <c r="EZ34" s="254">
        <f>'[1]February - 2023'!FE33</f>
        <v>0</v>
      </c>
      <c r="FA34" s="266">
        <f>'[1]February - 2023'!FF33</f>
        <v>0</v>
      </c>
      <c r="FB34" s="254">
        <f>'[1]February - 2023'!FG33</f>
        <v>0</v>
      </c>
      <c r="FC34" s="264">
        <f>'[1]February - 2023'!FH33</f>
        <v>0</v>
      </c>
    </row>
    <row r="35" spans="1:160" ht="30" customHeight="1" x14ac:dyDescent="0.25">
      <c r="A35" s="186">
        <v>44983</v>
      </c>
      <c r="B35" s="188">
        <f>'[1]February - 2023'!B34</f>
        <v>0</v>
      </c>
      <c r="C35" s="228">
        <f>'[1]February - 2023'!E34</f>
        <v>0</v>
      </c>
      <c r="D35" s="151">
        <f>'[1]February - 2023'!F35</f>
        <v>0</v>
      </c>
      <c r="E35" s="150">
        <f>'[1]February - 2023'!G34</f>
        <v>730</v>
      </c>
      <c r="F35" s="150">
        <f>'[1]February - 2023'!H34</f>
        <v>0</v>
      </c>
      <c r="G35" s="151">
        <f>'[1]February - 2023'!I35</f>
        <v>0</v>
      </c>
      <c r="H35" s="150">
        <f>'[1]February - 2023'!J34</f>
        <v>125511</v>
      </c>
      <c r="I35" s="239">
        <f>'[1]February - 2023'!K34</f>
        <v>0</v>
      </c>
      <c r="J35" s="151">
        <f>'[1]February - 2023'!L34</f>
        <v>0</v>
      </c>
      <c r="K35" s="239">
        <f>'[1]February - 2023'!N34</f>
        <v>0</v>
      </c>
      <c r="L35" s="151">
        <f>'[1]February - 2023'!O34</f>
        <v>0</v>
      </c>
      <c r="M35" s="239">
        <f>'[1]February - 2023'!Q34</f>
        <v>0</v>
      </c>
      <c r="N35" s="151">
        <f>'[1]February - 2023'!R34</f>
        <v>0</v>
      </c>
      <c r="O35" s="239">
        <f>'[1]February - 2023'!U34</f>
        <v>0</v>
      </c>
      <c r="P35" s="151">
        <f>'[1]February - 2023'!V34</f>
        <v>0</v>
      </c>
      <c r="Q35" s="150">
        <f>'[1]February - 2023'!W34</f>
        <v>182</v>
      </c>
      <c r="R35" s="239">
        <f>'[1]February - 2023'!X34</f>
        <v>0</v>
      </c>
      <c r="S35" s="187">
        <f>'[1]February - 2023'!Y34</f>
        <v>0</v>
      </c>
      <c r="T35" s="444"/>
      <c r="U35" s="244">
        <f>'[1]February - 2023'!AE34</f>
        <v>0</v>
      </c>
      <c r="V35" s="265">
        <f>'[1]February - 2023'!AF34</f>
        <v>0</v>
      </c>
      <c r="W35" s="88">
        <f>'[1]February - 2023'!AG34</f>
        <v>2094.9599999999627</v>
      </c>
      <c r="X35" s="261">
        <f>'[1]February - 2023'!AH34</f>
        <v>0</v>
      </c>
      <c r="Y35" s="265">
        <f>'[1]February - 2023'!AI34</f>
        <v>0</v>
      </c>
      <c r="Z35" s="88">
        <f>'[1]February - 2023'!AJ34</f>
        <v>4920.7200000006706</v>
      </c>
      <c r="AA35" s="261">
        <f>'[1]February - 2023'!AK34</f>
        <v>0</v>
      </c>
      <c r="AB35" s="265">
        <f>'[1]February - 2023'!AL34</f>
        <v>0</v>
      </c>
      <c r="AC35" s="88">
        <f>'[1]February - 2023'!AM34</f>
        <v>1218</v>
      </c>
      <c r="AD35" s="261">
        <f>'[1]February - 2023'!AN34</f>
        <v>0</v>
      </c>
      <c r="AE35" s="265">
        <f>'[1]February - 2023'!AO34</f>
        <v>0</v>
      </c>
      <c r="AF35" s="88">
        <f>'[1]February - 2023'!AP34</f>
        <v>9208.0800000019372</v>
      </c>
      <c r="AG35" s="261">
        <f>'[1]February - 2023'!AQ34</f>
        <v>0</v>
      </c>
      <c r="AH35" s="265">
        <f>'[1]February - 2023'!AR34</f>
        <v>0</v>
      </c>
      <c r="AI35" s="88">
        <f>'[1]February - 2023'!AS34</f>
        <v>584.64000000059605</v>
      </c>
      <c r="AJ35" s="261">
        <f>'[1]February - 2023'!AT34</f>
        <v>0</v>
      </c>
      <c r="AK35" s="265">
        <f>'[1]February - 2023'!AU34</f>
        <v>0</v>
      </c>
      <c r="AL35" s="88">
        <f>'[1]February - 2023'!AV34</f>
        <v>6041.2799999974668</v>
      </c>
      <c r="AM35" s="261">
        <f>'[1]February - 2023'!AW34</f>
        <v>0</v>
      </c>
      <c r="AN35" s="265">
        <f>'[1]February - 2023'!AX34</f>
        <v>0</v>
      </c>
      <c r="AO35" s="88">
        <f>'[1]February - 2023'!AY34</f>
        <v>4433.5200000014156</v>
      </c>
      <c r="AP35" s="261">
        <f>'[1]February - 2023'!AZ34</f>
        <v>0</v>
      </c>
      <c r="AQ35" s="265">
        <f>'[1]February - 2023'!BA34</f>
        <v>0</v>
      </c>
      <c r="AR35" s="88">
        <f>'[1]February - 2023'!BB34</f>
        <v>4579.6800000015646</v>
      </c>
      <c r="AS35" s="261">
        <f>'[1]February - 2023'!BC34</f>
        <v>0</v>
      </c>
      <c r="AT35" s="265">
        <f>'[1]February - 2023'!BD34</f>
        <v>0</v>
      </c>
      <c r="AU35" s="88">
        <f>'[1]February - 2023'!BE34</f>
        <v>3166.8000000007451</v>
      </c>
      <c r="AV35" s="261">
        <f>'[1]February - 2023'!BF34</f>
        <v>0</v>
      </c>
      <c r="AW35" s="229">
        <f>'[1]February - 2023'!BG34</f>
        <v>0</v>
      </c>
      <c r="AX35" s="230">
        <f>'[1]February - 2023'!BH34</f>
        <v>5943.8399999979883</v>
      </c>
      <c r="AY35" s="461"/>
      <c r="AZ35" s="247">
        <f>'[1]February - 2023'!BM34</f>
        <v>0</v>
      </c>
      <c r="BA35" s="160">
        <f>'[1]February - 2023'!BN34</f>
        <v>0</v>
      </c>
      <c r="BB35" s="89">
        <f>'[1]February - 2023'!BO35</f>
        <v>0</v>
      </c>
      <c r="BC35" s="247">
        <f>'[1]February - 2023'!BP34</f>
        <v>0</v>
      </c>
      <c r="BD35" s="223">
        <f>'[1]February - 2023'!BQ34</f>
        <v>0</v>
      </c>
      <c r="BE35" s="89">
        <f>'[1]February - 2023'!BR34</f>
        <v>46000</v>
      </c>
      <c r="BF35" s="247">
        <f>'[1]February - 2023'!BS34</f>
        <v>0</v>
      </c>
      <c r="BG35" s="223">
        <f>'[1]February - 2023'!BT34</f>
        <v>0</v>
      </c>
      <c r="BH35" s="89">
        <f>'[1]February - 2023'!BU34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48">
        <f>'[1]February - 2023'!BV34</f>
        <v>0</v>
      </c>
      <c r="BT35" s="165">
        <f>'[1]February - 2023'!BW34</f>
        <v>0</v>
      </c>
      <c r="BU35" s="557"/>
      <c r="BV35" s="84">
        <f>'[1]February - 2023'!BY34</f>
        <v>0</v>
      </c>
      <c r="BW35" s="219">
        <f>'[1]February - 2023'!BZ34</f>
        <v>0</v>
      </c>
      <c r="BX35" s="84">
        <f>'[1]February - 2023'!CA34</f>
        <v>8.0000000000000071E-2</v>
      </c>
      <c r="BY35" s="85">
        <f>'[1]February - 2023'!CB34</f>
        <v>0</v>
      </c>
      <c r="BZ35" s="171">
        <f>'[1]February - 2023'!CC34</f>
        <v>0</v>
      </c>
      <c r="CA35" s="85">
        <f>'[1]February - 2023'!CD34</f>
        <v>0</v>
      </c>
      <c r="CB35" s="171">
        <f>'[1]February - 2023'!CE34</f>
        <v>0</v>
      </c>
      <c r="CC35" s="85">
        <f>'[1]February - 2023'!CF34</f>
        <v>0</v>
      </c>
      <c r="CD35" s="171">
        <f>'[1]February - 2023'!CG34</f>
        <v>0</v>
      </c>
      <c r="CE35" s="85">
        <f>'[1]February - 2023'!CH34</f>
        <v>0</v>
      </c>
      <c r="CF35" s="171">
        <f>'[1]February - 2023'!CI34</f>
        <v>0</v>
      </c>
      <c r="CG35" s="85">
        <f>'[1]February - 2023'!CJ34</f>
        <v>0</v>
      </c>
      <c r="CH35" s="171">
        <f>'[1]February - 2023'!CK34</f>
        <v>0</v>
      </c>
      <c r="CI35" s="85">
        <f>'[1]February - 2023'!CL34</f>
        <v>0</v>
      </c>
      <c r="CJ35" s="171">
        <f>'[1]February - 2023'!CM34</f>
        <v>0</v>
      </c>
      <c r="CK35" s="85">
        <f>'[1]February - 2023'!CN34</f>
        <v>0</v>
      </c>
      <c r="CL35" s="224">
        <f>'[1]February - 2023'!CO34</f>
        <v>0</v>
      </c>
      <c r="CM35" s="85">
        <f>'[1]February - 2023'!CP34</f>
        <v>101</v>
      </c>
      <c r="CN35" s="85">
        <f>'[1]February - 2023'!CQ34</f>
        <v>0</v>
      </c>
      <c r="CO35" s="224">
        <f>'[1]February - 2023'!CR34</f>
        <v>0</v>
      </c>
      <c r="CP35" s="85">
        <f>'[1]February - 2023'!CV34</f>
        <v>199</v>
      </c>
      <c r="CQ35" s="85">
        <f>'[1]February - 2023'!CT34</f>
        <v>0</v>
      </c>
      <c r="CR35" s="224">
        <f>'[1]February - 2023'!CU34</f>
        <v>0</v>
      </c>
      <c r="CS35" s="85">
        <f>'[1]February - 2023'!CV34</f>
        <v>199</v>
      </c>
      <c r="CT35" s="85">
        <f>'[1]February - 2023'!CW34</f>
        <v>0</v>
      </c>
      <c r="CU35" s="171">
        <f>'[1]February - 2023'!CX34</f>
        <v>0</v>
      </c>
      <c r="CV35" s="485"/>
      <c r="CW35" s="259">
        <f>'[1]February - 2023'!CZ34</f>
        <v>0</v>
      </c>
      <c r="CX35" s="262">
        <f>'[1]February - 2023'!DA34</f>
        <v>0</v>
      </c>
      <c r="CY35" s="260">
        <f>'[1]February - 2023'!DB34</f>
        <v>0</v>
      </c>
      <c r="CZ35" s="262">
        <f>'[1]February - 2023'!DC34</f>
        <v>0</v>
      </c>
      <c r="DA35" s="260">
        <f>'[1]February - 2023'!DD34</f>
        <v>0</v>
      </c>
      <c r="DB35" s="262">
        <f>'[1]February - 2023'!DE34</f>
        <v>0</v>
      </c>
      <c r="DC35" s="260">
        <f>'[1]February - 2023'!DF34</f>
        <v>0</v>
      </c>
      <c r="DD35" s="262">
        <f>'[1]February - 2023'!DG34</f>
        <v>0</v>
      </c>
      <c r="DE35" s="260">
        <f>'[1]February - 2023'!DH34</f>
        <v>0</v>
      </c>
      <c r="DF35" s="262">
        <f>'[1]February - 2023'!DI34</f>
        <v>0</v>
      </c>
      <c r="DG35" s="260">
        <f>'[1]February - 2023'!DJ34</f>
        <v>0</v>
      </c>
      <c r="DH35" s="262">
        <f>'[1]February - 2023'!DK34</f>
        <v>0</v>
      </c>
      <c r="DI35" s="260">
        <f>'[1]February - 2023'!DL34</f>
        <v>0</v>
      </c>
      <c r="DJ35" s="262">
        <f>'[1]February - 2023'!DM34</f>
        <v>0</v>
      </c>
      <c r="DK35" s="260">
        <f>'[1]February - 2023'!DN34</f>
        <v>0</v>
      </c>
      <c r="DL35" s="262">
        <f>'[1]February - 2023'!DO34</f>
        <v>0</v>
      </c>
      <c r="DM35" s="260">
        <f>'[1]February - 2023'!DP34</f>
        <v>0</v>
      </c>
      <c r="DN35" s="262">
        <f>'[1]February - 2023'!DQ34</f>
        <v>0</v>
      </c>
      <c r="DO35" s="260">
        <f>'[1]February - 2023'!DR34</f>
        <v>0</v>
      </c>
      <c r="DP35" s="262">
        <f>'[1]February - 2023'!DS34</f>
        <v>0</v>
      </c>
      <c r="DQ35" s="260">
        <f>'[1]February - 2023'!DT34</f>
        <v>0</v>
      </c>
      <c r="DR35" s="263">
        <f>'[1]February - 2023'!DU34</f>
        <v>0</v>
      </c>
      <c r="DS35" s="501"/>
      <c r="DT35" s="189">
        <f>'[1]February - 2023'!DW34</f>
        <v>0</v>
      </c>
      <c r="DU35" s="200">
        <f>'[1]February - 2023'!DX34</f>
        <v>0</v>
      </c>
      <c r="DV35" s="87">
        <f>'[1]February - 2023'!DY34</f>
        <v>0</v>
      </c>
      <c r="DW35" s="194">
        <f>'[1]February - 2023'!DZ34</f>
        <v>0</v>
      </c>
      <c r="DX35" s="87">
        <f>'[1]February - 2023'!EA34</f>
        <v>0</v>
      </c>
      <c r="DY35" s="194">
        <f>'[1]February - 2023'!EB34</f>
        <v>0</v>
      </c>
      <c r="DZ35" s="87">
        <f>'[1]February - 2023'!EC34</f>
        <v>0</v>
      </c>
      <c r="EA35" s="194">
        <f>'[1]February - 2023'!ED34</f>
        <v>0</v>
      </c>
      <c r="EB35" s="87">
        <f>'[1]February - 2023'!EE34</f>
        <v>0</v>
      </c>
      <c r="EC35" s="194">
        <f>'[1]February - 2023'!EF34</f>
        <v>0</v>
      </c>
      <c r="ED35" s="87">
        <f>'[1]February - 2023'!EI34</f>
        <v>0</v>
      </c>
      <c r="EE35" s="207">
        <f>'[1]February - 2023'!EJ34</f>
        <v>0</v>
      </c>
      <c r="EF35" s="548"/>
      <c r="EG35" s="213">
        <f>'[1]February - 2023'!EL34</f>
        <v>0</v>
      </c>
      <c r="EH35" s="208">
        <f>'[1]February - 2023'!EM34</f>
        <v>0</v>
      </c>
      <c r="EI35" s="86">
        <f>'[1]February - 2023'!EN34</f>
        <v>0</v>
      </c>
      <c r="EJ35" s="208">
        <f>'[1]February - 2023'!EO34</f>
        <v>0</v>
      </c>
      <c r="EK35" s="86">
        <f>'[1]February - 2023'!EP34</f>
        <v>0</v>
      </c>
      <c r="EL35" s="208">
        <f>'[1]February - 2023'!EQ34</f>
        <v>0</v>
      </c>
      <c r="EM35" s="86">
        <f>'[1]February - 2023'!ER34</f>
        <v>0</v>
      </c>
      <c r="EN35" s="208">
        <f>'[1]February - 2023'!ES34</f>
        <v>0</v>
      </c>
      <c r="EO35" s="86">
        <f>'[1]February - 2023'!ET34</f>
        <v>0</v>
      </c>
      <c r="EP35" s="208">
        <f>'[1]February - 2023'!EU34</f>
        <v>0</v>
      </c>
      <c r="EQ35" s="86">
        <f>'[1]February - 2023'!EV34</f>
        <v>0</v>
      </c>
      <c r="ER35" s="208">
        <f>'[1]February - 2023'!EW34</f>
        <v>0</v>
      </c>
      <c r="ES35" s="523"/>
      <c r="ET35" s="253">
        <f>'[1]February - 2023'!EY34</f>
        <v>0</v>
      </c>
      <c r="EU35" s="266">
        <f>'[1]February - 2023'!EZ34</f>
        <v>0</v>
      </c>
      <c r="EV35" s="254">
        <f>'[1]February - 2023'!FA34</f>
        <v>0</v>
      </c>
      <c r="EW35" s="266">
        <f>'[1]February - 2023'!FB34</f>
        <v>0</v>
      </c>
      <c r="EX35" s="254">
        <f>'[1]February - 2023'!FC34</f>
        <v>0</v>
      </c>
      <c r="EY35" s="266">
        <f>'[1]February - 2023'!FD34</f>
        <v>0</v>
      </c>
      <c r="EZ35" s="254">
        <f>'[1]February - 2023'!FE34</f>
        <v>0</v>
      </c>
      <c r="FA35" s="266">
        <f>'[1]February - 2023'!FF34</f>
        <v>0</v>
      </c>
      <c r="FB35" s="254">
        <f>'[1]February - 2023'!FG34</f>
        <v>0</v>
      </c>
      <c r="FC35" s="264">
        <f>'[1]February - 2023'!FH34</f>
        <v>0</v>
      </c>
    </row>
    <row r="36" spans="1:160" ht="30" customHeight="1" x14ac:dyDescent="0.25">
      <c r="A36" s="186">
        <v>44984</v>
      </c>
      <c r="B36" s="188">
        <f>'[1]February - 2023'!B35</f>
        <v>0</v>
      </c>
      <c r="C36" s="228">
        <f>'[1]February - 2023'!E35</f>
        <v>0</v>
      </c>
      <c r="D36" s="151">
        <f>'[1]February - 2023'!F36</f>
        <v>0</v>
      </c>
      <c r="E36" s="150">
        <f>'[1]February - 2023'!G35</f>
        <v>616</v>
      </c>
      <c r="F36" s="150">
        <f>'[1]February - 2023'!H35</f>
        <v>0</v>
      </c>
      <c r="G36" s="151">
        <f>'[1]February - 2023'!I36</f>
        <v>0</v>
      </c>
      <c r="H36" s="150">
        <f>'[1]February - 2023'!J35</f>
        <v>125951</v>
      </c>
      <c r="I36" s="239">
        <f>'[1]February - 2023'!K35</f>
        <v>0</v>
      </c>
      <c r="J36" s="151">
        <f>'[1]February - 2023'!L35</f>
        <v>0</v>
      </c>
      <c r="K36" s="239">
        <f>'[1]February - 2023'!N35</f>
        <v>0</v>
      </c>
      <c r="L36" s="151">
        <f>'[1]February - 2023'!O35</f>
        <v>0</v>
      </c>
      <c r="M36" s="239">
        <f>'[1]February - 2023'!Q35</f>
        <v>0</v>
      </c>
      <c r="N36" s="151">
        <f>'[1]February - 2023'!R35</f>
        <v>0</v>
      </c>
      <c r="O36" s="239">
        <f>'[1]February - 2023'!U35</f>
        <v>0</v>
      </c>
      <c r="P36" s="151">
        <f>'[1]February - 2023'!V35</f>
        <v>0</v>
      </c>
      <c r="Q36" s="150">
        <f>'[1]February - 2023'!W35</f>
        <v>-53.699999999953434</v>
      </c>
      <c r="R36" s="239">
        <f>'[1]February - 2023'!X35</f>
        <v>0</v>
      </c>
      <c r="S36" s="187">
        <f>'[1]February - 2023'!Y35</f>
        <v>0</v>
      </c>
      <c r="T36" s="444"/>
      <c r="U36" s="244">
        <f>'[1]February - 2023'!AE35</f>
        <v>0</v>
      </c>
      <c r="V36" s="265">
        <f>'[1]February - 2023'!AF35</f>
        <v>0</v>
      </c>
      <c r="W36" s="88">
        <f>'[1]February - 2023'!AG35</f>
        <v>1851.359999999404</v>
      </c>
      <c r="X36" s="261">
        <f>'[1]February - 2023'!AH35</f>
        <v>0</v>
      </c>
      <c r="Y36" s="265">
        <f>'[1]February - 2023'!AI35</f>
        <v>0</v>
      </c>
      <c r="Z36" s="88">
        <f>'[1]February - 2023'!AJ35</f>
        <v>4677.1199999991804</v>
      </c>
      <c r="AA36" s="261">
        <f>'[1]February - 2023'!AK35</f>
        <v>0</v>
      </c>
      <c r="AB36" s="265">
        <f>'[1]February - 2023'!AL35</f>
        <v>0</v>
      </c>
      <c r="AC36" s="88">
        <f>'[1]February - 2023'!AM35</f>
        <v>828.24000000022352</v>
      </c>
      <c r="AD36" s="261">
        <f>'[1]February - 2023'!AN35</f>
        <v>0</v>
      </c>
      <c r="AE36" s="265">
        <f>'[1]February - 2023'!AO35</f>
        <v>0</v>
      </c>
      <c r="AF36" s="88">
        <f>'[1]February - 2023'!AP35</f>
        <v>10279.919999998063</v>
      </c>
      <c r="AG36" s="261">
        <f>'[1]February - 2023'!AQ35</f>
        <v>0</v>
      </c>
      <c r="AH36" s="265">
        <f>'[1]February - 2023'!AR35</f>
        <v>0</v>
      </c>
      <c r="AI36" s="88">
        <f>'[1]February - 2023'!AS35</f>
        <v>730.80000000074506</v>
      </c>
      <c r="AJ36" s="261">
        <f>'[1]February - 2023'!AT35</f>
        <v>0</v>
      </c>
      <c r="AK36" s="265">
        <f>'[1]February - 2023'!AU35</f>
        <v>0</v>
      </c>
      <c r="AL36" s="88">
        <f>'[1]February - 2023'!AV35</f>
        <v>5846.4000000003725</v>
      </c>
      <c r="AM36" s="261">
        <f>'[1]February - 2023'!AW35</f>
        <v>0</v>
      </c>
      <c r="AN36" s="265">
        <f>'[1]February - 2023'!AX35</f>
        <v>0</v>
      </c>
      <c r="AO36" s="88">
        <f>'[1]February - 2023'!AY35</f>
        <v>4336.0800000000745</v>
      </c>
      <c r="AP36" s="261">
        <f>'[1]February - 2023'!AZ35</f>
        <v>0</v>
      </c>
      <c r="AQ36" s="265">
        <f>'[1]February - 2023'!BA35</f>
        <v>0</v>
      </c>
      <c r="AR36" s="88">
        <f>'[1]February - 2023'!BB35</f>
        <v>4287.359999999404</v>
      </c>
      <c r="AS36" s="261">
        <f>'[1]February - 2023'!BC35</f>
        <v>0</v>
      </c>
      <c r="AT36" s="265">
        <f>'[1]February - 2023'!BD35</f>
        <v>0</v>
      </c>
      <c r="AU36" s="88">
        <f>'[1]February - 2023'!BE35</f>
        <v>3069.359999999404</v>
      </c>
      <c r="AV36" s="261">
        <f>'[1]February - 2023'!BF35</f>
        <v>0</v>
      </c>
      <c r="AW36" s="229">
        <f>'[1]February - 2023'!BG35</f>
        <v>0</v>
      </c>
      <c r="AX36" s="230">
        <f>'[1]February - 2023'!BH35</f>
        <v>5943.8400000017136</v>
      </c>
      <c r="AY36" s="461"/>
      <c r="AZ36" s="247">
        <f>'[1]February - 2023'!BM35</f>
        <v>0</v>
      </c>
      <c r="BA36" s="160">
        <f>'[1]February - 2023'!BN35</f>
        <v>0</v>
      </c>
      <c r="BB36" s="89">
        <f>'[1]February - 2023'!BO36</f>
        <v>16700</v>
      </c>
      <c r="BC36" s="247">
        <f>'[1]February - 2023'!BP35</f>
        <v>0</v>
      </c>
      <c r="BD36" s="223">
        <f>'[1]February - 2023'!BQ35</f>
        <v>0</v>
      </c>
      <c r="BE36" s="89">
        <f>'[1]February - 2023'!BR35</f>
        <v>54000</v>
      </c>
      <c r="BF36" s="247">
        <f>'[1]February - 2023'!BS35</f>
        <v>0</v>
      </c>
      <c r="BG36" s="223">
        <f>'[1]February - 2023'!BT35</f>
        <v>0</v>
      </c>
      <c r="BH36" s="89">
        <f>'[1]February - 2023'!BU35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48">
        <f>'[1]February - 2023'!BV35</f>
        <v>0</v>
      </c>
      <c r="BT36" s="165">
        <f>'[1]February - 2023'!BW35</f>
        <v>0</v>
      </c>
      <c r="BU36" s="557"/>
      <c r="BV36" s="84">
        <f>'[1]February - 2023'!BY35</f>
        <v>0</v>
      </c>
      <c r="BW36" s="219">
        <f>'[1]February - 2023'!BZ35</f>
        <v>0</v>
      </c>
      <c r="BX36" s="84">
        <f>'[1]February - 2023'!CA35</f>
        <v>8.9999999999999969E-2</v>
      </c>
      <c r="BY36" s="85">
        <f>'[1]February - 2023'!CB35</f>
        <v>0</v>
      </c>
      <c r="BZ36" s="171">
        <f>'[1]February - 2023'!CC35</f>
        <v>0</v>
      </c>
      <c r="CA36" s="85">
        <f>'[1]February - 2023'!CD35</f>
        <v>0</v>
      </c>
      <c r="CB36" s="171">
        <f>'[1]February - 2023'!CE35</f>
        <v>0</v>
      </c>
      <c r="CC36" s="85">
        <f>'[1]February - 2023'!CF35</f>
        <v>0</v>
      </c>
      <c r="CD36" s="171">
        <f>'[1]February - 2023'!CG35</f>
        <v>0</v>
      </c>
      <c r="CE36" s="85">
        <f>'[1]February - 2023'!CH35</f>
        <v>0</v>
      </c>
      <c r="CF36" s="171">
        <f>'[1]February - 2023'!CI35</f>
        <v>0</v>
      </c>
      <c r="CG36" s="85">
        <f>'[1]February - 2023'!CJ35</f>
        <v>0</v>
      </c>
      <c r="CH36" s="171">
        <f>'[1]February - 2023'!CK35</f>
        <v>0</v>
      </c>
      <c r="CI36" s="85">
        <f>'[1]February - 2023'!CL35</f>
        <v>0</v>
      </c>
      <c r="CJ36" s="171">
        <f>'[1]February - 2023'!CM35</f>
        <v>0</v>
      </c>
      <c r="CK36" s="85">
        <f>'[1]February - 2023'!CN35</f>
        <v>0</v>
      </c>
      <c r="CL36" s="224">
        <f>'[1]February - 2023'!CO35</f>
        <v>0</v>
      </c>
      <c r="CM36" s="85">
        <f>'[1]February - 2023'!CP35</f>
        <v>98</v>
      </c>
      <c r="CN36" s="85">
        <f>'[1]February - 2023'!CQ35</f>
        <v>0</v>
      </c>
      <c r="CO36" s="224">
        <f>'[1]February - 2023'!CR35</f>
        <v>0</v>
      </c>
      <c r="CP36" s="85">
        <f>'[1]February - 2023'!CV35</f>
        <v>161</v>
      </c>
      <c r="CQ36" s="85">
        <f>'[1]February - 2023'!CT35</f>
        <v>0</v>
      </c>
      <c r="CR36" s="224">
        <f>'[1]February - 2023'!CU35</f>
        <v>0</v>
      </c>
      <c r="CS36" s="85">
        <f>'[1]February - 2023'!CV35</f>
        <v>161</v>
      </c>
      <c r="CT36" s="85">
        <f>'[1]February - 2023'!CW35</f>
        <v>0</v>
      </c>
      <c r="CU36" s="171">
        <f>'[1]February - 2023'!CX35</f>
        <v>0</v>
      </c>
      <c r="CV36" s="485"/>
      <c r="CW36" s="259">
        <f>'[1]February - 2023'!CZ35</f>
        <v>0</v>
      </c>
      <c r="CX36" s="262">
        <f>'[1]February - 2023'!DA35</f>
        <v>0</v>
      </c>
      <c r="CY36" s="260">
        <f>'[1]February - 2023'!DB35</f>
        <v>0</v>
      </c>
      <c r="CZ36" s="262">
        <f>'[1]February - 2023'!DC35</f>
        <v>0</v>
      </c>
      <c r="DA36" s="260">
        <f>'[1]February - 2023'!DD35</f>
        <v>0</v>
      </c>
      <c r="DB36" s="262">
        <f>'[1]February - 2023'!DE35</f>
        <v>0</v>
      </c>
      <c r="DC36" s="260">
        <f>'[1]February - 2023'!DF35</f>
        <v>0</v>
      </c>
      <c r="DD36" s="262">
        <f>'[1]February - 2023'!DG35</f>
        <v>0</v>
      </c>
      <c r="DE36" s="260">
        <f>'[1]February - 2023'!DH35</f>
        <v>0</v>
      </c>
      <c r="DF36" s="262">
        <f>'[1]February - 2023'!DI35</f>
        <v>0</v>
      </c>
      <c r="DG36" s="260">
        <f>'[1]February - 2023'!DJ35</f>
        <v>0</v>
      </c>
      <c r="DH36" s="262">
        <f>'[1]February - 2023'!DK35</f>
        <v>0</v>
      </c>
      <c r="DI36" s="260">
        <f>'[1]February - 2023'!DL35</f>
        <v>0</v>
      </c>
      <c r="DJ36" s="262">
        <f>'[1]February - 2023'!DM35</f>
        <v>0</v>
      </c>
      <c r="DK36" s="260">
        <f>'[1]February - 2023'!DN35</f>
        <v>0</v>
      </c>
      <c r="DL36" s="262">
        <f>'[1]February - 2023'!DO35</f>
        <v>0</v>
      </c>
      <c r="DM36" s="260">
        <f>'[1]February - 2023'!DP35</f>
        <v>0</v>
      </c>
      <c r="DN36" s="262">
        <f>'[1]February - 2023'!DQ35</f>
        <v>0</v>
      </c>
      <c r="DO36" s="260">
        <f>'[1]February - 2023'!DR35</f>
        <v>0</v>
      </c>
      <c r="DP36" s="262">
        <f>'[1]February - 2023'!DS35</f>
        <v>0</v>
      </c>
      <c r="DQ36" s="260">
        <f>'[1]February - 2023'!DT35</f>
        <v>0</v>
      </c>
      <c r="DR36" s="263">
        <f>'[1]February - 2023'!DU35</f>
        <v>0</v>
      </c>
      <c r="DS36" s="501"/>
      <c r="DT36" s="189">
        <f>'[1]February - 2023'!DW35</f>
        <v>0</v>
      </c>
      <c r="DU36" s="200">
        <f>'[1]February - 2023'!DX35</f>
        <v>0</v>
      </c>
      <c r="DV36" s="87">
        <f>'[1]February - 2023'!DY35</f>
        <v>0</v>
      </c>
      <c r="DW36" s="194">
        <f>'[1]February - 2023'!DZ35</f>
        <v>0</v>
      </c>
      <c r="DX36" s="87">
        <f>'[1]February - 2023'!EA35</f>
        <v>0</v>
      </c>
      <c r="DY36" s="194">
        <f>'[1]February - 2023'!EB35</f>
        <v>0</v>
      </c>
      <c r="DZ36" s="87">
        <f>'[1]February - 2023'!EC35</f>
        <v>0</v>
      </c>
      <c r="EA36" s="194">
        <f>'[1]February - 2023'!ED35</f>
        <v>0</v>
      </c>
      <c r="EB36" s="87">
        <f>'[1]February - 2023'!EE35</f>
        <v>0</v>
      </c>
      <c r="EC36" s="194">
        <f>'[1]February - 2023'!EF35</f>
        <v>0</v>
      </c>
      <c r="ED36" s="87">
        <f>'[1]February - 2023'!EI35</f>
        <v>0</v>
      </c>
      <c r="EE36" s="207">
        <f>'[1]February - 2023'!EJ35</f>
        <v>0</v>
      </c>
      <c r="EF36" s="548"/>
      <c r="EG36" s="213">
        <f>'[1]February - 2023'!EL35</f>
        <v>0</v>
      </c>
      <c r="EH36" s="208">
        <f>'[1]February - 2023'!EM35</f>
        <v>0</v>
      </c>
      <c r="EI36" s="86">
        <f>'[1]February - 2023'!EN35</f>
        <v>0</v>
      </c>
      <c r="EJ36" s="208">
        <f>'[1]February - 2023'!EO35</f>
        <v>0</v>
      </c>
      <c r="EK36" s="86">
        <f>'[1]February - 2023'!EP35</f>
        <v>0</v>
      </c>
      <c r="EL36" s="208">
        <f>'[1]February - 2023'!EQ35</f>
        <v>0</v>
      </c>
      <c r="EM36" s="86">
        <f>'[1]February - 2023'!ER35</f>
        <v>0</v>
      </c>
      <c r="EN36" s="208">
        <f>'[1]February - 2023'!ES35</f>
        <v>0</v>
      </c>
      <c r="EO36" s="86">
        <f>'[1]February - 2023'!ET35</f>
        <v>0</v>
      </c>
      <c r="EP36" s="208">
        <f>'[1]February - 2023'!EU35</f>
        <v>0</v>
      </c>
      <c r="EQ36" s="86">
        <f>'[1]February - 2023'!EV35</f>
        <v>0</v>
      </c>
      <c r="ER36" s="208">
        <f>'[1]February - 2023'!EW35</f>
        <v>0</v>
      </c>
      <c r="ES36" s="523"/>
      <c r="ET36" s="253">
        <f>'[1]February - 2023'!EY35</f>
        <v>0</v>
      </c>
      <c r="EU36" s="266">
        <f>'[1]February - 2023'!EZ35</f>
        <v>0</v>
      </c>
      <c r="EV36" s="254">
        <f>'[1]February - 2023'!FA35</f>
        <v>0</v>
      </c>
      <c r="EW36" s="266">
        <f>'[1]February - 2023'!FB35</f>
        <v>0</v>
      </c>
      <c r="EX36" s="254">
        <f>'[1]February - 2023'!FC35</f>
        <v>0</v>
      </c>
      <c r="EY36" s="266">
        <f>'[1]February - 2023'!FD35</f>
        <v>0</v>
      </c>
      <c r="EZ36" s="254">
        <f>'[1]February - 2023'!FE35</f>
        <v>0</v>
      </c>
      <c r="FA36" s="266">
        <f>'[1]February - 2023'!FF35</f>
        <v>0</v>
      </c>
      <c r="FB36" s="254">
        <f>'[1]February - 2023'!FG35</f>
        <v>0</v>
      </c>
      <c r="FC36" s="264">
        <f>'[1]February - 2023'!FH35</f>
        <v>0</v>
      </c>
    </row>
    <row r="37" spans="1:160" ht="30" customHeight="1" thickBot="1" x14ac:dyDescent="0.3">
      <c r="A37" s="186">
        <v>44985</v>
      </c>
      <c r="B37" s="188">
        <f>'[1]February - 2023'!B36</f>
        <v>0</v>
      </c>
      <c r="C37" s="228">
        <f>'[1]February - 2023'!E36</f>
        <v>0</v>
      </c>
      <c r="D37" s="151">
        <f>'[1]February - 2023'!F37</f>
        <v>0</v>
      </c>
      <c r="E37" s="150">
        <f>'[1]February - 2023'!G36</f>
        <v>548</v>
      </c>
      <c r="F37" s="150">
        <f>'[1]February - 2023'!H36</f>
        <v>0</v>
      </c>
      <c r="G37" s="151">
        <f>'[1]February - 2023'!I37</f>
        <v>0</v>
      </c>
      <c r="H37" s="150">
        <f>'[1]February - 2023'!J36</f>
        <v>126373</v>
      </c>
      <c r="I37" s="239">
        <f>'[1]February - 2023'!K36</f>
        <v>0</v>
      </c>
      <c r="J37" s="151">
        <f>'[1]February - 2023'!L36</f>
        <v>0</v>
      </c>
      <c r="K37" s="239">
        <f>'[1]February - 2023'!N36</f>
        <v>0</v>
      </c>
      <c r="L37" s="151">
        <f>'[1]February - 2023'!O36</f>
        <v>0</v>
      </c>
      <c r="M37" s="239">
        <f>'[1]February - 2023'!Q36</f>
        <v>0</v>
      </c>
      <c r="N37" s="151">
        <f>'[1]February - 2023'!R36</f>
        <v>0</v>
      </c>
      <c r="O37" s="239">
        <f>'[1]February - 2023'!U36</f>
        <v>0</v>
      </c>
      <c r="P37" s="151">
        <f>'[1]February - 2023'!V36</f>
        <v>0</v>
      </c>
      <c r="Q37" s="150">
        <f>'[1]February - 2023'!W36</f>
        <v>1923.3000000000466</v>
      </c>
      <c r="R37" s="239">
        <f>'[1]February - 2023'!X36</f>
        <v>0</v>
      </c>
      <c r="S37" s="187">
        <f>'[1]February - 2023'!Y36</f>
        <v>0</v>
      </c>
      <c r="T37" s="444"/>
      <c r="U37" s="244">
        <f>'[1]February - 2023'!AE36</f>
        <v>0</v>
      </c>
      <c r="V37" s="265">
        <f>'[1]February - 2023'!AF36</f>
        <v>0</v>
      </c>
      <c r="W37" s="88">
        <f>'[1]February - 2023'!AG36</f>
        <v>2971.9200000008568</v>
      </c>
      <c r="X37" s="261">
        <f>'[1]February - 2023'!AH36</f>
        <v>0</v>
      </c>
      <c r="Y37" s="265">
        <f>'[1]February - 2023'!AI36</f>
        <v>0</v>
      </c>
      <c r="Z37" s="88">
        <f>'[1]February - 2023'!AJ36</f>
        <v>4823.2800000011921</v>
      </c>
      <c r="AA37" s="261">
        <f>'[1]February - 2023'!AK36</f>
        <v>0</v>
      </c>
      <c r="AB37" s="265">
        <f>'[1]February - 2023'!AL36</f>
        <v>0</v>
      </c>
      <c r="AC37" s="88">
        <f>'[1]February - 2023'!AM36</f>
        <v>3459.1200000010431</v>
      </c>
      <c r="AD37" s="261">
        <f>'[1]February - 2023'!AN36</f>
        <v>0</v>
      </c>
      <c r="AE37" s="265">
        <f>'[1]February - 2023'!AO36</f>
        <v>0</v>
      </c>
      <c r="AF37" s="88">
        <f>'[1]February - 2023'!AP36</f>
        <v>6382.320000000298</v>
      </c>
      <c r="AG37" s="261">
        <f>'[1]February - 2023'!AQ36</f>
        <v>0</v>
      </c>
      <c r="AH37" s="265">
        <f>'[1]February - 2023'!AR36</f>
        <v>0</v>
      </c>
      <c r="AI37" s="88">
        <f>'[1]February - 2023'!AS36</f>
        <v>730.79999999701977</v>
      </c>
      <c r="AJ37" s="261">
        <f>'[1]February - 2023'!AT36</f>
        <v>0</v>
      </c>
      <c r="AK37" s="265">
        <f>'[1]February - 2023'!AU36</f>
        <v>0</v>
      </c>
      <c r="AL37" s="88">
        <f>'[1]February - 2023'!AV36</f>
        <v>5846.4000000003725</v>
      </c>
      <c r="AM37" s="261">
        <f>'[1]February - 2023'!AW36</f>
        <v>0</v>
      </c>
      <c r="AN37" s="265">
        <f>'[1]February - 2023'!AX36</f>
        <v>0</v>
      </c>
      <c r="AO37" s="88">
        <f>'[1]February - 2023'!AY36</f>
        <v>3995.0399999991059</v>
      </c>
      <c r="AP37" s="261">
        <f>'[1]February - 2023'!AZ36</f>
        <v>0</v>
      </c>
      <c r="AQ37" s="265">
        <f>'[1]February - 2023'!BA36</f>
        <v>0</v>
      </c>
      <c r="AR37" s="88">
        <f>'[1]February - 2023'!BB36</f>
        <v>4433.519999999553</v>
      </c>
      <c r="AS37" s="261">
        <f>'[1]February - 2023'!BC36</f>
        <v>0</v>
      </c>
      <c r="AT37" s="265">
        <f>'[1]February - 2023'!BD36</f>
        <v>0</v>
      </c>
      <c r="AU37" s="88">
        <f>'[1]February - 2023'!BE36</f>
        <v>2971.9200000017881</v>
      </c>
      <c r="AV37" s="261">
        <f>'[1]February - 2023'!BF36</f>
        <v>0</v>
      </c>
      <c r="AW37" s="229">
        <f>'[1]February - 2023'!BG36</f>
        <v>0</v>
      </c>
      <c r="AX37" s="230">
        <f>'[1]February - 2023'!BH36</f>
        <v>5797.6800000015646</v>
      </c>
      <c r="AY37" s="461"/>
      <c r="AZ37" s="247">
        <f>'[1]February - 2023'!BM36</f>
        <v>0</v>
      </c>
      <c r="BA37" s="160">
        <f>'[1]February - 2023'!BN36</f>
        <v>0</v>
      </c>
      <c r="BB37" s="89">
        <f>'[1]February - 2023'!BO37</f>
        <v>0</v>
      </c>
      <c r="BC37" s="247">
        <f>'[1]February - 2023'!BP36</f>
        <v>0</v>
      </c>
      <c r="BD37" s="223">
        <f>'[1]February - 2023'!BQ36</f>
        <v>0</v>
      </c>
      <c r="BE37" s="89">
        <f>'[1]February - 2023'!BR36</f>
        <v>36500</v>
      </c>
      <c r="BF37" s="247">
        <f>'[1]February - 2023'!BS36</f>
        <v>0</v>
      </c>
      <c r="BG37" s="223">
        <f>'[1]February - 2023'!BT36</f>
        <v>0</v>
      </c>
      <c r="BH37" s="89">
        <f>'[1]February - 2023'!BU36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48">
        <f>'[1]February - 2023'!BV36</f>
        <v>0</v>
      </c>
      <c r="BT37" s="165">
        <f>'[1]February - 2023'!BW36</f>
        <v>0</v>
      </c>
      <c r="BU37" s="557"/>
      <c r="BV37" s="84">
        <f>'[1]February - 2023'!BY36</f>
        <v>0</v>
      </c>
      <c r="BW37" s="219">
        <f>'[1]February - 2023'!BZ36</f>
        <v>0</v>
      </c>
      <c r="BX37" s="84">
        <f>'[1]February - 2023'!CA36</f>
        <v>-0.22999999999999998</v>
      </c>
      <c r="BY37" s="85">
        <f>'[1]February - 2023'!CB36</f>
        <v>0</v>
      </c>
      <c r="BZ37" s="171">
        <f>'[1]February - 2023'!CC36</f>
        <v>0</v>
      </c>
      <c r="CA37" s="85">
        <f>'[1]February - 2023'!CD36</f>
        <v>0</v>
      </c>
      <c r="CB37" s="171">
        <f>'[1]February - 2023'!CE36</f>
        <v>0</v>
      </c>
      <c r="CC37" s="85">
        <f>'[1]February - 2023'!CF36</f>
        <v>0</v>
      </c>
      <c r="CD37" s="171">
        <f>'[1]February - 2023'!CG36</f>
        <v>0</v>
      </c>
      <c r="CE37" s="85">
        <f>'[1]February - 2023'!CH36</f>
        <v>0</v>
      </c>
      <c r="CF37" s="171">
        <f>'[1]February - 2023'!CI36</f>
        <v>0</v>
      </c>
      <c r="CG37" s="85">
        <f>'[1]February - 2023'!CJ36</f>
        <v>0</v>
      </c>
      <c r="CH37" s="171">
        <f>'[1]February - 2023'!CK36</f>
        <v>0</v>
      </c>
      <c r="CI37" s="85">
        <f>'[1]February - 2023'!CL36</f>
        <v>0</v>
      </c>
      <c r="CJ37" s="171">
        <f>'[1]February - 2023'!CM36</f>
        <v>0</v>
      </c>
      <c r="CK37" s="85">
        <f>'[1]February - 2023'!CN36</f>
        <v>0</v>
      </c>
      <c r="CL37" s="224">
        <f>'[1]February - 2023'!CO36</f>
        <v>0</v>
      </c>
      <c r="CM37" s="85">
        <f>'[1]February - 2023'!CP36</f>
        <v>102</v>
      </c>
      <c r="CN37" s="85">
        <f>'[1]February - 2023'!CQ36</f>
        <v>0</v>
      </c>
      <c r="CO37" s="224">
        <f>'[1]February - 2023'!CR36</f>
        <v>0</v>
      </c>
      <c r="CP37" s="85">
        <f>'[1]February - 2023'!CV36</f>
        <v>195</v>
      </c>
      <c r="CQ37" s="85">
        <f>'[1]February - 2023'!CT36</f>
        <v>0</v>
      </c>
      <c r="CR37" s="224">
        <f>'[1]February - 2023'!CU36</f>
        <v>0</v>
      </c>
      <c r="CS37" s="85">
        <f>'[1]February - 2023'!CV36</f>
        <v>195</v>
      </c>
      <c r="CT37" s="85">
        <f>'[1]February - 2023'!CW36</f>
        <v>0</v>
      </c>
      <c r="CU37" s="171">
        <f>'[1]February - 2023'!CX36</f>
        <v>0</v>
      </c>
      <c r="CV37" s="485"/>
      <c r="CW37" s="259">
        <f>'[1]February - 2023'!CZ36</f>
        <v>0</v>
      </c>
      <c r="CX37" s="262">
        <f>'[1]February - 2023'!DA36</f>
        <v>0</v>
      </c>
      <c r="CY37" s="260">
        <f>'[1]February - 2023'!DB36</f>
        <v>0</v>
      </c>
      <c r="CZ37" s="262">
        <f>'[1]February - 2023'!DC36</f>
        <v>0</v>
      </c>
      <c r="DA37" s="260">
        <f>'[1]February - 2023'!DD36</f>
        <v>0</v>
      </c>
      <c r="DB37" s="262">
        <f>'[1]February - 2023'!DE36</f>
        <v>0</v>
      </c>
      <c r="DC37" s="260">
        <f>'[1]February - 2023'!DF36</f>
        <v>0</v>
      </c>
      <c r="DD37" s="262">
        <f>'[1]February - 2023'!DG36</f>
        <v>0</v>
      </c>
      <c r="DE37" s="260">
        <f>'[1]February - 2023'!DH36</f>
        <v>0</v>
      </c>
      <c r="DF37" s="262">
        <f>'[1]February - 2023'!DI36</f>
        <v>0</v>
      </c>
      <c r="DG37" s="260">
        <f>'[1]February - 2023'!DJ36</f>
        <v>0</v>
      </c>
      <c r="DH37" s="262">
        <f>'[1]February - 2023'!DK36</f>
        <v>0</v>
      </c>
      <c r="DI37" s="260">
        <f>'[1]February - 2023'!DL36</f>
        <v>0</v>
      </c>
      <c r="DJ37" s="262">
        <f>'[1]February - 2023'!DM36</f>
        <v>0</v>
      </c>
      <c r="DK37" s="260">
        <f>'[1]February - 2023'!DN36</f>
        <v>0</v>
      </c>
      <c r="DL37" s="262">
        <f>'[1]February - 2023'!DO36</f>
        <v>0</v>
      </c>
      <c r="DM37" s="260">
        <f>'[1]February - 2023'!DP36</f>
        <v>0</v>
      </c>
      <c r="DN37" s="262">
        <f>'[1]February - 2023'!DQ36</f>
        <v>0</v>
      </c>
      <c r="DO37" s="260">
        <f>'[1]February - 2023'!DR36</f>
        <v>0</v>
      </c>
      <c r="DP37" s="262">
        <f>'[1]February - 2023'!DS36</f>
        <v>0</v>
      </c>
      <c r="DQ37" s="260">
        <f>'[1]February - 2023'!DT36</f>
        <v>0</v>
      </c>
      <c r="DR37" s="263">
        <f>'[1]February - 2023'!DU36</f>
        <v>0</v>
      </c>
      <c r="DS37" s="501"/>
      <c r="DT37" s="189">
        <f>'[1]February - 2023'!DW36</f>
        <v>0</v>
      </c>
      <c r="DU37" s="200">
        <f>'[1]February - 2023'!DX36</f>
        <v>0</v>
      </c>
      <c r="DV37" s="87">
        <f>'[1]February - 2023'!DY36</f>
        <v>0</v>
      </c>
      <c r="DW37" s="194">
        <f>'[1]February - 2023'!DZ36</f>
        <v>0</v>
      </c>
      <c r="DX37" s="87">
        <f>'[1]February - 2023'!EA36</f>
        <v>0</v>
      </c>
      <c r="DY37" s="194">
        <f>'[1]February - 2023'!EB36</f>
        <v>0</v>
      </c>
      <c r="DZ37" s="87">
        <f>'[1]February - 2023'!EC36</f>
        <v>0</v>
      </c>
      <c r="EA37" s="194">
        <f>'[1]February - 2023'!ED36</f>
        <v>0</v>
      </c>
      <c r="EB37" s="87">
        <f>'[1]February - 2023'!EE36</f>
        <v>0</v>
      </c>
      <c r="EC37" s="194">
        <f>'[1]February - 2023'!EF36</f>
        <v>0</v>
      </c>
      <c r="ED37" s="87">
        <f>'[1]February - 2023'!EI36</f>
        <v>0</v>
      </c>
      <c r="EE37" s="207">
        <f>'[1]February - 2023'!EJ36</f>
        <v>0</v>
      </c>
      <c r="EF37" s="548"/>
      <c r="EG37" s="213">
        <f>'[1]February - 2023'!EL36</f>
        <v>0</v>
      </c>
      <c r="EH37" s="208">
        <f>'[1]February - 2023'!EM36</f>
        <v>0</v>
      </c>
      <c r="EI37" s="86">
        <f>'[1]February - 2023'!EN36</f>
        <v>0</v>
      </c>
      <c r="EJ37" s="208">
        <f>'[1]February - 2023'!EO36</f>
        <v>0</v>
      </c>
      <c r="EK37" s="86">
        <f>'[1]February - 2023'!EP36</f>
        <v>0</v>
      </c>
      <c r="EL37" s="208">
        <f>'[1]February - 2023'!EQ36</f>
        <v>0</v>
      </c>
      <c r="EM37" s="86">
        <f>'[1]February - 2023'!ER36</f>
        <v>0</v>
      </c>
      <c r="EN37" s="208">
        <f>'[1]February - 2023'!ES36</f>
        <v>0</v>
      </c>
      <c r="EO37" s="86">
        <f>'[1]February - 2023'!ET36</f>
        <v>0</v>
      </c>
      <c r="EP37" s="208">
        <f>'[1]February - 2023'!EU36</f>
        <v>0</v>
      </c>
      <c r="EQ37" s="86">
        <f>'[1]February - 2023'!EV36</f>
        <v>0</v>
      </c>
      <c r="ER37" s="208">
        <f>'[1]February - 2023'!EW36</f>
        <v>0</v>
      </c>
      <c r="ES37" s="523"/>
      <c r="ET37" s="253">
        <f>'[1]February - 2023'!EY36</f>
        <v>0</v>
      </c>
      <c r="EU37" s="266">
        <f>'[1]February - 2023'!EZ36</f>
        <v>0</v>
      </c>
      <c r="EV37" s="254">
        <f>'[1]February - 2023'!FA36</f>
        <v>0</v>
      </c>
      <c r="EW37" s="266">
        <f>'[1]February - 2023'!FB36</f>
        <v>0</v>
      </c>
      <c r="EX37" s="254">
        <f>'[1]February - 2023'!FC36</f>
        <v>0</v>
      </c>
      <c r="EY37" s="266">
        <f>'[1]February - 2023'!FD36</f>
        <v>0</v>
      </c>
      <c r="EZ37" s="254">
        <f>'[1]February - 2023'!FE36</f>
        <v>0</v>
      </c>
      <c r="FA37" s="266">
        <f>'[1]February - 2023'!FF36</f>
        <v>0</v>
      </c>
      <c r="FB37" s="254">
        <f>'[1]February - 2023'!FG36</f>
        <v>0</v>
      </c>
      <c r="FC37" s="264">
        <f>'[1]February - 2023'!FH36</f>
        <v>0</v>
      </c>
    </row>
    <row r="38" spans="1:160" ht="30" hidden="1" customHeight="1" x14ac:dyDescent="0.25">
      <c r="A38" s="186">
        <v>44986</v>
      </c>
      <c r="B38" s="188">
        <f>'[1]February - 2023'!B37</f>
        <v>0</v>
      </c>
      <c r="C38" s="228">
        <f>'[1]February - 2023'!E37</f>
        <v>0</v>
      </c>
      <c r="D38" s="151">
        <f>'[1]February - 2023'!F38</f>
        <v>0</v>
      </c>
      <c r="E38" s="150">
        <f>'[1]February - 2023'!G37</f>
        <v>0</v>
      </c>
      <c r="F38" s="150">
        <f>'[1]February - 2023'!H37</f>
        <v>0</v>
      </c>
      <c r="G38" s="151">
        <f>'[1]February - 2023'!I38</f>
        <v>0</v>
      </c>
      <c r="H38" s="150">
        <f>'[1]February - 2023'!J37</f>
        <v>0</v>
      </c>
      <c r="I38" s="239">
        <f>'[1]February - 2023'!K37</f>
        <v>0</v>
      </c>
      <c r="J38" s="151">
        <f>'[1]February - 2023'!L37</f>
        <v>0</v>
      </c>
      <c r="K38" s="239">
        <f>'[1]February - 2023'!N37</f>
        <v>0</v>
      </c>
      <c r="L38" s="151">
        <f>'[1]February - 2023'!O37</f>
        <v>0</v>
      </c>
      <c r="M38" s="239">
        <f>'[1]February - 2023'!Q37</f>
        <v>0</v>
      </c>
      <c r="N38" s="151">
        <f>'[1]February - 2023'!R37</f>
        <v>0</v>
      </c>
      <c r="O38" s="239">
        <f>'[1]February - 2023'!U37</f>
        <v>0</v>
      </c>
      <c r="P38" s="151">
        <f>'[1]February - 2023'!V37</f>
        <v>0</v>
      </c>
      <c r="Q38" s="150">
        <f>'[1]February - 2023'!W37</f>
        <v>0</v>
      </c>
      <c r="R38" s="239">
        <f>'[1]February - 2023'!X37</f>
        <v>0</v>
      </c>
      <c r="S38" s="187">
        <f>'[1]February - 2023'!Y37</f>
        <v>0</v>
      </c>
      <c r="T38" s="444"/>
      <c r="U38" s="244">
        <f>'[1]February - 2023'!AE37</f>
        <v>0</v>
      </c>
      <c r="V38" s="265">
        <f>'[1]February - 2023'!AF37</f>
        <v>0</v>
      </c>
      <c r="W38" s="88">
        <f>'[1]February - 2023'!AG37</f>
        <v>0</v>
      </c>
      <c r="X38" s="261">
        <f>'[1]February - 2023'!AH37</f>
        <v>0</v>
      </c>
      <c r="Y38" s="265">
        <f>'[1]February - 2023'!AI37</f>
        <v>0</v>
      </c>
      <c r="Z38" s="88">
        <f>'[1]February - 2023'!AJ37</f>
        <v>0</v>
      </c>
      <c r="AA38" s="261">
        <f>'[1]February - 2023'!AK37</f>
        <v>0</v>
      </c>
      <c r="AB38" s="265">
        <f>'[1]February - 2023'!AL37</f>
        <v>0</v>
      </c>
      <c r="AC38" s="88">
        <f>'[1]February - 2023'!AM37</f>
        <v>0</v>
      </c>
      <c r="AD38" s="261">
        <f>'[1]February - 2023'!AN37</f>
        <v>0</v>
      </c>
      <c r="AE38" s="265">
        <f>'[1]February - 2023'!AO37</f>
        <v>0</v>
      </c>
      <c r="AF38" s="88">
        <f>'[1]February - 2023'!AP37</f>
        <v>0</v>
      </c>
      <c r="AG38" s="261">
        <f>'[1]February - 2023'!AQ37</f>
        <v>0</v>
      </c>
      <c r="AH38" s="265">
        <f>'[1]February - 2023'!AR37</f>
        <v>0</v>
      </c>
      <c r="AI38" s="88">
        <f>'[1]February - 2023'!AS37</f>
        <v>0</v>
      </c>
      <c r="AJ38" s="261">
        <f>'[1]February - 2023'!AT37</f>
        <v>0</v>
      </c>
      <c r="AK38" s="265">
        <f>'[1]February - 2023'!AU37</f>
        <v>0</v>
      </c>
      <c r="AL38" s="88">
        <f>'[1]February - 2023'!AV37</f>
        <v>0</v>
      </c>
      <c r="AM38" s="261">
        <f>'[1]February - 2023'!AW37</f>
        <v>0</v>
      </c>
      <c r="AN38" s="265">
        <f>'[1]February - 2023'!AX37</f>
        <v>0</v>
      </c>
      <c r="AO38" s="88">
        <f>'[1]February - 2023'!AY37</f>
        <v>0</v>
      </c>
      <c r="AP38" s="261">
        <f>'[1]February - 2023'!AZ37</f>
        <v>0</v>
      </c>
      <c r="AQ38" s="265">
        <f>'[1]February - 2023'!BA37</f>
        <v>0</v>
      </c>
      <c r="AR38" s="88">
        <f>'[1]February - 2023'!BB37</f>
        <v>0</v>
      </c>
      <c r="AS38" s="261">
        <f>'[1]February - 2023'!BC37</f>
        <v>0</v>
      </c>
      <c r="AT38" s="265">
        <f>'[1]February - 2023'!BD37</f>
        <v>0</v>
      </c>
      <c r="AU38" s="88">
        <f>'[1]February - 2023'!BE37</f>
        <v>0</v>
      </c>
      <c r="AV38" s="261">
        <f>'[1]February - 2023'!BF37</f>
        <v>0</v>
      </c>
      <c r="AW38" s="229">
        <f>'[1]February - 2023'!BG37</f>
        <v>0</v>
      </c>
      <c r="AX38" s="230">
        <f>'[1]February - 2023'!BH37</f>
        <v>0</v>
      </c>
      <c r="AY38" s="461"/>
      <c r="AZ38" s="247">
        <f>'[1]February - 2023'!BM37</f>
        <v>0</v>
      </c>
      <c r="BA38" s="160">
        <f>'[1]February - 2023'!BN37</f>
        <v>0</v>
      </c>
      <c r="BB38" s="89">
        <f>'[1]February - 2023'!BO38</f>
        <v>0</v>
      </c>
      <c r="BC38" s="247">
        <f>'[1]February - 2023'!BP37</f>
        <v>0</v>
      </c>
      <c r="BD38" s="223">
        <f>'[1]February - 2023'!BQ37</f>
        <v>0</v>
      </c>
      <c r="BE38" s="89">
        <f>'[1]February - 2023'!BR37</f>
        <v>0</v>
      </c>
      <c r="BF38" s="247">
        <f>'[1]February - 2023'!BS37</f>
        <v>0</v>
      </c>
      <c r="BG38" s="223">
        <f>'[1]February - 2023'!BT37</f>
        <v>0</v>
      </c>
      <c r="BH38" s="89">
        <f>'[1]February - 2023'!BU37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48">
        <f>'[1]February - 2023'!BV37</f>
        <v>0</v>
      </c>
      <c r="BT38" s="165">
        <f>'[1]February - 2023'!BW37</f>
        <v>0</v>
      </c>
      <c r="BU38" s="557"/>
      <c r="BV38" s="84">
        <f>'[1]February - 2023'!BY37</f>
        <v>0</v>
      </c>
      <c r="BW38" s="219">
        <f>'[1]February - 2023'!BZ37</f>
        <v>0</v>
      </c>
      <c r="BX38" s="84">
        <f>'[1]February - 2023'!CA37</f>
        <v>0</v>
      </c>
      <c r="BY38" s="85">
        <f>'[1]February - 2023'!CB37</f>
        <v>0</v>
      </c>
      <c r="BZ38" s="171">
        <f>'[1]February - 2023'!CC37</f>
        <v>0</v>
      </c>
      <c r="CA38" s="85">
        <f>'[1]February - 2023'!CD37</f>
        <v>0</v>
      </c>
      <c r="CB38" s="171">
        <f>'[1]February - 2023'!CE37</f>
        <v>0</v>
      </c>
      <c r="CC38" s="85">
        <f>'[1]February - 2023'!CF37</f>
        <v>0</v>
      </c>
      <c r="CD38" s="171">
        <f>'[1]February - 2023'!CG37</f>
        <v>0</v>
      </c>
      <c r="CE38" s="85">
        <f>'[1]February - 2023'!CH37</f>
        <v>0</v>
      </c>
      <c r="CF38" s="171">
        <f>'[1]February - 2023'!CI37</f>
        <v>0</v>
      </c>
      <c r="CG38" s="85">
        <f>'[1]February - 2023'!CJ37</f>
        <v>0</v>
      </c>
      <c r="CH38" s="171">
        <f>'[1]February - 2023'!CK37</f>
        <v>0</v>
      </c>
      <c r="CI38" s="85">
        <f>'[1]February - 2023'!CL37</f>
        <v>0</v>
      </c>
      <c r="CJ38" s="171">
        <f>'[1]February - 2023'!CM37</f>
        <v>0</v>
      </c>
      <c r="CK38" s="85">
        <f>'[1]February - 2023'!CN37</f>
        <v>0</v>
      </c>
      <c r="CL38" s="224">
        <f>'[1]February - 2023'!CO37</f>
        <v>0</v>
      </c>
      <c r="CM38" s="85">
        <f>'[1]February - 2023'!CP37</f>
        <v>0</v>
      </c>
      <c r="CN38" s="85">
        <f>'[1]February - 2023'!CQ37</f>
        <v>0</v>
      </c>
      <c r="CO38" s="224">
        <f>'[1]February - 2023'!CR37</f>
        <v>0</v>
      </c>
      <c r="CP38" s="85">
        <f>'[1]February - 2023'!CV37</f>
        <v>0</v>
      </c>
      <c r="CQ38" s="85">
        <f>'[1]February - 2023'!CT37</f>
        <v>0</v>
      </c>
      <c r="CR38" s="224">
        <f>'[1]February - 2023'!CU37</f>
        <v>0</v>
      </c>
      <c r="CS38" s="85">
        <f>'[1]February - 2023'!CV37</f>
        <v>0</v>
      </c>
      <c r="CT38" s="85">
        <f>'[1]February - 2023'!CW37</f>
        <v>0</v>
      </c>
      <c r="CU38" s="171">
        <f>'[1]February - 2023'!CX37</f>
        <v>0</v>
      </c>
      <c r="CV38" s="485"/>
      <c r="CW38" s="259">
        <f>'[1]February - 2023'!CZ37</f>
        <v>0</v>
      </c>
      <c r="CX38" s="262">
        <f>'[1]February - 2023'!DA37</f>
        <v>0</v>
      </c>
      <c r="CY38" s="260">
        <f>'[1]February - 2023'!DB37</f>
        <v>0</v>
      </c>
      <c r="CZ38" s="262">
        <f>'[1]February - 2023'!DC37</f>
        <v>0</v>
      </c>
      <c r="DA38" s="260">
        <f>'[1]February - 2023'!DD37</f>
        <v>0</v>
      </c>
      <c r="DB38" s="262">
        <f>'[1]February - 2023'!DE37</f>
        <v>0</v>
      </c>
      <c r="DC38" s="260">
        <f>'[1]February - 2023'!DF37</f>
        <v>0</v>
      </c>
      <c r="DD38" s="262">
        <f>'[1]February - 2023'!DG37</f>
        <v>0</v>
      </c>
      <c r="DE38" s="260">
        <f>'[1]February - 2023'!DH37</f>
        <v>0</v>
      </c>
      <c r="DF38" s="262">
        <f>'[1]February - 2023'!DI37</f>
        <v>0</v>
      </c>
      <c r="DG38" s="260">
        <f>'[1]February - 2023'!DJ37</f>
        <v>0</v>
      </c>
      <c r="DH38" s="262">
        <f>'[1]February - 2023'!DK37</f>
        <v>0</v>
      </c>
      <c r="DI38" s="260">
        <f>'[1]February - 2023'!DL37</f>
        <v>0</v>
      </c>
      <c r="DJ38" s="262">
        <f>'[1]February - 2023'!DM37</f>
        <v>0</v>
      </c>
      <c r="DK38" s="260">
        <f>'[1]February - 2023'!DN37</f>
        <v>0</v>
      </c>
      <c r="DL38" s="262">
        <f>'[1]February - 2023'!DO37</f>
        <v>0</v>
      </c>
      <c r="DM38" s="260">
        <f>'[1]February - 2023'!DP37</f>
        <v>0</v>
      </c>
      <c r="DN38" s="262">
        <f>'[1]February - 2023'!DQ37</f>
        <v>0</v>
      </c>
      <c r="DO38" s="260">
        <f>'[1]February - 2023'!DR37</f>
        <v>0</v>
      </c>
      <c r="DP38" s="262">
        <f>'[1]February - 2023'!DS37</f>
        <v>0</v>
      </c>
      <c r="DQ38" s="260">
        <f>'[1]February - 2023'!DT37</f>
        <v>0</v>
      </c>
      <c r="DR38" s="263">
        <f>'[1]February - 2023'!DU37</f>
        <v>0</v>
      </c>
      <c r="DS38" s="501"/>
      <c r="DT38" s="189">
        <f>'[1]February - 2023'!DW37</f>
        <v>0</v>
      </c>
      <c r="DU38" s="200">
        <f>'[1]February - 2023'!DX37</f>
        <v>0</v>
      </c>
      <c r="DV38" s="87">
        <f>'[1]February - 2023'!DY37</f>
        <v>0</v>
      </c>
      <c r="DW38" s="194">
        <f>'[1]February - 2023'!DZ37</f>
        <v>0</v>
      </c>
      <c r="DX38" s="87">
        <f>'[1]February - 2023'!EA37</f>
        <v>0</v>
      </c>
      <c r="DY38" s="194">
        <f>'[1]February - 2023'!EB37</f>
        <v>0</v>
      </c>
      <c r="DZ38" s="87">
        <f>'[1]February - 2023'!EC37</f>
        <v>0</v>
      </c>
      <c r="EA38" s="194">
        <f>'[1]February - 2023'!ED37</f>
        <v>0</v>
      </c>
      <c r="EB38" s="87">
        <f>'[1]February - 2023'!EE37</f>
        <v>0</v>
      </c>
      <c r="EC38" s="194">
        <f>'[1]February - 2023'!EF37</f>
        <v>0</v>
      </c>
      <c r="ED38" s="87">
        <f>'[1]February - 2023'!EI37</f>
        <v>0</v>
      </c>
      <c r="EE38" s="207">
        <f>'[1]February - 2023'!EJ37</f>
        <v>0</v>
      </c>
      <c r="EF38" s="548"/>
      <c r="EG38" s="213">
        <f>'[1]February - 2023'!EL37</f>
        <v>0</v>
      </c>
      <c r="EH38" s="208">
        <f>'[1]February - 2023'!EM37</f>
        <v>0</v>
      </c>
      <c r="EI38" s="86">
        <f>'[1]February - 2023'!EN37</f>
        <v>0</v>
      </c>
      <c r="EJ38" s="208">
        <f>'[1]February - 2023'!EO37</f>
        <v>0</v>
      </c>
      <c r="EK38" s="86">
        <f>'[1]February - 2023'!EP37</f>
        <v>0</v>
      </c>
      <c r="EL38" s="208">
        <f>'[1]February - 2023'!EQ37</f>
        <v>0</v>
      </c>
      <c r="EM38" s="86">
        <f>'[1]February - 2023'!ER37</f>
        <v>0</v>
      </c>
      <c r="EN38" s="208">
        <f>'[1]February - 2023'!ES37</f>
        <v>0</v>
      </c>
      <c r="EO38" s="86">
        <f>'[1]February - 2023'!ET37</f>
        <v>0</v>
      </c>
      <c r="EP38" s="208">
        <f>'[1]February - 2023'!EU37</f>
        <v>0</v>
      </c>
      <c r="EQ38" s="86">
        <f>'[1]February - 2023'!EV37</f>
        <v>0</v>
      </c>
      <c r="ER38" s="208">
        <f>'[1]February - 2023'!EW37</f>
        <v>0</v>
      </c>
      <c r="ES38" s="523"/>
      <c r="ET38" s="253">
        <f>'[1]February - 2023'!EY37</f>
        <v>0</v>
      </c>
      <c r="EU38" s="266">
        <f>'[1]February - 2023'!EZ37</f>
        <v>0</v>
      </c>
      <c r="EV38" s="254">
        <f>'[1]February - 2023'!FA37</f>
        <v>0</v>
      </c>
      <c r="EW38" s="266">
        <f>'[1]February - 2023'!FB37</f>
        <v>0</v>
      </c>
      <c r="EX38" s="254">
        <f>'[1]February - 2023'!FC37</f>
        <v>0</v>
      </c>
      <c r="EY38" s="266">
        <f>'[1]February - 2023'!FD37</f>
        <v>0</v>
      </c>
      <c r="EZ38" s="254">
        <f>'[1]February - 2023'!FE37</f>
        <v>0</v>
      </c>
      <c r="FA38" s="266">
        <f>'[1]February - 2023'!FF37</f>
        <v>0</v>
      </c>
      <c r="FB38" s="254">
        <f>'[1]February - 2023'!FG37</f>
        <v>0</v>
      </c>
      <c r="FC38" s="264">
        <f>'[1]February - 2023'!FH37</f>
        <v>0</v>
      </c>
    </row>
    <row r="39" spans="1:160" ht="30" hidden="1" customHeight="1" x14ac:dyDescent="0.25">
      <c r="A39" s="186">
        <v>44987</v>
      </c>
      <c r="B39" s="188">
        <f>'[1]February - 2023'!B38</f>
        <v>0</v>
      </c>
      <c r="C39" s="228">
        <f>'[1]February - 2023'!E38</f>
        <v>0</v>
      </c>
      <c r="D39" s="151">
        <f>'[1]February - 2023'!F39</f>
        <v>0</v>
      </c>
      <c r="E39" s="150">
        <f>'[1]February - 2023'!G38</f>
        <v>0</v>
      </c>
      <c r="F39" s="150">
        <f>'[1]February - 2023'!H38</f>
        <v>0</v>
      </c>
      <c r="G39" s="151">
        <f>'[1]February - 2023'!I39</f>
        <v>0</v>
      </c>
      <c r="H39" s="150">
        <f>'[1]February - 2023'!J38</f>
        <v>0</v>
      </c>
      <c r="I39" s="239">
        <f>'[1]February - 2023'!K38</f>
        <v>0</v>
      </c>
      <c r="J39" s="151">
        <f>'[1]February - 2023'!L38</f>
        <v>0</v>
      </c>
      <c r="K39" s="239">
        <f>'[1]February - 2023'!N38</f>
        <v>0</v>
      </c>
      <c r="L39" s="151">
        <f>'[1]February - 2023'!O38</f>
        <v>0</v>
      </c>
      <c r="M39" s="239">
        <f>'[1]February - 2023'!Q38</f>
        <v>0</v>
      </c>
      <c r="N39" s="151">
        <f>'[1]February - 2023'!R38</f>
        <v>0</v>
      </c>
      <c r="O39" s="239">
        <f>'[1]February - 2023'!U38</f>
        <v>0</v>
      </c>
      <c r="P39" s="151">
        <f>'[1]February - 2023'!V38</f>
        <v>0</v>
      </c>
      <c r="Q39" s="150">
        <f>'[1]February - 2023'!W38</f>
        <v>0</v>
      </c>
      <c r="R39" s="239">
        <f>'[1]February - 2023'!X38</f>
        <v>0</v>
      </c>
      <c r="S39" s="187">
        <f>'[1]February - 2023'!Y38</f>
        <v>0</v>
      </c>
      <c r="T39" s="444"/>
      <c r="U39" s="244">
        <f>'[1]February - 2023'!AE38</f>
        <v>0</v>
      </c>
      <c r="V39" s="265">
        <f>'[1]February - 2023'!AF38</f>
        <v>0</v>
      </c>
      <c r="W39" s="88">
        <f>'[1]February - 2023'!AG38</f>
        <v>0</v>
      </c>
      <c r="X39" s="261">
        <f>'[1]February - 2023'!AH38</f>
        <v>0</v>
      </c>
      <c r="Y39" s="265">
        <f>'[1]February - 2023'!AI38</f>
        <v>0</v>
      </c>
      <c r="Z39" s="88">
        <f>'[1]February - 2023'!AJ38</f>
        <v>0</v>
      </c>
      <c r="AA39" s="261">
        <f>'[1]February - 2023'!AK38</f>
        <v>0</v>
      </c>
      <c r="AB39" s="265">
        <f>'[1]February - 2023'!AL38</f>
        <v>0</v>
      </c>
      <c r="AC39" s="88">
        <f>'[1]February - 2023'!AM38</f>
        <v>0</v>
      </c>
      <c r="AD39" s="261">
        <f>'[1]February - 2023'!AN38</f>
        <v>0</v>
      </c>
      <c r="AE39" s="265">
        <f>'[1]February - 2023'!AO38</f>
        <v>0</v>
      </c>
      <c r="AF39" s="88">
        <f>'[1]February - 2023'!AP38</f>
        <v>0</v>
      </c>
      <c r="AG39" s="261">
        <f>'[1]February - 2023'!AQ38</f>
        <v>0</v>
      </c>
      <c r="AH39" s="265">
        <f>'[1]February - 2023'!AR38</f>
        <v>0</v>
      </c>
      <c r="AI39" s="88">
        <f>'[1]February - 2023'!AS38</f>
        <v>0</v>
      </c>
      <c r="AJ39" s="261">
        <f>'[1]February - 2023'!AT38</f>
        <v>0</v>
      </c>
      <c r="AK39" s="265">
        <f>'[1]February - 2023'!AU38</f>
        <v>0</v>
      </c>
      <c r="AL39" s="88">
        <f>'[1]February - 2023'!AV38</f>
        <v>0</v>
      </c>
      <c r="AM39" s="261">
        <f>'[1]February - 2023'!AW38</f>
        <v>0</v>
      </c>
      <c r="AN39" s="265">
        <f>'[1]February - 2023'!AX38</f>
        <v>0</v>
      </c>
      <c r="AO39" s="88">
        <f>'[1]February - 2023'!AY38</f>
        <v>0</v>
      </c>
      <c r="AP39" s="261">
        <f>'[1]February - 2023'!AZ38</f>
        <v>0</v>
      </c>
      <c r="AQ39" s="265">
        <f>'[1]February - 2023'!BA38</f>
        <v>0</v>
      </c>
      <c r="AR39" s="88">
        <f>'[1]February - 2023'!BB38</f>
        <v>0</v>
      </c>
      <c r="AS39" s="261">
        <f>'[1]February - 2023'!BC38</f>
        <v>0</v>
      </c>
      <c r="AT39" s="265">
        <f>'[1]February - 2023'!BD38</f>
        <v>0</v>
      </c>
      <c r="AU39" s="88">
        <f>'[1]February - 2023'!BE38</f>
        <v>0</v>
      </c>
      <c r="AV39" s="261">
        <f>'[1]February - 2023'!BF38</f>
        <v>0</v>
      </c>
      <c r="AW39" s="229">
        <f>'[1]February - 2023'!BG38</f>
        <v>0</v>
      </c>
      <c r="AX39" s="230">
        <f>'[1]February - 2023'!BH38</f>
        <v>0</v>
      </c>
      <c r="AY39" s="461"/>
      <c r="AZ39" s="247">
        <f>'[1]February - 2023'!BM38</f>
        <v>0</v>
      </c>
      <c r="BA39" s="160">
        <f>'[1]February - 2023'!BN38</f>
        <v>0</v>
      </c>
      <c r="BB39" s="89">
        <f>'[1]February - 2023'!BO39</f>
        <v>0</v>
      </c>
      <c r="BC39" s="247">
        <f>'[1]February - 2023'!BP38</f>
        <v>0</v>
      </c>
      <c r="BD39" s="223">
        <f>'[1]February - 2023'!BQ38</f>
        <v>0</v>
      </c>
      <c r="BE39" s="89">
        <f>'[1]February - 2023'!BR38</f>
        <v>0</v>
      </c>
      <c r="BF39" s="247">
        <f>'[1]February - 2023'!BS38</f>
        <v>0</v>
      </c>
      <c r="BG39" s="223">
        <f>'[1]February - 2023'!BT38</f>
        <v>0</v>
      </c>
      <c r="BH39" s="89">
        <f>'[1]February - 2023'!BU38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48" t="str">
        <f>'[1]February - 2023'!BV38</f>
        <v>Total Cold water Heat Exchanger 2022</v>
      </c>
      <c r="BT39" s="165">
        <f>'[1]February - 2023'!BW38</f>
        <v>0</v>
      </c>
      <c r="BU39" s="558"/>
      <c r="BV39" s="84" t="str">
        <f>'[1]February - 2023'!BY38</f>
        <v>Lpg -10- DAYS Consumption February 2022</v>
      </c>
      <c r="BW39" s="219">
        <f>'[1]February - 2023'!BZ38</f>
        <v>0</v>
      </c>
      <c r="BX39" s="84">
        <f>'[1]February - 2023'!CA38</f>
        <v>0</v>
      </c>
      <c r="BY39" s="85">
        <f>'[1]February - 2023'!CB38</f>
        <v>0</v>
      </c>
      <c r="BZ39" s="171">
        <f>'[1]February - 2023'!CC38</f>
        <v>0</v>
      </c>
      <c r="CA39" s="85">
        <f>'[1]February - 2023'!CD38</f>
        <v>0</v>
      </c>
      <c r="CB39" s="171">
        <f>'[1]February - 2023'!CE38</f>
        <v>0</v>
      </c>
      <c r="CC39" s="85">
        <f>'[1]February - 2023'!CF38</f>
        <v>0</v>
      </c>
      <c r="CD39" s="171">
        <f>'[1]February - 2023'!CG38</f>
        <v>0</v>
      </c>
      <c r="CE39" s="85">
        <f>'[1]February - 2023'!CH38</f>
        <v>0</v>
      </c>
      <c r="CF39" s="171">
        <f>'[1]February - 2023'!CI38</f>
        <v>0</v>
      </c>
      <c r="CG39" s="85">
        <f>'[1]February - 2023'!CJ38</f>
        <v>0</v>
      </c>
      <c r="CH39" s="171">
        <f>'[1]February - 2023'!CK38</f>
        <v>0</v>
      </c>
      <c r="CI39" s="85">
        <f>'[1]February - 2023'!CL38</f>
        <v>0</v>
      </c>
      <c r="CJ39" s="171">
        <f>'[1]February - 2023'!CM38</f>
        <v>0</v>
      </c>
      <c r="CK39" s="85">
        <f>'[1]February - 2023'!CN38</f>
        <v>0</v>
      </c>
      <c r="CL39" s="224">
        <f>'[1]February - 2023'!CO38</f>
        <v>0</v>
      </c>
      <c r="CM39" s="85">
        <f>'[1]February - 2023'!CP38</f>
        <v>0</v>
      </c>
      <c r="CN39" s="85">
        <f>'[1]February - 2023'!CQ38</f>
        <v>0</v>
      </c>
      <c r="CO39" s="224">
        <f>'[1]February - 2023'!CR38</f>
        <v>0</v>
      </c>
      <c r="CP39" s="85">
        <f>'[1]February - 2023'!CV38</f>
        <v>0</v>
      </c>
      <c r="CQ39" s="85">
        <f>'[1]February - 2023'!CT38</f>
        <v>0</v>
      </c>
      <c r="CR39" s="224">
        <f>'[1]February - 2023'!CU38</f>
        <v>0</v>
      </c>
      <c r="CS39" s="85">
        <f>'[1]February - 2023'!CV38</f>
        <v>0</v>
      </c>
      <c r="CT39" s="85">
        <f>'[1]February - 2023'!CW38</f>
        <v>0</v>
      </c>
      <c r="CU39" s="171">
        <f>'[1]February - 2023'!CX38</f>
        <v>0</v>
      </c>
      <c r="CV39" s="485"/>
      <c r="CW39" s="259">
        <f>'[1]February - 2023'!CZ38</f>
        <v>0</v>
      </c>
      <c r="CX39" s="262">
        <f>'[1]February - 2023'!DA38</f>
        <v>0</v>
      </c>
      <c r="CY39" s="260">
        <f>'[1]February - 2023'!DB38</f>
        <v>0</v>
      </c>
      <c r="CZ39" s="262">
        <f>'[1]February - 2023'!DC38</f>
        <v>0</v>
      </c>
      <c r="DA39" s="260">
        <f>'[1]February - 2023'!DD38</f>
        <v>0</v>
      </c>
      <c r="DB39" s="262">
        <f>'[1]February - 2023'!DE38</f>
        <v>0</v>
      </c>
      <c r="DC39" s="260">
        <f>'[1]February - 2023'!DF38</f>
        <v>0</v>
      </c>
      <c r="DD39" s="262">
        <f>'[1]February - 2023'!DG38</f>
        <v>0</v>
      </c>
      <c r="DE39" s="260">
        <f>'[1]February - 2023'!DH38</f>
        <v>0</v>
      </c>
      <c r="DF39" s="262">
        <f>'[1]February - 2023'!DI38</f>
        <v>0</v>
      </c>
      <c r="DG39" s="260">
        <f>'[1]February - 2023'!DJ38</f>
        <v>0</v>
      </c>
      <c r="DH39" s="262">
        <f>'[1]February - 2023'!DK38</f>
        <v>0</v>
      </c>
      <c r="DI39" s="260">
        <f>'[1]February - 2023'!DL38</f>
        <v>0</v>
      </c>
      <c r="DJ39" s="262">
        <f>'[1]February - 2023'!DM38</f>
        <v>0</v>
      </c>
      <c r="DK39" s="260">
        <f>'[1]February - 2023'!DN38</f>
        <v>0</v>
      </c>
      <c r="DL39" s="262">
        <f>'[1]February - 2023'!DO38</f>
        <v>0</v>
      </c>
      <c r="DM39" s="260">
        <f>'[1]February - 2023'!DP38</f>
        <v>0</v>
      </c>
      <c r="DN39" s="262">
        <f>'[1]February - 2023'!DQ38</f>
        <v>0</v>
      </c>
      <c r="DO39" s="260">
        <f>'[1]February - 2023'!DR38</f>
        <v>0</v>
      </c>
      <c r="DP39" s="262">
        <f>'[1]February - 2023'!DS38</f>
        <v>0</v>
      </c>
      <c r="DQ39" s="260">
        <f>'[1]February - 2023'!DT38</f>
        <v>0</v>
      </c>
      <c r="DR39" s="263">
        <f>'[1]February - 2023'!DU38</f>
        <v>0</v>
      </c>
      <c r="DS39" s="501"/>
      <c r="DT39" s="189" t="str">
        <f>'[1]February - 2023'!DW38</f>
        <v>F &amp; B Electrical -10 days- consumption February-2022</v>
      </c>
      <c r="DU39" s="200">
        <f>'[1]February - 2023'!DX38</f>
        <v>0</v>
      </c>
      <c r="DV39" s="87">
        <f>'[1]February - 2023'!DY38</f>
        <v>0</v>
      </c>
      <c r="DW39" s="194">
        <f>'[1]February - 2023'!DZ38</f>
        <v>0</v>
      </c>
      <c r="DX39" s="87">
        <f>'[1]February - 2023'!EA38</f>
        <v>0</v>
      </c>
      <c r="DY39" s="194">
        <f>'[1]February - 2023'!EB38</f>
        <v>0</v>
      </c>
      <c r="DZ39" s="87">
        <f>'[1]February - 2023'!EC38</f>
        <v>0</v>
      </c>
      <c r="EA39" s="194">
        <f>'[1]February - 2023'!ED38</f>
        <v>0</v>
      </c>
      <c r="EB39" s="87">
        <f>'[1]February - 2023'!EE38</f>
        <v>0</v>
      </c>
      <c r="EC39" s="194">
        <f>'[1]February - 2023'!EF38</f>
        <v>0</v>
      </c>
      <c r="ED39" s="87">
        <f>'[1]February - 2023'!EI38</f>
        <v>0</v>
      </c>
      <c r="EE39" s="207">
        <f>'[1]February - 2023'!EJ38</f>
        <v>0</v>
      </c>
      <c r="EF39" s="548"/>
      <c r="EG39" s="213" t="str">
        <f>'[1]February - 2023'!EL38</f>
        <v>F &amp; B Village Chilled Water -10-days consumption January-2022</v>
      </c>
      <c r="EH39" s="208">
        <f>'[1]February - 2023'!EM38</f>
        <v>0</v>
      </c>
      <c r="EI39" s="86">
        <f>'[1]February - 2023'!EN38</f>
        <v>0</v>
      </c>
      <c r="EJ39" s="208">
        <f>'[1]February - 2023'!EO38</f>
        <v>0</v>
      </c>
      <c r="EK39" s="86">
        <f>'[1]February - 2023'!EP38</f>
        <v>0</v>
      </c>
      <c r="EL39" s="208">
        <f>'[1]February - 2023'!EQ38</f>
        <v>0</v>
      </c>
      <c r="EM39" s="86">
        <f>'[1]February - 2023'!ER38</f>
        <v>0</v>
      </c>
      <c r="EN39" s="208">
        <f>'[1]February - 2023'!ES38</f>
        <v>0</v>
      </c>
      <c r="EO39" s="86">
        <f>'[1]February - 2023'!ET38</f>
        <v>0</v>
      </c>
      <c r="EP39" s="208">
        <f>'[1]February - 2023'!EU38</f>
        <v>0</v>
      </c>
      <c r="EQ39" s="86">
        <f>'[1]February - 2023'!EV38</f>
        <v>0</v>
      </c>
      <c r="ER39" s="208">
        <f>'[1]February - 2023'!EW38</f>
        <v>0</v>
      </c>
      <c r="ES39" s="523"/>
      <c r="ET39" s="253" t="str">
        <f>'[1]February - 2023'!EY38</f>
        <v>F &amp; B Village  Lpg  10 days consumption February 2022</v>
      </c>
      <c r="EU39" s="266">
        <f>'[1]February - 2023'!EZ38</f>
        <v>0</v>
      </c>
      <c r="EV39" s="254">
        <f>'[1]February - 2023'!FA38</f>
        <v>0</v>
      </c>
      <c r="EW39" s="266">
        <f>'[1]February - 2023'!FB38</f>
        <v>0</v>
      </c>
      <c r="EX39" s="254">
        <f>'[1]February - 2023'!FC38</f>
        <v>0</v>
      </c>
      <c r="EY39" s="266">
        <f>'[1]February - 2023'!FD38</f>
        <v>0</v>
      </c>
      <c r="EZ39" s="254">
        <f>'[1]February - 2023'!FE38</f>
        <v>0</v>
      </c>
      <c r="FA39" s="266">
        <f>'[1]February - 2023'!FF38</f>
        <v>0</v>
      </c>
      <c r="FB39" s="254">
        <f>'[1]February - 2023'!FG38</f>
        <v>0</v>
      </c>
      <c r="FC39" s="264">
        <f>'[1]February - 2023'!FH38</f>
        <v>0</v>
      </c>
    </row>
    <row r="40" spans="1:160" ht="30" hidden="1" customHeight="1" thickBot="1" x14ac:dyDescent="0.45">
      <c r="A40" s="186">
        <v>44988</v>
      </c>
      <c r="B40" s="188">
        <f>'[1]February - 2023'!B39</f>
        <v>0</v>
      </c>
      <c r="C40" s="228" t="str">
        <f>'[1]February - 2023'!E39</f>
        <v>Domestic Water</v>
      </c>
      <c r="D40" s="151">
        <f>'[1]February - 2023'!F40</f>
        <v>0</v>
      </c>
      <c r="E40" s="150">
        <f>'[1]February - 2023'!G39</f>
        <v>0</v>
      </c>
      <c r="F40" s="150" t="str">
        <f>'[1]February - 2023'!H39</f>
        <v>Resort Domestic Water</v>
      </c>
      <c r="G40" s="151">
        <f>'[1]February - 2023'!I40</f>
        <v>0</v>
      </c>
      <c r="H40" s="150">
        <f>'[1]February - 2023'!J39</f>
        <v>0</v>
      </c>
      <c r="I40" s="239" t="str">
        <f>'[1]February - 2023'!K39</f>
        <v>Tse Water</v>
      </c>
      <c r="J40" s="151">
        <f>'[1]February - 2023'!L39</f>
        <v>0</v>
      </c>
      <c r="K40" s="239" t="str">
        <f>'[1]February - 2023'!N39</f>
        <v>Irrigation Water</v>
      </c>
      <c r="L40" s="151">
        <f>'[1]February - 2023'!O39</f>
        <v>0</v>
      </c>
      <c r="M40" s="239" t="str">
        <f>'[1]February - 2023'!Q39</f>
        <v>domestic water for irrigation</v>
      </c>
      <c r="N40" s="151">
        <f>'[1]February - 2023'!R39</f>
        <v>0</v>
      </c>
      <c r="O40" s="239" t="str">
        <f>'[1]February - 2023'!U39</f>
        <v>Cooling Tower make up &amp; Blowdown</v>
      </c>
      <c r="P40" s="151">
        <f>'[1]February - 2023'!V39</f>
        <v>0</v>
      </c>
      <c r="Q40" s="150">
        <f>'[1]February - 2023'!W39</f>
        <v>0</v>
      </c>
      <c r="R40" s="239">
        <f>'[1]February - 2023'!X39</f>
        <v>0</v>
      </c>
      <c r="S40" s="187">
        <f>'[1]February - 2023'!Y39</f>
        <v>0</v>
      </c>
      <c r="T40" s="255"/>
      <c r="U40" s="244" t="str">
        <f>'[1]February - 2023'!AE39</f>
        <v>EMDB-1</v>
      </c>
      <c r="V40" s="265">
        <f>'[1]February - 2023'!AF39</f>
        <v>0</v>
      </c>
      <c r="W40" s="88">
        <f>'[1]February - 2023'!AG39</f>
        <v>0</v>
      </c>
      <c r="X40" s="261" t="str">
        <f>'[1]February - 2023'!AH39</f>
        <v>EMDB-2</v>
      </c>
      <c r="Y40" s="265">
        <f>'[1]February - 2023'!AI39</f>
        <v>0</v>
      </c>
      <c r="Z40" s="88">
        <f>'[1]February - 2023'!AJ39</f>
        <v>0</v>
      </c>
      <c r="AA40" s="261" t="str">
        <f>'[1]February - 2023'!AK39</f>
        <v>MDB-1</v>
      </c>
      <c r="AB40" s="265">
        <f>'[1]February - 2023'!AL39</f>
        <v>0</v>
      </c>
      <c r="AC40" s="88">
        <f>'[1]February - 2023'!AM39</f>
        <v>0</v>
      </c>
      <c r="AD40" s="261" t="str">
        <f>'[1]February - 2023'!AN39</f>
        <v>MDB-2</v>
      </c>
      <c r="AE40" s="265">
        <f>'[1]February - 2023'!AO39</f>
        <v>0</v>
      </c>
      <c r="AF40" s="88">
        <f>'[1]February - 2023'!AP39</f>
        <v>0</v>
      </c>
      <c r="AG40" s="261" t="str">
        <f>'[1]February - 2023'!AQ39</f>
        <v>MDB-3</v>
      </c>
      <c r="AH40" s="265">
        <f>'[1]February - 2023'!AR39</f>
        <v>0</v>
      </c>
      <c r="AI40" s="88">
        <f>'[1]February - 2023'!AS39</f>
        <v>0</v>
      </c>
      <c r="AJ40" s="261" t="str">
        <f>'[1]February - 2023'!AT39</f>
        <v>MDB-4</v>
      </c>
      <c r="AK40" s="265">
        <f>'[1]February - 2023'!AU39</f>
        <v>0</v>
      </c>
      <c r="AL40" s="88">
        <f>'[1]February - 2023'!AV39</f>
        <v>0</v>
      </c>
      <c r="AM40" s="261" t="str">
        <f>'[1]February - 2023'!AW39</f>
        <v>MDB-5</v>
      </c>
      <c r="AN40" s="265">
        <f>'[1]February - 2023'!AX39</f>
        <v>0</v>
      </c>
      <c r="AO40" s="88">
        <f>'[1]February - 2023'!AY39</f>
        <v>0</v>
      </c>
      <c r="AP40" s="261" t="str">
        <f>'[1]February - 2023'!AZ39</f>
        <v>MDB-6</v>
      </c>
      <c r="AQ40" s="265">
        <f>'[1]February - 2023'!BA39</f>
        <v>0</v>
      </c>
      <c r="AR40" s="88">
        <f>'[1]February - 2023'!BB39</f>
        <v>0</v>
      </c>
      <c r="AS40" s="261" t="str">
        <f>'[1]February - 2023'!BC39</f>
        <v>MDB-7</v>
      </c>
      <c r="AT40" s="265">
        <f>'[1]February - 2023'!BD39</f>
        <v>0</v>
      </c>
      <c r="AU40" s="88">
        <f>'[1]February - 2023'!BE39</f>
        <v>0</v>
      </c>
      <c r="AV40" s="261" t="str">
        <f>'[1]February - 2023'!BF39</f>
        <v>MDB-8</v>
      </c>
      <c r="AW40" s="229">
        <f>'[1]February - 2023'!BG39</f>
        <v>0</v>
      </c>
      <c r="AX40" s="230">
        <f>'[1]February - 2023'!BH39</f>
        <v>0</v>
      </c>
      <c r="AY40" s="256"/>
      <c r="AZ40" s="247" t="str">
        <f>'[1]February - 2023'!BM39</f>
        <v>Chiller # 1</v>
      </c>
      <c r="BA40" s="160">
        <f>'[1]February - 2023'!BN39</f>
        <v>0</v>
      </c>
      <c r="BB40" s="89">
        <f>'[1]February - 2023'!BO40</f>
        <v>0</v>
      </c>
      <c r="BC40" s="247" t="str">
        <f>'[1]February - 2023'!BP39</f>
        <v>Chiller # 2</v>
      </c>
      <c r="BD40" s="223">
        <f>'[1]February - 2023'!BQ39</f>
        <v>0</v>
      </c>
      <c r="BE40" s="89">
        <f>'[1]February - 2023'!BR39</f>
        <v>0</v>
      </c>
      <c r="BF40" s="247" t="str">
        <f>'[1]February - 2023'!BS39</f>
        <v>Chiller # 3</v>
      </c>
      <c r="BG40" s="223">
        <f>'[1]February - 2023'!BT39</f>
        <v>0</v>
      </c>
      <c r="BH40" s="89">
        <f>'[1]February - 2023'!BU39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48" t="str">
        <f>'[1]February - 2023'!BV39</f>
        <v>Heat Exchanger</v>
      </c>
      <c r="BT40" s="165">
        <f>'[1]February - 2023'!BW39</f>
        <v>0</v>
      </c>
      <c r="BU40" s="257"/>
      <c r="BV40" s="84" t="str">
        <f>'[1]February - 2023'!BY39</f>
        <v>LPG TOTAL CONSUMPTION</v>
      </c>
      <c r="BW40" s="219">
        <f>'[1]February - 2023'!BZ39</f>
        <v>0</v>
      </c>
      <c r="BX40" s="84">
        <f>'[1]February - 2023'!CA39</f>
        <v>0</v>
      </c>
      <c r="BY40" s="85" t="str">
        <f>'[1]February - 2023'!CB39</f>
        <v>Ird Kitchen</v>
      </c>
      <c r="BZ40" s="171">
        <f>'[1]February - 2023'!CC39</f>
        <v>0</v>
      </c>
      <c r="CA40" s="85" t="str">
        <f>'[1]February - 2023'!CD39</f>
        <v>Suq Kitchen</v>
      </c>
      <c r="CB40" s="171">
        <f>'[1]February - 2023'!CE39</f>
        <v>0</v>
      </c>
      <c r="CC40" s="85" t="str">
        <f>'[1]February - 2023'!CF39</f>
        <v>Bakery Kitchen</v>
      </c>
      <c r="CD40" s="171">
        <f>'[1]February - 2023'!CG39</f>
        <v>0</v>
      </c>
      <c r="CE40" s="85" t="str">
        <f>'[1]February - 2023'!CH39</f>
        <v>Shai Saloon Kitchen</v>
      </c>
      <c r="CF40" s="171">
        <f>'[1]February - 2023'!CI39</f>
        <v>0</v>
      </c>
      <c r="CG40" s="85" t="str">
        <f>'[1]February - 2023'!CJ39</f>
        <v>Banquet Kitchen</v>
      </c>
      <c r="CH40" s="171">
        <f>'[1]February - 2023'!CK39</f>
        <v>0</v>
      </c>
      <c r="CI40" s="85" t="str">
        <f>'[1]February - 2023'!CL39</f>
        <v>Sea Fu Kitchen</v>
      </c>
      <c r="CJ40" s="171">
        <f>'[1]February - 2023'!CM39</f>
        <v>0</v>
      </c>
      <c r="CK40" s="85" t="str">
        <f>'[1]February - 2023'!CN39</f>
        <v>Steam Boiler</v>
      </c>
      <c r="CL40" s="224">
        <f>'[1]February - 2023'!CO39</f>
        <v>0</v>
      </c>
      <c r="CM40" s="85">
        <f>'[1]February - 2023'!CP39</f>
        <v>0</v>
      </c>
      <c r="CN40" s="85" t="str">
        <f>'[1]February - 2023'!CQ39</f>
        <v>Solar Hot Water Boiler</v>
      </c>
      <c r="CO40" s="224">
        <f>'[1]February - 2023'!CR39</f>
        <v>0</v>
      </c>
      <c r="CP40" s="85">
        <f>'[1]February - 2023'!CV39</f>
        <v>0</v>
      </c>
      <c r="CQ40" s="85" t="str">
        <f>'[1]February - 2023'!CT39</f>
        <v>Lthw Boiler</v>
      </c>
      <c r="CR40" s="224">
        <f>'[1]February - 2023'!CU39</f>
        <v>0</v>
      </c>
      <c r="CS40" s="85">
        <f>'[1]February - 2023'!CV39</f>
        <v>0</v>
      </c>
      <c r="CT40" s="85" t="str">
        <f>'[1]February - 2023'!CW39</f>
        <v>Steam Boiler Steam Meter Reading Kg</v>
      </c>
      <c r="CU40" s="171">
        <f>'[1]February - 2023'!CX39</f>
        <v>0</v>
      </c>
      <c r="CV40" s="485"/>
      <c r="CW40" s="259" t="str">
        <f>'[1]February - 2023'!CZ39</f>
        <v>Jean George Water Meter Reading</v>
      </c>
      <c r="CX40" s="262">
        <f>'[1]February - 2023'!DA39</f>
        <v>0</v>
      </c>
      <c r="CY40" s="260">
        <f>'[1]February - 2023'!DB39</f>
        <v>0</v>
      </c>
      <c r="CZ40" s="262">
        <f>'[1]February - 2023'!DC39</f>
        <v>0</v>
      </c>
      <c r="DA40" s="260" t="str">
        <f>'[1]February - 2023'!DD39</f>
        <v>Coya Water Meter Reading M³</v>
      </c>
      <c r="DB40" s="262">
        <f>'[1]February - 2023'!DE39</f>
        <v>0</v>
      </c>
      <c r="DC40" s="260">
        <f>'[1]February - 2023'!DF39</f>
        <v>0</v>
      </c>
      <c r="DD40" s="262">
        <f>'[1]February - 2023'!DG39</f>
        <v>0</v>
      </c>
      <c r="DE40" s="260" t="str">
        <f>'[1]February - 2023'!DH39</f>
        <v>Nusret Water meter Reading M³</v>
      </c>
      <c r="DF40" s="262">
        <f>'[1]February - 2023'!DI39</f>
        <v>0</v>
      </c>
      <c r="DG40" s="260">
        <f>'[1]February - 2023'!DJ39</f>
        <v>0</v>
      </c>
      <c r="DH40" s="262">
        <f>'[1]February - 2023'!DK39</f>
        <v>0</v>
      </c>
      <c r="DI40" s="260" t="str">
        <f>'[1]February - 2023'!DL39</f>
        <v>Provoceteur Meter Reading M³</v>
      </c>
      <c r="DJ40" s="262">
        <f>'[1]February - 2023'!DM39</f>
        <v>0</v>
      </c>
      <c r="DK40" s="260">
        <f>'[1]February - 2023'!DN39</f>
        <v>0</v>
      </c>
      <c r="DL40" s="262">
        <f>'[1]February - 2023'!DO39</f>
        <v>0</v>
      </c>
      <c r="DM40" s="260" t="str">
        <f>'[1]February - 2023'!DP39</f>
        <v>Scalini Meter Reading M³</v>
      </c>
      <c r="DN40" s="262">
        <f>'[1]February - 2023'!DQ39</f>
        <v>0</v>
      </c>
      <c r="DO40" s="260">
        <f>'[1]February - 2023'!DR39</f>
        <v>0</v>
      </c>
      <c r="DP40" s="262">
        <f>'[1]February - 2023'!DS39</f>
        <v>0</v>
      </c>
      <c r="DQ40" s="260" t="str">
        <f>'[1]February - 2023'!DT39</f>
        <v>Irrigation</v>
      </c>
      <c r="DR40" s="263">
        <f>'[1]February - 2023'!DU39</f>
        <v>0</v>
      </c>
      <c r="DS40" s="501"/>
      <c r="DT40" s="189" t="str">
        <f>'[1]February - 2023'!DW39</f>
        <v>MDB - Coya</v>
      </c>
      <c r="DU40" s="200">
        <f>'[1]February - 2023'!DX39</f>
        <v>0</v>
      </c>
      <c r="DV40" s="87" t="str">
        <f>'[1]February - 2023'!DY39</f>
        <v>MDB Jean George</v>
      </c>
      <c r="DW40" s="194">
        <f>'[1]February - 2023'!DZ39</f>
        <v>0</v>
      </c>
      <c r="DX40" s="87" t="str">
        <f>'[1]February - 2023'!EA39</f>
        <v>MDB - Nusret</v>
      </c>
      <c r="DY40" s="194">
        <f>'[1]February - 2023'!EB39</f>
        <v>0</v>
      </c>
      <c r="DZ40" s="87" t="str">
        <f>'[1]February - 2023'!EC39</f>
        <v>Peovoceteur SMDB</v>
      </c>
      <c r="EA40" s="194">
        <f>'[1]February - 2023'!ED39</f>
        <v>0</v>
      </c>
      <c r="EB40" s="87">
        <f>'[1]February - 2023'!EE39</f>
        <v>0</v>
      </c>
      <c r="EC40" s="194">
        <f>'[1]February - 2023'!EF39</f>
        <v>0</v>
      </c>
      <c r="ED40" s="87" t="str">
        <f>'[1]February - 2023'!EI39</f>
        <v>Common ESMDB</v>
      </c>
      <c r="EE40" s="207">
        <f>'[1]February - 2023'!EJ39</f>
        <v>0</v>
      </c>
      <c r="EF40" s="548"/>
      <c r="EG40" s="213" t="str">
        <f>'[1]February - 2023'!EL39</f>
        <v>Coya Btu</v>
      </c>
      <c r="EH40" s="208">
        <f>'[1]February - 2023'!EM39</f>
        <v>0</v>
      </c>
      <c r="EI40" s="86" t="str">
        <f>'[1]February - 2023'!EN39</f>
        <v>Coya Cold Room Btu</v>
      </c>
      <c r="EJ40" s="208">
        <f>'[1]February - 2023'!EO39</f>
        <v>0</v>
      </c>
      <c r="EK40" s="86" t="str">
        <f>'[1]February - 2023'!EP39</f>
        <v>Nusret Btu</v>
      </c>
      <c r="EL40" s="208">
        <f>'[1]February - 2023'!EQ39</f>
        <v>0</v>
      </c>
      <c r="EM40" s="86" t="str">
        <f>'[1]February - 2023'!ER39</f>
        <v>Provocateur- A</v>
      </c>
      <c r="EN40" s="208">
        <f>'[1]February - 2023'!ES39</f>
        <v>0</v>
      </c>
      <c r="EO40" s="86" t="str">
        <f>'[1]February - 2023'!ET39</f>
        <v>Provocateur- B</v>
      </c>
      <c r="EP40" s="208">
        <f>'[1]February - 2023'!EU39</f>
        <v>0</v>
      </c>
      <c r="EQ40" s="86" t="str">
        <f>'[1]February - 2023'!EV39</f>
        <v>Jean George Btu</v>
      </c>
      <c r="ER40" s="208">
        <f>'[1]February - 2023'!EW39</f>
        <v>0</v>
      </c>
      <c r="ES40" s="524"/>
      <c r="ET40" s="253" t="str">
        <f>'[1]February - 2023'!EY39</f>
        <v>Coya Lpg</v>
      </c>
      <c r="EU40" s="266">
        <f>'[1]February - 2023'!EZ39</f>
        <v>0</v>
      </c>
      <c r="EV40" s="254" t="str">
        <f>'[1]February - 2023'!FA39</f>
        <v>Nusret Lpg</v>
      </c>
      <c r="EW40" s="266">
        <f>'[1]February - 2023'!FB39</f>
        <v>0</v>
      </c>
      <c r="EX40" s="254" t="str">
        <f>'[1]February - 2023'!FC39</f>
        <v>Provocateur Lpg</v>
      </c>
      <c r="EY40" s="266">
        <f>'[1]February - 2023'!FD39</f>
        <v>0</v>
      </c>
      <c r="EZ40" s="254" t="str">
        <f>'[1]February - 2023'!FE39</f>
        <v>Jean George Lpg</v>
      </c>
      <c r="FA40" s="266">
        <f>'[1]February - 2023'!FF39</f>
        <v>0</v>
      </c>
      <c r="FB40" s="254" t="str">
        <f>'[1]February - 2023'!FG39</f>
        <v>Scalini</v>
      </c>
      <c r="FC40" s="264">
        <f>'[1]February - 2023'!FH39</f>
        <v>0</v>
      </c>
    </row>
    <row r="41" spans="1:160" s="29" customFormat="1" ht="14.25" customHeight="1" thickBot="1" x14ac:dyDescent="0.35">
      <c r="A41" s="395"/>
      <c r="B41" s="396"/>
      <c r="C41" s="396"/>
      <c r="D41" s="396"/>
      <c r="E41" s="396"/>
      <c r="F41" s="396"/>
      <c r="G41" s="396"/>
      <c r="H41" s="396"/>
      <c r="I41" s="396"/>
      <c r="J41" s="396"/>
      <c r="K41" s="396"/>
      <c r="L41" s="396"/>
      <c r="M41" s="396"/>
      <c r="N41" s="396"/>
      <c r="O41" s="396"/>
      <c r="P41" s="396"/>
      <c r="Q41" s="396"/>
      <c r="R41" s="396"/>
      <c r="S41" s="396"/>
      <c r="T41" s="397"/>
      <c r="U41" s="396"/>
      <c r="V41" s="396"/>
      <c r="W41" s="396"/>
      <c r="X41" s="396"/>
      <c r="Y41" s="396"/>
      <c r="Z41" s="396"/>
      <c r="AA41" s="396"/>
      <c r="AB41" s="396"/>
      <c r="AC41" s="396"/>
      <c r="AD41" s="396"/>
      <c r="AE41" s="396"/>
      <c r="AF41" s="396"/>
      <c r="AG41" s="396"/>
      <c r="AH41" s="396"/>
      <c r="AI41" s="396"/>
      <c r="AJ41" s="396"/>
      <c r="AK41" s="396"/>
      <c r="AL41" s="396"/>
      <c r="AM41" s="396"/>
      <c r="AN41" s="396"/>
      <c r="AO41" s="396"/>
      <c r="AP41" s="396"/>
      <c r="AQ41" s="396"/>
      <c r="AR41" s="396"/>
      <c r="AS41" s="396"/>
      <c r="AT41" s="396"/>
      <c r="AU41" s="396"/>
      <c r="AV41" s="396"/>
      <c r="AW41" s="396"/>
      <c r="AX41" s="396"/>
      <c r="AY41" s="398"/>
      <c r="AZ41" s="396"/>
      <c r="BA41" s="396"/>
      <c r="BB41" s="396"/>
      <c r="BC41" s="396"/>
      <c r="BD41" s="396"/>
      <c r="BE41" s="396"/>
      <c r="BF41" s="396"/>
      <c r="BG41" s="396"/>
      <c r="BH41" s="396"/>
      <c r="BI41" s="396"/>
      <c r="BJ41" s="396"/>
      <c r="BK41" s="396"/>
      <c r="BL41" s="396"/>
      <c r="BM41" s="396"/>
      <c r="BN41" s="396"/>
      <c r="BO41" s="396"/>
      <c r="BP41" s="396"/>
      <c r="BQ41" s="396"/>
      <c r="BR41" s="396"/>
      <c r="BS41" s="396"/>
      <c r="BT41" s="396"/>
      <c r="BU41" s="399"/>
      <c r="BV41" s="396"/>
      <c r="BW41" s="396"/>
      <c r="BX41" s="396"/>
      <c r="BY41" s="396"/>
      <c r="BZ41" s="396"/>
      <c r="CA41" s="396"/>
      <c r="CB41" s="396"/>
      <c r="CC41" s="396"/>
      <c r="CD41" s="396"/>
      <c r="CE41" s="396"/>
      <c r="CF41" s="396"/>
      <c r="CG41" s="396"/>
      <c r="CH41" s="396"/>
      <c r="CI41" s="396"/>
      <c r="CJ41" s="396"/>
      <c r="CK41" s="396"/>
      <c r="CL41" s="396"/>
      <c r="CM41" s="396"/>
      <c r="CN41" s="396"/>
      <c r="CO41" s="396"/>
      <c r="CP41" s="396"/>
      <c r="CQ41" s="396"/>
      <c r="CR41" s="396"/>
      <c r="CS41" s="396"/>
      <c r="CT41" s="396"/>
      <c r="CU41" s="396"/>
      <c r="CV41" s="485"/>
      <c r="CW41" s="487"/>
      <c r="CX41" s="487"/>
      <c r="CY41" s="487"/>
      <c r="CZ41" s="487"/>
      <c r="DA41" s="487"/>
      <c r="DB41" s="487"/>
      <c r="DC41" s="487"/>
      <c r="DD41" s="487"/>
      <c r="DE41" s="487"/>
      <c r="DF41" s="487"/>
      <c r="DG41" s="487"/>
      <c r="DH41" s="487"/>
      <c r="DI41" s="487"/>
      <c r="DJ41" s="487"/>
      <c r="DK41" s="487"/>
      <c r="DL41" s="487"/>
      <c r="DM41" s="487"/>
      <c r="DN41" s="487"/>
      <c r="DO41" s="487"/>
      <c r="DP41" s="487"/>
      <c r="DQ41" s="487"/>
      <c r="DR41" s="488"/>
      <c r="DS41" s="502"/>
      <c r="DT41" s="503"/>
      <c r="DU41" s="504"/>
      <c r="DV41" s="504"/>
      <c r="DW41" s="504"/>
      <c r="DX41" s="504"/>
      <c r="DY41" s="504"/>
      <c r="DZ41" s="504"/>
      <c r="EA41" s="504"/>
      <c r="EB41" s="504"/>
      <c r="EC41" s="504"/>
      <c r="ED41" s="504"/>
      <c r="EE41" s="505"/>
      <c r="EF41" s="549"/>
      <c r="EG41" s="530"/>
      <c r="EH41" s="530"/>
      <c r="EI41" s="530"/>
      <c r="EJ41" s="530"/>
      <c r="EK41" s="530"/>
      <c r="EL41" s="530"/>
      <c r="EM41" s="530"/>
      <c r="EN41" s="530"/>
      <c r="EO41" s="530"/>
      <c r="EP41" s="530"/>
      <c r="EQ41" s="530"/>
      <c r="ER41" s="530"/>
      <c r="ES41" s="524"/>
      <c r="ET41" s="531"/>
      <c r="EU41" s="531"/>
      <c r="EV41" s="531"/>
      <c r="EW41" s="531"/>
      <c r="EX41" s="531"/>
      <c r="EY41" s="531"/>
      <c r="EZ41" s="531"/>
      <c r="FA41" s="531"/>
      <c r="FB41" s="531"/>
      <c r="FC41" s="531"/>
      <c r="FD41" s="28"/>
    </row>
    <row r="42" spans="1:160" ht="28.5" customHeight="1" thickBot="1" x14ac:dyDescent="0.35">
      <c r="A42" s="375" t="s">
        <v>193</v>
      </c>
      <c r="B42" s="376"/>
      <c r="C42" s="376"/>
      <c r="D42" s="376"/>
      <c r="E42" s="376"/>
      <c r="F42" s="376"/>
      <c r="G42" s="376"/>
      <c r="H42" s="376"/>
      <c r="I42" s="376"/>
      <c r="J42" s="376"/>
      <c r="K42" s="376"/>
      <c r="L42" s="376"/>
      <c r="M42" s="376"/>
      <c r="N42" s="376"/>
      <c r="O42" s="376"/>
      <c r="P42" s="376"/>
      <c r="Q42" s="376"/>
      <c r="R42" s="376"/>
      <c r="S42" s="377"/>
      <c r="T42" s="378"/>
      <c r="U42" s="381" t="s">
        <v>194</v>
      </c>
      <c r="V42" s="381"/>
      <c r="W42" s="381"/>
      <c r="X42" s="381"/>
      <c r="Y42" s="381"/>
      <c r="Z42" s="381"/>
      <c r="AA42" s="381"/>
      <c r="AB42" s="381"/>
      <c r="AC42" s="381"/>
      <c r="AD42" s="381"/>
      <c r="AE42" s="381"/>
      <c r="AF42" s="381"/>
      <c r="AG42" s="381"/>
      <c r="AH42" s="381"/>
      <c r="AI42" s="381"/>
      <c r="AJ42" s="381"/>
      <c r="AK42" s="381"/>
      <c r="AL42" s="381"/>
      <c r="AM42" s="381"/>
      <c r="AN42" s="381"/>
      <c r="AO42" s="381"/>
      <c r="AP42" s="381"/>
      <c r="AQ42" s="381"/>
      <c r="AR42" s="381"/>
      <c r="AS42" s="381"/>
      <c r="AT42" s="381"/>
      <c r="AU42" s="381"/>
      <c r="AV42" s="381"/>
      <c r="AW42" s="381"/>
      <c r="AX42" s="381"/>
      <c r="AY42" s="382"/>
      <c r="AZ42" s="383" t="s">
        <v>156</v>
      </c>
      <c r="BA42" s="384"/>
      <c r="BB42" s="384"/>
      <c r="BC42" s="384"/>
      <c r="BD42" s="384"/>
      <c r="BE42" s="384"/>
      <c r="BF42" s="384"/>
      <c r="BG42" s="384"/>
      <c r="BH42" s="385"/>
      <c r="BI42" s="386"/>
      <c r="BJ42" s="387"/>
      <c r="BK42" s="387"/>
      <c r="BL42" s="387"/>
      <c r="BM42" s="387"/>
      <c r="BN42" s="387"/>
      <c r="BO42" s="387"/>
      <c r="BP42" s="387"/>
      <c r="BQ42" s="387"/>
      <c r="BR42" s="388"/>
      <c r="BS42" s="389" t="s">
        <v>157</v>
      </c>
      <c r="BT42" s="390"/>
      <c r="BU42" s="30"/>
      <c r="BV42" s="542" t="s">
        <v>188</v>
      </c>
      <c r="BW42" s="543"/>
      <c r="BX42" s="543"/>
      <c r="BY42" s="543"/>
      <c r="BZ42" s="543"/>
      <c r="CA42" s="543"/>
      <c r="CB42" s="543"/>
      <c r="CC42" s="543"/>
      <c r="CD42" s="543"/>
      <c r="CE42" s="543"/>
      <c r="CF42" s="543"/>
      <c r="CG42" s="543"/>
      <c r="CH42" s="543"/>
      <c r="CI42" s="543"/>
      <c r="CJ42" s="543"/>
      <c r="CK42" s="543"/>
      <c r="CL42" s="543"/>
      <c r="CM42" s="543"/>
      <c r="CN42" s="543"/>
      <c r="CO42" s="543"/>
      <c r="CP42" s="543"/>
      <c r="CQ42" s="543"/>
      <c r="CR42" s="543"/>
      <c r="CS42" s="543"/>
      <c r="CT42" s="543"/>
      <c r="CU42" s="544"/>
      <c r="CV42" s="485"/>
      <c r="CW42" s="391"/>
      <c r="CX42" s="392"/>
      <c r="CY42" s="392"/>
      <c r="CZ42" s="392"/>
      <c r="DA42" s="392"/>
      <c r="DB42" s="392"/>
      <c r="DC42" s="392"/>
      <c r="DD42" s="392"/>
      <c r="DE42" s="392"/>
      <c r="DF42" s="392"/>
      <c r="DG42" s="392"/>
      <c r="DH42" s="392"/>
      <c r="DI42" s="392"/>
      <c r="DJ42" s="392"/>
      <c r="DK42" s="392"/>
      <c r="DL42" s="392"/>
      <c r="DM42" s="392"/>
      <c r="DN42" s="392"/>
      <c r="DO42" s="392"/>
      <c r="DP42" s="392"/>
      <c r="DQ42" s="392"/>
      <c r="DR42" s="393"/>
      <c r="DS42" s="502"/>
      <c r="DT42" s="9"/>
      <c r="DU42" s="160" t="s">
        <v>158</v>
      </c>
      <c r="DV42" s="9"/>
      <c r="DW42" s="195"/>
      <c r="DX42" s="9"/>
      <c r="DY42" s="160"/>
      <c r="DZ42" s="9"/>
      <c r="EA42" s="160"/>
      <c r="EB42" s="9"/>
      <c r="EC42" s="204"/>
      <c r="ED42" s="10"/>
      <c r="EE42" s="204"/>
      <c r="EF42" s="549"/>
      <c r="EG42" s="252"/>
      <c r="EH42" s="171"/>
      <c r="EI42" s="252"/>
      <c r="EJ42" s="209"/>
      <c r="EK42" s="85"/>
      <c r="EL42" s="171"/>
      <c r="EM42" s="252"/>
      <c r="EN42" s="171"/>
      <c r="EO42" s="252"/>
      <c r="EP42" s="171"/>
      <c r="EQ42" s="85"/>
      <c r="ER42" s="171"/>
      <c r="ES42" s="524"/>
      <c r="ET42" s="11"/>
      <c r="EU42" s="210"/>
      <c r="EV42" s="12"/>
      <c r="EW42" s="210"/>
      <c r="EX42" s="12"/>
      <c r="EY42" s="212"/>
      <c r="EZ42" s="12"/>
      <c r="FA42" s="210"/>
      <c r="FB42" s="90"/>
      <c r="FC42" s="211"/>
    </row>
    <row r="43" spans="1:160" ht="34.5" customHeight="1" thickBot="1" x14ac:dyDescent="0.35">
      <c r="A43" s="394" t="s">
        <v>159</v>
      </c>
      <c r="B43" s="394"/>
      <c r="C43" s="352" t="s">
        <v>160</v>
      </c>
      <c r="D43" s="352"/>
      <c r="E43" s="353"/>
      <c r="F43" s="351" t="s">
        <v>161</v>
      </c>
      <c r="G43" s="352"/>
      <c r="H43" s="353"/>
      <c r="I43" s="357" t="s">
        <v>162</v>
      </c>
      <c r="J43" s="357"/>
      <c r="K43" s="357" t="s">
        <v>163</v>
      </c>
      <c r="L43" s="357"/>
      <c r="M43" s="357"/>
      <c r="N43" s="357"/>
      <c r="O43" s="351" t="s">
        <v>164</v>
      </c>
      <c r="P43" s="352"/>
      <c r="Q43" s="352"/>
      <c r="R43" s="352"/>
      <c r="S43" s="352"/>
      <c r="T43" s="379"/>
      <c r="U43" s="351" t="s">
        <v>165</v>
      </c>
      <c r="V43" s="352"/>
      <c r="W43" s="353"/>
      <c r="X43" s="351" t="s">
        <v>166</v>
      </c>
      <c r="Y43" s="352"/>
      <c r="Z43" s="353"/>
      <c r="AA43" s="351" t="s">
        <v>167</v>
      </c>
      <c r="AB43" s="352"/>
      <c r="AC43" s="353"/>
      <c r="AD43" s="351" t="s">
        <v>168</v>
      </c>
      <c r="AE43" s="352"/>
      <c r="AF43" s="353"/>
      <c r="AG43" s="351" t="s">
        <v>169</v>
      </c>
      <c r="AH43" s="352"/>
      <c r="AI43" s="353"/>
      <c r="AJ43" s="351" t="s">
        <v>170</v>
      </c>
      <c r="AK43" s="352"/>
      <c r="AL43" s="353"/>
      <c r="AM43" s="351" t="s">
        <v>171</v>
      </c>
      <c r="AN43" s="352"/>
      <c r="AO43" s="353"/>
      <c r="AP43" s="351" t="s">
        <v>172</v>
      </c>
      <c r="AQ43" s="352"/>
      <c r="AR43" s="353"/>
      <c r="AS43" s="351" t="s">
        <v>173</v>
      </c>
      <c r="AT43" s="352"/>
      <c r="AU43" s="353"/>
      <c r="AV43" s="351" t="s">
        <v>174</v>
      </c>
      <c r="AW43" s="352"/>
      <c r="AX43" s="352"/>
      <c r="AY43" s="354"/>
      <c r="AZ43" s="545" t="s">
        <v>175</v>
      </c>
      <c r="BA43" s="546"/>
      <c r="BB43" s="546"/>
      <c r="BC43" s="546" t="s">
        <v>176</v>
      </c>
      <c r="BD43" s="546"/>
      <c r="BE43" s="546"/>
      <c r="BF43" s="546" t="s">
        <v>177</v>
      </c>
      <c r="BG43" s="546"/>
      <c r="BH43" s="546"/>
      <c r="BI43" s="355"/>
      <c r="BJ43" s="356"/>
      <c r="BK43" s="355"/>
      <c r="BL43" s="356"/>
      <c r="BM43" s="355"/>
      <c r="BN43" s="356"/>
      <c r="BO43" s="355"/>
      <c r="BP43" s="356"/>
      <c r="BQ43" s="355"/>
      <c r="BR43" s="356"/>
      <c r="BS43" s="355" t="s">
        <v>178</v>
      </c>
      <c r="BT43" s="356"/>
      <c r="BU43" s="361"/>
      <c r="BV43" s="362" t="s">
        <v>103</v>
      </c>
      <c r="BW43" s="363"/>
      <c r="BX43" s="91"/>
      <c r="BY43" s="364" t="s">
        <v>104</v>
      </c>
      <c r="BZ43" s="364"/>
      <c r="CA43" s="359" t="s">
        <v>105</v>
      </c>
      <c r="CB43" s="360"/>
      <c r="CC43" s="359" t="s">
        <v>106</v>
      </c>
      <c r="CD43" s="360"/>
      <c r="CE43" s="359" t="s">
        <v>107</v>
      </c>
      <c r="CF43" s="360"/>
      <c r="CG43" s="359" t="s">
        <v>108</v>
      </c>
      <c r="CH43" s="360"/>
      <c r="CI43" s="359" t="s">
        <v>109</v>
      </c>
      <c r="CJ43" s="360"/>
      <c r="CK43" s="370" t="s">
        <v>110</v>
      </c>
      <c r="CL43" s="371"/>
      <c r="CM43" s="372"/>
      <c r="CN43" s="367" t="s">
        <v>111</v>
      </c>
      <c r="CO43" s="368"/>
      <c r="CP43" s="369"/>
      <c r="CQ43" s="370" t="s">
        <v>179</v>
      </c>
      <c r="CR43" s="371"/>
      <c r="CS43" s="372"/>
      <c r="CT43" s="342" t="s">
        <v>180</v>
      </c>
      <c r="CU43" s="343"/>
      <c r="CV43" s="485"/>
      <c r="CW43" s="13"/>
      <c r="CX43" s="179"/>
      <c r="CY43" s="14"/>
      <c r="CZ43" s="179"/>
      <c r="DA43" s="14"/>
      <c r="DB43" s="179"/>
      <c r="DC43" s="14"/>
      <c r="DD43" s="179"/>
      <c r="DE43" s="14"/>
      <c r="DF43" s="179"/>
      <c r="DG43" s="14"/>
      <c r="DH43" s="179"/>
      <c r="DI43" s="14"/>
      <c r="DJ43" s="182"/>
      <c r="DK43" s="15"/>
      <c r="DL43" s="182"/>
      <c r="DM43" s="15"/>
      <c r="DN43" s="182"/>
      <c r="DO43" s="15"/>
      <c r="DP43" s="182"/>
      <c r="DQ43" s="15"/>
      <c r="DR43" s="182"/>
      <c r="DS43" s="502"/>
      <c r="DT43" s="9"/>
      <c r="DU43" s="160"/>
      <c r="DV43" s="9"/>
      <c r="DW43" s="195"/>
      <c r="DX43" s="9"/>
      <c r="DY43" s="160"/>
      <c r="DZ43" s="9"/>
      <c r="EA43" s="160"/>
      <c r="EB43" s="9"/>
      <c r="EC43" s="204"/>
      <c r="ED43" s="10"/>
      <c r="EE43" s="204"/>
      <c r="EF43" s="549"/>
      <c r="EG43" s="252"/>
      <c r="EH43" s="171"/>
      <c r="EI43" s="252"/>
      <c r="EJ43" s="209"/>
      <c r="EK43" s="85"/>
      <c r="EL43" s="171"/>
      <c r="EM43" s="252"/>
      <c r="EN43" s="171"/>
      <c r="EO43" s="252"/>
      <c r="EP43" s="171"/>
      <c r="EQ43" s="85"/>
      <c r="ER43" s="171"/>
      <c r="ES43" s="524"/>
      <c r="ET43" s="16"/>
      <c r="EU43" s="211"/>
      <c r="EV43" s="90"/>
      <c r="EW43" s="211"/>
      <c r="EX43" s="90"/>
      <c r="EY43" s="211"/>
      <c r="EZ43" s="90"/>
      <c r="FA43" s="211"/>
      <c r="FB43" s="90"/>
      <c r="FC43" s="211"/>
    </row>
    <row r="44" spans="1:160" ht="40.5" customHeight="1" x14ac:dyDescent="0.25">
      <c r="A44" s="400" t="s">
        <v>195</v>
      </c>
      <c r="B44" s="400"/>
      <c r="C44" s="401">
        <f>SUM(E9:E24)</f>
        <v>8223</v>
      </c>
      <c r="D44" s="402"/>
      <c r="E44" s="403"/>
      <c r="F44" s="404">
        <f>SUM(H9:H24)</f>
        <v>1758898</v>
      </c>
      <c r="G44" s="405"/>
      <c r="H44" s="406"/>
      <c r="I44" s="404"/>
      <c r="J44" s="406"/>
      <c r="K44" s="407"/>
      <c r="L44" s="408"/>
      <c r="M44" s="409"/>
      <c r="N44" s="409"/>
      <c r="O44" s="404">
        <f>SUM(Q9:Q24)</f>
        <v>1400</v>
      </c>
      <c r="P44" s="405"/>
      <c r="Q44" s="406"/>
      <c r="R44" s="410"/>
      <c r="S44" s="411"/>
      <c r="T44" s="379"/>
      <c r="U44" s="348">
        <f>SUM(W9:W24)</f>
        <v>37709.279999999329</v>
      </c>
      <c r="V44" s="349"/>
      <c r="W44" s="350"/>
      <c r="X44" s="348">
        <f>SUM(Z9:Z24)</f>
        <v>69767.040000000969</v>
      </c>
      <c r="Y44" s="349"/>
      <c r="Z44" s="350"/>
      <c r="AA44" s="348">
        <f>SUM(AC9:AC24)</f>
        <v>3946.3199999984354</v>
      </c>
      <c r="AB44" s="349"/>
      <c r="AC44" s="350"/>
      <c r="AD44" s="348">
        <f>SUM(AF9:AF24)</f>
        <v>92519.279999997467</v>
      </c>
      <c r="AE44" s="349"/>
      <c r="AF44" s="350"/>
      <c r="AG44" s="348">
        <f>SUM(AI9:AI24)</f>
        <v>41265.839999999851</v>
      </c>
      <c r="AH44" s="349"/>
      <c r="AI44" s="350"/>
      <c r="AJ44" s="348">
        <f>SUM(AL9:AL24)</f>
        <v>86185.680000001565</v>
      </c>
      <c r="AK44" s="349"/>
      <c r="AL44" s="350"/>
      <c r="AM44" s="348">
        <f>SUM(AO9:AO24)</f>
        <v>62020.559999998659</v>
      </c>
      <c r="AN44" s="349"/>
      <c r="AO44" s="350"/>
      <c r="AP44" s="348">
        <f>SUM(AR9:AR24)</f>
        <v>63823.199999999255</v>
      </c>
      <c r="AQ44" s="349"/>
      <c r="AR44" s="350"/>
      <c r="AS44" s="348">
        <f>SUM(AU9:AU24)</f>
        <v>48817.439999999478</v>
      </c>
      <c r="AT44" s="349"/>
      <c r="AU44" s="350"/>
      <c r="AV44" s="348">
        <f>SUM(AX9:AX24)</f>
        <v>81459.839999997988</v>
      </c>
      <c r="AW44" s="349"/>
      <c r="AX44" s="349"/>
      <c r="AY44" s="354"/>
      <c r="AZ44" s="349">
        <f>SUM(BB9:BB24)</f>
        <v>0</v>
      </c>
      <c r="BA44" s="349"/>
      <c r="BB44" s="349"/>
      <c r="BC44" s="348">
        <f>SUM(BE9:BE24)</f>
        <v>387300</v>
      </c>
      <c r="BD44" s="349"/>
      <c r="BE44" s="349"/>
      <c r="BF44" s="344">
        <f>SUM(BH9:BH24)</f>
        <v>177700</v>
      </c>
      <c r="BG44" s="344"/>
      <c r="BH44" s="344"/>
      <c r="BI44" s="92"/>
      <c r="BJ44" s="92"/>
      <c r="BK44" s="92"/>
      <c r="BL44" s="92"/>
      <c r="BM44" s="92"/>
      <c r="BN44" s="92"/>
      <c r="BO44" s="92"/>
      <c r="BP44" s="92"/>
      <c r="BQ44" s="92"/>
      <c r="BR44" s="92"/>
      <c r="BS44" s="93"/>
      <c r="BT44" s="166"/>
      <c r="BU44" s="361"/>
      <c r="BV44" s="220"/>
      <c r="BW44" s="91"/>
      <c r="BX44" s="94"/>
      <c r="BY44" s="95"/>
      <c r="BZ44" s="172"/>
      <c r="CA44" s="95"/>
      <c r="CB44" s="172"/>
      <c r="CC44" s="95"/>
      <c r="CD44" s="172"/>
      <c r="CE44" s="95"/>
      <c r="CF44" s="172"/>
      <c r="CG44" s="95"/>
      <c r="CH44" s="172"/>
      <c r="CI44" s="95"/>
      <c r="CJ44" s="172"/>
      <c r="CK44" s="344">
        <f>SUM(CM9:CM24)</f>
        <v>1580</v>
      </c>
      <c r="CL44" s="344"/>
      <c r="CM44" s="344"/>
      <c r="CN44" s="344">
        <f>SUM(CP9:CP24)</f>
        <v>4763</v>
      </c>
      <c r="CO44" s="344"/>
      <c r="CP44" s="344"/>
      <c r="CQ44" s="344">
        <f>SUM(CS9:CS24)</f>
        <v>4763</v>
      </c>
      <c r="CR44" s="344"/>
      <c r="CS44" s="344"/>
      <c r="CT44" s="96"/>
      <c r="CU44" s="176"/>
      <c r="CV44" s="485"/>
      <c r="CW44" s="97"/>
      <c r="CX44" s="180"/>
      <c r="CY44" s="98"/>
      <c r="CZ44" s="180"/>
      <c r="DA44" s="98"/>
      <c r="DB44" s="180"/>
      <c r="DC44" s="98"/>
      <c r="DD44" s="180"/>
      <c r="DE44" s="98"/>
      <c r="DF44" s="180"/>
      <c r="DG44" s="98"/>
      <c r="DH44" s="180"/>
      <c r="DI44" s="98"/>
      <c r="DJ44" s="183"/>
      <c r="DK44" s="99"/>
      <c r="DL44" s="183"/>
      <c r="DM44" s="99"/>
      <c r="DN44" s="183"/>
      <c r="DO44" s="99"/>
      <c r="DP44" s="183"/>
      <c r="DQ44" s="99"/>
      <c r="DR44" s="183"/>
      <c r="DS44" s="502"/>
      <c r="DT44" s="17"/>
      <c r="DU44" s="201"/>
      <c r="DV44" s="17"/>
      <c r="DW44" s="196"/>
      <c r="DX44" s="17"/>
      <c r="DY44" s="201"/>
      <c r="DZ44" s="17"/>
      <c r="EA44" s="201"/>
      <c r="EB44" s="17"/>
      <c r="EC44" s="205"/>
      <c r="ED44" s="18"/>
      <c r="EE44" s="205"/>
      <c r="EF44" s="549"/>
      <c r="EG44" s="252"/>
      <c r="EH44" s="171"/>
      <c r="EI44" s="252"/>
      <c r="EJ44" s="209"/>
      <c r="EK44" s="85"/>
      <c r="EL44" s="171"/>
      <c r="EM44" s="252"/>
      <c r="EN44" s="171"/>
      <c r="EO44" s="252"/>
      <c r="EP44" s="171"/>
      <c r="EQ44" s="85"/>
      <c r="ER44" s="171"/>
      <c r="ES44" s="524"/>
      <c r="ET44" s="16"/>
      <c r="EU44" s="211"/>
      <c r="EV44" s="90"/>
      <c r="EW44" s="211"/>
      <c r="EX44" s="90"/>
      <c r="EY44" s="211"/>
      <c r="EZ44" s="90"/>
      <c r="FA44" s="211"/>
      <c r="FB44" s="90"/>
      <c r="FC44" s="211"/>
    </row>
    <row r="45" spans="1:160" ht="39" customHeight="1" x14ac:dyDescent="0.3">
      <c r="A45" s="561" t="s">
        <v>195</v>
      </c>
      <c r="B45" s="561"/>
      <c r="C45" s="562">
        <f>SUM(D9:D24)</f>
        <v>-243605</v>
      </c>
      <c r="D45" s="562"/>
      <c r="E45" s="563"/>
      <c r="F45" s="562">
        <f>SUM(G9:G24)</f>
        <v>-265812</v>
      </c>
      <c r="G45" s="562"/>
      <c r="H45" s="563"/>
      <c r="I45" s="564"/>
      <c r="J45" s="564"/>
      <c r="K45" s="564"/>
      <c r="L45" s="564"/>
      <c r="M45" s="564"/>
      <c r="N45" s="564"/>
      <c r="O45" s="562">
        <f>SUM(P9:P24)</f>
        <v>-120277</v>
      </c>
      <c r="P45" s="562"/>
      <c r="Q45" s="563"/>
      <c r="R45" s="565"/>
      <c r="S45" s="566"/>
      <c r="T45" s="380"/>
      <c r="U45" s="333">
        <f>SUM(V9:V24)</f>
        <v>-8278599.8399999999</v>
      </c>
      <c r="V45" s="333"/>
      <c r="W45" s="334"/>
      <c r="X45" s="333">
        <f>SUM(Y9:Y24)</f>
        <v>-15718143.84</v>
      </c>
      <c r="Y45" s="333"/>
      <c r="Z45" s="334"/>
      <c r="AA45" s="333">
        <f>SUM(AB9:AB24)</f>
        <v>-15913657.199999999</v>
      </c>
      <c r="AB45" s="333"/>
      <c r="AC45" s="334"/>
      <c r="AD45" s="333">
        <f>SUM(AE9:AE24)</f>
        <v>-19053368.879999999</v>
      </c>
      <c r="AE45" s="333"/>
      <c r="AF45" s="334"/>
      <c r="AG45" s="333">
        <f>SUM(AH9:AH24)</f>
        <v>-19316895.359999999</v>
      </c>
      <c r="AH45" s="333"/>
      <c r="AI45" s="334"/>
      <c r="AJ45" s="333">
        <f>SUM(AK9:AK24)</f>
        <v>-17853785.039999999</v>
      </c>
      <c r="AK45" s="333"/>
      <c r="AL45" s="334"/>
      <c r="AM45" s="333">
        <f>SUM(AN9:AN24)</f>
        <v>-15009949.919999998</v>
      </c>
      <c r="AN45" s="333"/>
      <c r="AO45" s="334"/>
      <c r="AP45" s="333">
        <f>SUM(AQ9:AQ24)</f>
        <v>-14552176.799999999</v>
      </c>
      <c r="AQ45" s="333"/>
      <c r="AR45" s="334"/>
      <c r="AS45" s="333">
        <f>SUM(AT9:AT24)</f>
        <v>-11342357.040000001</v>
      </c>
      <c r="AT45" s="333"/>
      <c r="AU45" s="334"/>
      <c r="AV45" s="333">
        <f>SUM(AW9:AW24)</f>
        <v>-18002722.080000002</v>
      </c>
      <c r="AW45" s="333"/>
      <c r="AX45" s="333"/>
      <c r="AY45" s="354"/>
      <c r="AZ45" s="334">
        <f>SUM(BA9:BA24)</f>
        <v>-78617600</v>
      </c>
      <c r="BA45" s="344"/>
      <c r="BB45" s="344"/>
      <c r="BC45" s="344">
        <f>SUM(BD9:BD24)</f>
        <v>-81547000</v>
      </c>
      <c r="BD45" s="344"/>
      <c r="BE45" s="344"/>
      <c r="BF45" s="344">
        <f>SUM(BG9:BG24)</f>
        <v>-75469900</v>
      </c>
      <c r="BG45" s="344"/>
      <c r="BH45" s="344"/>
      <c r="BI45" s="92"/>
      <c r="BJ45" s="92"/>
      <c r="BK45" s="92"/>
      <c r="BL45" s="92"/>
      <c r="BM45" s="92"/>
      <c r="BN45" s="92"/>
      <c r="BO45" s="92"/>
      <c r="BP45" s="92"/>
      <c r="BQ45" s="92"/>
      <c r="BR45" s="92"/>
      <c r="BS45" s="93"/>
      <c r="BT45" s="166"/>
      <c r="BU45" s="361"/>
      <c r="BV45" s="220"/>
      <c r="BW45" s="91"/>
      <c r="BX45" s="94"/>
      <c r="BY45" s="100"/>
      <c r="BZ45" s="173"/>
      <c r="CA45" s="100"/>
      <c r="CB45" s="173"/>
      <c r="CC45" s="100"/>
      <c r="CD45" s="173"/>
      <c r="CE45" s="100"/>
      <c r="CF45" s="173"/>
      <c r="CG45" s="100"/>
      <c r="CH45" s="173"/>
      <c r="CI45" s="100"/>
      <c r="CJ45" s="173"/>
      <c r="CK45" s="344">
        <f>SUM(CL9:CL24)</f>
        <v>-272050</v>
      </c>
      <c r="CL45" s="344"/>
      <c r="CM45" s="344"/>
      <c r="CN45" s="344">
        <f>SUM(CO9:CO24)</f>
        <v>-221087</v>
      </c>
      <c r="CO45" s="344"/>
      <c r="CP45" s="344"/>
      <c r="CQ45" s="344">
        <f>SUM(CR9:CR24)</f>
        <v>-369542</v>
      </c>
      <c r="CR45" s="344"/>
      <c r="CS45" s="344"/>
      <c r="CT45" s="101"/>
      <c r="CU45" s="177"/>
      <c r="CV45" s="485"/>
      <c r="CW45" s="102"/>
      <c r="CX45" s="181"/>
      <c r="CY45" s="103"/>
      <c r="CZ45" s="181"/>
      <c r="DA45" s="90"/>
      <c r="DB45" s="181"/>
      <c r="DC45" s="103"/>
      <c r="DD45" s="181"/>
      <c r="DE45" s="90"/>
      <c r="DF45" s="181"/>
      <c r="DG45" s="103"/>
      <c r="DH45" s="181"/>
      <c r="DI45" s="90"/>
      <c r="DJ45" s="184"/>
      <c r="DK45" s="104"/>
      <c r="DL45" s="19"/>
      <c r="DM45" s="105"/>
      <c r="DN45" s="19"/>
      <c r="DO45" s="105"/>
      <c r="DP45" s="19"/>
      <c r="DQ45" s="105"/>
      <c r="DR45" s="19"/>
      <c r="DS45" s="502"/>
      <c r="DT45" s="345" t="s">
        <v>181</v>
      </c>
      <c r="DU45" s="346"/>
      <c r="DV45" s="346"/>
      <c r="DW45" s="346"/>
      <c r="DX45" s="346"/>
      <c r="DY45" s="346"/>
      <c r="DZ45" s="346"/>
      <c r="EA45" s="346"/>
      <c r="EB45" s="346"/>
      <c r="EC45" s="346"/>
      <c r="ED45" s="346"/>
      <c r="EE45" s="346"/>
      <c r="EF45" s="346"/>
      <c r="EG45" s="346"/>
      <c r="EH45" s="346"/>
      <c r="EI45" s="346"/>
      <c r="EJ45" s="347"/>
      <c r="EK45" s="358"/>
      <c r="EL45" s="358"/>
      <c r="EM45" s="358"/>
      <c r="EN45" s="358"/>
      <c r="EO45" s="358"/>
      <c r="EP45" s="358"/>
      <c r="EQ45" s="358"/>
      <c r="ER45" s="358"/>
      <c r="ES45" s="19"/>
      <c r="ET45" s="20"/>
      <c r="EU45" s="211"/>
      <c r="EV45" s="90"/>
      <c r="EW45" s="211"/>
      <c r="EX45" s="90"/>
      <c r="EY45" s="211"/>
      <c r="EZ45" s="90"/>
      <c r="FA45" s="211"/>
      <c r="FB45" s="90"/>
      <c r="FC45" s="211"/>
    </row>
    <row r="46" spans="1:160" ht="24" customHeight="1" x14ac:dyDescent="0.25">
      <c r="A46" s="31" t="s">
        <v>182</v>
      </c>
      <c r="B46" s="136"/>
      <c r="C46" s="106"/>
      <c r="D46" s="132"/>
      <c r="E46" s="32"/>
      <c r="F46" s="106"/>
      <c r="G46" s="32"/>
      <c r="H46" s="32"/>
      <c r="I46" s="106"/>
      <c r="J46" s="32"/>
      <c r="K46" s="106"/>
      <c r="L46" s="32"/>
      <c r="M46" s="106"/>
      <c r="N46" s="32"/>
      <c r="O46" s="106"/>
      <c r="P46" s="32"/>
      <c r="Q46" s="32"/>
      <c r="R46" s="106"/>
      <c r="S46" s="32"/>
      <c r="T46" s="32"/>
      <c r="U46" s="106"/>
      <c r="V46" s="32"/>
      <c r="W46" s="32"/>
      <c r="X46" s="106"/>
      <c r="Y46" s="32"/>
      <c r="Z46" s="32"/>
      <c r="AA46" s="106"/>
      <c r="AB46" s="32"/>
      <c r="AC46" s="32"/>
      <c r="AD46" s="106"/>
      <c r="AE46" s="32"/>
      <c r="AF46" s="32"/>
      <c r="AG46" s="106"/>
      <c r="AH46" s="32"/>
      <c r="AI46" s="32"/>
      <c r="AJ46" s="106"/>
      <c r="AK46" s="32"/>
      <c r="AL46" s="32"/>
      <c r="AM46" s="106"/>
      <c r="AN46" s="32"/>
      <c r="AO46" s="32"/>
      <c r="AP46" s="106"/>
      <c r="AQ46" s="32"/>
      <c r="AR46" s="32"/>
      <c r="AS46" s="106"/>
      <c r="AT46" s="32"/>
      <c r="AU46" s="32"/>
      <c r="AV46" s="106"/>
      <c r="AW46" s="32"/>
      <c r="AX46" s="32"/>
      <c r="AY46" s="354"/>
      <c r="AZ46" s="373">
        <f>AZ44-AZ45</f>
        <v>78617600</v>
      </c>
      <c r="BA46" s="374"/>
      <c r="BB46" s="374"/>
      <c r="BC46" s="373">
        <f>BC45-BC44</f>
        <v>-81934300</v>
      </c>
      <c r="BD46" s="374"/>
      <c r="BE46" s="374"/>
      <c r="BF46" s="373">
        <f>BF45-BF44</f>
        <v>-75647600</v>
      </c>
      <c r="BG46" s="374"/>
      <c r="BH46" s="374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67"/>
      <c r="BU46" s="361"/>
      <c r="BV46" s="365"/>
      <c r="BW46" s="365"/>
      <c r="BX46" s="365"/>
      <c r="BY46" s="365"/>
      <c r="BZ46" s="365"/>
      <c r="CA46" s="365"/>
      <c r="CB46" s="365"/>
      <c r="CC46" s="365"/>
      <c r="CD46" s="365"/>
      <c r="CE46" s="365"/>
      <c r="CF46" s="365"/>
      <c r="CG46" s="365"/>
      <c r="CH46" s="365"/>
      <c r="CI46" s="365"/>
      <c r="CJ46" s="365"/>
      <c r="CK46" s="365"/>
      <c r="CL46" s="365"/>
      <c r="CM46" s="365"/>
      <c r="CN46" s="365"/>
      <c r="CO46" s="365"/>
      <c r="CP46" s="365"/>
      <c r="CQ46" s="365"/>
      <c r="CR46" s="365"/>
      <c r="CS46" s="365"/>
      <c r="CT46" s="365"/>
      <c r="CU46" s="366"/>
      <c r="CV46" s="485"/>
    </row>
    <row r="47" spans="1:160" ht="33.75" customHeight="1" x14ac:dyDescent="0.25">
      <c r="A47" s="341" t="s">
        <v>196</v>
      </c>
      <c r="B47" s="341"/>
      <c r="C47" s="329">
        <f>SUM(E9:E39)</f>
        <v>16458</v>
      </c>
      <c r="D47" s="330"/>
      <c r="E47" s="331"/>
      <c r="F47" s="329">
        <f>SUM(H9:H39)</f>
        <v>3365723</v>
      </c>
      <c r="G47" s="330"/>
      <c r="H47" s="331"/>
      <c r="I47" s="335">
        <v>7048.9</v>
      </c>
      <c r="J47" s="335"/>
      <c r="K47" s="335">
        <v>7702.2000000000116</v>
      </c>
      <c r="L47" s="335"/>
      <c r="M47" s="335"/>
      <c r="N47" s="335"/>
      <c r="O47" s="335">
        <f>SUM(Q9:Q39)</f>
        <v>3704.6000000000931</v>
      </c>
      <c r="P47" s="335"/>
      <c r="Q47" s="335"/>
      <c r="R47" s="329">
        <v>476</v>
      </c>
      <c r="S47" s="330"/>
      <c r="T47" s="336"/>
      <c r="U47" s="332">
        <f>SUM(W9:W39)</f>
        <v>75223.679999999702</v>
      </c>
      <c r="V47" s="333"/>
      <c r="W47" s="334"/>
      <c r="X47" s="332">
        <f>SUM(Z9:Z39)</f>
        <v>132274.80000000075</v>
      </c>
      <c r="Y47" s="333"/>
      <c r="Z47" s="334"/>
      <c r="AA47" s="332">
        <f>SUM(AC9:AC39)</f>
        <v>67574.640000000596</v>
      </c>
      <c r="AB47" s="333"/>
      <c r="AC47" s="334"/>
      <c r="AD47" s="332">
        <f>SUM(AF9:AF39)</f>
        <v>145380.48000000045</v>
      </c>
      <c r="AE47" s="333"/>
      <c r="AF47" s="334"/>
      <c r="AG47" s="332">
        <f>SUM(AI9:AI39)</f>
        <v>47794.319999996573</v>
      </c>
      <c r="AH47" s="333"/>
      <c r="AI47" s="334"/>
      <c r="AJ47" s="332">
        <f>SUM(AL9:AL39)</f>
        <v>163358.16000000015</v>
      </c>
      <c r="AK47" s="333"/>
      <c r="AL47" s="334"/>
      <c r="AM47" s="332">
        <f>SUM(AO9:AO39)</f>
        <v>116440.79999999888</v>
      </c>
      <c r="AN47" s="333"/>
      <c r="AO47" s="334"/>
      <c r="AP47" s="332">
        <f>SUM(AR9:AR39)</f>
        <v>121215.3599999994</v>
      </c>
      <c r="AQ47" s="333"/>
      <c r="AR47" s="334"/>
      <c r="AS47" s="332">
        <f>SUM(AU9:AU39)</f>
        <v>88329.360000001267</v>
      </c>
      <c r="AT47" s="333"/>
      <c r="AU47" s="334"/>
      <c r="AV47" s="332">
        <f>SUM(AX9:AX39)</f>
        <v>155319.36000000127</v>
      </c>
      <c r="AW47" s="333"/>
      <c r="AX47" s="333"/>
      <c r="AY47" s="354"/>
      <c r="AZ47" s="317">
        <v>347300</v>
      </c>
      <c r="BA47" s="317"/>
      <c r="BB47" s="318"/>
      <c r="BC47" s="319">
        <v>361100</v>
      </c>
      <c r="BD47" s="317"/>
      <c r="BE47" s="318"/>
      <c r="BF47" s="319">
        <v>558842</v>
      </c>
      <c r="BG47" s="317"/>
      <c r="BH47" s="318"/>
      <c r="BI47" s="107"/>
      <c r="BJ47" s="107"/>
      <c r="BK47" s="107"/>
      <c r="BL47" s="107"/>
      <c r="BM47" s="107"/>
      <c r="BN47" s="107"/>
      <c r="BO47" s="107"/>
      <c r="BP47" s="107"/>
      <c r="BQ47" s="107"/>
      <c r="BR47" s="107"/>
      <c r="BS47" s="570">
        <v>131110</v>
      </c>
      <c r="BT47" s="571"/>
      <c r="BU47" s="361"/>
      <c r="BV47" s="572"/>
      <c r="BW47" s="572"/>
      <c r="BX47" s="108"/>
      <c r="BY47" s="314">
        <v>718</v>
      </c>
      <c r="BZ47" s="315"/>
      <c r="CA47" s="314">
        <v>719</v>
      </c>
      <c r="CB47" s="315"/>
      <c r="CC47" s="314">
        <v>234</v>
      </c>
      <c r="CD47" s="315"/>
      <c r="CE47" s="314">
        <v>265</v>
      </c>
      <c r="CF47" s="315"/>
      <c r="CG47" s="314">
        <v>368</v>
      </c>
      <c r="CH47" s="315"/>
      <c r="CI47" s="314">
        <v>820</v>
      </c>
      <c r="CJ47" s="315"/>
      <c r="CK47" s="332">
        <f>SUM(CM9:CM39)</f>
        <v>2878</v>
      </c>
      <c r="CL47" s="333"/>
      <c r="CM47" s="334"/>
      <c r="CN47" s="332">
        <f>SUM(CP9:CP39)</f>
        <v>7966</v>
      </c>
      <c r="CO47" s="333"/>
      <c r="CP47" s="334"/>
      <c r="CQ47" s="332">
        <f>SUM(CS9:CS39)</f>
        <v>7966</v>
      </c>
      <c r="CR47" s="333"/>
      <c r="CS47" s="334"/>
      <c r="CT47" s="567">
        <v>3894</v>
      </c>
      <c r="CU47" s="568"/>
      <c r="CV47" s="485"/>
      <c r="DJ47" s="4">
        <v>487.2</v>
      </c>
    </row>
    <row r="48" spans="1:160" ht="30" customHeight="1" x14ac:dyDescent="0.25">
      <c r="A48" s="308" t="s">
        <v>197</v>
      </c>
      <c r="B48" s="308"/>
      <c r="C48" s="329">
        <f>SUM(D10:D39)</f>
        <v>-244103</v>
      </c>
      <c r="D48" s="330"/>
      <c r="E48" s="331"/>
      <c r="F48" s="329">
        <f>SUM(G9:G39)</f>
        <v>-265812</v>
      </c>
      <c r="G48" s="330"/>
      <c r="H48" s="331"/>
      <c r="I48" s="329">
        <f>SUM(J10:J39)</f>
        <v>-15762</v>
      </c>
      <c r="J48" s="331"/>
      <c r="K48" s="329">
        <f>SUM(L9:L39)</f>
        <v>-929662</v>
      </c>
      <c r="L48" s="331"/>
      <c r="M48" s="329"/>
      <c r="N48" s="331"/>
      <c r="O48" s="329">
        <f>SUM(P9:P39)</f>
        <v>-120277</v>
      </c>
      <c r="P48" s="330"/>
      <c r="Q48" s="331"/>
      <c r="R48" s="329">
        <f>SUM(S9:S39)</f>
        <v>-6721</v>
      </c>
      <c r="S48" s="330"/>
      <c r="T48" s="336"/>
      <c r="U48" s="337">
        <f>SUM(V9:V39)</f>
        <v>-8278599.8399999999</v>
      </c>
      <c r="V48" s="338"/>
      <c r="W48" s="339"/>
      <c r="X48" s="337">
        <f>SUM(Y9:Y39)</f>
        <v>-15718143.84</v>
      </c>
      <c r="Y48" s="338"/>
      <c r="Z48" s="339"/>
      <c r="AA48" s="326">
        <f>SUM(AB9:AB39)</f>
        <v>-15913657.199999999</v>
      </c>
      <c r="AB48" s="327"/>
      <c r="AC48" s="328"/>
      <c r="AD48" s="326">
        <f>SUM(AE9:AE39)</f>
        <v>-19053368.879999999</v>
      </c>
      <c r="AE48" s="327"/>
      <c r="AF48" s="328"/>
      <c r="AG48" s="326">
        <f>SUM(AH9:AH39)</f>
        <v>-19316895.359999999</v>
      </c>
      <c r="AH48" s="327"/>
      <c r="AI48" s="328"/>
      <c r="AJ48" s="326">
        <f>SUM(AK9:AK39)</f>
        <v>-17853785.039999999</v>
      </c>
      <c r="AK48" s="327"/>
      <c r="AL48" s="328"/>
      <c r="AM48" s="326">
        <f>SUM(AN9:AN39)</f>
        <v>-15009949.919999998</v>
      </c>
      <c r="AN48" s="327"/>
      <c r="AO48" s="328"/>
      <c r="AP48" s="326">
        <f>SUM(AQ9:AQ39)</f>
        <v>-14552176.799999999</v>
      </c>
      <c r="AQ48" s="327"/>
      <c r="AR48" s="328"/>
      <c r="AS48" s="326">
        <f>SUM(AT9:AT39)</f>
        <v>-11342357.040000001</v>
      </c>
      <c r="AT48" s="327"/>
      <c r="AU48" s="328"/>
      <c r="AV48" s="326">
        <f>SUM(AW9:AW39)</f>
        <v>-18002722.080000002</v>
      </c>
      <c r="AW48" s="327"/>
      <c r="AX48" s="327"/>
      <c r="AY48" s="354"/>
      <c r="AZ48" s="317">
        <f>SUM(BA9:BA40)</f>
        <v>-78617600</v>
      </c>
      <c r="BA48" s="317"/>
      <c r="BB48" s="318"/>
      <c r="BC48" s="317">
        <f t="shared" ref="BC48" si="0">SUM(BD9:BD40)</f>
        <v>-81547000</v>
      </c>
      <c r="BD48" s="317"/>
      <c r="BE48" s="318"/>
      <c r="BF48" s="317">
        <f t="shared" ref="BF48" si="1">SUM(BG9:BG40)</f>
        <v>-75469900</v>
      </c>
      <c r="BG48" s="317"/>
      <c r="BH48" s="318"/>
      <c r="BI48" s="110"/>
      <c r="BJ48" s="110"/>
      <c r="BK48" s="110"/>
      <c r="BL48" s="110"/>
      <c r="BM48" s="110"/>
      <c r="BN48" s="110"/>
      <c r="BO48" s="110"/>
      <c r="BP48" s="110"/>
      <c r="BQ48" s="110"/>
      <c r="BR48" s="110"/>
      <c r="BS48" s="569">
        <f>SUM(BT9:BT39)</f>
        <v>-10588930</v>
      </c>
      <c r="BT48" s="569"/>
      <c r="BU48" s="361"/>
      <c r="BV48" s="573"/>
      <c r="BW48" s="574"/>
      <c r="BX48" s="111"/>
      <c r="BY48" s="314">
        <f>SUM(BZ9:BZ39)</f>
        <v>-65338</v>
      </c>
      <c r="BZ48" s="315"/>
      <c r="CA48" s="314">
        <f>SUM(CB9:CB39)</f>
        <v>-56457</v>
      </c>
      <c r="CB48" s="315"/>
      <c r="CC48" s="314">
        <f>SUM(CD9:CD39)</f>
        <v>-19060</v>
      </c>
      <c r="CD48" s="315"/>
      <c r="CE48" s="314">
        <f>SUM(CF9:CF39)</f>
        <v>-26116</v>
      </c>
      <c r="CF48" s="315"/>
      <c r="CG48" s="314">
        <f>SUM(CH9:CH39)</f>
        <v>-29262</v>
      </c>
      <c r="CH48" s="315"/>
      <c r="CI48" s="314">
        <f>SUM(CJ9:CJ39)</f>
        <v>-64366</v>
      </c>
      <c r="CJ48" s="315"/>
      <c r="CK48" s="314">
        <f>SUM(CL9:CL39)</f>
        <v>-272050</v>
      </c>
      <c r="CL48" s="316"/>
      <c r="CM48" s="315"/>
      <c r="CN48" s="314">
        <f>SUM(CO9:CO39)</f>
        <v>-221087</v>
      </c>
      <c r="CO48" s="316"/>
      <c r="CP48" s="315"/>
      <c r="CQ48" s="314">
        <f>SUM(CR9:CR39)</f>
        <v>-369542</v>
      </c>
      <c r="CR48" s="316"/>
      <c r="CS48" s="315"/>
      <c r="CT48" s="314">
        <f>SUM(CU9:CU39)</f>
        <v>-703819</v>
      </c>
      <c r="CU48" s="316"/>
      <c r="CV48" s="485"/>
    </row>
    <row r="49" spans="1:159" ht="30" customHeight="1" x14ac:dyDescent="0.25">
      <c r="A49" s="575" t="s">
        <v>182</v>
      </c>
      <c r="B49" s="575"/>
      <c r="C49" s="309">
        <f>C47-C48</f>
        <v>260561</v>
      </c>
      <c r="D49" s="310"/>
      <c r="E49" s="325"/>
      <c r="F49" s="309">
        <f>F47-F48</f>
        <v>3631535</v>
      </c>
      <c r="G49" s="310"/>
      <c r="H49" s="325"/>
      <c r="I49" s="309">
        <f>I47-I48</f>
        <v>22810.9</v>
      </c>
      <c r="J49" s="325"/>
      <c r="K49" s="309">
        <f>K47-K48</f>
        <v>937364.2</v>
      </c>
      <c r="L49" s="325"/>
      <c r="M49" s="309"/>
      <c r="N49" s="325"/>
      <c r="O49" s="340">
        <f>O47-O48</f>
        <v>123981.60000000009</v>
      </c>
      <c r="P49" s="340"/>
      <c r="Q49" s="340"/>
      <c r="R49" s="309">
        <f>R47-R48</f>
        <v>7197</v>
      </c>
      <c r="S49" s="310"/>
      <c r="T49" s="336"/>
      <c r="U49" s="311">
        <f>U48-U47</f>
        <v>-8353823.5199999996</v>
      </c>
      <c r="V49" s="312"/>
      <c r="W49" s="313"/>
      <c r="X49" s="311">
        <f>X47-X48</f>
        <v>15850418.640000001</v>
      </c>
      <c r="Y49" s="312"/>
      <c r="Z49" s="313"/>
      <c r="AA49" s="311">
        <f>AA47-AA48</f>
        <v>15981231.84</v>
      </c>
      <c r="AB49" s="312"/>
      <c r="AC49" s="313"/>
      <c r="AD49" s="311">
        <f>AD47-AD48</f>
        <v>19198749.359999999</v>
      </c>
      <c r="AE49" s="312"/>
      <c r="AF49" s="313"/>
      <c r="AG49" s="311">
        <f>AG47-AG48</f>
        <v>19364689.679999996</v>
      </c>
      <c r="AH49" s="312"/>
      <c r="AI49" s="313"/>
      <c r="AJ49" s="311">
        <f>AJ47-AJ48</f>
        <v>18017143.199999999</v>
      </c>
      <c r="AK49" s="312"/>
      <c r="AL49" s="313"/>
      <c r="AM49" s="311">
        <f>AM47-AM48</f>
        <v>15126390.719999997</v>
      </c>
      <c r="AN49" s="312"/>
      <c r="AO49" s="313"/>
      <c r="AP49" s="311">
        <f>AP47-AP48</f>
        <v>14673392.159999998</v>
      </c>
      <c r="AQ49" s="312"/>
      <c r="AR49" s="313"/>
      <c r="AS49" s="311">
        <f>AS47-AS48</f>
        <v>11430686.400000002</v>
      </c>
      <c r="AT49" s="312"/>
      <c r="AU49" s="313"/>
      <c r="AV49" s="311">
        <f>AV47-AV48</f>
        <v>18158041.440000005</v>
      </c>
      <c r="AW49" s="312"/>
      <c r="AX49" s="312"/>
      <c r="AY49" s="354"/>
      <c r="AZ49" s="317">
        <f>AZ48-AZ47</f>
        <v>-78964900</v>
      </c>
      <c r="BA49" s="317"/>
      <c r="BB49" s="318"/>
      <c r="BC49" s="317">
        <f t="shared" ref="BC49" si="2">BC48-BC47</f>
        <v>-81908100</v>
      </c>
      <c r="BD49" s="317"/>
      <c r="BE49" s="318"/>
      <c r="BF49" s="317">
        <f t="shared" ref="BF49" si="3">BF48-BF47</f>
        <v>-76028742</v>
      </c>
      <c r="BG49" s="317"/>
      <c r="BH49" s="318"/>
      <c r="BI49" s="109"/>
      <c r="BJ49" s="109"/>
      <c r="BK49" s="109"/>
      <c r="BL49" s="109"/>
      <c r="BM49" s="109"/>
      <c r="BN49" s="109"/>
      <c r="BO49" s="109"/>
      <c r="BP49" s="109"/>
      <c r="BQ49" s="109"/>
      <c r="BR49" s="109"/>
      <c r="BS49" s="319"/>
      <c r="BT49" s="318"/>
      <c r="BU49" s="361"/>
      <c r="BV49" s="320"/>
      <c r="BW49" s="321"/>
      <c r="BX49" s="112"/>
      <c r="BY49" s="113"/>
      <c r="BZ49" s="174"/>
      <c r="CA49" s="113"/>
      <c r="CB49" s="174"/>
      <c r="CC49" s="113"/>
      <c r="CD49" s="174"/>
      <c r="CE49" s="113"/>
      <c r="CF49" s="174"/>
      <c r="CG49" s="113"/>
      <c r="CH49" s="174"/>
      <c r="CI49" s="113"/>
      <c r="CJ49" s="174"/>
      <c r="CK49" s="322">
        <f>CK47-CK48</f>
        <v>274928</v>
      </c>
      <c r="CL49" s="323"/>
      <c r="CM49" s="324"/>
      <c r="CN49" s="322">
        <f>CN47-CN48</f>
        <v>229053</v>
      </c>
      <c r="CO49" s="323"/>
      <c r="CP49" s="324"/>
      <c r="CQ49" s="322">
        <f>CQ47-CQ48</f>
        <v>377508</v>
      </c>
      <c r="CR49" s="323"/>
      <c r="CS49" s="324"/>
      <c r="CT49" s="576">
        <f>CT47-CT48</f>
        <v>707713</v>
      </c>
      <c r="CU49" s="322"/>
      <c r="CV49" s="485"/>
    </row>
    <row r="50" spans="1:159" ht="31.5" customHeight="1" thickBot="1" x14ac:dyDescent="0.3">
      <c r="A50" s="577" t="s">
        <v>183</v>
      </c>
      <c r="B50" s="577"/>
      <c r="C50" s="577"/>
      <c r="D50" s="577"/>
      <c r="E50" s="577"/>
      <c r="F50" s="577"/>
      <c r="G50" s="577"/>
      <c r="H50" s="577"/>
      <c r="I50" s="577"/>
      <c r="J50" s="577"/>
      <c r="K50" s="577"/>
      <c r="L50" s="577"/>
      <c r="M50" s="577"/>
      <c r="N50" s="577"/>
      <c r="O50" s="577"/>
      <c r="P50" s="577"/>
      <c r="Q50" s="577"/>
      <c r="R50" s="577"/>
      <c r="S50" s="577"/>
      <c r="T50" s="577"/>
      <c r="U50" s="578" t="s">
        <v>198</v>
      </c>
      <c r="V50" s="579"/>
      <c r="W50" s="579"/>
      <c r="X50" s="579"/>
      <c r="Y50" s="579"/>
      <c r="Z50" s="580"/>
      <c r="AA50" s="297">
        <f>SUM(U47,X47,AA47,AD47,AG47,AJ47,AM47,AP47,AS47,AV47)</f>
        <v>1112910.959999999</v>
      </c>
      <c r="AB50" s="298"/>
      <c r="AC50" s="298"/>
      <c r="AD50" s="298"/>
      <c r="AE50" s="298"/>
      <c r="AF50" s="299"/>
      <c r="AG50" s="581" t="s">
        <v>199</v>
      </c>
      <c r="AH50" s="582"/>
      <c r="AI50" s="582"/>
      <c r="AJ50" s="582"/>
      <c r="AK50" s="582"/>
      <c r="AL50" s="583"/>
      <c r="AM50" s="584">
        <f>SUM(U48,X48,AA48,AD48,AG48,AJ48,AM48,AP48,AS48,AV48)</f>
        <v>-155041656</v>
      </c>
      <c r="AN50" s="585"/>
      <c r="AO50" s="585"/>
      <c r="AP50" s="585"/>
      <c r="AQ50" s="585"/>
      <c r="AR50" s="586"/>
      <c r="AS50" s="304" t="s">
        <v>184</v>
      </c>
      <c r="AT50" s="305"/>
      <c r="AU50" s="306"/>
      <c r="AV50" s="304">
        <f>AA50-AM50</f>
        <v>156154566.96000001</v>
      </c>
      <c r="AW50" s="305"/>
      <c r="AX50" s="305"/>
      <c r="AY50" s="354"/>
      <c r="AZ50" s="587">
        <v>44577</v>
      </c>
      <c r="BA50" s="588"/>
      <c r="BB50" s="589"/>
      <c r="BC50" s="587">
        <v>44942</v>
      </c>
      <c r="BD50" s="588"/>
      <c r="BE50" s="589"/>
      <c r="BF50" s="278" t="s">
        <v>182</v>
      </c>
      <c r="BG50" s="279"/>
      <c r="BH50" s="307"/>
      <c r="BI50" s="114"/>
      <c r="BJ50" s="114"/>
      <c r="BK50" s="114"/>
      <c r="BL50" s="114"/>
      <c r="BM50" s="114"/>
      <c r="BN50" s="114"/>
      <c r="BO50" s="114"/>
      <c r="BP50" s="114"/>
      <c r="BQ50" s="114"/>
      <c r="BR50" s="114"/>
      <c r="BS50" s="280"/>
      <c r="BT50" s="281"/>
      <c r="BU50" s="361"/>
      <c r="BV50" s="320"/>
      <c r="BW50" s="321"/>
      <c r="BX50" s="112"/>
      <c r="BY50" s="113"/>
      <c r="BZ50" s="174"/>
      <c r="CA50" s="113"/>
      <c r="CB50" s="174"/>
      <c r="CC50" s="113"/>
      <c r="CD50" s="174"/>
      <c r="CE50" s="113"/>
      <c r="CF50" s="174"/>
      <c r="CG50" s="113"/>
      <c r="CH50" s="174"/>
      <c r="CI50" s="113"/>
      <c r="CJ50" s="174"/>
      <c r="CK50" s="320"/>
      <c r="CL50" s="591"/>
      <c r="CM50" s="321"/>
      <c r="CN50" s="320"/>
      <c r="CO50" s="591"/>
      <c r="CP50" s="321"/>
      <c r="CQ50" s="320"/>
      <c r="CR50" s="591"/>
      <c r="CS50" s="321"/>
      <c r="CT50" s="590"/>
      <c r="CU50" s="320"/>
      <c r="CV50" s="486"/>
    </row>
    <row r="51" spans="1:159" ht="27.75" customHeight="1" x14ac:dyDescent="0.3">
      <c r="A51" s="293"/>
      <c r="B51" s="293"/>
      <c r="C51" s="293"/>
      <c r="D51" s="293"/>
      <c r="E51" s="293"/>
      <c r="F51" s="293"/>
      <c r="G51" s="293"/>
      <c r="H51" s="293"/>
      <c r="I51" s="293"/>
      <c r="J51" s="293"/>
      <c r="K51" s="293"/>
      <c r="L51" s="293"/>
      <c r="M51" s="293"/>
      <c r="N51" s="293"/>
      <c r="O51" s="293"/>
      <c r="P51" s="293"/>
      <c r="Q51" s="293"/>
      <c r="R51" s="293"/>
      <c r="S51" s="293"/>
      <c r="T51" s="34"/>
      <c r="U51" s="294" t="s">
        <v>200</v>
      </c>
      <c r="V51" s="295"/>
      <c r="W51" s="295"/>
      <c r="X51" s="295"/>
      <c r="Y51" s="295"/>
      <c r="Z51" s="296"/>
      <c r="AA51" s="297">
        <f>SUM(U44:AX44)</f>
        <v>587514.479999993</v>
      </c>
      <c r="AB51" s="298"/>
      <c r="AC51" s="298"/>
      <c r="AD51" s="298"/>
      <c r="AE51" s="298"/>
      <c r="AF51" s="299"/>
      <c r="AG51" s="300" t="s">
        <v>201</v>
      </c>
      <c r="AH51" s="301"/>
      <c r="AI51" s="301"/>
      <c r="AJ51" s="301"/>
      <c r="AK51" s="301"/>
      <c r="AL51" s="302"/>
      <c r="AM51" s="303">
        <f>SUM(U45:AX45)</f>
        <v>-155041656</v>
      </c>
      <c r="AN51" s="303"/>
      <c r="AO51" s="303"/>
      <c r="AP51" s="303"/>
      <c r="AQ51" s="303"/>
      <c r="AR51" s="303"/>
      <c r="AS51" s="304" t="s">
        <v>184</v>
      </c>
      <c r="AT51" s="305"/>
      <c r="AU51" s="306"/>
      <c r="AV51" s="304">
        <f>AA51-AM51</f>
        <v>155629170.47999999</v>
      </c>
      <c r="AW51" s="305"/>
      <c r="AX51" s="306"/>
      <c r="AY51" s="354"/>
      <c r="AZ51" s="278">
        <f>SUM(AZ47,BC47,BF47)</f>
        <v>1267242</v>
      </c>
      <c r="BA51" s="279"/>
      <c r="BB51" s="307"/>
      <c r="BC51" s="278">
        <f>SUM(AZ48:BG48)</f>
        <v>-235634500</v>
      </c>
      <c r="BD51" s="279"/>
      <c r="BE51" s="307"/>
      <c r="BF51" s="278">
        <v>643100</v>
      </c>
      <c r="BG51" s="279"/>
      <c r="BH51" s="279"/>
      <c r="BI51" s="115"/>
      <c r="BJ51" s="115"/>
      <c r="BK51" s="115"/>
      <c r="BL51" s="115"/>
      <c r="BM51" s="115"/>
      <c r="BN51" s="115"/>
      <c r="BO51" s="115"/>
      <c r="BP51" s="115"/>
      <c r="BQ51" s="115"/>
      <c r="BR51" s="115"/>
      <c r="BS51" s="280"/>
      <c r="BT51" s="281"/>
      <c r="BU51" s="361"/>
      <c r="BV51" s="221"/>
      <c r="BW51" s="35"/>
      <c r="BX51" s="35"/>
      <c r="BY51" s="116"/>
      <c r="BZ51" s="169"/>
      <c r="CA51" s="116"/>
      <c r="CB51" s="169"/>
      <c r="CC51" s="116"/>
      <c r="CD51" s="169"/>
      <c r="CE51" s="116"/>
      <c r="CF51" s="169"/>
      <c r="CG51" s="116"/>
      <c r="CH51" s="169"/>
      <c r="CI51" s="116"/>
      <c r="CJ51" s="169"/>
      <c r="CK51" s="116"/>
      <c r="CL51" s="169"/>
      <c r="CM51" s="35"/>
      <c r="CN51" s="116"/>
      <c r="CO51" s="169"/>
      <c r="CP51" s="35"/>
      <c r="CQ51" s="1"/>
      <c r="CR51" s="169"/>
      <c r="CS51" s="35"/>
      <c r="CT51" s="116"/>
    </row>
    <row r="52" spans="1:159" ht="22.5" customHeight="1" x14ac:dyDescent="0.4">
      <c r="A52" s="282"/>
      <c r="B52" s="282"/>
      <c r="C52" s="282"/>
      <c r="D52" s="283"/>
      <c r="E52" s="283"/>
      <c r="F52" s="283"/>
      <c r="G52" s="284"/>
      <c r="H52" s="284"/>
      <c r="I52" s="284"/>
      <c r="J52" s="284"/>
      <c r="K52" s="117"/>
      <c r="L52" s="283"/>
      <c r="M52" s="283"/>
      <c r="N52" s="283"/>
      <c r="O52" s="283"/>
      <c r="P52" s="36"/>
      <c r="Q52" s="36"/>
      <c r="R52" s="118"/>
      <c r="S52" s="37"/>
      <c r="T52" s="38"/>
      <c r="U52" s="285"/>
      <c r="V52" s="285"/>
      <c r="W52" s="39"/>
      <c r="X52" s="286"/>
      <c r="Y52" s="286"/>
      <c r="Z52" s="7"/>
      <c r="AA52" s="119"/>
      <c r="AY52" s="354"/>
    </row>
    <row r="53" spans="1:159" ht="25.5" customHeight="1" x14ac:dyDescent="0.25">
      <c r="A53" s="287">
        <v>487.2</v>
      </c>
      <c r="B53" s="287"/>
      <c r="C53" s="287"/>
      <c r="D53" s="287"/>
      <c r="E53" s="287"/>
      <c r="F53" s="287"/>
      <c r="G53" s="287"/>
      <c r="H53" s="287"/>
      <c r="I53" s="287"/>
      <c r="J53" s="287"/>
      <c r="K53" s="287"/>
      <c r="L53" s="287"/>
      <c r="M53" s="287"/>
      <c r="N53" s="287"/>
      <c r="O53" s="287"/>
      <c r="P53" s="287"/>
      <c r="Q53" s="287"/>
      <c r="R53" s="287"/>
      <c r="S53" s="287"/>
      <c r="T53" s="287"/>
      <c r="U53" s="287"/>
      <c r="V53" s="287"/>
      <c r="W53" s="287"/>
      <c r="X53" s="287"/>
      <c r="Y53" s="287"/>
      <c r="Z53" s="287"/>
      <c r="AA53" s="287"/>
      <c r="AB53" s="287"/>
      <c r="AC53" s="287"/>
      <c r="AD53" s="287"/>
      <c r="AE53" s="287"/>
      <c r="AF53" s="287"/>
      <c r="AG53" s="287"/>
      <c r="AH53" s="287"/>
      <c r="AI53" s="287"/>
      <c r="AJ53" s="287"/>
      <c r="AK53" s="287"/>
      <c r="AL53" s="287"/>
      <c r="AM53" s="287"/>
      <c r="AN53" s="287"/>
      <c r="AO53" s="287"/>
      <c r="AP53" s="287"/>
      <c r="AQ53" s="287"/>
      <c r="AR53" s="287"/>
      <c r="AS53" s="287"/>
      <c r="AT53" s="287"/>
      <c r="AU53" s="287"/>
      <c r="AV53" s="287"/>
      <c r="AW53" s="287"/>
      <c r="AX53" s="287"/>
      <c r="AY53" s="287"/>
      <c r="AZ53" s="287"/>
      <c r="BA53" s="287"/>
      <c r="BB53" s="287"/>
      <c r="BC53" s="287"/>
      <c r="BD53" s="287"/>
      <c r="BE53" s="287"/>
      <c r="BF53" s="287"/>
      <c r="BG53" s="287"/>
      <c r="BH53" s="287"/>
      <c r="BI53" s="287"/>
      <c r="BJ53" s="287"/>
      <c r="BK53" s="287"/>
      <c r="BL53" s="287"/>
      <c r="BM53" s="287"/>
      <c r="BN53" s="287"/>
      <c r="BO53" s="287"/>
      <c r="BP53" s="287"/>
      <c r="BQ53" s="287"/>
      <c r="BR53" s="287"/>
      <c r="BS53" s="287"/>
      <c r="BT53" s="287"/>
      <c r="BU53" s="287"/>
      <c r="BV53" s="287"/>
      <c r="BW53" s="287"/>
      <c r="BX53" s="287"/>
      <c r="BY53" s="287"/>
      <c r="BZ53" s="287"/>
      <c r="CA53" s="287"/>
      <c r="CB53" s="287"/>
      <c r="CC53" s="287"/>
      <c r="CD53" s="287"/>
      <c r="CE53" s="287"/>
      <c r="CF53" s="287"/>
      <c r="CG53" s="287"/>
      <c r="CH53" s="287"/>
      <c r="CI53" s="287"/>
      <c r="CJ53" s="287"/>
      <c r="CK53" s="287"/>
      <c r="CL53" s="287"/>
      <c r="CM53" s="287"/>
      <c r="CN53" s="287"/>
      <c r="CO53" s="287"/>
      <c r="CP53" s="287"/>
      <c r="CQ53" s="287"/>
      <c r="CR53" s="287"/>
      <c r="CS53" s="287"/>
      <c r="CT53" s="287"/>
      <c r="CU53" s="287"/>
    </row>
    <row r="54" spans="1:159" s="1" customFormat="1" ht="12.75" customHeight="1" x14ac:dyDescent="0.4">
      <c r="A54" s="282"/>
      <c r="B54" s="282"/>
      <c r="C54" s="282"/>
      <c r="D54" s="282"/>
      <c r="E54" s="282"/>
      <c r="F54" s="282"/>
      <c r="G54" s="282"/>
      <c r="H54" s="282"/>
      <c r="I54" s="282"/>
      <c r="J54" s="282"/>
      <c r="K54" s="282"/>
      <c r="L54" s="282"/>
      <c r="M54" s="282"/>
      <c r="N54" s="282"/>
      <c r="O54" s="282"/>
      <c r="P54" s="282"/>
      <c r="Q54" s="40"/>
      <c r="R54" s="40"/>
      <c r="S54" s="149"/>
      <c r="T54" s="38"/>
      <c r="U54" s="291"/>
      <c r="V54" s="291"/>
      <c r="W54" s="291"/>
      <c r="X54" s="291"/>
      <c r="Y54" s="291"/>
      <c r="Z54" s="8"/>
      <c r="AB54" s="2"/>
      <c r="AD54"/>
      <c r="AE54" s="2"/>
      <c r="AG54"/>
      <c r="AH54" s="2"/>
      <c r="AJ54"/>
      <c r="AK54" s="2"/>
      <c r="AL54" s="2"/>
      <c r="AM54"/>
      <c r="AN54" s="2"/>
      <c r="AO54" s="2"/>
      <c r="AP54"/>
      <c r="AQ54" s="2"/>
      <c r="AR54" s="2"/>
      <c r="AS54"/>
      <c r="AT54" s="2"/>
      <c r="AU54" s="2"/>
      <c r="AV54"/>
      <c r="AW54" s="2"/>
      <c r="AX54" s="2"/>
      <c r="AY54" s="2"/>
      <c r="BA54" s="161"/>
      <c r="BB54"/>
      <c r="BC54"/>
      <c r="BD54" s="161"/>
      <c r="BE54"/>
      <c r="BF54"/>
      <c r="BG54" s="161"/>
      <c r="BH54"/>
      <c r="BI54"/>
      <c r="BJ54"/>
      <c r="BK54"/>
      <c r="BL54"/>
      <c r="BM54"/>
      <c r="BN54"/>
      <c r="BO54"/>
      <c r="BP54"/>
      <c r="BQ54"/>
      <c r="BR54"/>
      <c r="BS54"/>
      <c r="BT54" s="168"/>
      <c r="BU54"/>
      <c r="BV54" s="222"/>
      <c r="BW54"/>
      <c r="BX54"/>
      <c r="BY54"/>
      <c r="BZ54" s="168"/>
      <c r="CA54"/>
      <c r="CB54" s="168"/>
      <c r="CC54"/>
      <c r="CD54" s="168"/>
      <c r="CE54"/>
      <c r="CF54" s="168"/>
      <c r="CG54"/>
      <c r="CH54" s="168"/>
      <c r="CI54"/>
      <c r="CJ54" s="168"/>
      <c r="CK54"/>
      <c r="CL54" s="168"/>
      <c r="CM54"/>
      <c r="CN54"/>
      <c r="CO54" s="168"/>
      <c r="CP54"/>
      <c r="CQ54"/>
      <c r="CR54" s="168"/>
      <c r="CS54"/>
      <c r="CT54"/>
      <c r="CU54" s="170"/>
      <c r="CV54"/>
      <c r="CX54" s="2"/>
      <c r="CZ54" s="2"/>
      <c r="DB54" s="2"/>
      <c r="DD54" s="2"/>
      <c r="DF54" s="2"/>
      <c r="DH54" s="2"/>
      <c r="DJ54" s="2"/>
      <c r="DL54" s="2"/>
      <c r="DN54" s="2"/>
      <c r="DP54" s="2"/>
      <c r="DR54" s="2"/>
      <c r="DU54" s="202"/>
      <c r="DW54" s="198"/>
      <c r="DY54" s="202"/>
      <c r="EA54" s="202"/>
      <c r="EC54" s="202"/>
      <c r="EE54" s="202"/>
      <c r="EH54" s="170"/>
      <c r="EJ54" s="170"/>
      <c r="EL54" s="170"/>
      <c r="EN54" s="170"/>
      <c r="EP54" s="170"/>
      <c r="ER54" s="170"/>
      <c r="EU54" s="170"/>
      <c r="EW54" s="170"/>
      <c r="EY54" s="170"/>
      <c r="FA54" s="170"/>
      <c r="FC54" s="170"/>
    </row>
    <row r="55" spans="1:159" s="1" customFormat="1" ht="24" customHeight="1" x14ac:dyDescent="0.25">
      <c r="A55" s="289"/>
      <c r="B55" s="289"/>
      <c r="C55" s="289"/>
      <c r="D55" s="289"/>
      <c r="E55" s="289"/>
      <c r="F55" s="289"/>
      <c r="G55" s="289"/>
      <c r="H55" s="289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92"/>
      <c r="Y55" s="289"/>
      <c r="Z55" s="289"/>
      <c r="AA55" s="289"/>
      <c r="AB55" s="289"/>
      <c r="AC55" s="289"/>
      <c r="AD55" s="289"/>
      <c r="AE55" s="289"/>
      <c r="AF55" s="289"/>
      <c r="AG55" s="289"/>
      <c r="AH55" s="289"/>
      <c r="AI55" s="289"/>
      <c r="AJ55" s="289"/>
      <c r="AK55" s="290"/>
      <c r="AL55" s="289"/>
      <c r="AM55" s="289"/>
      <c r="AN55" s="289"/>
      <c r="AO55" s="289"/>
      <c r="AP55" s="289"/>
      <c r="AQ55" s="289"/>
      <c r="AR55" s="289"/>
      <c r="AS55" s="289"/>
      <c r="AT55" s="289"/>
      <c r="AU55" s="289"/>
      <c r="AV55" s="289"/>
      <c r="AW55" s="289"/>
      <c r="AX55" s="289"/>
      <c r="AY55" s="290"/>
      <c r="AZ55" s="290"/>
      <c r="BA55" s="290"/>
      <c r="BB55" s="290"/>
      <c r="BC55" s="290"/>
      <c r="BD55" s="290"/>
      <c r="BE55" s="290"/>
      <c r="BF55" s="290"/>
      <c r="BG55" s="290"/>
      <c r="BH55" s="290"/>
      <c r="BI55"/>
      <c r="BJ55"/>
      <c r="BK55"/>
      <c r="BL55"/>
      <c r="BM55"/>
      <c r="BN55"/>
      <c r="BO55"/>
      <c r="BP55"/>
      <c r="BQ55"/>
      <c r="BR55"/>
      <c r="BS55"/>
      <c r="BT55" s="168"/>
      <c r="BU55"/>
      <c r="BV55" s="222"/>
      <c r="BW55"/>
      <c r="BX55"/>
      <c r="BY55"/>
      <c r="BZ55" s="168"/>
      <c r="CA55"/>
      <c r="CB55" s="168"/>
      <c r="CC55"/>
      <c r="CD55" s="168"/>
      <c r="CE55"/>
      <c r="CF55" s="168"/>
      <c r="CG55"/>
      <c r="CH55" s="168"/>
      <c r="CI55"/>
      <c r="CJ55" s="168"/>
      <c r="CK55"/>
      <c r="CL55" s="168"/>
      <c r="CM55"/>
      <c r="CN55"/>
      <c r="CO55" s="168"/>
      <c r="CP55"/>
      <c r="CQ55"/>
      <c r="CR55" s="168"/>
      <c r="CS55"/>
      <c r="CT55"/>
      <c r="CU55" s="170"/>
      <c r="CX55" s="2"/>
      <c r="CZ55" s="2"/>
      <c r="DB55" s="2"/>
      <c r="DD55" s="2"/>
      <c r="DF55" s="2"/>
      <c r="DH55" s="2"/>
      <c r="DJ55" s="2"/>
      <c r="DL55" s="2"/>
      <c r="DN55" s="2"/>
      <c r="DP55" s="2"/>
      <c r="DR55" s="2"/>
      <c r="DU55" s="202"/>
      <c r="DW55" s="198"/>
      <c r="DY55" s="202"/>
      <c r="EA55" s="202"/>
      <c r="EC55" s="202"/>
      <c r="EE55" s="202"/>
      <c r="EH55" s="170"/>
      <c r="EJ55" s="170"/>
      <c r="EL55" s="170"/>
      <c r="EN55" s="170"/>
      <c r="EP55" s="170"/>
      <c r="ER55" s="170"/>
      <c r="EU55" s="170"/>
      <c r="EW55" s="170"/>
      <c r="EY55" s="170"/>
      <c r="FA55" s="170"/>
      <c r="FC55" s="170"/>
    </row>
    <row r="56" spans="1:159" s="1" customFormat="1" ht="26.1" customHeight="1" x14ac:dyDescent="0.25">
      <c r="A56" s="270"/>
      <c r="B56" s="270"/>
      <c r="C56" s="270"/>
      <c r="D56" s="270"/>
      <c r="E56" s="270"/>
      <c r="F56" s="270"/>
      <c r="G56" s="270"/>
      <c r="H56" s="270"/>
      <c r="I56" s="270"/>
      <c r="J56" s="271"/>
      <c r="K56" s="271"/>
      <c r="L56" s="271"/>
      <c r="M56" s="271"/>
      <c r="N56" s="270"/>
      <c r="O56" s="270"/>
      <c r="P56" s="270"/>
      <c r="Q56" s="270"/>
      <c r="R56" s="270"/>
      <c r="S56" s="270"/>
      <c r="T56" s="270"/>
      <c r="U56" s="270"/>
      <c r="V56" s="288">
        <v>487.2</v>
      </c>
      <c r="W56" s="288"/>
      <c r="X56" s="292"/>
      <c r="Y56" s="269"/>
      <c r="Z56" s="269"/>
      <c r="AA56" s="269"/>
      <c r="AB56" s="269"/>
      <c r="AC56" s="269"/>
      <c r="AD56" s="269"/>
      <c r="AE56" s="269"/>
      <c r="AF56" s="269"/>
      <c r="AG56" s="269"/>
      <c r="AH56" s="269"/>
      <c r="AI56" s="269"/>
      <c r="AJ56" s="269"/>
      <c r="AK56" s="290"/>
      <c r="AL56" s="269"/>
      <c r="AM56" s="269"/>
      <c r="AN56" s="269"/>
      <c r="AO56" s="269"/>
      <c r="AP56" s="269"/>
      <c r="AQ56" s="269"/>
      <c r="AR56" s="269"/>
      <c r="AS56" s="269"/>
      <c r="AT56" s="269"/>
      <c r="AU56" s="269"/>
      <c r="AV56" s="269"/>
      <c r="AW56" s="269"/>
      <c r="AX56" s="289"/>
      <c r="AY56" s="274"/>
      <c r="AZ56" s="274"/>
      <c r="BA56" s="274"/>
      <c r="BB56" s="274"/>
      <c r="BC56" s="274"/>
      <c r="BD56" s="274"/>
      <c r="BE56" s="274"/>
      <c r="BF56" s="274"/>
      <c r="BG56" s="274"/>
      <c r="BH56" s="274"/>
      <c r="BI56"/>
      <c r="BJ56"/>
      <c r="BK56"/>
      <c r="BL56"/>
      <c r="BM56"/>
      <c r="BN56"/>
      <c r="BO56"/>
      <c r="BP56"/>
      <c r="BQ56"/>
      <c r="BR56"/>
      <c r="BS56"/>
      <c r="BT56" s="168"/>
      <c r="BU56"/>
      <c r="BV56" s="222"/>
      <c r="BW56"/>
      <c r="BX56"/>
      <c r="BY56"/>
      <c r="BZ56" s="168"/>
      <c r="CA56"/>
      <c r="CB56" s="168"/>
      <c r="CC56"/>
      <c r="CD56" s="168"/>
      <c r="CE56"/>
      <c r="CF56" s="168"/>
      <c r="CG56"/>
      <c r="CH56" s="168"/>
      <c r="CI56"/>
      <c r="CJ56" s="168"/>
      <c r="CK56"/>
      <c r="CL56" s="168"/>
      <c r="CM56"/>
      <c r="CN56"/>
      <c r="CO56" s="168"/>
      <c r="CP56"/>
      <c r="CQ56"/>
      <c r="CR56" s="168"/>
      <c r="CS56"/>
      <c r="CT56"/>
      <c r="CU56" s="170"/>
      <c r="CX56" s="2"/>
      <c r="CZ56" s="2"/>
      <c r="DB56" s="2"/>
      <c r="DD56" s="2"/>
      <c r="DF56" s="2"/>
      <c r="DH56" s="2"/>
      <c r="DJ56" s="2"/>
      <c r="DL56" s="2"/>
      <c r="DN56" s="2"/>
      <c r="DP56" s="2"/>
      <c r="DR56" s="2"/>
      <c r="DU56" s="202"/>
      <c r="DW56" s="198"/>
      <c r="DY56" s="202"/>
      <c r="EA56" s="202"/>
      <c r="EC56" s="202"/>
      <c r="EE56" s="202"/>
      <c r="EH56" s="170"/>
      <c r="EJ56" s="170"/>
      <c r="EL56" s="170"/>
      <c r="EN56" s="170"/>
      <c r="EP56" s="170"/>
      <c r="ER56" s="170"/>
      <c r="EU56" s="170"/>
      <c r="EW56" s="170"/>
      <c r="EY56" s="170"/>
      <c r="FA56" s="170"/>
      <c r="FC56" s="170"/>
    </row>
    <row r="57" spans="1:159" s="1" customFormat="1" ht="26.1" customHeight="1" x14ac:dyDescent="0.25">
      <c r="A57" s="42"/>
      <c r="B57" s="135"/>
      <c r="C57" s="120"/>
      <c r="D57" s="133"/>
      <c r="E57" s="43"/>
      <c r="F57" s="83"/>
      <c r="G57" s="43"/>
      <c r="H57" s="41">
        <v>487.2</v>
      </c>
      <c r="I57" s="120"/>
      <c r="J57" s="41"/>
      <c r="K57" s="120"/>
      <c r="L57" s="41"/>
      <c r="M57" s="120"/>
      <c r="N57" s="41"/>
      <c r="O57" s="120"/>
      <c r="P57" s="41"/>
      <c r="Q57" s="43"/>
      <c r="R57" s="83"/>
      <c r="S57" s="43"/>
      <c r="T57" s="41"/>
      <c r="U57" s="120"/>
      <c r="V57" s="41"/>
      <c r="W57" s="43"/>
      <c r="X57" s="292"/>
      <c r="Y57" s="41"/>
      <c r="Z57" s="41"/>
      <c r="AA57" s="83"/>
      <c r="AB57" s="41"/>
      <c r="AC57" s="41">
        <v>487.2</v>
      </c>
      <c r="AD57" s="83"/>
      <c r="AE57" s="41"/>
      <c r="AF57" s="41"/>
      <c r="AG57" s="83"/>
      <c r="AH57" s="41"/>
      <c r="AI57" s="41"/>
      <c r="AJ57" s="83"/>
      <c r="AK57" s="290"/>
      <c r="AL57" s="41"/>
      <c r="AM57" s="83"/>
      <c r="AN57" s="41"/>
      <c r="AO57" s="41"/>
      <c r="AP57" s="83"/>
      <c r="AQ57" s="41"/>
      <c r="AR57" s="41"/>
      <c r="AS57" s="83"/>
      <c r="AT57" s="41">
        <v>487.2</v>
      </c>
      <c r="AU57" s="41"/>
      <c r="AV57" s="83"/>
      <c r="AW57" s="41"/>
      <c r="AX57" s="289"/>
      <c r="AY57" s="41"/>
      <c r="AZ57" s="120"/>
      <c r="BA57" s="156"/>
      <c r="BB57" s="43"/>
      <c r="BC57" s="83"/>
      <c r="BD57" s="158"/>
      <c r="BE57" s="41"/>
      <c r="BF57" s="120"/>
      <c r="BG57" s="156"/>
      <c r="BH57" s="43"/>
      <c r="BI57"/>
      <c r="BJ57"/>
      <c r="BK57"/>
      <c r="BL57"/>
      <c r="BM57"/>
      <c r="BN57"/>
      <c r="BO57"/>
      <c r="BP57"/>
      <c r="BQ57"/>
      <c r="BR57"/>
      <c r="BS57"/>
      <c r="BT57" s="168"/>
      <c r="BU57"/>
      <c r="BV57" s="222"/>
      <c r="BW57"/>
      <c r="BX57"/>
      <c r="BY57"/>
      <c r="BZ57" s="168"/>
      <c r="CA57"/>
      <c r="CB57" s="168"/>
      <c r="CC57"/>
      <c r="CD57" s="168"/>
      <c r="CE57"/>
      <c r="CF57" s="168"/>
      <c r="CG57"/>
      <c r="CH57" s="168"/>
      <c r="CI57"/>
      <c r="CJ57" s="168"/>
      <c r="CK57"/>
      <c r="CL57" s="168"/>
      <c r="CM57"/>
      <c r="CN57"/>
      <c r="CO57" s="168"/>
      <c r="CP57"/>
      <c r="CQ57"/>
      <c r="CR57" s="168"/>
      <c r="CS57"/>
      <c r="CT57"/>
      <c r="CU57" s="170"/>
      <c r="CX57" s="2"/>
      <c r="CZ57" s="2"/>
      <c r="DB57" s="2"/>
      <c r="DD57" s="2"/>
      <c r="DF57" s="2"/>
      <c r="DH57" s="2"/>
      <c r="DJ57" s="2"/>
      <c r="DL57" s="2"/>
      <c r="DN57" s="2"/>
      <c r="DP57" s="2"/>
      <c r="DR57" s="2"/>
      <c r="DU57" s="202"/>
      <c r="DW57" s="198"/>
      <c r="DY57" s="202"/>
      <c r="EA57" s="202"/>
      <c r="EC57" s="202"/>
      <c r="EE57" s="202"/>
      <c r="EH57" s="170"/>
      <c r="EJ57" s="170"/>
      <c r="EL57" s="170"/>
      <c r="EN57" s="170"/>
      <c r="EP57" s="170"/>
      <c r="ER57" s="170"/>
      <c r="EU57" s="170"/>
      <c r="EW57" s="170"/>
      <c r="EY57" s="170"/>
      <c r="FA57" s="170"/>
      <c r="FC57" s="170"/>
    </row>
    <row r="58" spans="1:159" s="1" customFormat="1" ht="26.1" customHeight="1" x14ac:dyDescent="0.3">
      <c r="A58" s="44"/>
      <c r="B58" s="138"/>
      <c r="C58" s="267"/>
      <c r="D58" s="143"/>
      <c r="E58" s="268"/>
      <c r="F58" s="45"/>
      <c r="G58" s="268"/>
      <c r="H58" s="46"/>
      <c r="I58" s="267"/>
      <c r="J58" s="146"/>
      <c r="K58" s="267"/>
      <c r="L58" s="48"/>
      <c r="M58" s="267"/>
      <c r="N58" s="146"/>
      <c r="O58" s="267"/>
      <c r="P58" s="146"/>
      <c r="Q58" s="268"/>
      <c r="R58" s="54"/>
      <c r="S58" s="47"/>
      <c r="T58" s="47"/>
      <c r="U58" s="54"/>
      <c r="V58" s="48"/>
      <c r="W58" s="268"/>
      <c r="X58" s="292"/>
      <c r="Y58" s="2"/>
      <c r="Z58" s="268"/>
      <c r="AB58" s="272"/>
      <c r="AC58" s="45"/>
      <c r="AD58" s="267"/>
      <c r="AE58" s="47"/>
      <c r="AF58" s="268"/>
      <c r="AG58" s="45"/>
      <c r="AH58" s="268"/>
      <c r="AI58" s="45"/>
      <c r="AJ58" s="267"/>
      <c r="AK58" s="290"/>
      <c r="AL58" s="49"/>
      <c r="AM58" s="267"/>
      <c r="AN58" s="152"/>
      <c r="AO58" s="268"/>
      <c r="AP58" s="50"/>
      <c r="AQ58" s="268"/>
      <c r="AS58" s="267"/>
      <c r="AT58" s="2"/>
      <c r="AU58" s="268"/>
      <c r="AV58" s="51"/>
      <c r="AW58" s="273"/>
      <c r="AX58" s="289"/>
      <c r="AY58" s="52"/>
      <c r="AZ58" s="267"/>
      <c r="BA58" s="159"/>
      <c r="BB58" s="268"/>
      <c r="BC58" s="53"/>
      <c r="BD58" s="275"/>
      <c r="BE58" s="53"/>
      <c r="BF58" s="267"/>
      <c r="BG58" s="159"/>
      <c r="BH58" s="268"/>
      <c r="BI58"/>
      <c r="BJ58"/>
      <c r="BK58"/>
      <c r="BL58"/>
      <c r="BM58"/>
      <c r="BN58"/>
      <c r="BO58"/>
      <c r="BP58"/>
      <c r="BQ58"/>
      <c r="BR58"/>
      <c r="BS58"/>
      <c r="BT58" s="168"/>
      <c r="BU58"/>
      <c r="BV58" s="222"/>
      <c r="BW58"/>
      <c r="BX58"/>
      <c r="BY58"/>
      <c r="BZ58" s="168"/>
      <c r="CA58"/>
      <c r="CB58" s="168"/>
      <c r="CC58"/>
      <c r="CD58" s="168"/>
      <c r="CE58"/>
      <c r="CF58" s="168"/>
      <c r="CG58"/>
      <c r="CH58" s="168"/>
      <c r="CI58"/>
      <c r="CJ58" s="168"/>
      <c r="CK58"/>
      <c r="CL58" s="168"/>
      <c r="CM58"/>
      <c r="CN58"/>
      <c r="CO58" s="168"/>
      <c r="CP58"/>
      <c r="CQ58"/>
      <c r="CR58" s="168"/>
      <c r="CS58"/>
      <c r="CT58"/>
      <c r="CU58" s="170"/>
      <c r="CX58" s="2"/>
      <c r="CZ58" s="2"/>
      <c r="DB58" s="2"/>
      <c r="DD58" s="2"/>
      <c r="DF58" s="2"/>
      <c r="DH58" s="2"/>
      <c r="DJ58" s="2"/>
      <c r="DL58" s="2"/>
      <c r="DN58" s="2"/>
      <c r="DP58" s="2"/>
      <c r="DR58" s="2"/>
      <c r="DU58" s="202"/>
      <c r="DW58" s="198"/>
      <c r="DY58" s="202"/>
      <c r="EA58" s="202"/>
      <c r="EC58" s="202"/>
      <c r="EE58" s="202"/>
      <c r="EH58" s="170"/>
      <c r="EJ58" s="170"/>
      <c r="EL58" s="170"/>
      <c r="EN58" s="170"/>
      <c r="EP58" s="170"/>
      <c r="ER58" s="170"/>
      <c r="EU58" s="170"/>
      <c r="EW58" s="170"/>
      <c r="EY58" s="170"/>
      <c r="FA58" s="170"/>
      <c r="FC58" s="170"/>
    </row>
    <row r="59" spans="1:159" s="1" customFormat="1" ht="26.1" customHeight="1" x14ac:dyDescent="0.3">
      <c r="A59" s="44"/>
      <c r="B59" s="139"/>
      <c r="C59" s="267"/>
      <c r="D59" s="144"/>
      <c r="E59" s="268"/>
      <c r="F59" s="55"/>
      <c r="G59" s="268"/>
      <c r="H59" s="121"/>
      <c r="I59" s="267"/>
      <c r="J59" s="131"/>
      <c r="K59" s="267"/>
      <c r="L59" s="131"/>
      <c r="M59" s="267"/>
      <c r="N59" s="130"/>
      <c r="O59" s="267"/>
      <c r="P59" s="146"/>
      <c r="Q59" s="268"/>
      <c r="R59" s="54"/>
      <c r="S59" s="47"/>
      <c r="T59" s="47"/>
      <c r="U59" s="54"/>
      <c r="V59" s="48"/>
      <c r="W59" s="268"/>
      <c r="X59" s="292"/>
      <c r="Y59" s="131"/>
      <c r="Z59" s="268"/>
      <c r="AB59" s="272"/>
      <c r="AC59" s="55"/>
      <c r="AD59" s="267"/>
      <c r="AE59" s="47"/>
      <c r="AF59" s="268"/>
      <c r="AG59" s="55"/>
      <c r="AH59" s="268"/>
      <c r="AI59" s="55"/>
      <c r="AJ59" s="267"/>
      <c r="AK59" s="290"/>
      <c r="AL59" s="49"/>
      <c r="AM59" s="267"/>
      <c r="AN59" s="153"/>
      <c r="AO59" s="268"/>
      <c r="AP59" s="50"/>
      <c r="AQ59" s="268"/>
      <c r="AR59" s="56"/>
      <c r="AS59" s="267"/>
      <c r="AT59" s="153"/>
      <c r="AU59" s="268"/>
      <c r="AV59" s="57"/>
      <c r="AW59" s="272"/>
      <c r="AX59" s="289"/>
      <c r="AY59" s="58"/>
      <c r="AZ59" s="267"/>
      <c r="BA59" s="159"/>
      <c r="BB59" s="268"/>
      <c r="BC59" s="53"/>
      <c r="BD59" s="275"/>
      <c r="BE59" s="53"/>
      <c r="BF59" s="267"/>
      <c r="BG59" s="159"/>
      <c r="BH59" s="268"/>
      <c r="BI59"/>
      <c r="BJ59"/>
      <c r="BK59"/>
      <c r="BL59"/>
      <c r="BM59"/>
      <c r="BN59"/>
      <c r="BO59"/>
      <c r="BP59"/>
      <c r="BQ59"/>
      <c r="BR59"/>
      <c r="BS59"/>
      <c r="BT59" s="168"/>
      <c r="BU59"/>
      <c r="BV59" s="222"/>
      <c r="BW59"/>
      <c r="BX59"/>
      <c r="BY59"/>
      <c r="BZ59" s="168"/>
      <c r="CA59"/>
      <c r="CB59" s="168"/>
      <c r="CC59"/>
      <c r="CD59" s="168"/>
      <c r="CE59"/>
      <c r="CF59" s="168"/>
      <c r="CG59"/>
      <c r="CH59" s="168"/>
      <c r="CI59"/>
      <c r="CJ59" s="168"/>
      <c r="CK59"/>
      <c r="CL59" s="168"/>
      <c r="CM59"/>
      <c r="CN59"/>
      <c r="CO59" s="168"/>
      <c r="CP59"/>
      <c r="CQ59"/>
      <c r="CR59" s="168"/>
      <c r="CS59"/>
      <c r="CT59"/>
      <c r="CU59" s="170"/>
      <c r="CX59" s="2"/>
      <c r="CZ59" s="2"/>
      <c r="DB59" s="2"/>
      <c r="DD59" s="2"/>
      <c r="DF59" s="2"/>
      <c r="DH59" s="2"/>
      <c r="DJ59" s="2"/>
      <c r="DL59" s="2"/>
      <c r="DN59" s="2"/>
      <c r="DP59" s="2"/>
      <c r="DR59" s="2"/>
      <c r="DU59" s="202"/>
      <c r="DW59" s="198"/>
      <c r="DY59" s="202"/>
      <c r="EA59" s="202"/>
      <c r="EC59" s="202"/>
      <c r="EE59" s="202"/>
      <c r="EH59" s="170"/>
      <c r="EJ59" s="170"/>
      <c r="EL59" s="170"/>
      <c r="EN59" s="170"/>
      <c r="EP59" s="170"/>
      <c r="ER59" s="170"/>
      <c r="EU59" s="170"/>
      <c r="EW59" s="170"/>
      <c r="EY59" s="170"/>
      <c r="FA59" s="170"/>
      <c r="FC59" s="170"/>
    </row>
    <row r="60" spans="1:159" s="1" customFormat="1" ht="26.1" customHeight="1" x14ac:dyDescent="0.3">
      <c r="A60" s="44"/>
      <c r="B60" s="138"/>
      <c r="D60" s="143"/>
      <c r="E60" s="48"/>
      <c r="F60" s="45"/>
      <c r="G60" s="59"/>
      <c r="H60" s="46"/>
      <c r="I60" s="122"/>
      <c r="J60" s="146"/>
      <c r="K60" s="46"/>
      <c r="L60" s="48"/>
      <c r="M60" s="46"/>
      <c r="N60" s="146"/>
      <c r="O60" s="45"/>
      <c r="P60" s="146"/>
      <c r="Q60" s="48"/>
      <c r="R60" s="46"/>
      <c r="S60" s="48"/>
      <c r="T60" s="48"/>
      <c r="U60" s="46"/>
      <c r="V60" s="48"/>
      <c r="W60" s="48"/>
      <c r="X60" s="292"/>
      <c r="Y60" s="2"/>
      <c r="Z60" s="48"/>
      <c r="AB60" s="48"/>
      <c r="AC60" s="45"/>
      <c r="AD60" s="123"/>
      <c r="AE60" s="60"/>
      <c r="AF60" s="60"/>
      <c r="AG60" s="45"/>
      <c r="AH60" s="60"/>
      <c r="AI60" s="45"/>
      <c r="AJ60" s="123"/>
      <c r="AK60" s="290"/>
      <c r="AL60" s="49"/>
      <c r="AM60" s="124"/>
      <c r="AN60" s="152"/>
      <c r="AO60" s="61"/>
      <c r="AP60" s="50"/>
      <c r="AQ60" s="62"/>
      <c r="AS60" s="125"/>
      <c r="AT60" s="2"/>
      <c r="AU60" s="61"/>
      <c r="AV60" s="51"/>
      <c r="AW60" s="62"/>
      <c r="AX60" s="289"/>
      <c r="AY60" s="52"/>
      <c r="AZ60" s="126"/>
      <c r="BA60" s="159"/>
      <c r="BB60" s="63"/>
      <c r="BC60" s="53"/>
      <c r="BD60" s="159"/>
      <c r="BE60" s="53"/>
      <c r="BF60" s="126"/>
      <c r="BG60" s="159"/>
      <c r="BH60" s="63"/>
      <c r="BI60"/>
      <c r="BJ60"/>
      <c r="BK60"/>
      <c r="BL60"/>
      <c r="BM60"/>
      <c r="BN60"/>
      <c r="BO60"/>
      <c r="BP60"/>
      <c r="BQ60"/>
      <c r="BR60"/>
      <c r="BS60"/>
      <c r="BT60" s="168"/>
      <c r="BU60"/>
      <c r="BV60" s="222"/>
      <c r="BW60"/>
      <c r="BX60"/>
      <c r="BY60"/>
      <c r="BZ60" s="168"/>
      <c r="CA60"/>
      <c r="CB60" s="168"/>
      <c r="CC60"/>
      <c r="CD60" s="168"/>
      <c r="CE60"/>
      <c r="CF60" s="168"/>
      <c r="CG60"/>
      <c r="CH60" s="168"/>
      <c r="CI60"/>
      <c r="CJ60" s="168"/>
      <c r="CK60"/>
      <c r="CL60" s="168"/>
      <c r="CM60"/>
      <c r="CN60"/>
      <c r="CO60" s="168"/>
      <c r="CP60"/>
      <c r="CQ60"/>
      <c r="CR60" s="168"/>
      <c r="CS60"/>
      <c r="CT60"/>
      <c r="CU60" s="170"/>
      <c r="CX60" s="2"/>
      <c r="CZ60" s="2"/>
      <c r="DB60" s="2"/>
      <c r="DD60" s="2"/>
      <c r="DF60" s="2"/>
      <c r="DH60" s="2"/>
      <c r="DJ60" s="2"/>
      <c r="DL60" s="2"/>
      <c r="DN60" s="2"/>
      <c r="DP60" s="2"/>
      <c r="DR60" s="2"/>
      <c r="DU60" s="202"/>
      <c r="DW60" s="198"/>
      <c r="DY60" s="202"/>
      <c r="EA60" s="202"/>
      <c r="EC60" s="202"/>
      <c r="EE60" s="202"/>
      <c r="EH60" s="170"/>
      <c r="EJ60" s="170"/>
      <c r="EL60" s="170"/>
      <c r="EN60" s="170"/>
      <c r="EP60" s="170"/>
      <c r="ER60" s="170"/>
      <c r="EU60" s="170"/>
      <c r="EW60" s="170"/>
      <c r="EY60" s="170"/>
      <c r="FA60" s="170"/>
      <c r="FC60" s="170"/>
    </row>
    <row r="61" spans="1:159" s="1" customFormat="1" ht="26.1" customHeight="1" x14ac:dyDescent="0.3">
      <c r="A61" s="44"/>
      <c r="B61" s="139"/>
      <c r="D61" s="144"/>
      <c r="E61" s="48"/>
      <c r="F61" s="55"/>
      <c r="G61" s="59"/>
      <c r="H61" s="127"/>
      <c r="I61" s="122"/>
      <c r="J61" s="131"/>
      <c r="K61" s="46"/>
      <c r="L61" s="147"/>
      <c r="M61" s="46"/>
      <c r="N61" s="130"/>
      <c r="O61" s="45"/>
      <c r="P61" s="131"/>
      <c r="Q61" s="48"/>
      <c r="R61" s="46"/>
      <c r="S61" s="48"/>
      <c r="T61" s="48"/>
      <c r="U61" s="46"/>
      <c r="V61" s="130"/>
      <c r="W61" s="48"/>
      <c r="X61" s="292"/>
      <c r="Y61" s="131"/>
      <c r="Z61" s="48"/>
      <c r="AB61" s="48"/>
      <c r="AC61" s="55"/>
      <c r="AD61" s="123"/>
      <c r="AE61" s="60"/>
      <c r="AF61" s="60"/>
      <c r="AG61" s="55"/>
      <c r="AH61" s="60"/>
      <c r="AI61" s="55"/>
      <c r="AJ61" s="123"/>
      <c r="AK61" s="290"/>
      <c r="AL61" s="49"/>
      <c r="AM61" s="124"/>
      <c r="AN61" s="152"/>
      <c r="AO61" s="61"/>
      <c r="AP61" s="50"/>
      <c r="AQ61" s="62"/>
      <c r="AS61" s="125"/>
      <c r="AT61" s="2"/>
      <c r="AU61" s="61"/>
      <c r="AV61" s="51"/>
      <c r="AW61" s="62"/>
      <c r="AX61" s="289"/>
      <c r="AY61" s="58"/>
      <c r="AZ61" s="126"/>
      <c r="BA61" s="162"/>
      <c r="BB61" s="63"/>
      <c r="BC61" s="53"/>
      <c r="BD61" s="159"/>
      <c r="BE61" s="64"/>
      <c r="BF61" s="126"/>
      <c r="BG61" s="162"/>
      <c r="BH61" s="63"/>
      <c r="BI61"/>
      <c r="BJ61"/>
      <c r="BK61"/>
      <c r="BL61"/>
      <c r="BM61"/>
      <c r="BN61"/>
      <c r="BO61"/>
      <c r="BP61"/>
      <c r="BQ61"/>
      <c r="BR61"/>
      <c r="BS61"/>
      <c r="BT61" s="168"/>
      <c r="BU61"/>
      <c r="BV61" s="222"/>
      <c r="BW61"/>
      <c r="BX61"/>
      <c r="BY61"/>
      <c r="BZ61" s="168"/>
      <c r="CA61"/>
      <c r="CB61" s="168"/>
      <c r="CC61"/>
      <c r="CD61" s="168"/>
      <c r="CE61"/>
      <c r="CF61" s="168"/>
      <c r="CG61"/>
      <c r="CH61" s="168"/>
      <c r="CI61"/>
      <c r="CJ61" s="168"/>
      <c r="CK61"/>
      <c r="CL61" s="168"/>
      <c r="CM61"/>
      <c r="CN61"/>
      <c r="CO61" s="168"/>
      <c r="CP61"/>
      <c r="CQ61"/>
      <c r="CR61" s="168"/>
      <c r="CS61"/>
      <c r="CT61"/>
      <c r="CU61" s="170"/>
      <c r="CX61" s="2"/>
      <c r="CZ61" s="2"/>
      <c r="DB61" s="2"/>
      <c r="DD61" s="2"/>
      <c r="DF61" s="2"/>
      <c r="DH61" s="2"/>
      <c r="DJ61" s="2"/>
      <c r="DL61" s="2"/>
      <c r="DN61" s="2"/>
      <c r="DP61" s="2"/>
      <c r="DR61" s="2"/>
      <c r="DU61" s="202"/>
      <c r="DW61" s="198"/>
      <c r="DY61" s="202"/>
      <c r="EA61" s="202"/>
      <c r="EC61" s="202"/>
      <c r="EE61" s="202"/>
      <c r="EH61" s="170"/>
      <c r="EJ61" s="170"/>
      <c r="EL61" s="170"/>
      <c r="EN61" s="170"/>
      <c r="EP61" s="170"/>
      <c r="ER61" s="170"/>
      <c r="EU61" s="170"/>
      <c r="EW61" s="170"/>
      <c r="EY61" s="170"/>
      <c r="FA61" s="170"/>
      <c r="FC61" s="170"/>
    </row>
    <row r="62" spans="1:159" s="1" customFormat="1" ht="26.1" customHeight="1" x14ac:dyDescent="0.3">
      <c r="A62" s="44"/>
      <c r="B62" s="139"/>
      <c r="D62" s="144"/>
      <c r="E62" s="48"/>
      <c r="F62" s="55"/>
      <c r="G62" s="59"/>
      <c r="H62" s="121"/>
      <c r="I62" s="122"/>
      <c r="J62" s="131"/>
      <c r="K62" s="46"/>
      <c r="L62" s="131"/>
      <c r="M62" s="46"/>
      <c r="N62" s="130"/>
      <c r="O62" s="45"/>
      <c r="P62" s="131"/>
      <c r="Q62" s="48"/>
      <c r="R62" s="46"/>
      <c r="S62" s="48"/>
      <c r="T62" s="48"/>
      <c r="U62" s="46"/>
      <c r="V62" s="48"/>
      <c r="W62" s="48"/>
      <c r="X62" s="292"/>
      <c r="Y62" s="2"/>
      <c r="Z62" s="48"/>
      <c r="AB62" s="48"/>
      <c r="AC62" s="55"/>
      <c r="AD62" s="123"/>
      <c r="AE62" s="60"/>
      <c r="AF62" s="60"/>
      <c r="AG62" s="55"/>
      <c r="AH62" s="60"/>
      <c r="AI62" s="55"/>
      <c r="AJ62" s="123"/>
      <c r="AK62" s="290"/>
      <c r="AL62" s="49"/>
      <c r="AM62" s="124"/>
      <c r="AN62" s="152"/>
      <c r="AO62" s="61"/>
      <c r="AP62" s="50"/>
      <c r="AQ62" s="62"/>
      <c r="AS62" s="125"/>
      <c r="AT62" s="2"/>
      <c r="AU62" s="61"/>
      <c r="AV62" s="51"/>
      <c r="AW62" s="62"/>
      <c r="AX62" s="289"/>
      <c r="AY62" s="52"/>
      <c r="AZ62" s="126"/>
      <c r="BA62" s="159"/>
      <c r="BB62" s="63"/>
      <c r="BC62" s="53"/>
      <c r="BD62" s="159"/>
      <c r="BE62" s="53"/>
      <c r="BF62" s="126"/>
      <c r="BG62" s="159"/>
      <c r="BH62" s="63"/>
      <c r="BI62"/>
      <c r="BJ62"/>
      <c r="BK62"/>
      <c r="BL62"/>
      <c r="BM62"/>
      <c r="BN62"/>
      <c r="BO62"/>
      <c r="BP62"/>
      <c r="BQ62"/>
      <c r="BR62"/>
      <c r="BS62"/>
      <c r="BT62" s="168"/>
      <c r="BU62"/>
      <c r="BV62" s="222"/>
      <c r="BW62"/>
      <c r="BX62"/>
      <c r="BY62"/>
      <c r="BZ62" s="168"/>
      <c r="CA62"/>
      <c r="CB62" s="168"/>
      <c r="CC62"/>
      <c r="CD62" s="168"/>
      <c r="CE62"/>
      <c r="CF62" s="168"/>
      <c r="CG62"/>
      <c r="CH62" s="168"/>
      <c r="CI62"/>
      <c r="CJ62" s="168"/>
      <c r="CK62"/>
      <c r="CL62" s="168"/>
      <c r="CM62"/>
      <c r="CN62"/>
      <c r="CO62" s="168"/>
      <c r="CP62"/>
      <c r="CQ62"/>
      <c r="CR62" s="168"/>
      <c r="CS62"/>
      <c r="CT62"/>
      <c r="CU62" s="170"/>
      <c r="CX62" s="2"/>
      <c r="CZ62" s="2"/>
      <c r="DB62" s="2"/>
      <c r="DD62" s="2"/>
      <c r="DF62" s="2"/>
      <c r="DH62" s="2"/>
      <c r="DJ62" s="2"/>
      <c r="DL62" s="2"/>
      <c r="DN62" s="2"/>
      <c r="DP62" s="2"/>
      <c r="DR62" s="2"/>
      <c r="DU62" s="202"/>
      <c r="DW62" s="198"/>
      <c r="DY62" s="202"/>
      <c r="EA62" s="202"/>
      <c r="EC62" s="202"/>
      <c r="EE62" s="202"/>
      <c r="EH62" s="170"/>
      <c r="EJ62" s="170"/>
      <c r="EL62" s="170"/>
      <c r="EN62" s="170"/>
      <c r="EP62" s="170"/>
      <c r="ER62" s="170"/>
      <c r="EU62" s="170"/>
      <c r="EW62" s="170"/>
      <c r="EY62" s="170"/>
      <c r="FA62" s="170"/>
      <c r="FC62" s="170"/>
    </row>
    <row r="63" spans="1:159" s="1" customFormat="1" ht="26.1" customHeight="1" x14ac:dyDescent="0.3">
      <c r="A63" s="44"/>
      <c r="B63" s="139"/>
      <c r="D63" s="144"/>
      <c r="E63" s="48"/>
      <c r="F63" s="55"/>
      <c r="G63" s="59"/>
      <c r="H63" s="121"/>
      <c r="I63" s="122"/>
      <c r="J63" s="131"/>
      <c r="K63" s="46"/>
      <c r="L63" s="131"/>
      <c r="M63" s="46"/>
      <c r="N63" s="130"/>
      <c r="O63" s="45"/>
      <c r="P63" s="131"/>
      <c r="Q63" s="48"/>
      <c r="R63" s="46"/>
      <c r="S63" s="48"/>
      <c r="T63" s="48"/>
      <c r="U63" s="46"/>
      <c r="V63" s="48"/>
      <c r="W63" s="48"/>
      <c r="X63" s="292"/>
      <c r="Y63" s="2"/>
      <c r="Z63" s="48"/>
      <c r="AB63" s="48"/>
      <c r="AC63" s="55"/>
      <c r="AD63" s="123"/>
      <c r="AE63" s="60"/>
      <c r="AF63" s="60"/>
      <c r="AG63" s="55"/>
      <c r="AH63" s="60"/>
      <c r="AI63" s="55"/>
      <c r="AJ63" s="123"/>
      <c r="AK63" s="290"/>
      <c r="AL63" s="57"/>
      <c r="AM63" s="124"/>
      <c r="AN63" s="153"/>
      <c r="AO63" s="61"/>
      <c r="AP63" s="50"/>
      <c r="AQ63" s="62"/>
      <c r="AR63" s="56"/>
      <c r="AS63" s="125"/>
      <c r="AT63" s="153"/>
      <c r="AU63" s="61"/>
      <c r="AV63" s="57"/>
      <c r="AW63" s="62"/>
      <c r="AX63" s="289"/>
      <c r="AY63" s="52"/>
      <c r="AZ63" s="126"/>
      <c r="BA63" s="159"/>
      <c r="BB63" s="63"/>
      <c r="BC63" s="53"/>
      <c r="BD63" s="159"/>
      <c r="BE63" s="53"/>
      <c r="BF63" s="126"/>
      <c r="BG63" s="159"/>
      <c r="BH63" s="63"/>
      <c r="BI63"/>
      <c r="BJ63"/>
      <c r="BK63"/>
      <c r="BL63"/>
      <c r="BM63"/>
      <c r="BN63"/>
      <c r="BO63"/>
      <c r="BP63"/>
      <c r="BQ63"/>
      <c r="BR63"/>
      <c r="BS63"/>
      <c r="BT63" s="168"/>
      <c r="BU63"/>
      <c r="BV63" s="222"/>
      <c r="BW63"/>
      <c r="BX63"/>
      <c r="BY63"/>
      <c r="BZ63" s="168"/>
      <c r="CA63"/>
      <c r="CB63" s="168"/>
      <c r="CC63"/>
      <c r="CD63" s="168"/>
      <c r="CE63"/>
      <c r="CF63" s="168"/>
      <c r="CG63"/>
      <c r="CH63" s="168"/>
      <c r="CI63"/>
      <c r="CJ63" s="168"/>
      <c r="CK63"/>
      <c r="CL63" s="168"/>
      <c r="CM63"/>
      <c r="CN63"/>
      <c r="CO63" s="168"/>
      <c r="CP63"/>
      <c r="CQ63"/>
      <c r="CR63" s="168"/>
      <c r="CS63"/>
      <c r="CT63"/>
      <c r="CU63" s="170"/>
      <c r="CX63" s="2"/>
      <c r="CZ63" s="2"/>
      <c r="DB63" s="2"/>
      <c r="DD63" s="2"/>
      <c r="DF63" s="2"/>
      <c r="DH63" s="2"/>
      <c r="DJ63" s="2"/>
      <c r="DL63" s="2"/>
      <c r="DN63" s="2"/>
      <c r="DP63" s="2"/>
      <c r="DR63" s="2"/>
      <c r="DU63" s="202"/>
      <c r="DW63" s="198"/>
      <c r="DY63" s="202"/>
      <c r="EA63" s="202"/>
      <c r="EC63" s="202"/>
      <c r="EE63" s="202"/>
      <c r="EH63" s="170"/>
      <c r="EJ63" s="170"/>
      <c r="EL63" s="170"/>
      <c r="EN63" s="170"/>
      <c r="EP63" s="170"/>
      <c r="ER63" s="170"/>
      <c r="EU63" s="170"/>
      <c r="EW63" s="170"/>
      <c r="EY63" s="170"/>
      <c r="FA63" s="170"/>
      <c r="FC63" s="170"/>
    </row>
    <row r="64" spans="1:159" s="1" customFormat="1" ht="26.1" customHeight="1" x14ac:dyDescent="0.3">
      <c r="A64" s="44"/>
      <c r="B64" s="139"/>
      <c r="D64" s="144"/>
      <c r="E64" s="48"/>
      <c r="F64" s="55"/>
      <c r="G64" s="59"/>
      <c r="H64" s="121"/>
      <c r="I64" s="122"/>
      <c r="J64" s="131"/>
      <c r="K64" s="46"/>
      <c r="L64" s="148"/>
      <c r="M64" s="46"/>
      <c r="N64" s="130"/>
      <c r="O64" s="45"/>
      <c r="P64" s="131"/>
      <c r="Q64" s="48"/>
      <c r="R64" s="46"/>
      <c r="S64" s="48"/>
      <c r="T64" s="48"/>
      <c r="U64" s="46"/>
      <c r="V64" s="48"/>
      <c r="W64" s="48"/>
      <c r="X64" s="292"/>
      <c r="Y64" s="131"/>
      <c r="Z64" s="48"/>
      <c r="AB64" s="48"/>
      <c r="AC64" s="55"/>
      <c r="AD64" s="123"/>
      <c r="AE64" s="60"/>
      <c r="AF64" s="60"/>
      <c r="AG64" s="55"/>
      <c r="AH64" s="60"/>
      <c r="AI64" s="55"/>
      <c r="AJ64" s="123"/>
      <c r="AK64" s="290"/>
      <c r="AL64" s="57"/>
      <c r="AM64" s="124"/>
      <c r="AN64" s="153"/>
      <c r="AO64" s="61"/>
      <c r="AP64" s="50"/>
      <c r="AQ64" s="62"/>
      <c r="AR64" s="56"/>
      <c r="AS64" s="125"/>
      <c r="AT64" s="153"/>
      <c r="AU64" s="61"/>
      <c r="AV64" s="57"/>
      <c r="AW64" s="62"/>
      <c r="AX64" s="289"/>
      <c r="AY64" s="58"/>
      <c r="AZ64" s="126"/>
      <c r="BA64" s="162"/>
      <c r="BB64" s="63"/>
      <c r="BC64" s="53"/>
      <c r="BD64" s="159"/>
      <c r="BE64" s="64"/>
      <c r="BF64" s="126"/>
      <c r="BG64" s="162"/>
      <c r="BH64" s="63"/>
      <c r="BI64"/>
      <c r="BJ64"/>
      <c r="BK64"/>
      <c r="BL64"/>
      <c r="BM64"/>
      <c r="BN64"/>
      <c r="BO64"/>
      <c r="BP64"/>
      <c r="BQ64"/>
      <c r="BR64"/>
      <c r="BS64"/>
      <c r="BT64" s="168"/>
      <c r="BU64"/>
      <c r="BV64" s="222"/>
      <c r="BW64"/>
      <c r="BX64"/>
      <c r="BY64"/>
      <c r="BZ64" s="168"/>
      <c r="CA64"/>
      <c r="CB64" s="168"/>
      <c r="CC64"/>
      <c r="CD64" s="168"/>
      <c r="CE64"/>
      <c r="CF64" s="168"/>
      <c r="CG64"/>
      <c r="CH64" s="168"/>
      <c r="CI64"/>
      <c r="CJ64" s="168"/>
      <c r="CK64"/>
      <c r="CL64" s="168"/>
      <c r="CM64"/>
      <c r="CN64"/>
      <c r="CO64" s="168"/>
      <c r="CP64"/>
      <c r="CQ64"/>
      <c r="CR64" s="168"/>
      <c r="CS64"/>
      <c r="CT64"/>
      <c r="CU64" s="170"/>
      <c r="CX64" s="2"/>
      <c r="CZ64" s="2"/>
      <c r="DB64" s="2"/>
      <c r="DD64" s="2"/>
      <c r="DF64" s="2"/>
      <c r="DH64" s="2"/>
      <c r="DJ64" s="2"/>
      <c r="DL64" s="2"/>
      <c r="DN64" s="2"/>
      <c r="DP64" s="2"/>
      <c r="DR64" s="2"/>
      <c r="DU64" s="202"/>
      <c r="DW64" s="198"/>
      <c r="DY64" s="202"/>
      <c r="EA64" s="202"/>
      <c r="EC64" s="202"/>
      <c r="EE64" s="202"/>
      <c r="EH64" s="170"/>
      <c r="EJ64" s="170"/>
      <c r="EL64" s="170"/>
      <c r="EN64" s="170"/>
      <c r="EP64" s="170"/>
      <c r="ER64" s="170"/>
      <c r="EU64" s="170"/>
      <c r="EW64" s="170"/>
      <c r="EY64" s="170"/>
      <c r="FA64" s="170"/>
      <c r="FC64" s="170"/>
    </row>
    <row r="65" spans="1:160" s="1" customFormat="1" ht="15" customHeight="1" x14ac:dyDescent="0.3">
      <c r="A65" s="44"/>
      <c r="B65" s="139"/>
      <c r="D65" s="144"/>
      <c r="E65" s="48"/>
      <c r="F65" s="55"/>
      <c r="G65" s="59"/>
      <c r="H65" s="121"/>
      <c r="I65" s="122"/>
      <c r="J65" s="131"/>
      <c r="K65" s="46"/>
      <c r="L65" s="148"/>
      <c r="M65" s="46"/>
      <c r="N65" s="130"/>
      <c r="O65" s="45"/>
      <c r="P65" s="131"/>
      <c r="Q65" s="48"/>
      <c r="R65" s="46"/>
      <c r="S65" s="48"/>
      <c r="T65" s="48"/>
      <c r="U65" s="46"/>
      <c r="V65" s="48"/>
      <c r="W65" s="48"/>
      <c r="X65" s="292"/>
      <c r="Y65" s="131"/>
      <c r="Z65" s="48"/>
      <c r="AB65" s="48"/>
      <c r="AC65" s="55"/>
      <c r="AD65" s="123"/>
      <c r="AE65" s="60"/>
      <c r="AF65" s="60"/>
      <c r="AG65" s="55"/>
      <c r="AH65" s="60"/>
      <c r="AI65" s="55"/>
      <c r="AJ65" s="123"/>
      <c r="AK65" s="290"/>
      <c r="AL65" s="57"/>
      <c r="AM65" s="124"/>
      <c r="AN65" s="153"/>
      <c r="AO65" s="61"/>
      <c r="AP65" s="50"/>
      <c r="AQ65" s="62"/>
      <c r="AR65" s="56"/>
      <c r="AS65" s="125"/>
      <c r="AT65" s="153"/>
      <c r="AU65" s="61"/>
      <c r="AV65" s="57"/>
      <c r="AW65" s="62"/>
      <c r="AX65" s="289"/>
      <c r="AY65" s="58"/>
      <c r="AZ65" s="126"/>
      <c r="BA65" s="162"/>
      <c r="BB65" s="63"/>
      <c r="BC65" s="53"/>
      <c r="BD65" s="159"/>
      <c r="BE65" s="64"/>
      <c r="BF65" s="126"/>
      <c r="BG65" s="162"/>
      <c r="BH65" s="63"/>
      <c r="BI65"/>
      <c r="BJ65"/>
      <c r="BK65"/>
      <c r="BL65"/>
      <c r="BM65"/>
      <c r="BN65"/>
      <c r="BO65"/>
      <c r="BP65"/>
      <c r="BQ65"/>
      <c r="BR65"/>
      <c r="BS65"/>
      <c r="BT65" s="168"/>
      <c r="BU65"/>
      <c r="BV65" s="222"/>
      <c r="BW65"/>
      <c r="BX65"/>
      <c r="BY65"/>
      <c r="BZ65" s="168"/>
      <c r="CA65"/>
      <c r="CB65" s="168"/>
      <c r="CC65"/>
      <c r="CD65" s="168"/>
      <c r="CE65"/>
      <c r="CF65" s="168"/>
      <c r="CG65"/>
      <c r="CH65" s="168"/>
      <c r="CI65"/>
      <c r="CJ65" s="168"/>
      <c r="CK65"/>
      <c r="CL65" s="168"/>
      <c r="CM65"/>
      <c r="CN65"/>
      <c r="CO65" s="168"/>
      <c r="CP65"/>
      <c r="CQ65"/>
      <c r="CR65" s="168"/>
      <c r="CS65"/>
      <c r="CT65"/>
      <c r="CU65" s="170"/>
      <c r="CV65"/>
      <c r="CX65" s="2"/>
      <c r="CZ65" s="2"/>
      <c r="DB65" s="2"/>
      <c r="DD65" s="2"/>
      <c r="DF65" s="2"/>
      <c r="DH65" s="2"/>
      <c r="DJ65" s="2"/>
      <c r="DL65" s="2"/>
      <c r="DN65" s="2"/>
      <c r="DP65" s="2"/>
      <c r="DR65" s="2"/>
      <c r="DU65" s="202"/>
      <c r="DW65" s="198"/>
      <c r="DY65" s="202"/>
      <c r="EA65" s="202"/>
      <c r="EC65" s="202"/>
      <c r="EE65" s="202"/>
      <c r="EH65" s="170"/>
      <c r="EJ65" s="170"/>
      <c r="EL65" s="170"/>
      <c r="EN65" s="170"/>
      <c r="EP65" s="170"/>
      <c r="ER65" s="170"/>
      <c r="EU65" s="170"/>
      <c r="EW65" s="170"/>
      <c r="EY65" s="170"/>
      <c r="FA65" s="170"/>
      <c r="FC65" s="170"/>
    </row>
    <row r="66" spans="1:160" x14ac:dyDescent="0.3">
      <c r="A66" s="44"/>
      <c r="B66" s="139"/>
      <c r="D66" s="144"/>
      <c r="E66" s="48"/>
      <c r="F66" s="55"/>
      <c r="G66" s="59"/>
      <c r="H66" s="121"/>
      <c r="I66" s="122"/>
      <c r="J66" s="131"/>
      <c r="K66" s="46"/>
      <c r="L66" s="148"/>
      <c r="M66" s="46"/>
      <c r="N66" s="130"/>
      <c r="O66" s="45"/>
      <c r="P66" s="131"/>
      <c r="Q66" s="48"/>
      <c r="R66" s="46"/>
      <c r="S66" s="48"/>
      <c r="T66" s="48"/>
      <c r="U66" s="46"/>
      <c r="V66" s="48"/>
      <c r="W66" s="48"/>
      <c r="X66" s="292"/>
      <c r="Y66" s="131"/>
      <c r="Z66" s="48"/>
      <c r="AA66" s="1"/>
      <c r="AB66" s="48"/>
      <c r="AC66" s="55"/>
      <c r="AD66" s="123"/>
      <c r="AE66" s="60"/>
      <c r="AF66" s="60"/>
      <c r="AG66" s="55"/>
      <c r="AH66" s="60"/>
      <c r="AI66" s="55"/>
      <c r="AJ66" s="123"/>
      <c r="AK66" s="290"/>
      <c r="AL66" s="57"/>
      <c r="AM66" s="124"/>
      <c r="AN66" s="153"/>
      <c r="AO66" s="61"/>
      <c r="AP66" s="50"/>
      <c r="AQ66" s="62"/>
      <c r="AR66" s="56"/>
      <c r="AS66" s="125"/>
      <c r="AT66" s="153"/>
      <c r="AU66" s="61"/>
      <c r="AV66" s="57"/>
      <c r="AW66" s="62"/>
      <c r="AX66" s="289"/>
      <c r="AY66" s="58"/>
      <c r="AZ66" s="126"/>
      <c r="BA66" s="162"/>
      <c r="BB66" s="63"/>
      <c r="BC66" s="53"/>
      <c r="BD66" s="159"/>
      <c r="BE66" s="64"/>
      <c r="BF66" s="126"/>
      <c r="BG66" s="162"/>
      <c r="BH66" s="63"/>
    </row>
    <row r="67" spans="1:160" x14ac:dyDescent="0.3">
      <c r="A67" s="44"/>
      <c r="B67" s="139"/>
      <c r="D67" s="144"/>
      <c r="E67" s="48"/>
      <c r="F67" s="55"/>
      <c r="G67" s="59"/>
      <c r="H67" s="121"/>
      <c r="I67" s="122"/>
      <c r="J67" s="131"/>
      <c r="K67" s="46"/>
      <c r="L67" s="130"/>
      <c r="M67" s="46"/>
      <c r="N67" s="131"/>
      <c r="O67" s="45"/>
      <c r="P67" s="131"/>
      <c r="Q67" s="48"/>
      <c r="R67" s="46"/>
      <c r="S67" s="48"/>
      <c r="T67" s="48"/>
      <c r="U67" s="46"/>
      <c r="V67" s="48"/>
      <c r="W67" s="48"/>
      <c r="X67" s="292"/>
      <c r="Y67" s="131"/>
      <c r="Z67" s="48"/>
      <c r="AA67" s="1"/>
      <c r="AB67" s="48"/>
      <c r="AC67" s="55"/>
      <c r="AD67" s="123"/>
      <c r="AE67" s="60"/>
      <c r="AF67" s="60"/>
      <c r="AG67" s="55"/>
      <c r="AH67" s="60"/>
      <c r="AI67" s="55"/>
      <c r="AJ67" s="123"/>
      <c r="AK67" s="290"/>
      <c r="AL67" s="57"/>
      <c r="AM67" s="124"/>
      <c r="AN67" s="153"/>
      <c r="AO67" s="61"/>
      <c r="AP67" s="50"/>
      <c r="AQ67" s="62"/>
      <c r="AR67" s="56"/>
      <c r="AS67" s="125"/>
      <c r="AT67" s="153"/>
      <c r="AU67" s="61"/>
      <c r="AV67" s="57"/>
      <c r="AW67" s="62"/>
      <c r="AX67" s="289"/>
      <c r="AY67" s="58"/>
      <c r="AZ67" s="126"/>
      <c r="BA67" s="162"/>
      <c r="BB67" s="63"/>
      <c r="BC67" s="53"/>
      <c r="BD67" s="159"/>
      <c r="BE67" s="64"/>
      <c r="BF67" s="126"/>
      <c r="BG67" s="162"/>
      <c r="BH67" s="63"/>
    </row>
    <row r="68" spans="1:160" s="1" customFormat="1" x14ac:dyDescent="0.3">
      <c r="A68" s="44"/>
      <c r="B68" s="139"/>
      <c r="D68" s="144"/>
      <c r="E68" s="48"/>
      <c r="F68" s="55"/>
      <c r="G68" s="59"/>
      <c r="H68" s="121"/>
      <c r="I68" s="122"/>
      <c r="J68" s="147"/>
      <c r="K68" s="46"/>
      <c r="L68" s="130"/>
      <c r="M68" s="46"/>
      <c r="N68" s="131"/>
      <c r="O68" s="45"/>
      <c r="P68" s="131"/>
      <c r="Q68" s="48"/>
      <c r="R68" s="46"/>
      <c r="S68" s="48"/>
      <c r="T68" s="48"/>
      <c r="U68" s="46"/>
      <c r="V68" s="48"/>
      <c r="W68" s="48"/>
      <c r="X68" s="292"/>
      <c r="Y68" s="131"/>
      <c r="Z68" s="48"/>
      <c r="AB68" s="48"/>
      <c r="AC68" s="55"/>
      <c r="AD68" s="123"/>
      <c r="AE68" s="60"/>
      <c r="AF68" s="60"/>
      <c r="AG68" s="55"/>
      <c r="AH68" s="60"/>
      <c r="AI68" s="55"/>
      <c r="AJ68" s="123"/>
      <c r="AK68" s="290"/>
      <c r="AL68" s="57"/>
      <c r="AM68" s="124"/>
      <c r="AN68" s="153"/>
      <c r="AO68" s="61"/>
      <c r="AP68" s="50"/>
      <c r="AQ68" s="62"/>
      <c r="AR68" s="56"/>
      <c r="AS68" s="125"/>
      <c r="AT68" s="153"/>
      <c r="AU68" s="61"/>
      <c r="AV68" s="57"/>
      <c r="AW68" s="62"/>
      <c r="AX68" s="289"/>
      <c r="AY68" s="58"/>
      <c r="AZ68" s="126"/>
      <c r="BA68" s="162"/>
      <c r="BB68" s="63"/>
      <c r="BC68" s="53"/>
      <c r="BD68" s="159"/>
      <c r="BE68" s="64"/>
      <c r="BF68" s="126"/>
      <c r="BG68" s="162"/>
      <c r="BH68" s="63"/>
      <c r="BI68"/>
      <c r="BJ68"/>
      <c r="BK68"/>
      <c r="BL68"/>
      <c r="BM68"/>
      <c r="BN68"/>
      <c r="BO68"/>
      <c r="BP68"/>
      <c r="BQ68"/>
      <c r="BR68"/>
      <c r="BS68"/>
      <c r="BT68" s="168"/>
      <c r="BU68"/>
      <c r="BV68" s="222"/>
      <c r="BW68"/>
      <c r="BX68"/>
      <c r="BY68"/>
      <c r="BZ68" s="168"/>
      <c r="CA68"/>
      <c r="CB68" s="168"/>
      <c r="CC68"/>
      <c r="CD68" s="168"/>
      <c r="CE68"/>
      <c r="CF68" s="168"/>
      <c r="CG68"/>
      <c r="CH68" s="168"/>
      <c r="CI68"/>
      <c r="CJ68" s="168"/>
      <c r="CK68"/>
      <c r="CL68" s="168"/>
      <c r="CM68"/>
      <c r="CN68"/>
      <c r="CO68" s="168"/>
      <c r="CP68"/>
      <c r="CQ68"/>
      <c r="CR68" s="168"/>
      <c r="CS68"/>
      <c r="CT68"/>
      <c r="CU68" s="170"/>
      <c r="CX68" s="2"/>
      <c r="CZ68" s="2"/>
      <c r="DB68" s="2"/>
      <c r="DD68" s="2"/>
      <c r="DF68" s="2"/>
      <c r="DH68" s="2"/>
      <c r="DJ68" s="2"/>
      <c r="DL68" s="2"/>
      <c r="DN68" s="2"/>
      <c r="DP68" s="2"/>
      <c r="DR68" s="2"/>
      <c r="DU68" s="202"/>
      <c r="DW68" s="198"/>
      <c r="DY68" s="202"/>
      <c r="EA68" s="202"/>
      <c r="EC68" s="202"/>
      <c r="EE68" s="202"/>
      <c r="EH68" s="170"/>
      <c r="EJ68" s="170"/>
      <c r="EL68" s="170"/>
      <c r="EN68" s="170"/>
      <c r="EP68" s="170"/>
      <c r="ER68" s="170"/>
      <c r="EU68" s="170"/>
      <c r="EW68" s="170"/>
      <c r="EY68" s="170"/>
      <c r="FA68" s="170"/>
      <c r="FC68" s="170"/>
    </row>
    <row r="69" spans="1:160" s="1" customFormat="1" x14ac:dyDescent="0.3">
      <c r="A69" s="44"/>
      <c r="B69" s="139"/>
      <c r="D69" s="144"/>
      <c r="E69" s="48"/>
      <c r="F69" s="55"/>
      <c r="G69" s="59"/>
      <c r="H69" s="121"/>
      <c r="I69" s="122"/>
      <c r="J69" s="131"/>
      <c r="K69" s="46"/>
      <c r="L69" s="130"/>
      <c r="M69" s="46"/>
      <c r="N69" s="131"/>
      <c r="O69" s="45"/>
      <c r="P69" s="131"/>
      <c r="Q69" s="48"/>
      <c r="R69" s="46"/>
      <c r="S69" s="48"/>
      <c r="T69" s="48"/>
      <c r="U69" s="46"/>
      <c r="V69" s="48"/>
      <c r="W69" s="48"/>
      <c r="X69" s="292"/>
      <c r="Y69" s="131"/>
      <c r="Z69" s="48"/>
      <c r="AB69" s="48"/>
      <c r="AC69" s="55"/>
      <c r="AD69" s="123"/>
      <c r="AE69" s="60"/>
      <c r="AF69" s="60"/>
      <c r="AG69" s="55"/>
      <c r="AH69" s="60"/>
      <c r="AI69" s="55"/>
      <c r="AJ69" s="123"/>
      <c r="AK69" s="290"/>
      <c r="AL69" s="57"/>
      <c r="AM69" s="124"/>
      <c r="AN69" s="153"/>
      <c r="AO69" s="61"/>
      <c r="AP69" s="50"/>
      <c r="AQ69" s="62"/>
      <c r="AR69" s="56"/>
      <c r="AS69" s="125"/>
      <c r="AT69" s="153"/>
      <c r="AU69" s="61"/>
      <c r="AV69" s="57"/>
      <c r="AW69" s="62"/>
      <c r="AX69" s="289"/>
      <c r="AY69" s="58"/>
      <c r="AZ69" s="126"/>
      <c r="BA69" s="162"/>
      <c r="BB69" s="63"/>
      <c r="BC69" s="53"/>
      <c r="BD69" s="159"/>
      <c r="BE69" s="64"/>
      <c r="BF69" s="126"/>
      <c r="BG69" s="162"/>
      <c r="BH69" s="63"/>
      <c r="BI69"/>
      <c r="BJ69"/>
      <c r="BK69"/>
      <c r="BL69"/>
      <c r="BM69"/>
      <c r="BN69"/>
      <c r="BO69"/>
      <c r="BP69"/>
      <c r="BQ69"/>
      <c r="BR69"/>
      <c r="BS69"/>
      <c r="BT69" s="168"/>
      <c r="BU69"/>
      <c r="BV69" s="222"/>
      <c r="BW69"/>
      <c r="BX69"/>
      <c r="BY69"/>
      <c r="BZ69" s="168"/>
      <c r="CA69"/>
      <c r="CB69" s="168"/>
      <c r="CC69"/>
      <c r="CD69" s="168"/>
      <c r="CE69"/>
      <c r="CF69" s="168"/>
      <c r="CG69"/>
      <c r="CH69" s="168"/>
      <c r="CI69"/>
      <c r="CJ69" s="168"/>
      <c r="CK69"/>
      <c r="CL69" s="168"/>
      <c r="CM69"/>
      <c r="CN69"/>
      <c r="CO69" s="168"/>
      <c r="CP69"/>
      <c r="CQ69"/>
      <c r="CR69" s="168"/>
      <c r="CS69"/>
      <c r="CT69"/>
      <c r="CU69" s="170"/>
      <c r="CV69"/>
      <c r="CX69" s="4"/>
      <c r="CY69"/>
      <c r="CZ69" s="4"/>
      <c r="DA69"/>
      <c r="DB69" s="4"/>
      <c r="DC69"/>
      <c r="DD69" s="4"/>
      <c r="DE69"/>
      <c r="DF69" s="4"/>
      <c r="DG69"/>
      <c r="DH69" s="4"/>
      <c r="DI69"/>
      <c r="DJ69" s="4"/>
      <c r="DK69"/>
      <c r="DL69" s="4"/>
      <c r="DM69"/>
      <c r="DN69" s="4"/>
      <c r="DO69"/>
      <c r="DP69" s="4"/>
      <c r="DQ69"/>
      <c r="DR69" s="4"/>
      <c r="DS69"/>
      <c r="DT69"/>
      <c r="DU69" s="161"/>
      <c r="DV69"/>
      <c r="DW69" s="197"/>
      <c r="DX69"/>
      <c r="DY69" s="161"/>
      <c r="DZ69"/>
      <c r="EA69" s="161"/>
      <c r="EB69"/>
      <c r="EC69" s="161"/>
      <c r="ED69"/>
      <c r="EE69" s="161"/>
      <c r="EF69"/>
      <c r="EG69"/>
      <c r="EH69" s="168"/>
      <c r="EI69"/>
      <c r="EJ69" s="168"/>
      <c r="EK69"/>
      <c r="EL69" s="168"/>
      <c r="EM69"/>
      <c r="EN69" s="168"/>
      <c r="EO69"/>
      <c r="EP69" s="168"/>
      <c r="EQ69"/>
      <c r="ER69" s="168"/>
      <c r="ES69"/>
      <c r="ET69"/>
      <c r="EU69" s="168"/>
      <c r="EV69"/>
      <c r="EW69" s="168"/>
      <c r="EX69"/>
      <c r="EY69" s="168"/>
      <c r="EZ69"/>
      <c r="FA69" s="168"/>
      <c r="FB69"/>
      <c r="FC69" s="168"/>
      <c r="FD69"/>
    </row>
    <row r="70" spans="1:160" s="1" customFormat="1" x14ac:dyDescent="0.3">
      <c r="A70" s="44"/>
      <c r="B70" s="139"/>
      <c r="D70" s="144"/>
      <c r="E70" s="48"/>
      <c r="F70" s="55"/>
      <c r="G70" s="59"/>
      <c r="H70" s="121"/>
      <c r="I70" s="122"/>
      <c r="J70" s="131"/>
      <c r="K70" s="46"/>
      <c r="L70" s="130"/>
      <c r="M70" s="46"/>
      <c r="N70" s="131"/>
      <c r="O70" s="45"/>
      <c r="P70" s="131"/>
      <c r="Q70" s="48"/>
      <c r="R70" s="46"/>
      <c r="S70" s="48"/>
      <c r="T70" s="48"/>
      <c r="U70" s="46"/>
      <c r="V70" s="48"/>
      <c r="W70" s="48"/>
      <c r="X70" s="292"/>
      <c r="Y70" s="131"/>
      <c r="Z70" s="48"/>
      <c r="AB70" s="48"/>
      <c r="AC70" s="55"/>
      <c r="AD70" s="123"/>
      <c r="AE70" s="60"/>
      <c r="AF70" s="60"/>
      <c r="AG70" s="55"/>
      <c r="AH70" s="60"/>
      <c r="AI70" s="55"/>
      <c r="AJ70" s="123"/>
      <c r="AK70" s="290"/>
      <c r="AL70" s="57"/>
      <c r="AM70" s="124"/>
      <c r="AN70" s="153"/>
      <c r="AO70" s="61"/>
      <c r="AP70" s="50"/>
      <c r="AQ70" s="62"/>
      <c r="AR70" s="56"/>
      <c r="AS70" s="125"/>
      <c r="AT70" s="153"/>
      <c r="AU70" s="61"/>
      <c r="AV70" s="57"/>
      <c r="AW70" s="62"/>
      <c r="AX70" s="289"/>
      <c r="AY70" s="58"/>
      <c r="AZ70" s="126"/>
      <c r="BA70" s="162"/>
      <c r="BB70" s="63"/>
      <c r="BC70" s="53"/>
      <c r="BD70" s="159"/>
      <c r="BE70" s="64"/>
      <c r="BF70" s="126"/>
      <c r="BG70" s="162"/>
      <c r="BH70" s="63"/>
      <c r="BI70"/>
      <c r="BJ70"/>
      <c r="BK70"/>
      <c r="BL70"/>
      <c r="BM70"/>
      <c r="BN70"/>
      <c r="BO70"/>
      <c r="BP70"/>
      <c r="BQ70"/>
      <c r="BR70"/>
      <c r="BS70"/>
      <c r="BT70" s="168"/>
      <c r="BU70"/>
      <c r="BV70" s="222"/>
      <c r="BW70"/>
      <c r="BX70"/>
      <c r="BY70"/>
      <c r="BZ70" s="168"/>
      <c r="CA70"/>
      <c r="CB70" s="168"/>
      <c r="CC70"/>
      <c r="CD70" s="168"/>
      <c r="CE70"/>
      <c r="CF70" s="168"/>
      <c r="CG70"/>
      <c r="CH70" s="168"/>
      <c r="CI70"/>
      <c r="CJ70" s="168"/>
      <c r="CK70"/>
      <c r="CL70" s="168"/>
      <c r="CM70"/>
      <c r="CN70"/>
      <c r="CO70" s="168"/>
      <c r="CP70"/>
      <c r="CQ70"/>
      <c r="CR70" s="168"/>
      <c r="CS70"/>
      <c r="CT70"/>
      <c r="CU70" s="170"/>
      <c r="CV70"/>
      <c r="CX70" s="4"/>
      <c r="CY70"/>
      <c r="CZ70" s="4"/>
      <c r="DA70"/>
      <c r="DB70" s="4"/>
      <c r="DC70"/>
      <c r="DD70" s="4"/>
      <c r="DE70"/>
      <c r="DF70" s="4"/>
      <c r="DG70"/>
      <c r="DH70" s="4"/>
      <c r="DI70"/>
      <c r="DJ70" s="4"/>
      <c r="DK70"/>
      <c r="DL70" s="4"/>
      <c r="DM70"/>
      <c r="DN70" s="4"/>
      <c r="DO70"/>
      <c r="DP70" s="4"/>
      <c r="DQ70"/>
      <c r="DR70" s="4"/>
      <c r="DS70"/>
      <c r="DT70"/>
      <c r="DU70" s="161"/>
      <c r="DV70"/>
      <c r="DW70" s="197"/>
      <c r="DX70"/>
      <c r="DY70" s="161"/>
      <c r="DZ70"/>
      <c r="EA70" s="161"/>
      <c r="EB70"/>
      <c r="EC70" s="161"/>
      <c r="ED70"/>
      <c r="EE70" s="161"/>
      <c r="EF70"/>
      <c r="EG70"/>
      <c r="EH70" s="168"/>
      <c r="EI70"/>
      <c r="EJ70" s="168"/>
      <c r="EK70"/>
      <c r="EL70" s="168"/>
      <c r="EM70"/>
      <c r="EN70" s="168"/>
      <c r="EO70"/>
      <c r="EP70" s="168"/>
      <c r="EQ70"/>
      <c r="ER70" s="168"/>
      <c r="ES70"/>
      <c r="ET70"/>
      <c r="EU70" s="168"/>
      <c r="EV70"/>
      <c r="EW70" s="168"/>
      <c r="EX70"/>
      <c r="EY70" s="168"/>
      <c r="EZ70"/>
      <c r="FA70" s="168"/>
      <c r="FB70"/>
      <c r="FC70" s="168"/>
      <c r="FD70"/>
    </row>
    <row r="71" spans="1:160" s="1" customFormat="1" x14ac:dyDescent="0.3">
      <c r="A71" s="44"/>
      <c r="B71" s="139"/>
      <c r="D71" s="144"/>
      <c r="E71" s="48"/>
      <c r="F71" s="55"/>
      <c r="G71" s="59"/>
      <c r="H71" s="121"/>
      <c r="I71" s="122"/>
      <c r="J71" s="131"/>
      <c r="K71" s="46"/>
      <c r="L71" s="130"/>
      <c r="M71" s="46"/>
      <c r="N71" s="131"/>
      <c r="O71" s="45"/>
      <c r="P71" s="131"/>
      <c r="Q71" s="48"/>
      <c r="R71" s="46"/>
      <c r="S71" s="48"/>
      <c r="T71" s="48"/>
      <c r="U71" s="46"/>
      <c r="V71" s="48"/>
      <c r="W71" s="48"/>
      <c r="X71" s="292"/>
      <c r="Y71" s="131"/>
      <c r="Z71" s="48"/>
      <c r="AB71" s="48"/>
      <c r="AC71" s="55"/>
      <c r="AD71" s="123"/>
      <c r="AE71" s="60"/>
      <c r="AF71" s="60"/>
      <c r="AG71" s="55"/>
      <c r="AH71" s="60"/>
      <c r="AI71" s="55"/>
      <c r="AJ71" s="123"/>
      <c r="AK71" s="290"/>
      <c r="AL71" s="57"/>
      <c r="AM71" s="124"/>
      <c r="AN71" s="153"/>
      <c r="AO71" s="61"/>
      <c r="AP71" s="50"/>
      <c r="AQ71" s="62"/>
      <c r="AR71" s="56"/>
      <c r="AS71" s="125"/>
      <c r="AT71" s="153"/>
      <c r="AU71" s="61"/>
      <c r="AV71" s="57"/>
      <c r="AW71" s="62"/>
      <c r="AX71" s="289"/>
      <c r="AY71" s="58"/>
      <c r="AZ71" s="126"/>
      <c r="BA71" s="162"/>
      <c r="BB71" s="63"/>
      <c r="BC71" s="53"/>
      <c r="BD71" s="159"/>
      <c r="BE71" s="64"/>
      <c r="BF71" s="126"/>
      <c r="BG71" s="162"/>
      <c r="BH71" s="63"/>
      <c r="BI71"/>
      <c r="BJ71"/>
      <c r="BK71"/>
      <c r="BL71"/>
      <c r="BM71"/>
      <c r="BN71"/>
      <c r="BO71"/>
      <c r="BP71"/>
      <c r="BQ71"/>
      <c r="BR71"/>
      <c r="BS71"/>
      <c r="BT71" s="168"/>
      <c r="BU71"/>
      <c r="BV71" s="222"/>
      <c r="BW71"/>
      <c r="BX71"/>
      <c r="BY71"/>
      <c r="BZ71" s="168"/>
      <c r="CA71"/>
      <c r="CB71" s="168"/>
      <c r="CC71"/>
      <c r="CD71" s="168"/>
      <c r="CE71"/>
      <c r="CF71" s="168"/>
      <c r="CG71"/>
      <c r="CH71" s="168"/>
      <c r="CI71"/>
      <c r="CJ71" s="168"/>
      <c r="CK71"/>
      <c r="CL71" s="168"/>
      <c r="CM71"/>
      <c r="CN71"/>
      <c r="CO71" s="168"/>
      <c r="CP71"/>
      <c r="CQ71"/>
      <c r="CR71" s="168"/>
      <c r="CS71"/>
      <c r="CT71"/>
      <c r="CU71" s="170"/>
      <c r="CV71"/>
      <c r="CX71" s="4"/>
      <c r="CY71"/>
      <c r="CZ71" s="4"/>
      <c r="DA71"/>
      <c r="DB71" s="4"/>
      <c r="DC71"/>
      <c r="DD71" s="4"/>
      <c r="DE71"/>
      <c r="DF71" s="4"/>
      <c r="DG71"/>
      <c r="DH71" s="4"/>
      <c r="DI71"/>
      <c r="DJ71" s="4"/>
      <c r="DK71"/>
      <c r="DL71" s="4"/>
      <c r="DM71"/>
      <c r="DN71" s="4"/>
      <c r="DO71"/>
      <c r="DP71" s="4"/>
      <c r="DQ71"/>
      <c r="DR71" s="4"/>
      <c r="DS71"/>
      <c r="DT71"/>
      <c r="DU71" s="161"/>
      <c r="DV71"/>
      <c r="DW71" s="197"/>
      <c r="DX71"/>
      <c r="DY71" s="161"/>
      <c r="DZ71"/>
      <c r="EA71" s="161"/>
      <c r="EB71"/>
      <c r="EC71" s="161"/>
      <c r="ED71"/>
      <c r="EE71" s="161"/>
      <c r="EF71"/>
      <c r="EG71"/>
      <c r="EH71" s="168"/>
      <c r="EI71"/>
      <c r="EJ71" s="168"/>
      <c r="EK71"/>
      <c r="EL71" s="168"/>
      <c r="EM71"/>
      <c r="EN71" s="168"/>
      <c r="EO71"/>
      <c r="EP71" s="168"/>
      <c r="EQ71"/>
      <c r="ER71" s="168"/>
      <c r="ES71"/>
      <c r="ET71"/>
      <c r="EU71" s="168"/>
      <c r="EV71"/>
      <c r="EW71" s="168"/>
      <c r="EX71"/>
      <c r="EY71" s="168"/>
      <c r="EZ71"/>
      <c r="FA71" s="168"/>
      <c r="FB71"/>
      <c r="FC71" s="168"/>
      <c r="FD71"/>
    </row>
    <row r="72" spans="1:160" s="1" customFormat="1" x14ac:dyDescent="0.3">
      <c r="A72" s="44"/>
      <c r="B72" s="139"/>
      <c r="D72" s="144"/>
      <c r="E72" s="48"/>
      <c r="F72" s="55"/>
      <c r="G72" s="59"/>
      <c r="H72" s="121"/>
      <c r="I72" s="122"/>
      <c r="J72" s="147"/>
      <c r="K72" s="46"/>
      <c r="L72" s="130"/>
      <c r="M72" s="46"/>
      <c r="N72" s="131"/>
      <c r="O72" s="45"/>
      <c r="P72" s="131"/>
      <c r="Q72" s="48"/>
      <c r="R72" s="46"/>
      <c r="S72" s="48"/>
      <c r="T72" s="48"/>
      <c r="U72" s="46"/>
      <c r="V72" s="48"/>
      <c r="W72" s="48"/>
      <c r="X72" s="292"/>
      <c r="Y72" s="131"/>
      <c r="Z72" s="48"/>
      <c r="AB72" s="48"/>
      <c r="AC72" s="55"/>
      <c r="AD72" s="123"/>
      <c r="AE72" s="60"/>
      <c r="AF72" s="60"/>
      <c r="AG72" s="55"/>
      <c r="AH72" s="60"/>
      <c r="AI72" s="55"/>
      <c r="AJ72" s="123"/>
      <c r="AK72" s="290"/>
      <c r="AL72" s="57"/>
      <c r="AM72" s="124"/>
      <c r="AN72" s="153"/>
      <c r="AO72" s="61"/>
      <c r="AP72" s="50"/>
      <c r="AQ72" s="62"/>
      <c r="AR72" s="56"/>
      <c r="AS72" s="125"/>
      <c r="AT72" s="153"/>
      <c r="AU72" s="61"/>
      <c r="AV72" s="57"/>
      <c r="AW72" s="62"/>
      <c r="AX72" s="289"/>
      <c r="AY72" s="58"/>
      <c r="AZ72" s="126"/>
      <c r="BA72" s="162"/>
      <c r="BB72" s="63"/>
      <c r="BC72" s="53"/>
      <c r="BD72" s="159"/>
      <c r="BE72" s="64"/>
      <c r="BF72" s="126"/>
      <c r="BG72" s="162"/>
      <c r="BH72" s="63"/>
      <c r="BI72"/>
      <c r="BJ72"/>
      <c r="BK72"/>
      <c r="BL72"/>
      <c r="BM72"/>
      <c r="BN72"/>
      <c r="BO72"/>
      <c r="BP72"/>
      <c r="BQ72"/>
      <c r="BR72"/>
      <c r="BS72"/>
      <c r="BT72" s="168"/>
      <c r="BU72"/>
      <c r="BV72" s="222"/>
      <c r="BW72"/>
      <c r="BX72"/>
      <c r="BY72"/>
      <c r="BZ72" s="168"/>
      <c r="CA72"/>
      <c r="CB72" s="168"/>
      <c r="CC72"/>
      <c r="CD72" s="168"/>
      <c r="CE72"/>
      <c r="CF72" s="168"/>
      <c r="CG72"/>
      <c r="CH72" s="168"/>
      <c r="CI72"/>
      <c r="CJ72" s="168"/>
      <c r="CK72"/>
      <c r="CL72" s="168"/>
      <c r="CM72"/>
      <c r="CN72"/>
      <c r="CO72" s="168"/>
      <c r="CP72"/>
      <c r="CQ72"/>
      <c r="CR72" s="168"/>
      <c r="CS72"/>
      <c r="CT72"/>
      <c r="CU72" s="170"/>
      <c r="CV72"/>
      <c r="CX72" s="4"/>
      <c r="CY72"/>
      <c r="CZ72" s="4"/>
      <c r="DA72"/>
      <c r="DB72" s="4"/>
      <c r="DC72"/>
      <c r="DD72" s="4"/>
      <c r="DE72"/>
      <c r="DF72" s="4"/>
      <c r="DG72"/>
      <c r="DH72" s="4"/>
      <c r="DI72"/>
      <c r="DJ72" s="4"/>
      <c r="DK72"/>
      <c r="DL72" s="4"/>
      <c r="DM72"/>
      <c r="DN72" s="4"/>
      <c r="DO72"/>
      <c r="DP72" s="4"/>
      <c r="DQ72"/>
      <c r="DR72" s="4"/>
      <c r="DS72"/>
      <c r="DT72"/>
      <c r="DU72" s="161"/>
      <c r="DV72"/>
      <c r="DW72" s="197"/>
      <c r="DX72"/>
      <c r="DY72" s="161"/>
      <c r="DZ72"/>
      <c r="EA72" s="161"/>
      <c r="EB72"/>
      <c r="EC72" s="161"/>
      <c r="ED72"/>
      <c r="EE72" s="161"/>
      <c r="EF72"/>
      <c r="EG72"/>
      <c r="EH72" s="168"/>
      <c r="EI72"/>
      <c r="EJ72" s="168"/>
      <c r="EK72"/>
      <c r="EL72" s="168"/>
      <c r="EM72"/>
      <c r="EN72" s="168"/>
      <c r="EO72"/>
      <c r="EP72" s="168"/>
      <c r="EQ72"/>
      <c r="ER72" s="168"/>
      <c r="ES72"/>
      <c r="ET72"/>
      <c r="EU72" s="168"/>
      <c r="EV72"/>
      <c r="EW72" s="168"/>
      <c r="EX72"/>
      <c r="EY72" s="168"/>
      <c r="EZ72"/>
      <c r="FA72" s="168"/>
      <c r="FB72"/>
      <c r="FC72" s="168"/>
      <c r="FD72"/>
    </row>
    <row r="73" spans="1:160" s="1" customFormat="1" x14ac:dyDescent="0.3">
      <c r="A73" s="44"/>
      <c r="B73" s="139"/>
      <c r="D73" s="144"/>
      <c r="E73" s="48"/>
      <c r="F73" s="55"/>
      <c r="G73" s="59"/>
      <c r="H73" s="121"/>
      <c r="I73" s="122"/>
      <c r="J73" s="147"/>
      <c r="K73" s="46"/>
      <c r="L73" s="130"/>
      <c r="M73" s="46"/>
      <c r="N73" s="131"/>
      <c r="O73" s="45"/>
      <c r="P73" s="131"/>
      <c r="Q73" s="48"/>
      <c r="R73" s="46"/>
      <c r="S73" s="48"/>
      <c r="T73" s="48"/>
      <c r="U73" s="46"/>
      <c r="V73" s="48"/>
      <c r="W73" s="48"/>
      <c r="X73" s="292"/>
      <c r="Y73" s="131"/>
      <c r="Z73" s="48"/>
      <c r="AB73" s="48"/>
      <c r="AC73" s="55"/>
      <c r="AD73" s="123"/>
      <c r="AE73" s="60"/>
      <c r="AF73" s="60"/>
      <c r="AG73" s="55"/>
      <c r="AH73" s="60"/>
      <c r="AI73" s="55"/>
      <c r="AJ73" s="123"/>
      <c r="AK73" s="290"/>
      <c r="AL73" s="57"/>
      <c r="AM73" s="124"/>
      <c r="AN73" s="153"/>
      <c r="AO73" s="61"/>
      <c r="AP73" s="50"/>
      <c r="AQ73" s="62"/>
      <c r="AR73" s="56"/>
      <c r="AS73" s="125"/>
      <c r="AT73" s="153"/>
      <c r="AU73" s="61"/>
      <c r="AV73" s="57"/>
      <c r="AW73" s="62"/>
      <c r="AX73" s="289"/>
      <c r="AY73" s="58"/>
      <c r="AZ73" s="126"/>
      <c r="BA73" s="162"/>
      <c r="BB73" s="63"/>
      <c r="BC73" s="53"/>
      <c r="BD73" s="159"/>
      <c r="BE73" s="64"/>
      <c r="BF73" s="126"/>
      <c r="BG73" s="162"/>
      <c r="BH73" s="63"/>
      <c r="BI73"/>
      <c r="BJ73"/>
      <c r="BK73"/>
      <c r="BL73"/>
      <c r="BM73"/>
      <c r="BN73"/>
      <c r="BO73"/>
      <c r="BP73"/>
      <c r="BQ73"/>
      <c r="BR73"/>
      <c r="BS73"/>
      <c r="BT73" s="168"/>
      <c r="BU73"/>
      <c r="BV73" s="222"/>
      <c r="BW73"/>
      <c r="BX73"/>
      <c r="BY73"/>
      <c r="BZ73" s="168"/>
      <c r="CA73"/>
      <c r="CB73" s="168"/>
      <c r="CC73"/>
      <c r="CD73" s="168"/>
      <c r="CE73"/>
      <c r="CF73" s="168"/>
      <c r="CG73"/>
      <c r="CH73" s="168"/>
      <c r="CI73"/>
      <c r="CJ73" s="168"/>
      <c r="CK73"/>
      <c r="CL73" s="168"/>
      <c r="CM73"/>
      <c r="CN73"/>
      <c r="CO73" s="168"/>
      <c r="CP73"/>
      <c r="CQ73"/>
      <c r="CR73" s="168"/>
      <c r="CS73"/>
      <c r="CT73"/>
      <c r="CU73" s="170"/>
      <c r="CV73"/>
      <c r="CX73" s="4"/>
      <c r="CY73"/>
      <c r="CZ73" s="4"/>
      <c r="DA73"/>
      <c r="DB73" s="4"/>
      <c r="DC73"/>
      <c r="DD73" s="4"/>
      <c r="DE73"/>
      <c r="DF73" s="4"/>
      <c r="DG73"/>
      <c r="DH73" s="4"/>
      <c r="DI73"/>
      <c r="DJ73" s="4"/>
      <c r="DK73"/>
      <c r="DL73" s="4"/>
      <c r="DM73"/>
      <c r="DN73" s="4"/>
      <c r="DO73"/>
      <c r="DP73" s="4"/>
      <c r="DQ73"/>
      <c r="DR73" s="4"/>
      <c r="DS73"/>
      <c r="DT73"/>
      <c r="DU73" s="161"/>
      <c r="DV73"/>
      <c r="DW73" s="197"/>
      <c r="DX73"/>
      <c r="DY73" s="161"/>
      <c r="DZ73"/>
      <c r="EA73" s="161"/>
      <c r="EB73"/>
      <c r="EC73" s="161"/>
      <c r="ED73"/>
      <c r="EE73" s="161"/>
      <c r="EF73"/>
      <c r="EG73"/>
      <c r="EH73" s="168"/>
      <c r="EI73"/>
      <c r="EJ73" s="168"/>
      <c r="EK73"/>
      <c r="EL73" s="168"/>
      <c r="EM73"/>
      <c r="EN73" s="168"/>
      <c r="EO73"/>
      <c r="EP73" s="168"/>
      <c r="EQ73"/>
      <c r="ER73" s="168"/>
      <c r="ES73"/>
      <c r="ET73"/>
      <c r="EU73" s="168"/>
      <c r="EV73"/>
      <c r="EW73" s="168"/>
      <c r="EX73"/>
      <c r="EY73" s="168"/>
      <c r="EZ73"/>
      <c r="FA73" s="168"/>
      <c r="FB73"/>
      <c r="FC73" s="168"/>
      <c r="FD73"/>
    </row>
    <row r="74" spans="1:160" s="1" customFormat="1" x14ac:dyDescent="0.3">
      <c r="A74" s="44"/>
      <c r="B74" s="139"/>
      <c r="D74" s="144"/>
      <c r="E74" s="48"/>
      <c r="F74" s="55"/>
      <c r="G74" s="59"/>
      <c r="H74" s="121"/>
      <c r="I74" s="122"/>
      <c r="J74" s="131"/>
      <c r="K74" s="46"/>
      <c r="L74" s="130"/>
      <c r="M74" s="46"/>
      <c r="N74" s="131"/>
      <c r="O74" s="45"/>
      <c r="P74" s="131"/>
      <c r="Q74" s="48"/>
      <c r="R74" s="46"/>
      <c r="S74" s="48"/>
      <c r="T74" s="48"/>
      <c r="U74" s="46"/>
      <c r="V74" s="48"/>
      <c r="W74" s="48"/>
      <c r="X74" s="292"/>
      <c r="Y74" s="131"/>
      <c r="Z74" s="48"/>
      <c r="AB74" s="48"/>
      <c r="AC74" s="55"/>
      <c r="AD74" s="123"/>
      <c r="AE74" s="60"/>
      <c r="AF74" s="60"/>
      <c r="AG74" s="55"/>
      <c r="AH74" s="60"/>
      <c r="AI74" s="55"/>
      <c r="AJ74" s="123"/>
      <c r="AK74" s="290"/>
      <c r="AL74" s="65"/>
      <c r="AM74" s="124"/>
      <c r="AN74" s="154"/>
      <c r="AO74" s="61"/>
      <c r="AP74" s="50"/>
      <c r="AQ74" s="62"/>
      <c r="AR74" s="66"/>
      <c r="AS74" s="125"/>
      <c r="AT74" s="154"/>
      <c r="AU74" s="61"/>
      <c r="AV74" s="65"/>
      <c r="AW74" s="62"/>
      <c r="AX74" s="289"/>
      <c r="AY74" s="58"/>
      <c r="AZ74" s="126"/>
      <c r="BA74" s="162"/>
      <c r="BB74" s="63"/>
      <c r="BC74" s="53"/>
      <c r="BD74" s="159"/>
      <c r="BE74" s="64"/>
      <c r="BF74" s="126"/>
      <c r="BG74" s="162"/>
      <c r="BH74" s="63"/>
      <c r="BI74"/>
      <c r="BJ74"/>
      <c r="BK74"/>
      <c r="BL74"/>
      <c r="BM74"/>
      <c r="BN74"/>
      <c r="BO74"/>
      <c r="BP74"/>
      <c r="BQ74"/>
      <c r="BR74"/>
      <c r="BS74"/>
      <c r="BT74" s="168"/>
      <c r="BU74"/>
      <c r="BV74" s="222"/>
      <c r="BW74"/>
      <c r="BX74"/>
      <c r="BY74"/>
      <c r="BZ74" s="168"/>
      <c r="CA74"/>
      <c r="CB74" s="168"/>
      <c r="CC74"/>
      <c r="CD74" s="168"/>
      <c r="CE74"/>
      <c r="CF74" s="168"/>
      <c r="CG74"/>
      <c r="CH74" s="168"/>
      <c r="CI74"/>
      <c r="CJ74" s="168"/>
      <c r="CK74"/>
      <c r="CL74" s="168"/>
      <c r="CM74"/>
      <c r="CN74"/>
      <c r="CO74" s="168"/>
      <c r="CP74"/>
      <c r="CQ74"/>
      <c r="CR74" s="168"/>
      <c r="CS74"/>
      <c r="CT74"/>
      <c r="CU74" s="170"/>
      <c r="CV74"/>
      <c r="CX74" s="4"/>
      <c r="CY74"/>
      <c r="CZ74" s="4"/>
      <c r="DA74"/>
      <c r="DB74" s="4"/>
      <c r="DC74"/>
      <c r="DD74" s="4"/>
      <c r="DE74"/>
      <c r="DF74" s="4"/>
      <c r="DG74"/>
      <c r="DH74" s="4"/>
      <c r="DI74"/>
      <c r="DJ74" s="4"/>
      <c r="DK74"/>
      <c r="DL74" s="4"/>
      <c r="DM74"/>
      <c r="DN74" s="4"/>
      <c r="DO74"/>
      <c r="DP74" s="4"/>
      <c r="DQ74"/>
      <c r="DR74" s="4"/>
      <c r="DS74"/>
      <c r="DT74"/>
      <c r="DU74" s="161"/>
      <c r="DV74"/>
      <c r="DW74" s="197"/>
      <c r="DX74"/>
      <c r="DY74" s="161"/>
      <c r="DZ74"/>
      <c r="EA74" s="161"/>
      <c r="EB74"/>
      <c r="EC74" s="161"/>
      <c r="ED74"/>
      <c r="EE74" s="161"/>
      <c r="EF74"/>
      <c r="EG74"/>
      <c r="EH74" s="168"/>
      <c r="EI74"/>
      <c r="EJ74" s="168"/>
      <c r="EK74"/>
      <c r="EL74" s="168"/>
      <c r="EM74"/>
      <c r="EN74" s="168"/>
      <c r="EO74"/>
      <c r="EP74" s="168"/>
      <c r="EQ74"/>
      <c r="ER74" s="168"/>
      <c r="ES74"/>
      <c r="ET74"/>
      <c r="EU74" s="168"/>
      <c r="EV74"/>
      <c r="EW74" s="168"/>
      <c r="EX74"/>
      <c r="EY74" s="168"/>
      <c r="EZ74"/>
      <c r="FA74" s="168"/>
      <c r="FB74"/>
      <c r="FC74" s="168"/>
      <c r="FD74"/>
    </row>
    <row r="75" spans="1:160" s="1" customFormat="1" x14ac:dyDescent="0.3">
      <c r="A75" s="44"/>
      <c r="B75" s="139"/>
      <c r="D75" s="144"/>
      <c r="E75" s="48"/>
      <c r="F75" s="55"/>
      <c r="G75" s="59"/>
      <c r="H75" s="121"/>
      <c r="I75" s="122"/>
      <c r="J75" s="131"/>
      <c r="K75" s="46"/>
      <c r="L75" s="130"/>
      <c r="M75" s="46"/>
      <c r="N75" s="131"/>
      <c r="O75" s="45"/>
      <c r="P75" s="131"/>
      <c r="Q75" s="48"/>
      <c r="R75" s="46"/>
      <c r="S75" s="48"/>
      <c r="T75" s="48"/>
      <c r="U75" s="46"/>
      <c r="V75" s="48"/>
      <c r="W75" s="48"/>
      <c r="X75" s="292"/>
      <c r="Y75" s="47"/>
      <c r="Z75" s="48"/>
      <c r="AB75" s="48"/>
      <c r="AC75" s="54"/>
      <c r="AD75" s="123"/>
      <c r="AE75" s="60"/>
      <c r="AF75" s="60"/>
      <c r="AG75" s="54"/>
      <c r="AH75" s="60"/>
      <c r="AI75" s="54"/>
      <c r="AJ75" s="123"/>
      <c r="AK75" s="290"/>
      <c r="AL75" s="65"/>
      <c r="AM75" s="124"/>
      <c r="AN75" s="154"/>
      <c r="AO75" s="61"/>
      <c r="AP75" s="50"/>
      <c r="AQ75" s="62"/>
      <c r="AR75" s="66"/>
      <c r="AS75" s="125"/>
      <c r="AT75" s="154"/>
      <c r="AU75" s="61"/>
      <c r="AV75" s="65"/>
      <c r="AW75" s="62"/>
      <c r="AX75" s="289"/>
      <c r="AY75" s="58"/>
      <c r="AZ75" s="126"/>
      <c r="BA75" s="162"/>
      <c r="BB75" s="63"/>
      <c r="BC75" s="53"/>
      <c r="BD75" s="159"/>
      <c r="BE75" s="64"/>
      <c r="BF75" s="126"/>
      <c r="BG75" s="162"/>
      <c r="BH75" s="63"/>
      <c r="BI75"/>
      <c r="BJ75"/>
      <c r="BK75"/>
      <c r="BL75"/>
      <c r="BM75"/>
      <c r="BN75"/>
      <c r="BO75"/>
      <c r="BP75"/>
      <c r="BQ75"/>
      <c r="BR75"/>
      <c r="BS75"/>
      <c r="BT75" s="168"/>
      <c r="BU75"/>
      <c r="BV75" s="222"/>
      <c r="BW75"/>
      <c r="BX75"/>
      <c r="BY75"/>
      <c r="BZ75" s="168"/>
      <c r="CA75"/>
      <c r="CB75" s="168"/>
      <c r="CC75"/>
      <c r="CD75" s="168"/>
      <c r="CE75"/>
      <c r="CF75" s="168"/>
      <c r="CG75"/>
      <c r="CH75" s="168"/>
      <c r="CI75"/>
      <c r="CJ75" s="168"/>
      <c r="CK75"/>
      <c r="CL75" s="168"/>
      <c r="CM75"/>
      <c r="CN75"/>
      <c r="CO75" s="168"/>
      <c r="CP75"/>
      <c r="CQ75"/>
      <c r="CR75" s="168"/>
      <c r="CS75"/>
      <c r="CT75"/>
      <c r="CU75" s="170"/>
      <c r="CV75"/>
      <c r="CX75" s="4"/>
      <c r="CY75"/>
      <c r="CZ75" s="4"/>
      <c r="DA75"/>
      <c r="DB75" s="4"/>
      <c r="DC75"/>
      <c r="DD75" s="4"/>
      <c r="DE75"/>
      <c r="DF75" s="4"/>
      <c r="DG75"/>
      <c r="DH75" s="4"/>
      <c r="DI75"/>
      <c r="DJ75" s="4"/>
      <c r="DK75"/>
      <c r="DL75" s="4"/>
      <c r="DM75"/>
      <c r="DN75" s="4"/>
      <c r="DO75"/>
      <c r="DP75" s="4"/>
      <c r="DQ75"/>
      <c r="DR75" s="4"/>
      <c r="DS75"/>
      <c r="DT75"/>
      <c r="DU75" s="161"/>
      <c r="DV75"/>
      <c r="DW75" s="197"/>
      <c r="DX75"/>
      <c r="DY75" s="161"/>
      <c r="DZ75"/>
      <c r="EA75" s="161"/>
      <c r="EB75"/>
      <c r="EC75" s="161"/>
      <c r="ED75"/>
      <c r="EE75" s="161"/>
      <c r="EF75"/>
      <c r="EG75"/>
      <c r="EH75" s="168"/>
      <c r="EI75"/>
      <c r="EJ75" s="168"/>
      <c r="EK75"/>
      <c r="EL75" s="168"/>
      <c r="EM75"/>
      <c r="EN75" s="168"/>
      <c r="EO75"/>
      <c r="EP75" s="168"/>
      <c r="EQ75"/>
      <c r="ER75" s="168"/>
      <c r="ES75"/>
      <c r="ET75"/>
      <c r="EU75" s="168"/>
      <c r="EV75"/>
      <c r="EW75" s="168"/>
      <c r="EX75"/>
      <c r="EY75" s="168"/>
      <c r="EZ75"/>
      <c r="FA75" s="168"/>
      <c r="FB75"/>
      <c r="FC75" s="168"/>
      <c r="FD75"/>
    </row>
    <row r="76" spans="1:160" s="1" customFormat="1" x14ac:dyDescent="0.3">
      <c r="A76" s="44"/>
      <c r="B76" s="139"/>
      <c r="D76" s="144"/>
      <c r="E76" s="48"/>
      <c r="F76" s="55"/>
      <c r="G76" s="59"/>
      <c r="H76" s="121"/>
      <c r="I76" s="122"/>
      <c r="J76" s="131"/>
      <c r="K76" s="46"/>
      <c r="L76" s="130"/>
      <c r="M76" s="46"/>
      <c r="N76" s="131"/>
      <c r="O76" s="45"/>
      <c r="P76" s="131"/>
      <c r="Q76" s="48"/>
      <c r="R76" s="46"/>
      <c r="S76" s="48"/>
      <c r="T76" s="48"/>
      <c r="U76" s="46"/>
      <c r="V76" s="48"/>
      <c r="W76" s="48"/>
      <c r="X76" s="292"/>
      <c r="Y76" s="47"/>
      <c r="Z76" s="48"/>
      <c r="AB76" s="48"/>
      <c r="AC76" s="54"/>
      <c r="AD76" s="123"/>
      <c r="AE76" s="60"/>
      <c r="AF76" s="60"/>
      <c r="AG76" s="54"/>
      <c r="AH76" s="60"/>
      <c r="AI76" s="54"/>
      <c r="AJ76" s="123"/>
      <c r="AK76" s="290"/>
      <c r="AL76" s="65"/>
      <c r="AM76" s="124"/>
      <c r="AN76" s="154"/>
      <c r="AO76" s="61"/>
      <c r="AP76" s="50"/>
      <c r="AQ76" s="62"/>
      <c r="AR76" s="66"/>
      <c r="AS76" s="125"/>
      <c r="AT76" s="154"/>
      <c r="AU76" s="61"/>
      <c r="AV76" s="65"/>
      <c r="AW76" s="62"/>
      <c r="AX76" s="289"/>
      <c r="AY76" s="58"/>
      <c r="AZ76" s="126"/>
      <c r="BA76" s="162"/>
      <c r="BB76" s="63"/>
      <c r="BC76" s="53"/>
      <c r="BD76" s="159"/>
      <c r="BE76" s="64"/>
      <c r="BF76" s="126"/>
      <c r="BG76" s="162"/>
      <c r="BH76" s="63"/>
      <c r="BI76"/>
      <c r="BJ76"/>
      <c r="BK76"/>
      <c r="BL76"/>
      <c r="BM76"/>
      <c r="BN76"/>
      <c r="BO76"/>
      <c r="BP76"/>
      <c r="BQ76"/>
      <c r="BR76"/>
      <c r="BS76"/>
      <c r="BT76" s="168"/>
      <c r="BU76"/>
      <c r="BV76" s="222"/>
      <c r="BW76"/>
      <c r="BX76"/>
      <c r="BY76"/>
      <c r="BZ76" s="168"/>
      <c r="CA76"/>
      <c r="CB76" s="168"/>
      <c r="CC76"/>
      <c r="CD76" s="168"/>
      <c r="CE76"/>
      <c r="CF76" s="168"/>
      <c r="CG76"/>
      <c r="CH76" s="168"/>
      <c r="CI76"/>
      <c r="CJ76" s="168"/>
      <c r="CK76"/>
      <c r="CL76" s="168"/>
      <c r="CM76"/>
      <c r="CN76"/>
      <c r="CO76" s="168"/>
      <c r="CP76"/>
      <c r="CQ76"/>
      <c r="CR76" s="168"/>
      <c r="CS76"/>
      <c r="CT76"/>
      <c r="CU76" s="170"/>
      <c r="CV76"/>
      <c r="CX76" s="4"/>
      <c r="CY76"/>
      <c r="CZ76" s="4"/>
      <c r="DA76"/>
      <c r="DB76" s="4"/>
      <c r="DC76"/>
      <c r="DD76" s="4"/>
      <c r="DE76"/>
      <c r="DF76" s="4"/>
      <c r="DG76"/>
      <c r="DH76" s="4"/>
      <c r="DI76"/>
      <c r="DJ76" s="4"/>
      <c r="DK76"/>
      <c r="DL76" s="4"/>
      <c r="DM76"/>
      <c r="DN76" s="4"/>
      <c r="DO76"/>
      <c r="DP76" s="4"/>
      <c r="DQ76"/>
      <c r="DR76" s="4"/>
      <c r="DS76"/>
      <c r="DT76"/>
      <c r="DU76" s="161"/>
      <c r="DV76"/>
      <c r="DW76" s="197"/>
      <c r="DX76"/>
      <c r="DY76" s="161"/>
      <c r="DZ76"/>
      <c r="EA76" s="161"/>
      <c r="EB76"/>
      <c r="EC76" s="161"/>
      <c r="ED76"/>
      <c r="EE76" s="161"/>
      <c r="EF76"/>
      <c r="EG76"/>
      <c r="EH76" s="168"/>
      <c r="EI76"/>
      <c r="EJ76" s="168"/>
      <c r="EK76"/>
      <c r="EL76" s="168"/>
      <c r="EM76"/>
      <c r="EN76" s="168"/>
      <c r="EO76"/>
      <c r="EP76" s="168"/>
      <c r="EQ76"/>
      <c r="ER76" s="168"/>
      <c r="ES76"/>
      <c r="ET76"/>
      <c r="EU76" s="168"/>
      <c r="EV76"/>
      <c r="EW76" s="168"/>
      <c r="EX76"/>
      <c r="EY76" s="168"/>
      <c r="EZ76"/>
      <c r="FA76" s="168"/>
      <c r="FB76"/>
      <c r="FC76" s="168"/>
      <c r="FD76"/>
    </row>
    <row r="77" spans="1:160" s="1" customFormat="1" x14ac:dyDescent="0.3">
      <c r="A77" s="44"/>
      <c r="B77" s="139"/>
      <c r="D77" s="144"/>
      <c r="E77" s="48"/>
      <c r="F77" s="55"/>
      <c r="G77" s="59"/>
      <c r="H77" s="121"/>
      <c r="I77" s="122"/>
      <c r="J77" s="131"/>
      <c r="K77" s="46"/>
      <c r="L77" s="130"/>
      <c r="M77" s="46"/>
      <c r="N77" s="131"/>
      <c r="O77" s="45"/>
      <c r="P77" s="131"/>
      <c r="Q77" s="48"/>
      <c r="R77" s="46"/>
      <c r="S77" s="48"/>
      <c r="T77" s="48"/>
      <c r="U77" s="46"/>
      <c r="V77" s="48"/>
      <c r="W77" s="48"/>
      <c r="X77" s="292"/>
      <c r="Y77" s="47"/>
      <c r="Z77" s="48"/>
      <c r="AB77" s="48"/>
      <c r="AC77" s="54"/>
      <c r="AD77" s="123"/>
      <c r="AE77" s="60"/>
      <c r="AF77" s="60"/>
      <c r="AG77" s="54"/>
      <c r="AH77" s="60"/>
      <c r="AI77" s="54"/>
      <c r="AJ77" s="123"/>
      <c r="AK77" s="290"/>
      <c r="AL77" s="65"/>
      <c r="AM77" s="124"/>
      <c r="AN77" s="154"/>
      <c r="AO77" s="61"/>
      <c r="AP77" s="50"/>
      <c r="AQ77" s="62"/>
      <c r="AR77" s="66"/>
      <c r="AS77" s="125"/>
      <c r="AT77" s="154"/>
      <c r="AU77" s="61"/>
      <c r="AV77" s="65"/>
      <c r="AW77" s="62"/>
      <c r="AX77" s="289"/>
      <c r="AY77" s="58"/>
      <c r="AZ77" s="126"/>
      <c r="BA77" s="162"/>
      <c r="BB77" s="63"/>
      <c r="BC77" s="53"/>
      <c r="BD77" s="159"/>
      <c r="BE77" s="64"/>
      <c r="BF77" s="126"/>
      <c r="BG77" s="162"/>
      <c r="BH77" s="63"/>
      <c r="BI77"/>
      <c r="BJ77"/>
      <c r="BK77"/>
      <c r="BL77"/>
      <c r="BM77"/>
      <c r="BN77"/>
      <c r="BO77"/>
      <c r="BP77"/>
      <c r="BQ77"/>
      <c r="BR77"/>
      <c r="BS77"/>
      <c r="BT77" s="168"/>
      <c r="BU77"/>
      <c r="BV77" s="222"/>
      <c r="BW77"/>
      <c r="BX77"/>
      <c r="BY77"/>
      <c r="BZ77" s="168"/>
      <c r="CA77"/>
      <c r="CB77" s="168"/>
      <c r="CC77"/>
      <c r="CD77" s="168"/>
      <c r="CE77"/>
      <c r="CF77" s="168"/>
      <c r="CG77"/>
      <c r="CH77" s="168"/>
      <c r="CI77"/>
      <c r="CJ77" s="168"/>
      <c r="CK77"/>
      <c r="CL77" s="168"/>
      <c r="CM77"/>
      <c r="CN77"/>
      <c r="CO77" s="168"/>
      <c r="CP77"/>
      <c r="CQ77"/>
      <c r="CR77" s="168"/>
      <c r="CS77"/>
      <c r="CT77"/>
      <c r="CU77" s="170"/>
      <c r="CV77"/>
      <c r="CX77" s="4"/>
      <c r="CY77"/>
      <c r="CZ77" s="4"/>
      <c r="DA77"/>
      <c r="DB77" s="4"/>
      <c r="DC77"/>
      <c r="DD77" s="4"/>
      <c r="DE77"/>
      <c r="DF77" s="4"/>
      <c r="DG77"/>
      <c r="DH77" s="4"/>
      <c r="DI77"/>
      <c r="DJ77" s="4"/>
      <c r="DK77"/>
      <c r="DL77" s="4"/>
      <c r="DM77"/>
      <c r="DN77" s="4"/>
      <c r="DO77"/>
      <c r="DP77" s="4"/>
      <c r="DQ77"/>
      <c r="DR77" s="4"/>
      <c r="DS77"/>
      <c r="DT77"/>
      <c r="DU77" s="161"/>
      <c r="DV77"/>
      <c r="DW77" s="197"/>
      <c r="DX77"/>
      <c r="DY77" s="161"/>
      <c r="DZ77"/>
      <c r="EA77" s="161"/>
      <c r="EB77"/>
      <c r="EC77" s="161"/>
      <c r="ED77"/>
      <c r="EE77" s="161"/>
      <c r="EF77"/>
      <c r="EG77"/>
      <c r="EH77" s="168"/>
      <c r="EI77"/>
      <c r="EJ77" s="168"/>
      <c r="EK77"/>
      <c r="EL77" s="168"/>
      <c r="EM77"/>
      <c r="EN77" s="168"/>
      <c r="EO77"/>
      <c r="EP77" s="168"/>
      <c r="EQ77"/>
      <c r="ER77" s="168"/>
      <c r="ES77"/>
      <c r="ET77"/>
      <c r="EU77" s="168"/>
      <c r="EV77"/>
      <c r="EW77" s="168"/>
      <c r="EX77"/>
      <c r="EY77" s="168"/>
      <c r="EZ77"/>
      <c r="FA77" s="168"/>
      <c r="FB77"/>
      <c r="FC77" s="168"/>
      <c r="FD77"/>
    </row>
    <row r="78" spans="1:160" s="1" customFormat="1" x14ac:dyDescent="0.3">
      <c r="A78" s="44"/>
      <c r="B78" s="139"/>
      <c r="D78" s="144"/>
      <c r="E78" s="48"/>
      <c r="F78" s="55"/>
      <c r="G78" s="59"/>
      <c r="H78" s="121"/>
      <c r="I78" s="122"/>
      <c r="J78" s="131"/>
      <c r="K78" s="46"/>
      <c r="L78" s="130"/>
      <c r="M78" s="46"/>
      <c r="N78" s="131"/>
      <c r="O78" s="45"/>
      <c r="P78" s="131"/>
      <c r="Q78" s="48"/>
      <c r="R78" s="46"/>
      <c r="S78" s="48"/>
      <c r="T78" s="48"/>
      <c r="U78" s="46"/>
      <c r="V78" s="48"/>
      <c r="W78" s="48"/>
      <c r="X78" s="292"/>
      <c r="Y78" s="47"/>
      <c r="Z78" s="48"/>
      <c r="AB78" s="48"/>
      <c r="AC78" s="54"/>
      <c r="AD78" s="123"/>
      <c r="AE78" s="60"/>
      <c r="AF78" s="60"/>
      <c r="AG78" s="54"/>
      <c r="AH78" s="60"/>
      <c r="AI78" s="54"/>
      <c r="AJ78" s="123"/>
      <c r="AK78" s="290"/>
      <c r="AL78" s="65"/>
      <c r="AM78" s="124"/>
      <c r="AN78" s="154"/>
      <c r="AO78" s="61"/>
      <c r="AP78" s="50"/>
      <c r="AQ78" s="62"/>
      <c r="AR78" s="66"/>
      <c r="AS78" s="125"/>
      <c r="AT78" s="154"/>
      <c r="AU78" s="61"/>
      <c r="AV78" s="65"/>
      <c r="AW78" s="62"/>
      <c r="AX78" s="289"/>
      <c r="AY78" s="58"/>
      <c r="AZ78" s="126"/>
      <c r="BA78" s="162"/>
      <c r="BB78" s="63"/>
      <c r="BC78" s="53"/>
      <c r="BD78" s="159"/>
      <c r="BE78" s="64"/>
      <c r="BF78" s="126"/>
      <c r="BG78" s="162"/>
      <c r="BH78" s="63"/>
      <c r="BI78"/>
      <c r="BJ78"/>
      <c r="BK78"/>
      <c r="BL78"/>
      <c r="BM78"/>
      <c r="BN78"/>
      <c r="BO78"/>
      <c r="BP78"/>
      <c r="BQ78"/>
      <c r="BR78"/>
      <c r="BS78"/>
      <c r="BT78" s="168"/>
      <c r="BU78"/>
      <c r="BV78" s="222"/>
      <c r="BW78"/>
      <c r="BX78"/>
      <c r="BY78"/>
      <c r="BZ78" s="168"/>
      <c r="CA78"/>
      <c r="CB78" s="168"/>
      <c r="CC78"/>
      <c r="CD78" s="168"/>
      <c r="CE78"/>
      <c r="CF78" s="168"/>
      <c r="CG78"/>
      <c r="CH78" s="168"/>
      <c r="CI78"/>
      <c r="CJ78" s="168"/>
      <c r="CK78"/>
      <c r="CL78" s="168"/>
      <c r="CM78"/>
      <c r="CN78"/>
      <c r="CO78" s="168"/>
      <c r="CP78"/>
      <c r="CQ78"/>
      <c r="CR78" s="168"/>
      <c r="CS78"/>
      <c r="CT78"/>
      <c r="CU78" s="170"/>
      <c r="CV78"/>
      <c r="CX78" s="4"/>
      <c r="CY78"/>
      <c r="CZ78" s="4"/>
      <c r="DA78"/>
      <c r="DB78" s="4"/>
      <c r="DC78"/>
      <c r="DD78" s="4"/>
      <c r="DE78"/>
      <c r="DF78" s="4"/>
      <c r="DG78"/>
      <c r="DH78" s="4"/>
      <c r="DI78"/>
      <c r="DJ78" s="4"/>
      <c r="DK78"/>
      <c r="DL78" s="4"/>
      <c r="DM78"/>
      <c r="DN78" s="4"/>
      <c r="DO78"/>
      <c r="DP78" s="4"/>
      <c r="DQ78"/>
      <c r="DR78" s="4"/>
      <c r="DS78"/>
      <c r="DT78"/>
      <c r="DU78" s="161"/>
      <c r="DV78"/>
      <c r="DW78" s="197"/>
      <c r="DX78"/>
      <c r="DY78" s="161"/>
      <c r="DZ78"/>
      <c r="EA78" s="161"/>
      <c r="EB78"/>
      <c r="EC78" s="161"/>
      <c r="ED78"/>
      <c r="EE78" s="161"/>
      <c r="EF78"/>
      <c r="EG78"/>
      <c r="EH78" s="168"/>
      <c r="EI78"/>
      <c r="EJ78" s="168"/>
      <c r="EK78"/>
      <c r="EL78" s="168"/>
      <c r="EM78"/>
      <c r="EN78" s="168"/>
      <c r="EO78"/>
      <c r="EP78" s="168"/>
      <c r="EQ78"/>
      <c r="ER78" s="168"/>
      <c r="ES78"/>
      <c r="ET78"/>
      <c r="EU78" s="168"/>
      <c r="EV78"/>
      <c r="EW78" s="168"/>
      <c r="EX78"/>
      <c r="EY78" s="168"/>
      <c r="EZ78"/>
      <c r="FA78" s="168"/>
      <c r="FB78"/>
      <c r="FC78" s="168"/>
      <c r="FD78"/>
    </row>
    <row r="79" spans="1:160" s="1" customFormat="1" x14ac:dyDescent="0.3">
      <c r="A79" s="44"/>
      <c r="B79" s="139"/>
      <c r="D79" s="144"/>
      <c r="E79" s="48"/>
      <c r="F79" s="55"/>
      <c r="G79" s="59"/>
      <c r="H79" s="121"/>
      <c r="I79" s="122"/>
      <c r="J79" s="131"/>
      <c r="K79" s="46"/>
      <c r="L79" s="130"/>
      <c r="M79" s="46"/>
      <c r="N79" s="131"/>
      <c r="O79" s="45"/>
      <c r="P79" s="131"/>
      <c r="Q79" s="48"/>
      <c r="R79" s="46"/>
      <c r="S79" s="48"/>
      <c r="T79" s="48"/>
      <c r="U79" s="46"/>
      <c r="V79" s="48"/>
      <c r="W79" s="48"/>
      <c r="X79" s="292"/>
      <c r="Y79" s="47"/>
      <c r="Z79" s="48"/>
      <c r="AB79" s="48"/>
      <c r="AC79" s="54"/>
      <c r="AD79" s="123"/>
      <c r="AE79" s="60"/>
      <c r="AF79" s="60"/>
      <c r="AG79" s="54"/>
      <c r="AH79" s="60"/>
      <c r="AI79" s="54"/>
      <c r="AJ79" s="123"/>
      <c r="AK79" s="290"/>
      <c r="AL79" s="65"/>
      <c r="AM79" s="124"/>
      <c r="AN79" s="154"/>
      <c r="AO79" s="61"/>
      <c r="AP79" s="50"/>
      <c r="AQ79" s="62"/>
      <c r="AR79" s="66"/>
      <c r="AS79" s="125"/>
      <c r="AT79" s="154"/>
      <c r="AU79" s="61"/>
      <c r="AV79" s="65"/>
      <c r="AW79" s="62"/>
      <c r="AX79" s="289"/>
      <c r="AY79" s="58"/>
      <c r="AZ79" s="126"/>
      <c r="BA79" s="162"/>
      <c r="BB79" s="63"/>
      <c r="BC79" s="53"/>
      <c r="BD79" s="159"/>
      <c r="BE79" s="64"/>
      <c r="BF79" s="126"/>
      <c r="BG79" s="162"/>
      <c r="BH79" s="63"/>
      <c r="BI79"/>
      <c r="BJ79"/>
      <c r="BK79"/>
      <c r="BL79"/>
      <c r="BM79"/>
      <c r="BN79"/>
      <c r="BO79"/>
      <c r="BP79"/>
      <c r="BQ79"/>
      <c r="BR79"/>
      <c r="BS79"/>
      <c r="BT79" s="168"/>
      <c r="BU79"/>
      <c r="BV79" s="222"/>
      <c r="BW79"/>
      <c r="BX79"/>
      <c r="BY79"/>
      <c r="BZ79" s="168"/>
      <c r="CA79"/>
      <c r="CB79" s="168"/>
      <c r="CC79"/>
      <c r="CD79" s="168"/>
      <c r="CE79"/>
      <c r="CF79" s="168"/>
      <c r="CG79"/>
      <c r="CH79" s="168"/>
      <c r="CI79"/>
      <c r="CJ79" s="168"/>
      <c r="CK79"/>
      <c r="CL79" s="168"/>
      <c r="CM79"/>
      <c r="CN79"/>
      <c r="CO79" s="168"/>
      <c r="CP79"/>
      <c r="CQ79"/>
      <c r="CR79" s="168"/>
      <c r="CS79"/>
      <c r="CT79"/>
      <c r="CU79" s="170"/>
      <c r="CV79"/>
      <c r="CX79" s="4"/>
      <c r="CY79"/>
      <c r="CZ79" s="4"/>
      <c r="DA79"/>
      <c r="DB79" s="4"/>
      <c r="DC79"/>
      <c r="DD79" s="4"/>
      <c r="DE79"/>
      <c r="DF79" s="4"/>
      <c r="DG79"/>
      <c r="DH79" s="4"/>
      <c r="DI79"/>
      <c r="DJ79" s="4"/>
      <c r="DK79"/>
      <c r="DL79" s="4"/>
      <c r="DM79"/>
      <c r="DN79" s="4"/>
      <c r="DO79"/>
      <c r="DP79" s="4"/>
      <c r="DQ79"/>
      <c r="DR79" s="4"/>
      <c r="DS79"/>
      <c r="DT79"/>
      <c r="DU79" s="161"/>
      <c r="DV79"/>
      <c r="DW79" s="197"/>
      <c r="DX79"/>
      <c r="DY79" s="161"/>
      <c r="DZ79"/>
      <c r="EA79" s="161"/>
      <c r="EB79"/>
      <c r="EC79" s="161"/>
      <c r="ED79"/>
      <c r="EE79" s="161"/>
      <c r="EF79"/>
      <c r="EG79"/>
      <c r="EH79" s="168"/>
      <c r="EI79"/>
      <c r="EJ79" s="168"/>
      <c r="EK79"/>
      <c r="EL79" s="168"/>
      <c r="EM79"/>
      <c r="EN79" s="168"/>
      <c r="EO79"/>
      <c r="EP79" s="168"/>
      <c r="EQ79"/>
      <c r="ER79" s="168"/>
      <c r="ES79"/>
      <c r="ET79"/>
      <c r="EU79" s="168"/>
      <c r="EV79"/>
      <c r="EW79" s="168"/>
      <c r="EX79"/>
      <c r="EY79" s="168"/>
      <c r="EZ79"/>
      <c r="FA79" s="168"/>
      <c r="FB79"/>
      <c r="FC79" s="168"/>
      <c r="FD79"/>
    </row>
    <row r="80" spans="1:160" s="1" customFormat="1" x14ac:dyDescent="0.3">
      <c r="A80" s="44"/>
      <c r="B80" s="139"/>
      <c r="D80" s="144"/>
      <c r="E80" s="48"/>
      <c r="F80" s="55"/>
      <c r="G80" s="59"/>
      <c r="H80" s="121"/>
      <c r="I80" s="122"/>
      <c r="J80" s="131"/>
      <c r="K80" s="46"/>
      <c r="L80" s="130"/>
      <c r="M80" s="46"/>
      <c r="N80" s="131"/>
      <c r="O80" s="45"/>
      <c r="P80" s="131"/>
      <c r="Q80" s="48"/>
      <c r="R80" s="46"/>
      <c r="S80" s="48"/>
      <c r="T80" s="48"/>
      <c r="U80" s="46"/>
      <c r="V80" s="48"/>
      <c r="W80" s="48"/>
      <c r="X80" s="292"/>
      <c r="Y80" s="47"/>
      <c r="Z80" s="48"/>
      <c r="AB80" s="48"/>
      <c r="AC80" s="54"/>
      <c r="AD80" s="123"/>
      <c r="AE80" s="60"/>
      <c r="AF80" s="60"/>
      <c r="AG80" s="54"/>
      <c r="AH80" s="60"/>
      <c r="AI80" s="54"/>
      <c r="AJ80" s="123"/>
      <c r="AK80" s="290"/>
      <c r="AL80" s="65"/>
      <c r="AM80" s="124"/>
      <c r="AN80" s="154"/>
      <c r="AO80" s="61"/>
      <c r="AP80" s="50"/>
      <c r="AQ80" s="62"/>
      <c r="AR80" s="66"/>
      <c r="AS80" s="125"/>
      <c r="AT80" s="154"/>
      <c r="AU80" s="61"/>
      <c r="AV80" s="65"/>
      <c r="AW80" s="62"/>
      <c r="AX80" s="289"/>
      <c r="AY80" s="58"/>
      <c r="AZ80" s="126"/>
      <c r="BA80" s="162"/>
      <c r="BB80" s="63"/>
      <c r="BC80" s="53"/>
      <c r="BD80" s="159"/>
      <c r="BE80" s="64"/>
      <c r="BF80" s="126"/>
      <c r="BG80" s="162"/>
      <c r="BH80" s="63"/>
      <c r="BI80"/>
      <c r="BJ80"/>
      <c r="BK80"/>
      <c r="BL80"/>
      <c r="BM80"/>
      <c r="BN80"/>
      <c r="BO80"/>
      <c r="BP80"/>
      <c r="BQ80"/>
      <c r="BR80"/>
      <c r="BS80"/>
      <c r="BT80" s="168"/>
      <c r="BU80"/>
      <c r="BV80" s="222"/>
      <c r="BW80"/>
      <c r="BX80"/>
      <c r="BY80"/>
      <c r="BZ80" s="168"/>
      <c r="CA80"/>
      <c r="CB80" s="168"/>
      <c r="CC80"/>
      <c r="CD80" s="168"/>
      <c r="CE80"/>
      <c r="CF80" s="168"/>
      <c r="CG80"/>
      <c r="CH80" s="168"/>
      <c r="CI80"/>
      <c r="CJ80" s="168"/>
      <c r="CK80"/>
      <c r="CL80" s="168"/>
      <c r="CM80"/>
      <c r="CN80"/>
      <c r="CO80" s="168"/>
      <c r="CP80"/>
      <c r="CQ80"/>
      <c r="CR80" s="168"/>
      <c r="CS80"/>
      <c r="CT80"/>
      <c r="CU80" s="170"/>
      <c r="CV80"/>
      <c r="CX80" s="4"/>
      <c r="CY80"/>
      <c r="CZ80" s="4"/>
      <c r="DA80"/>
      <c r="DB80" s="4"/>
      <c r="DC80"/>
      <c r="DD80" s="4"/>
      <c r="DE80"/>
      <c r="DF80" s="4"/>
      <c r="DG80"/>
      <c r="DH80" s="4"/>
      <c r="DI80"/>
      <c r="DJ80" s="4"/>
      <c r="DK80"/>
      <c r="DL80" s="4"/>
      <c r="DM80"/>
      <c r="DN80" s="4"/>
      <c r="DO80"/>
      <c r="DP80" s="4"/>
      <c r="DQ80"/>
      <c r="DR80" s="4"/>
      <c r="DS80"/>
      <c r="DT80"/>
      <c r="DU80" s="161"/>
      <c r="DV80"/>
      <c r="DW80" s="197"/>
      <c r="DX80"/>
      <c r="DY80" s="161"/>
      <c r="DZ80"/>
      <c r="EA80" s="161"/>
      <c r="EB80"/>
      <c r="EC80" s="161"/>
      <c r="ED80"/>
      <c r="EE80" s="161"/>
      <c r="EF80"/>
      <c r="EG80"/>
      <c r="EH80" s="168"/>
      <c r="EI80"/>
      <c r="EJ80" s="168"/>
      <c r="EK80"/>
      <c r="EL80" s="168"/>
      <c r="EM80"/>
      <c r="EN80" s="168"/>
      <c r="EO80"/>
      <c r="EP80" s="168"/>
      <c r="EQ80"/>
      <c r="ER80" s="168"/>
      <c r="ES80"/>
      <c r="ET80"/>
      <c r="EU80" s="168"/>
      <c r="EV80"/>
      <c r="EW80" s="168"/>
      <c r="EX80"/>
      <c r="EY80" s="168"/>
      <c r="EZ80"/>
      <c r="FA80" s="168"/>
      <c r="FB80"/>
      <c r="FC80" s="168"/>
      <c r="FD80"/>
    </row>
    <row r="81" spans="1:160" s="1" customFormat="1" x14ac:dyDescent="0.3">
      <c r="A81" s="44"/>
      <c r="B81" s="140"/>
      <c r="D81" s="144"/>
      <c r="E81" s="48"/>
      <c r="F81" s="55"/>
      <c r="G81" s="59"/>
      <c r="H81" s="121"/>
      <c r="I81" s="122"/>
      <c r="J81" s="131"/>
      <c r="K81" s="46"/>
      <c r="L81" s="130"/>
      <c r="M81" s="46"/>
      <c r="N81" s="131"/>
      <c r="O81" s="45"/>
      <c r="P81" s="131"/>
      <c r="Q81" s="48"/>
      <c r="R81" s="46"/>
      <c r="S81" s="48"/>
      <c r="T81" s="48"/>
      <c r="U81" s="46"/>
      <c r="V81" s="48"/>
      <c r="W81" s="48"/>
      <c r="X81" s="292"/>
      <c r="Y81" s="47"/>
      <c r="Z81" s="48"/>
      <c r="AB81" s="48"/>
      <c r="AC81" s="54"/>
      <c r="AD81" s="123"/>
      <c r="AE81" s="60"/>
      <c r="AF81" s="60"/>
      <c r="AG81" s="54"/>
      <c r="AH81" s="60"/>
      <c r="AI81" s="54"/>
      <c r="AJ81" s="123"/>
      <c r="AK81" s="290"/>
      <c r="AL81" s="65"/>
      <c r="AM81" s="124"/>
      <c r="AN81" s="154"/>
      <c r="AO81" s="61"/>
      <c r="AP81" s="50"/>
      <c r="AQ81" s="62"/>
      <c r="AR81" s="66"/>
      <c r="AS81" s="125"/>
      <c r="AT81" s="154"/>
      <c r="AU81" s="61"/>
      <c r="AV81" s="65"/>
      <c r="AW81" s="62"/>
      <c r="AX81" s="289"/>
      <c r="AY81" s="58"/>
      <c r="AZ81" s="126"/>
      <c r="BA81" s="162"/>
      <c r="BB81" s="63"/>
      <c r="BC81" s="53"/>
      <c r="BD81" s="159"/>
      <c r="BE81" s="64"/>
      <c r="BF81" s="126"/>
      <c r="BG81" s="162"/>
      <c r="BH81" s="63"/>
      <c r="BI81"/>
      <c r="BJ81"/>
      <c r="BK81"/>
      <c r="BL81"/>
      <c r="BM81"/>
      <c r="BN81"/>
      <c r="BO81"/>
      <c r="BP81"/>
      <c r="BQ81"/>
      <c r="BR81"/>
      <c r="BS81"/>
      <c r="BT81" s="168"/>
      <c r="BU81"/>
      <c r="BV81" s="222"/>
      <c r="BW81"/>
      <c r="BX81"/>
      <c r="BY81"/>
      <c r="BZ81" s="168"/>
      <c r="CA81"/>
      <c r="CB81" s="168"/>
      <c r="CC81"/>
      <c r="CD81" s="168"/>
      <c r="CE81"/>
      <c r="CF81" s="168"/>
      <c r="CG81"/>
      <c r="CH81" s="168"/>
      <c r="CI81"/>
      <c r="CJ81" s="168"/>
      <c r="CK81"/>
      <c r="CL81" s="168"/>
      <c r="CM81"/>
      <c r="CN81"/>
      <c r="CO81" s="168"/>
      <c r="CP81"/>
      <c r="CQ81"/>
      <c r="CR81" s="168"/>
      <c r="CS81"/>
      <c r="CT81"/>
      <c r="CU81" s="170"/>
      <c r="CV81"/>
      <c r="CX81" s="4"/>
      <c r="CY81"/>
      <c r="CZ81" s="4"/>
      <c r="DA81"/>
      <c r="DB81" s="4"/>
      <c r="DC81"/>
      <c r="DD81" s="4"/>
      <c r="DE81"/>
      <c r="DF81" s="4"/>
      <c r="DG81"/>
      <c r="DH81" s="4"/>
      <c r="DI81"/>
      <c r="DJ81" s="4"/>
      <c r="DK81"/>
      <c r="DL81" s="4"/>
      <c r="DM81"/>
      <c r="DN81" s="4"/>
      <c r="DO81"/>
      <c r="DP81" s="4"/>
      <c r="DQ81"/>
      <c r="DR81" s="4"/>
      <c r="DS81"/>
      <c r="DT81"/>
      <c r="DU81" s="161"/>
      <c r="DV81"/>
      <c r="DW81" s="197"/>
      <c r="DX81"/>
      <c r="DY81" s="161"/>
      <c r="DZ81"/>
      <c r="EA81" s="161"/>
      <c r="EB81"/>
      <c r="EC81" s="161"/>
      <c r="ED81"/>
      <c r="EE81" s="161"/>
      <c r="EF81"/>
      <c r="EG81"/>
      <c r="EH81" s="168"/>
      <c r="EI81"/>
      <c r="EJ81" s="168"/>
      <c r="EK81"/>
      <c r="EL81" s="168"/>
      <c r="EM81"/>
      <c r="EN81" s="168"/>
      <c r="EO81"/>
      <c r="EP81" s="168"/>
      <c r="EQ81"/>
      <c r="ER81" s="168"/>
      <c r="ES81"/>
      <c r="ET81"/>
      <c r="EU81" s="168"/>
      <c r="EV81"/>
      <c r="EW81" s="168"/>
      <c r="EX81"/>
      <c r="EY81" s="168"/>
      <c r="EZ81"/>
      <c r="FA81" s="168"/>
      <c r="FB81"/>
      <c r="FC81" s="168"/>
      <c r="FD81"/>
    </row>
    <row r="82" spans="1:160" s="1" customFormat="1" x14ac:dyDescent="0.3">
      <c r="A82" s="44"/>
      <c r="B82" s="138"/>
      <c r="D82" s="143"/>
      <c r="E82" s="48"/>
      <c r="F82" s="55"/>
      <c r="G82" s="59"/>
      <c r="H82" s="121"/>
      <c r="I82" s="122"/>
      <c r="J82" s="131"/>
      <c r="K82" s="46"/>
      <c r="L82" s="130"/>
      <c r="M82" s="46"/>
      <c r="N82" s="131"/>
      <c r="O82" s="45"/>
      <c r="P82" s="131"/>
      <c r="Q82" s="48"/>
      <c r="R82" s="46"/>
      <c r="S82" s="48"/>
      <c r="T82" s="48"/>
      <c r="U82" s="46"/>
      <c r="V82" s="48"/>
      <c r="W82" s="48"/>
      <c r="X82" s="292"/>
      <c r="Y82" s="47"/>
      <c r="Z82" s="48"/>
      <c r="AB82" s="48"/>
      <c r="AC82" s="54"/>
      <c r="AD82" s="123"/>
      <c r="AE82" s="60"/>
      <c r="AF82" s="60"/>
      <c r="AG82" s="54"/>
      <c r="AH82" s="60"/>
      <c r="AI82" s="54"/>
      <c r="AJ82" s="123"/>
      <c r="AK82" s="290"/>
      <c r="AL82" s="65"/>
      <c r="AM82" s="124"/>
      <c r="AN82" s="154"/>
      <c r="AO82" s="61"/>
      <c r="AP82" s="50"/>
      <c r="AQ82" s="62"/>
      <c r="AR82" s="66"/>
      <c r="AS82" s="125"/>
      <c r="AT82" s="154"/>
      <c r="AU82" s="61"/>
      <c r="AV82" s="65"/>
      <c r="AW82" s="62"/>
      <c r="AX82" s="289"/>
      <c r="AY82" s="58"/>
      <c r="AZ82" s="126"/>
      <c r="BA82" s="162"/>
      <c r="BB82" s="63"/>
      <c r="BC82" s="53"/>
      <c r="BD82" s="159"/>
      <c r="BE82" s="64"/>
      <c r="BF82" s="126"/>
      <c r="BG82" s="162"/>
      <c r="BH82" s="63"/>
      <c r="BI82"/>
      <c r="BJ82"/>
      <c r="BK82"/>
      <c r="BL82"/>
      <c r="BM82"/>
      <c r="BN82"/>
      <c r="BO82"/>
      <c r="BP82"/>
      <c r="BQ82"/>
      <c r="BR82"/>
      <c r="BS82"/>
      <c r="BT82" s="168"/>
      <c r="BU82"/>
      <c r="BV82" s="222"/>
      <c r="BW82"/>
      <c r="BX82"/>
      <c r="BY82"/>
      <c r="BZ82" s="168"/>
      <c r="CA82"/>
      <c r="CB82" s="168"/>
      <c r="CC82"/>
      <c r="CD82" s="168"/>
      <c r="CE82"/>
      <c r="CF82" s="168"/>
      <c r="CG82"/>
      <c r="CH82" s="168"/>
      <c r="CI82"/>
      <c r="CJ82" s="168"/>
      <c r="CK82"/>
      <c r="CL82" s="168"/>
      <c r="CM82"/>
      <c r="CN82"/>
      <c r="CO82" s="168"/>
      <c r="CP82"/>
      <c r="CQ82"/>
      <c r="CR82" s="168"/>
      <c r="CS82"/>
      <c r="CT82"/>
      <c r="CU82" s="170"/>
      <c r="CV82"/>
      <c r="CX82" s="4"/>
      <c r="CY82"/>
      <c r="CZ82" s="4"/>
      <c r="DA82"/>
      <c r="DB82" s="4"/>
      <c r="DC82"/>
      <c r="DD82" s="4"/>
      <c r="DE82"/>
      <c r="DF82" s="4"/>
      <c r="DG82"/>
      <c r="DH82" s="4"/>
      <c r="DI82"/>
      <c r="DJ82" s="4"/>
      <c r="DK82"/>
      <c r="DL82" s="4"/>
      <c r="DM82"/>
      <c r="DN82" s="4"/>
      <c r="DO82"/>
      <c r="DP82" s="4"/>
      <c r="DQ82"/>
      <c r="DR82" s="4"/>
      <c r="DS82"/>
      <c r="DT82"/>
      <c r="DU82" s="161"/>
      <c r="DV82"/>
      <c r="DW82" s="197"/>
      <c r="DX82"/>
      <c r="DY82" s="161"/>
      <c r="DZ82"/>
      <c r="EA82" s="161"/>
      <c r="EB82"/>
      <c r="EC82" s="161"/>
      <c r="ED82"/>
      <c r="EE82" s="161"/>
      <c r="EF82"/>
      <c r="EG82"/>
      <c r="EH82" s="168"/>
      <c r="EI82"/>
      <c r="EJ82" s="168"/>
      <c r="EK82"/>
      <c r="EL82" s="168"/>
      <c r="EM82"/>
      <c r="EN82" s="168"/>
      <c r="EO82"/>
      <c r="EP82" s="168"/>
      <c r="EQ82"/>
      <c r="ER82" s="168"/>
      <c r="ES82"/>
      <c r="ET82"/>
      <c r="EU82" s="168"/>
      <c r="EV82"/>
      <c r="EW82" s="168"/>
      <c r="EX82"/>
      <c r="EY82" s="168"/>
      <c r="EZ82"/>
      <c r="FA82" s="168"/>
      <c r="FB82"/>
      <c r="FC82" s="168"/>
      <c r="FD82"/>
    </row>
    <row r="83" spans="1:160" s="1" customFormat="1" x14ac:dyDescent="0.3">
      <c r="A83" s="44"/>
      <c r="B83" s="138"/>
      <c r="D83" s="143"/>
      <c r="E83" s="48"/>
      <c r="F83" s="45"/>
      <c r="G83" s="59"/>
      <c r="H83" s="46"/>
      <c r="I83" s="122"/>
      <c r="J83" s="146"/>
      <c r="K83" s="46"/>
      <c r="L83" s="48"/>
      <c r="M83" s="46"/>
      <c r="N83" s="146"/>
      <c r="O83" s="45"/>
      <c r="P83" s="146"/>
      <c r="Q83" s="48"/>
      <c r="R83" s="46"/>
      <c r="S83" s="48"/>
      <c r="T83" s="48"/>
      <c r="U83" s="46"/>
      <c r="V83" s="48"/>
      <c r="W83" s="48"/>
      <c r="X83" s="292"/>
      <c r="Y83" s="2"/>
      <c r="Z83" s="48"/>
      <c r="AB83" s="48"/>
      <c r="AD83" s="123"/>
      <c r="AE83" s="60"/>
      <c r="AF83" s="60"/>
      <c r="AH83" s="60"/>
      <c r="AJ83" s="123"/>
      <c r="AK83" s="290"/>
      <c r="AL83" s="65"/>
      <c r="AM83" s="124"/>
      <c r="AN83" s="152"/>
      <c r="AO83" s="61"/>
      <c r="AP83" s="50"/>
      <c r="AQ83" s="62"/>
      <c r="AS83" s="125"/>
      <c r="AT83" s="2"/>
      <c r="AU83" s="61"/>
      <c r="AV83" s="51"/>
      <c r="AW83" s="62"/>
      <c r="AX83" s="289"/>
      <c r="AY83" s="52"/>
      <c r="AZ83" s="126"/>
      <c r="BA83" s="159"/>
      <c r="BB83" s="63"/>
      <c r="BC83" s="53"/>
      <c r="BD83" s="159"/>
      <c r="BE83" s="53"/>
      <c r="BF83" s="126"/>
      <c r="BG83" s="159"/>
      <c r="BH83" s="63"/>
      <c r="BI83"/>
      <c r="BJ83"/>
      <c r="BK83"/>
      <c r="BL83"/>
      <c r="BM83"/>
      <c r="BN83"/>
      <c r="BO83"/>
      <c r="BP83"/>
      <c r="BQ83"/>
      <c r="BR83"/>
      <c r="BS83"/>
      <c r="BT83" s="168"/>
      <c r="BU83"/>
      <c r="BV83" s="222"/>
      <c r="BW83"/>
      <c r="BX83"/>
      <c r="BY83"/>
      <c r="BZ83" s="168"/>
      <c r="CA83"/>
      <c r="CB83" s="168"/>
      <c r="CC83"/>
      <c r="CD83" s="168"/>
      <c r="CE83"/>
      <c r="CF83" s="168"/>
      <c r="CG83"/>
      <c r="CH83" s="168"/>
      <c r="CI83"/>
      <c r="CJ83" s="168"/>
      <c r="CK83"/>
      <c r="CL83" s="168"/>
      <c r="CM83"/>
      <c r="CN83"/>
      <c r="CO83" s="168"/>
      <c r="CP83"/>
      <c r="CQ83"/>
      <c r="CR83" s="168"/>
      <c r="CS83"/>
      <c r="CT83"/>
      <c r="CU83" s="170"/>
      <c r="CV83"/>
      <c r="CX83" s="4"/>
      <c r="CY83"/>
      <c r="CZ83" s="4"/>
      <c r="DA83"/>
      <c r="DB83" s="4"/>
      <c r="DC83"/>
      <c r="DD83" s="4"/>
      <c r="DE83"/>
      <c r="DF83" s="4"/>
      <c r="DG83"/>
      <c r="DH83" s="4"/>
      <c r="DI83"/>
      <c r="DJ83" s="4"/>
      <c r="DK83"/>
      <c r="DL83" s="4"/>
      <c r="DM83"/>
      <c r="DN83" s="4"/>
      <c r="DO83"/>
      <c r="DP83" s="4"/>
      <c r="DQ83"/>
      <c r="DR83" s="4"/>
      <c r="DS83"/>
      <c r="DT83"/>
      <c r="DU83" s="161"/>
      <c r="DV83"/>
      <c r="DW83" s="197"/>
      <c r="DX83"/>
      <c r="DY83" s="161"/>
      <c r="DZ83"/>
      <c r="EA83" s="161"/>
      <c r="EB83"/>
      <c r="EC83" s="161"/>
      <c r="ED83"/>
      <c r="EE83" s="161"/>
      <c r="EF83"/>
      <c r="EG83"/>
      <c r="EH83" s="168"/>
      <c r="EI83"/>
      <c r="EJ83" s="168"/>
      <c r="EK83"/>
      <c r="EL83" s="168"/>
      <c r="EM83"/>
      <c r="EN83" s="168"/>
      <c r="EO83"/>
      <c r="EP83" s="168"/>
      <c r="EQ83"/>
      <c r="ER83" s="168"/>
      <c r="ES83"/>
      <c r="ET83"/>
      <c r="EU83" s="168"/>
      <c r="EV83"/>
      <c r="EW83" s="168"/>
      <c r="EX83"/>
      <c r="EY83" s="168"/>
      <c r="EZ83"/>
      <c r="FA83" s="168"/>
      <c r="FB83"/>
      <c r="FC83" s="168"/>
      <c r="FD83"/>
    </row>
    <row r="84" spans="1:160" x14ac:dyDescent="0.3">
      <c r="A84" s="44"/>
      <c r="B84" s="138"/>
      <c r="D84" s="143"/>
      <c r="E84" s="48"/>
      <c r="F84" s="45"/>
      <c r="G84" s="59"/>
      <c r="H84" s="46"/>
      <c r="I84" s="122"/>
      <c r="J84" s="146"/>
      <c r="K84" s="46"/>
      <c r="L84" s="48"/>
      <c r="M84" s="46"/>
      <c r="N84" s="146"/>
      <c r="O84" s="45"/>
      <c r="P84" s="146"/>
      <c r="Q84" s="48"/>
      <c r="R84" s="46"/>
      <c r="S84" s="48"/>
      <c r="T84" s="48"/>
      <c r="U84" s="46"/>
      <c r="V84" s="48"/>
      <c r="W84" s="48"/>
      <c r="X84" s="292"/>
      <c r="Z84" s="48"/>
      <c r="AA84" s="1"/>
      <c r="AB84" s="48"/>
      <c r="AC84" s="45"/>
      <c r="AD84" s="123"/>
      <c r="AE84" s="60"/>
      <c r="AF84" s="60"/>
      <c r="AG84" s="45"/>
      <c r="AH84" s="60"/>
      <c r="AI84" s="45"/>
      <c r="AJ84" s="123"/>
      <c r="AK84" s="290"/>
      <c r="AL84" s="49"/>
      <c r="AM84" s="124"/>
      <c r="AN84" s="152"/>
      <c r="AO84" s="61"/>
      <c r="AP84" s="50"/>
      <c r="AQ84" s="62"/>
      <c r="AR84" s="1"/>
      <c r="AS84" s="125"/>
      <c r="AU84" s="61"/>
      <c r="AV84" s="51"/>
      <c r="AW84" s="62"/>
      <c r="AX84" s="289"/>
      <c r="AY84" s="52"/>
      <c r="AZ84" s="126"/>
      <c r="BA84" s="159"/>
      <c r="BB84" s="63"/>
      <c r="BC84" s="53"/>
      <c r="BD84" s="159"/>
      <c r="BE84" s="53"/>
      <c r="BF84" s="126"/>
      <c r="BG84" s="159"/>
      <c r="BH84" s="63"/>
    </row>
    <row r="85" spans="1:160" x14ac:dyDescent="0.3">
      <c r="A85" s="44"/>
      <c r="B85" s="138"/>
      <c r="D85" s="143"/>
      <c r="E85" s="48"/>
      <c r="F85" s="45"/>
      <c r="G85" s="59"/>
      <c r="H85" s="46"/>
      <c r="I85" s="122"/>
      <c r="J85" s="146"/>
      <c r="K85" s="46"/>
      <c r="L85" s="48"/>
      <c r="M85" s="46"/>
      <c r="N85" s="146"/>
      <c r="O85" s="45"/>
      <c r="P85" s="146"/>
      <c r="Q85" s="48"/>
      <c r="R85" s="46"/>
      <c r="S85" s="48"/>
      <c r="T85" s="48"/>
      <c r="U85" s="46"/>
      <c r="V85" s="48"/>
      <c r="W85" s="48"/>
      <c r="X85" s="292"/>
      <c r="Z85" s="48"/>
      <c r="AA85" s="1"/>
      <c r="AB85" s="48"/>
      <c r="AC85" s="45"/>
      <c r="AD85" s="123"/>
      <c r="AE85" s="60"/>
      <c r="AF85" s="60"/>
      <c r="AG85" s="45"/>
      <c r="AH85" s="60"/>
      <c r="AI85" s="45"/>
      <c r="AJ85" s="123"/>
      <c r="AK85" s="290"/>
      <c r="AL85" s="49"/>
      <c r="AM85" s="124"/>
      <c r="AN85" s="152"/>
      <c r="AO85" s="61"/>
      <c r="AP85" s="50"/>
      <c r="AQ85" s="62"/>
      <c r="AR85" s="1"/>
      <c r="AS85" s="125"/>
      <c r="AU85" s="61"/>
      <c r="AV85" s="51"/>
      <c r="AW85" s="62"/>
      <c r="AX85" s="289"/>
      <c r="AY85" s="52"/>
      <c r="AZ85" s="126"/>
      <c r="BA85" s="159"/>
      <c r="BB85" s="63"/>
      <c r="BC85" s="53"/>
      <c r="BD85" s="159"/>
      <c r="BE85" s="53"/>
      <c r="BF85" s="126"/>
      <c r="BG85" s="159"/>
      <c r="BH85" s="63"/>
    </row>
    <row r="86" spans="1:160" x14ac:dyDescent="0.3">
      <c r="A86" s="44"/>
      <c r="B86" s="138"/>
      <c r="D86" s="143"/>
      <c r="E86" s="48"/>
      <c r="F86" s="45"/>
      <c r="G86" s="59"/>
      <c r="H86" s="46"/>
      <c r="I86" s="122"/>
      <c r="J86" s="146"/>
      <c r="K86" s="46"/>
      <c r="L86" s="48"/>
      <c r="M86" s="46"/>
      <c r="N86" s="146"/>
      <c r="O86" s="45"/>
      <c r="P86" s="146"/>
      <c r="Q86" s="48"/>
      <c r="R86" s="46"/>
      <c r="S86" s="48"/>
      <c r="T86" s="48"/>
      <c r="U86" s="46"/>
      <c r="V86" s="48"/>
      <c r="W86" s="48"/>
      <c r="X86" s="292"/>
      <c r="Z86" s="48"/>
      <c r="AA86" s="1"/>
      <c r="AB86" s="48"/>
      <c r="AC86" s="45"/>
      <c r="AD86" s="123"/>
      <c r="AE86" s="60"/>
      <c r="AF86" s="60"/>
      <c r="AG86" s="45"/>
      <c r="AH86" s="60"/>
      <c r="AI86" s="45"/>
      <c r="AJ86" s="123"/>
      <c r="AK86" s="290"/>
      <c r="AL86" s="49"/>
      <c r="AM86" s="124"/>
      <c r="AN86" s="152"/>
      <c r="AO86" s="61"/>
      <c r="AP86" s="50"/>
      <c r="AQ86" s="62"/>
      <c r="AR86" s="1"/>
      <c r="AS86" s="125"/>
      <c r="AU86" s="61"/>
      <c r="AV86" s="51"/>
      <c r="AW86" s="62"/>
      <c r="AX86" s="289"/>
      <c r="AY86" s="52"/>
      <c r="AZ86" s="126"/>
      <c r="BA86" s="159"/>
      <c r="BB86" s="63"/>
      <c r="BC86" s="53"/>
      <c r="BD86" s="159"/>
      <c r="BE86" s="53"/>
      <c r="BF86" s="126"/>
      <c r="BG86" s="159"/>
      <c r="BH86" s="63"/>
    </row>
    <row r="87" spans="1:160" x14ac:dyDescent="0.3">
      <c r="A87" s="44"/>
      <c r="B87" s="138"/>
      <c r="D87" s="143"/>
      <c r="E87" s="48"/>
      <c r="F87" s="45"/>
      <c r="G87" s="59"/>
      <c r="H87" s="46"/>
      <c r="I87" s="122"/>
      <c r="J87" s="146"/>
      <c r="K87" s="46"/>
      <c r="L87" s="48"/>
      <c r="M87" s="46"/>
      <c r="N87" s="146"/>
      <c r="O87" s="45"/>
      <c r="P87" s="146"/>
      <c r="Q87" s="48"/>
      <c r="R87" s="46"/>
      <c r="S87" s="48"/>
      <c r="T87" s="48"/>
      <c r="U87" s="46"/>
      <c r="V87" s="48"/>
      <c r="W87" s="48"/>
      <c r="X87" s="292"/>
      <c r="Z87" s="48"/>
      <c r="AA87" s="46"/>
      <c r="AB87" s="48"/>
      <c r="AC87" s="45"/>
      <c r="AD87" s="123"/>
      <c r="AE87" s="60"/>
      <c r="AF87" s="60"/>
      <c r="AG87" s="45"/>
      <c r="AH87" s="60"/>
      <c r="AI87" s="45"/>
      <c r="AJ87" s="123"/>
      <c r="AK87" s="290"/>
      <c r="AL87" s="49"/>
      <c r="AM87" s="124"/>
      <c r="AN87" s="152"/>
      <c r="AO87" s="61"/>
      <c r="AP87" s="50"/>
      <c r="AQ87" s="62"/>
      <c r="AR87" s="1"/>
      <c r="AS87" s="125"/>
      <c r="AU87" s="61"/>
      <c r="AV87" s="51"/>
      <c r="AW87" s="62"/>
      <c r="AX87" s="289"/>
      <c r="AY87" s="52"/>
      <c r="AZ87" s="126"/>
      <c r="BA87" s="159"/>
      <c r="BB87" s="63"/>
      <c r="BC87" s="53"/>
      <c r="BD87" s="159"/>
      <c r="BE87" s="53"/>
      <c r="BF87" s="126"/>
      <c r="BG87" s="159"/>
      <c r="BH87" s="63"/>
    </row>
    <row r="88" spans="1:160" x14ac:dyDescent="0.3">
      <c r="A88" s="44"/>
      <c r="B88" s="138"/>
      <c r="D88" s="143"/>
      <c r="E88" s="48"/>
      <c r="F88" s="45"/>
      <c r="G88" s="59"/>
      <c r="H88" s="46"/>
      <c r="I88" s="122"/>
      <c r="J88" s="146"/>
      <c r="K88" s="46"/>
      <c r="L88" s="48"/>
      <c r="M88" s="46"/>
      <c r="N88" s="146"/>
      <c r="O88" s="45"/>
      <c r="P88" s="146"/>
      <c r="Q88" s="48"/>
      <c r="R88" s="46"/>
      <c r="S88" s="48"/>
      <c r="T88" s="48"/>
      <c r="U88" s="46"/>
      <c r="V88" s="48"/>
      <c r="W88" s="48"/>
      <c r="X88" s="292"/>
      <c r="Z88" s="48"/>
      <c r="AA88" s="46"/>
      <c r="AB88" s="48"/>
      <c r="AC88" s="45"/>
      <c r="AD88" s="123"/>
      <c r="AE88" s="60"/>
      <c r="AF88" s="60"/>
      <c r="AG88" s="45"/>
      <c r="AH88" s="60"/>
      <c r="AI88" s="45"/>
      <c r="AJ88" s="123"/>
      <c r="AK88" s="290"/>
      <c r="AL88" s="49"/>
      <c r="AM88" s="124"/>
      <c r="AN88" s="152"/>
      <c r="AO88" s="61"/>
      <c r="AP88" s="50"/>
      <c r="AQ88" s="62"/>
      <c r="AR88" s="1"/>
      <c r="AS88" s="125"/>
      <c r="AU88" s="61"/>
      <c r="AV88" s="51"/>
      <c r="AW88" s="62"/>
      <c r="AX88" s="289"/>
      <c r="AY88" s="52"/>
      <c r="AZ88" s="126"/>
      <c r="BA88" s="159"/>
      <c r="BB88" s="63"/>
      <c r="BC88" s="53"/>
      <c r="BD88" s="159"/>
      <c r="BE88" s="53"/>
      <c r="BF88" s="126"/>
      <c r="BG88" s="159"/>
      <c r="BH88" s="63"/>
    </row>
    <row r="89" spans="1:160" x14ac:dyDescent="0.3">
      <c r="A89" s="44"/>
      <c r="B89" s="138"/>
      <c r="D89" s="143"/>
      <c r="E89" s="48"/>
      <c r="F89" s="45"/>
      <c r="G89" s="59"/>
      <c r="H89" s="46"/>
      <c r="I89" s="122"/>
      <c r="J89" s="146"/>
      <c r="K89" s="46"/>
      <c r="L89" s="48"/>
      <c r="M89" s="46"/>
      <c r="N89" s="146"/>
      <c r="O89" s="45"/>
      <c r="P89" s="146"/>
      <c r="Q89" s="48"/>
      <c r="R89" s="46"/>
      <c r="S89" s="48"/>
      <c r="T89" s="48"/>
      <c r="U89" s="46"/>
      <c r="V89" s="48"/>
      <c r="W89" s="48"/>
      <c r="X89" s="292"/>
      <c r="Z89" s="48"/>
      <c r="AA89" s="46"/>
      <c r="AB89" s="48"/>
      <c r="AC89" s="45"/>
      <c r="AD89" s="123"/>
      <c r="AE89" s="60"/>
      <c r="AF89" s="60"/>
      <c r="AG89" s="45"/>
      <c r="AH89" s="60"/>
      <c r="AI89" s="45"/>
      <c r="AJ89" s="123"/>
      <c r="AK89" s="290"/>
      <c r="AL89" s="49"/>
      <c r="AM89" s="124"/>
      <c r="AN89" s="152"/>
      <c r="AO89" s="61"/>
      <c r="AP89" s="50"/>
      <c r="AQ89" s="62"/>
      <c r="AR89" s="1"/>
      <c r="AS89" s="125"/>
      <c r="AU89" s="61"/>
      <c r="AV89" s="51"/>
      <c r="AW89" s="62"/>
      <c r="AX89" s="289"/>
      <c r="AY89" s="52"/>
      <c r="AZ89" s="126"/>
      <c r="BA89" s="159"/>
      <c r="BB89" s="63"/>
      <c r="BC89" s="53"/>
      <c r="BD89" s="159"/>
      <c r="BE89" s="53"/>
      <c r="BF89" s="126"/>
    </row>
    <row r="90" spans="1:160" ht="23.25" x14ac:dyDescent="0.3">
      <c r="A90" s="67"/>
      <c r="B90" s="137"/>
      <c r="C90" s="129"/>
      <c r="D90" s="134"/>
      <c r="E90" s="128"/>
      <c r="F90" s="129"/>
      <c r="G90" s="128"/>
      <c r="H90" s="128"/>
      <c r="I90" s="129"/>
      <c r="J90" s="128"/>
      <c r="K90" s="129"/>
      <c r="L90" s="128"/>
      <c r="M90" s="129"/>
      <c r="N90" s="128"/>
      <c r="O90" s="129"/>
      <c r="P90" s="128"/>
      <c r="Q90" s="128"/>
      <c r="R90" s="129"/>
      <c r="S90" s="128"/>
      <c r="T90" s="128"/>
      <c r="U90" s="129"/>
      <c r="V90" s="128"/>
      <c r="W90" s="128"/>
      <c r="X90" s="292"/>
      <c r="Y90" s="146"/>
      <c r="Z90" s="128"/>
      <c r="AA90" s="129"/>
      <c r="AB90" s="128"/>
      <c r="AC90" s="128"/>
      <c r="AD90" s="129"/>
      <c r="AE90" s="128"/>
      <c r="AF90" s="128"/>
      <c r="AG90" s="129"/>
      <c r="AH90" s="128"/>
      <c r="AI90" s="128"/>
      <c r="AJ90" s="129"/>
      <c r="AK90" s="290"/>
      <c r="AL90" s="45"/>
      <c r="AM90" s="129"/>
      <c r="AN90" s="128"/>
      <c r="AO90" s="128"/>
      <c r="AP90" s="129"/>
      <c r="AQ90" s="128"/>
      <c r="AR90" s="128"/>
      <c r="AS90" s="129"/>
      <c r="AT90" s="128"/>
      <c r="AU90" s="128"/>
      <c r="AV90" s="129"/>
      <c r="AW90" s="128"/>
      <c r="AX90" s="289"/>
      <c r="AY90" s="52"/>
      <c r="AZ90" s="129"/>
      <c r="BA90" s="157"/>
      <c r="BB90" s="128"/>
      <c r="BC90" s="129"/>
      <c r="BD90" s="157"/>
      <c r="BE90" s="128"/>
      <c r="BF90" s="129"/>
    </row>
    <row r="91" spans="1:160" ht="23.25" x14ac:dyDescent="0.3">
      <c r="A91" s="42"/>
      <c r="B91" s="138"/>
      <c r="C91" s="45"/>
      <c r="D91" s="143"/>
      <c r="E91" s="45"/>
      <c r="F91" s="45"/>
      <c r="G91" s="146"/>
      <c r="H91" s="45"/>
      <c r="I91" s="45"/>
      <c r="J91" s="146"/>
      <c r="K91" s="45"/>
      <c r="L91" s="146"/>
      <c r="M91" s="45"/>
      <c r="N91" s="146"/>
      <c r="O91" s="45"/>
      <c r="P91" s="146"/>
      <c r="Q91" s="45"/>
      <c r="R91" s="45"/>
      <c r="S91" s="146"/>
      <c r="T91" s="45"/>
      <c r="U91" s="45"/>
      <c r="V91" s="146"/>
      <c r="W91" s="45"/>
      <c r="X91" s="292"/>
      <c r="Y91" s="146"/>
      <c r="Z91" s="45"/>
      <c r="AA91" s="45"/>
      <c r="AB91" s="146"/>
      <c r="AC91" s="45"/>
      <c r="AD91" s="45"/>
      <c r="AE91" s="146"/>
      <c r="AF91" s="45"/>
      <c r="AG91" s="45"/>
      <c r="AH91" s="146"/>
      <c r="AI91" s="45"/>
      <c r="AJ91" s="45"/>
      <c r="AK91" s="290"/>
      <c r="AL91" s="45"/>
      <c r="AM91" s="45"/>
      <c r="AN91" s="146"/>
      <c r="AO91" s="61"/>
      <c r="AP91" s="51"/>
      <c r="AQ91" s="146"/>
      <c r="AR91" s="45"/>
      <c r="AS91" s="45"/>
      <c r="AT91" s="146"/>
      <c r="AU91" s="45"/>
      <c r="AV91" s="51"/>
      <c r="AW91" s="146"/>
      <c r="AX91" s="289"/>
      <c r="AY91" s="52"/>
      <c r="AZ91" s="53"/>
      <c r="BA91" s="163"/>
      <c r="BB91" s="68"/>
      <c r="BC91" s="68"/>
      <c r="BD91" s="157"/>
      <c r="BE91" s="68"/>
      <c r="BF91" s="68"/>
    </row>
    <row r="92" spans="1:160" x14ac:dyDescent="0.3">
      <c r="A92" s="67"/>
      <c r="B92" s="138"/>
      <c r="C92" s="45"/>
      <c r="D92" s="143"/>
      <c r="E92" s="45"/>
      <c r="F92" s="45"/>
      <c r="G92" s="146"/>
      <c r="H92" s="45"/>
      <c r="I92" s="45"/>
      <c r="J92" s="146"/>
      <c r="K92" s="45"/>
      <c r="L92" s="146"/>
      <c r="M92" s="45"/>
      <c r="N92" s="146"/>
      <c r="O92" s="45"/>
      <c r="P92" s="146"/>
      <c r="Q92" s="45"/>
      <c r="R92" s="45"/>
      <c r="S92" s="146"/>
      <c r="T92" s="45"/>
      <c r="U92" s="45"/>
      <c r="V92" s="146"/>
      <c r="W92" s="45"/>
      <c r="X92" s="292"/>
      <c r="Y92" s="146"/>
      <c r="Z92" s="45"/>
      <c r="AA92" s="45"/>
      <c r="AB92" s="146"/>
      <c r="AC92" s="45"/>
      <c r="AD92" s="45"/>
      <c r="AE92" s="146"/>
      <c r="AF92" s="45"/>
      <c r="AG92" s="45"/>
      <c r="AH92" s="146"/>
      <c r="AI92" s="45"/>
      <c r="AJ92" s="45"/>
      <c r="AK92" s="290"/>
      <c r="AL92" s="45"/>
      <c r="AM92" s="45"/>
      <c r="AN92" s="146"/>
      <c r="AO92" s="61"/>
      <c r="AP92" s="51"/>
      <c r="AQ92" s="146"/>
      <c r="AR92" s="45"/>
      <c r="AS92" s="45"/>
      <c r="AT92" s="146"/>
      <c r="AU92" s="45"/>
      <c r="AV92" s="51"/>
      <c r="AW92" s="146"/>
      <c r="AX92" s="289"/>
      <c r="AY92" s="69"/>
    </row>
    <row r="93" spans="1:160" x14ac:dyDescent="0.3">
      <c r="A93" s="67"/>
      <c r="B93" s="141"/>
      <c r="F93" s="1"/>
      <c r="I93" s="1"/>
      <c r="O93" s="1"/>
      <c r="T93" s="1"/>
      <c r="W93" s="1"/>
      <c r="X93" s="292"/>
      <c r="AA93" s="1"/>
      <c r="AD93" s="1"/>
      <c r="AG93" s="1"/>
      <c r="AJ93" s="1"/>
      <c r="AK93" s="290"/>
      <c r="AL93" s="1"/>
      <c r="AM93" s="1"/>
      <c r="AO93" s="61"/>
      <c r="AP93" s="49"/>
      <c r="AR93" s="1"/>
      <c r="AS93" s="1"/>
      <c r="AU93" s="1"/>
      <c r="AV93" s="49"/>
      <c r="AX93" s="289"/>
      <c r="AY93" s="69"/>
    </row>
    <row r="94" spans="1:160" ht="18.75" x14ac:dyDescent="0.3">
      <c r="A94" s="70"/>
      <c r="B94" s="141"/>
      <c r="I94" s="1"/>
      <c r="J94" s="4"/>
      <c r="N94" s="4"/>
      <c r="P94" s="4"/>
      <c r="T94" s="1"/>
      <c r="W94" s="1"/>
      <c r="X94" s="292"/>
      <c r="Y94" s="276"/>
      <c r="Z94" s="276"/>
      <c r="AA94" s="276"/>
      <c r="AB94" s="276"/>
      <c r="AC94" s="276"/>
      <c r="AD94" s="276"/>
      <c r="AE94" s="276"/>
      <c r="AF94" s="276"/>
      <c r="AG94" s="276"/>
      <c r="AH94" s="276"/>
      <c r="AI94" s="276"/>
      <c r="AJ94" s="276"/>
      <c r="AK94" s="276"/>
      <c r="AL94" s="276"/>
      <c r="AM94" s="276"/>
      <c r="AN94" s="276"/>
      <c r="AO94" s="276"/>
      <c r="AP94" s="277"/>
      <c r="AQ94" s="277"/>
      <c r="AR94" s="277"/>
      <c r="AS94" s="277"/>
      <c r="AT94" s="277"/>
      <c r="AU94" s="277"/>
      <c r="AV94" s="277"/>
      <c r="AW94" s="277"/>
      <c r="AY94" s="71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6" ma:contentTypeDescription="Create a new document." ma:contentTypeScope="" ma:versionID="41e9e3789d7dc0a7099df3198a918d31">
  <xsd:schema xmlns:xsd="http://www.w3.org/2001/XMLSchema" xmlns:xs="http://www.w3.org/2001/XMLSchema" xmlns:p="http://schemas.microsoft.com/office/2006/metadata/properties" xmlns:ns2="1885d109-012e-42b6-a9dd-364c8f09ca7f" xmlns:ns3="1e86adda-45bd-463c-b99f-bef9c4e0c7b8" targetNamespace="http://schemas.microsoft.com/office/2006/metadata/properties" ma:root="true" ma:fieldsID="b1d162dcf088cec6436a2f165c1456fe" ns2:_="" ns3:_="">
    <xsd:import namespace="1885d109-012e-42b6-a9dd-364c8f09ca7f"/>
    <xsd:import namespace="1e86adda-45bd-463c-b99f-bef9c4e0c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adda-45bd-463c-b99f-bef9c4e0c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980C07-F8F3-4F22-B562-179C404749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5d109-012e-42b6-a9dd-364c8f09ca7f"/>
    <ds:schemaRef ds:uri="1e86adda-45bd-463c-b99f-bef9c4e0c7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3B222F-D815-4986-9292-7905088998A8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e86adda-45bd-463c-b99f-bef9c4e0c7b8"/>
    <ds:schemaRef ds:uri="http://purl.org/dc/terms/"/>
    <ds:schemaRef ds:uri="1885d109-012e-42b6-a9dd-364c8f09ca7f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830EE89-7E63-4091-A52E-62BC866BE9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Sophia Patrice Agrisola Malveda</cp:lastModifiedBy>
  <cp:revision/>
  <dcterms:created xsi:type="dcterms:W3CDTF">2017-05-03T09:23:30Z</dcterms:created>
  <dcterms:modified xsi:type="dcterms:W3CDTF">2023-02-06T06:46:42Z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Order">
    <vt:r8>656600</vt:r8>
  </property>
</Properties>
</file>