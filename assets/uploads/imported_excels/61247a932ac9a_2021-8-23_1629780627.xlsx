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<sst xmlns="http://schemas.openxmlformats.org/spreadsheetml/2006/main" count="107" uniqueCount="38">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</sst>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7" workbookViewId="0">
      <selection activeCell="O27" sqref="O2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7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7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  <c r="Q18" s="16"/>
    </row>
    <row r="19" spans="1:17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7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9349.4000000000233</v>
      </c>
      <c r="F20" s="16">
        <v>0.11799999999999999</v>
      </c>
      <c r="G20" s="18">
        <f>'8 - 2021'!D26-'8 - 2021'!D25+'8 - 2021'!E26-'8 - 2021'!E25</f>
        <v>21.929999999999382</v>
      </c>
      <c r="H20" s="16">
        <v>0.99</v>
      </c>
      <c r="I20" s="18">
        <f>'8 - 2021'!J26-'8 - 2021'!J25</f>
        <v>37716</v>
      </c>
      <c r="J20" s="16">
        <v>8.1000000000000003E-2</v>
      </c>
      <c r="K20" s="34">
        <f>'8 - 2021'!H26-'8 - 2021'!H25</f>
        <v>0</v>
      </c>
      <c r="L20" s="18">
        <f>'8 - 2021'!I26-'8 - 2021'!I25</f>
        <v>97</v>
      </c>
      <c r="M20" s="17">
        <v>4.393629424766913</v>
      </c>
      <c r="N20" s="18">
        <v>27</v>
      </c>
    </row>
    <row r="21" spans="1:17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9396.3699999999953</v>
      </c>
      <c r="F21" s="16">
        <v>0.11799999999999999</v>
      </c>
      <c r="G21" s="18">
        <f>'8 - 2021'!D27-'8 - 2021'!D26+'8 - 2021'!E27-'8 - 2021'!E26</f>
        <v>20.899999999999636</v>
      </c>
      <c r="H21" s="16">
        <v>0.99</v>
      </c>
      <c r="I21" s="18">
        <f>'8 - 2021'!J27-'8 - 2021'!J26</f>
        <v>36100</v>
      </c>
      <c r="J21" s="16">
        <v>8.1000000000000003E-2</v>
      </c>
      <c r="K21" s="34">
        <f>'8 - 2021'!H27-'8 - 2021'!H26</f>
        <v>0</v>
      </c>
      <c r="L21" s="18">
        <f>'8 - 2021'!I27-'8 - 2021'!I26</f>
        <v>93</v>
      </c>
      <c r="M21" s="17">
        <v>4.393629424766913</v>
      </c>
      <c r="N21" s="18">
        <v>26</v>
      </c>
    </row>
    <row r="22" spans="1:17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9336.1999999999534</v>
      </c>
      <c r="F22" s="16">
        <v>0.11799999999999999</v>
      </c>
      <c r="G22" s="18">
        <f>'8 - 2021'!D28-'8 - 2021'!D27+'8 - 2021'!E28-'8 - 2021'!E27</f>
        <v>20.139999999999418</v>
      </c>
      <c r="H22" s="16">
        <v>0.99</v>
      </c>
      <c r="I22" s="18">
        <f>'8 - 2021'!J28-'8 - 2021'!J27</f>
        <v>35190</v>
      </c>
      <c r="J22" s="16">
        <v>8.1000000000000003E-2</v>
      </c>
      <c r="K22" s="34">
        <f>'8 - 2021'!H28-'8 - 2021'!H27</f>
        <v>0</v>
      </c>
      <c r="L22" s="18">
        <f>'8 - 2021'!I28-'8 - 2021'!I27</f>
        <v>90</v>
      </c>
      <c r="M22" s="17">
        <v>4.393629424766913</v>
      </c>
      <c r="N22" s="18">
        <v>30</v>
      </c>
    </row>
    <row r="23" spans="1:17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9427.9000000000233</v>
      </c>
      <c r="F23" s="16">
        <v>0.11799999999999999</v>
      </c>
      <c r="G23" s="18">
        <f>'8 - 2021'!D29-'8 - 2021'!D28+'8 - 2021'!E29-'8 - 2021'!E28</f>
        <v>20.110000000000582</v>
      </c>
      <c r="H23" s="16">
        <v>0.99</v>
      </c>
      <c r="I23" s="18">
        <f>'8 - 2021'!J29-'8 - 2021'!J28</f>
        <v>36561</v>
      </c>
      <c r="J23" s="16">
        <v>8.1000000000000003E-2</v>
      </c>
      <c r="K23" s="34">
        <f>'8 - 2021'!H29-'8 - 2021'!H28</f>
        <v>0</v>
      </c>
      <c r="L23" s="18">
        <f>'8 - 2021'!I29-'8 - 2021'!I28</f>
        <v>96</v>
      </c>
      <c r="M23" s="17">
        <v>4.393629424766913</v>
      </c>
      <c r="N23" s="18">
        <v>31</v>
      </c>
    </row>
    <row r="24" spans="1:17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9121.9000000000233</v>
      </c>
      <c r="F24" s="16">
        <v>0.11799999999999999</v>
      </c>
      <c r="G24" s="18">
        <f>'8 - 2021'!D30-'8 - 2021'!D29+'8 - 2021'!E30-'8 - 2021'!E29</f>
        <v>21.3799999999992</v>
      </c>
      <c r="H24" s="16">
        <v>0.99</v>
      </c>
      <c r="I24" s="18">
        <f>'8 - 2021'!J30-'8 - 2021'!J29</f>
        <v>36389</v>
      </c>
      <c r="J24" s="16">
        <v>8.1000000000000003E-2</v>
      </c>
      <c r="K24" s="34">
        <f>'8 - 2021'!H30-'8 - 2021'!H29</f>
        <v>0</v>
      </c>
      <c r="L24" s="18">
        <f>'8 - 2021'!I30-'8 - 2021'!I29</f>
        <v>87</v>
      </c>
      <c r="M24" s="17">
        <v>4.393629424766913</v>
      </c>
      <c r="N24" s="18">
        <v>29</v>
      </c>
    </row>
    <row r="25" spans="1:17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9386.0999999999767</v>
      </c>
      <c r="F25" s="16">
        <v>0.11799999999999999</v>
      </c>
      <c r="G25" s="18">
        <f>'8 - 2021'!D31-'8 - 2021'!D30+'8 - 2021'!E31-'8 - 2021'!E30</f>
        <v>22.419999999999163</v>
      </c>
      <c r="H25" s="16">
        <v>0.99</v>
      </c>
      <c r="I25" s="18">
        <f>'8 - 2021'!J31-'8 - 2021'!J30</f>
        <v>37370</v>
      </c>
      <c r="J25" s="16">
        <v>8.1000000000000003E-2</v>
      </c>
      <c r="K25" s="34">
        <f>'8 - 2021'!H31-'8 - 2021'!H30</f>
        <v>0</v>
      </c>
      <c r="L25" s="18">
        <f>'8 - 2021'!I31-'8 - 2021'!I30</f>
        <v>84</v>
      </c>
      <c r="M25" s="17">
        <v>4.393629424766913</v>
      </c>
      <c r="N25" s="18">
        <v>27</v>
      </c>
      <c r="P25" s="14"/>
    </row>
    <row r="26" spans="1:17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v>0</v>
      </c>
      <c r="F26" s="16">
        <v>0.11799999999999999</v>
      </c>
      <c r="G26" s="18">
        <v>0</v>
      </c>
      <c r="H26" s="16">
        <v>0.99</v>
      </c>
      <c r="I26" s="18">
        <v>0</v>
      </c>
      <c r="J26" s="16">
        <v>8.1000000000000003E-2</v>
      </c>
      <c r="K26" s="34">
        <v>0</v>
      </c>
      <c r="L26" s="18"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7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2" sqref="P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3683.4000000000233</v>
      </c>
      <c r="F20" s="18">
        <f>'8 - 2021'!C26-'8 - 2021'!C25</f>
        <v>5666</v>
      </c>
      <c r="G20" s="16">
        <v>0.11799999999999999</v>
      </c>
      <c r="H20" s="18">
        <f>'8 - 2021'!E26-'8 - 2021'!E25</f>
        <v>21.989999999999782</v>
      </c>
      <c r="I20" s="18">
        <f>'8 - 2021'!F26-'8 - 2021'!F25</f>
        <v>6.1299999999999955</v>
      </c>
      <c r="J20" s="18">
        <f>'8 - 2021'!G26-'8 - 2021'!G25</f>
        <v>27.139999999999418</v>
      </c>
      <c r="K20" s="16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45">
        <f>'8 - 2021'!B27-'8 - 2021'!B26</f>
        <v>3666.3699999999953</v>
      </c>
      <c r="F21" s="18">
        <f>'8 - 2021'!C27-'8 - 2021'!C26</f>
        <v>5730</v>
      </c>
      <c r="G21" s="16">
        <v>0.11799999999999999</v>
      </c>
      <c r="H21" s="18">
        <f>'8 - 2021'!E27-'8 - 2021'!E26</f>
        <v>20.949999999999818</v>
      </c>
      <c r="I21" s="18">
        <f>'8 - 2021'!F27-'8 - 2021'!F26</f>
        <v>6.2199999999999989</v>
      </c>
      <c r="J21" s="18">
        <f>'8 - 2021'!G27-'8 - 2021'!G26</f>
        <v>26.990000000001601</v>
      </c>
      <c r="K21" s="16">
        <v>0.74</v>
      </c>
      <c r="L21" s="6">
        <v>26</v>
      </c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45">
        <f>'8 - 2021'!B28-'8 - 2021'!B27</f>
        <v>3666.1999999999534</v>
      </c>
      <c r="F22" s="18">
        <f>'8 - 2021'!C28-'8 - 2021'!C27</f>
        <v>5670</v>
      </c>
      <c r="G22" s="16">
        <v>0.11799999999999999</v>
      </c>
      <c r="H22" s="18">
        <f>'8 - 2021'!E28-'8 - 2021'!E27</f>
        <v>20.199999999999818</v>
      </c>
      <c r="I22" s="18">
        <f>'8 - 2021'!F28-'8 - 2021'!F27</f>
        <v>6.210000000000008</v>
      </c>
      <c r="J22" s="18">
        <f>'8 - 2021'!G28-'8 - 2021'!G27</f>
        <v>26</v>
      </c>
      <c r="K22" s="16">
        <v>0.74</v>
      </c>
      <c r="L22" s="18">
        <v>30</v>
      </c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3724.9000000000233</v>
      </c>
      <c r="F23" s="18">
        <f>'8 - 2021'!C29-'8 - 2021'!C28</f>
        <v>5703</v>
      </c>
      <c r="G23" s="16">
        <v>0.11799999999999999</v>
      </c>
      <c r="H23" s="18">
        <f>'8 - 2021'!E29-'8 - 2021'!E28</f>
        <v>19.540000000000873</v>
      </c>
      <c r="I23" s="18">
        <f>'8 - 2021'!F29-'8 - 2021'!F28</f>
        <v>6.1500000000000057</v>
      </c>
      <c r="J23" s="18">
        <f>'8 - 2021'!G29-'8 - 2021'!G28</f>
        <v>28.06000000000131</v>
      </c>
      <c r="K23" s="16">
        <v>0.74</v>
      </c>
      <c r="L23" s="18">
        <v>31</v>
      </c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3587.9000000000233</v>
      </c>
      <c r="F24" s="18">
        <f>'8 - 2021'!C30-'8 - 2021'!C29</f>
        <v>5534</v>
      </c>
      <c r="G24" s="16">
        <v>0.11799999999999999</v>
      </c>
      <c r="H24" s="18">
        <f>'8 - 2021'!E30-'8 - 2021'!E29</f>
        <v>21.4399999999996</v>
      </c>
      <c r="I24" s="18">
        <f>'8 - 2021'!F30-'8 - 2021'!F29</f>
        <v>5.9099999999999966</v>
      </c>
      <c r="J24" s="18">
        <f>'8 - 2021'!G30-'8 - 2021'!G29</f>
        <v>28.809999999997672</v>
      </c>
      <c r="K24" s="16">
        <v>0.74</v>
      </c>
      <c r="L24" s="18">
        <v>29</v>
      </c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45">
        <f>'8 - 2021'!B31-'8 - 2021'!B30</f>
        <v>3677.0999999999767</v>
      </c>
      <c r="F25" s="18">
        <f>'8 - 2021'!C31-'8 - 2021'!C30</f>
        <v>5709</v>
      </c>
      <c r="G25" s="16">
        <v>0.11799999999999999</v>
      </c>
      <c r="H25" s="18">
        <f>'8 - 2021'!E31-'8 - 2021'!E30</f>
        <v>22.479999999999563</v>
      </c>
      <c r="I25" s="18">
        <f>'8 - 2021'!F31-'8 - 2021'!F30</f>
        <v>5.789999999999992</v>
      </c>
      <c r="J25" s="18">
        <f>'8 - 2021'!G31-'8 - 2021'!G30</f>
        <v>28.159999999999854</v>
      </c>
      <c r="K25" s="16">
        <v>0.74</v>
      </c>
      <c r="L25" s="6">
        <v>27</v>
      </c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v>0</v>
      </c>
      <c r="F26" s="18">
        <v>0</v>
      </c>
      <c r="G26" s="16">
        <v>0.11799999999999999</v>
      </c>
      <c r="H26" s="18">
        <v>0</v>
      </c>
      <c r="I26" s="18">
        <v>0</v>
      </c>
      <c r="J26" s="18"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zoomScaleNormal="100" workbookViewId="0">
      <selection activeCell="C34" sqref="C34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>
        <v>1004788.93</v>
      </c>
      <c r="C26" s="39">
        <v>274598</v>
      </c>
      <c r="D26" s="69">
        <v>0.34</v>
      </c>
      <c r="E26" s="39">
        <v>4855.08</v>
      </c>
      <c r="F26" s="38">
        <v>140.54</v>
      </c>
      <c r="G26" s="39">
        <v>32117.19</v>
      </c>
      <c r="H26" s="63">
        <v>14528</v>
      </c>
      <c r="I26" s="42">
        <v>128306</v>
      </c>
      <c r="J26" s="42">
        <v>49444960</v>
      </c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>
        <v>1008455.3</v>
      </c>
      <c r="C27" s="42">
        <v>280328</v>
      </c>
      <c r="D27" s="62">
        <v>0.28999999999999998</v>
      </c>
      <c r="E27" s="39">
        <v>4876.03</v>
      </c>
      <c r="F27" s="38">
        <v>146.76</v>
      </c>
      <c r="G27" s="39">
        <v>32144.18</v>
      </c>
      <c r="H27" s="63">
        <v>14528</v>
      </c>
      <c r="I27" s="42">
        <v>128399</v>
      </c>
      <c r="J27" s="42">
        <v>49481060</v>
      </c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>
        <v>1012121.5</v>
      </c>
      <c r="C28" s="42">
        <v>285998</v>
      </c>
      <c r="D28" s="62">
        <v>0.23</v>
      </c>
      <c r="E28" s="39">
        <v>4896.2299999999996</v>
      </c>
      <c r="F28" s="38">
        <v>152.97</v>
      </c>
      <c r="G28" s="39">
        <v>32170.18</v>
      </c>
      <c r="H28" s="63">
        <v>14528</v>
      </c>
      <c r="I28" s="42">
        <v>128489</v>
      </c>
      <c r="J28" s="42">
        <v>49516250</v>
      </c>
      <c r="K28" s="64">
        <v>4000</v>
      </c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>
        <v>1015846.4</v>
      </c>
      <c r="C29" s="42">
        <v>291701</v>
      </c>
      <c r="D29" s="62">
        <v>0.8</v>
      </c>
      <c r="E29" s="39">
        <v>4915.7700000000004</v>
      </c>
      <c r="F29" s="38">
        <v>159.12</v>
      </c>
      <c r="G29" s="39">
        <v>32198.240000000002</v>
      </c>
      <c r="H29" s="63">
        <v>14528</v>
      </c>
      <c r="I29" s="42">
        <v>128585</v>
      </c>
      <c r="J29" s="42">
        <v>49552811</v>
      </c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>
        <v>1019434.3</v>
      </c>
      <c r="C30" s="42">
        <v>297235</v>
      </c>
      <c r="D30" s="62">
        <v>0.74</v>
      </c>
      <c r="E30" s="39">
        <v>4937.21</v>
      </c>
      <c r="F30" s="38">
        <v>165.03</v>
      </c>
      <c r="G30" s="39">
        <v>32227.05</v>
      </c>
      <c r="H30" s="63">
        <v>14528</v>
      </c>
      <c r="I30" s="42">
        <v>128672</v>
      </c>
      <c r="J30" s="42">
        <v>49589200</v>
      </c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>
        <v>1023111.4</v>
      </c>
      <c r="C31" s="42">
        <v>302944</v>
      </c>
      <c r="D31" s="62">
        <v>0.68</v>
      </c>
      <c r="E31" s="39">
        <v>4959.6899999999996</v>
      </c>
      <c r="F31" s="38">
        <v>170.82</v>
      </c>
      <c r="G31" s="39">
        <v>32255.21</v>
      </c>
      <c r="H31" s="63">
        <v>14528</v>
      </c>
      <c r="I31" s="42">
        <v>128756</v>
      </c>
      <c r="J31" s="42">
        <v>49626570</v>
      </c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8000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2021-08-24T04:48:57Z</dcterms:modified>
</cp:coreProperties>
</file>