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01"/>
  <workbookPr/>
  <mc:AlternateContent xmlns:mc="http://schemas.openxmlformats.org/markup-compatibility/2006">
    <mc:Choice Requires="x15">
      <x15ac:absPath xmlns:x15ac="http://schemas.microsoft.com/office/spreadsheetml/2010/11/ac" url="C:\Users\Gek Amy\Desktop\HEP 2019\"/>
    </mc:Choice>
  </mc:AlternateContent>
  <xr:revisionPtr revIDLastSave="0" documentId="11_E0D57B901E6FFCDD43DA598154848CA3CD87B6CA" xr6:coauthVersionLast="47" xr6:coauthVersionMax="47" xr10:uidLastSave="{00000000-0000-0000-0000-000000000000}"/>
  <bookViews>
    <workbookView xWindow="0" yWindow="0" windowWidth="2370" windowHeight="0" firstSheet="1" activeTab="1" xr2:uid="{00000000-000D-0000-FFFF-FFFF00000000}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0" i="5" l="1"/>
  <c r="I40" i="5"/>
  <c r="J25" i="1" l="1"/>
  <c r="H32" i="4" l="1"/>
  <c r="F37" i="2"/>
  <c r="G37" i="2" s="1"/>
  <c r="F38" i="2"/>
  <c r="G38" i="2" s="1"/>
  <c r="I14" i="1"/>
  <c r="I13" i="1"/>
  <c r="I6" i="1"/>
  <c r="I5" i="1"/>
  <c r="D10" i="3"/>
  <c r="D10" i="4" s="1"/>
  <c r="D10" i="5" s="1"/>
  <c r="D11" i="3"/>
  <c r="D11" i="4" s="1"/>
  <c r="D11" i="5" s="1"/>
  <c r="D12" i="3"/>
  <c r="D12" i="4" s="1"/>
  <c r="D12" i="5" s="1"/>
  <c r="D13" i="3"/>
  <c r="D13" i="4" s="1"/>
  <c r="D13" i="5" s="1"/>
  <c r="D14" i="3"/>
  <c r="D14" i="4" s="1"/>
  <c r="D14" i="5" s="1"/>
  <c r="D15" i="3"/>
  <c r="D15" i="4" s="1"/>
  <c r="D15" i="5" s="1"/>
  <c r="D16" i="3"/>
  <c r="D16" i="4" s="1"/>
  <c r="D16" i="5" s="1"/>
  <c r="D17" i="3"/>
  <c r="D17" i="4" s="1"/>
  <c r="D17" i="5" s="1"/>
  <c r="D18" i="3"/>
  <c r="D18" i="4" s="1"/>
  <c r="D18" i="5" s="1"/>
  <c r="D19" i="3"/>
  <c r="D19" i="4" s="1"/>
  <c r="D19" i="5" s="1"/>
  <c r="D20" i="3"/>
  <c r="D20" i="4" s="1"/>
  <c r="D20" i="5" s="1"/>
  <c r="D21" i="3"/>
  <c r="D21" i="4" s="1"/>
  <c r="D21" i="5" s="1"/>
  <c r="D22" i="3"/>
  <c r="D22" i="4"/>
  <c r="D22" i="5" s="1"/>
  <c r="D23" i="3"/>
  <c r="D23" i="4" s="1"/>
  <c r="D23" i="5" s="1"/>
  <c r="D24" i="3"/>
  <c r="D24" i="4" s="1"/>
  <c r="D24" i="5" s="1"/>
  <c r="D25" i="3"/>
  <c r="D25" i="4" s="1"/>
  <c r="D25" i="5" s="1"/>
  <c r="D26" i="3"/>
  <c r="D26" i="4" s="1"/>
  <c r="D26" i="5" s="1"/>
  <c r="D27" i="3"/>
  <c r="D27" i="4" s="1"/>
  <c r="D27" i="5" s="1"/>
  <c r="D28" i="3"/>
  <c r="D28" i="4" s="1"/>
  <c r="D28" i="5" s="1"/>
  <c r="D29" i="3"/>
  <c r="D29" i="4" s="1"/>
  <c r="D29" i="5" s="1"/>
  <c r="D30" i="3"/>
  <c r="D30" i="4" s="1"/>
  <c r="D30" i="5" s="1"/>
  <c r="D31" i="3"/>
  <c r="D31" i="4" s="1"/>
  <c r="D31" i="5" s="1"/>
  <c r="D32" i="3"/>
  <c r="D32" i="4" s="1"/>
  <c r="D32" i="5" s="1"/>
  <c r="D33" i="3"/>
  <c r="D33" i="4" s="1"/>
  <c r="D33" i="5" s="1"/>
  <c r="D34" i="3"/>
  <c r="D34" i="4" s="1"/>
  <c r="D34" i="5" s="1"/>
  <c r="D35" i="3"/>
  <c r="D35" i="4" s="1"/>
  <c r="D35" i="5" s="1"/>
  <c r="D36" i="3"/>
  <c r="D36" i="4" s="1"/>
  <c r="D36" i="5" s="1"/>
  <c r="D37" i="3"/>
  <c r="D37" i="4" s="1"/>
  <c r="D37" i="5" s="1"/>
  <c r="D38" i="3"/>
  <c r="D38" i="4" s="1"/>
  <c r="D38" i="5" s="1"/>
  <c r="D39" i="3"/>
  <c r="D39" i="4" s="1"/>
  <c r="D39" i="5" s="1"/>
  <c r="D9" i="3"/>
  <c r="D9" i="4" s="1"/>
  <c r="C10" i="3"/>
  <c r="C11" i="3"/>
  <c r="C11" i="4" s="1"/>
  <c r="C11" i="5" s="1"/>
  <c r="C12" i="3"/>
  <c r="C12" i="4" s="1"/>
  <c r="C12" i="5" s="1"/>
  <c r="C13" i="3"/>
  <c r="C13" i="4"/>
  <c r="C13" i="5" s="1"/>
  <c r="C14" i="3"/>
  <c r="C14" i="4" s="1"/>
  <c r="C14" i="5" s="1"/>
  <c r="C15" i="3"/>
  <c r="C15" i="4"/>
  <c r="C15" i="5" s="1"/>
  <c r="C16" i="3"/>
  <c r="C16" i="4" s="1"/>
  <c r="C16" i="5" s="1"/>
  <c r="C17" i="3"/>
  <c r="C17" i="4" s="1"/>
  <c r="C17" i="5" s="1"/>
  <c r="C18" i="3"/>
  <c r="C18" i="4" s="1"/>
  <c r="C18" i="5" s="1"/>
  <c r="C19" i="3"/>
  <c r="C19" i="4" s="1"/>
  <c r="C19" i="5" s="1"/>
  <c r="C20" i="3"/>
  <c r="C20" i="4"/>
  <c r="C20" i="5" s="1"/>
  <c r="C21" i="3"/>
  <c r="C21" i="4" s="1"/>
  <c r="C21" i="5" s="1"/>
  <c r="C22" i="3"/>
  <c r="C22" i="4" s="1"/>
  <c r="C22" i="5" s="1"/>
  <c r="C23" i="3"/>
  <c r="C23" i="4" s="1"/>
  <c r="C23" i="5" s="1"/>
  <c r="C24" i="3"/>
  <c r="C24" i="4" s="1"/>
  <c r="C24" i="5" s="1"/>
  <c r="C25" i="3"/>
  <c r="C25" i="4" s="1"/>
  <c r="C25" i="5" s="1"/>
  <c r="C26" i="3"/>
  <c r="C26" i="4" s="1"/>
  <c r="C26" i="5" s="1"/>
  <c r="C27" i="3"/>
  <c r="C27" i="4" s="1"/>
  <c r="C27" i="5" s="1"/>
  <c r="C28" i="3"/>
  <c r="C28" i="4" s="1"/>
  <c r="C28" i="5" s="1"/>
  <c r="C29" i="3"/>
  <c r="C29" i="4" s="1"/>
  <c r="C29" i="5" s="1"/>
  <c r="C30" i="3"/>
  <c r="C30" i="4" s="1"/>
  <c r="C30" i="5" s="1"/>
  <c r="C31" i="3"/>
  <c r="C31" i="4" s="1"/>
  <c r="C31" i="5" s="1"/>
  <c r="C32" i="3"/>
  <c r="C32" i="4" s="1"/>
  <c r="C32" i="5" s="1"/>
  <c r="C33" i="3"/>
  <c r="C33" i="4" s="1"/>
  <c r="C33" i="5" s="1"/>
  <c r="C34" i="3"/>
  <c r="C34" i="4" s="1"/>
  <c r="C34" i="5" s="1"/>
  <c r="C35" i="3"/>
  <c r="C35" i="4" s="1"/>
  <c r="C35" i="5" s="1"/>
  <c r="C36" i="3"/>
  <c r="C36" i="4" s="1"/>
  <c r="C36" i="5" s="1"/>
  <c r="C37" i="3"/>
  <c r="C37" i="4"/>
  <c r="C37" i="5" s="1"/>
  <c r="C38" i="3"/>
  <c r="C38" i="4" s="1"/>
  <c r="C38" i="5" s="1"/>
  <c r="C39" i="3"/>
  <c r="C39" i="4" s="1"/>
  <c r="C39" i="5" s="1"/>
  <c r="C9" i="3"/>
  <c r="C9" i="4" s="1"/>
  <c r="C9" i="5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G34" i="4"/>
  <c r="J27" i="1" s="1"/>
  <c r="I3" i="1"/>
  <c r="I4" i="1"/>
  <c r="I7" i="1"/>
  <c r="I8" i="1"/>
  <c r="I9" i="1"/>
  <c r="I10" i="1"/>
  <c r="I11" i="1"/>
  <c r="I12" i="1"/>
  <c r="I15" i="1"/>
  <c r="I16" i="1"/>
  <c r="I17" i="1"/>
  <c r="I18" i="1"/>
  <c r="I19" i="1"/>
  <c r="I20" i="1"/>
  <c r="I21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N2" i="1"/>
  <c r="M2" i="1"/>
  <c r="K2" i="1"/>
  <c r="I2" i="1"/>
  <c r="G2" i="1"/>
  <c r="J40" i="5"/>
  <c r="J39" i="5"/>
  <c r="H39" i="5"/>
  <c r="F39" i="5"/>
  <c r="J38" i="5"/>
  <c r="H38" i="5"/>
  <c r="F38" i="5"/>
  <c r="J37" i="5"/>
  <c r="H37" i="5"/>
  <c r="F37" i="5"/>
  <c r="J36" i="5"/>
  <c r="H36" i="5"/>
  <c r="F36" i="5"/>
  <c r="K36" i="5" s="1"/>
  <c r="J35" i="5"/>
  <c r="H35" i="5"/>
  <c r="F35" i="5"/>
  <c r="J34" i="5"/>
  <c r="H34" i="5"/>
  <c r="F34" i="5"/>
  <c r="J33" i="5"/>
  <c r="H33" i="5"/>
  <c r="F33" i="5"/>
  <c r="K33" i="5" s="1"/>
  <c r="J32" i="5"/>
  <c r="H32" i="5"/>
  <c r="F32" i="5"/>
  <c r="J31" i="5"/>
  <c r="H31" i="5"/>
  <c r="F31" i="5"/>
  <c r="J30" i="5"/>
  <c r="H30" i="5"/>
  <c r="F30" i="5"/>
  <c r="J29" i="5"/>
  <c r="H29" i="5"/>
  <c r="F29" i="5"/>
  <c r="J28" i="5"/>
  <c r="K28" i="5" s="1"/>
  <c r="L28" i="5" s="1"/>
  <c r="H28" i="5"/>
  <c r="F28" i="5"/>
  <c r="J27" i="5"/>
  <c r="H27" i="5"/>
  <c r="F27" i="5"/>
  <c r="J26" i="5"/>
  <c r="H26" i="5"/>
  <c r="F26" i="5"/>
  <c r="J25" i="5"/>
  <c r="H25" i="5"/>
  <c r="F25" i="5"/>
  <c r="J24" i="5"/>
  <c r="H24" i="5"/>
  <c r="F24" i="5"/>
  <c r="K24" i="5" s="1"/>
  <c r="L17" i="1" s="1"/>
  <c r="J23" i="5"/>
  <c r="H23" i="5"/>
  <c r="F23" i="5"/>
  <c r="J22" i="5"/>
  <c r="H22" i="5"/>
  <c r="F22" i="5"/>
  <c r="J21" i="5"/>
  <c r="H21" i="5"/>
  <c r="F21" i="5"/>
  <c r="J20" i="5"/>
  <c r="H20" i="5"/>
  <c r="F20" i="5"/>
  <c r="J19" i="5"/>
  <c r="H19" i="5"/>
  <c r="F19" i="5"/>
  <c r="J18" i="5"/>
  <c r="H18" i="5"/>
  <c r="F18" i="5"/>
  <c r="J17" i="5"/>
  <c r="H17" i="5"/>
  <c r="F17" i="5"/>
  <c r="J16" i="5"/>
  <c r="H16" i="5"/>
  <c r="F16" i="5"/>
  <c r="J15" i="5"/>
  <c r="H15" i="5"/>
  <c r="F15" i="5"/>
  <c r="J14" i="5"/>
  <c r="H14" i="5"/>
  <c r="F14" i="5"/>
  <c r="J13" i="5"/>
  <c r="H13" i="5"/>
  <c r="F13" i="5"/>
  <c r="J12" i="5"/>
  <c r="H12" i="5"/>
  <c r="F12" i="5"/>
  <c r="J11" i="5"/>
  <c r="H11" i="5"/>
  <c r="F11" i="5"/>
  <c r="J10" i="5"/>
  <c r="H10" i="5"/>
  <c r="F10" i="5"/>
  <c r="J9" i="5"/>
  <c r="H9" i="5"/>
  <c r="F9" i="5"/>
  <c r="G39" i="4"/>
  <c r="J32" i="1" s="1"/>
  <c r="G38" i="4"/>
  <c r="J31" i="1" s="1"/>
  <c r="G37" i="4"/>
  <c r="J30" i="1" s="1"/>
  <c r="G36" i="4"/>
  <c r="J29" i="1" s="1"/>
  <c r="G35" i="4"/>
  <c r="J28" i="1" s="1"/>
  <c r="G33" i="4"/>
  <c r="J26" i="1" s="1"/>
  <c r="J33" i="1" s="1"/>
  <c r="G31" i="4"/>
  <c r="J24" i="1" s="1"/>
  <c r="G30" i="4"/>
  <c r="J23" i="1" s="1"/>
  <c r="I22" i="1"/>
  <c r="G28" i="4"/>
  <c r="J21" i="1" s="1"/>
  <c r="G26" i="4"/>
  <c r="J19" i="1" s="1"/>
  <c r="G25" i="4"/>
  <c r="J18" i="1" s="1"/>
  <c r="G24" i="4"/>
  <c r="J17" i="1" s="1"/>
  <c r="G23" i="4"/>
  <c r="J16" i="1" s="1"/>
  <c r="G22" i="4"/>
  <c r="J15" i="1" s="1"/>
  <c r="G19" i="4"/>
  <c r="J12" i="1" s="1"/>
  <c r="G18" i="4"/>
  <c r="J11" i="1" s="1"/>
  <c r="G17" i="4"/>
  <c r="J10" i="1" s="1"/>
  <c r="G16" i="4"/>
  <c r="J9" i="1" s="1"/>
  <c r="G15" i="4"/>
  <c r="J8" i="1" s="1"/>
  <c r="G14" i="4"/>
  <c r="H14" i="4" s="1"/>
  <c r="G11" i="4"/>
  <c r="H11" i="4" s="1"/>
  <c r="G10" i="4"/>
  <c r="J3" i="1" s="1"/>
  <c r="G9" i="4"/>
  <c r="J2" i="1" s="1"/>
  <c r="O40" i="3"/>
  <c r="F40" i="3"/>
  <c r="O41" i="3" s="1"/>
  <c r="G39" i="3"/>
  <c r="J8" i="3"/>
  <c r="J38" i="3"/>
  <c r="G38" i="3"/>
  <c r="J37" i="3"/>
  <c r="G37" i="3"/>
  <c r="J36" i="3"/>
  <c r="G36" i="3"/>
  <c r="J35" i="3"/>
  <c r="G35" i="3"/>
  <c r="G34" i="3"/>
  <c r="G33" i="3"/>
  <c r="J32" i="3"/>
  <c r="G32" i="3"/>
  <c r="G31" i="3"/>
  <c r="J30" i="3"/>
  <c r="G30" i="3"/>
  <c r="J29" i="3"/>
  <c r="G29" i="3"/>
  <c r="J28" i="3"/>
  <c r="G28" i="3"/>
  <c r="J27" i="3"/>
  <c r="G27" i="3"/>
  <c r="G26" i="3"/>
  <c r="G25" i="3"/>
  <c r="J24" i="3"/>
  <c r="G24" i="3"/>
  <c r="G23" i="3"/>
  <c r="J22" i="3"/>
  <c r="G22" i="3"/>
  <c r="J21" i="3"/>
  <c r="G21" i="3"/>
  <c r="J20" i="3"/>
  <c r="G20" i="3"/>
  <c r="J19" i="3"/>
  <c r="G19" i="3"/>
  <c r="G18" i="3"/>
  <c r="G17" i="3"/>
  <c r="G16" i="3"/>
  <c r="G15" i="3"/>
  <c r="G14" i="3"/>
  <c r="G13" i="3"/>
  <c r="G12" i="3"/>
  <c r="G11" i="3"/>
  <c r="G10" i="3"/>
  <c r="G9" i="3"/>
  <c r="U8" i="3"/>
  <c r="J33" i="3"/>
  <c r="D39" i="2"/>
  <c r="C39" i="2"/>
  <c r="I38" i="2"/>
  <c r="I37" i="2"/>
  <c r="J37" i="2" s="1"/>
  <c r="I36" i="2"/>
  <c r="J36" i="2" s="1"/>
  <c r="F36" i="2"/>
  <c r="G36" i="2" s="1"/>
  <c r="I35" i="2"/>
  <c r="F35" i="2"/>
  <c r="G35" i="2"/>
  <c r="I34" i="2"/>
  <c r="J34" i="2"/>
  <c r="F34" i="2"/>
  <c r="G34" i="2" s="1"/>
  <c r="I33" i="2"/>
  <c r="J33" i="2" s="1"/>
  <c r="F33" i="2"/>
  <c r="G33" i="2" s="1"/>
  <c r="I32" i="2"/>
  <c r="J32" i="2" s="1"/>
  <c r="F32" i="2"/>
  <c r="G32" i="2" s="1"/>
  <c r="I31" i="2"/>
  <c r="J31" i="2" s="1"/>
  <c r="F31" i="2"/>
  <c r="G31" i="2" s="1"/>
  <c r="I30" i="2"/>
  <c r="J30" i="2" s="1"/>
  <c r="F30" i="2"/>
  <c r="G30" i="2" s="1"/>
  <c r="I29" i="2"/>
  <c r="J29" i="2" s="1"/>
  <c r="F29" i="2"/>
  <c r="G29" i="2" s="1"/>
  <c r="I28" i="2"/>
  <c r="J28" i="2"/>
  <c r="F28" i="2"/>
  <c r="E22" i="1" s="1"/>
  <c r="I27" i="2"/>
  <c r="J27" i="2"/>
  <c r="F27" i="2"/>
  <c r="G27" i="2" s="1"/>
  <c r="I26" i="2"/>
  <c r="J26" i="2" s="1"/>
  <c r="F26" i="2"/>
  <c r="G26" i="2" s="1"/>
  <c r="I25" i="2"/>
  <c r="J25" i="2" s="1"/>
  <c r="F25" i="2"/>
  <c r="G25" i="2" s="1"/>
  <c r="I24" i="2"/>
  <c r="J24" i="2" s="1"/>
  <c r="F24" i="2"/>
  <c r="I23" i="2"/>
  <c r="J23" i="2"/>
  <c r="F23" i="2"/>
  <c r="I22" i="2"/>
  <c r="J22" i="2" s="1"/>
  <c r="F22" i="2"/>
  <c r="I21" i="2"/>
  <c r="J21" i="2" s="1"/>
  <c r="F21" i="2"/>
  <c r="G21" i="2" s="1"/>
  <c r="I20" i="2"/>
  <c r="J20" i="2"/>
  <c r="F20" i="2"/>
  <c r="G20" i="2" s="1"/>
  <c r="I19" i="2"/>
  <c r="J19" i="2"/>
  <c r="F19" i="2"/>
  <c r="E13" i="1" s="1"/>
  <c r="I18" i="2"/>
  <c r="J18" i="2" s="1"/>
  <c r="F18" i="2"/>
  <c r="G18" i="2" s="1"/>
  <c r="I17" i="2"/>
  <c r="J17" i="2" s="1"/>
  <c r="F17" i="2"/>
  <c r="G17" i="2" s="1"/>
  <c r="I16" i="2"/>
  <c r="J16" i="2" s="1"/>
  <c r="F16" i="2"/>
  <c r="I15" i="2"/>
  <c r="J15" i="2" s="1"/>
  <c r="F15" i="2"/>
  <c r="G15" i="2" s="1"/>
  <c r="I14" i="2"/>
  <c r="J14" i="2" s="1"/>
  <c r="F14" i="2"/>
  <c r="G14" i="2" s="1"/>
  <c r="I13" i="2"/>
  <c r="J13" i="2" s="1"/>
  <c r="F13" i="2"/>
  <c r="G13" i="2" s="1"/>
  <c r="I12" i="2"/>
  <c r="F12" i="2"/>
  <c r="G12" i="2" s="1"/>
  <c r="I11" i="2"/>
  <c r="J11" i="2" s="1"/>
  <c r="F11" i="2"/>
  <c r="G11" i="2" s="1"/>
  <c r="I10" i="2"/>
  <c r="J10" i="2"/>
  <c r="F10" i="2"/>
  <c r="G10" i="2" s="1"/>
  <c r="I9" i="2"/>
  <c r="J9" i="2" s="1"/>
  <c r="F9" i="2"/>
  <c r="G9" i="2" s="1"/>
  <c r="I8" i="2"/>
  <c r="F8" i="2"/>
  <c r="G8" i="2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I41" i="5"/>
  <c r="F40" i="4"/>
  <c r="G12" i="4"/>
  <c r="J5" i="1" s="1"/>
  <c r="G20" i="4"/>
  <c r="J13" i="1" s="1"/>
  <c r="G13" i="4"/>
  <c r="J6" i="1" s="1"/>
  <c r="G21" i="4"/>
  <c r="J14" i="1" s="1"/>
  <c r="K17" i="5"/>
  <c r="L10" i="1" s="1"/>
  <c r="K16" i="5"/>
  <c r="L9" i="1" s="1"/>
  <c r="K32" i="5"/>
  <c r="L32" i="5" s="1"/>
  <c r="J4" i="1"/>
  <c r="G29" i="4"/>
  <c r="J22" i="1" s="1"/>
  <c r="E4" i="1"/>
  <c r="E10" i="1"/>
  <c r="G16" i="2"/>
  <c r="E31" i="1"/>
  <c r="G27" i="4"/>
  <c r="J20" i="1" s="1"/>
  <c r="J34" i="3"/>
  <c r="P8" i="3"/>
  <c r="J18" i="3"/>
  <c r="M8" i="3"/>
  <c r="J31" i="3"/>
  <c r="J39" i="3"/>
  <c r="J23" i="3"/>
  <c r="J26" i="3"/>
  <c r="J9" i="3"/>
  <c r="J10" i="3"/>
  <c r="J11" i="3"/>
  <c r="J12" i="3"/>
  <c r="J13" i="3"/>
  <c r="J14" i="3"/>
  <c r="J15" i="3"/>
  <c r="J16" i="3"/>
  <c r="J17" i="3"/>
  <c r="J25" i="3"/>
  <c r="J8" i="2"/>
  <c r="M17" i="3"/>
  <c r="P17" i="3"/>
  <c r="M39" i="3"/>
  <c r="Q39" i="3" s="1"/>
  <c r="R39" i="3" s="1"/>
  <c r="P39" i="3"/>
  <c r="M32" i="3"/>
  <c r="Q32" i="3" s="1"/>
  <c r="R32" i="3" s="1"/>
  <c r="M24" i="3"/>
  <c r="M14" i="3"/>
  <c r="P14" i="3"/>
  <c r="M31" i="3"/>
  <c r="P31" i="3"/>
  <c r="M23" i="3"/>
  <c r="Q23" i="3" s="1"/>
  <c r="R23" i="3" s="1"/>
  <c r="P23" i="3"/>
  <c r="M33" i="3"/>
  <c r="M15" i="3"/>
  <c r="M38" i="3"/>
  <c r="P38" i="3"/>
  <c r="M30" i="3"/>
  <c r="M22" i="3"/>
  <c r="Q22" i="3" s="1"/>
  <c r="R22" i="3" s="1"/>
  <c r="P22" i="3"/>
  <c r="M10" i="3"/>
  <c r="M37" i="3"/>
  <c r="P37" i="3"/>
  <c r="M29" i="3"/>
  <c r="P29" i="3"/>
  <c r="M21" i="3"/>
  <c r="M18" i="3"/>
  <c r="M11" i="3"/>
  <c r="P11" i="3"/>
  <c r="M36" i="3"/>
  <c r="M28" i="3"/>
  <c r="P28" i="3"/>
  <c r="M20" i="3"/>
  <c r="Q20" i="3" s="1"/>
  <c r="R20" i="3" s="1"/>
  <c r="P20" i="3"/>
  <c r="M34" i="3"/>
  <c r="P34" i="3"/>
  <c r="M26" i="3"/>
  <c r="M25" i="3"/>
  <c r="M13" i="3"/>
  <c r="P13" i="3"/>
  <c r="M35" i="3"/>
  <c r="M27" i="3"/>
  <c r="P27" i="3"/>
  <c r="M19" i="3"/>
  <c r="P19" i="3"/>
  <c r="M16" i="3"/>
  <c r="P16" i="3"/>
  <c r="M12" i="3"/>
  <c r="P12" i="3"/>
  <c r="M9" i="3"/>
  <c r="P25" i="3"/>
  <c r="P10" i="3"/>
  <c r="P30" i="3"/>
  <c r="P21" i="3"/>
  <c r="P36" i="3"/>
  <c r="P33" i="3"/>
  <c r="P15" i="3"/>
  <c r="P24" i="3"/>
  <c r="P35" i="3"/>
  <c r="P26" i="3"/>
  <c r="P18" i="3"/>
  <c r="P9" i="3"/>
  <c r="P32" i="3"/>
  <c r="K23" i="5" l="1"/>
  <c r="L23" i="5" s="1"/>
  <c r="K27" i="5"/>
  <c r="L27" i="5" s="1"/>
  <c r="K11" i="5"/>
  <c r="L11" i="5" s="1"/>
  <c r="K15" i="5"/>
  <c r="L15" i="5" s="1"/>
  <c r="K19" i="5"/>
  <c r="L19" i="5" s="1"/>
  <c r="K30" i="5"/>
  <c r="K38" i="5"/>
  <c r="L38" i="5" s="1"/>
  <c r="K10" i="5"/>
  <c r="L10" i="5" s="1"/>
  <c r="K18" i="5"/>
  <c r="L18" i="5" s="1"/>
  <c r="K21" i="5"/>
  <c r="L21" i="5" s="1"/>
  <c r="K22" i="5"/>
  <c r="L22" i="5" s="1"/>
  <c r="K25" i="5"/>
  <c r="L18" i="1" s="1"/>
  <c r="K20" i="5"/>
  <c r="L20" i="5" s="1"/>
  <c r="Q29" i="3"/>
  <c r="Q26" i="3"/>
  <c r="R26" i="3" s="1"/>
  <c r="H38" i="4"/>
  <c r="H22" i="4"/>
  <c r="E25" i="1"/>
  <c r="E18" i="1"/>
  <c r="E17" i="1"/>
  <c r="E7" i="1"/>
  <c r="Q15" i="3"/>
  <c r="R15" i="3" s="1"/>
  <c r="Q34" i="3"/>
  <c r="R34" i="3" s="1"/>
  <c r="Q31" i="3"/>
  <c r="R31" i="3" s="1"/>
  <c r="Q13" i="3"/>
  <c r="R13" i="3" s="1"/>
  <c r="Q9" i="3"/>
  <c r="R9" i="3" s="1"/>
  <c r="Q17" i="3"/>
  <c r="R17" i="3" s="1"/>
  <c r="Q28" i="3"/>
  <c r="R28" i="3" s="1"/>
  <c r="Q30" i="3"/>
  <c r="R30" i="3" s="1"/>
  <c r="Q11" i="3"/>
  <c r="R11" i="3" s="1"/>
  <c r="Q38" i="3"/>
  <c r="R38" i="3" s="1"/>
  <c r="Q16" i="3"/>
  <c r="R16" i="3" s="1"/>
  <c r="Q27" i="3"/>
  <c r="R27" i="3" s="1"/>
  <c r="Q35" i="3"/>
  <c r="R35" i="3" s="1"/>
  <c r="Q37" i="3"/>
  <c r="H30" i="1" s="1"/>
  <c r="H34" i="4"/>
  <c r="H18" i="4"/>
  <c r="J7" i="1"/>
  <c r="H26" i="4"/>
  <c r="H10" i="4"/>
  <c r="K29" i="5"/>
  <c r="L29" i="5" s="1"/>
  <c r="K14" i="5"/>
  <c r="K9" i="5"/>
  <c r="L2" i="1" s="1"/>
  <c r="K13" i="5"/>
  <c r="L6" i="1" s="1"/>
  <c r="K26" i="5"/>
  <c r="L19" i="1" s="1"/>
  <c r="K31" i="5"/>
  <c r="L31" i="5" s="1"/>
  <c r="K35" i="5"/>
  <c r="L35" i="5" s="1"/>
  <c r="K39" i="5"/>
  <c r="L39" i="5" s="1"/>
  <c r="L20" i="1"/>
  <c r="L4" i="1"/>
  <c r="L15" i="1"/>
  <c r="K34" i="5"/>
  <c r="L34" i="5" s="1"/>
  <c r="K37" i="5"/>
  <c r="L30" i="1" s="1"/>
  <c r="E15" i="1"/>
  <c r="K8" i="2"/>
  <c r="L8" i="2" s="1"/>
  <c r="M8" i="2" s="1"/>
  <c r="E16" i="1"/>
  <c r="E19" i="1"/>
  <c r="E11" i="1"/>
  <c r="E6" i="1"/>
  <c r="E3" i="1"/>
  <c r="K16" i="2"/>
  <c r="L16" i="2" s="1"/>
  <c r="M16" i="2" s="1"/>
  <c r="L11" i="1"/>
  <c r="L12" i="1"/>
  <c r="L14" i="1"/>
  <c r="K12" i="5"/>
  <c r="L12" i="5" s="1"/>
  <c r="L30" i="5"/>
  <c r="L23" i="1"/>
  <c r="L21" i="1"/>
  <c r="L17" i="5"/>
  <c r="L25" i="1"/>
  <c r="L33" i="5"/>
  <c r="L26" i="1"/>
  <c r="L36" i="5"/>
  <c r="L29" i="1"/>
  <c r="L14" i="5"/>
  <c r="L7" i="1"/>
  <c r="L5" i="1"/>
  <c r="L16" i="1"/>
  <c r="L9" i="5"/>
  <c r="L24" i="5"/>
  <c r="L16" i="5"/>
  <c r="L31" i="1"/>
  <c r="K33" i="1"/>
  <c r="Q12" i="3"/>
  <c r="R12" i="3" s="1"/>
  <c r="Q36" i="3"/>
  <c r="R36" i="3" s="1"/>
  <c r="Q24" i="3"/>
  <c r="H17" i="1" s="1"/>
  <c r="H22" i="1"/>
  <c r="H19" i="1"/>
  <c r="Q10" i="3"/>
  <c r="R10" i="3" s="1"/>
  <c r="Q14" i="3"/>
  <c r="R14" i="3" s="1"/>
  <c r="Q18" i="3"/>
  <c r="R18" i="3" s="1"/>
  <c r="Q25" i="3"/>
  <c r="H18" i="1" s="1"/>
  <c r="Q19" i="3"/>
  <c r="R19" i="3" s="1"/>
  <c r="Q21" i="3"/>
  <c r="H14" i="1" s="1"/>
  <c r="Q33" i="3"/>
  <c r="R33" i="3" s="1"/>
  <c r="R25" i="3"/>
  <c r="R29" i="3"/>
  <c r="H32" i="1"/>
  <c r="H16" i="1"/>
  <c r="H5" i="1"/>
  <c r="H27" i="1"/>
  <c r="H25" i="1"/>
  <c r="H15" i="1"/>
  <c r="H13" i="1"/>
  <c r="H8" i="1"/>
  <c r="G33" i="1"/>
  <c r="I33" i="1"/>
  <c r="H37" i="4"/>
  <c r="H33" i="4"/>
  <c r="H29" i="4"/>
  <c r="H25" i="4"/>
  <c r="H21" i="4"/>
  <c r="H17" i="4"/>
  <c r="H13" i="4"/>
  <c r="H30" i="4"/>
  <c r="H9" i="4"/>
  <c r="H36" i="4"/>
  <c r="H28" i="4"/>
  <c r="H24" i="4"/>
  <c r="H20" i="4"/>
  <c r="H16" i="4"/>
  <c r="H12" i="4"/>
  <c r="H39" i="4"/>
  <c r="H35" i="4"/>
  <c r="H31" i="4"/>
  <c r="H27" i="4"/>
  <c r="H23" i="4"/>
  <c r="H19" i="4"/>
  <c r="H15" i="4"/>
  <c r="F39" i="2"/>
  <c r="E21" i="1"/>
  <c r="E12" i="1"/>
  <c r="E20" i="1"/>
  <c r="G19" i="2"/>
  <c r="K19" i="2" s="1"/>
  <c r="L19" i="2" s="1"/>
  <c r="E14" i="1"/>
  <c r="G22" i="2"/>
  <c r="G23" i="2"/>
  <c r="K23" i="2" s="1"/>
  <c r="L23" i="2" s="1"/>
  <c r="G24" i="2"/>
  <c r="K24" i="2" s="1"/>
  <c r="L24" i="2" s="1"/>
  <c r="G28" i="2"/>
  <c r="E29" i="1"/>
  <c r="K37" i="2"/>
  <c r="L37" i="2" s="1"/>
  <c r="M37" i="2" s="1"/>
  <c r="E32" i="1"/>
  <c r="E30" i="1"/>
  <c r="F30" i="1" s="1"/>
  <c r="E23" i="1"/>
  <c r="I39" i="2"/>
  <c r="K11" i="2"/>
  <c r="L11" i="2" s="1"/>
  <c r="M11" i="2" s="1"/>
  <c r="J12" i="2"/>
  <c r="K12" i="2" s="1"/>
  <c r="L12" i="2" s="1"/>
  <c r="M12" i="2" s="1"/>
  <c r="K15" i="2"/>
  <c r="L15" i="2" s="1"/>
  <c r="M15" i="2" s="1"/>
  <c r="K21" i="2"/>
  <c r="L21" i="2" s="1"/>
  <c r="M21" i="2" s="1"/>
  <c r="K22" i="2"/>
  <c r="L22" i="2" s="1"/>
  <c r="M22" i="2" s="1"/>
  <c r="K25" i="2"/>
  <c r="L25" i="2" s="1"/>
  <c r="M25" i="2" s="1"/>
  <c r="K26" i="2"/>
  <c r="L26" i="2" s="1"/>
  <c r="M26" i="2" s="1"/>
  <c r="K27" i="2"/>
  <c r="L27" i="2" s="1"/>
  <c r="K28" i="2"/>
  <c r="L28" i="2" s="1"/>
  <c r="F22" i="1" s="1"/>
  <c r="K29" i="2"/>
  <c r="L29" i="2" s="1"/>
  <c r="M29" i="2" s="1"/>
  <c r="K33" i="2"/>
  <c r="L33" i="2" s="1"/>
  <c r="M33" i="2" s="1"/>
  <c r="K9" i="2"/>
  <c r="L9" i="2" s="1"/>
  <c r="M9" i="2" s="1"/>
  <c r="K13" i="2"/>
  <c r="L13" i="2" s="1"/>
  <c r="M13" i="2" s="1"/>
  <c r="K17" i="2"/>
  <c r="L17" i="2" s="1"/>
  <c r="M17" i="2" s="1"/>
  <c r="E5" i="1"/>
  <c r="K10" i="2"/>
  <c r="L10" i="2" s="1"/>
  <c r="M10" i="2" s="1"/>
  <c r="K14" i="2"/>
  <c r="L14" i="2" s="1"/>
  <c r="M14" i="2" s="1"/>
  <c r="K18" i="2"/>
  <c r="L18" i="2" s="1"/>
  <c r="M18" i="2" s="1"/>
  <c r="K20" i="2"/>
  <c r="L20" i="2" s="1"/>
  <c r="K32" i="2"/>
  <c r="L32" i="2" s="1"/>
  <c r="M32" i="2" s="1"/>
  <c r="J35" i="2"/>
  <c r="K35" i="2" s="1"/>
  <c r="L35" i="2" s="1"/>
  <c r="M35" i="2" s="1"/>
  <c r="J38" i="2"/>
  <c r="K38" i="2" s="1"/>
  <c r="L38" i="2" s="1"/>
  <c r="K31" i="2"/>
  <c r="L31" i="2" s="1"/>
  <c r="F25" i="1" s="1"/>
  <c r="K30" i="2"/>
  <c r="L30" i="2" s="1"/>
  <c r="M30" i="2" s="1"/>
  <c r="K34" i="2"/>
  <c r="L34" i="2" s="1"/>
  <c r="M34" i="2" s="1"/>
  <c r="K36" i="2"/>
  <c r="L36" i="2" s="1"/>
  <c r="M36" i="2" s="1"/>
  <c r="F7" i="1"/>
  <c r="E2" i="1"/>
  <c r="E8" i="1"/>
  <c r="E9" i="1"/>
  <c r="E28" i="1"/>
  <c r="E24" i="1"/>
  <c r="E27" i="1"/>
  <c r="E26" i="1"/>
  <c r="N33" i="1"/>
  <c r="C40" i="3"/>
  <c r="D40" i="3"/>
  <c r="M33" i="1"/>
  <c r="D40" i="4"/>
  <c r="C10" i="4"/>
  <c r="C10" i="5" s="1"/>
  <c r="C40" i="5" s="1"/>
  <c r="D9" i="5"/>
  <c r="D40" i="5" s="1"/>
  <c r="L25" i="5" l="1"/>
  <c r="L32" i="1"/>
  <c r="L3" i="1"/>
  <c r="L28" i="1"/>
  <c r="L8" i="1"/>
  <c r="L22" i="1"/>
  <c r="L13" i="1"/>
  <c r="L26" i="5"/>
  <c r="L40" i="5" s="1"/>
  <c r="F10" i="1"/>
  <c r="F17" i="1"/>
  <c r="M24" i="2"/>
  <c r="F18" i="1"/>
  <c r="F13" i="1"/>
  <c r="M19" i="2"/>
  <c r="F11" i="1"/>
  <c r="F8" i="1"/>
  <c r="I41" i="2"/>
  <c r="F24" i="1"/>
  <c r="H20" i="1"/>
  <c r="H6" i="1"/>
  <c r="H24" i="1"/>
  <c r="H21" i="1"/>
  <c r="R24" i="3"/>
  <c r="H4" i="1"/>
  <c r="H29" i="1"/>
  <c r="H23" i="1"/>
  <c r="H31" i="1"/>
  <c r="H2" i="1"/>
  <c r="H10" i="1"/>
  <c r="H12" i="1"/>
  <c r="H9" i="1"/>
  <c r="H3" i="1"/>
  <c r="H28" i="1"/>
  <c r="R37" i="3"/>
  <c r="L13" i="5"/>
  <c r="L37" i="5"/>
  <c r="L24" i="1"/>
  <c r="L27" i="1"/>
  <c r="L33" i="1" s="1"/>
  <c r="F29" i="1"/>
  <c r="F3" i="1"/>
  <c r="F21" i="1"/>
  <c r="F28" i="1"/>
  <c r="F19" i="1"/>
  <c r="F15" i="1"/>
  <c r="F14" i="1"/>
  <c r="F5" i="1"/>
  <c r="F23" i="1"/>
  <c r="F27" i="1"/>
  <c r="R21" i="3"/>
  <c r="R40" i="3" s="1"/>
  <c r="H26" i="1"/>
  <c r="H7" i="1"/>
  <c r="H11" i="1"/>
  <c r="H40" i="4"/>
  <c r="M23" i="2"/>
  <c r="F6" i="1"/>
  <c r="F9" i="1"/>
  <c r="F20" i="1"/>
  <c r="F16" i="1"/>
  <c r="M27" i="2"/>
  <c r="M31" i="2"/>
  <c r="M20" i="2"/>
  <c r="F31" i="1"/>
  <c r="F12" i="1"/>
  <c r="L39" i="2"/>
  <c r="M38" i="2"/>
  <c r="F32" i="1"/>
  <c r="F4" i="1"/>
  <c r="M28" i="2"/>
  <c r="E33" i="1"/>
  <c r="F26" i="1"/>
  <c r="F2" i="1"/>
  <c r="C40" i="4"/>
  <c r="H33" i="1" l="1"/>
  <c r="M39" i="2"/>
  <c r="F33" i="1"/>
</calcChain>
</file>

<file path=xl/sharedStrings.xml><?xml version="1.0" encoding="utf-8"?>
<sst xmlns="http://schemas.openxmlformats.org/spreadsheetml/2006/main" count="118" uniqueCount="61">
  <si>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</si>
  <si>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</si>
  <si>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</si>
  <si>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</si>
  <si>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</si>
  <si>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</si>
  <si>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</si>
  <si>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</si>
  <si>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</si>
  <si>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</si>
  <si>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</si>
  <si>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</si>
  <si>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</si>
  <si>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</si>
  <si>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</si>
  <si>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</si>
  <si>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</si>
  <si>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</si>
  <si>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</si>
  <si>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</si>
  <si>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</si>
  <si>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</si>
  <si>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</si>
  <si>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</si>
  <si>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</si>
  <si>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</si>
  <si>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</si>
  <si>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</si>
  <si>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 xml:space="preserve"> -   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</si>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</sst>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(* #,##0_);_(* \(#,##0\);_(* &quot;-&quot;??_);_(@_)"/>
    <numFmt numFmtId="168" formatCode="[$$-409]#,##0.00"/>
    <numFmt numFmtId="169" formatCode="[$IDR]\ #,##0_);\([$IDR]\ #,##0\)"/>
    <numFmt numFmtId="170" formatCode="_(* #,##0.00_);_(* \(#,##0.00\);_(* &quot;-&quot;_);_(@_)"/>
    <numFmt numFmtId="171" formatCode="&quot;$&quot;#,##0.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7" fontId="1" fillId="0" borderId="1" xfId="4" applyNumberFormat="1" applyFont="1" applyBorder="1"/>
    <xf numFmtId="166" fontId="11" fillId="0" borderId="1" xfId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166" fontId="10" fillId="0" borderId="1" xfId="1" applyFont="1" applyFill="1" applyBorder="1" applyAlignment="1">
      <alignment horizontal="center" shrinkToFit="1"/>
    </xf>
    <xf numFmtId="166" fontId="10" fillId="0" borderId="1" xfId="0" applyNumberFormat="1" applyFont="1" applyBorder="1" applyAlignment="1">
      <alignment shrinkToFit="1"/>
    </xf>
    <xf numFmtId="168" fontId="0" fillId="0" borderId="1" xfId="0" applyNumberFormat="1" applyBorder="1"/>
    <xf numFmtId="168" fontId="0" fillId="0" borderId="3" xfId="0" applyNumberFormat="1" applyBorder="1"/>
    <xf numFmtId="164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69" fontId="9" fillId="0" borderId="0" xfId="2" applyNumberFormat="1" applyFont="1" applyFill="1" applyBorder="1" applyAlignment="1">
      <alignment shrinkToFit="1"/>
    </xf>
    <xf numFmtId="168" fontId="12" fillId="0" borderId="0" xfId="2" applyNumberFormat="1" applyFont="1" applyFill="1" applyBorder="1" applyAlignment="1">
      <alignment shrinkToFit="1"/>
    </xf>
    <xf numFmtId="168" fontId="0" fillId="0" borderId="0" xfId="0" applyNumberFormat="1"/>
    <xf numFmtId="165" fontId="0" fillId="0" borderId="0" xfId="3" applyFont="1"/>
    <xf numFmtId="41" fontId="0" fillId="0" borderId="0" xfId="0" applyNumberFormat="1"/>
    <xf numFmtId="44" fontId="0" fillId="0" borderId="0" xfId="0" applyNumberFormat="1"/>
    <xf numFmtId="43" fontId="0" fillId="0" borderId="0" xfId="0" applyNumberFormat="1"/>
    <xf numFmtId="0" fontId="11" fillId="0" borderId="0" xfId="0" applyFont="1" applyAlignment="1">
      <alignment horizontal="center" shrinkToFit="1"/>
    </xf>
    <xf numFmtId="166" fontId="10" fillId="0" borderId="0" xfId="1" applyFont="1" applyFill="1" applyBorder="1" applyAlignment="1">
      <alignment horizontal="center" shrinkToFit="1"/>
    </xf>
    <xf numFmtId="167" fontId="10" fillId="0" borderId="0" xfId="1" applyNumberFormat="1" applyFont="1" applyFill="1" applyBorder="1" applyAlignment="1">
      <alignment horizontal="center" shrinkToFit="1"/>
    </xf>
    <xf numFmtId="166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shrinkToFit="1"/>
    </xf>
    <xf numFmtId="167" fontId="10" fillId="0" borderId="1" xfId="1" applyNumberFormat="1" applyFont="1" applyFill="1" applyBorder="1" applyAlignment="1">
      <alignment horizontal="center" shrinkToFit="1"/>
    </xf>
    <xf numFmtId="43" fontId="11" fillId="0" borderId="1" xfId="1" applyNumberFormat="1" applyFont="1" applyFill="1" applyBorder="1" applyAlignment="1">
      <alignment horizontal="center" shrinkToFit="1"/>
    </xf>
    <xf numFmtId="164" fontId="11" fillId="0" borderId="1" xfId="2" applyFont="1" applyFill="1" applyBorder="1" applyAlignment="1">
      <alignment horizontal="center" vertical="center" shrinkToFit="1"/>
    </xf>
    <xf numFmtId="44" fontId="11" fillId="0" borderId="1" xfId="1" applyNumberFormat="1" applyFont="1" applyFill="1" applyBorder="1" applyAlignment="1">
      <alignment horizontal="center" shrinkToFit="1"/>
    </xf>
    <xf numFmtId="164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Alignment="1">
      <alignment horizontal="center" shrinkToFit="1"/>
    </xf>
    <xf numFmtId="166" fontId="11" fillId="0" borderId="0" xfId="1" applyFont="1" applyFill="1" applyBorder="1" applyAlignment="1">
      <alignment horizontal="center" shrinkToFit="1"/>
    </xf>
    <xf numFmtId="167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41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7" fontId="7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7" fontId="10" fillId="0" borderId="0" xfId="1" applyNumberFormat="1" applyFont="1" applyFill="1" applyBorder="1" applyAlignment="1">
      <alignment horizontal="center" vertical="center" shrinkToFit="1"/>
    </xf>
    <xf numFmtId="166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6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166" fontId="13" fillId="0" borderId="1" xfId="1" applyFont="1" applyBorder="1"/>
    <xf numFmtId="0" fontId="14" fillId="0" borderId="1" xfId="0" applyFont="1" applyBorder="1"/>
    <xf numFmtId="171" fontId="9" fillId="0" borderId="0" xfId="2" applyNumberFormat="1" applyFont="1" applyFill="1" applyBorder="1" applyAlignment="1">
      <alignment shrinkToFit="1"/>
    </xf>
    <xf numFmtId="166" fontId="9" fillId="0" borderId="0" xfId="1" applyFont="1" applyFill="1" applyBorder="1" applyAlignment="1">
      <alignment shrinkToFit="1"/>
    </xf>
    <xf numFmtId="166" fontId="7" fillId="0" borderId="0" xfId="1" applyFont="1" applyAlignment="1">
      <alignment vertical="center"/>
    </xf>
    <xf numFmtId="166" fontId="0" fillId="0" borderId="0" xfId="1" applyFont="1" applyAlignment="1">
      <alignment horizontal="center" vertical="center"/>
    </xf>
    <xf numFmtId="171" fontId="0" fillId="0" borderId="1" xfId="0" applyNumberFormat="1" applyBorder="1"/>
    <xf numFmtId="167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170" fontId="11" fillId="3" borderId="6" xfId="2" applyNumberFormat="1" applyFont="1" applyFill="1" applyBorder="1" applyAlignment="1">
      <alignment horizontal="center" vertical="center" shrinkToFit="1"/>
    </xf>
    <xf numFmtId="170" fontId="11" fillId="3" borderId="1" xfId="0" applyNumberFormat="1" applyFont="1" applyFill="1" applyBorder="1" applyAlignment="1">
      <alignment horizontal="center" shrinkToFit="1"/>
    </xf>
    <xf numFmtId="0" fontId="11" fillId="0" borderId="1" xfId="0" applyFont="1" applyBorder="1" applyAlignment="1">
      <alignment horizontal="center" vertical="center" shrinkToFit="1"/>
    </xf>
    <xf numFmtId="2" fontId="11" fillId="0" borderId="1" xfId="0" applyNumberFormat="1" applyFont="1" applyBorder="1" applyAlignment="1">
      <alignment horizontal="center" vertical="center" shrinkToFit="1"/>
    </xf>
    <xf numFmtId="1" fontId="0" fillId="0" borderId="0" xfId="0" applyNumberFormat="1"/>
    <xf numFmtId="7" fontId="11" fillId="0" borderId="1" xfId="1" applyNumberFormat="1" applyFont="1" applyFill="1" applyBorder="1" applyAlignment="1">
      <alignment horizontal="center" shrinkToFit="1"/>
    </xf>
    <xf numFmtId="171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41" fontId="15" fillId="0" borderId="0" xfId="0" applyNumberFormat="1" applyFont="1"/>
    <xf numFmtId="41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7" fontId="16" fillId="0" borderId="0" xfId="1" applyNumberFormat="1" applyFont="1" applyFill="1" applyBorder="1" applyAlignment="1">
      <alignment horizontal="center" shrinkToFit="1"/>
    </xf>
    <xf numFmtId="44" fontId="8" fillId="0" borderId="0" xfId="2" applyNumberFormat="1" applyFont="1" applyFill="1" applyBorder="1" applyAlignment="1">
      <alignment shrinkToFit="1"/>
    </xf>
    <xf numFmtId="0" fontId="0" fillId="0" borderId="0" xfId="1" applyNumberFormat="1" applyFont="1"/>
    <xf numFmtId="43" fontId="11" fillId="0" borderId="7" xfId="1" applyNumberFormat="1" applyFont="1" applyFill="1" applyBorder="1" applyAlignment="1">
      <alignment horizontal="center" shrinkToFit="1"/>
    </xf>
    <xf numFmtId="167" fontId="11" fillId="0" borderId="8" xfId="1" applyNumberFormat="1" applyFont="1" applyFill="1" applyBorder="1" applyAlignment="1">
      <alignment horizontal="center" shrinkToFit="1"/>
    </xf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66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</cellXfs>
  <cellStyles count="5">
    <cellStyle name="Comma" xfId="1" builtinId="3"/>
    <cellStyle name="Comma [0]" xfId="2" builtinId="6"/>
    <cellStyle name="Comma 4" xfId="4" xr:uid="{00000000-0005-0000-0000-000002000000}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workbookViewId="0">
      <pane xSplit="1" ySplit="1" topLeftCell="B2" activePane="bottomRight" state="frozen"/>
      <selection pane="bottomRight" activeCell="D9" sqref="D9"/>
      <selection pane="bottomLeft" activeCell="A2" sqref="A2"/>
      <selection pane="topRight" activeCell="B1" sqref="B1"/>
    </sheetView>
  </sheetViews>
  <sheetFormatPr defaultRowHeight="15"/>
  <cols>
    <col min="1" max="1" width="12.7109375" bestFit="1" customWidth="1"/>
    <col min="2" max="2" width="4.28515625" bestFit="1" customWidth="1"/>
    <col min="3" max="3" width="7" bestFit="1" customWidth="1"/>
    <col min="4" max="4" width="5" bestFit="1" customWidth="1"/>
    <col min="5" max="5" width="10.7109375" customWidth="1"/>
    <col min="6" max="6" width="12.140625" customWidth="1"/>
    <col min="7" max="7" width="8.42578125" bestFit="1" customWidth="1"/>
    <col min="8" max="8" width="11.5703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>
      <c r="A2" s="6" t="s">
        <v>14</v>
      </c>
      <c r="B2" s="7">
        <v>1</v>
      </c>
      <c r="C2" s="8">
        <v>1</v>
      </c>
      <c r="D2" s="7">
        <v>2019</v>
      </c>
      <c r="E2" s="9">
        <f>Electricity!F8+Electricity!I8</f>
        <v>11199.999999999818</v>
      </c>
      <c r="F2" s="10">
        <f>Electricity!L8/TOTAL!E2</f>
        <v>1242.7849107142858</v>
      </c>
      <c r="G2" s="9">
        <f>Gas!F9+Gas!I9+Gas!L9+Gas!O9</f>
        <v>112.74392217898833</v>
      </c>
      <c r="H2" s="10">
        <f>Gas!Q9/TOTAL!G2</f>
        <v>15840</v>
      </c>
      <c r="I2" s="9">
        <f>'Fuel Diesel'!F9</f>
        <v>105</v>
      </c>
      <c r="J2" s="11">
        <f>'Fuel Diesel'!G9/'Fuel Diesel'!F9</f>
        <v>10700</v>
      </c>
      <c r="K2" s="9">
        <f>Water!E9+Water!G9+Water!I9</f>
        <v>320</v>
      </c>
      <c r="L2" s="10">
        <f>Water!K9/TOTAL!K2</f>
        <v>6784.7687500000002</v>
      </c>
      <c r="M2" s="9">
        <f>Electricity!C8</f>
        <v>35</v>
      </c>
      <c r="N2" s="9">
        <f>Electricity!D8</f>
        <v>217</v>
      </c>
    </row>
    <row r="3" spans="1:14">
      <c r="A3" s="6" t="s">
        <v>14</v>
      </c>
      <c r="B3" s="7">
        <f>B2+1</f>
        <v>2</v>
      </c>
      <c r="C3" s="8">
        <v>1</v>
      </c>
      <c r="D3" s="7">
        <v>2019</v>
      </c>
      <c r="E3" s="9">
        <f>Electricity!F9+Electricity!I9</f>
        <v>10680.000000000291</v>
      </c>
      <c r="F3" s="10">
        <f>Electricity!L9/TOTAL!E3</f>
        <v>1241.4365168539339</v>
      </c>
      <c r="G3" s="9">
        <f>Gas!F10+Gas!I10+Gas!L10+Gas!O10</f>
        <v>104.29406652441321</v>
      </c>
      <c r="H3" s="10">
        <f>Gas!Q10/TOTAL!G3</f>
        <v>15840.000000000002</v>
      </c>
      <c r="I3" s="9">
        <f>'Fuel Diesel'!F10</f>
        <v>0</v>
      </c>
      <c r="J3" s="11" t="e">
        <f>'Fuel Diesel'!G10/'Fuel Diesel'!F10</f>
        <v>#DIV/0!</v>
      </c>
      <c r="K3" s="9">
        <f>Water!E10+Water!G10+Water!I10</f>
        <v>314</v>
      </c>
      <c r="L3" s="10">
        <f>Water!K10/TOTAL!K3</f>
        <v>7936.5541401273886</v>
      </c>
      <c r="M3" s="9">
        <f>Electricity!C9</f>
        <v>37</v>
      </c>
      <c r="N3" s="9">
        <f>Electricity!D9</f>
        <v>200</v>
      </c>
    </row>
    <row r="4" spans="1:14">
      <c r="A4" s="6" t="s">
        <v>14</v>
      </c>
      <c r="B4" s="7">
        <f t="shared" ref="B4:B30" si="0">B3+1</f>
        <v>3</v>
      </c>
      <c r="C4" s="8">
        <v>1</v>
      </c>
      <c r="D4" s="7">
        <v>2019</v>
      </c>
      <c r="E4" s="9">
        <f>Electricity!F10+Electricity!I10</f>
        <v>11079.999999999018</v>
      </c>
      <c r="F4" s="10">
        <f>Electricity!L10/TOTAL!E4</f>
        <v>1239.7962996390002</v>
      </c>
      <c r="G4" s="9">
        <f>Gas!F11+Gas!I11+Gas!L11+Gas!O11</f>
        <v>126.1642811597841</v>
      </c>
      <c r="H4" s="10">
        <f>Gas!Q11/TOTAL!G4</f>
        <v>15840.000000000002</v>
      </c>
      <c r="I4" s="9">
        <f>'Fuel Diesel'!F11</f>
        <v>0</v>
      </c>
      <c r="J4" s="11" t="e">
        <f>'Fuel Diesel'!G11/'Fuel Diesel'!F11</f>
        <v>#DIV/0!</v>
      </c>
      <c r="K4" s="9">
        <f>Water!E11+Water!G11+Water!I11</f>
        <v>307</v>
      </c>
      <c r="L4" s="10">
        <f>Water!K11/TOTAL!K4</f>
        <v>8588.1237785016292</v>
      </c>
      <c r="M4" s="9">
        <f>Electricity!C10</f>
        <v>42</v>
      </c>
      <c r="N4" s="9">
        <f>Electricity!D10</f>
        <v>244</v>
      </c>
    </row>
    <row r="5" spans="1:14">
      <c r="A5" s="6" t="s">
        <v>14</v>
      </c>
      <c r="B5" s="7">
        <f t="shared" si="0"/>
        <v>4</v>
      </c>
      <c r="C5" s="8">
        <v>1</v>
      </c>
      <c r="D5" s="7">
        <v>2019</v>
      </c>
      <c r="E5" s="9">
        <f>Electricity!F11+Electricity!I11</f>
        <v>10860.000000001037</v>
      </c>
      <c r="F5" s="10">
        <f>Electricity!L11/TOTAL!E5</f>
        <v>1242.8860497237481</v>
      </c>
      <c r="G5" s="9">
        <f>Gas!F12+Gas!I12+Gas!L12+Gas!O12</f>
        <v>116.72032483996486</v>
      </c>
      <c r="H5" s="10">
        <f>Gas!Q12/TOTAL!G5</f>
        <v>15840.000000000002</v>
      </c>
      <c r="I5" s="9">
        <f>'Fuel Diesel'!F12</f>
        <v>0</v>
      </c>
      <c r="J5" s="11" t="e">
        <f>'Fuel Diesel'!G12/'Fuel Diesel'!F12</f>
        <v>#DIV/0!</v>
      </c>
      <c r="K5" s="9">
        <f>Water!E12+Water!G12+Water!I12</f>
        <v>303</v>
      </c>
      <c r="L5" s="10">
        <f>Water!K12/TOTAL!K5</f>
        <v>7162.3762376237628</v>
      </c>
      <c r="M5" s="9">
        <f>Electricity!C11</f>
        <v>47</v>
      </c>
      <c r="N5" s="9">
        <f>Electricity!D11</f>
        <v>225</v>
      </c>
    </row>
    <row r="6" spans="1:14">
      <c r="A6" s="6" t="s">
        <v>14</v>
      </c>
      <c r="B6" s="7">
        <f t="shared" si="0"/>
        <v>5</v>
      </c>
      <c r="C6" s="8">
        <v>1</v>
      </c>
      <c r="D6" s="7">
        <v>2019</v>
      </c>
      <c r="E6" s="9">
        <f>Electricity!F12+Electricity!I12</f>
        <v>10219.9999999998</v>
      </c>
      <c r="F6" s="10">
        <f>Electricity!L12/TOTAL!E6</f>
        <v>1240.4722602739837</v>
      </c>
      <c r="G6" s="9">
        <f>Gas!F13+Gas!I13+Gas!L13+Gas!O13</f>
        <v>156.48435144973013</v>
      </c>
      <c r="H6" s="10">
        <f>Gas!Q13/TOTAL!G6</f>
        <v>15840.000000000004</v>
      </c>
      <c r="I6" s="9">
        <f>'Fuel Diesel'!F13</f>
        <v>0</v>
      </c>
      <c r="J6" s="11" t="e">
        <f>'Fuel Diesel'!G13/'Fuel Diesel'!F13</f>
        <v>#DIV/0!</v>
      </c>
      <c r="K6" s="9">
        <f>Water!E13+Water!G13+Water!I13</f>
        <v>318</v>
      </c>
      <c r="L6" s="10">
        <f>Water!K13/TOTAL!K6</f>
        <v>8248.6226415094334</v>
      </c>
      <c r="M6" s="9">
        <f>Electricity!C12</f>
        <v>42</v>
      </c>
      <c r="N6" s="9">
        <f>Electricity!D12</f>
        <v>305</v>
      </c>
    </row>
    <row r="7" spans="1:14">
      <c r="A7" s="6" t="s">
        <v>14</v>
      </c>
      <c r="B7" s="7">
        <f t="shared" si="0"/>
        <v>6</v>
      </c>
      <c r="C7" s="8">
        <v>1</v>
      </c>
      <c r="D7" s="7">
        <v>2019</v>
      </c>
      <c r="E7" s="9">
        <f>Electricity!F13+Electricity!I13</f>
        <v>10180.000000000291</v>
      </c>
      <c r="F7" s="10">
        <f>Electricity!L13/TOTAL!E7</f>
        <v>1246.4653241650306</v>
      </c>
      <c r="G7" s="9">
        <f>Gas!F14+Gas!I14+Gas!L14+Gas!O14</f>
        <v>139.58464014057989</v>
      </c>
      <c r="H7" s="10">
        <f>Gas!Q14/TOTAL!G7</f>
        <v>15840.000000000002</v>
      </c>
      <c r="I7" s="9">
        <f>'Fuel Diesel'!F14</f>
        <v>0</v>
      </c>
      <c r="J7" s="11" t="e">
        <f>'Fuel Diesel'!G14/'Fuel Diesel'!F14</f>
        <v>#DIV/0!</v>
      </c>
      <c r="K7" s="9">
        <f>Water!E14+Water!G14+Water!I14</f>
        <v>318</v>
      </c>
      <c r="L7" s="10">
        <f>Water!K14/TOTAL!K7</f>
        <v>7073.4716981132078</v>
      </c>
      <c r="M7" s="9">
        <f>Electricity!C13</f>
        <v>49</v>
      </c>
      <c r="N7" s="9">
        <f>Electricity!D13</f>
        <v>271</v>
      </c>
    </row>
    <row r="8" spans="1:14">
      <c r="A8" s="6" t="s">
        <v>14</v>
      </c>
      <c r="B8" s="7">
        <f t="shared" si="0"/>
        <v>7</v>
      </c>
      <c r="C8" s="8">
        <v>1</v>
      </c>
      <c r="D8" s="7">
        <v>2019</v>
      </c>
      <c r="E8" s="9">
        <f>Electricity!F14+Electricity!I14</f>
        <v>10719.99999999889</v>
      </c>
      <c r="F8" s="10">
        <f>Electricity!L14/TOTAL!E8</f>
        <v>1241.0544776119309</v>
      </c>
      <c r="G8" s="9">
        <f>Gas!F15+Gas!I15+Gas!L15+Gas!O15</f>
        <v>146.5433447972888</v>
      </c>
      <c r="H8" s="10">
        <f>Gas!Q15/TOTAL!G8</f>
        <v>15840.000000000005</v>
      </c>
      <c r="I8" s="9">
        <f>'Fuel Diesel'!F15</f>
        <v>0</v>
      </c>
      <c r="J8" s="11" t="e">
        <f>'Fuel Diesel'!G15/'Fuel Diesel'!F15</f>
        <v>#DIV/0!</v>
      </c>
      <c r="K8" s="9">
        <f>Water!E15+Water!G15+Water!I15</f>
        <v>322</v>
      </c>
      <c r="L8" s="10">
        <f>Water!K15/TOTAL!K8</f>
        <v>7749.478260869565</v>
      </c>
      <c r="M8" s="9">
        <f>Electricity!C14</f>
        <v>45</v>
      </c>
      <c r="N8" s="9">
        <f>Electricity!D14</f>
        <v>285</v>
      </c>
    </row>
    <row r="9" spans="1:14">
      <c r="A9" s="6" t="s">
        <v>14</v>
      </c>
      <c r="B9" s="7">
        <f t="shared" si="0"/>
        <v>8</v>
      </c>
      <c r="C9" s="8">
        <v>1</v>
      </c>
      <c r="D9" s="7">
        <v>2019</v>
      </c>
      <c r="E9" s="9">
        <f>Electricity!F15+Electricity!I15</f>
        <v>10900.000000001</v>
      </c>
      <c r="F9" s="10">
        <f>Electricity!L15/TOTAL!E9</f>
        <v>1240.4149999999938</v>
      </c>
      <c r="G9" s="9">
        <f>Gas!F16+Gas!I16+Gas!L16+Gas!O16</f>
        <v>120.19967716831934</v>
      </c>
      <c r="H9" s="10">
        <f>Gas!Q16/TOTAL!G9</f>
        <v>15840.000000000002</v>
      </c>
      <c r="I9" s="9">
        <f>'Fuel Diesel'!F16</f>
        <v>50</v>
      </c>
      <c r="J9" s="11">
        <f>'Fuel Diesel'!G16/'Fuel Diesel'!F16</f>
        <v>10700</v>
      </c>
      <c r="K9" s="9">
        <f>Water!E16+Water!G16+Water!I16</f>
        <v>318</v>
      </c>
      <c r="L9" s="10">
        <f>Water!K16/TOTAL!K9</f>
        <v>6922.8113207547167</v>
      </c>
      <c r="M9" s="9">
        <f>Electricity!C15</f>
        <v>41</v>
      </c>
      <c r="N9" s="9">
        <f>Electricity!D15</f>
        <v>232</v>
      </c>
    </row>
    <row r="10" spans="1:14">
      <c r="A10" s="6" t="s">
        <v>14</v>
      </c>
      <c r="B10" s="7">
        <f t="shared" si="0"/>
        <v>9</v>
      </c>
      <c r="C10" s="8">
        <v>1</v>
      </c>
      <c r="D10" s="7">
        <v>2019</v>
      </c>
      <c r="E10" s="9">
        <f>Electricity!F16+Electricity!I16</f>
        <v>10440.000000000509</v>
      </c>
      <c r="F10" s="10">
        <f>Electricity!L16/TOTAL!E10</f>
        <v>1239.4260536398499</v>
      </c>
      <c r="G10" s="9">
        <f>Gas!F17+Gas!I17+Gas!L17+Gas!O17</f>
        <v>108.27046918538974</v>
      </c>
      <c r="H10" s="10">
        <f>Gas!Q17/TOTAL!G10</f>
        <v>15840.000000000002</v>
      </c>
      <c r="I10" s="9">
        <f>'Fuel Diesel'!F17</f>
        <v>0</v>
      </c>
      <c r="J10" s="11" t="e">
        <f>'Fuel Diesel'!G17/'Fuel Diesel'!F17</f>
        <v>#DIV/0!</v>
      </c>
      <c r="K10" s="9">
        <f>Water!E17+Water!G17+Water!I17</f>
        <v>298</v>
      </c>
      <c r="L10" s="10">
        <f>Water!K17/TOTAL!K10</f>
        <v>6893.8926174496646</v>
      </c>
      <c r="M10" s="9">
        <f>Electricity!C16</f>
        <v>38</v>
      </c>
      <c r="N10" s="9">
        <f>Electricity!D16</f>
        <v>208</v>
      </c>
    </row>
    <row r="11" spans="1:14">
      <c r="A11" s="6" t="s">
        <v>14</v>
      </c>
      <c r="B11" s="7">
        <f t="shared" si="0"/>
        <v>10</v>
      </c>
      <c r="C11" s="8">
        <v>1</v>
      </c>
      <c r="D11" s="7">
        <v>2019</v>
      </c>
      <c r="E11" s="9">
        <f>Electricity!F17+Electricity!I17</f>
        <v>10559.999999998581</v>
      </c>
      <c r="F11" s="10">
        <f>Electricity!L17/TOTAL!E11</f>
        <v>1240.442708333353</v>
      </c>
      <c r="G11" s="9">
        <f>Gas!F18+Gas!I18+Gas!L18+Gas!O18</f>
        <v>182.82801907869964</v>
      </c>
      <c r="H11" s="10">
        <f>Gas!Q18/TOTAL!G11</f>
        <v>15840.000000000004</v>
      </c>
      <c r="I11" s="9">
        <f>'Fuel Diesel'!F18</f>
        <v>0</v>
      </c>
      <c r="J11" s="11" t="e">
        <f>'Fuel Diesel'!G18/'Fuel Diesel'!F18</f>
        <v>#DIV/0!</v>
      </c>
      <c r="K11" s="9">
        <f>Water!E18+Water!G18+Water!I18</f>
        <v>333</v>
      </c>
      <c r="L11" s="10">
        <f>Water!K18/TOTAL!K11</f>
        <v>7452.9729729729734</v>
      </c>
      <c r="M11" s="9">
        <f>Electricity!C17</f>
        <v>49</v>
      </c>
      <c r="N11" s="9">
        <f>Electricity!D17</f>
        <v>358</v>
      </c>
    </row>
    <row r="12" spans="1:14">
      <c r="A12" s="6" t="s">
        <v>14</v>
      </c>
      <c r="B12" s="7">
        <f t="shared" si="0"/>
        <v>11</v>
      </c>
      <c r="C12" s="8">
        <v>1</v>
      </c>
      <c r="D12" s="7">
        <v>2019</v>
      </c>
      <c r="E12" s="9">
        <f>Electricity!F18+Electricity!I18</f>
        <v>10759.999999999764</v>
      </c>
      <c r="F12" s="10">
        <f>Electricity!L18/TOTAL!E12</f>
        <v>1232.206505576198</v>
      </c>
      <c r="G12" s="9">
        <f>Gas!F19+Gas!I19+Gas!L19+Gas!O19</f>
        <v>118.70852617045313</v>
      </c>
      <c r="H12" s="10">
        <f>Gas!Q19/TOTAL!G12</f>
        <v>15839.999999999998</v>
      </c>
      <c r="I12" s="9">
        <f>'Fuel Diesel'!F19</f>
        <v>0</v>
      </c>
      <c r="J12" s="11" t="e">
        <f>'Fuel Diesel'!G19/'Fuel Diesel'!F19</f>
        <v>#DIV/0!</v>
      </c>
      <c r="K12" s="9">
        <f>Water!E19+Water!G19+Water!I19</f>
        <v>341</v>
      </c>
      <c r="L12" s="10">
        <f>Water!K19/TOTAL!K12</f>
        <v>7793.4604105571843</v>
      </c>
      <c r="M12" s="9">
        <f>Electricity!C18</f>
        <v>55</v>
      </c>
      <c r="N12" s="9">
        <f>Electricity!D18</f>
        <v>229</v>
      </c>
    </row>
    <row r="13" spans="1:14">
      <c r="A13" s="6" t="s">
        <v>14</v>
      </c>
      <c r="B13" s="7">
        <f t="shared" si="0"/>
        <v>12</v>
      </c>
      <c r="C13" s="8">
        <v>1</v>
      </c>
      <c r="D13" s="7">
        <v>2019</v>
      </c>
      <c r="E13" s="9">
        <f>Electricity!F19+Electricity!I19</f>
        <v>10619.999999999891</v>
      </c>
      <c r="F13" s="10">
        <f>Electricity!L19/TOTAL!E13</f>
        <v>1239.8698681732651</v>
      </c>
      <c r="G13" s="9">
        <f>Gas!F20+Gas!I20+Gas!L20+Gas!O20</f>
        <v>129.14658315551651</v>
      </c>
      <c r="H13" s="10">
        <f>Gas!Q20/TOTAL!G13</f>
        <v>15840.000000000004</v>
      </c>
      <c r="I13" s="9">
        <f>'Fuel Diesel'!F20</f>
        <v>0</v>
      </c>
      <c r="J13" s="11" t="e">
        <f>'Fuel Diesel'!G20/'Fuel Diesel'!F20</f>
        <v>#DIV/0!</v>
      </c>
      <c r="K13" s="9">
        <f>Water!E20+Water!G20+Water!I20</f>
        <v>356</v>
      </c>
      <c r="L13" s="10">
        <f>Water!K20/TOTAL!K13</f>
        <v>9060.1573033707864</v>
      </c>
      <c r="M13" s="9">
        <f>Electricity!C19</f>
        <v>52</v>
      </c>
      <c r="N13" s="9">
        <f>Electricity!D19</f>
        <v>250</v>
      </c>
    </row>
    <row r="14" spans="1:14">
      <c r="A14" s="6" t="s">
        <v>14</v>
      </c>
      <c r="B14" s="7">
        <f t="shared" si="0"/>
        <v>13</v>
      </c>
      <c r="C14" s="8">
        <v>1</v>
      </c>
      <c r="D14" s="7">
        <v>2019</v>
      </c>
      <c r="E14" s="9">
        <f>Electricity!F20+Electricity!I20</f>
        <v>10500.000000000909</v>
      </c>
      <c r="F14" s="10">
        <f>Electricity!L20/TOTAL!E14</f>
        <v>1241.0220952380923</v>
      </c>
      <c r="G14" s="9">
        <f>Gas!F21+Gas!I21+Gas!L21+Gas!O21</f>
        <v>105.59162018325593</v>
      </c>
      <c r="H14" s="10">
        <f>Gas!Q21/TOTAL!G14</f>
        <v>15839.999999999998</v>
      </c>
      <c r="I14" s="9">
        <f>'Fuel Diesel'!F21</f>
        <v>0</v>
      </c>
      <c r="J14" s="11" t="e">
        <f>'Fuel Diesel'!G21/'Fuel Diesel'!F21</f>
        <v>#DIV/0!</v>
      </c>
      <c r="K14" s="9">
        <f>Water!E21+Water!G21+Water!I21</f>
        <v>377</v>
      </c>
      <c r="L14" s="10">
        <f>Water!K21/TOTAL!K14</f>
        <v>8574.9602122015913</v>
      </c>
      <c r="M14" s="9">
        <f>Electricity!C20</f>
        <v>37</v>
      </c>
      <c r="N14" s="9">
        <f>Electricity!D20</f>
        <v>211</v>
      </c>
    </row>
    <row r="15" spans="1:14">
      <c r="A15" s="6" t="s">
        <v>14</v>
      </c>
      <c r="B15" s="7">
        <f t="shared" si="0"/>
        <v>14</v>
      </c>
      <c r="C15" s="8">
        <v>1</v>
      </c>
      <c r="D15" s="7">
        <v>2019</v>
      </c>
      <c r="E15" s="9">
        <f>Electricity!F21+Electricity!I21</f>
        <v>10679.999999999836</v>
      </c>
      <c r="F15" s="10">
        <f>Electricity!L21/TOTAL!E15</f>
        <v>1242.5030430711656</v>
      </c>
      <c r="G15" s="9">
        <f>Gas!F22+Gas!I22+Gas!L22+Gas!O22</f>
        <v>112.24687184636626</v>
      </c>
      <c r="H15" s="10">
        <f>Gas!Q22/TOTAL!G15</f>
        <v>15840</v>
      </c>
      <c r="I15" s="9">
        <f>'Fuel Diesel'!F22</f>
        <v>0</v>
      </c>
      <c r="J15" s="11" t="e">
        <f>'Fuel Diesel'!G22/'Fuel Diesel'!F22</f>
        <v>#DIV/0!</v>
      </c>
      <c r="K15" s="9">
        <f>Water!E22+Water!G22+Water!I22</f>
        <v>318</v>
      </c>
      <c r="L15" s="10">
        <f>Water!K22/TOTAL!K15</f>
        <v>8097.9622641509432</v>
      </c>
      <c r="M15" s="9">
        <f>Electricity!C21</f>
        <v>39</v>
      </c>
      <c r="N15" s="9">
        <f>Electricity!D21</f>
        <v>216</v>
      </c>
    </row>
    <row r="16" spans="1:14">
      <c r="A16" s="6" t="s">
        <v>14</v>
      </c>
      <c r="B16" s="7">
        <f t="shared" si="0"/>
        <v>15</v>
      </c>
      <c r="C16" s="8">
        <v>1</v>
      </c>
      <c r="D16" s="7">
        <v>2019</v>
      </c>
      <c r="E16" s="9">
        <f>Electricity!F22+Electricity!I22</f>
        <v>10680.000000001201</v>
      </c>
      <c r="F16" s="10">
        <f>Electricity!L22/TOTAL!E16</f>
        <v>1243.5695692883796</v>
      </c>
      <c r="G16" s="9">
        <f>Gas!F23+Gas!I23+Gas!L23+Gas!O23</f>
        <v>124.17607982929586</v>
      </c>
      <c r="H16" s="10">
        <f>Gas!Q23/TOTAL!G16</f>
        <v>15840</v>
      </c>
      <c r="I16" s="9">
        <f>'Fuel Diesel'!F23</f>
        <v>50</v>
      </c>
      <c r="J16" s="11">
        <f>'Fuel Diesel'!G23/'Fuel Diesel'!F23</f>
        <v>10700</v>
      </c>
      <c r="K16" s="9">
        <f>Water!E23+Water!G23+Water!I23</f>
        <v>318</v>
      </c>
      <c r="L16" s="10">
        <f>Water!K23/TOTAL!K16</f>
        <v>7224.132075471698</v>
      </c>
      <c r="M16" s="9">
        <f>Electricity!C22</f>
        <v>47</v>
      </c>
      <c r="N16" s="9">
        <f>Electricity!D22</f>
        <v>240</v>
      </c>
    </row>
    <row r="17" spans="1:14">
      <c r="A17" s="6" t="s">
        <v>14</v>
      </c>
      <c r="B17" s="7">
        <f t="shared" si="0"/>
        <v>16</v>
      </c>
      <c r="C17" s="8">
        <v>1</v>
      </c>
      <c r="D17" s="7">
        <v>2019</v>
      </c>
      <c r="E17" s="9">
        <f>Electricity!F23+Electricity!I23</f>
        <v>10939.9999999996</v>
      </c>
      <c r="F17" s="10">
        <f>Electricity!L23/TOTAL!E17</f>
        <v>1240.0443784277709</v>
      </c>
      <c r="G17" s="9">
        <f>Gas!F24+Gas!I24+Gas!L24+Gas!O24</f>
        <v>146.04629446466674</v>
      </c>
      <c r="H17" s="10">
        <f>Gas!Q24/TOTAL!G17</f>
        <v>15840.000000000004</v>
      </c>
      <c r="I17" s="9">
        <f>'Fuel Diesel'!F24</f>
        <v>0</v>
      </c>
      <c r="J17" s="11" t="e">
        <f>'Fuel Diesel'!G24/'Fuel Diesel'!F24</f>
        <v>#DIV/0!</v>
      </c>
      <c r="K17" s="9">
        <f>Water!E24+Water!G24+Water!I24</f>
        <v>406</v>
      </c>
      <c r="L17" s="10">
        <f>Water!K24/TOTAL!K17</f>
        <v>8295.3793103448279</v>
      </c>
      <c r="M17" s="9">
        <f>Electricity!C23</f>
        <v>48</v>
      </c>
      <c r="N17" s="9">
        <f>Electricity!D23</f>
        <v>284</v>
      </c>
    </row>
    <row r="18" spans="1:14">
      <c r="A18" s="6" t="s">
        <v>14</v>
      </c>
      <c r="B18" s="7">
        <f t="shared" si="0"/>
        <v>17</v>
      </c>
      <c r="C18" s="8">
        <v>1</v>
      </c>
      <c r="D18" s="7">
        <v>2019</v>
      </c>
      <c r="E18" s="9">
        <f>Electricity!F24+Electricity!I24</f>
        <v>10999.999999998636</v>
      </c>
      <c r="F18" s="10">
        <f>Electricity!L24/TOTAL!E18</f>
        <v>1241.5645000000136</v>
      </c>
      <c r="G18" s="9">
        <f>Gas!F25+Gas!I25+Gas!L25+Gas!O25</f>
        <v>155.49025078448599</v>
      </c>
      <c r="H18" s="10">
        <f>Gas!Q25/TOTAL!G18</f>
        <v>15840.000000000004</v>
      </c>
      <c r="I18" s="9">
        <f>'Fuel Diesel'!F25</f>
        <v>0</v>
      </c>
      <c r="J18" s="11" t="e">
        <f>'Fuel Diesel'!G25/'Fuel Diesel'!F25</f>
        <v>#DIV/0!</v>
      </c>
      <c r="K18" s="9">
        <f>Water!E25+Water!G25+Water!I25</f>
        <v>393</v>
      </c>
      <c r="L18" s="10">
        <f>Water!K25/TOTAL!K18</f>
        <v>8266.7938931297704</v>
      </c>
      <c r="M18" s="9">
        <f>Electricity!C24</f>
        <v>47</v>
      </c>
      <c r="N18" s="9">
        <f>Electricity!D24</f>
        <v>303</v>
      </c>
    </row>
    <row r="19" spans="1:14">
      <c r="A19" s="6" t="s">
        <v>14</v>
      </c>
      <c r="B19" s="7">
        <f t="shared" si="0"/>
        <v>18</v>
      </c>
      <c r="C19" s="8">
        <v>1</v>
      </c>
      <c r="D19" s="7">
        <v>2019</v>
      </c>
      <c r="E19" s="9">
        <f>Electricity!F25+Electricity!I25</f>
        <v>11420.000000000073</v>
      </c>
      <c r="F19" s="10">
        <f>Electricity!L25/TOTAL!E19</f>
        <v>1243.7787653240105</v>
      </c>
      <c r="G19" s="9">
        <f>Gas!F26+Gas!I26+Gas!L26+Gas!O26</f>
        <v>136.60233814484747</v>
      </c>
      <c r="H19" s="10">
        <f>Gas!Q26/TOTAL!G19</f>
        <v>15840.000000000004</v>
      </c>
      <c r="I19" s="9">
        <f>'Fuel Diesel'!F26</f>
        <v>0</v>
      </c>
      <c r="J19" s="11" t="e">
        <f>'Fuel Diesel'!G26/'Fuel Diesel'!F26</f>
        <v>#DIV/0!</v>
      </c>
      <c r="K19" s="9">
        <f>Water!E26+Water!G26+Water!I26</f>
        <v>260</v>
      </c>
      <c r="L19" s="10">
        <f>Water!K26/TOTAL!K19</f>
        <v>9712.3461538461543</v>
      </c>
      <c r="M19" s="9">
        <f>Electricity!C25</f>
        <v>46</v>
      </c>
      <c r="N19" s="9">
        <f>Electricity!D25</f>
        <v>265</v>
      </c>
    </row>
    <row r="20" spans="1:14">
      <c r="A20" s="6" t="s">
        <v>14</v>
      </c>
      <c r="B20" s="7">
        <f t="shared" si="0"/>
        <v>19</v>
      </c>
      <c r="C20" s="8">
        <v>1</v>
      </c>
      <c r="D20" s="7">
        <v>2019</v>
      </c>
      <c r="E20" s="9">
        <f>Electricity!F26+Electricity!I26</f>
        <v>11300.000000001091</v>
      </c>
      <c r="F20" s="10">
        <f>Electricity!L26/TOTAL!E20</f>
        <v>1243.8829203539685</v>
      </c>
      <c r="G20" s="9">
        <f>Gas!F27+Gas!I27+Gas!L27+Gas!O27</f>
        <v>155.98730111710805</v>
      </c>
      <c r="H20" s="10">
        <f>Gas!Q27/TOTAL!G20</f>
        <v>15840.000000000004</v>
      </c>
      <c r="I20" s="9">
        <f>'Fuel Diesel'!F27</f>
        <v>0</v>
      </c>
      <c r="J20" s="11" t="e">
        <f>'Fuel Diesel'!G27/'Fuel Diesel'!F27</f>
        <v>#DIV/0!</v>
      </c>
      <c r="K20" s="9">
        <f>Water!E27+Water!G27+Water!I27</f>
        <v>300</v>
      </c>
      <c r="L20" s="10">
        <f>Water!K27/TOTAL!K20</f>
        <v>8695.18</v>
      </c>
      <c r="M20" s="9">
        <f>Electricity!C26</f>
        <v>51</v>
      </c>
      <c r="N20" s="9">
        <f>Electricity!D26</f>
        <v>304</v>
      </c>
    </row>
    <row r="21" spans="1:14">
      <c r="A21" s="6" t="s">
        <v>14</v>
      </c>
      <c r="B21" s="7">
        <f t="shared" si="0"/>
        <v>20</v>
      </c>
      <c r="C21" s="8">
        <v>1</v>
      </c>
      <c r="D21" s="7">
        <v>2019</v>
      </c>
      <c r="E21" s="9">
        <f>Electricity!F27+Electricity!I27</f>
        <v>11339.999999999236</v>
      </c>
      <c r="F21" s="10">
        <f>Electricity!L27/TOTAL!E21</f>
        <v>1241.5042328042382</v>
      </c>
      <c r="G21" s="9">
        <f>Gas!F28+Gas!I28+Gas!L28+Gas!O28</f>
        <v>151.81730111710806</v>
      </c>
      <c r="H21" s="10">
        <f>Gas!Q28/TOTAL!G21</f>
        <v>15840.000000000004</v>
      </c>
      <c r="I21" s="9">
        <f>'Fuel Diesel'!F28</f>
        <v>0</v>
      </c>
      <c r="J21" s="11" t="e">
        <f>'Fuel Diesel'!G28/'Fuel Diesel'!F28</f>
        <v>#DIV/0!</v>
      </c>
      <c r="K21" s="9">
        <f>Water!E28+Water!G28+Water!I28</f>
        <v>316</v>
      </c>
      <c r="L21" s="10">
        <f>Water!K28/TOTAL!K21</f>
        <v>8609.0632911392404</v>
      </c>
      <c r="M21" s="9">
        <f>Electricity!C27</f>
        <v>50</v>
      </c>
      <c r="N21" s="9">
        <f>Electricity!D27</f>
        <v>304</v>
      </c>
    </row>
    <row r="22" spans="1:14">
      <c r="A22" s="6" t="s">
        <v>14</v>
      </c>
      <c r="B22" s="7">
        <f t="shared" si="0"/>
        <v>21</v>
      </c>
      <c r="C22" s="8">
        <v>1</v>
      </c>
      <c r="D22" s="7">
        <v>2019</v>
      </c>
      <c r="E22" s="9">
        <f>Electricity!F28+Electricity!I28</f>
        <v>11180.000000000291</v>
      </c>
      <c r="F22" s="10">
        <f>Electricity!L28/TOTAL!E22</f>
        <v>1240.9328264758472</v>
      </c>
      <c r="G22" s="9">
        <f>Gas!F29+Gas!I29+Gas!L29+Gas!O29</f>
        <v>133.12298581649304</v>
      </c>
      <c r="H22" s="10">
        <f>Gas!Q29/TOTAL!G22</f>
        <v>15840</v>
      </c>
      <c r="I22" s="9">
        <f>'Fuel Diesel'!F29</f>
        <v>0</v>
      </c>
      <c r="J22" s="11" t="e">
        <f>'Fuel Diesel'!G29/'Fuel Diesel'!F29</f>
        <v>#DIV/0!</v>
      </c>
      <c r="K22" s="9">
        <f>Water!E29+Water!G29+Water!I29</f>
        <v>323</v>
      </c>
      <c r="L22" s="10">
        <f>Water!K29/TOTAL!K22</f>
        <v>6818.2352941176468</v>
      </c>
      <c r="M22" s="9">
        <f>Electricity!C28</f>
        <v>41</v>
      </c>
      <c r="N22" s="9">
        <f>Electricity!D28</f>
        <v>258</v>
      </c>
    </row>
    <row r="23" spans="1:14">
      <c r="A23" s="6" t="s">
        <v>14</v>
      </c>
      <c r="B23" s="7">
        <f t="shared" si="0"/>
        <v>22</v>
      </c>
      <c r="C23" s="8">
        <v>1</v>
      </c>
      <c r="D23" s="7">
        <v>2019</v>
      </c>
      <c r="E23" s="9">
        <f>Electricity!F29+Electricity!I29</f>
        <v>10820.000000000618</v>
      </c>
      <c r="F23" s="10">
        <f>Electricity!L29/TOTAL!E23</f>
        <v>1246.4280961182915</v>
      </c>
      <c r="G23" s="9">
        <f>Gas!F30+Gas!I30+Gas!L30+Gas!O30</f>
        <v>128.15248249027238</v>
      </c>
      <c r="H23" s="10">
        <f>Gas!Q30/TOTAL!G23</f>
        <v>15839.999999999998</v>
      </c>
      <c r="I23" s="9">
        <f>'Fuel Diesel'!F30</f>
        <v>50</v>
      </c>
      <c r="J23" s="11">
        <f>'Fuel Diesel'!G30/'Fuel Diesel'!F30</f>
        <v>10700</v>
      </c>
      <c r="K23" s="9">
        <f>Water!E30+Water!G30+Water!I30</f>
        <v>319</v>
      </c>
      <c r="L23" s="10">
        <f>Water!K30/TOTAL!K23</f>
        <v>7814.7774294670844</v>
      </c>
      <c r="M23" s="9">
        <f>Electricity!C29</f>
        <v>41</v>
      </c>
      <c r="N23" s="9">
        <f>Electricity!D29</f>
        <v>248</v>
      </c>
    </row>
    <row r="24" spans="1:14">
      <c r="A24" s="6" t="s">
        <v>14</v>
      </c>
      <c r="B24" s="7">
        <f t="shared" si="0"/>
        <v>23</v>
      </c>
      <c r="C24" s="8">
        <v>1</v>
      </c>
      <c r="D24" s="7">
        <v>2019</v>
      </c>
      <c r="E24" s="9">
        <f>Electricity!F30+Electricity!I30</f>
        <v>10979.999999999109</v>
      </c>
      <c r="F24" s="10">
        <f>Electricity!L30/TOTAL!E24</f>
        <v>1239.6764571949111</v>
      </c>
      <c r="G24" s="9">
        <f>Gas!F31+Gas!I31+Gas!L31+Gas!O31</f>
        <v>121.69082816618553</v>
      </c>
      <c r="H24" s="10">
        <f>Gas!Q31/TOTAL!G24</f>
        <v>15840</v>
      </c>
      <c r="I24" s="9">
        <f>'Fuel Diesel'!F31</f>
        <v>0</v>
      </c>
      <c r="J24" s="11" t="e">
        <f>'Fuel Diesel'!G31/'Fuel Diesel'!F31</f>
        <v>#DIV/0!</v>
      </c>
      <c r="K24" s="9">
        <f>Water!E31+Water!G31+Water!I31</f>
        <v>278</v>
      </c>
      <c r="L24" s="10">
        <f>Water!K31/TOTAL!K24</f>
        <v>6722.9424460431655</v>
      </c>
      <c r="M24" s="9">
        <f>Electricity!C30</f>
        <v>51</v>
      </c>
      <c r="N24" s="9">
        <f>Electricity!D30</f>
        <v>235</v>
      </c>
    </row>
    <row r="25" spans="1:14">
      <c r="A25" s="6" t="s">
        <v>14</v>
      </c>
      <c r="B25" s="7">
        <f t="shared" si="0"/>
        <v>24</v>
      </c>
      <c r="C25" s="8">
        <v>1</v>
      </c>
      <c r="D25" s="7">
        <v>2019</v>
      </c>
      <c r="E25" s="9">
        <f>Electricity!F31+Electricity!I31</f>
        <v>11140.000000000327</v>
      </c>
      <c r="F25" s="10">
        <f>Electricity!L31/TOTAL!E25</f>
        <v>1243.3436265709108</v>
      </c>
      <c r="G25" s="9">
        <f>Gas!F32+Gas!I32+Gas!L32+Gas!O32</f>
        <v>124.6731301619179</v>
      </c>
      <c r="H25" s="10">
        <f>Gas!Q32/TOTAL!G25</f>
        <v>15839.999999999998</v>
      </c>
      <c r="I25" s="9">
        <f>'Fuel Diesel'!F32</f>
        <v>0</v>
      </c>
      <c r="J25" s="11" t="e">
        <f>'Fuel Diesel'!G32/'Fuel Diesel'!F32</f>
        <v>#DIV/0!</v>
      </c>
      <c r="K25" s="9">
        <f>Water!E32+Water!G32+Water!I32</f>
        <v>340</v>
      </c>
      <c r="L25" s="10">
        <f>Water!K32/TOTAL!K25</f>
        <v>7917.3470588235296</v>
      </c>
      <c r="M25" s="9">
        <f>Electricity!C31</f>
        <v>51</v>
      </c>
      <c r="N25" s="9">
        <f>Electricity!D31</f>
        <v>241</v>
      </c>
    </row>
    <row r="26" spans="1:14">
      <c r="A26" s="6" t="s">
        <v>14</v>
      </c>
      <c r="B26" s="7">
        <f>B25+1</f>
        <v>25</v>
      </c>
      <c r="C26" s="8">
        <v>1</v>
      </c>
      <c r="D26" s="7">
        <v>2019</v>
      </c>
      <c r="E26" s="9">
        <f>Electricity!F32+Electricity!I32</f>
        <v>11260.000000000218</v>
      </c>
      <c r="F26" s="10">
        <f>Electricity!L32/TOTAL!E26</f>
        <v>1244.2553285967972</v>
      </c>
      <c r="G26" s="9">
        <f>Gas!F33+Gas!I33+Gas!L33+Gas!O33</f>
        <v>136.60233814484747</v>
      </c>
      <c r="H26" s="10">
        <f>Gas!Q33/TOTAL!G26</f>
        <v>15840.000000000004</v>
      </c>
      <c r="I26" s="9">
        <f>'Fuel Diesel'!F33</f>
        <v>0</v>
      </c>
      <c r="J26" s="11" t="e">
        <f>'Fuel Diesel'!G33/'Fuel Diesel'!F33</f>
        <v>#DIV/0!</v>
      </c>
      <c r="K26" s="9">
        <f>Water!E33+Water!G33+Water!I33</f>
        <v>230</v>
      </c>
      <c r="L26" s="10">
        <f>Water!K33/TOTAL!K26</f>
        <v>7249.5478260869568</v>
      </c>
      <c r="M26" s="9">
        <f>Electricity!C32</f>
        <v>36</v>
      </c>
      <c r="N26" s="9">
        <f>Electricity!D32</f>
        <v>265</v>
      </c>
    </row>
    <row r="27" spans="1:14">
      <c r="A27" s="6" t="s">
        <v>14</v>
      </c>
      <c r="B27" s="7">
        <f t="shared" si="0"/>
        <v>26</v>
      </c>
      <c r="C27" s="8">
        <v>1</v>
      </c>
      <c r="D27" s="7">
        <v>2019</v>
      </c>
      <c r="E27" s="9">
        <f>Electricity!F33+Electricity!I33</f>
        <v>11379.999999999654</v>
      </c>
      <c r="F27" s="10">
        <f>Electricity!L33/TOTAL!E27</f>
        <v>1242.1450351493852</v>
      </c>
      <c r="G27" s="9">
        <f>Gas!F34+Gas!I34+Gas!L34+Gas!O34</f>
        <v>108.27046918538974</v>
      </c>
      <c r="H27" s="10">
        <f>Gas!Q34/TOTAL!G27</f>
        <v>15840.000000000002</v>
      </c>
      <c r="I27" s="9">
        <f>'Fuel Diesel'!F34</f>
        <v>0</v>
      </c>
      <c r="J27" s="11" t="e">
        <f>'Fuel Diesel'!G34/'Fuel Diesel'!F34</f>
        <v>#DIV/0!</v>
      </c>
      <c r="K27" s="9">
        <f>Water!E34+Water!G34+Water!I34</f>
        <v>245</v>
      </c>
      <c r="L27" s="10">
        <f>Water!K34/TOTAL!K27</f>
        <v>7480.8081632653066</v>
      </c>
      <c r="M27" s="9">
        <f>Electricity!C33</f>
        <v>34</v>
      </c>
      <c r="N27" s="9">
        <f>Electricity!D33</f>
        <v>208</v>
      </c>
    </row>
    <row r="28" spans="1:14">
      <c r="A28" s="6" t="s">
        <v>14</v>
      </c>
      <c r="B28" s="7">
        <f t="shared" si="0"/>
        <v>27</v>
      </c>
      <c r="C28" s="8">
        <v>1</v>
      </c>
      <c r="D28" s="7">
        <v>2019</v>
      </c>
      <c r="E28" s="9">
        <f>Electricity!F34+Electricity!I34</f>
        <v>11380.000000000109</v>
      </c>
      <c r="F28" s="10">
        <f>Electricity!L34/TOTAL!E28</f>
        <v>1237.1404217926195</v>
      </c>
      <c r="G28" s="9">
        <f>Gas!F35+Gas!I35+Gas!L35+Gas!O35</f>
        <v>134.61413681435926</v>
      </c>
      <c r="H28" s="10">
        <f>Gas!Q35/TOTAL!G28</f>
        <v>15839.999999999998</v>
      </c>
      <c r="I28" s="9">
        <f>'Fuel Diesel'!F35</f>
        <v>0</v>
      </c>
      <c r="J28" s="11" t="e">
        <f>'Fuel Diesel'!G35/'Fuel Diesel'!F35</f>
        <v>#DIV/0!</v>
      </c>
      <c r="K28" s="9">
        <f>Water!E35+Water!G35+Water!I35</f>
        <v>306</v>
      </c>
      <c r="L28" s="10">
        <f>Water!K35/TOTAL!K28</f>
        <v>7006.1176470588234</v>
      </c>
      <c r="M28" s="9">
        <f>Electricity!C34</f>
        <v>49</v>
      </c>
      <c r="N28" s="9">
        <f>Electricity!D34</f>
        <v>261</v>
      </c>
    </row>
    <row r="29" spans="1:14">
      <c r="A29" s="6" t="s">
        <v>14</v>
      </c>
      <c r="B29" s="7">
        <f t="shared" si="0"/>
        <v>28</v>
      </c>
      <c r="C29" s="8">
        <v>1</v>
      </c>
      <c r="D29" s="7">
        <v>2019</v>
      </c>
      <c r="E29" s="9">
        <f>Electricity!F35+Electricity!I35</f>
        <v>10920.000000000528</v>
      </c>
      <c r="F29" s="10">
        <f>Electricity!L35/TOTAL!E29</f>
        <v>1242.3155219780178</v>
      </c>
      <c r="G29" s="9">
        <f>Gas!F36+Gas!I36+Gas!L36+Gas!O36</f>
        <v>163.44305610643903</v>
      </c>
      <c r="H29" s="10">
        <f>Gas!Q36/TOTAL!G29</f>
        <v>15840.000000000005</v>
      </c>
      <c r="I29" s="9">
        <f>'Fuel Diesel'!F36</f>
        <v>0</v>
      </c>
      <c r="J29" s="11" t="e">
        <f>'Fuel Diesel'!G36/'Fuel Diesel'!F36</f>
        <v>#DIV/0!</v>
      </c>
      <c r="K29" s="9">
        <f>Water!E36+Water!G36+Water!I36</f>
        <v>264</v>
      </c>
      <c r="L29" s="10">
        <f>Water!K36/TOTAL!K29</f>
        <v>7121.409090909091</v>
      </c>
      <c r="M29" s="9">
        <f>Electricity!C35</f>
        <v>54</v>
      </c>
      <c r="N29" s="9">
        <f>Electricity!D35</f>
        <v>319</v>
      </c>
    </row>
    <row r="30" spans="1:14">
      <c r="A30" s="6" t="s">
        <v>14</v>
      </c>
      <c r="B30" s="7">
        <f t="shared" si="0"/>
        <v>29</v>
      </c>
      <c r="C30" s="8">
        <v>1</v>
      </c>
      <c r="D30" s="7">
        <v>2019</v>
      </c>
      <c r="E30" s="9">
        <f>Electricity!F36+Electricity!I36</f>
        <v>10800.000000000182</v>
      </c>
      <c r="F30" s="10">
        <f>Electricity!L36/TOTAL!E30</f>
        <v>1238.1895370370412</v>
      </c>
      <c r="G30" s="9">
        <f>Gas!F37+Gas!I37+Gas!L37+Gas!O37</f>
        <v>141.07579113844608</v>
      </c>
      <c r="H30" s="10">
        <f>Gas!Q37/TOTAL!G30</f>
        <v>15840</v>
      </c>
      <c r="I30" s="9">
        <f>'Fuel Diesel'!F37</f>
        <v>50</v>
      </c>
      <c r="J30" s="11">
        <f>'Fuel Diesel'!G37/'Fuel Diesel'!F37</f>
        <v>10700</v>
      </c>
      <c r="K30" s="9">
        <f>Water!E37+Water!G37+Water!I37</f>
        <v>272</v>
      </c>
      <c r="L30" s="10">
        <f>Water!K37/TOTAL!K30</f>
        <v>6501.1838235294117</v>
      </c>
      <c r="M30" s="9">
        <f>Electricity!C36</f>
        <v>54</v>
      </c>
      <c r="N30" s="9">
        <f>Electricity!D36</f>
        <v>274</v>
      </c>
    </row>
    <row r="31" spans="1:14">
      <c r="A31" s="6" t="s">
        <v>14</v>
      </c>
      <c r="B31" s="7">
        <v>30</v>
      </c>
      <c r="C31" s="8">
        <v>1</v>
      </c>
      <c r="D31" s="7">
        <v>2019</v>
      </c>
      <c r="E31" s="9">
        <f>Electricity!F37+Electricity!I37</f>
        <v>9959.9999999986721</v>
      </c>
      <c r="F31" s="10">
        <f>Electricity!L37/TOTAL!E31</f>
        <v>1244.2634538152574</v>
      </c>
      <c r="G31" s="9">
        <f>Gas!F38+Gas!I38+Gas!L38+Gas!O38</f>
        <v>164.43715677168316</v>
      </c>
      <c r="H31" s="10">
        <f>Gas!Q38/TOTAL!G31</f>
        <v>15840.000000000007</v>
      </c>
      <c r="I31" s="9">
        <f>'Fuel Diesel'!F38</f>
        <v>0</v>
      </c>
      <c r="J31" s="11" t="e">
        <f>'Fuel Diesel'!G38/'Fuel Diesel'!F38</f>
        <v>#DIV/0!</v>
      </c>
      <c r="K31" s="9">
        <f>Water!E38+Water!G38+Water!I38</f>
        <v>282</v>
      </c>
      <c r="L31" s="10">
        <f>Water!K38/TOTAL!K31</f>
        <v>6752.2765957446809</v>
      </c>
      <c r="M31" s="9">
        <f>Electricity!C37</f>
        <v>49</v>
      </c>
      <c r="N31" s="9">
        <f>Electricity!D37</f>
        <v>321</v>
      </c>
    </row>
    <row r="32" spans="1:14">
      <c r="A32" s="6" t="s">
        <v>14</v>
      </c>
      <c r="B32" s="7">
        <v>31</v>
      </c>
      <c r="C32" s="8">
        <v>1</v>
      </c>
      <c r="D32" s="7">
        <v>2019</v>
      </c>
      <c r="E32" s="9">
        <f>Electricity!F38+Electricity!I38</f>
        <v>0</v>
      </c>
      <c r="F32" s="10" t="e">
        <f>Electricity!L38/TOTAL!E32</f>
        <v>#DIV/0!</v>
      </c>
      <c r="G32" s="9">
        <f>Gas!F39+Gas!I39+Gas!L39+Gas!O39</f>
        <v>7.14</v>
      </c>
      <c r="H32" s="10">
        <f>Gas!Q39/TOTAL!G32</f>
        <v>15840</v>
      </c>
      <c r="I32" s="9">
        <f>'Fuel Diesel'!F39</f>
        <v>0</v>
      </c>
      <c r="J32" s="11" t="e">
        <f>'Fuel Diesel'!G39/'Fuel Diesel'!F39</f>
        <v>#DIV/0!</v>
      </c>
      <c r="K32" s="9">
        <f>Water!E39+Water!G39+Water!I39</f>
        <v>0</v>
      </c>
      <c r="L32" s="10" t="e">
        <f>Water!K39/TOTAL!K32</f>
        <v>#DIV/0!</v>
      </c>
      <c r="M32" s="9" t="str">
        <f>Electricity!C38</f>
        <v xml:space="preserve"> -   </v>
      </c>
      <c r="N32" s="9" t="str">
        <f>Electricity!D38</f>
        <v xml:space="preserve"> -   </v>
      </c>
    </row>
    <row r="33" spans="5:14">
      <c r="E33" s="84">
        <f>SUM(E2:E32)</f>
        <v>325899.99999999913</v>
      </c>
      <c r="F33" s="84" t="e">
        <f>SUM(F2:F32)/31</f>
        <v>#DIV/0!</v>
      </c>
      <c r="G33" s="84">
        <f>SUM(G2:G32)</f>
        <v>4012.868638132295</v>
      </c>
      <c r="H33" s="94">
        <f>SUM(H2:H32)/31</f>
        <v>15840</v>
      </c>
      <c r="I33" s="84">
        <f>SUM(I2:I32)</f>
        <v>305</v>
      </c>
      <c r="J33" s="94" t="e">
        <f>J26</f>
        <v>#DIV/0!</v>
      </c>
      <c r="K33" s="84">
        <f>SUM(K2:K32)</f>
        <v>9395</v>
      </c>
      <c r="L33" s="94" t="e">
        <f>SUM(L2:L32)/31</f>
        <v>#DIV/0!</v>
      </c>
      <c r="M33" s="84">
        <f t="shared" ref="M33:N33" si="1">SUM(M2:M32)</f>
        <v>1357</v>
      </c>
      <c r="N33" s="84">
        <f t="shared" si="1"/>
        <v>7781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"/>
  <sheetViews>
    <sheetView tabSelected="1" workbookViewId="0">
      <selection activeCell="E8" sqref="E8"/>
    </sheetView>
  </sheetViews>
  <sheetFormatPr defaultRowHeight="15"/>
  <cols>
    <col min="1" max="1" width="2.5703125" customWidth="1"/>
    <col min="2" max="2" width="5.85546875" customWidth="1"/>
    <col min="3" max="3" width="6.5703125" customWidth="1"/>
    <col min="4" max="4" width="7.5703125" style="19" customWidth="1"/>
    <col min="5" max="5" width="9.42578125" style="31" customWidth="1"/>
    <col min="6" max="6" width="11.28515625" style="31" customWidth="1"/>
    <col min="7" max="7" width="16.5703125" style="31" customWidth="1"/>
    <col min="8" max="8" width="10.28515625" style="31" customWidth="1"/>
    <col min="9" max="9" width="11.140625" style="31" customWidth="1"/>
    <col min="10" max="10" width="16.7109375" style="31" customWidth="1"/>
    <col min="11" max="11" width="16.28515625" style="31" customWidth="1"/>
    <col min="12" max="12" width="18" customWidth="1"/>
    <col min="13" max="13" width="16.7109375" customWidth="1"/>
    <col min="14" max="14" width="2.5703125" customWidth="1"/>
    <col min="16" max="16" width="16.7109375" customWidth="1"/>
  </cols>
  <sheetData>
    <row r="1" spans="1:14" ht="15.75">
      <c r="B1" s="98" t="s">
        <v>15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12"/>
      <c r="N1" s="12"/>
    </row>
    <row r="2" spans="1:14" ht="15.75">
      <c r="B2" s="98" t="s">
        <v>16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12"/>
      <c r="N2" s="12"/>
    </row>
    <row r="3" spans="1:14">
      <c r="B3" s="13"/>
      <c r="C3" s="14"/>
      <c r="D3" s="15"/>
      <c r="E3" s="14"/>
      <c r="F3" s="14"/>
      <c r="G3" s="14"/>
      <c r="H3" s="14"/>
      <c r="I3" s="14"/>
      <c r="J3" s="14"/>
      <c r="K3" s="14"/>
      <c r="L3" s="14"/>
      <c r="M3" s="12"/>
      <c r="N3" s="12"/>
    </row>
    <row r="4" spans="1:14">
      <c r="A4" s="16"/>
      <c r="B4" s="99">
        <v>43556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16"/>
    </row>
    <row r="5" spans="1:14">
      <c r="A5" s="17"/>
      <c r="B5" s="97" t="s">
        <v>17</v>
      </c>
      <c r="C5" s="97" t="s">
        <v>18</v>
      </c>
      <c r="D5" s="97" t="s">
        <v>13</v>
      </c>
      <c r="E5" s="100" t="s">
        <v>19</v>
      </c>
      <c r="F5" s="100"/>
      <c r="G5" s="100"/>
      <c r="H5" s="101" t="s">
        <v>20</v>
      </c>
      <c r="I5" s="101"/>
      <c r="J5" s="101"/>
      <c r="K5" s="97" t="s">
        <v>21</v>
      </c>
      <c r="L5" s="97" t="s">
        <v>22</v>
      </c>
      <c r="M5" s="97" t="s">
        <v>23</v>
      </c>
      <c r="N5" s="18"/>
    </row>
    <row r="6" spans="1:14" s="19" customFormat="1">
      <c r="A6" s="17"/>
      <c r="B6" s="97"/>
      <c r="C6" s="97"/>
      <c r="D6" s="97"/>
      <c r="E6" s="97" t="s">
        <v>24</v>
      </c>
      <c r="F6" s="97" t="s">
        <v>25</v>
      </c>
      <c r="G6" s="97" t="s">
        <v>26</v>
      </c>
      <c r="H6" s="97" t="s">
        <v>24</v>
      </c>
      <c r="I6" s="97" t="s">
        <v>25</v>
      </c>
      <c r="J6" s="97" t="s">
        <v>27</v>
      </c>
      <c r="K6" s="97"/>
      <c r="L6" s="97"/>
      <c r="M6" s="97"/>
      <c r="N6" s="18"/>
    </row>
    <row r="7" spans="1:14">
      <c r="A7" s="20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21"/>
    </row>
    <row r="8" spans="1:14">
      <c r="A8" s="20"/>
      <c r="B8" s="22">
        <v>1</v>
      </c>
      <c r="C8" s="23">
        <v>35</v>
      </c>
      <c r="D8" s="23">
        <v>217</v>
      </c>
      <c r="E8" s="24">
        <v>4.5799999999999272</v>
      </c>
      <c r="F8" s="25">
        <f t="shared" ref="F8:F38" si="0">E8*2000</f>
        <v>9159.9999999998545</v>
      </c>
      <c r="G8" s="26">
        <f t="shared" ref="G8:G38" si="1">F8*1035.5</f>
        <v>9485179.9999998491</v>
      </c>
      <c r="H8" s="24">
        <v>1.0199999999999818</v>
      </c>
      <c r="I8" s="25">
        <f t="shared" ref="I8:I38" si="2">H8*2000</f>
        <v>2039.9999999999636</v>
      </c>
      <c r="J8" s="26">
        <f t="shared" ref="J8:J38" si="3">I8*1553.25</f>
        <v>3168629.9999999437</v>
      </c>
      <c r="K8" s="24">
        <f t="shared" ref="K8:K38" si="4">G8+J8</f>
        <v>12653809.999999793</v>
      </c>
      <c r="L8" s="27">
        <f t="shared" ref="L8:L38" si="5">K8*1.1</f>
        <v>13919190.999999775</v>
      </c>
      <c r="M8" s="28">
        <f>L8/14381</f>
        <v>967.88755997495127</v>
      </c>
      <c r="N8" s="29"/>
    </row>
    <row r="9" spans="1:14">
      <c r="A9" s="20"/>
      <c r="B9" s="22">
        <v>2</v>
      </c>
      <c r="C9" s="23">
        <v>37</v>
      </c>
      <c r="D9" s="23">
        <v>200</v>
      </c>
      <c r="E9" s="24">
        <v>4.3800000000001091</v>
      </c>
      <c r="F9" s="25">
        <f t="shared" si="0"/>
        <v>8760.0000000002183</v>
      </c>
      <c r="G9" s="26">
        <f t="shared" si="1"/>
        <v>9070980.0000002254</v>
      </c>
      <c r="H9" s="24">
        <v>0.96000000000003638</v>
      </c>
      <c r="I9" s="25">
        <f t="shared" si="2"/>
        <v>1920.0000000000728</v>
      </c>
      <c r="J9" s="26">
        <f t="shared" si="3"/>
        <v>2982240.0000001132</v>
      </c>
      <c r="K9" s="24">
        <f t="shared" si="4"/>
        <v>12053220.000000339</v>
      </c>
      <c r="L9" s="27">
        <f t="shared" si="5"/>
        <v>13258542.000000374</v>
      </c>
      <c r="M9" s="28">
        <f t="shared" ref="M9:M38" si="6">L9/14381</f>
        <v>921.9485432167703</v>
      </c>
      <c r="N9" s="29"/>
    </row>
    <row r="10" spans="1:14">
      <c r="A10" s="20"/>
      <c r="B10" s="22">
        <v>3</v>
      </c>
      <c r="C10" s="23">
        <v>42</v>
      </c>
      <c r="D10" s="23">
        <v>244</v>
      </c>
      <c r="E10" s="24">
        <v>4.5599999999994907</v>
      </c>
      <c r="F10" s="25">
        <f t="shared" si="0"/>
        <v>9119.9999999989814</v>
      </c>
      <c r="G10" s="26">
        <f t="shared" si="1"/>
        <v>9443759.9999989457</v>
      </c>
      <c r="H10" s="24">
        <v>0.98000000000001819</v>
      </c>
      <c r="I10" s="25">
        <f t="shared" si="2"/>
        <v>1960.0000000000364</v>
      </c>
      <c r="J10" s="26">
        <f t="shared" si="3"/>
        <v>3044370.0000000563</v>
      </c>
      <c r="K10" s="24">
        <f t="shared" si="4"/>
        <v>12488129.999999002</v>
      </c>
      <c r="L10" s="27">
        <f t="shared" si="5"/>
        <v>13736942.999998903</v>
      </c>
      <c r="M10" s="28">
        <f t="shared" si="6"/>
        <v>955.2147277657258</v>
      </c>
      <c r="N10" s="29"/>
    </row>
    <row r="11" spans="1:14">
      <c r="A11" s="20"/>
      <c r="B11" s="22">
        <v>4</v>
      </c>
      <c r="C11" s="23">
        <v>47</v>
      </c>
      <c r="D11" s="23">
        <v>225</v>
      </c>
      <c r="E11" s="24">
        <v>4.4400000000005093</v>
      </c>
      <c r="F11" s="25">
        <f t="shared" si="0"/>
        <v>8880.0000000010186</v>
      </c>
      <c r="G11" s="26">
        <f t="shared" si="1"/>
        <v>9195240.0000010543</v>
      </c>
      <c r="H11" s="24">
        <v>0.99000000000000909</v>
      </c>
      <c r="I11" s="25">
        <f t="shared" si="2"/>
        <v>1980.0000000000182</v>
      </c>
      <c r="J11" s="26">
        <f t="shared" si="3"/>
        <v>3075435.0000000284</v>
      </c>
      <c r="K11" s="24">
        <f t="shared" si="4"/>
        <v>12270675.000001082</v>
      </c>
      <c r="L11" s="27">
        <f t="shared" si="5"/>
        <v>13497742.500001192</v>
      </c>
      <c r="M11" s="28">
        <f t="shared" si="6"/>
        <v>938.58163549135611</v>
      </c>
      <c r="N11" s="29"/>
    </row>
    <row r="12" spans="1:14">
      <c r="A12" s="20"/>
      <c r="B12" s="22">
        <v>5</v>
      </c>
      <c r="C12" s="23">
        <v>42</v>
      </c>
      <c r="D12" s="23">
        <v>305</v>
      </c>
      <c r="E12" s="24">
        <v>4.1999999999998181</v>
      </c>
      <c r="F12" s="25">
        <f t="shared" si="0"/>
        <v>8399.9999999996362</v>
      </c>
      <c r="G12" s="26">
        <f t="shared" si="1"/>
        <v>8698199.9999996237</v>
      </c>
      <c r="H12" s="24">
        <v>0.91000000000008185</v>
      </c>
      <c r="I12" s="25">
        <f t="shared" si="2"/>
        <v>1820.0000000001637</v>
      </c>
      <c r="J12" s="26">
        <f t="shared" si="3"/>
        <v>2826915.0000002543</v>
      </c>
      <c r="K12" s="24">
        <f t="shared" si="4"/>
        <v>11525114.999999877</v>
      </c>
      <c r="L12" s="27">
        <f t="shared" si="5"/>
        <v>12677626.499999866</v>
      </c>
      <c r="M12" s="28">
        <f t="shared" si="6"/>
        <v>881.55389055002195</v>
      </c>
      <c r="N12" s="29"/>
    </row>
    <row r="13" spans="1:14">
      <c r="A13" s="20"/>
      <c r="B13" s="22">
        <v>6</v>
      </c>
      <c r="C13" s="23">
        <v>49</v>
      </c>
      <c r="D13" s="23">
        <v>271</v>
      </c>
      <c r="E13" s="24">
        <v>4.1300000000001091</v>
      </c>
      <c r="F13" s="25">
        <f t="shared" si="0"/>
        <v>8260.0000000002183</v>
      </c>
      <c r="G13" s="26">
        <f t="shared" si="1"/>
        <v>8553230.0000002254</v>
      </c>
      <c r="H13" s="24">
        <v>0.96000000000003638</v>
      </c>
      <c r="I13" s="25">
        <f t="shared" si="2"/>
        <v>1920.0000000000728</v>
      </c>
      <c r="J13" s="26">
        <f t="shared" si="3"/>
        <v>2982240.0000001132</v>
      </c>
      <c r="K13" s="24">
        <f t="shared" si="4"/>
        <v>11535470.000000339</v>
      </c>
      <c r="L13" s="27">
        <f t="shared" si="5"/>
        <v>12689017.000000374</v>
      </c>
      <c r="M13" s="28">
        <f t="shared" si="6"/>
        <v>882.34594256313017</v>
      </c>
      <c r="N13" s="29"/>
    </row>
    <row r="14" spans="1:14">
      <c r="A14" s="20"/>
      <c r="B14" s="22">
        <v>7</v>
      </c>
      <c r="C14" s="23">
        <v>45</v>
      </c>
      <c r="D14" s="23">
        <v>285</v>
      </c>
      <c r="E14" s="24">
        <v>4.3999999999996362</v>
      </c>
      <c r="F14" s="25">
        <f t="shared" si="0"/>
        <v>8799.9999999992724</v>
      </c>
      <c r="G14" s="26">
        <f t="shared" si="1"/>
        <v>9112399.9999992475</v>
      </c>
      <c r="H14" s="24">
        <v>0.95999999999980901</v>
      </c>
      <c r="I14" s="25">
        <f t="shared" si="2"/>
        <v>1919.999999999618</v>
      </c>
      <c r="J14" s="26">
        <f t="shared" si="3"/>
        <v>2982239.9999994067</v>
      </c>
      <c r="K14" s="24">
        <f t="shared" si="4"/>
        <v>12094639.999998655</v>
      </c>
      <c r="L14" s="27">
        <f t="shared" si="5"/>
        <v>13304103.999998521</v>
      </c>
      <c r="M14" s="28">
        <f t="shared" si="6"/>
        <v>925.11675126893272</v>
      </c>
      <c r="N14" s="29"/>
    </row>
    <row r="15" spans="1:14">
      <c r="A15" s="20"/>
      <c r="B15" s="22">
        <v>8</v>
      </c>
      <c r="C15" s="23">
        <v>41</v>
      </c>
      <c r="D15" s="23">
        <v>232</v>
      </c>
      <c r="E15" s="24">
        <v>4.4800000000004729</v>
      </c>
      <c r="F15" s="25">
        <f t="shared" si="0"/>
        <v>8960.0000000009459</v>
      </c>
      <c r="G15" s="26">
        <f t="shared" si="1"/>
        <v>9278080.0000009798</v>
      </c>
      <c r="H15" s="24">
        <v>0.97000000000002728</v>
      </c>
      <c r="I15" s="25">
        <f t="shared" si="2"/>
        <v>1940.0000000000546</v>
      </c>
      <c r="J15" s="26">
        <f t="shared" si="3"/>
        <v>3013305.0000000848</v>
      </c>
      <c r="K15" s="24">
        <f t="shared" si="4"/>
        <v>12291385.000001065</v>
      </c>
      <c r="L15" s="27">
        <f t="shared" si="5"/>
        <v>13520523.500001173</v>
      </c>
      <c r="M15" s="28">
        <f t="shared" si="6"/>
        <v>940.16573951750047</v>
      </c>
      <c r="N15" s="29"/>
    </row>
    <row r="16" spans="1:14">
      <c r="A16" s="20"/>
      <c r="B16" s="22">
        <v>9</v>
      </c>
      <c r="C16" s="23">
        <v>38</v>
      </c>
      <c r="D16" s="23">
        <v>208</v>
      </c>
      <c r="E16" s="24">
        <v>4.3000000000001819</v>
      </c>
      <c r="F16" s="25">
        <f t="shared" si="0"/>
        <v>8600.0000000003638</v>
      </c>
      <c r="G16" s="26">
        <f t="shared" si="1"/>
        <v>8905300.0000003763</v>
      </c>
      <c r="H16" s="24">
        <v>0.92000000000007276</v>
      </c>
      <c r="I16" s="25">
        <f t="shared" si="2"/>
        <v>1840.0000000001455</v>
      </c>
      <c r="J16" s="26">
        <f t="shared" si="3"/>
        <v>2857980.0000002258</v>
      </c>
      <c r="K16" s="24">
        <f t="shared" si="4"/>
        <v>11763280.000000602</v>
      </c>
      <c r="L16" s="27">
        <f t="shared" si="5"/>
        <v>12939608.000000663</v>
      </c>
      <c r="M16" s="28">
        <f t="shared" si="6"/>
        <v>899.77108685075189</v>
      </c>
      <c r="N16" s="29"/>
    </row>
    <row r="17" spans="1:14">
      <c r="A17" s="20"/>
      <c r="B17" s="22">
        <v>10</v>
      </c>
      <c r="C17" s="23">
        <v>49</v>
      </c>
      <c r="D17" s="23">
        <v>358</v>
      </c>
      <c r="E17" s="24">
        <v>4.339999999999236</v>
      </c>
      <c r="F17" s="25">
        <f t="shared" si="0"/>
        <v>8679.999999998472</v>
      </c>
      <c r="G17" s="26">
        <f t="shared" si="1"/>
        <v>8988139.9999984186</v>
      </c>
      <c r="H17" s="24">
        <v>0.94000000000005457</v>
      </c>
      <c r="I17" s="25">
        <f t="shared" si="2"/>
        <v>1880.0000000001091</v>
      </c>
      <c r="J17" s="26">
        <f t="shared" si="3"/>
        <v>2920110.0000001695</v>
      </c>
      <c r="K17" s="24">
        <f t="shared" si="4"/>
        <v>11908249.999998588</v>
      </c>
      <c r="L17" s="27">
        <f t="shared" si="5"/>
        <v>13099074.999998448</v>
      </c>
      <c r="M17" s="28">
        <f t="shared" si="6"/>
        <v>910.85981503361711</v>
      </c>
      <c r="N17" s="29"/>
    </row>
    <row r="18" spans="1:14">
      <c r="A18" s="20"/>
      <c r="B18" s="22">
        <v>11</v>
      </c>
      <c r="C18" s="23">
        <v>55</v>
      </c>
      <c r="D18" s="23">
        <v>229</v>
      </c>
      <c r="E18" s="24">
        <v>4.5</v>
      </c>
      <c r="F18" s="25">
        <f t="shared" si="0"/>
        <v>9000</v>
      </c>
      <c r="G18" s="26">
        <f t="shared" si="1"/>
        <v>9319500</v>
      </c>
      <c r="H18" s="24">
        <v>0.87999999999988177</v>
      </c>
      <c r="I18" s="25">
        <f t="shared" si="2"/>
        <v>1759.9999999997635</v>
      </c>
      <c r="J18" s="26">
        <f t="shared" si="3"/>
        <v>2733719.9999996326</v>
      </c>
      <c r="K18" s="24">
        <f t="shared" si="4"/>
        <v>12053219.999999633</v>
      </c>
      <c r="L18" s="27">
        <f t="shared" si="5"/>
        <v>13258541.999999598</v>
      </c>
      <c r="M18" s="28">
        <f t="shared" si="6"/>
        <v>921.9485432167163</v>
      </c>
      <c r="N18" s="29"/>
    </row>
    <row r="19" spans="1:14">
      <c r="A19" s="20"/>
      <c r="B19" s="22">
        <v>12</v>
      </c>
      <c r="C19" s="23">
        <v>52</v>
      </c>
      <c r="D19" s="23">
        <v>250</v>
      </c>
      <c r="E19" s="24">
        <v>4.3699999999998909</v>
      </c>
      <c r="F19" s="25">
        <f t="shared" si="0"/>
        <v>8739.9999999997817</v>
      </c>
      <c r="G19" s="26">
        <f t="shared" si="1"/>
        <v>9050269.9999997746</v>
      </c>
      <c r="H19" s="24">
        <v>0.94000000000005457</v>
      </c>
      <c r="I19" s="25">
        <f t="shared" si="2"/>
        <v>1880.0000000001091</v>
      </c>
      <c r="J19" s="26">
        <f t="shared" si="3"/>
        <v>2920110.0000001695</v>
      </c>
      <c r="K19" s="24">
        <f t="shared" si="4"/>
        <v>11970379.999999944</v>
      </c>
      <c r="L19" s="27">
        <f t="shared" si="5"/>
        <v>13167417.99999994</v>
      </c>
      <c r="M19" s="28">
        <f t="shared" si="6"/>
        <v>915.61212711215774</v>
      </c>
      <c r="N19" s="29"/>
    </row>
    <row r="20" spans="1:14">
      <c r="A20" s="20"/>
      <c r="B20" s="22">
        <v>13</v>
      </c>
      <c r="C20" s="23">
        <v>37</v>
      </c>
      <c r="D20" s="23">
        <v>211</v>
      </c>
      <c r="E20" s="24">
        <v>4.3100000000004002</v>
      </c>
      <c r="F20" s="25">
        <f t="shared" si="0"/>
        <v>8620.0000000008004</v>
      </c>
      <c r="G20" s="26">
        <f t="shared" si="1"/>
        <v>8926010.0000008289</v>
      </c>
      <c r="H20" s="24">
        <v>0.94000000000005457</v>
      </c>
      <c r="I20" s="25">
        <f t="shared" si="2"/>
        <v>1880.0000000001091</v>
      </c>
      <c r="J20" s="26">
        <f t="shared" si="3"/>
        <v>2920110.0000001695</v>
      </c>
      <c r="K20" s="24">
        <f t="shared" si="4"/>
        <v>11846120.000000998</v>
      </c>
      <c r="L20" s="27">
        <f t="shared" si="5"/>
        <v>13030732.000001099</v>
      </c>
      <c r="M20" s="28">
        <f t="shared" si="6"/>
        <v>906.10750295536468</v>
      </c>
      <c r="N20" s="29"/>
    </row>
    <row r="21" spans="1:14">
      <c r="A21" s="20"/>
      <c r="B21" s="22">
        <v>14</v>
      </c>
      <c r="C21" s="23">
        <v>39</v>
      </c>
      <c r="D21" s="23">
        <v>216</v>
      </c>
      <c r="E21" s="24">
        <v>4.3699999999998909</v>
      </c>
      <c r="F21" s="25">
        <f t="shared" si="0"/>
        <v>8739.9999999997817</v>
      </c>
      <c r="G21" s="26">
        <f t="shared" si="1"/>
        <v>9050269.9999997746</v>
      </c>
      <c r="H21" s="24">
        <v>0.97000000000002728</v>
      </c>
      <c r="I21" s="25">
        <f t="shared" si="2"/>
        <v>1940.0000000000546</v>
      </c>
      <c r="J21" s="26">
        <f t="shared" si="3"/>
        <v>3013305.0000000848</v>
      </c>
      <c r="K21" s="24">
        <f t="shared" si="4"/>
        <v>12063574.999999858</v>
      </c>
      <c r="L21" s="27">
        <f t="shared" si="5"/>
        <v>13269932.499999845</v>
      </c>
      <c r="M21" s="28">
        <f t="shared" si="6"/>
        <v>922.74059522980633</v>
      </c>
      <c r="N21" s="29"/>
    </row>
    <row r="22" spans="1:14">
      <c r="A22" s="20"/>
      <c r="B22" s="22">
        <v>15</v>
      </c>
      <c r="C22" s="23">
        <v>47</v>
      </c>
      <c r="D22" s="23">
        <v>240</v>
      </c>
      <c r="E22" s="24">
        <v>4.3600000000005821</v>
      </c>
      <c r="F22" s="25">
        <f t="shared" si="0"/>
        <v>8720.0000000011642</v>
      </c>
      <c r="G22" s="26">
        <f t="shared" si="1"/>
        <v>9029560.0000012051</v>
      </c>
      <c r="H22" s="24">
        <v>0.98000000000001819</v>
      </c>
      <c r="I22" s="25">
        <f t="shared" si="2"/>
        <v>1960.0000000000364</v>
      </c>
      <c r="J22" s="26">
        <f t="shared" si="3"/>
        <v>3044370.0000000563</v>
      </c>
      <c r="K22" s="24">
        <f t="shared" si="4"/>
        <v>12073930.000001261</v>
      </c>
      <c r="L22" s="27">
        <f t="shared" si="5"/>
        <v>13281323.000001388</v>
      </c>
      <c r="M22" s="28">
        <f t="shared" si="6"/>
        <v>923.5326472429864</v>
      </c>
      <c r="N22" s="29"/>
    </row>
    <row r="23" spans="1:14">
      <c r="A23" s="20"/>
      <c r="B23" s="22">
        <v>16</v>
      </c>
      <c r="C23" s="23">
        <v>48</v>
      </c>
      <c r="D23" s="23">
        <v>284</v>
      </c>
      <c r="E23" s="24">
        <v>4.5</v>
      </c>
      <c r="F23" s="25">
        <f t="shared" si="0"/>
        <v>9000</v>
      </c>
      <c r="G23" s="26">
        <f t="shared" si="1"/>
        <v>9319500</v>
      </c>
      <c r="H23" s="24">
        <v>0.96999999999979991</v>
      </c>
      <c r="I23" s="25">
        <f t="shared" si="2"/>
        <v>1939.9999999995998</v>
      </c>
      <c r="J23" s="26">
        <f t="shared" si="3"/>
        <v>3013304.9999993783</v>
      </c>
      <c r="K23" s="24">
        <f t="shared" si="4"/>
        <v>12332804.999999378</v>
      </c>
      <c r="L23" s="27">
        <f t="shared" si="5"/>
        <v>13566085.499999316</v>
      </c>
      <c r="M23" s="28">
        <f t="shared" si="6"/>
        <v>943.33394756966254</v>
      </c>
      <c r="N23" s="29"/>
    </row>
    <row r="24" spans="1:14">
      <c r="A24" s="20"/>
      <c r="B24" s="22">
        <v>17</v>
      </c>
      <c r="C24" s="23">
        <v>47</v>
      </c>
      <c r="D24" s="23">
        <v>303</v>
      </c>
      <c r="E24" s="24">
        <v>4.5099999999993088</v>
      </c>
      <c r="F24" s="25">
        <f t="shared" si="0"/>
        <v>9019.9999999986176</v>
      </c>
      <c r="G24" s="26">
        <f t="shared" si="1"/>
        <v>9340209.9999985676</v>
      </c>
      <c r="H24" s="24">
        <v>0.99000000000000909</v>
      </c>
      <c r="I24" s="25">
        <f t="shared" si="2"/>
        <v>1980.0000000000182</v>
      </c>
      <c r="J24" s="26">
        <f t="shared" si="3"/>
        <v>3075435.0000000284</v>
      </c>
      <c r="K24" s="24">
        <f t="shared" si="4"/>
        <v>12415644.999998596</v>
      </c>
      <c r="L24" s="27">
        <f t="shared" si="5"/>
        <v>13657209.499998456</v>
      </c>
      <c r="M24" s="28">
        <f t="shared" si="6"/>
        <v>949.67036367418507</v>
      </c>
      <c r="N24" s="29"/>
    </row>
    <row r="25" spans="1:14">
      <c r="A25" s="20"/>
      <c r="B25" s="22">
        <v>18</v>
      </c>
      <c r="C25" s="23">
        <v>46</v>
      </c>
      <c r="D25" s="23">
        <v>265</v>
      </c>
      <c r="E25" s="24">
        <v>4.6599999999998545</v>
      </c>
      <c r="F25" s="25">
        <f t="shared" si="0"/>
        <v>9319.999999999709</v>
      </c>
      <c r="G25" s="26">
        <f t="shared" si="1"/>
        <v>9650859.9999996983</v>
      </c>
      <c r="H25" s="24">
        <v>1.0500000000001819</v>
      </c>
      <c r="I25" s="25">
        <f t="shared" si="2"/>
        <v>2100.0000000003638</v>
      </c>
      <c r="J25" s="26">
        <f t="shared" si="3"/>
        <v>3261825.0000005648</v>
      </c>
      <c r="K25" s="24">
        <f t="shared" si="4"/>
        <v>12912685.000000263</v>
      </c>
      <c r="L25" s="27">
        <f t="shared" si="5"/>
        <v>14203953.500000291</v>
      </c>
      <c r="M25" s="28">
        <f t="shared" si="6"/>
        <v>987.68886030180727</v>
      </c>
      <c r="N25" s="29"/>
    </row>
    <row r="26" spans="1:14">
      <c r="A26" s="20"/>
      <c r="B26" s="22">
        <v>19</v>
      </c>
      <c r="C26" s="23">
        <v>51</v>
      </c>
      <c r="D26" s="23">
        <v>304</v>
      </c>
      <c r="E26" s="24">
        <v>4.6100000000005821</v>
      </c>
      <c r="F26" s="25">
        <f t="shared" si="0"/>
        <v>9220.0000000011642</v>
      </c>
      <c r="G26" s="26">
        <f t="shared" si="1"/>
        <v>9547310.0000012051</v>
      </c>
      <c r="H26" s="24">
        <v>1.0399999999999636</v>
      </c>
      <c r="I26" s="25">
        <f t="shared" si="2"/>
        <v>2079.9999999999272</v>
      </c>
      <c r="J26" s="26">
        <f t="shared" si="3"/>
        <v>3230759.9999998868</v>
      </c>
      <c r="K26" s="24">
        <f t="shared" si="4"/>
        <v>12778070.000001092</v>
      </c>
      <c r="L26" s="27">
        <f t="shared" si="5"/>
        <v>14055877.000001201</v>
      </c>
      <c r="M26" s="28">
        <f t="shared" si="6"/>
        <v>977.39218413192418</v>
      </c>
      <c r="N26" s="29"/>
    </row>
    <row r="27" spans="1:14">
      <c r="A27" s="20"/>
      <c r="B27" s="22">
        <v>20</v>
      </c>
      <c r="C27" s="23">
        <v>50</v>
      </c>
      <c r="D27" s="23">
        <v>304</v>
      </c>
      <c r="E27" s="24">
        <v>4.6499999999996362</v>
      </c>
      <c r="F27" s="25">
        <f t="shared" si="0"/>
        <v>9299.9999999992724</v>
      </c>
      <c r="G27" s="26">
        <f t="shared" si="1"/>
        <v>9630149.9999992475</v>
      </c>
      <c r="H27" s="24">
        <v>1.0199999999999818</v>
      </c>
      <c r="I27" s="25">
        <f t="shared" si="2"/>
        <v>2039.9999999999636</v>
      </c>
      <c r="J27" s="26">
        <f t="shared" si="3"/>
        <v>3168629.9999999437</v>
      </c>
      <c r="K27" s="24">
        <f t="shared" si="4"/>
        <v>12798779.999999192</v>
      </c>
      <c r="L27" s="27">
        <f t="shared" si="5"/>
        <v>14078657.999999112</v>
      </c>
      <c r="M27" s="28">
        <f t="shared" si="6"/>
        <v>978.9762881579245</v>
      </c>
      <c r="N27" s="29"/>
    </row>
    <row r="28" spans="1:14">
      <c r="A28" s="20"/>
      <c r="B28" s="22">
        <v>21</v>
      </c>
      <c r="C28" s="23">
        <v>41</v>
      </c>
      <c r="D28" s="23">
        <v>258</v>
      </c>
      <c r="E28" s="24">
        <v>4.5900000000001455</v>
      </c>
      <c r="F28" s="25">
        <f t="shared" si="0"/>
        <v>9180.000000000291</v>
      </c>
      <c r="G28" s="26">
        <f t="shared" si="1"/>
        <v>9505890.0000003017</v>
      </c>
      <c r="H28" s="24">
        <v>1</v>
      </c>
      <c r="I28" s="25">
        <f t="shared" si="2"/>
        <v>2000</v>
      </c>
      <c r="J28" s="26">
        <f t="shared" si="3"/>
        <v>3106500</v>
      </c>
      <c r="K28" s="24">
        <f t="shared" si="4"/>
        <v>12612390.000000302</v>
      </c>
      <c r="L28" s="27">
        <f t="shared" si="5"/>
        <v>13873629.000000333</v>
      </c>
      <c r="M28" s="28">
        <f t="shared" si="6"/>
        <v>964.71935192269893</v>
      </c>
      <c r="N28" s="29"/>
    </row>
    <row r="29" spans="1:14">
      <c r="A29" s="20"/>
      <c r="B29" s="22">
        <v>22</v>
      </c>
      <c r="C29" s="23">
        <v>41</v>
      </c>
      <c r="D29" s="23">
        <v>248</v>
      </c>
      <c r="E29" s="24">
        <v>4.3900000000003274</v>
      </c>
      <c r="F29" s="25">
        <f t="shared" si="0"/>
        <v>8780.0000000006548</v>
      </c>
      <c r="G29" s="26">
        <f t="shared" si="1"/>
        <v>9091690.000000678</v>
      </c>
      <c r="H29" s="24">
        <v>1.0199999999999818</v>
      </c>
      <c r="I29" s="25">
        <f t="shared" si="2"/>
        <v>2039.9999999999636</v>
      </c>
      <c r="J29" s="26">
        <f t="shared" si="3"/>
        <v>3168629.9999999437</v>
      </c>
      <c r="K29" s="24">
        <f t="shared" si="4"/>
        <v>12260320.000000622</v>
      </c>
      <c r="L29" s="27">
        <f t="shared" si="5"/>
        <v>13486352.000000685</v>
      </c>
      <c r="M29" s="28">
        <f t="shared" si="6"/>
        <v>937.78958347824812</v>
      </c>
      <c r="N29" s="29"/>
    </row>
    <row r="30" spans="1:14">
      <c r="A30" s="20"/>
      <c r="B30" s="22">
        <v>23</v>
      </c>
      <c r="C30" s="23">
        <v>51</v>
      </c>
      <c r="D30" s="23">
        <v>235</v>
      </c>
      <c r="E30" s="24">
        <v>4.5199999999995271</v>
      </c>
      <c r="F30" s="25">
        <f t="shared" si="0"/>
        <v>9039.9999999990541</v>
      </c>
      <c r="G30" s="26">
        <f t="shared" si="1"/>
        <v>9360919.9999990202</v>
      </c>
      <c r="H30" s="24">
        <v>0.97000000000002728</v>
      </c>
      <c r="I30" s="25">
        <f t="shared" si="2"/>
        <v>1940.0000000000546</v>
      </c>
      <c r="J30" s="26">
        <f t="shared" si="3"/>
        <v>3013305.0000000848</v>
      </c>
      <c r="K30" s="24">
        <f t="shared" si="4"/>
        <v>12374224.999999106</v>
      </c>
      <c r="L30" s="27">
        <f t="shared" si="5"/>
        <v>13611647.499999018</v>
      </c>
      <c r="M30" s="28">
        <f t="shared" si="6"/>
        <v>946.50215562193296</v>
      </c>
      <c r="N30" s="29"/>
    </row>
    <row r="31" spans="1:14">
      <c r="A31" s="20"/>
      <c r="B31" s="22">
        <v>24</v>
      </c>
      <c r="C31" s="23">
        <v>51</v>
      </c>
      <c r="D31" s="23">
        <v>241</v>
      </c>
      <c r="E31" s="24">
        <v>4.5500000000001819</v>
      </c>
      <c r="F31" s="25">
        <f t="shared" si="0"/>
        <v>9100.0000000003638</v>
      </c>
      <c r="G31" s="26">
        <f t="shared" si="1"/>
        <v>9423050.0000003763</v>
      </c>
      <c r="H31" s="24">
        <v>1.0199999999999818</v>
      </c>
      <c r="I31" s="25">
        <f t="shared" si="2"/>
        <v>2039.9999999999636</v>
      </c>
      <c r="J31" s="26">
        <f t="shared" si="3"/>
        <v>3168629.9999999437</v>
      </c>
      <c r="K31" s="24">
        <f t="shared" si="4"/>
        <v>12591680.00000032</v>
      </c>
      <c r="L31" s="27">
        <f t="shared" si="5"/>
        <v>13850848.000000354</v>
      </c>
      <c r="M31" s="28">
        <f t="shared" si="6"/>
        <v>963.1352478965548</v>
      </c>
      <c r="N31" s="29"/>
    </row>
    <row r="32" spans="1:14">
      <c r="A32" s="20"/>
      <c r="B32" s="22">
        <v>25</v>
      </c>
      <c r="C32" s="23">
        <v>36</v>
      </c>
      <c r="D32" s="23">
        <v>265</v>
      </c>
      <c r="E32" s="24">
        <v>4.5900000000001455</v>
      </c>
      <c r="F32" s="25">
        <f t="shared" si="0"/>
        <v>9180.000000000291</v>
      </c>
      <c r="G32" s="26">
        <f t="shared" si="1"/>
        <v>9505890.0000003017</v>
      </c>
      <c r="H32" s="24">
        <v>1.0399999999999636</v>
      </c>
      <c r="I32" s="25">
        <f t="shared" si="2"/>
        <v>2079.9999999999272</v>
      </c>
      <c r="J32" s="26">
        <f t="shared" si="3"/>
        <v>3230759.9999998868</v>
      </c>
      <c r="K32" s="24">
        <f t="shared" si="4"/>
        <v>12736650.000000188</v>
      </c>
      <c r="L32" s="27">
        <f t="shared" si="5"/>
        <v>14010315.000000209</v>
      </c>
      <c r="M32" s="28">
        <f t="shared" si="6"/>
        <v>974.22397607956395</v>
      </c>
      <c r="N32" s="29"/>
    </row>
    <row r="33" spans="1:16">
      <c r="A33" s="20"/>
      <c r="B33" s="22">
        <v>26</v>
      </c>
      <c r="C33" s="23">
        <v>34</v>
      </c>
      <c r="D33" s="23">
        <v>208</v>
      </c>
      <c r="E33" s="24">
        <v>4.6599999999998545</v>
      </c>
      <c r="F33" s="25">
        <f t="shared" si="0"/>
        <v>9319.999999999709</v>
      </c>
      <c r="G33" s="26">
        <f t="shared" si="1"/>
        <v>9650859.9999996983</v>
      </c>
      <c r="H33" s="24">
        <v>1.0299999999999727</v>
      </c>
      <c r="I33" s="25">
        <f t="shared" si="2"/>
        <v>2059.9999999999454</v>
      </c>
      <c r="J33" s="26">
        <f t="shared" si="3"/>
        <v>3199694.9999999152</v>
      </c>
      <c r="K33" s="24">
        <f t="shared" si="4"/>
        <v>12850554.999999613</v>
      </c>
      <c r="L33" s="27">
        <f t="shared" si="5"/>
        <v>14135610.499999575</v>
      </c>
      <c r="M33" s="28">
        <f t="shared" si="6"/>
        <v>982.93654822332076</v>
      </c>
      <c r="N33" s="29"/>
    </row>
    <row r="34" spans="1:16">
      <c r="A34" s="20"/>
      <c r="B34" s="22">
        <v>27</v>
      </c>
      <c r="C34" s="23">
        <v>49</v>
      </c>
      <c r="D34" s="23">
        <v>261</v>
      </c>
      <c r="E34" s="24">
        <v>4.7100000000000364</v>
      </c>
      <c r="F34" s="25">
        <f t="shared" si="0"/>
        <v>9420.0000000000728</v>
      </c>
      <c r="G34" s="26">
        <f t="shared" si="1"/>
        <v>9754410.0000000745</v>
      </c>
      <c r="H34" s="24">
        <v>0.98000000000001819</v>
      </c>
      <c r="I34" s="25">
        <f t="shared" si="2"/>
        <v>1960.0000000000364</v>
      </c>
      <c r="J34" s="26">
        <f t="shared" si="3"/>
        <v>3044370.0000000563</v>
      </c>
      <c r="K34" s="24">
        <f t="shared" si="4"/>
        <v>12798780.00000013</v>
      </c>
      <c r="L34" s="27">
        <f t="shared" si="5"/>
        <v>14078658.000000145</v>
      </c>
      <c r="M34" s="28">
        <f t="shared" si="6"/>
        <v>978.97628815799635</v>
      </c>
      <c r="N34" s="29"/>
    </row>
    <row r="35" spans="1:16">
      <c r="A35" s="20"/>
      <c r="B35" s="22">
        <v>28</v>
      </c>
      <c r="C35" s="23">
        <v>54</v>
      </c>
      <c r="D35" s="23">
        <v>319</v>
      </c>
      <c r="E35" s="24">
        <v>4.4700000000002547</v>
      </c>
      <c r="F35" s="25">
        <f t="shared" si="0"/>
        <v>8940.0000000005093</v>
      </c>
      <c r="G35" s="26">
        <f t="shared" si="1"/>
        <v>9257370.0000005271</v>
      </c>
      <c r="H35" s="24">
        <v>0.99000000000000909</v>
      </c>
      <c r="I35" s="25">
        <f t="shared" si="2"/>
        <v>1980.0000000000182</v>
      </c>
      <c r="J35" s="26">
        <f t="shared" si="3"/>
        <v>3075435.0000000284</v>
      </c>
      <c r="K35" s="24">
        <f t="shared" si="4"/>
        <v>12332805.000000555</v>
      </c>
      <c r="L35" s="27">
        <f t="shared" si="5"/>
        <v>13566085.500000611</v>
      </c>
      <c r="M35" s="28">
        <f t="shared" si="6"/>
        <v>943.33394756975247</v>
      </c>
      <c r="N35" s="29"/>
    </row>
    <row r="36" spans="1:16">
      <c r="A36" s="20"/>
      <c r="B36" s="22">
        <v>29</v>
      </c>
      <c r="C36" s="23">
        <v>54</v>
      </c>
      <c r="D36" s="23">
        <v>274</v>
      </c>
      <c r="E36" s="24">
        <v>4.4600000000000364</v>
      </c>
      <c r="F36" s="25">
        <f t="shared" si="0"/>
        <v>8920.0000000000728</v>
      </c>
      <c r="G36" s="26">
        <f t="shared" si="1"/>
        <v>9236660.0000000745</v>
      </c>
      <c r="H36" s="24">
        <v>0.94000000000005457</v>
      </c>
      <c r="I36" s="25">
        <f t="shared" si="2"/>
        <v>1880.0000000001091</v>
      </c>
      <c r="J36" s="26">
        <f t="shared" si="3"/>
        <v>2920110.0000001695</v>
      </c>
      <c r="K36" s="24">
        <f t="shared" si="4"/>
        <v>12156770.000000244</v>
      </c>
      <c r="L36" s="27">
        <f t="shared" si="5"/>
        <v>13372447.00000027</v>
      </c>
      <c r="M36" s="28">
        <f t="shared" si="6"/>
        <v>929.86906334749119</v>
      </c>
      <c r="N36" s="29"/>
    </row>
    <row r="37" spans="1:16">
      <c r="A37" s="20"/>
      <c r="B37" s="22">
        <v>30</v>
      </c>
      <c r="C37" s="23">
        <v>49</v>
      </c>
      <c r="D37" s="23">
        <v>321</v>
      </c>
      <c r="E37" s="24">
        <v>4.0599999999994907</v>
      </c>
      <c r="F37" s="25">
        <f t="shared" si="0"/>
        <v>8119.9999999989814</v>
      </c>
      <c r="G37" s="26">
        <f>F37*1035.5</f>
        <v>8408259.9999989457</v>
      </c>
      <c r="H37" s="24">
        <v>0.91999999999984539</v>
      </c>
      <c r="I37" s="25">
        <f t="shared" si="2"/>
        <v>1839.9999999996908</v>
      </c>
      <c r="J37" s="26">
        <f t="shared" si="3"/>
        <v>2857979.9999995199</v>
      </c>
      <c r="K37" s="24">
        <f t="shared" si="4"/>
        <v>11266239.999998465</v>
      </c>
      <c r="L37" s="27">
        <f t="shared" si="5"/>
        <v>12392863.999998312</v>
      </c>
      <c r="M37" s="28">
        <f t="shared" si="6"/>
        <v>861.75259022309388</v>
      </c>
      <c r="N37" s="29"/>
    </row>
    <row r="38" spans="1:16">
      <c r="A38" s="20"/>
      <c r="B38" s="22">
        <v>31</v>
      </c>
      <c r="C38" s="23" t="s">
        <v>28</v>
      </c>
      <c r="D38" s="23" t="s">
        <v>28</v>
      </c>
      <c r="E38" s="24"/>
      <c r="F38" s="25">
        <f t="shared" si="0"/>
        <v>0</v>
      </c>
      <c r="G38" s="26">
        <f t="shared" si="1"/>
        <v>0</v>
      </c>
      <c r="H38" s="24"/>
      <c r="I38" s="25">
        <f t="shared" si="2"/>
        <v>0</v>
      </c>
      <c r="J38" s="26">
        <f t="shared" si="3"/>
        <v>0</v>
      </c>
      <c r="K38" s="24">
        <f t="shared" si="4"/>
        <v>0</v>
      </c>
      <c r="L38" s="27">
        <f t="shared" si="5"/>
        <v>0</v>
      </c>
      <c r="M38" s="28">
        <f t="shared" si="6"/>
        <v>0</v>
      </c>
      <c r="N38" s="29"/>
    </row>
    <row r="39" spans="1:16">
      <c r="C39" s="30">
        <f>SUM(C8:C38)</f>
        <v>1357</v>
      </c>
      <c r="D39" s="30">
        <f>SUM(D8:D38)</f>
        <v>7781</v>
      </c>
      <c r="E39" s="31">
        <v>3.2799999999999727</v>
      </c>
      <c r="F39" s="30">
        <f>SUM(F8:F38)</f>
        <v>267299.9999999993</v>
      </c>
      <c r="I39" s="30">
        <f>SUM(I8:I38)</f>
        <v>58599.999999999913</v>
      </c>
      <c r="L39" s="32">
        <f>SUM(L8:L38)</f>
        <v>404590559.99999917</v>
      </c>
      <c r="M39" s="33">
        <f>SUM(M8:M38)</f>
        <v>28133.687504345951</v>
      </c>
      <c r="N39" s="34"/>
      <c r="P39" s="35"/>
    </row>
    <row r="41" spans="1:16">
      <c r="G41" s="87" t="s">
        <v>29</v>
      </c>
      <c r="H41" s="88"/>
      <c r="I41" s="89">
        <f>F39+I39</f>
        <v>325899.99999999919</v>
      </c>
      <c r="M41" s="36"/>
      <c r="P41" s="37"/>
    </row>
    <row r="42" spans="1:16">
      <c r="M42" s="38"/>
    </row>
  </sheetData>
  <mergeCells count="17">
    <mergeCell ref="H6:H7"/>
    <mergeCell ref="I6:I7"/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  <mergeCell ref="F6:F7"/>
    <mergeCell ref="G6:G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4"/>
  <sheetViews>
    <sheetView workbookViewId="0">
      <selection activeCell="B4" sqref="B4:R4"/>
    </sheetView>
  </sheetViews>
  <sheetFormatPr defaultRowHeight="15"/>
  <cols>
    <col min="1" max="1" width="2.5703125" customWidth="1"/>
    <col min="2" max="2" width="5.42578125" customWidth="1"/>
    <col min="3" max="3" width="6.42578125" style="31" customWidth="1"/>
    <col min="4" max="4" width="8.42578125" style="19" customWidth="1"/>
    <col min="5" max="5" width="11" style="31" customWidth="1"/>
    <col min="6" max="6" width="9.5703125" style="31" customWidth="1"/>
    <col min="7" max="7" width="11.140625" style="31" customWidth="1"/>
    <col min="8" max="8" width="9.42578125" style="31" customWidth="1"/>
    <col min="9" max="9" width="7.140625" style="31" customWidth="1"/>
    <col min="10" max="10" width="13.7109375" style="31" customWidth="1"/>
    <col min="11" max="11" width="11.140625" style="31" customWidth="1"/>
    <col min="12" max="12" width="6.7109375" style="31" customWidth="1"/>
    <col min="13" max="13" width="13.7109375" style="62" customWidth="1"/>
    <col min="14" max="14" width="8.7109375" style="31" customWidth="1"/>
    <col min="15" max="15" width="6.42578125" style="31" customWidth="1"/>
    <col min="16" max="16" width="11.140625" style="31" customWidth="1"/>
    <col min="17" max="17" width="15" style="19" customWidth="1"/>
    <col min="18" max="18" width="16.28515625" style="31" customWidth="1"/>
    <col min="19" max="19" width="2.5703125" customWidth="1"/>
    <col min="21" max="21" width="21.5703125" customWidth="1"/>
  </cols>
  <sheetData>
    <row r="1" spans="1:21" ht="15.75">
      <c r="B1" s="98" t="s">
        <v>30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21" ht="15.75">
      <c r="B2" s="98" t="s">
        <v>16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</row>
    <row r="3" spans="1:21">
      <c r="E3" s="39"/>
      <c r="F3" s="40"/>
      <c r="G3" s="40"/>
      <c r="H3" s="40"/>
      <c r="I3" s="40"/>
      <c r="J3" s="40"/>
      <c r="K3" s="40"/>
      <c r="L3" s="40"/>
      <c r="M3" s="41"/>
      <c r="N3" s="39"/>
      <c r="O3" s="40"/>
      <c r="P3" s="40"/>
      <c r="Q3" s="42"/>
    </row>
    <row r="4" spans="1:21">
      <c r="A4" s="16"/>
      <c r="B4" s="102">
        <v>43556</v>
      </c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6"/>
    </row>
    <row r="5" spans="1:21">
      <c r="A5" s="17"/>
      <c r="B5" s="97" t="s">
        <v>17</v>
      </c>
      <c r="C5" s="97" t="s">
        <v>18</v>
      </c>
      <c r="D5" s="97" t="s">
        <v>13</v>
      </c>
      <c r="E5" s="103" t="s">
        <v>31</v>
      </c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4" t="s">
        <v>32</v>
      </c>
      <c r="R5" s="104"/>
      <c r="S5" s="18"/>
    </row>
    <row r="6" spans="1:21" s="19" customFormat="1">
      <c r="A6" s="17"/>
      <c r="B6" s="97"/>
      <c r="C6" s="97"/>
      <c r="D6" s="97"/>
      <c r="E6" s="103" t="s">
        <v>33</v>
      </c>
      <c r="F6" s="103"/>
      <c r="G6" s="103"/>
      <c r="H6" s="103" t="s">
        <v>34</v>
      </c>
      <c r="I6" s="103"/>
      <c r="J6" s="103"/>
      <c r="K6" s="103" t="s">
        <v>35</v>
      </c>
      <c r="L6" s="103"/>
      <c r="M6" s="103"/>
      <c r="N6" s="105" t="s">
        <v>36</v>
      </c>
      <c r="O6" s="105"/>
      <c r="P6" s="105"/>
      <c r="Q6" s="104"/>
      <c r="R6" s="104"/>
      <c r="S6" s="18"/>
    </row>
    <row r="7" spans="1:21" ht="22.5">
      <c r="A7" s="20"/>
      <c r="B7" s="97"/>
      <c r="C7" s="97"/>
      <c r="D7" s="97"/>
      <c r="E7" s="97" t="s">
        <v>37</v>
      </c>
      <c r="F7" s="106" t="s">
        <v>38</v>
      </c>
      <c r="G7" s="43" t="s">
        <v>39</v>
      </c>
      <c r="H7" s="97" t="s">
        <v>40</v>
      </c>
      <c r="I7" s="97" t="s">
        <v>38</v>
      </c>
      <c r="J7" s="43" t="s">
        <v>39</v>
      </c>
      <c r="K7" s="97" t="s">
        <v>37</v>
      </c>
      <c r="L7" s="97" t="s">
        <v>38</v>
      </c>
      <c r="M7" s="43" t="s">
        <v>41</v>
      </c>
      <c r="N7" s="97" t="s">
        <v>42</v>
      </c>
      <c r="O7" s="97" t="s">
        <v>38</v>
      </c>
      <c r="P7" s="43" t="s">
        <v>41</v>
      </c>
      <c r="Q7" s="104"/>
      <c r="R7" s="104"/>
      <c r="S7" s="21"/>
    </row>
    <row r="8" spans="1:21" ht="15.75" thickBot="1">
      <c r="A8" s="20"/>
      <c r="B8" s="97"/>
      <c r="C8" s="97"/>
      <c r="D8" s="97"/>
      <c r="E8" s="97"/>
      <c r="F8" s="107"/>
      <c r="G8" s="44">
        <v>15840</v>
      </c>
      <c r="H8" s="97"/>
      <c r="I8" s="97"/>
      <c r="J8" s="44">
        <f>G8</f>
        <v>15840</v>
      </c>
      <c r="K8" s="97"/>
      <c r="L8" s="97"/>
      <c r="M8" s="44">
        <f>J8</f>
        <v>15840</v>
      </c>
      <c r="N8" s="97"/>
      <c r="O8" s="97"/>
      <c r="P8" s="44">
        <f>J8</f>
        <v>15840</v>
      </c>
      <c r="Q8" s="45" t="s">
        <v>43</v>
      </c>
      <c r="R8" s="43" t="s">
        <v>23</v>
      </c>
      <c r="S8" s="21"/>
      <c r="U8">
        <f>792000/50</f>
        <v>15840</v>
      </c>
    </row>
    <row r="9" spans="1:21">
      <c r="A9" s="20"/>
      <c r="B9" s="22">
        <v>1</v>
      </c>
      <c r="C9" s="46">
        <f>Electricity!C8</f>
        <v>35</v>
      </c>
      <c r="D9" s="47">
        <f>Electricity!D8</f>
        <v>217</v>
      </c>
      <c r="E9" s="82"/>
      <c r="F9" s="24">
        <v>67.622614785992212</v>
      </c>
      <c r="G9" s="49">
        <f>F9*$G$8</f>
        <v>1071142.2182101167</v>
      </c>
      <c r="H9" s="48"/>
      <c r="I9" s="95">
        <v>33.811307392996106</v>
      </c>
      <c r="J9" s="49">
        <f>I9*$J$8</f>
        <v>535571.10910505836</v>
      </c>
      <c r="K9" s="48"/>
      <c r="L9" s="24">
        <v>4.17</v>
      </c>
      <c r="M9" s="25">
        <f>L9*$M$8</f>
        <v>66052.800000000003</v>
      </c>
      <c r="N9" s="48"/>
      <c r="O9" s="24">
        <v>7.14</v>
      </c>
      <c r="P9" s="50">
        <f>O9*$P$8</f>
        <v>113097.59999999999</v>
      </c>
      <c r="Q9" s="51">
        <f>P9+G9+J9+M9</f>
        <v>1785863.7273151751</v>
      </c>
      <c r="R9" s="52">
        <f>Q9/14381</f>
        <v>124.18216586573779</v>
      </c>
      <c r="S9" s="21"/>
    </row>
    <row r="10" spans="1:21">
      <c r="A10" s="20"/>
      <c r="B10" s="22">
        <v>2</v>
      </c>
      <c r="C10" s="46">
        <f>Electricity!C9</f>
        <v>37</v>
      </c>
      <c r="D10" s="47">
        <f>Electricity!D9</f>
        <v>200</v>
      </c>
      <c r="E10" s="82"/>
      <c r="F10" s="24">
        <v>61.989377682942134</v>
      </c>
      <c r="G10" s="49">
        <f>F10*$G$8</f>
        <v>981911.74249780341</v>
      </c>
      <c r="H10" s="48"/>
      <c r="I10" s="50">
        <v>30.994688841471067</v>
      </c>
      <c r="J10" s="49">
        <f>I10*$J$8</f>
        <v>490955.87124890171</v>
      </c>
      <c r="K10" s="48"/>
      <c r="L10" s="24">
        <v>4.17</v>
      </c>
      <c r="M10" s="25">
        <f t="shared" ref="M10:M39" si="0">L10*$M$8</f>
        <v>66052.800000000003</v>
      </c>
      <c r="N10" s="48"/>
      <c r="O10" s="24">
        <v>7.14</v>
      </c>
      <c r="P10" s="50">
        <f>O10*$P$8</f>
        <v>113097.59999999999</v>
      </c>
      <c r="Q10" s="51">
        <f>J10+M10+G10+P10</f>
        <v>1652018.0137467054</v>
      </c>
      <c r="R10" s="52">
        <f t="shared" ref="R10:R39" si="1">Q10/14381</f>
        <v>114.87504441601456</v>
      </c>
      <c r="S10" s="21"/>
    </row>
    <row r="11" spans="1:21">
      <c r="A11" s="20"/>
      <c r="B11" s="22">
        <v>3</v>
      </c>
      <c r="C11" s="46">
        <f>Electricity!C10</f>
        <v>42</v>
      </c>
      <c r="D11" s="47">
        <f>Electricity!D10</f>
        <v>244</v>
      </c>
      <c r="E11" s="82"/>
      <c r="F11" s="24">
        <v>76.569520773189396</v>
      </c>
      <c r="G11" s="49">
        <f t="shared" ref="G11:G39" si="2">F11*$G$8</f>
        <v>1212861.2090473201</v>
      </c>
      <c r="H11" s="48"/>
      <c r="I11" s="50">
        <v>38.284760386594698</v>
      </c>
      <c r="J11" s="49">
        <f t="shared" ref="J11:J39" si="3">I11*$J$8</f>
        <v>606430.60452366003</v>
      </c>
      <c r="K11" s="48"/>
      <c r="L11" s="24">
        <v>4.17</v>
      </c>
      <c r="M11" s="25">
        <f t="shared" si="0"/>
        <v>66052.800000000003</v>
      </c>
      <c r="N11" s="48"/>
      <c r="O11" s="24">
        <v>7.14</v>
      </c>
      <c r="P11" s="50">
        <f t="shared" ref="P11:P39" si="4">O11*$P$8</f>
        <v>113097.59999999999</v>
      </c>
      <c r="Q11" s="51">
        <f t="shared" ref="Q11:Q39" si="5">J11+M11+G11+P11</f>
        <v>1998442.2135709804</v>
      </c>
      <c r="R11" s="52">
        <f t="shared" si="1"/>
        <v>138.96406463882764</v>
      </c>
      <c r="S11" s="21"/>
    </row>
    <row r="12" spans="1:21">
      <c r="A12" s="20"/>
      <c r="B12" s="22">
        <v>4</v>
      </c>
      <c r="C12" s="46">
        <f>Electricity!C11</f>
        <v>47</v>
      </c>
      <c r="D12" s="47">
        <f>Electricity!D11</f>
        <v>225</v>
      </c>
      <c r="E12" s="82"/>
      <c r="F12" s="24">
        <v>70.273549893309905</v>
      </c>
      <c r="G12" s="49">
        <f t="shared" si="2"/>
        <v>1113133.0303100289</v>
      </c>
      <c r="H12" s="48"/>
      <c r="I12" s="50">
        <v>35.136774946654953</v>
      </c>
      <c r="J12" s="49">
        <f t="shared" si="3"/>
        <v>556566.51515501447</v>
      </c>
      <c r="K12" s="48"/>
      <c r="L12" s="24">
        <v>4.17</v>
      </c>
      <c r="M12" s="25">
        <f t="shared" si="0"/>
        <v>66052.800000000003</v>
      </c>
      <c r="N12" s="48"/>
      <c r="O12" s="24">
        <v>7.14</v>
      </c>
      <c r="P12" s="50">
        <f t="shared" si="4"/>
        <v>113097.59999999999</v>
      </c>
      <c r="Q12" s="51">
        <f t="shared" si="5"/>
        <v>1848849.9454650437</v>
      </c>
      <c r="R12" s="52">
        <f t="shared" si="1"/>
        <v>128.56198772443111</v>
      </c>
      <c r="S12" s="21"/>
    </row>
    <row r="13" spans="1:21">
      <c r="A13" s="20"/>
      <c r="B13" s="22">
        <v>5</v>
      </c>
      <c r="C13" s="46">
        <f>Electricity!C12</f>
        <v>42</v>
      </c>
      <c r="D13" s="47">
        <f>Electricity!D12</f>
        <v>305</v>
      </c>
      <c r="E13" s="82"/>
      <c r="F13" s="24">
        <v>96.782900966486764</v>
      </c>
      <c r="G13" s="49">
        <f t="shared" si="2"/>
        <v>1533041.1513091503</v>
      </c>
      <c r="H13" s="48"/>
      <c r="I13" s="50">
        <v>48.391450483243382</v>
      </c>
      <c r="J13" s="49">
        <f t="shared" si="3"/>
        <v>766520.57565457514</v>
      </c>
      <c r="K13" s="48"/>
      <c r="L13" s="24">
        <v>4.17</v>
      </c>
      <c r="M13" s="25">
        <f t="shared" si="0"/>
        <v>66052.800000000003</v>
      </c>
      <c r="N13" s="48"/>
      <c r="O13" s="24">
        <v>7.14</v>
      </c>
      <c r="P13" s="50">
        <f t="shared" si="4"/>
        <v>113097.59999999999</v>
      </c>
      <c r="Q13" s="51">
        <f t="shared" si="5"/>
        <v>2478712.1269637258</v>
      </c>
      <c r="R13" s="52">
        <f t="shared" si="1"/>
        <v>172.36020631136401</v>
      </c>
      <c r="S13" s="21"/>
    </row>
    <row r="14" spans="1:21">
      <c r="A14" s="20"/>
      <c r="B14" s="22">
        <v>6</v>
      </c>
      <c r="C14" s="46">
        <f>Electricity!C13</f>
        <v>49</v>
      </c>
      <c r="D14" s="47">
        <f>Electricity!D13</f>
        <v>271</v>
      </c>
      <c r="E14" s="82"/>
      <c r="F14" s="24">
        <v>85.516426760386608</v>
      </c>
      <c r="G14" s="49">
        <f t="shared" si="2"/>
        <v>1354580.1998845239</v>
      </c>
      <c r="H14" s="48"/>
      <c r="I14" s="50">
        <v>42.758213380193304</v>
      </c>
      <c r="J14" s="49">
        <f t="shared" si="3"/>
        <v>677290.09994226194</v>
      </c>
      <c r="K14" s="48"/>
      <c r="L14" s="24">
        <v>4.17</v>
      </c>
      <c r="M14" s="25">
        <f t="shared" si="0"/>
        <v>66052.800000000003</v>
      </c>
      <c r="N14" s="48"/>
      <c r="O14" s="24">
        <v>7.14</v>
      </c>
      <c r="P14" s="50">
        <f t="shared" si="4"/>
        <v>113097.59999999999</v>
      </c>
      <c r="Q14" s="51">
        <f t="shared" si="5"/>
        <v>2211020.6998267858</v>
      </c>
      <c r="R14" s="52">
        <f t="shared" si="1"/>
        <v>153.74596341191753</v>
      </c>
      <c r="S14" s="21"/>
    </row>
    <row r="15" spans="1:21">
      <c r="A15" s="20"/>
      <c r="B15" s="22">
        <v>7</v>
      </c>
      <c r="C15" s="46">
        <f>Electricity!C14</f>
        <v>45</v>
      </c>
      <c r="D15" s="47">
        <f>Electricity!D14</f>
        <v>285</v>
      </c>
      <c r="E15" s="82"/>
      <c r="F15" s="24">
        <v>90.155563198192553</v>
      </c>
      <c r="G15" s="49">
        <f t="shared" si="2"/>
        <v>1428064.12105937</v>
      </c>
      <c r="H15" s="48"/>
      <c r="I15" s="50">
        <v>45.077781599096276</v>
      </c>
      <c r="J15" s="49">
        <f t="shared" si="3"/>
        <v>714032.060529685</v>
      </c>
      <c r="K15" s="48"/>
      <c r="L15" s="24">
        <v>4.17</v>
      </c>
      <c r="M15" s="25">
        <f t="shared" si="0"/>
        <v>66052.800000000003</v>
      </c>
      <c r="N15" s="48"/>
      <c r="O15" s="24">
        <v>7.14</v>
      </c>
      <c r="P15" s="50">
        <f t="shared" si="4"/>
        <v>113097.59999999999</v>
      </c>
      <c r="Q15" s="51">
        <f t="shared" si="5"/>
        <v>2321246.5815890552</v>
      </c>
      <c r="R15" s="52">
        <f t="shared" si="1"/>
        <v>161.41065166463079</v>
      </c>
      <c r="S15" s="21"/>
    </row>
    <row r="16" spans="1:21">
      <c r="A16" s="20"/>
      <c r="B16" s="22">
        <v>8</v>
      </c>
      <c r="C16" s="46">
        <f>Electricity!C15</f>
        <v>41</v>
      </c>
      <c r="D16" s="47">
        <f>Electricity!D15</f>
        <v>232</v>
      </c>
      <c r="E16" s="82"/>
      <c r="F16" s="24">
        <v>72.593118112212892</v>
      </c>
      <c r="G16" s="49">
        <f t="shared" si="2"/>
        <v>1149874.9908974522</v>
      </c>
      <c r="H16" s="48"/>
      <c r="I16" s="50">
        <v>36.296559056106446</v>
      </c>
      <c r="J16" s="49">
        <f t="shared" si="3"/>
        <v>574937.49544872611</v>
      </c>
      <c r="K16" s="48"/>
      <c r="L16" s="24">
        <v>4.17</v>
      </c>
      <c r="M16" s="25">
        <f t="shared" si="0"/>
        <v>66052.800000000003</v>
      </c>
      <c r="N16" s="48"/>
      <c r="O16" s="24">
        <v>7.14</v>
      </c>
      <c r="P16" s="50">
        <f t="shared" si="4"/>
        <v>113097.59999999999</v>
      </c>
      <c r="Q16" s="51">
        <f t="shared" si="5"/>
        <v>1903962.8863461786</v>
      </c>
      <c r="R16" s="52">
        <f t="shared" si="1"/>
        <v>132.39433185078775</v>
      </c>
      <c r="S16" s="21"/>
    </row>
    <row r="17" spans="1:19">
      <c r="A17" s="20"/>
      <c r="B17" s="22">
        <v>9</v>
      </c>
      <c r="C17" s="46">
        <f>Electricity!C16</f>
        <v>38</v>
      </c>
      <c r="D17" s="47">
        <f>Electricity!D16</f>
        <v>208</v>
      </c>
      <c r="E17" s="83"/>
      <c r="F17" s="24">
        <v>64.640312790259827</v>
      </c>
      <c r="G17" s="49">
        <f t="shared" si="2"/>
        <v>1023902.5545977156</v>
      </c>
      <c r="H17" s="48"/>
      <c r="I17" s="50">
        <v>32.320156395129914</v>
      </c>
      <c r="J17" s="49">
        <f t="shared" si="3"/>
        <v>511951.27729885781</v>
      </c>
      <c r="K17" s="48"/>
      <c r="L17" s="24">
        <v>4.17</v>
      </c>
      <c r="M17" s="25">
        <f t="shared" si="0"/>
        <v>66052.800000000003</v>
      </c>
      <c r="N17" s="48"/>
      <c r="O17" s="24">
        <v>7.14</v>
      </c>
      <c r="P17" s="50">
        <f t="shared" si="4"/>
        <v>113097.59999999999</v>
      </c>
      <c r="Q17" s="51">
        <f t="shared" si="5"/>
        <v>1715004.2318965737</v>
      </c>
      <c r="R17" s="52">
        <f t="shared" si="1"/>
        <v>119.25486627470785</v>
      </c>
      <c r="S17" s="21"/>
    </row>
    <row r="18" spans="1:19">
      <c r="A18" s="20"/>
      <c r="B18" s="22">
        <v>10</v>
      </c>
      <c r="C18" s="46">
        <f>Electricity!C17</f>
        <v>49</v>
      </c>
      <c r="D18" s="47">
        <f>Electricity!D17</f>
        <v>358</v>
      </c>
      <c r="E18" s="82"/>
      <c r="F18" s="24">
        <v>114.34534605246644</v>
      </c>
      <c r="G18" s="49">
        <f t="shared" si="2"/>
        <v>1811230.2814710685</v>
      </c>
      <c r="H18" s="48"/>
      <c r="I18" s="50">
        <v>57.17267302623322</v>
      </c>
      <c r="J18" s="49">
        <f t="shared" si="3"/>
        <v>905615.14073553425</v>
      </c>
      <c r="K18" s="48"/>
      <c r="L18" s="24">
        <v>4.17</v>
      </c>
      <c r="M18" s="25">
        <f t="shared" si="0"/>
        <v>66052.800000000003</v>
      </c>
      <c r="N18" s="48"/>
      <c r="O18" s="24">
        <v>7.14</v>
      </c>
      <c r="P18" s="50">
        <f t="shared" si="4"/>
        <v>113097.59999999999</v>
      </c>
      <c r="Q18" s="51">
        <f t="shared" si="5"/>
        <v>2895995.8222066029</v>
      </c>
      <c r="R18" s="52">
        <f t="shared" si="1"/>
        <v>201.37652612520708</v>
      </c>
      <c r="S18" s="21"/>
    </row>
    <row r="19" spans="1:19">
      <c r="A19" s="20"/>
      <c r="B19" s="22">
        <v>11</v>
      </c>
      <c r="C19" s="46">
        <f>Electricity!C18</f>
        <v>55</v>
      </c>
      <c r="D19" s="47">
        <f>Electricity!D18</f>
        <v>229</v>
      </c>
      <c r="E19" s="82"/>
      <c r="F19" s="24">
        <v>71.599017446968745</v>
      </c>
      <c r="G19" s="49">
        <f t="shared" si="2"/>
        <v>1134128.4363599848</v>
      </c>
      <c r="H19" s="48"/>
      <c r="I19" s="50">
        <v>35.799508723484372</v>
      </c>
      <c r="J19" s="49">
        <f t="shared" si="3"/>
        <v>567064.2181799924</v>
      </c>
      <c r="K19" s="48"/>
      <c r="L19" s="24">
        <v>4.17</v>
      </c>
      <c r="M19" s="25">
        <f t="shared" si="0"/>
        <v>66052.800000000003</v>
      </c>
      <c r="N19" s="48"/>
      <c r="O19" s="24">
        <v>7.14</v>
      </c>
      <c r="P19" s="50">
        <f t="shared" si="4"/>
        <v>113097.59999999999</v>
      </c>
      <c r="Q19" s="51">
        <f t="shared" si="5"/>
        <v>1880343.0545399773</v>
      </c>
      <c r="R19" s="52">
        <f t="shared" si="1"/>
        <v>130.75189865377772</v>
      </c>
      <c r="S19" s="21"/>
    </row>
    <row r="20" spans="1:19">
      <c r="A20" s="20"/>
      <c r="B20" s="22">
        <v>12</v>
      </c>
      <c r="C20" s="46">
        <f>Electricity!C19</f>
        <v>52</v>
      </c>
      <c r="D20" s="47">
        <f>Electricity!D19</f>
        <v>250</v>
      </c>
      <c r="E20" s="82"/>
      <c r="F20" s="24">
        <v>78.557722103677676</v>
      </c>
      <c r="G20" s="49">
        <f t="shared" si="2"/>
        <v>1244354.3181222545</v>
      </c>
      <c r="H20" s="48"/>
      <c r="I20" s="50">
        <v>39.278861051838838</v>
      </c>
      <c r="J20" s="49">
        <f t="shared" si="3"/>
        <v>622177.15906112723</v>
      </c>
      <c r="K20" s="48"/>
      <c r="L20" s="24">
        <v>4.17</v>
      </c>
      <c r="M20" s="25">
        <f t="shared" si="0"/>
        <v>66052.800000000003</v>
      </c>
      <c r="N20" s="48"/>
      <c r="O20" s="24">
        <v>7.14</v>
      </c>
      <c r="P20" s="50">
        <f t="shared" si="4"/>
        <v>113097.59999999999</v>
      </c>
      <c r="Q20" s="51">
        <f t="shared" si="5"/>
        <v>2045681.8771833819</v>
      </c>
      <c r="R20" s="52">
        <f t="shared" si="1"/>
        <v>142.24893103284765</v>
      </c>
      <c r="S20" s="21"/>
    </row>
    <row r="21" spans="1:19">
      <c r="A21" s="20"/>
      <c r="B21" s="22">
        <v>13</v>
      </c>
      <c r="C21" s="46">
        <f>Electricity!C20</f>
        <v>37</v>
      </c>
      <c r="D21" s="47">
        <f>Electricity!D20</f>
        <v>211</v>
      </c>
      <c r="E21" s="82"/>
      <c r="F21" s="24">
        <v>65.634413455503946</v>
      </c>
      <c r="G21" s="49">
        <f t="shared" si="2"/>
        <v>1039649.1091351825</v>
      </c>
      <c r="H21" s="48"/>
      <c r="I21" s="50">
        <v>32.817206727751973</v>
      </c>
      <c r="J21" s="49">
        <f t="shared" si="3"/>
        <v>519824.55456759123</v>
      </c>
      <c r="K21" s="48"/>
      <c r="L21" s="24"/>
      <c r="M21" s="25">
        <f t="shared" si="0"/>
        <v>0</v>
      </c>
      <c r="N21" s="48"/>
      <c r="O21" s="24">
        <v>7.14</v>
      </c>
      <c r="P21" s="50">
        <f t="shared" si="4"/>
        <v>113097.59999999999</v>
      </c>
      <c r="Q21" s="51">
        <f t="shared" si="5"/>
        <v>1672571.2637027737</v>
      </c>
      <c r="R21" s="52">
        <f t="shared" si="1"/>
        <v>116.30423918383796</v>
      </c>
      <c r="S21" s="21"/>
    </row>
    <row r="22" spans="1:19">
      <c r="A22" s="20"/>
      <c r="B22" s="22">
        <v>14</v>
      </c>
      <c r="C22" s="46">
        <f>Electricity!C21</f>
        <v>39</v>
      </c>
      <c r="D22" s="47">
        <f>Electricity!D21</f>
        <v>216</v>
      </c>
      <c r="E22" s="82"/>
      <c r="F22" s="24">
        <v>67.291247897577506</v>
      </c>
      <c r="G22" s="49">
        <f t="shared" si="2"/>
        <v>1065893.3666976276</v>
      </c>
      <c r="H22" s="48"/>
      <c r="I22" s="50">
        <v>33.645623948788753</v>
      </c>
      <c r="J22" s="49">
        <f t="shared" si="3"/>
        <v>532946.68334881379</v>
      </c>
      <c r="K22" s="48"/>
      <c r="L22" s="24">
        <v>4.17</v>
      </c>
      <c r="M22" s="25">
        <f t="shared" si="0"/>
        <v>66052.800000000003</v>
      </c>
      <c r="N22" s="48"/>
      <c r="O22" s="24">
        <v>7.14</v>
      </c>
      <c r="P22" s="50">
        <f t="shared" si="4"/>
        <v>113097.59999999999</v>
      </c>
      <c r="Q22" s="51">
        <f t="shared" si="5"/>
        <v>1777990.4500464415</v>
      </c>
      <c r="R22" s="52">
        <f t="shared" si="1"/>
        <v>123.63468813340113</v>
      </c>
      <c r="S22" s="21"/>
    </row>
    <row r="23" spans="1:19">
      <c r="A23" s="20"/>
      <c r="B23" s="22">
        <v>15</v>
      </c>
      <c r="C23" s="46">
        <f>Electricity!C22</f>
        <v>47</v>
      </c>
      <c r="D23" s="47">
        <f>Electricity!D22</f>
        <v>240</v>
      </c>
      <c r="E23" s="82"/>
      <c r="F23" s="24">
        <v>75.244053219530571</v>
      </c>
      <c r="G23" s="49">
        <f t="shared" si="2"/>
        <v>1191865.8029973642</v>
      </c>
      <c r="H23" s="48"/>
      <c r="I23" s="50">
        <v>37.622026609765285</v>
      </c>
      <c r="J23" s="49">
        <f t="shared" si="3"/>
        <v>595932.9014986821</v>
      </c>
      <c r="K23" s="48"/>
      <c r="L23" s="24">
        <v>4.17</v>
      </c>
      <c r="M23" s="25">
        <f t="shared" si="0"/>
        <v>66052.800000000003</v>
      </c>
      <c r="N23" s="48"/>
      <c r="O23" s="24">
        <v>7.14</v>
      </c>
      <c r="P23" s="50">
        <f t="shared" si="4"/>
        <v>113097.59999999999</v>
      </c>
      <c r="Q23" s="51">
        <f t="shared" si="5"/>
        <v>1966949.1044960464</v>
      </c>
      <c r="R23" s="52">
        <f t="shared" si="1"/>
        <v>136.774153709481</v>
      </c>
      <c r="S23" s="21"/>
    </row>
    <row r="24" spans="1:19">
      <c r="A24" s="20"/>
      <c r="B24" s="22">
        <v>16</v>
      </c>
      <c r="C24" s="46">
        <f>Electricity!C23</f>
        <v>48</v>
      </c>
      <c r="D24" s="47">
        <f>Electricity!D23</f>
        <v>284</v>
      </c>
      <c r="E24" s="82"/>
      <c r="F24" s="24">
        <v>89.824196309777847</v>
      </c>
      <c r="G24" s="49">
        <f t="shared" si="2"/>
        <v>1422815.2695468811</v>
      </c>
      <c r="H24" s="48"/>
      <c r="I24" s="50">
        <v>44.912098154888923</v>
      </c>
      <c r="J24" s="49">
        <f t="shared" si="3"/>
        <v>711407.63477344054</v>
      </c>
      <c r="K24" s="48"/>
      <c r="L24" s="24">
        <v>4.17</v>
      </c>
      <c r="M24" s="25">
        <f t="shared" si="0"/>
        <v>66052.800000000003</v>
      </c>
      <c r="N24" s="48"/>
      <c r="O24" s="24">
        <v>7.14</v>
      </c>
      <c r="P24" s="50">
        <f t="shared" si="4"/>
        <v>113097.59999999999</v>
      </c>
      <c r="Q24" s="51">
        <f t="shared" si="5"/>
        <v>2313373.3043203219</v>
      </c>
      <c r="R24" s="52">
        <f t="shared" si="1"/>
        <v>160.86317393229413</v>
      </c>
      <c r="S24" s="21"/>
    </row>
    <row r="25" spans="1:19">
      <c r="A25" s="20"/>
      <c r="B25" s="22">
        <v>17</v>
      </c>
      <c r="C25" s="46">
        <f>Electricity!C24</f>
        <v>47</v>
      </c>
      <c r="D25" s="47">
        <f>Electricity!D24</f>
        <v>303</v>
      </c>
      <c r="E25" s="82"/>
      <c r="F25" s="24">
        <v>96.120167189657337</v>
      </c>
      <c r="G25" s="49">
        <f t="shared" si="2"/>
        <v>1522543.4482841722</v>
      </c>
      <c r="H25" s="48"/>
      <c r="I25" s="50">
        <v>48.060083594828669</v>
      </c>
      <c r="J25" s="49">
        <f t="shared" si="3"/>
        <v>761271.72414208611</v>
      </c>
      <c r="K25" s="48"/>
      <c r="L25" s="24">
        <v>4.17</v>
      </c>
      <c r="M25" s="25">
        <f t="shared" si="0"/>
        <v>66052.800000000003</v>
      </c>
      <c r="N25" s="48"/>
      <c r="O25" s="24">
        <v>7.14</v>
      </c>
      <c r="P25" s="50">
        <f t="shared" si="4"/>
        <v>113097.59999999999</v>
      </c>
      <c r="Q25" s="51">
        <f t="shared" si="5"/>
        <v>2462965.5724262586</v>
      </c>
      <c r="R25" s="52">
        <f t="shared" si="1"/>
        <v>171.26525084669066</v>
      </c>
      <c r="S25" s="21"/>
    </row>
    <row r="26" spans="1:19">
      <c r="A26" s="20"/>
      <c r="B26" s="22">
        <v>18</v>
      </c>
      <c r="C26" s="46">
        <f>Electricity!C25</f>
        <v>46</v>
      </c>
      <c r="D26" s="47">
        <f>Electricity!D25</f>
        <v>265</v>
      </c>
      <c r="E26" s="82"/>
      <c r="F26" s="24">
        <v>83.528225429898328</v>
      </c>
      <c r="G26" s="49">
        <f t="shared" si="2"/>
        <v>1323087.0908095895</v>
      </c>
      <c r="H26" s="48"/>
      <c r="I26" s="50">
        <v>41.764112714949164</v>
      </c>
      <c r="J26" s="49">
        <f t="shared" si="3"/>
        <v>661543.54540479474</v>
      </c>
      <c r="K26" s="48"/>
      <c r="L26" s="24">
        <v>4.17</v>
      </c>
      <c r="M26" s="25">
        <f t="shared" si="0"/>
        <v>66052.800000000003</v>
      </c>
      <c r="N26" s="48"/>
      <c r="O26" s="24">
        <v>7.14</v>
      </c>
      <c r="P26" s="50">
        <f t="shared" si="4"/>
        <v>113097.59999999999</v>
      </c>
      <c r="Q26" s="51">
        <f t="shared" si="5"/>
        <v>2163781.0362143843</v>
      </c>
      <c r="R26" s="52">
        <f t="shared" si="1"/>
        <v>150.46109701789752</v>
      </c>
      <c r="S26" s="21"/>
    </row>
    <row r="27" spans="1:19">
      <c r="A27" s="20"/>
      <c r="B27" s="22">
        <v>19</v>
      </c>
      <c r="C27" s="46">
        <f>Electricity!C26</f>
        <v>51</v>
      </c>
      <c r="D27" s="47">
        <f>Electricity!D26</f>
        <v>304</v>
      </c>
      <c r="E27" s="82"/>
      <c r="F27" s="24">
        <v>96.451534078072058</v>
      </c>
      <c r="G27" s="49">
        <f t="shared" si="2"/>
        <v>1527792.2997966614</v>
      </c>
      <c r="H27" s="48"/>
      <c r="I27" s="50">
        <v>48.225767039036029</v>
      </c>
      <c r="J27" s="49">
        <f t="shared" si="3"/>
        <v>763896.14989833068</v>
      </c>
      <c r="K27" s="48"/>
      <c r="L27" s="24">
        <v>4.17</v>
      </c>
      <c r="M27" s="25">
        <f t="shared" si="0"/>
        <v>66052.800000000003</v>
      </c>
      <c r="N27" s="48"/>
      <c r="O27" s="24">
        <v>7.14</v>
      </c>
      <c r="P27" s="50">
        <f t="shared" si="4"/>
        <v>113097.59999999999</v>
      </c>
      <c r="Q27" s="51">
        <f t="shared" si="5"/>
        <v>2470838.8496949919</v>
      </c>
      <c r="R27" s="52">
        <f t="shared" si="1"/>
        <v>171.81272857902732</v>
      </c>
      <c r="S27" s="21"/>
    </row>
    <row r="28" spans="1:19">
      <c r="A28" s="20"/>
      <c r="B28" s="22">
        <v>20</v>
      </c>
      <c r="C28" s="46">
        <f>Electricity!C27</f>
        <v>50</v>
      </c>
      <c r="D28" s="47">
        <f>Electricity!D27</f>
        <v>304</v>
      </c>
      <c r="E28" s="82"/>
      <c r="F28" s="24">
        <v>96.451534078072058</v>
      </c>
      <c r="G28" s="49">
        <f t="shared" si="2"/>
        <v>1527792.2997966614</v>
      </c>
      <c r="H28" s="48"/>
      <c r="I28" s="50">
        <v>48.225767039036029</v>
      </c>
      <c r="J28" s="49">
        <f t="shared" si="3"/>
        <v>763896.14989833068</v>
      </c>
      <c r="K28" s="48"/>
      <c r="L28" s="24"/>
      <c r="M28" s="25">
        <f t="shared" si="0"/>
        <v>0</v>
      </c>
      <c r="N28" s="48"/>
      <c r="O28" s="24">
        <v>7.14</v>
      </c>
      <c r="P28" s="50">
        <f t="shared" si="4"/>
        <v>113097.59999999999</v>
      </c>
      <c r="Q28" s="51">
        <f t="shared" si="5"/>
        <v>2404786.0496949921</v>
      </c>
      <c r="R28" s="52">
        <f t="shared" si="1"/>
        <v>167.21966829114749</v>
      </c>
      <c r="S28" s="21"/>
    </row>
    <row r="29" spans="1:19">
      <c r="A29" s="20"/>
      <c r="B29" s="22">
        <v>21</v>
      </c>
      <c r="C29" s="46">
        <f>Electricity!C28</f>
        <v>41</v>
      </c>
      <c r="D29" s="47">
        <f>Electricity!D28</f>
        <v>258</v>
      </c>
      <c r="E29" s="82"/>
      <c r="F29" s="24">
        <v>81.208657210995355</v>
      </c>
      <c r="G29" s="49">
        <f t="shared" si="2"/>
        <v>1286345.1302221664</v>
      </c>
      <c r="H29" s="48"/>
      <c r="I29" s="50">
        <v>40.604328605497678</v>
      </c>
      <c r="J29" s="49">
        <f t="shared" si="3"/>
        <v>643172.56511108321</v>
      </c>
      <c r="K29" s="48"/>
      <c r="L29" s="24">
        <v>4.17</v>
      </c>
      <c r="M29" s="25">
        <f t="shared" si="0"/>
        <v>66052.800000000003</v>
      </c>
      <c r="N29" s="48"/>
      <c r="O29" s="24">
        <v>7.14</v>
      </c>
      <c r="P29" s="50">
        <f t="shared" si="4"/>
        <v>113097.59999999999</v>
      </c>
      <c r="Q29" s="51">
        <f t="shared" si="5"/>
        <v>2108668.0953332498</v>
      </c>
      <c r="R29" s="52">
        <f t="shared" si="1"/>
        <v>146.6287528915409</v>
      </c>
      <c r="S29" s="21"/>
    </row>
    <row r="30" spans="1:19">
      <c r="A30" s="20"/>
      <c r="B30" s="22">
        <v>22</v>
      </c>
      <c r="C30" s="46">
        <f>Electricity!C29</f>
        <v>41</v>
      </c>
      <c r="D30" s="47">
        <f>Electricity!D29</f>
        <v>248</v>
      </c>
      <c r="E30" s="82"/>
      <c r="F30" s="24">
        <v>77.894988326848249</v>
      </c>
      <c r="G30" s="49">
        <f t="shared" si="2"/>
        <v>1233856.6150972762</v>
      </c>
      <c r="H30" s="48"/>
      <c r="I30" s="50">
        <v>38.947494163424125</v>
      </c>
      <c r="J30" s="49">
        <f t="shared" si="3"/>
        <v>616928.30754863808</v>
      </c>
      <c r="K30" s="48"/>
      <c r="L30" s="24">
        <v>4.17</v>
      </c>
      <c r="M30" s="25">
        <f t="shared" si="0"/>
        <v>66052.800000000003</v>
      </c>
      <c r="N30" s="48"/>
      <c r="O30" s="24">
        <v>7.14</v>
      </c>
      <c r="P30" s="50">
        <f t="shared" si="4"/>
        <v>113097.59999999999</v>
      </c>
      <c r="Q30" s="51">
        <f t="shared" si="5"/>
        <v>2029935.3226459143</v>
      </c>
      <c r="R30" s="52">
        <f t="shared" si="1"/>
        <v>141.15397556817427</v>
      </c>
      <c r="S30" s="21"/>
    </row>
    <row r="31" spans="1:19">
      <c r="A31" s="20"/>
      <c r="B31" s="22">
        <v>23</v>
      </c>
      <c r="C31" s="46">
        <f>Electricity!C30</f>
        <v>51</v>
      </c>
      <c r="D31" s="47">
        <f>Electricity!D30</f>
        <v>235</v>
      </c>
      <c r="E31" s="82"/>
      <c r="F31" s="24">
        <v>73.587218777457011</v>
      </c>
      <c r="G31" s="49">
        <f t="shared" si="2"/>
        <v>1165621.545434919</v>
      </c>
      <c r="H31" s="48"/>
      <c r="I31" s="50">
        <v>36.793609388728505</v>
      </c>
      <c r="J31" s="49">
        <f t="shared" si="3"/>
        <v>582810.77271745948</v>
      </c>
      <c r="K31" s="48"/>
      <c r="L31" s="24">
        <v>4.17</v>
      </c>
      <c r="M31" s="25">
        <f t="shared" si="0"/>
        <v>66052.800000000003</v>
      </c>
      <c r="N31" s="48"/>
      <c r="O31" s="24">
        <v>7.14</v>
      </c>
      <c r="P31" s="50">
        <f t="shared" si="4"/>
        <v>113097.59999999999</v>
      </c>
      <c r="Q31" s="51">
        <f t="shared" si="5"/>
        <v>1927582.7181523787</v>
      </c>
      <c r="R31" s="52">
        <f t="shared" si="1"/>
        <v>134.0367650477977</v>
      </c>
      <c r="S31" s="21"/>
    </row>
    <row r="32" spans="1:19">
      <c r="A32" s="20"/>
      <c r="B32" s="22">
        <v>24</v>
      </c>
      <c r="C32" s="46">
        <f>Electricity!C31</f>
        <v>51</v>
      </c>
      <c r="D32" s="47">
        <f>Electricity!D31</f>
        <v>241</v>
      </c>
      <c r="E32" s="82"/>
      <c r="F32" s="81">
        <v>75.575420107945263</v>
      </c>
      <c r="G32" s="49">
        <f t="shared" si="2"/>
        <v>1197114.6545098529</v>
      </c>
      <c r="H32" s="48"/>
      <c r="I32" s="50">
        <v>37.787710053972631</v>
      </c>
      <c r="J32" s="49">
        <f t="shared" si="3"/>
        <v>598557.32725492644</v>
      </c>
      <c r="K32" s="48"/>
      <c r="L32" s="24">
        <v>4.17</v>
      </c>
      <c r="M32" s="25">
        <f t="shared" si="0"/>
        <v>66052.800000000003</v>
      </c>
      <c r="N32" s="48"/>
      <c r="O32" s="24">
        <v>7.14</v>
      </c>
      <c r="P32" s="50">
        <f t="shared" si="4"/>
        <v>113097.59999999999</v>
      </c>
      <c r="Q32" s="51">
        <f t="shared" si="5"/>
        <v>1974822.3817647793</v>
      </c>
      <c r="R32" s="52">
        <f t="shared" si="1"/>
        <v>137.32163144181763</v>
      </c>
      <c r="S32" s="21"/>
    </row>
    <row r="33" spans="1:21">
      <c r="A33" s="20"/>
      <c r="B33" s="22">
        <v>25</v>
      </c>
      <c r="C33" s="46">
        <f>Electricity!C32</f>
        <v>36</v>
      </c>
      <c r="D33" s="47">
        <f>Electricity!D32</f>
        <v>265</v>
      </c>
      <c r="E33" s="82"/>
      <c r="F33" s="81">
        <v>83.528225429898328</v>
      </c>
      <c r="G33" s="49">
        <f t="shared" si="2"/>
        <v>1323087.0908095895</v>
      </c>
      <c r="H33" s="48"/>
      <c r="I33" s="50">
        <v>41.764112714949164</v>
      </c>
      <c r="J33" s="49">
        <f t="shared" si="3"/>
        <v>661543.54540479474</v>
      </c>
      <c r="K33" s="48"/>
      <c r="L33" s="24">
        <v>4.17</v>
      </c>
      <c r="M33" s="25">
        <f t="shared" si="0"/>
        <v>66052.800000000003</v>
      </c>
      <c r="N33" s="48"/>
      <c r="O33" s="24">
        <v>7.14</v>
      </c>
      <c r="P33" s="50">
        <f t="shared" si="4"/>
        <v>113097.59999999999</v>
      </c>
      <c r="Q33" s="51">
        <f t="shared" si="5"/>
        <v>2163781.0362143843</v>
      </c>
      <c r="R33" s="52">
        <f t="shared" si="1"/>
        <v>150.46109701789752</v>
      </c>
      <c r="S33" s="21"/>
    </row>
    <row r="34" spans="1:21">
      <c r="A34" s="20"/>
      <c r="B34" s="22">
        <v>26</v>
      </c>
      <c r="C34" s="46">
        <f>Electricity!C33</f>
        <v>34</v>
      </c>
      <c r="D34" s="47">
        <f>Electricity!D33</f>
        <v>208</v>
      </c>
      <c r="E34" s="82"/>
      <c r="F34" s="81">
        <v>64.640312790259827</v>
      </c>
      <c r="G34" s="49">
        <f t="shared" si="2"/>
        <v>1023902.5545977156</v>
      </c>
      <c r="H34" s="48"/>
      <c r="I34" s="50">
        <v>32.320156395129914</v>
      </c>
      <c r="J34" s="49">
        <f t="shared" si="3"/>
        <v>511951.27729885781</v>
      </c>
      <c r="K34" s="48"/>
      <c r="L34" s="24">
        <v>4.17</v>
      </c>
      <c r="M34" s="25">
        <f t="shared" si="0"/>
        <v>66052.800000000003</v>
      </c>
      <c r="N34" s="48"/>
      <c r="O34" s="24">
        <v>7.14</v>
      </c>
      <c r="P34" s="50">
        <f t="shared" si="4"/>
        <v>113097.59999999999</v>
      </c>
      <c r="Q34" s="51">
        <f t="shared" si="5"/>
        <v>1715004.2318965737</v>
      </c>
      <c r="R34" s="52">
        <f t="shared" si="1"/>
        <v>119.25486627470785</v>
      </c>
      <c r="S34" s="21"/>
    </row>
    <row r="35" spans="1:21">
      <c r="A35" s="20"/>
      <c r="B35" s="22">
        <v>27</v>
      </c>
      <c r="C35" s="46">
        <f>Electricity!C34</f>
        <v>49</v>
      </c>
      <c r="D35" s="47">
        <f>Electricity!D34</f>
        <v>261</v>
      </c>
      <c r="E35" s="82"/>
      <c r="F35" s="81">
        <v>82.202757876239502</v>
      </c>
      <c r="G35" s="49">
        <f t="shared" si="2"/>
        <v>1302091.6847596336</v>
      </c>
      <c r="H35" s="48"/>
      <c r="I35" s="50">
        <v>41.101378938119751</v>
      </c>
      <c r="J35" s="49">
        <f t="shared" si="3"/>
        <v>651045.84237981681</v>
      </c>
      <c r="K35" s="48"/>
      <c r="L35" s="24">
        <v>4.17</v>
      </c>
      <c r="M35" s="25">
        <f t="shared" si="0"/>
        <v>66052.800000000003</v>
      </c>
      <c r="N35" s="48"/>
      <c r="O35" s="24">
        <v>7.14</v>
      </c>
      <c r="P35" s="50">
        <f t="shared" si="4"/>
        <v>113097.59999999999</v>
      </c>
      <c r="Q35" s="51">
        <f t="shared" si="5"/>
        <v>2132287.9271394503</v>
      </c>
      <c r="R35" s="52">
        <f t="shared" si="1"/>
        <v>148.27118608855088</v>
      </c>
      <c r="S35" s="21"/>
    </row>
    <row r="36" spans="1:21">
      <c r="A36" s="20"/>
      <c r="B36" s="22">
        <v>28</v>
      </c>
      <c r="C36" s="46">
        <f>Electricity!C35</f>
        <v>54</v>
      </c>
      <c r="D36" s="47">
        <f>Electricity!D35</f>
        <v>319</v>
      </c>
      <c r="E36" s="82"/>
      <c r="F36" s="81">
        <v>101.42203740429271</v>
      </c>
      <c r="G36" s="49">
        <f t="shared" si="2"/>
        <v>1606525.0724839966</v>
      </c>
      <c r="H36" s="48"/>
      <c r="I36" s="50">
        <v>50.711018702146355</v>
      </c>
      <c r="J36" s="49">
        <f t="shared" si="3"/>
        <v>803262.53624199831</v>
      </c>
      <c r="K36" s="48"/>
      <c r="L36" s="24">
        <v>4.17</v>
      </c>
      <c r="M36" s="25">
        <f t="shared" si="0"/>
        <v>66052.800000000003</v>
      </c>
      <c r="N36" s="48"/>
      <c r="O36" s="24">
        <v>7.14</v>
      </c>
      <c r="P36" s="50">
        <f t="shared" si="4"/>
        <v>113097.59999999999</v>
      </c>
      <c r="Q36" s="51">
        <f t="shared" si="5"/>
        <v>2588938.0087259952</v>
      </c>
      <c r="R36" s="52">
        <f t="shared" si="1"/>
        <v>180.02489456407727</v>
      </c>
      <c r="S36" s="21"/>
    </row>
    <row r="37" spans="1:21">
      <c r="A37" s="20"/>
      <c r="B37" s="22">
        <v>29</v>
      </c>
      <c r="C37" s="46">
        <f>Electricity!C36</f>
        <v>54</v>
      </c>
      <c r="D37" s="47">
        <f>Electricity!D36</f>
        <v>274</v>
      </c>
      <c r="E37" s="80"/>
      <c r="F37" s="81">
        <v>86.510527425630727</v>
      </c>
      <c r="G37" s="49">
        <f t="shared" si="2"/>
        <v>1370326.7544219906</v>
      </c>
      <c r="H37" s="48"/>
      <c r="I37" s="50">
        <v>43.255263712815363</v>
      </c>
      <c r="J37" s="49">
        <f t="shared" si="3"/>
        <v>685163.3772109953</v>
      </c>
      <c r="K37" s="48"/>
      <c r="L37" s="24">
        <v>4.17</v>
      </c>
      <c r="M37" s="25">
        <f t="shared" si="0"/>
        <v>66052.800000000003</v>
      </c>
      <c r="N37" s="48"/>
      <c r="O37" s="24">
        <v>7.14</v>
      </c>
      <c r="P37" s="50">
        <f t="shared" si="4"/>
        <v>113097.59999999999</v>
      </c>
      <c r="Q37" s="51">
        <f t="shared" si="5"/>
        <v>2234640.5316329859</v>
      </c>
      <c r="R37" s="52">
        <f t="shared" si="1"/>
        <v>155.38839660892748</v>
      </c>
      <c r="S37" s="21"/>
    </row>
    <row r="38" spans="1:21">
      <c r="A38" s="20"/>
      <c r="B38" s="22">
        <v>30</v>
      </c>
      <c r="C38" s="46">
        <f>Electricity!C37</f>
        <v>49</v>
      </c>
      <c r="D38" s="47">
        <f>Electricity!D37</f>
        <v>321</v>
      </c>
      <c r="E38" s="80"/>
      <c r="F38" s="81">
        <v>102.08477118112214</v>
      </c>
      <c r="G38" s="49">
        <f t="shared" si="2"/>
        <v>1617022.7755089747</v>
      </c>
      <c r="H38" s="48"/>
      <c r="I38" s="50">
        <v>51.042385590561068</v>
      </c>
      <c r="J38" s="49">
        <f t="shared" si="3"/>
        <v>808511.38775448734</v>
      </c>
      <c r="K38" s="48"/>
      <c r="L38" s="24">
        <v>4.17</v>
      </c>
      <c r="M38" s="25">
        <f t="shared" si="0"/>
        <v>66052.800000000003</v>
      </c>
      <c r="N38" s="48"/>
      <c r="O38" s="24">
        <v>7.14</v>
      </c>
      <c r="P38" s="50">
        <f t="shared" si="4"/>
        <v>113097.59999999999</v>
      </c>
      <c r="Q38" s="51">
        <f t="shared" si="5"/>
        <v>2604684.5632634624</v>
      </c>
      <c r="R38" s="52">
        <f t="shared" si="1"/>
        <v>181.11985002875059</v>
      </c>
      <c r="S38" s="21"/>
    </row>
    <row r="39" spans="1:21" ht="15.75" thickBot="1">
      <c r="A39" s="20"/>
      <c r="B39" s="22">
        <v>31</v>
      </c>
      <c r="C39" s="46" t="str">
        <f>Electricity!C38</f>
        <v xml:space="preserve"> -   </v>
      </c>
      <c r="D39" s="47" t="str">
        <f>Electricity!D38</f>
        <v xml:space="preserve"> -   </v>
      </c>
      <c r="E39" s="80"/>
      <c r="F39" s="81"/>
      <c r="G39" s="49">
        <f t="shared" si="2"/>
        <v>0</v>
      </c>
      <c r="H39" s="48"/>
      <c r="I39" s="96"/>
      <c r="J39" s="49">
        <f t="shared" si="3"/>
        <v>0</v>
      </c>
      <c r="K39" s="48"/>
      <c r="L39" s="24"/>
      <c r="M39" s="25">
        <f t="shared" si="0"/>
        <v>0</v>
      </c>
      <c r="N39" s="48"/>
      <c r="O39" s="24">
        <v>7.14</v>
      </c>
      <c r="P39" s="50">
        <f t="shared" si="4"/>
        <v>113097.59999999999</v>
      </c>
      <c r="Q39" s="51">
        <f t="shared" si="5"/>
        <v>113097.59999999999</v>
      </c>
      <c r="R39" s="52">
        <f t="shared" si="1"/>
        <v>7.8643766080244761</v>
      </c>
      <c r="S39" s="21"/>
    </row>
    <row r="40" spans="1:21">
      <c r="C40" s="53">
        <f>SUM(C9:C39)</f>
        <v>1357</v>
      </c>
      <c r="D40" s="53">
        <f>SUM(D9:D39)</f>
        <v>7781</v>
      </c>
      <c r="E40" s="30"/>
      <c r="F40" s="30">
        <f>SUM(F9:F39)</f>
        <v>2449.8457587548637</v>
      </c>
      <c r="G40" s="40"/>
      <c r="H40" s="40"/>
      <c r="I40" s="30" t="s">
        <v>44</v>
      </c>
      <c r="J40" s="40"/>
      <c r="K40" s="40"/>
      <c r="L40" s="30" t="s">
        <v>44</v>
      </c>
      <c r="M40" s="40"/>
      <c r="N40" s="39"/>
      <c r="O40" s="30">
        <f>SUM(O9:O39)</f>
        <v>221.3399999999998</v>
      </c>
      <c r="P40" s="40"/>
      <c r="Q40"/>
      <c r="R40" s="93">
        <f>SUM(R9:R39)</f>
        <v>4419.987429804296</v>
      </c>
      <c r="U40" s="35"/>
    </row>
    <row r="41" spans="1:21">
      <c r="E41" s="54"/>
      <c r="F41" s="55"/>
      <c r="G41" s="41"/>
      <c r="H41" s="41"/>
      <c r="I41" s="41"/>
      <c r="J41" s="41"/>
      <c r="K41" s="41"/>
      <c r="L41" s="41"/>
      <c r="M41" s="41"/>
      <c r="N41" s="59" t="s">
        <v>45</v>
      </c>
      <c r="O41" s="63">
        <f>F40+O40</f>
        <v>2671.1857587548634</v>
      </c>
      <c r="P41" s="56"/>
      <c r="Q41" s="30"/>
      <c r="R41" s="41"/>
      <c r="U41" s="37"/>
    </row>
    <row r="42" spans="1:21">
      <c r="B42" s="57"/>
      <c r="E42" s="39"/>
      <c r="F42" s="40"/>
      <c r="G42" s="40"/>
      <c r="H42" s="40"/>
      <c r="I42" s="40"/>
      <c r="J42" s="40"/>
      <c r="K42" s="40"/>
      <c r="L42" s="40"/>
      <c r="M42" s="41"/>
      <c r="N42" s="39"/>
      <c r="O42" s="40"/>
      <c r="P42" s="40"/>
      <c r="Q42" s="42"/>
      <c r="R42" s="58"/>
    </row>
    <row r="43" spans="1:21">
      <c r="E43" s="59"/>
      <c r="F43" s="59"/>
      <c r="G43" s="59"/>
      <c r="H43" s="59"/>
      <c r="I43" s="59"/>
      <c r="J43" s="59"/>
      <c r="K43" s="59"/>
      <c r="L43" s="59"/>
      <c r="M43" s="60"/>
      <c r="N43" s="59"/>
      <c r="O43" s="59"/>
      <c r="Q43" s="59"/>
      <c r="R43" s="61"/>
    </row>
    <row r="44" spans="1:21">
      <c r="R44" s="61"/>
    </row>
  </sheetData>
  <mergeCells count="20"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  <mergeCell ref="F7:F8"/>
    <mergeCell ref="H7:H8"/>
    <mergeCell ref="I7:I8"/>
    <mergeCell ref="K7:K8"/>
    <mergeCell ref="L7:L8"/>
    <mergeCell ref="N7:N8"/>
    <mergeCell ref="O7:O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workbookViewId="0">
      <selection activeCell="B4" sqref="B4:H4"/>
    </sheetView>
  </sheetViews>
  <sheetFormatPr defaultRowHeight="15"/>
  <cols>
    <col min="1" max="1" width="2.5703125" customWidth="1"/>
    <col min="2" max="2" width="5.42578125" customWidth="1"/>
    <col min="3" max="3" width="6.42578125" customWidth="1"/>
    <col min="4" max="4" width="8.42578125" style="19" customWidth="1"/>
    <col min="5" max="5" width="9.85546875" style="19" customWidth="1"/>
    <col min="6" max="6" width="8" style="76" bestFit="1" customWidth="1"/>
    <col min="7" max="7" width="13.28515625" style="76" bestFit="1" customWidth="1"/>
    <col min="8" max="8" width="16.28515625" style="31" customWidth="1"/>
    <col min="9" max="9" width="2.5703125" customWidth="1"/>
    <col min="11" max="11" width="21.5703125" customWidth="1"/>
  </cols>
  <sheetData>
    <row r="1" spans="1:9" ht="15.75">
      <c r="B1" s="98" t="s">
        <v>46</v>
      </c>
      <c r="C1" s="98"/>
      <c r="D1" s="98"/>
      <c r="E1" s="98"/>
      <c r="F1" s="98"/>
      <c r="G1" s="98"/>
      <c r="H1" s="98"/>
    </row>
    <row r="2" spans="1:9" ht="15.75">
      <c r="B2" s="98" t="s">
        <v>16</v>
      </c>
      <c r="C2" s="98"/>
      <c r="D2" s="98"/>
      <c r="E2" s="98"/>
      <c r="F2" s="98"/>
      <c r="G2" s="98"/>
      <c r="H2" s="98"/>
    </row>
    <row r="3" spans="1:9">
      <c r="B3" s="13"/>
      <c r="C3" s="14"/>
      <c r="D3" s="15"/>
      <c r="E3" s="15"/>
      <c r="F3" s="64"/>
      <c r="G3" s="64"/>
      <c r="H3" s="14"/>
    </row>
    <row r="4" spans="1:9">
      <c r="A4" s="65"/>
      <c r="B4" s="102">
        <v>43556</v>
      </c>
      <c r="C4" s="102"/>
      <c r="D4" s="102"/>
      <c r="E4" s="102"/>
      <c r="F4" s="102"/>
      <c r="G4" s="102"/>
      <c r="H4" s="102"/>
      <c r="I4" s="16"/>
    </row>
    <row r="5" spans="1:9">
      <c r="A5" s="66"/>
      <c r="B5" s="97" t="s">
        <v>47</v>
      </c>
      <c r="C5" s="97" t="s">
        <v>18</v>
      </c>
      <c r="D5" s="97" t="s">
        <v>13</v>
      </c>
      <c r="E5" s="97" t="s">
        <v>48</v>
      </c>
      <c r="F5" s="97"/>
      <c r="G5" s="97"/>
      <c r="H5" s="97" t="s">
        <v>23</v>
      </c>
      <c r="I5" s="18"/>
    </row>
    <row r="6" spans="1:9">
      <c r="A6" s="66"/>
      <c r="B6" s="97"/>
      <c r="C6" s="97"/>
      <c r="D6" s="97"/>
      <c r="E6" s="97"/>
      <c r="F6" s="97"/>
      <c r="G6" s="97"/>
      <c r="H6" s="97"/>
      <c r="I6" s="18"/>
    </row>
    <row r="7" spans="1:9" s="19" customFormat="1" ht="22.5">
      <c r="A7" s="66"/>
      <c r="B7" s="97"/>
      <c r="C7" s="97"/>
      <c r="D7" s="97"/>
      <c r="E7" s="43" t="s">
        <v>37</v>
      </c>
      <c r="F7" s="108" t="s">
        <v>49</v>
      </c>
      <c r="G7" s="67" t="s">
        <v>41</v>
      </c>
      <c r="H7" s="97"/>
      <c r="I7" s="18"/>
    </row>
    <row r="8" spans="1:9" s="19" customFormat="1">
      <c r="A8" s="66"/>
      <c r="B8" s="97"/>
      <c r="C8" s="97"/>
      <c r="D8" s="97"/>
      <c r="E8" s="68">
        <v>2745</v>
      </c>
      <c r="F8" s="108"/>
      <c r="G8" s="67">
        <v>10700</v>
      </c>
      <c r="H8" s="97"/>
      <c r="I8" s="18"/>
    </row>
    <row r="9" spans="1:9">
      <c r="A9" s="69"/>
      <c r="B9" s="22">
        <v>1</v>
      </c>
      <c r="C9" s="23">
        <f>Gas!C9</f>
        <v>35</v>
      </c>
      <c r="D9" s="23">
        <f>Gas!D9</f>
        <v>217</v>
      </c>
      <c r="E9" s="70"/>
      <c r="F9" s="71">
        <v>105</v>
      </c>
      <c r="G9" s="71">
        <f t="shared" ref="G9:G39" si="0">F9*$G$8</f>
        <v>1123500</v>
      </c>
      <c r="H9" s="85">
        <f>G9/14381</f>
        <v>78.123913496975177</v>
      </c>
      <c r="I9" s="21"/>
    </row>
    <row r="10" spans="1:9">
      <c r="A10" s="69"/>
      <c r="B10" s="22">
        <v>2</v>
      </c>
      <c r="C10" s="23">
        <f>Gas!C10</f>
        <v>37</v>
      </c>
      <c r="D10" s="23">
        <f>Gas!D10</f>
        <v>200</v>
      </c>
      <c r="E10" s="70"/>
      <c r="F10" s="72">
        <v>0</v>
      </c>
      <c r="G10" s="71">
        <f>F10*$G$8</f>
        <v>0</v>
      </c>
      <c r="H10" s="85">
        <f t="shared" ref="H10:H39" si="1">G10/14381</f>
        <v>0</v>
      </c>
      <c r="I10" s="21"/>
    </row>
    <row r="11" spans="1:9">
      <c r="A11" s="69"/>
      <c r="B11" s="22">
        <v>3</v>
      </c>
      <c r="C11" s="23">
        <f>Gas!C11</f>
        <v>42</v>
      </c>
      <c r="D11" s="23">
        <f>Gas!D11</f>
        <v>244</v>
      </c>
      <c r="E11" s="70"/>
      <c r="F11" s="72">
        <v>0</v>
      </c>
      <c r="G11" s="71">
        <f t="shared" si="0"/>
        <v>0</v>
      </c>
      <c r="H11" s="85">
        <f t="shared" si="1"/>
        <v>0</v>
      </c>
      <c r="I11" s="21"/>
    </row>
    <row r="12" spans="1:9">
      <c r="A12" s="69"/>
      <c r="B12" s="22">
        <v>4</v>
      </c>
      <c r="C12" s="23">
        <f>Gas!C12</f>
        <v>47</v>
      </c>
      <c r="D12" s="23">
        <f>Gas!D12</f>
        <v>225</v>
      </c>
      <c r="E12" s="70"/>
      <c r="F12" s="72">
        <v>0</v>
      </c>
      <c r="G12" s="71">
        <f t="shared" si="0"/>
        <v>0</v>
      </c>
      <c r="H12" s="85">
        <f t="shared" si="1"/>
        <v>0</v>
      </c>
      <c r="I12" s="21"/>
    </row>
    <row r="13" spans="1:9">
      <c r="A13" s="69"/>
      <c r="B13" s="22">
        <v>5</v>
      </c>
      <c r="C13" s="23">
        <f>Gas!C13</f>
        <v>42</v>
      </c>
      <c r="D13" s="23">
        <f>Gas!D13</f>
        <v>305</v>
      </c>
      <c r="E13" s="70"/>
      <c r="F13" s="72">
        <v>0</v>
      </c>
      <c r="G13" s="71">
        <f t="shared" si="0"/>
        <v>0</v>
      </c>
      <c r="H13" s="85">
        <f t="shared" si="1"/>
        <v>0</v>
      </c>
      <c r="I13" s="21"/>
    </row>
    <row r="14" spans="1:9">
      <c r="A14" s="69"/>
      <c r="B14" s="22">
        <v>6</v>
      </c>
      <c r="C14" s="23">
        <f>Gas!C14</f>
        <v>49</v>
      </c>
      <c r="D14" s="23">
        <f>Gas!D14</f>
        <v>271</v>
      </c>
      <c r="E14" s="70"/>
      <c r="F14" s="72">
        <v>0</v>
      </c>
      <c r="G14" s="71">
        <f t="shared" si="0"/>
        <v>0</v>
      </c>
      <c r="H14" s="85">
        <f t="shared" si="1"/>
        <v>0</v>
      </c>
      <c r="I14" s="21"/>
    </row>
    <row r="15" spans="1:9">
      <c r="A15" s="69"/>
      <c r="B15" s="22">
        <v>7</v>
      </c>
      <c r="C15" s="23">
        <f>Gas!C15</f>
        <v>45</v>
      </c>
      <c r="D15" s="23">
        <f>Gas!D15</f>
        <v>285</v>
      </c>
      <c r="E15" s="70"/>
      <c r="F15" s="72">
        <v>0</v>
      </c>
      <c r="G15" s="71">
        <f t="shared" si="0"/>
        <v>0</v>
      </c>
      <c r="H15" s="85">
        <f t="shared" si="1"/>
        <v>0</v>
      </c>
      <c r="I15" s="21"/>
    </row>
    <row r="16" spans="1:9">
      <c r="A16" s="69"/>
      <c r="B16" s="22">
        <v>8</v>
      </c>
      <c r="C16" s="23">
        <f>Gas!C16</f>
        <v>41</v>
      </c>
      <c r="D16" s="23">
        <f>Gas!D16</f>
        <v>232</v>
      </c>
      <c r="E16" s="70"/>
      <c r="F16" s="72">
        <v>50</v>
      </c>
      <c r="G16" s="71">
        <f t="shared" si="0"/>
        <v>535000</v>
      </c>
      <c r="H16" s="85">
        <f t="shared" si="1"/>
        <v>37.201863569988177</v>
      </c>
      <c r="I16" s="21"/>
    </row>
    <row r="17" spans="1:9">
      <c r="A17" s="69"/>
      <c r="B17" s="22">
        <v>9</v>
      </c>
      <c r="C17" s="23">
        <f>Gas!C17</f>
        <v>38</v>
      </c>
      <c r="D17" s="23">
        <f>Gas!D17</f>
        <v>208</v>
      </c>
      <c r="E17" s="70"/>
      <c r="F17" s="72">
        <v>0</v>
      </c>
      <c r="G17" s="71">
        <f t="shared" si="0"/>
        <v>0</v>
      </c>
      <c r="H17" s="85">
        <f t="shared" si="1"/>
        <v>0</v>
      </c>
      <c r="I17" s="21"/>
    </row>
    <row r="18" spans="1:9">
      <c r="A18" s="69"/>
      <c r="B18" s="22">
        <v>10</v>
      </c>
      <c r="C18" s="23">
        <f>Gas!C18</f>
        <v>49</v>
      </c>
      <c r="D18" s="23">
        <f>Gas!D18</f>
        <v>358</v>
      </c>
      <c r="E18" s="70"/>
      <c r="F18" s="72">
        <v>0</v>
      </c>
      <c r="G18" s="71">
        <f t="shared" si="0"/>
        <v>0</v>
      </c>
      <c r="H18" s="85">
        <f t="shared" si="1"/>
        <v>0</v>
      </c>
      <c r="I18" s="21"/>
    </row>
    <row r="19" spans="1:9">
      <c r="A19" s="69"/>
      <c r="B19" s="22">
        <v>11</v>
      </c>
      <c r="C19" s="23">
        <f>Gas!C19</f>
        <v>55</v>
      </c>
      <c r="D19" s="23">
        <f>Gas!D19</f>
        <v>229</v>
      </c>
      <c r="E19" s="70"/>
      <c r="F19" s="72">
        <v>0</v>
      </c>
      <c r="G19" s="71">
        <f t="shared" si="0"/>
        <v>0</v>
      </c>
      <c r="H19" s="85">
        <f t="shared" si="1"/>
        <v>0</v>
      </c>
      <c r="I19" s="21"/>
    </row>
    <row r="20" spans="1:9">
      <c r="A20" s="69"/>
      <c r="B20" s="22">
        <v>12</v>
      </c>
      <c r="C20" s="23">
        <f>Gas!C20</f>
        <v>52</v>
      </c>
      <c r="D20" s="23">
        <f>Gas!D20</f>
        <v>250</v>
      </c>
      <c r="E20" s="70"/>
      <c r="F20" s="72">
        <v>0</v>
      </c>
      <c r="G20" s="71">
        <f t="shared" si="0"/>
        <v>0</v>
      </c>
      <c r="H20" s="85">
        <f t="shared" si="1"/>
        <v>0</v>
      </c>
      <c r="I20" s="21"/>
    </row>
    <row r="21" spans="1:9">
      <c r="A21" s="69"/>
      <c r="B21" s="22">
        <v>13</v>
      </c>
      <c r="C21" s="23">
        <f>Gas!C21</f>
        <v>37</v>
      </c>
      <c r="D21" s="23">
        <f>Gas!D21</f>
        <v>211</v>
      </c>
      <c r="E21" s="70"/>
      <c r="F21" s="72">
        <v>0</v>
      </c>
      <c r="G21" s="71">
        <f t="shared" si="0"/>
        <v>0</v>
      </c>
      <c r="H21" s="85">
        <f t="shared" si="1"/>
        <v>0</v>
      </c>
      <c r="I21" s="21"/>
    </row>
    <row r="22" spans="1:9">
      <c r="A22" s="69"/>
      <c r="B22" s="22">
        <v>14</v>
      </c>
      <c r="C22" s="23">
        <f>Gas!C22</f>
        <v>39</v>
      </c>
      <c r="D22" s="23">
        <f>Gas!D22</f>
        <v>216</v>
      </c>
      <c r="E22" s="70"/>
      <c r="F22" s="72">
        <v>0</v>
      </c>
      <c r="G22" s="71">
        <f t="shared" si="0"/>
        <v>0</v>
      </c>
      <c r="H22" s="85">
        <f t="shared" si="1"/>
        <v>0</v>
      </c>
      <c r="I22" s="21"/>
    </row>
    <row r="23" spans="1:9">
      <c r="A23" s="69"/>
      <c r="B23" s="22">
        <v>15</v>
      </c>
      <c r="C23" s="23">
        <f>Gas!C23</f>
        <v>47</v>
      </c>
      <c r="D23" s="23">
        <f>Gas!D23</f>
        <v>240</v>
      </c>
      <c r="E23" s="70"/>
      <c r="F23" s="72">
        <v>50</v>
      </c>
      <c r="G23" s="71">
        <f t="shared" si="0"/>
        <v>535000</v>
      </c>
      <c r="H23" s="85">
        <f t="shared" si="1"/>
        <v>37.201863569988177</v>
      </c>
      <c r="I23" s="21"/>
    </row>
    <row r="24" spans="1:9">
      <c r="A24" s="69"/>
      <c r="B24" s="22">
        <v>16</v>
      </c>
      <c r="C24" s="23">
        <f>Gas!C24</f>
        <v>48</v>
      </c>
      <c r="D24" s="23">
        <f>Gas!D24</f>
        <v>284</v>
      </c>
      <c r="E24" s="70"/>
      <c r="F24" s="72">
        <v>0</v>
      </c>
      <c r="G24" s="71">
        <f t="shared" si="0"/>
        <v>0</v>
      </c>
      <c r="H24" s="85">
        <f t="shared" si="1"/>
        <v>0</v>
      </c>
      <c r="I24" s="21"/>
    </row>
    <row r="25" spans="1:9">
      <c r="A25" s="69"/>
      <c r="B25" s="22">
        <v>17</v>
      </c>
      <c r="C25" s="23">
        <f>Gas!C25</f>
        <v>47</v>
      </c>
      <c r="D25" s="23">
        <f>Gas!D25</f>
        <v>303</v>
      </c>
      <c r="E25" s="70"/>
      <c r="F25" s="72">
        <v>0</v>
      </c>
      <c r="G25" s="71">
        <f t="shared" si="0"/>
        <v>0</v>
      </c>
      <c r="H25" s="85">
        <f t="shared" si="1"/>
        <v>0</v>
      </c>
      <c r="I25" s="21"/>
    </row>
    <row r="26" spans="1:9">
      <c r="A26" s="69"/>
      <c r="B26" s="22">
        <v>18</v>
      </c>
      <c r="C26" s="23">
        <f>Gas!C26</f>
        <v>46</v>
      </c>
      <c r="D26" s="23">
        <f>Gas!D26</f>
        <v>265</v>
      </c>
      <c r="E26" s="70"/>
      <c r="F26" s="72">
        <v>0</v>
      </c>
      <c r="G26" s="71">
        <f t="shared" si="0"/>
        <v>0</v>
      </c>
      <c r="H26" s="85">
        <f t="shared" si="1"/>
        <v>0</v>
      </c>
      <c r="I26" s="21"/>
    </row>
    <row r="27" spans="1:9">
      <c r="A27" s="69"/>
      <c r="B27" s="22">
        <v>19</v>
      </c>
      <c r="C27" s="23">
        <f>Gas!C27</f>
        <v>51</v>
      </c>
      <c r="D27" s="23">
        <f>Gas!D27</f>
        <v>304</v>
      </c>
      <c r="E27" s="70"/>
      <c r="F27" s="72">
        <v>0</v>
      </c>
      <c r="G27" s="71">
        <f t="shared" si="0"/>
        <v>0</v>
      </c>
      <c r="H27" s="85">
        <f t="shared" si="1"/>
        <v>0</v>
      </c>
      <c r="I27" s="21"/>
    </row>
    <row r="28" spans="1:9">
      <c r="A28" s="69"/>
      <c r="B28" s="22">
        <v>20</v>
      </c>
      <c r="C28" s="23">
        <f>Gas!C28</f>
        <v>50</v>
      </c>
      <c r="D28" s="23">
        <f>Gas!D28</f>
        <v>304</v>
      </c>
      <c r="E28" s="70"/>
      <c r="F28" s="71">
        <v>0</v>
      </c>
      <c r="G28" s="71">
        <f t="shared" si="0"/>
        <v>0</v>
      </c>
      <c r="H28" s="85">
        <f t="shared" si="1"/>
        <v>0</v>
      </c>
      <c r="I28" s="21"/>
    </row>
    <row r="29" spans="1:9">
      <c r="A29" s="69"/>
      <c r="B29" s="22">
        <v>21</v>
      </c>
      <c r="C29" s="23">
        <f>Gas!C29</f>
        <v>41</v>
      </c>
      <c r="D29" s="23">
        <f>Gas!D29</f>
        <v>258</v>
      </c>
      <c r="E29" s="70"/>
      <c r="F29" s="72">
        <v>0</v>
      </c>
      <c r="G29" s="71">
        <f t="shared" si="0"/>
        <v>0</v>
      </c>
      <c r="H29" s="85">
        <f t="shared" si="1"/>
        <v>0</v>
      </c>
      <c r="I29" s="21"/>
    </row>
    <row r="30" spans="1:9">
      <c r="A30" s="69"/>
      <c r="B30" s="22">
        <v>22</v>
      </c>
      <c r="C30" s="23">
        <f>Gas!C30</f>
        <v>41</v>
      </c>
      <c r="D30" s="23">
        <f>Gas!D30</f>
        <v>248</v>
      </c>
      <c r="E30" s="70"/>
      <c r="F30" s="71">
        <v>50</v>
      </c>
      <c r="G30" s="71">
        <f t="shared" si="0"/>
        <v>535000</v>
      </c>
      <c r="H30" s="85">
        <f t="shared" si="1"/>
        <v>37.201863569988177</v>
      </c>
      <c r="I30" s="21"/>
    </row>
    <row r="31" spans="1:9">
      <c r="A31" s="69"/>
      <c r="B31" s="22">
        <v>23</v>
      </c>
      <c r="C31" s="23">
        <f>Gas!C31</f>
        <v>51</v>
      </c>
      <c r="D31" s="23">
        <f>Gas!D31</f>
        <v>235</v>
      </c>
      <c r="E31" s="70"/>
      <c r="F31" s="71">
        <v>0</v>
      </c>
      <c r="G31" s="71">
        <f t="shared" si="0"/>
        <v>0</v>
      </c>
      <c r="H31" s="85">
        <f t="shared" si="1"/>
        <v>0</v>
      </c>
      <c r="I31" s="21"/>
    </row>
    <row r="32" spans="1:9">
      <c r="A32" s="69"/>
      <c r="B32" s="22">
        <v>24</v>
      </c>
      <c r="C32" s="23">
        <f>Gas!C32</f>
        <v>51</v>
      </c>
      <c r="D32" s="23">
        <f>Gas!D32</f>
        <v>241</v>
      </c>
      <c r="E32" s="70"/>
      <c r="F32" s="71">
        <v>0</v>
      </c>
      <c r="G32" s="71"/>
      <c r="H32" s="85">
        <f t="shared" si="1"/>
        <v>0</v>
      </c>
      <c r="I32" s="21"/>
    </row>
    <row r="33" spans="1:11">
      <c r="A33" s="69"/>
      <c r="B33" s="22">
        <v>25</v>
      </c>
      <c r="C33" s="23">
        <f>Gas!C33</f>
        <v>36</v>
      </c>
      <c r="D33" s="23">
        <f>Gas!D33</f>
        <v>265</v>
      </c>
      <c r="E33" s="70"/>
      <c r="F33" s="71">
        <v>0</v>
      </c>
      <c r="G33" s="71">
        <f t="shared" si="0"/>
        <v>0</v>
      </c>
      <c r="H33" s="85">
        <f t="shared" si="1"/>
        <v>0</v>
      </c>
      <c r="I33" s="21"/>
    </row>
    <row r="34" spans="1:11">
      <c r="A34" s="69"/>
      <c r="B34" s="22">
        <v>26</v>
      </c>
      <c r="C34" s="23">
        <f>Gas!C34</f>
        <v>34</v>
      </c>
      <c r="D34" s="23">
        <f>Gas!D34</f>
        <v>208</v>
      </c>
      <c r="E34" s="70"/>
      <c r="F34" s="71">
        <v>0</v>
      </c>
      <c r="G34" s="71">
        <f t="shared" si="0"/>
        <v>0</v>
      </c>
      <c r="H34" s="85">
        <f t="shared" si="1"/>
        <v>0</v>
      </c>
      <c r="I34" s="21"/>
    </row>
    <row r="35" spans="1:11">
      <c r="A35" s="69"/>
      <c r="B35" s="22">
        <v>27</v>
      </c>
      <c r="C35" s="23">
        <f>Gas!C35</f>
        <v>49</v>
      </c>
      <c r="D35" s="23">
        <f>Gas!D35</f>
        <v>261</v>
      </c>
      <c r="E35" s="70"/>
      <c r="F35" s="71">
        <v>0</v>
      </c>
      <c r="G35" s="71">
        <f t="shared" si="0"/>
        <v>0</v>
      </c>
      <c r="H35" s="85">
        <f t="shared" si="1"/>
        <v>0</v>
      </c>
      <c r="I35" s="21"/>
    </row>
    <row r="36" spans="1:11">
      <c r="A36" s="69"/>
      <c r="B36" s="22">
        <v>28</v>
      </c>
      <c r="C36" s="23">
        <f>Gas!C36</f>
        <v>54</v>
      </c>
      <c r="D36" s="23">
        <f>Gas!D36</f>
        <v>319</v>
      </c>
      <c r="E36" s="70"/>
      <c r="F36" s="71">
        <v>0</v>
      </c>
      <c r="G36" s="71">
        <f t="shared" si="0"/>
        <v>0</v>
      </c>
      <c r="H36" s="85">
        <f t="shared" si="1"/>
        <v>0</v>
      </c>
      <c r="I36" s="21"/>
    </row>
    <row r="37" spans="1:11">
      <c r="A37" s="69"/>
      <c r="B37" s="22">
        <v>29</v>
      </c>
      <c r="C37" s="23">
        <f>Gas!C37</f>
        <v>54</v>
      </c>
      <c r="D37" s="23">
        <f>Gas!D37</f>
        <v>274</v>
      </c>
      <c r="E37" s="70"/>
      <c r="F37" s="71">
        <v>50</v>
      </c>
      <c r="G37" s="71">
        <f t="shared" si="0"/>
        <v>535000</v>
      </c>
      <c r="H37" s="85">
        <f t="shared" si="1"/>
        <v>37.201863569988177</v>
      </c>
      <c r="I37" s="21"/>
    </row>
    <row r="38" spans="1:11">
      <c r="A38" s="69"/>
      <c r="B38" s="22">
        <v>30</v>
      </c>
      <c r="C38" s="23">
        <f>Gas!C38</f>
        <v>49</v>
      </c>
      <c r="D38" s="23">
        <f>Gas!D38</f>
        <v>321</v>
      </c>
      <c r="E38" s="70"/>
      <c r="F38" s="71"/>
      <c r="G38" s="71">
        <f t="shared" si="0"/>
        <v>0</v>
      </c>
      <c r="H38" s="85">
        <f t="shared" si="1"/>
        <v>0</v>
      </c>
      <c r="I38" s="21"/>
    </row>
    <row r="39" spans="1:11">
      <c r="A39" s="69"/>
      <c r="B39" s="22">
        <v>31</v>
      </c>
      <c r="C39" s="23" t="str">
        <f>Gas!C39</f>
        <v xml:space="preserve"> -   </v>
      </c>
      <c r="D39" s="23" t="str">
        <f>Gas!D39</f>
        <v xml:space="preserve"> -   </v>
      </c>
      <c r="E39" s="70"/>
      <c r="F39" s="71"/>
      <c r="G39" s="71">
        <f t="shared" si="0"/>
        <v>0</v>
      </c>
      <c r="H39" s="85">
        <f t="shared" si="1"/>
        <v>0</v>
      </c>
      <c r="I39" s="21"/>
    </row>
    <row r="40" spans="1:11">
      <c r="C40" s="30">
        <f>SUM(C9:C39)</f>
        <v>1357</v>
      </c>
      <c r="D40" s="30">
        <f>SUM(D9:D39)</f>
        <v>7781</v>
      </c>
      <c r="E40" s="30"/>
      <c r="F40" s="30">
        <f>SUM(F9:F39)</f>
        <v>305</v>
      </c>
      <c r="G40" s="30"/>
      <c r="H40" s="73">
        <f>SUM(H9:H39)</f>
        <v>226.93136777692789</v>
      </c>
      <c r="K40" s="35"/>
    </row>
    <row r="41" spans="1:11">
      <c r="E41" s="30"/>
      <c r="F41" s="74"/>
      <c r="G41" s="74"/>
      <c r="H41" s="41"/>
    </row>
    <row r="42" spans="1:11">
      <c r="E42" s="59"/>
      <c r="F42" s="75"/>
      <c r="G42" s="75"/>
    </row>
    <row r="43" spans="1:11">
      <c r="E43" s="59"/>
      <c r="F43" s="75"/>
      <c r="G43" s="75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43"/>
  <sheetViews>
    <sheetView workbookViewId="0">
      <selection activeCell="O16" sqref="O16"/>
    </sheetView>
  </sheetViews>
  <sheetFormatPr defaultRowHeight="15"/>
  <cols>
    <col min="1" max="1" width="2.5703125" customWidth="1"/>
    <col min="2" max="2" width="4.7109375" customWidth="1"/>
    <col min="3" max="3" width="6.42578125" customWidth="1"/>
    <col min="4" max="4" width="6.42578125" style="19" customWidth="1"/>
    <col min="5" max="5" width="9.42578125" style="31" customWidth="1"/>
    <col min="6" max="6" width="16.5703125" style="31" customWidth="1"/>
    <col min="7" max="7" width="10.28515625" style="31" customWidth="1"/>
    <col min="8" max="8" width="16.7109375" style="31" customWidth="1"/>
    <col min="9" max="9" width="10.28515625" style="31" customWidth="1"/>
    <col min="10" max="10" width="16.7109375" style="31" customWidth="1"/>
    <col min="11" max="11" width="16.28515625" style="31" customWidth="1"/>
    <col min="12" max="12" width="19.7109375" customWidth="1"/>
    <col min="13" max="13" width="2.5703125" customWidth="1"/>
    <col min="15" max="15" width="20.5703125" customWidth="1"/>
  </cols>
  <sheetData>
    <row r="2" spans="1:13" ht="15.75">
      <c r="B2" s="98" t="s">
        <v>50</v>
      </c>
      <c r="C2" s="98"/>
      <c r="D2" s="98"/>
      <c r="E2" s="98"/>
      <c r="F2" s="98"/>
      <c r="G2" s="98"/>
      <c r="H2" s="98"/>
      <c r="I2" s="98"/>
      <c r="J2" s="98"/>
      <c r="K2" s="98"/>
      <c r="L2" s="98"/>
    </row>
    <row r="3" spans="1:13" ht="15.75">
      <c r="B3" s="98" t="s">
        <v>16</v>
      </c>
      <c r="C3" s="98"/>
      <c r="D3" s="98"/>
      <c r="E3" s="98"/>
      <c r="F3" s="98"/>
      <c r="G3" s="98"/>
      <c r="H3" s="98"/>
      <c r="I3" s="98"/>
      <c r="J3" s="98"/>
      <c r="K3" s="98"/>
      <c r="L3" s="98"/>
    </row>
    <row r="4" spans="1:13" ht="8.25" customHeight="1">
      <c r="B4" s="13"/>
      <c r="C4" s="14"/>
      <c r="D4" s="15"/>
      <c r="E4" s="14"/>
      <c r="F4" s="14"/>
      <c r="G4" s="14"/>
      <c r="H4" s="14"/>
      <c r="I4" s="14"/>
      <c r="J4" s="14"/>
      <c r="K4" s="14"/>
    </row>
    <row r="5" spans="1:13">
      <c r="A5" s="16"/>
      <c r="B5" s="99">
        <v>43556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6"/>
    </row>
    <row r="6" spans="1:13">
      <c r="A6" s="17"/>
      <c r="B6" s="97" t="s">
        <v>17</v>
      </c>
      <c r="C6" s="97" t="s">
        <v>51</v>
      </c>
      <c r="D6" s="97" t="s">
        <v>13</v>
      </c>
      <c r="E6" s="103" t="s">
        <v>52</v>
      </c>
      <c r="F6" s="103"/>
      <c r="G6" s="105" t="s">
        <v>53</v>
      </c>
      <c r="H6" s="105"/>
      <c r="I6" s="105"/>
      <c r="J6" s="105"/>
      <c r="K6" s="97" t="s">
        <v>54</v>
      </c>
      <c r="L6" s="97" t="s">
        <v>55</v>
      </c>
      <c r="M6" s="18"/>
    </row>
    <row r="7" spans="1:13" s="19" customFormat="1">
      <c r="A7" s="17"/>
      <c r="B7" s="97"/>
      <c r="C7" s="97"/>
      <c r="D7" s="97"/>
      <c r="E7" s="97" t="s">
        <v>56</v>
      </c>
      <c r="F7" s="97" t="s">
        <v>57</v>
      </c>
      <c r="G7" s="97" t="s">
        <v>56</v>
      </c>
      <c r="H7" s="97" t="s">
        <v>58</v>
      </c>
      <c r="I7" s="97" t="s">
        <v>56</v>
      </c>
      <c r="J7" s="97" t="s">
        <v>59</v>
      </c>
      <c r="K7" s="97"/>
      <c r="L7" s="97"/>
      <c r="M7" s="18"/>
    </row>
    <row r="8" spans="1:13">
      <c r="A8" s="20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21"/>
    </row>
    <row r="9" spans="1:13">
      <c r="A9" s="20"/>
      <c r="B9" s="22">
        <v>1</v>
      </c>
      <c r="C9" s="23">
        <f>'Fuel Diesel'!C9</f>
        <v>35</v>
      </c>
      <c r="D9" s="23">
        <f>'Fuel Diesel'!D9</f>
        <v>217</v>
      </c>
      <c r="E9" s="24">
        <v>93</v>
      </c>
      <c r="F9" s="26">
        <f>E9*13582</f>
        <v>1263126</v>
      </c>
      <c r="G9" s="24">
        <v>227</v>
      </c>
      <c r="H9" s="26">
        <f>G9*4000</f>
        <v>908000</v>
      </c>
      <c r="I9" s="24">
        <v>0</v>
      </c>
      <c r="J9" s="26">
        <f>I9*4000</f>
        <v>0</v>
      </c>
      <c r="K9" s="24">
        <f t="shared" ref="K9:K39" si="0">F9+H9+J9</f>
        <v>2171126</v>
      </c>
      <c r="L9" s="77">
        <f>K9/14381</f>
        <v>150.97183784159654</v>
      </c>
      <c r="M9" s="21"/>
    </row>
    <row r="10" spans="1:13">
      <c r="A10" s="20"/>
      <c r="B10" s="22">
        <v>2</v>
      </c>
      <c r="C10" s="23">
        <f>'Fuel Diesel'!C10</f>
        <v>37</v>
      </c>
      <c r="D10" s="23">
        <f>'Fuel Diesel'!D10</f>
        <v>200</v>
      </c>
      <c r="E10" s="24">
        <v>129</v>
      </c>
      <c r="F10" s="26">
        <f>E10*13582</f>
        <v>1752078</v>
      </c>
      <c r="G10" s="24">
        <v>185</v>
      </c>
      <c r="H10" s="26">
        <f>G10*4000</f>
        <v>740000</v>
      </c>
      <c r="I10" s="24">
        <v>0</v>
      </c>
      <c r="J10" s="26">
        <f>I10*4000</f>
        <v>0</v>
      </c>
      <c r="K10" s="24">
        <f t="shared" si="0"/>
        <v>2492078</v>
      </c>
      <c r="L10" s="77">
        <f t="shared" ref="L10:L39" si="1">K10/14381</f>
        <v>173.28961824629721</v>
      </c>
      <c r="M10" s="21"/>
    </row>
    <row r="11" spans="1:13">
      <c r="A11" s="20"/>
      <c r="B11" s="22">
        <v>3</v>
      </c>
      <c r="C11" s="23">
        <f>'Fuel Diesel'!C11</f>
        <v>42</v>
      </c>
      <c r="D11" s="23">
        <f>'Fuel Diesel'!D11</f>
        <v>244</v>
      </c>
      <c r="E11" s="24">
        <v>147</v>
      </c>
      <c r="F11" s="26">
        <f t="shared" ref="F11:F39" si="2">E11*13582</f>
        <v>1996554</v>
      </c>
      <c r="G11" s="24">
        <v>160</v>
      </c>
      <c r="H11" s="26">
        <f t="shared" ref="H11:H39" si="3">G11*4000</f>
        <v>640000</v>
      </c>
      <c r="I11" s="24">
        <v>0</v>
      </c>
      <c r="J11" s="26">
        <f t="shared" ref="J11:J39" si="4">I11*4000</f>
        <v>0</v>
      </c>
      <c r="K11" s="24">
        <f t="shared" si="0"/>
        <v>2636554</v>
      </c>
      <c r="L11" s="77">
        <f t="shared" si="1"/>
        <v>183.33592935122732</v>
      </c>
      <c r="M11" s="21"/>
    </row>
    <row r="12" spans="1:13">
      <c r="A12" s="20"/>
      <c r="B12" s="22">
        <v>4</v>
      </c>
      <c r="C12" s="23">
        <f>'Fuel Diesel'!C12</f>
        <v>47</v>
      </c>
      <c r="D12" s="23">
        <f>'Fuel Diesel'!D12</f>
        <v>225</v>
      </c>
      <c r="E12" s="24">
        <v>100</v>
      </c>
      <c r="F12" s="26">
        <f t="shared" si="2"/>
        <v>1358200</v>
      </c>
      <c r="G12" s="24">
        <v>203</v>
      </c>
      <c r="H12" s="26">
        <f t="shared" si="3"/>
        <v>812000</v>
      </c>
      <c r="I12" s="24">
        <v>0</v>
      </c>
      <c r="J12" s="26">
        <f t="shared" si="4"/>
        <v>0</v>
      </c>
      <c r="K12" s="24">
        <f t="shared" si="0"/>
        <v>2170200</v>
      </c>
      <c r="L12" s="77">
        <f t="shared" si="1"/>
        <v>150.90744732633337</v>
      </c>
      <c r="M12" s="21"/>
    </row>
    <row r="13" spans="1:13">
      <c r="A13" s="20"/>
      <c r="B13" s="22">
        <v>5</v>
      </c>
      <c r="C13" s="23">
        <f>'Fuel Diesel'!C13</f>
        <v>42</v>
      </c>
      <c r="D13" s="23">
        <f>'Fuel Diesel'!D13</f>
        <v>305</v>
      </c>
      <c r="E13" s="24">
        <v>141</v>
      </c>
      <c r="F13" s="26">
        <f t="shared" si="2"/>
        <v>1915062</v>
      </c>
      <c r="G13" s="24">
        <v>177</v>
      </c>
      <c r="H13" s="26">
        <f t="shared" si="3"/>
        <v>708000</v>
      </c>
      <c r="I13" s="24">
        <v>0</v>
      </c>
      <c r="J13" s="26">
        <f t="shared" si="4"/>
        <v>0</v>
      </c>
      <c r="K13" s="24">
        <f t="shared" si="0"/>
        <v>2623062</v>
      </c>
      <c r="L13" s="77">
        <f t="shared" si="1"/>
        <v>182.39774702732771</v>
      </c>
      <c r="M13" s="21"/>
    </row>
    <row r="14" spans="1:13">
      <c r="A14" s="20"/>
      <c r="B14" s="22">
        <v>6</v>
      </c>
      <c r="C14" s="23">
        <f>'Fuel Diesel'!C14</f>
        <v>49</v>
      </c>
      <c r="D14" s="23">
        <f>'Fuel Diesel'!D14</f>
        <v>271</v>
      </c>
      <c r="E14" s="24">
        <v>102</v>
      </c>
      <c r="F14" s="26">
        <f t="shared" si="2"/>
        <v>1385364</v>
      </c>
      <c r="G14" s="24">
        <v>216</v>
      </c>
      <c r="H14" s="26">
        <f t="shared" si="3"/>
        <v>864000</v>
      </c>
      <c r="I14" s="24">
        <v>0</v>
      </c>
      <c r="J14" s="26">
        <f t="shared" si="4"/>
        <v>0</v>
      </c>
      <c r="K14" s="24">
        <f t="shared" si="0"/>
        <v>2249364</v>
      </c>
      <c r="L14" s="77">
        <f t="shared" si="1"/>
        <v>156.41221055559419</v>
      </c>
      <c r="M14" s="21"/>
    </row>
    <row r="15" spans="1:13">
      <c r="A15" s="20"/>
      <c r="B15" s="22">
        <v>7</v>
      </c>
      <c r="C15" s="23">
        <f>'Fuel Diesel'!C15</f>
        <v>45</v>
      </c>
      <c r="D15" s="23">
        <f>'Fuel Diesel'!D15</f>
        <v>285</v>
      </c>
      <c r="E15" s="24">
        <v>126</v>
      </c>
      <c r="F15" s="26">
        <f t="shared" si="2"/>
        <v>1711332</v>
      </c>
      <c r="G15" s="24">
        <v>196</v>
      </c>
      <c r="H15" s="26">
        <f t="shared" si="3"/>
        <v>784000</v>
      </c>
      <c r="I15" s="24">
        <v>0</v>
      </c>
      <c r="J15" s="26">
        <f t="shared" si="4"/>
        <v>0</v>
      </c>
      <c r="K15" s="24">
        <f t="shared" si="0"/>
        <v>2495332</v>
      </c>
      <c r="L15" s="77">
        <f t="shared" si="1"/>
        <v>173.51588902023502</v>
      </c>
      <c r="M15" s="21"/>
    </row>
    <row r="16" spans="1:13">
      <c r="A16" s="20"/>
      <c r="B16" s="22">
        <v>8</v>
      </c>
      <c r="C16" s="23">
        <f>'Fuel Diesel'!C16</f>
        <v>41</v>
      </c>
      <c r="D16" s="23">
        <f>'Fuel Diesel'!D16</f>
        <v>232</v>
      </c>
      <c r="E16" s="24">
        <v>97</v>
      </c>
      <c r="F16" s="26">
        <f t="shared" si="2"/>
        <v>1317454</v>
      </c>
      <c r="G16" s="24">
        <v>221</v>
      </c>
      <c r="H16" s="26">
        <f t="shared" si="3"/>
        <v>884000</v>
      </c>
      <c r="I16" s="24">
        <v>0</v>
      </c>
      <c r="J16" s="26">
        <f t="shared" si="4"/>
        <v>0</v>
      </c>
      <c r="K16" s="24">
        <f t="shared" si="0"/>
        <v>2201454</v>
      </c>
      <c r="L16" s="77">
        <f t="shared" si="1"/>
        <v>153.08073152075656</v>
      </c>
      <c r="M16" s="21"/>
    </row>
    <row r="17" spans="1:13">
      <c r="A17" s="20"/>
      <c r="B17" s="22">
        <v>9</v>
      </c>
      <c r="C17" s="23">
        <f>'Fuel Diesel'!C17</f>
        <v>38</v>
      </c>
      <c r="D17" s="23">
        <f>'Fuel Diesel'!D17</f>
        <v>208</v>
      </c>
      <c r="E17" s="24">
        <v>90</v>
      </c>
      <c r="F17" s="26">
        <f t="shared" si="2"/>
        <v>1222380</v>
      </c>
      <c r="G17" s="24">
        <v>208</v>
      </c>
      <c r="H17" s="26">
        <f t="shared" si="3"/>
        <v>832000</v>
      </c>
      <c r="I17" s="24">
        <v>0</v>
      </c>
      <c r="J17" s="26">
        <f t="shared" si="4"/>
        <v>0</v>
      </c>
      <c r="K17" s="24">
        <f t="shared" si="0"/>
        <v>2054380</v>
      </c>
      <c r="L17" s="77">
        <f t="shared" si="1"/>
        <v>142.85376538488282</v>
      </c>
      <c r="M17" s="21"/>
    </row>
    <row r="18" spans="1:13">
      <c r="A18" s="20"/>
      <c r="B18" s="22">
        <v>10</v>
      </c>
      <c r="C18" s="23">
        <f>'Fuel Diesel'!C18</f>
        <v>49</v>
      </c>
      <c r="D18" s="23">
        <f>'Fuel Diesel'!D18</f>
        <v>358</v>
      </c>
      <c r="E18" s="24">
        <v>120</v>
      </c>
      <c r="F18" s="26">
        <f t="shared" si="2"/>
        <v>1629840</v>
      </c>
      <c r="G18" s="24">
        <v>213</v>
      </c>
      <c r="H18" s="26">
        <f t="shared" si="3"/>
        <v>852000</v>
      </c>
      <c r="I18" s="24">
        <v>0</v>
      </c>
      <c r="J18" s="26">
        <f t="shared" si="4"/>
        <v>0</v>
      </c>
      <c r="K18" s="24">
        <f t="shared" si="0"/>
        <v>2481840</v>
      </c>
      <c r="L18" s="77">
        <f t="shared" si="1"/>
        <v>172.57770669633544</v>
      </c>
      <c r="M18" s="21"/>
    </row>
    <row r="19" spans="1:13">
      <c r="A19" s="20"/>
      <c r="B19" s="22">
        <v>11</v>
      </c>
      <c r="C19" s="23">
        <f>'Fuel Diesel'!C19</f>
        <v>55</v>
      </c>
      <c r="D19" s="23">
        <f>'Fuel Diesel'!D19</f>
        <v>229</v>
      </c>
      <c r="E19" s="24">
        <v>135</v>
      </c>
      <c r="F19" s="26">
        <f t="shared" si="2"/>
        <v>1833570</v>
      </c>
      <c r="G19" s="24">
        <v>206</v>
      </c>
      <c r="H19" s="26">
        <f t="shared" si="3"/>
        <v>824000</v>
      </c>
      <c r="I19" s="24">
        <v>0</v>
      </c>
      <c r="J19" s="26">
        <f t="shared" si="4"/>
        <v>0</v>
      </c>
      <c r="K19" s="24">
        <f t="shared" si="0"/>
        <v>2657570</v>
      </c>
      <c r="L19" s="77">
        <f t="shared" si="1"/>
        <v>184.79730199568877</v>
      </c>
      <c r="M19" s="21"/>
    </row>
    <row r="20" spans="1:13">
      <c r="A20" s="20"/>
      <c r="B20" s="22">
        <v>12</v>
      </c>
      <c r="C20" s="23">
        <f>'Fuel Diesel'!C20</f>
        <v>52</v>
      </c>
      <c r="D20" s="23">
        <f>'Fuel Diesel'!D20</f>
        <v>250</v>
      </c>
      <c r="E20" s="24">
        <v>188</v>
      </c>
      <c r="F20" s="26">
        <f t="shared" si="2"/>
        <v>2553416</v>
      </c>
      <c r="G20" s="24">
        <v>168</v>
      </c>
      <c r="H20" s="26">
        <f>G20*4000</f>
        <v>672000</v>
      </c>
      <c r="I20" s="24">
        <v>0</v>
      </c>
      <c r="J20" s="26">
        <f t="shared" si="4"/>
        <v>0</v>
      </c>
      <c r="K20" s="24">
        <f t="shared" si="0"/>
        <v>3225416</v>
      </c>
      <c r="L20" s="77">
        <f t="shared" si="1"/>
        <v>224.28315138029345</v>
      </c>
      <c r="M20" s="21"/>
    </row>
    <row r="21" spans="1:13">
      <c r="A21" s="20"/>
      <c r="B21" s="22">
        <v>13</v>
      </c>
      <c r="C21" s="23">
        <f>'Fuel Diesel'!C21</f>
        <v>37</v>
      </c>
      <c r="D21" s="23">
        <f>'Fuel Diesel'!D21</f>
        <v>211</v>
      </c>
      <c r="E21" s="24">
        <v>180</v>
      </c>
      <c r="F21" s="26">
        <f t="shared" si="2"/>
        <v>2444760</v>
      </c>
      <c r="G21" s="24">
        <v>197</v>
      </c>
      <c r="H21" s="26">
        <f t="shared" si="3"/>
        <v>788000</v>
      </c>
      <c r="I21" s="24">
        <v>0</v>
      </c>
      <c r="J21" s="26">
        <f t="shared" si="4"/>
        <v>0</v>
      </c>
      <c r="K21" s="24">
        <f t="shared" si="0"/>
        <v>3232760</v>
      </c>
      <c r="L21" s="77">
        <f t="shared" si="1"/>
        <v>224.79382518600931</v>
      </c>
      <c r="M21" s="21"/>
    </row>
    <row r="22" spans="1:13">
      <c r="A22" s="20"/>
      <c r="B22" s="22">
        <v>14</v>
      </c>
      <c r="C22" s="23">
        <f>'Fuel Diesel'!C22</f>
        <v>39</v>
      </c>
      <c r="D22" s="23">
        <f>'Fuel Diesel'!D22</f>
        <v>216</v>
      </c>
      <c r="E22" s="24">
        <v>136</v>
      </c>
      <c r="F22" s="26">
        <f t="shared" si="2"/>
        <v>1847152</v>
      </c>
      <c r="G22" s="24">
        <v>182</v>
      </c>
      <c r="H22" s="26">
        <f t="shared" si="3"/>
        <v>728000</v>
      </c>
      <c r="I22" s="24">
        <v>0</v>
      </c>
      <c r="J22" s="26">
        <f t="shared" si="4"/>
        <v>0</v>
      </c>
      <c r="K22" s="24">
        <f t="shared" si="0"/>
        <v>2575152</v>
      </c>
      <c r="L22" s="77">
        <f t="shared" si="1"/>
        <v>179.06626799249008</v>
      </c>
      <c r="M22" s="21"/>
    </row>
    <row r="23" spans="1:13">
      <c r="A23" s="20"/>
      <c r="B23" s="22">
        <v>15</v>
      </c>
      <c r="C23" s="23">
        <f>'Fuel Diesel'!C23</f>
        <v>47</v>
      </c>
      <c r="D23" s="23">
        <f>'Fuel Diesel'!D23</f>
        <v>240</v>
      </c>
      <c r="E23" s="24">
        <v>107</v>
      </c>
      <c r="F23" s="26">
        <f t="shared" si="2"/>
        <v>1453274</v>
      </c>
      <c r="G23" s="24">
        <v>211</v>
      </c>
      <c r="H23" s="26">
        <f t="shared" si="3"/>
        <v>844000</v>
      </c>
      <c r="I23" s="24">
        <v>0</v>
      </c>
      <c r="J23" s="26">
        <f t="shared" si="4"/>
        <v>0</v>
      </c>
      <c r="K23" s="24">
        <f t="shared" si="0"/>
        <v>2297274</v>
      </c>
      <c r="L23" s="77">
        <f t="shared" si="1"/>
        <v>159.74368959043181</v>
      </c>
      <c r="M23" s="21"/>
    </row>
    <row r="24" spans="1:13">
      <c r="A24" s="20"/>
      <c r="B24" s="22">
        <v>16</v>
      </c>
      <c r="C24" s="23">
        <f>'Fuel Diesel'!C24</f>
        <v>48</v>
      </c>
      <c r="D24" s="23">
        <f>'Fuel Diesel'!D24</f>
        <v>284</v>
      </c>
      <c r="E24" s="24">
        <v>182</v>
      </c>
      <c r="F24" s="26">
        <f t="shared" si="2"/>
        <v>2471924</v>
      </c>
      <c r="G24" s="24">
        <v>224</v>
      </c>
      <c r="H24" s="26">
        <f t="shared" si="3"/>
        <v>896000</v>
      </c>
      <c r="I24" s="24">
        <v>0</v>
      </c>
      <c r="J24" s="26">
        <f t="shared" si="4"/>
        <v>0</v>
      </c>
      <c r="K24" s="24">
        <f t="shared" si="0"/>
        <v>3367924</v>
      </c>
      <c r="L24" s="77">
        <f t="shared" si="1"/>
        <v>234.19261525624088</v>
      </c>
      <c r="M24" s="21"/>
    </row>
    <row r="25" spans="1:13">
      <c r="A25" s="20"/>
      <c r="B25" s="22">
        <v>17</v>
      </c>
      <c r="C25" s="23">
        <f>'Fuel Diesel'!C25</f>
        <v>47</v>
      </c>
      <c r="D25" s="23">
        <f>'Fuel Diesel'!D25</f>
        <v>303</v>
      </c>
      <c r="E25" s="24">
        <v>175</v>
      </c>
      <c r="F25" s="26">
        <f t="shared" si="2"/>
        <v>2376850</v>
      </c>
      <c r="G25" s="24">
        <v>218</v>
      </c>
      <c r="H25" s="26">
        <f t="shared" si="3"/>
        <v>872000</v>
      </c>
      <c r="I25" s="24">
        <v>0</v>
      </c>
      <c r="J25" s="26">
        <f t="shared" si="4"/>
        <v>0</v>
      </c>
      <c r="K25" s="24">
        <f t="shared" si="0"/>
        <v>3248850</v>
      </c>
      <c r="L25" s="77">
        <f t="shared" si="1"/>
        <v>225.91266254085252</v>
      </c>
      <c r="M25" s="21"/>
    </row>
    <row r="26" spans="1:13">
      <c r="A26" s="20"/>
      <c r="B26" s="22">
        <v>18</v>
      </c>
      <c r="C26" s="23">
        <f>'Fuel Diesel'!C26</f>
        <v>46</v>
      </c>
      <c r="D26" s="23">
        <f>'Fuel Diesel'!D26</f>
        <v>265</v>
      </c>
      <c r="E26" s="24">
        <v>155</v>
      </c>
      <c r="F26" s="26">
        <f t="shared" si="2"/>
        <v>2105210</v>
      </c>
      <c r="G26" s="24">
        <v>105</v>
      </c>
      <c r="H26" s="26">
        <f t="shared" si="3"/>
        <v>420000</v>
      </c>
      <c r="I26" s="24">
        <v>0</v>
      </c>
      <c r="J26" s="26">
        <f t="shared" si="4"/>
        <v>0</v>
      </c>
      <c r="K26" s="24">
        <f t="shared" si="0"/>
        <v>2525210</v>
      </c>
      <c r="L26" s="77">
        <f t="shared" si="1"/>
        <v>175.59349141228009</v>
      </c>
      <c r="M26" s="21"/>
    </row>
    <row r="27" spans="1:13">
      <c r="A27" s="20"/>
      <c r="B27" s="22">
        <v>19</v>
      </c>
      <c r="C27" s="23">
        <f>'Fuel Diesel'!C27</f>
        <v>51</v>
      </c>
      <c r="D27" s="23">
        <f>'Fuel Diesel'!D27</f>
        <v>304</v>
      </c>
      <c r="E27" s="24">
        <v>147</v>
      </c>
      <c r="F27" s="26">
        <f t="shared" si="2"/>
        <v>1996554</v>
      </c>
      <c r="G27" s="24">
        <v>153</v>
      </c>
      <c r="H27" s="26">
        <f t="shared" si="3"/>
        <v>612000</v>
      </c>
      <c r="I27" s="24">
        <v>0</v>
      </c>
      <c r="J27" s="26">
        <f t="shared" si="4"/>
        <v>0</v>
      </c>
      <c r="K27" s="24">
        <f t="shared" si="0"/>
        <v>2608554</v>
      </c>
      <c r="L27" s="77">
        <f t="shared" si="1"/>
        <v>181.38891593074194</v>
      </c>
      <c r="M27" s="21"/>
    </row>
    <row r="28" spans="1:13">
      <c r="A28" s="20"/>
      <c r="B28" s="22">
        <v>20</v>
      </c>
      <c r="C28" s="23">
        <f>'Fuel Diesel'!C28</f>
        <v>50</v>
      </c>
      <c r="D28" s="23">
        <f>'Fuel Diesel'!D28</f>
        <v>304</v>
      </c>
      <c r="E28" s="24">
        <v>152</v>
      </c>
      <c r="F28" s="26">
        <f t="shared" si="2"/>
        <v>2064464</v>
      </c>
      <c r="G28" s="24">
        <v>164</v>
      </c>
      <c r="H28" s="26">
        <f t="shared" si="3"/>
        <v>656000</v>
      </c>
      <c r="I28" s="24">
        <v>0</v>
      </c>
      <c r="J28" s="26">
        <f t="shared" si="4"/>
        <v>0</v>
      </c>
      <c r="K28" s="24">
        <f t="shared" si="0"/>
        <v>2720464</v>
      </c>
      <c r="L28" s="77">
        <f t="shared" si="1"/>
        <v>189.17071135526041</v>
      </c>
      <c r="M28" s="21"/>
    </row>
    <row r="29" spans="1:13">
      <c r="A29" s="20"/>
      <c r="B29" s="22">
        <v>21</v>
      </c>
      <c r="C29" s="23">
        <f>'Fuel Diesel'!C29</f>
        <v>41</v>
      </c>
      <c r="D29" s="23">
        <f>'Fuel Diesel'!D29</f>
        <v>258</v>
      </c>
      <c r="E29" s="24">
        <v>95</v>
      </c>
      <c r="F29" s="26">
        <f t="shared" si="2"/>
        <v>1290290</v>
      </c>
      <c r="G29" s="24">
        <v>228</v>
      </c>
      <c r="H29" s="26">
        <f t="shared" si="3"/>
        <v>912000</v>
      </c>
      <c r="I29" s="24">
        <v>0</v>
      </c>
      <c r="J29" s="26">
        <f t="shared" si="4"/>
        <v>0</v>
      </c>
      <c r="K29" s="24">
        <f t="shared" si="0"/>
        <v>2202290</v>
      </c>
      <c r="L29" s="77">
        <f t="shared" si="1"/>
        <v>153.13886377859677</v>
      </c>
      <c r="M29" s="21"/>
    </row>
    <row r="30" spans="1:13">
      <c r="A30" s="20"/>
      <c r="B30" s="22">
        <v>22</v>
      </c>
      <c r="C30" s="23">
        <f>'Fuel Diesel'!C30</f>
        <v>41</v>
      </c>
      <c r="D30" s="23">
        <f>'Fuel Diesel'!D30</f>
        <v>248</v>
      </c>
      <c r="E30" s="24">
        <v>127</v>
      </c>
      <c r="F30" s="26">
        <f t="shared" si="2"/>
        <v>1724914</v>
      </c>
      <c r="G30" s="24">
        <v>192</v>
      </c>
      <c r="H30" s="26">
        <f t="shared" si="3"/>
        <v>768000</v>
      </c>
      <c r="I30" s="24">
        <v>0</v>
      </c>
      <c r="J30" s="26">
        <f t="shared" si="4"/>
        <v>0</v>
      </c>
      <c r="K30" s="24">
        <f t="shared" si="0"/>
        <v>2492914</v>
      </c>
      <c r="L30" s="77">
        <f t="shared" si="1"/>
        <v>173.34775050413739</v>
      </c>
      <c r="M30" s="21"/>
    </row>
    <row r="31" spans="1:13">
      <c r="A31" s="20"/>
      <c r="B31" s="22">
        <v>23</v>
      </c>
      <c r="C31" s="23">
        <f>'Fuel Diesel'!C31</f>
        <v>51</v>
      </c>
      <c r="D31" s="23">
        <f>'Fuel Diesel'!D31</f>
        <v>235</v>
      </c>
      <c r="E31" s="24">
        <v>79</v>
      </c>
      <c r="F31" s="26">
        <f t="shared" si="2"/>
        <v>1072978</v>
      </c>
      <c r="G31" s="24">
        <v>199</v>
      </c>
      <c r="H31" s="26">
        <f t="shared" si="3"/>
        <v>796000</v>
      </c>
      <c r="I31" s="24">
        <v>0</v>
      </c>
      <c r="J31" s="26">
        <f t="shared" si="4"/>
        <v>0</v>
      </c>
      <c r="K31" s="24">
        <f t="shared" si="0"/>
        <v>1868978</v>
      </c>
      <c r="L31" s="77">
        <f t="shared" si="1"/>
        <v>129.96161602113901</v>
      </c>
      <c r="M31" s="21"/>
    </row>
    <row r="32" spans="1:13">
      <c r="A32" s="20"/>
      <c r="B32" s="22">
        <v>24</v>
      </c>
      <c r="C32" s="23">
        <f>'Fuel Diesel'!C32</f>
        <v>51</v>
      </c>
      <c r="D32" s="23">
        <f>'Fuel Diesel'!D32</f>
        <v>241</v>
      </c>
      <c r="E32" s="24">
        <v>139</v>
      </c>
      <c r="F32" s="26">
        <f t="shared" si="2"/>
        <v>1887898</v>
      </c>
      <c r="G32" s="24">
        <v>201</v>
      </c>
      <c r="H32" s="26">
        <f t="shared" si="3"/>
        <v>804000</v>
      </c>
      <c r="I32" s="24">
        <v>0</v>
      </c>
      <c r="J32" s="26">
        <f t="shared" si="4"/>
        <v>0</v>
      </c>
      <c r="K32" s="24">
        <f t="shared" si="0"/>
        <v>2691898</v>
      </c>
      <c r="L32" s="77">
        <f t="shared" si="1"/>
        <v>187.1843404492038</v>
      </c>
      <c r="M32" s="21"/>
    </row>
    <row r="33" spans="1:15">
      <c r="A33" s="20"/>
      <c r="B33" s="22">
        <v>25</v>
      </c>
      <c r="C33" s="23">
        <f>'Fuel Diesel'!C33</f>
        <v>36</v>
      </c>
      <c r="D33" s="23">
        <f>'Fuel Diesel'!D33</f>
        <v>265</v>
      </c>
      <c r="E33" s="24">
        <v>78</v>
      </c>
      <c r="F33" s="26">
        <f t="shared" si="2"/>
        <v>1059396</v>
      </c>
      <c r="G33" s="24">
        <v>152</v>
      </c>
      <c r="H33" s="26">
        <f t="shared" si="3"/>
        <v>608000</v>
      </c>
      <c r="I33" s="24">
        <v>0</v>
      </c>
      <c r="J33" s="26">
        <f t="shared" si="4"/>
        <v>0</v>
      </c>
      <c r="K33" s="24">
        <f t="shared" si="0"/>
        <v>1667396</v>
      </c>
      <c r="L33" s="77">
        <f t="shared" si="1"/>
        <v>115.94437104512899</v>
      </c>
      <c r="M33" s="21"/>
    </row>
    <row r="34" spans="1:15">
      <c r="A34" s="20"/>
      <c r="B34" s="22">
        <v>26</v>
      </c>
      <c r="C34" s="23">
        <f>'Fuel Diesel'!C34</f>
        <v>34</v>
      </c>
      <c r="D34" s="23">
        <f>'Fuel Diesel'!D34</f>
        <v>208</v>
      </c>
      <c r="E34" s="24">
        <v>89</v>
      </c>
      <c r="F34" s="26">
        <f t="shared" si="2"/>
        <v>1208798</v>
      </c>
      <c r="G34" s="24">
        <v>156</v>
      </c>
      <c r="H34" s="26">
        <f t="shared" si="3"/>
        <v>624000</v>
      </c>
      <c r="I34" s="24">
        <v>0</v>
      </c>
      <c r="J34" s="26">
        <f t="shared" si="4"/>
        <v>0</v>
      </c>
      <c r="K34" s="24">
        <f t="shared" si="0"/>
        <v>1832798</v>
      </c>
      <c r="L34" s="77">
        <f t="shared" si="1"/>
        <v>127.44579653709756</v>
      </c>
      <c r="M34" s="21"/>
    </row>
    <row r="35" spans="1:15">
      <c r="A35" s="20"/>
      <c r="B35" s="22">
        <v>27</v>
      </c>
      <c r="C35" s="23">
        <f>'Fuel Diesel'!C35</f>
        <v>49</v>
      </c>
      <c r="D35" s="23">
        <f>'Fuel Diesel'!D35</f>
        <v>261</v>
      </c>
      <c r="E35" s="24">
        <v>96</v>
      </c>
      <c r="F35" s="26">
        <f t="shared" si="2"/>
        <v>1303872</v>
      </c>
      <c r="G35" s="24">
        <v>210</v>
      </c>
      <c r="H35" s="26">
        <f t="shared" si="3"/>
        <v>840000</v>
      </c>
      <c r="I35" s="24">
        <v>0</v>
      </c>
      <c r="J35" s="26">
        <f t="shared" si="4"/>
        <v>0</v>
      </c>
      <c r="K35" s="24">
        <f t="shared" si="0"/>
        <v>2143872</v>
      </c>
      <c r="L35" s="77">
        <f t="shared" si="1"/>
        <v>149.07669842152842</v>
      </c>
      <c r="M35" s="21"/>
    </row>
    <row r="36" spans="1:15">
      <c r="A36" s="20"/>
      <c r="B36" s="22">
        <v>28</v>
      </c>
      <c r="C36" s="23">
        <f>'Fuel Diesel'!C36</f>
        <v>54</v>
      </c>
      <c r="D36" s="23">
        <f>'Fuel Diesel'!D36</f>
        <v>319</v>
      </c>
      <c r="E36" s="24">
        <v>86</v>
      </c>
      <c r="F36" s="26">
        <f t="shared" si="2"/>
        <v>1168052</v>
      </c>
      <c r="G36" s="24">
        <v>178</v>
      </c>
      <c r="H36" s="26">
        <f t="shared" si="3"/>
        <v>712000</v>
      </c>
      <c r="I36" s="24">
        <v>0</v>
      </c>
      <c r="J36" s="26">
        <f t="shared" si="4"/>
        <v>0</v>
      </c>
      <c r="K36" s="24">
        <f t="shared" si="0"/>
        <v>1880052</v>
      </c>
      <c r="L36" s="77">
        <f t="shared" si="1"/>
        <v>130.73165982894096</v>
      </c>
      <c r="M36" s="21"/>
    </row>
    <row r="37" spans="1:15">
      <c r="A37" s="20"/>
      <c r="B37" s="22">
        <v>29</v>
      </c>
      <c r="C37" s="23">
        <f>'Fuel Diesel'!C37</f>
        <v>54</v>
      </c>
      <c r="D37" s="23">
        <f>'Fuel Diesel'!D37</f>
        <v>274</v>
      </c>
      <c r="E37" s="24">
        <v>71</v>
      </c>
      <c r="F37" s="26">
        <f t="shared" si="2"/>
        <v>964322</v>
      </c>
      <c r="G37" s="24">
        <v>201</v>
      </c>
      <c r="H37" s="26">
        <f t="shared" si="3"/>
        <v>804000</v>
      </c>
      <c r="I37" s="24">
        <v>0</v>
      </c>
      <c r="J37" s="26">
        <f t="shared" si="4"/>
        <v>0</v>
      </c>
      <c r="K37" s="24">
        <f t="shared" si="0"/>
        <v>1768322</v>
      </c>
      <c r="L37" s="77">
        <f t="shared" si="1"/>
        <v>122.96238091926848</v>
      </c>
      <c r="M37" s="21"/>
    </row>
    <row r="38" spans="1:15">
      <c r="A38" s="20"/>
      <c r="B38" s="22">
        <v>30</v>
      </c>
      <c r="C38" s="23">
        <f>'Fuel Diesel'!C38</f>
        <v>49</v>
      </c>
      <c r="D38" s="23">
        <f>'Fuel Diesel'!D38</f>
        <v>321</v>
      </c>
      <c r="E38" s="24">
        <v>81</v>
      </c>
      <c r="F38" s="26">
        <f t="shared" si="2"/>
        <v>1100142</v>
      </c>
      <c r="G38" s="24">
        <v>201</v>
      </c>
      <c r="H38" s="26">
        <f t="shared" si="3"/>
        <v>804000</v>
      </c>
      <c r="I38" s="24">
        <v>0</v>
      </c>
      <c r="J38" s="26">
        <f t="shared" si="4"/>
        <v>0</v>
      </c>
      <c r="K38" s="24">
        <f t="shared" si="0"/>
        <v>1904142</v>
      </c>
      <c r="L38" s="77">
        <f t="shared" si="1"/>
        <v>132.40678673249425</v>
      </c>
      <c r="M38" s="21"/>
    </row>
    <row r="39" spans="1:15">
      <c r="A39" s="20"/>
      <c r="B39" s="22">
        <v>31</v>
      </c>
      <c r="C39" s="23" t="str">
        <f>'Fuel Diesel'!C39</f>
        <v xml:space="preserve"> -   </v>
      </c>
      <c r="D39" s="23" t="str">
        <f>'Fuel Diesel'!D39</f>
        <v xml:space="preserve"> -   </v>
      </c>
      <c r="E39" s="24"/>
      <c r="F39" s="26">
        <f t="shared" si="2"/>
        <v>0</v>
      </c>
      <c r="G39" s="24"/>
      <c r="H39" s="26">
        <f t="shared" si="3"/>
        <v>0</v>
      </c>
      <c r="I39" s="24">
        <v>0</v>
      </c>
      <c r="J39" s="26">
        <f t="shared" si="4"/>
        <v>0</v>
      </c>
      <c r="K39" s="24">
        <f t="shared" si="0"/>
        <v>0</v>
      </c>
      <c r="L39" s="77">
        <f t="shared" si="1"/>
        <v>0</v>
      </c>
      <c r="M39" s="21"/>
    </row>
    <row r="40" spans="1:15">
      <c r="C40" s="30">
        <f>SUM(C9:C39)</f>
        <v>1357</v>
      </c>
      <c r="D40" s="30">
        <f>SUM(D9:D39)</f>
        <v>7781</v>
      </c>
      <c r="E40" s="30">
        <v>0</v>
      </c>
      <c r="G40" s="30">
        <f>SUM(G9:G39)</f>
        <v>5752</v>
      </c>
      <c r="I40" s="30">
        <f>SUM(I9:I39)</f>
        <v>0</v>
      </c>
      <c r="J40" s="92">
        <f>G40+I40</f>
        <v>5752</v>
      </c>
      <c r="K40" s="78"/>
      <c r="L40" s="86">
        <f>SUM(L9:L39)</f>
        <v>5040.485779848409</v>
      </c>
      <c r="O40" s="35"/>
    </row>
    <row r="41" spans="1:15">
      <c r="H41" s="91" t="s">
        <v>60</v>
      </c>
      <c r="I41" s="90">
        <f>G40+I40</f>
        <v>5752</v>
      </c>
      <c r="L41" s="36"/>
    </row>
    <row r="42" spans="1:15">
      <c r="E42" s="19"/>
      <c r="F42" s="19"/>
      <c r="G42" s="19"/>
      <c r="H42" s="19"/>
      <c r="I42" s="79"/>
      <c r="J42" s="79"/>
      <c r="L42" s="38"/>
    </row>
    <row r="43" spans="1:15">
      <c r="E43" s="19"/>
      <c r="F43" s="19"/>
      <c r="G43" s="19"/>
      <c r="H43" s="19"/>
      <c r="I43" s="79"/>
      <c r="J43" s="79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D9319F-D8DA-4DEC-917C-A19EA9EBC286}"/>
</file>

<file path=customXml/itemProps2.xml><?xml version="1.0" encoding="utf-8"?>
<ds:datastoreItem xmlns:ds="http://schemas.openxmlformats.org/officeDocument/2006/customXml" ds:itemID="{D6E7C3EE-387F-490E-B8F3-8C46524F4F71}"/>
</file>

<file path=customXml/itemProps3.xml><?xml version="1.0" encoding="utf-8"?>
<ds:datastoreItem xmlns:ds="http://schemas.openxmlformats.org/officeDocument/2006/customXml" ds:itemID="{0F90D190-23A8-484E-A6DE-2D42FDF3E6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Siget Pamungkas</dc:creator>
  <cp:keywords/>
  <dc:description/>
  <cp:lastModifiedBy>Dinna Wiji Safitri Safitri</cp:lastModifiedBy>
  <cp:revision/>
  <dcterms:created xsi:type="dcterms:W3CDTF">2022-01-19T02:48:06Z</dcterms:created>
  <dcterms:modified xsi:type="dcterms:W3CDTF">2022-06-06T11:13:08Z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