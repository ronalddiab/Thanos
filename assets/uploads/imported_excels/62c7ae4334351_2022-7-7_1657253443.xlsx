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9" l="1"/>
  <c r="G30" i="9"/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I31" i="9"/>
  <c r="I30" i="9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J31" i="9" l="1"/>
  <c r="J30" i="9"/>
  <c r="I28" i="10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I10" i="10"/>
  <c r="I16" i="10"/>
  <c r="I19" i="10"/>
  <c r="I21" i="10"/>
  <c r="I23" i="10"/>
  <c r="I25" i="10"/>
  <c r="I27" i="10"/>
  <c r="I29" i="10"/>
  <c r="I31" i="10"/>
  <c r="J5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<sst xmlns="http://schemas.openxmlformats.org/spreadsheetml/2006/main" count="76" uniqueCount="40">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</sst>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abSelected="1" zoomScale="110" zoomScaleNormal="110" workbookViewId="0">
      <selection activeCell="F2" sqref="F2:F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2.7</v>
      </c>
      <c r="G2" s="13">
        <v>0</v>
      </c>
      <c r="H2" s="3">
        <v>5.24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2.7</v>
      </c>
      <c r="G3" s="13">
        <f>Gas!J5</f>
        <v>116.63353200000711</v>
      </c>
      <c r="H3" s="3">
        <v>5.24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2.7</v>
      </c>
      <c r="G4" s="13">
        <f>Gas!J6</f>
        <v>12.5</v>
      </c>
      <c r="H4" s="3">
        <v>5.65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2.7</v>
      </c>
      <c r="G5" s="13">
        <f>Gas!J7</f>
        <v>183.65503800008446</v>
      </c>
      <c r="H5" s="3">
        <v>5.65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2.7</v>
      </c>
      <c r="G6" s="13">
        <f>Gas!J8</f>
        <v>129.9328159999568</v>
      </c>
      <c r="H6" s="3">
        <v>5.65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2.7</v>
      </c>
      <c r="G7" s="13">
        <f>Gas!J9</f>
        <v>119.93798399996012</v>
      </c>
      <c r="H7" s="3">
        <v>5.65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2.7</v>
      </c>
      <c r="G8" s="13">
        <f>Gas!J10</f>
        <v>111.19250600016676</v>
      </c>
      <c r="H8" s="3">
        <v>5.65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2.7</v>
      </c>
      <c r="G9" s="13">
        <f>Gas!J11</f>
        <v>54.971575999865308</v>
      </c>
      <c r="H9" s="3">
        <v>5.65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2.7</v>
      </c>
      <c r="G10" s="13">
        <f>Gas!J12</f>
        <v>99.94831999996677</v>
      </c>
      <c r="H10" s="3">
        <v>5.65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2.7</v>
      </c>
      <c r="G11" s="13">
        <f>Gas!J13</f>
        <v>87.454780000029132</v>
      </c>
      <c r="H11" s="3">
        <v>5.65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2.7</v>
      </c>
      <c r="G12" s="13">
        <f>Gas!J14</f>
        <v>36.231266000075266</v>
      </c>
      <c r="H12" s="3">
        <v>5.65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2.7</v>
      </c>
      <c r="G13" s="13">
        <f>Gas!J15</f>
        <v>0</v>
      </c>
      <c r="H13" s="3">
        <v>5.65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2.7</v>
      </c>
      <c r="G14" s="13">
        <f>Gas!J16</f>
        <v>103.69638199987821</v>
      </c>
      <c r="H14" s="3">
        <v>5.65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2.7</v>
      </c>
      <c r="G15" s="13">
        <f>Gas!J17</f>
        <v>112.44186000013724</v>
      </c>
      <c r="H15" s="3">
        <v>5.65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2.7</v>
      </c>
      <c r="G16" s="13">
        <f>Gas!J18</f>
        <v>147.42377200000919</v>
      </c>
      <c r="H16" s="3">
        <v>5.65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2.7</v>
      </c>
      <c r="G17" s="13">
        <f>Gas!J19</f>
        <v>197.39793199999258</v>
      </c>
      <c r="H17" s="3">
        <v>5.65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2.7</v>
      </c>
      <c r="G18" s="13">
        <f>Gas!J20</f>
        <v>198.64728599996306</v>
      </c>
      <c r="H18" s="3">
        <v>5.65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2.7</v>
      </c>
      <c r="G19" s="13">
        <f>Gas!J21</f>
        <v>279.85529599990696</v>
      </c>
      <c r="H19" s="3">
        <v>5.65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2.7</v>
      </c>
      <c r="G20" s="13">
        <f>Gas!J22</f>
        <v>172.4108520001173</v>
      </c>
      <c r="H20" s="3">
        <v>5.65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2.7</v>
      </c>
      <c r="G21" s="13">
        <f>Gas!J23</f>
        <v>132.43152399989776</v>
      </c>
      <c r="H21" s="3">
        <v>5.65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4904.5200000014156</v>
      </c>
      <c r="F22" s="3">
        <v>2.7</v>
      </c>
      <c r="G22" s="13">
        <f>Gas!J24</f>
        <v>143.67571000009775</v>
      </c>
      <c r="H22" s="3">
        <v>5.65</v>
      </c>
      <c r="I22" s="13">
        <f>Water!H24</f>
        <v>43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4912.7999999988824</v>
      </c>
      <c r="F23" s="3">
        <v>2.7</v>
      </c>
      <c r="G23" s="13">
        <f>Gas!J25</f>
        <v>162.41601999988779</v>
      </c>
      <c r="H23" s="3">
        <v>5.65</v>
      </c>
      <c r="I23" s="13">
        <f>Water!H25</f>
        <v>13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6008.519999999553</v>
      </c>
      <c r="F24" s="3">
        <v>2.7</v>
      </c>
      <c r="G24" s="13">
        <f>Gas!J26</f>
        <v>88.704133999999613</v>
      </c>
      <c r="H24" s="3">
        <v>5.65</v>
      </c>
      <c r="I24" s="13">
        <f>Water!H26</f>
        <v>26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5150.160000000149</v>
      </c>
      <c r="F25" s="3">
        <v>2.7</v>
      </c>
      <c r="G25" s="13">
        <f>Gas!J27</f>
        <v>196.1485780000221</v>
      </c>
      <c r="H25" s="3">
        <v>5.65</v>
      </c>
      <c r="I25" s="13">
        <f>Water!H27</f>
        <v>28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6543.9599999990314</v>
      </c>
      <c r="F26" s="3">
        <v>2.7</v>
      </c>
      <c r="G26" s="13">
        <f>Gas!J28</f>
        <v>207.39276399998926</v>
      </c>
      <c r="H26" s="3">
        <v>5.65</v>
      </c>
      <c r="I26" s="13">
        <f>Water!H28</f>
        <v>34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7308.480000000447</v>
      </c>
      <c r="F27" s="3">
        <v>2.7</v>
      </c>
      <c r="G27" s="13">
        <f>Gas!J29</f>
        <v>293.59819000004791</v>
      </c>
      <c r="H27" s="3">
        <v>5.65</v>
      </c>
      <c r="I27" s="13">
        <f>Water!H29</f>
        <v>81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7474.0800000000745</v>
      </c>
      <c r="F28" s="3">
        <v>2.7</v>
      </c>
      <c r="G28" s="13">
        <f>Gas!J30</f>
        <v>219.88630399992689</v>
      </c>
      <c r="H28" s="3">
        <v>5.65</v>
      </c>
      <c r="I28" s="13">
        <f>Water!H30</f>
        <v>27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7151.160000000149</v>
      </c>
      <c r="F29" s="3">
        <v>2.7</v>
      </c>
      <c r="G29" s="13">
        <f>Gas!J31</f>
        <v>258.61627800017595</v>
      </c>
      <c r="H29" s="3">
        <v>5.65</v>
      </c>
      <c r="I29" s="13">
        <f>Water!H31</f>
        <v>35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7054.5599999986589</v>
      </c>
      <c r="F30" s="3">
        <v>2.7</v>
      </c>
      <c r="G30" s="13">
        <f>Gas!J32</f>
        <v>312.33849999983795</v>
      </c>
      <c r="H30" s="3">
        <v>5.65</v>
      </c>
      <c r="I30" s="13">
        <f>Water!H32</f>
        <v>32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7153.9200000017881</v>
      </c>
      <c r="F31" s="3">
        <v>2.7</v>
      </c>
      <c r="G31" s="13">
        <f>Gas!J33</f>
        <v>363.56201400002465</v>
      </c>
      <c r="H31" s="3">
        <v>5.65</v>
      </c>
      <c r="I31" s="13">
        <f>Water!H33</f>
        <v>23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>
        <v>13097</v>
      </c>
      <c r="F24" s="24">
        <v>1065</v>
      </c>
      <c r="G24" s="24">
        <f t="shared" si="1"/>
        <v>14162</v>
      </c>
      <c r="H24" s="25">
        <f t="shared" si="0"/>
        <v>43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>
        <v>13110</v>
      </c>
      <c r="F25" s="24">
        <v>1065</v>
      </c>
      <c r="G25" s="24">
        <f t="shared" si="1"/>
        <v>14175</v>
      </c>
      <c r="H25" s="25">
        <f t="shared" si="0"/>
        <v>13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>
        <v>13136</v>
      </c>
      <c r="F26" s="24">
        <v>1065</v>
      </c>
      <c r="G26" s="24">
        <f t="shared" si="1"/>
        <v>14201</v>
      </c>
      <c r="H26" s="25">
        <f t="shared" si="0"/>
        <v>26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>
        <v>13164</v>
      </c>
      <c r="F27" s="24">
        <v>1065</v>
      </c>
      <c r="G27" s="24">
        <f t="shared" si="1"/>
        <v>14229</v>
      </c>
      <c r="H27" s="25">
        <f t="shared" si="0"/>
        <v>28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>
        <v>13198</v>
      </c>
      <c r="F28" s="24">
        <v>1065</v>
      </c>
      <c r="G28" s="24">
        <f t="shared" si="1"/>
        <v>14263</v>
      </c>
      <c r="H28" s="25">
        <f t="shared" si="0"/>
        <v>34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>
        <v>13279</v>
      </c>
      <c r="F29" s="24">
        <v>1065</v>
      </c>
      <c r="G29" s="24">
        <f t="shared" si="1"/>
        <v>14344</v>
      </c>
      <c r="H29" s="25">
        <f t="shared" si="0"/>
        <v>81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>
        <v>13306</v>
      </c>
      <c r="F30" s="24">
        <v>1065</v>
      </c>
      <c r="G30" s="24">
        <f t="shared" si="1"/>
        <v>14371</v>
      </c>
      <c r="H30" s="25">
        <f t="shared" si="0"/>
        <v>27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>
        <v>13341</v>
      </c>
      <c r="F31" s="24">
        <v>1065</v>
      </c>
      <c r="G31" s="24">
        <f t="shared" si="1"/>
        <v>14406</v>
      </c>
      <c r="H31" s="25">
        <f t="shared" si="0"/>
        <v>35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>
        <v>13373</v>
      </c>
      <c r="F32" s="24">
        <v>1065</v>
      </c>
      <c r="G32" s="24">
        <f t="shared" si="1"/>
        <v>14438</v>
      </c>
      <c r="H32" s="25">
        <f t="shared" si="0"/>
        <v>32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>
        <v>13396</v>
      </c>
      <c r="F33" s="24">
        <v>1065</v>
      </c>
      <c r="G33" s="24">
        <f t="shared" si="1"/>
        <v>14461</v>
      </c>
      <c r="H33" s="25">
        <f t="shared" si="0"/>
        <v>23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689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U11" sqref="U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1.254124</v>
      </c>
      <c r="I4" s="24">
        <f t="shared" ref="I4:I33" si="0">H4*G4</f>
        <v>1174603.7595319999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1.254124</v>
      </c>
      <c r="I5" s="24">
        <f t="shared" si="0"/>
        <v>1174720.3930639999</v>
      </c>
      <c r="J5" s="25">
        <f t="shared" ref="J5:J29" si="2">I5-I4</f>
        <v>116.63353200000711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1.2493540000000001</v>
      </c>
      <c r="I6" s="24">
        <f t="shared" si="0"/>
        <v>1170264.894384</v>
      </c>
      <c r="J6" s="25">
        <v>12.5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1.2493540000000001</v>
      </c>
      <c r="I7" s="24">
        <f t="shared" si="0"/>
        <v>1170448.5494220001</v>
      </c>
      <c r="J7" s="25">
        <f t="shared" si="2"/>
        <v>183.65503800008446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1.2493540000000001</v>
      </c>
      <c r="I8" s="24">
        <f t="shared" si="0"/>
        <v>1170578.482238</v>
      </c>
      <c r="J8" s="25">
        <f t="shared" si="2"/>
        <v>129.9328159999568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1.2493540000000001</v>
      </c>
      <c r="I9" s="24">
        <f t="shared" si="0"/>
        <v>1170698.420222</v>
      </c>
      <c r="J9" s="25">
        <f t="shared" si="2"/>
        <v>119.93798399996012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1.2493540000000001</v>
      </c>
      <c r="I10" s="24">
        <f t="shared" si="0"/>
        <v>1170809.6127280002</v>
      </c>
      <c r="J10" s="25">
        <f t="shared" si="2"/>
        <v>111.19250600016676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1.2493540000000001</v>
      </c>
      <c r="I11" s="24">
        <f t="shared" si="0"/>
        <v>1170864.584304</v>
      </c>
      <c r="J11" s="25">
        <f t="shared" si="2"/>
        <v>54.971575999865308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1.2493540000000001</v>
      </c>
      <c r="I12" s="24">
        <f t="shared" si="0"/>
        <v>1170964.532624</v>
      </c>
      <c r="J12" s="25">
        <f t="shared" si="2"/>
        <v>99.94831999996677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1.2493540000000001</v>
      </c>
      <c r="I13" s="24">
        <f t="shared" si="0"/>
        <v>1171051.987404</v>
      </c>
      <c r="J13" s="25">
        <f>I13-I12</f>
        <v>87.454780000029132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1.2493540000000001</v>
      </c>
      <c r="I14" s="24">
        <f t="shared" si="0"/>
        <v>1171088.2186700001</v>
      </c>
      <c r="J14" s="25">
        <f t="shared" si="2"/>
        <v>36.231266000075266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1.2493540000000001</v>
      </c>
      <c r="I15" s="24">
        <f t="shared" si="0"/>
        <v>1171088.2186700001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1.2493540000000001</v>
      </c>
      <c r="I16" s="24">
        <f t="shared" si="0"/>
        <v>1171191.915052</v>
      </c>
      <c r="J16" s="25">
        <f t="shared" si="2"/>
        <v>103.69638199987821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1.2493540000000001</v>
      </c>
      <c r="I17" s="24">
        <f t="shared" si="0"/>
        <v>1171304.3569120001</v>
      </c>
      <c r="J17" s="25">
        <f t="shared" si="2"/>
        <v>112.44186000013724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1.2493540000000001</v>
      </c>
      <c r="I18" s="24">
        <f t="shared" si="0"/>
        <v>1171451.7806840001</v>
      </c>
      <c r="J18" s="25">
        <f t="shared" si="2"/>
        <v>147.42377200000919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1.2493540000000001</v>
      </c>
      <c r="I19" s="24">
        <f t="shared" si="0"/>
        <v>1171649.1786160001</v>
      </c>
      <c r="J19" s="25">
        <f t="shared" si="2"/>
        <v>197.39793199999258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1.2493540000000001</v>
      </c>
      <c r="I20" s="24">
        <f t="shared" si="0"/>
        <v>1171847.8259020001</v>
      </c>
      <c r="J20" s="25">
        <f t="shared" si="2"/>
        <v>198.64728599996306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1.2493540000000001</v>
      </c>
      <c r="I21" s="24">
        <f t="shared" si="0"/>
        <v>1172127.681198</v>
      </c>
      <c r="J21" s="25">
        <f t="shared" si="2"/>
        <v>279.85529599990696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1.2493540000000001</v>
      </c>
      <c r="I22" s="24">
        <f t="shared" si="0"/>
        <v>1172300.0920500001</v>
      </c>
      <c r="J22" s="25">
        <f t="shared" si="2"/>
        <v>172.4108520001173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1.2493540000000001</v>
      </c>
      <c r="I23" s="24">
        <f t="shared" si="0"/>
        <v>1172432.523574</v>
      </c>
      <c r="J23" s="25">
        <f t="shared" si="2"/>
        <v>132.43152399989776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>
        <v>766284</v>
      </c>
      <c r="F24" s="24">
        <v>172262</v>
      </c>
      <c r="G24" s="24">
        <f t="shared" si="1"/>
        <v>938546</v>
      </c>
      <c r="H24" s="18">
        <v>1.2493540000000001</v>
      </c>
      <c r="I24" s="24">
        <f t="shared" si="0"/>
        <v>1172576.1992840001</v>
      </c>
      <c r="J24" s="25">
        <f t="shared" si="2"/>
        <v>143.67571000009775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>
        <v>766389</v>
      </c>
      <c r="F25" s="24">
        <v>172287</v>
      </c>
      <c r="G25" s="24">
        <f t="shared" si="1"/>
        <v>938676</v>
      </c>
      <c r="H25" s="18">
        <v>1.2493540000000001</v>
      </c>
      <c r="I25" s="24">
        <f t="shared" si="0"/>
        <v>1172738.615304</v>
      </c>
      <c r="J25" s="25">
        <f>I25-I24</f>
        <v>162.41601999988779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>
        <v>766432</v>
      </c>
      <c r="F26" s="24">
        <v>172315</v>
      </c>
      <c r="G26" s="24">
        <f t="shared" si="1"/>
        <v>938747</v>
      </c>
      <c r="H26" s="18">
        <v>1.2493540000000001</v>
      </c>
      <c r="I26" s="24">
        <f t="shared" si="0"/>
        <v>1172827.319438</v>
      </c>
      <c r="J26" s="25">
        <f>I26-I25</f>
        <v>88.704133999999613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>
        <v>766560</v>
      </c>
      <c r="F27" s="24">
        <v>172344</v>
      </c>
      <c r="G27" s="24">
        <f t="shared" si="1"/>
        <v>938904</v>
      </c>
      <c r="H27" s="18">
        <v>1.2493540000000001</v>
      </c>
      <c r="I27" s="24">
        <f t="shared" si="0"/>
        <v>1173023.468016</v>
      </c>
      <c r="J27" s="25">
        <f t="shared" si="2"/>
        <v>196.1485780000221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>
        <v>766682</v>
      </c>
      <c r="F28" s="24">
        <v>172388</v>
      </c>
      <c r="G28" s="24">
        <f t="shared" si="1"/>
        <v>939070</v>
      </c>
      <c r="H28" s="18">
        <v>1.2493540000000001</v>
      </c>
      <c r="I28" s="24">
        <f t="shared" si="0"/>
        <v>1173230.86078</v>
      </c>
      <c r="J28" s="25">
        <f t="shared" si="2"/>
        <v>207.39276399998926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>
        <v>766851</v>
      </c>
      <c r="F29" s="24">
        <v>172454</v>
      </c>
      <c r="G29" s="24">
        <f t="shared" si="1"/>
        <v>939305</v>
      </c>
      <c r="H29" s="18">
        <v>1.2493540000000001</v>
      </c>
      <c r="I29" s="24">
        <f t="shared" si="0"/>
        <v>1173524.45897</v>
      </c>
      <c r="J29" s="25">
        <f t="shared" si="2"/>
        <v>293.59819000004791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>
        <v>767015</v>
      </c>
      <c r="F30" s="24">
        <v>172466</v>
      </c>
      <c r="G30" s="24">
        <f>E30+F30</f>
        <v>939481</v>
      </c>
      <c r="H30" s="18">
        <v>1.2493540000000001</v>
      </c>
      <c r="I30" s="24">
        <f t="shared" si="0"/>
        <v>1173744.345274</v>
      </c>
      <c r="J30" s="25">
        <f>I30-I29</f>
        <v>219.88630399992689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>
        <v>767184</v>
      </c>
      <c r="F31" s="24">
        <v>172504</v>
      </c>
      <c r="G31" s="24">
        <f>E31+F31</f>
        <v>939688</v>
      </c>
      <c r="H31" s="18">
        <v>1.2493540000000001</v>
      </c>
      <c r="I31" s="24">
        <f t="shared" si="0"/>
        <v>1174002.9615520001</v>
      </c>
      <c r="J31" s="25">
        <f>I31-I30</f>
        <v>258.61627800017595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>
        <v>767384</v>
      </c>
      <c r="F32" s="24">
        <v>172554</v>
      </c>
      <c r="G32" s="24">
        <f t="shared" si="1"/>
        <v>939938</v>
      </c>
      <c r="H32" s="18">
        <v>1.2493540000000001</v>
      </c>
      <c r="I32" s="24">
        <f t="shared" si="0"/>
        <v>1174315.300052</v>
      </c>
      <c r="J32" s="25">
        <f>I32-I31</f>
        <v>312.33849999983795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>
        <v>767635</v>
      </c>
      <c r="F33" s="24">
        <v>172594</v>
      </c>
      <c r="G33" s="24">
        <f t="shared" si="1"/>
        <v>940229</v>
      </c>
      <c r="H33" s="18">
        <v>1.2493540000000001</v>
      </c>
      <c r="I33" s="24">
        <f t="shared" si="0"/>
        <v>1174678.862066</v>
      </c>
      <c r="J33" s="25">
        <f>I33-I32</f>
        <v>363.56201400002465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4543.1012140000239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88.544277200009674</v>
      </c>
      <c r="M36" s="17">
        <f>+(L36*31)</f>
        <v>2744.8725932002999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G33" sqref="G33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>
        <v>4909.8680000000004</v>
      </c>
      <c r="G24" s="23">
        <v>2760</v>
      </c>
      <c r="H24" s="24">
        <f t="shared" si="0"/>
        <v>13551235.680000002</v>
      </c>
      <c r="I24" s="25">
        <f t="shared" si="1"/>
        <v>4904.5200000014156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>
        <v>4911.6480000000001</v>
      </c>
      <c r="G25" s="23">
        <v>2760</v>
      </c>
      <c r="H25" s="24">
        <f t="shared" si="0"/>
        <v>13556148.48</v>
      </c>
      <c r="I25" s="25">
        <f t="shared" si="1"/>
        <v>4912.7999999988824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>
        <v>4913.8249999999998</v>
      </c>
      <c r="G26" s="23">
        <v>2760</v>
      </c>
      <c r="H26" s="24">
        <f t="shared" si="0"/>
        <v>13562157</v>
      </c>
      <c r="I26" s="25">
        <f t="shared" si="1"/>
        <v>6008.519999999553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>
        <v>4915.6909999999998</v>
      </c>
      <c r="G27" s="23">
        <v>2760</v>
      </c>
      <c r="H27" s="24">
        <f t="shared" si="0"/>
        <v>13567307.16</v>
      </c>
      <c r="I27" s="25">
        <f t="shared" si="1"/>
        <v>5150.160000000149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>
        <v>4918.0619999999999</v>
      </c>
      <c r="G28" s="23">
        <v>2760</v>
      </c>
      <c r="H28" s="24">
        <f t="shared" si="0"/>
        <v>13573851.119999999</v>
      </c>
      <c r="I28" s="25">
        <f t="shared" si="1"/>
        <v>6543.9599999990314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>
        <v>4920.71</v>
      </c>
      <c r="G29" s="23">
        <v>2760</v>
      </c>
      <c r="H29" s="24">
        <f t="shared" si="0"/>
        <v>13581159.6</v>
      </c>
      <c r="I29" s="25">
        <f t="shared" si="1"/>
        <v>7308.480000000447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>
        <v>4923.4179999999997</v>
      </c>
      <c r="G30" s="23">
        <v>2760</v>
      </c>
      <c r="H30" s="24">
        <f t="shared" si="0"/>
        <v>13588633.68</v>
      </c>
      <c r="I30" s="25">
        <f t="shared" si="1"/>
        <v>7474.0800000000745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>
        <v>4926.009</v>
      </c>
      <c r="G31" s="23">
        <v>2760</v>
      </c>
      <c r="H31" s="24">
        <f t="shared" si="0"/>
        <v>13595784.84</v>
      </c>
      <c r="I31" s="25">
        <f t="shared" si="1"/>
        <v>7151.160000000149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>
        <v>4928.5649999999996</v>
      </c>
      <c r="G32" s="23">
        <v>2760</v>
      </c>
      <c r="H32" s="24">
        <f t="shared" si="0"/>
        <v>13602839.399999999</v>
      </c>
      <c r="I32" s="25">
        <f t="shared" si="1"/>
        <v>7054.5599999986589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>
        <v>4931.1570000000002</v>
      </c>
      <c r="G33" s="23">
        <v>2760</v>
      </c>
      <c r="H33" s="24">
        <f t="shared" si="0"/>
        <v>13609993.32</v>
      </c>
      <c r="I33" s="25">
        <f>H33-H32</f>
        <v>7153.9200000017881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147356.39999999927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2022-07-07T07:54:23Z</dcterms:modified>
</cp:coreProperties>
</file>