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<sst xmlns="http://schemas.openxmlformats.org/spreadsheetml/2006/main" count="316" uniqueCount="149">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</sst>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 t="str">
        <f>'FS Desroches Daily'!BF11</f>
        <v/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>
        <f>'FS Desroches Daily'!BF12</f>
        <v>0</v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25200.000000000331</v>
      </c>
      <c r="F33" s="17">
        <f t="shared" ref="F33:BC33" si="1">SUM(F2:F32)</f>
        <v>27899.999999999811</v>
      </c>
      <c r="G33" s="17">
        <f t="shared" si="1"/>
        <v>25099.999999999676</v>
      </c>
      <c r="H33" s="17">
        <f t="shared" si="1"/>
        <v>12499.999999999955</v>
      </c>
      <c r="I33" s="17">
        <f t="shared" si="1"/>
        <v>17600.000000000284</v>
      </c>
      <c r="J33" s="17">
        <f t="shared" si="1"/>
        <v>10599.999999999942</v>
      </c>
      <c r="K33" s="17">
        <f t="shared" si="1"/>
        <v>129</v>
      </c>
      <c r="L33" s="17">
        <f t="shared" si="1"/>
        <v>32</v>
      </c>
      <c r="M33" s="17">
        <f t="shared" si="1"/>
        <v>11.100000000000136</v>
      </c>
      <c r="N33" s="17">
        <f t="shared" si="1"/>
        <v>3896.2999999999884</v>
      </c>
      <c r="O33" s="17">
        <f t="shared" si="1"/>
        <v>2390.0000000000432</v>
      </c>
      <c r="P33" s="17">
        <f t="shared" si="1"/>
        <v>26100.000000000011</v>
      </c>
      <c r="Q33" s="17">
        <f t="shared" si="1"/>
        <v>3100.0000000000227</v>
      </c>
      <c r="R33" s="17">
        <f t="shared" si="1"/>
        <v>2960.0000000000364</v>
      </c>
      <c r="S33" s="17">
        <f t="shared" si="1"/>
        <v>3830.0000000000409</v>
      </c>
      <c r="T33" s="17">
        <f t="shared" si="1"/>
        <v>318</v>
      </c>
      <c r="U33" s="35">
        <f t="shared" si="1"/>
        <v>6340.0000000000318</v>
      </c>
      <c r="V33" s="35">
        <f t="shared" si="1"/>
        <v>2570.0000000000218</v>
      </c>
      <c r="W33" s="35">
        <f t="shared" si="1"/>
        <v>2180.0000000000068</v>
      </c>
      <c r="X33" s="35">
        <f t="shared" si="1"/>
        <v>1829.9999999999841</v>
      </c>
      <c r="Y33" s="35">
        <f t="shared" si="1"/>
        <v>1300.0000000000114</v>
      </c>
      <c r="Z33" s="35">
        <f t="shared" si="1"/>
        <v>1520.0000000000387</v>
      </c>
      <c r="AA33" s="35">
        <f t="shared" si="1"/>
        <v>1520.0000000000387</v>
      </c>
      <c r="AB33" s="35">
        <f t="shared" si="1"/>
        <v>1150.0000000000341</v>
      </c>
      <c r="AC33" s="35">
        <f t="shared" si="1"/>
        <v>1370.0000000000045</v>
      </c>
      <c r="AD33" s="35">
        <f t="shared" si="1"/>
        <v>1959.9999999999795</v>
      </c>
      <c r="AE33" s="35">
        <f t="shared" si="1"/>
        <v>1350.0000000000227</v>
      </c>
      <c r="AF33" s="17">
        <f t="shared" si="1"/>
        <v>254</v>
      </c>
      <c r="AG33" s="32">
        <f t="shared" si="1"/>
        <v>349.99999999999432</v>
      </c>
      <c r="AH33" s="32">
        <f t="shared" si="1"/>
        <v>240.00000000000909</v>
      </c>
      <c r="AI33" s="32">
        <f t="shared" si="1"/>
        <v>369.99999999997613</v>
      </c>
      <c r="AJ33" s="32">
        <f t="shared" si="1"/>
        <v>349.99999999999432</v>
      </c>
      <c r="AK33" s="32">
        <f t="shared" si="1"/>
        <v>469.99999999997044</v>
      </c>
      <c r="AL33" s="32">
        <f t="shared" si="1"/>
        <v>250</v>
      </c>
      <c r="AM33" s="32">
        <f t="shared" si="1"/>
        <v>430.00000000000682</v>
      </c>
      <c r="AN33" s="32">
        <f t="shared" si="1"/>
        <v>239</v>
      </c>
      <c r="AO33" s="32">
        <f t="shared" si="1"/>
        <v>239.99999999998067</v>
      </c>
      <c r="AP33" s="32">
        <f t="shared" si="1"/>
        <v>230</v>
      </c>
      <c r="AQ33" s="17">
        <f t="shared" si="1"/>
        <v>527</v>
      </c>
      <c r="AR33" s="17">
        <f t="shared" si="1"/>
        <v>80.200000000000728</v>
      </c>
      <c r="AS33" s="17">
        <f t="shared" si="1"/>
        <v>54.199999999999818</v>
      </c>
      <c r="AT33" s="17">
        <f t="shared" si="1"/>
        <v>383</v>
      </c>
      <c r="AU33" s="17">
        <f t="shared" si="1"/>
        <v>2371</v>
      </c>
      <c r="AV33" s="17">
        <f t="shared" si="1"/>
        <v>5259.9999999999909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40.292999999999992</v>
      </c>
      <c r="BC33" s="17">
        <f t="shared" si="1"/>
        <v>185</v>
      </c>
    </row>
    <row r="35" spans="5:55" x14ac:dyDescent="0.25">
      <c r="E35" s="38">
        <f>E33/E37</f>
        <v>0.27261515826824906</v>
      </c>
      <c r="G35" s="29">
        <f>G33-M36</f>
        <v>21192.599999999686</v>
      </c>
      <c r="AE35" s="35">
        <f>SUM(U33:AE33)</f>
        <v>23090.000000000171</v>
      </c>
      <c r="AG35" s="32">
        <f>SUM(AG33:AP33)</f>
        <v>3168.9999999999318</v>
      </c>
    </row>
    <row r="36" spans="5:55" x14ac:dyDescent="0.25">
      <c r="G36" s="29">
        <f>G35-633*14</f>
        <v>12330.599999999686</v>
      </c>
      <c r="M36" s="29">
        <f>M33+N33</f>
        <v>3907.3999999999887</v>
      </c>
    </row>
    <row r="37" spans="5:55" x14ac:dyDescent="0.25">
      <c r="E37" s="17">
        <f>E33+F33+G33+H33+J33-633*14</f>
        <v>92437.999999999724</v>
      </c>
      <c r="G37" s="37">
        <f>M36/E37</f>
        <v>4.2270494818148388E-2</v>
      </c>
      <c r="M37" s="35">
        <f>AE35</f>
        <v>23090.000000000171</v>
      </c>
    </row>
    <row r="38" spans="5:55" x14ac:dyDescent="0.25">
      <c r="L38" s="27">
        <f>M38/E37</f>
        <v>3.4282437958414735E-2</v>
      </c>
      <c r="M38" s="29">
        <f>AG35</f>
        <v>3168.9999999999318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C1" zoomScale="90" zoomScaleNormal="90" workbookViewId="0">
      <pane ySplit="1" topLeftCell="A2" activePane="bottomLeft" state="frozen"/>
      <selection pane="bottomLeft" activeCell="CO12" sqref="CO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148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/>
      <c r="BF11" s="67" t="str">
        <f t="shared" si="28"/>
        <v/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/>
      <c r="D12" s="64" t="str">
        <f t="shared" si="1"/>
        <v>0</v>
      </c>
      <c r="E12" s="58"/>
      <c r="F12" s="64" t="str">
        <f t="shared" si="2"/>
        <v>0</v>
      </c>
      <c r="G12" s="58"/>
      <c r="H12" s="64" t="str">
        <f t="shared" si="3"/>
        <v>0</v>
      </c>
      <c r="I12" s="58"/>
      <c r="J12" s="64" t="str">
        <f t="shared" si="4"/>
        <v>0</v>
      </c>
      <c r="K12" s="58"/>
      <c r="L12" s="64" t="str">
        <f t="shared" si="5"/>
        <v>0</v>
      </c>
      <c r="M12" s="58"/>
      <c r="N12" s="64" t="str">
        <f t="shared" si="6"/>
        <v/>
      </c>
      <c r="O12" s="58"/>
      <c r="P12" s="67" t="str">
        <f t="shared" si="7"/>
        <v/>
      </c>
      <c r="Q12" s="58"/>
      <c r="R12" s="67" t="str">
        <f t="shared" si="8"/>
        <v/>
      </c>
      <c r="S12" s="58"/>
      <c r="T12" s="67" t="str">
        <f t="shared" si="9"/>
        <v/>
      </c>
      <c r="U12" s="58"/>
      <c r="V12" s="67" t="str">
        <f t="shared" si="10"/>
        <v/>
      </c>
      <c r="W12" s="58"/>
      <c r="X12" s="65" t="str">
        <f t="shared" si="11"/>
        <v/>
      </c>
      <c r="Y12" s="58"/>
      <c r="Z12" s="65" t="str">
        <f t="shared" si="12"/>
        <v/>
      </c>
      <c r="AA12" s="58"/>
      <c r="AB12" s="65" t="str">
        <f t="shared" si="13"/>
        <v/>
      </c>
      <c r="AC12" s="58"/>
      <c r="AD12" s="65" t="str">
        <f t="shared" si="14"/>
        <v/>
      </c>
      <c r="AE12" s="58"/>
      <c r="AF12" s="65" t="str">
        <f t="shared" si="15"/>
        <v/>
      </c>
      <c r="AG12" s="58"/>
      <c r="AH12" s="67" t="str">
        <f t="shared" si="16"/>
        <v/>
      </c>
      <c r="AI12" s="58"/>
      <c r="AJ12" s="65" t="str">
        <f t="shared" si="17"/>
        <v/>
      </c>
      <c r="AK12" s="58"/>
      <c r="AL12" s="65" t="str">
        <f t="shared" si="18"/>
        <v/>
      </c>
      <c r="AM12" s="58"/>
      <c r="AN12" s="65" t="str">
        <f t="shared" si="19"/>
        <v/>
      </c>
      <c r="AO12" s="58"/>
      <c r="AP12" s="65" t="str">
        <f t="shared" si="20"/>
        <v/>
      </c>
      <c r="AQ12" s="58"/>
      <c r="AR12" s="65" t="str">
        <f t="shared" si="21"/>
        <v/>
      </c>
      <c r="AS12" s="58"/>
      <c r="AT12" s="65" t="str">
        <f t="shared" si="22"/>
        <v/>
      </c>
      <c r="AU12" s="58"/>
      <c r="AV12" s="65" t="str">
        <f t="shared" si="23"/>
        <v/>
      </c>
      <c r="AW12" s="58"/>
      <c r="AX12" s="65" t="str">
        <f t="shared" si="24"/>
        <v/>
      </c>
      <c r="AY12" s="58"/>
      <c r="AZ12" s="65" t="str">
        <f t="shared" si="25"/>
        <v/>
      </c>
      <c r="BA12" s="58"/>
      <c r="BB12" s="65" t="str">
        <f t="shared" si="26"/>
        <v/>
      </c>
      <c r="BC12" s="58"/>
      <c r="BD12" s="65" t="str">
        <f t="shared" si="27"/>
        <v/>
      </c>
      <c r="BE12" s="59"/>
      <c r="BF12" s="67">
        <f t="shared" si="28"/>
        <v>0</v>
      </c>
      <c r="BG12" s="60"/>
      <c r="BH12" s="65" t="str">
        <f t="shared" si="29"/>
        <v/>
      </c>
      <c r="BI12" s="60"/>
      <c r="BJ12" s="65" t="str">
        <f t="shared" si="30"/>
        <v/>
      </c>
      <c r="BK12" s="60"/>
      <c r="BL12" s="65" t="str">
        <f t="shared" si="31"/>
        <v/>
      </c>
      <c r="BM12" s="60"/>
      <c r="BN12" s="65" t="str">
        <f t="shared" si="32"/>
        <v/>
      </c>
      <c r="BO12" s="60"/>
      <c r="BP12" s="65" t="str">
        <f t="shared" si="33"/>
        <v/>
      </c>
      <c r="BQ12" s="60"/>
      <c r="BR12" s="65" t="str">
        <f t="shared" si="34"/>
        <v/>
      </c>
      <c r="BS12" s="60"/>
      <c r="BT12" s="65" t="str">
        <f t="shared" si="35"/>
        <v/>
      </c>
      <c r="BU12" s="60"/>
      <c r="BV12" s="65" t="str">
        <f t="shared" si="36"/>
        <v/>
      </c>
      <c r="BW12" s="60"/>
      <c r="BX12" s="65" t="str">
        <f t="shared" si="37"/>
        <v/>
      </c>
      <c r="BY12" s="60"/>
      <c r="BZ12" s="67" t="str">
        <f t="shared" si="38"/>
        <v/>
      </c>
      <c r="CA12" s="60"/>
      <c r="CB12" s="67" t="str">
        <f t="shared" si="39"/>
        <v/>
      </c>
      <c r="CC12" s="60"/>
      <c r="CD12" s="67" t="str">
        <f t="shared" si="40"/>
        <v/>
      </c>
      <c r="CE12" s="60"/>
      <c r="CF12" s="67" t="str">
        <f t="shared" si="41"/>
        <v/>
      </c>
      <c r="CG12" s="60"/>
      <c r="CH12" s="67" t="str">
        <f t="shared" si="42"/>
        <v/>
      </c>
      <c r="CI12" s="60"/>
      <c r="CJ12" s="67" t="str">
        <f t="shared" si="43"/>
        <v/>
      </c>
      <c r="CK12" s="60"/>
      <c r="CL12" s="64" t="str">
        <f t="shared" si="44"/>
        <v/>
      </c>
      <c r="CM12" s="65" t="e">
        <f t="shared" si="45"/>
        <v>#VALUE!</v>
      </c>
      <c r="CN12" s="62"/>
      <c r="CO12" s="62"/>
      <c r="CP12" s="68"/>
      <c r="CQ12" s="67" t="str">
        <f t="shared" si="46"/>
        <v/>
      </c>
      <c r="CR12" s="68"/>
      <c r="CS12" s="67" t="str">
        <f t="shared" si="47"/>
        <v/>
      </c>
      <c r="CT12" s="75"/>
      <c r="CU12" s="67" t="str">
        <f t="shared" si="48"/>
        <v/>
      </c>
      <c r="CV12" s="68"/>
      <c r="CW12" s="67" t="str">
        <f t="shared" si="49"/>
        <v/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16" sqref="D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-219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2022-01-09T18:09:45Z</dcterms:modified>
</cp:coreProperties>
</file>