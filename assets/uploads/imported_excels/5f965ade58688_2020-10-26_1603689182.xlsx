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6" activeTab="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5" i="1"/>
  <c r="X28" i="3"/>
  <c r="X29"/>
  <c r="X30"/>
  <c r="G27" i="15"/>
  <c r="G28"/>
  <c r="G29"/>
  <c r="G30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31" i="23"/>
  <c r="H31"/>
  <c r="I31"/>
  <c r="J31"/>
  <c r="F32"/>
  <c r="H32"/>
  <c r="I32"/>
  <c r="J32"/>
  <c r="F33"/>
  <c r="H33"/>
  <c r="I33"/>
  <c r="J33"/>
  <c r="F34"/>
  <c r="H34"/>
  <c r="I34"/>
  <c r="J34"/>
  <c r="F35"/>
  <c r="H35"/>
  <c r="I35"/>
  <c r="J35"/>
  <c r="F36"/>
  <c r="H36"/>
  <c r="J36"/>
  <c r="D36"/>
  <c r="C19"/>
  <c r="C26"/>
  <c r="C27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G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Q14" s="1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30" i="1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31"/>
  <c r="K32"/>
  <c r="K33"/>
  <c r="K34"/>
  <c r="K35"/>
  <c r="A3" i="18"/>
  <c r="Q5"/>
  <c r="Q9"/>
  <c r="Q13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L29" i="10" s="1"/>
  <c r="G35" i="15"/>
  <c r="L30" i="10" s="1"/>
  <c r="U36" i="1"/>
  <c r="F29" i="10"/>
  <c r="F30" i="3"/>
  <c r="G32" i="15"/>
  <c r="L27" i="10" s="1"/>
  <c r="F29" i="3"/>
  <c r="G35" i="10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C23" i="23" s="1"/>
  <c r="U30" i="1"/>
  <c r="AK30"/>
  <c r="C24" i="23" s="1"/>
  <c r="U31" i="1"/>
  <c r="AK31"/>
  <c r="C25" i="23" s="1"/>
  <c r="U32" i="1"/>
  <c r="AK32"/>
  <c r="U33"/>
  <c r="AK33"/>
  <c r="U34"/>
  <c r="AK34"/>
  <c r="C28" i="23" s="1"/>
  <c r="AK35" i="1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4" l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L26" i="10" s="1"/>
  <c r="G33" i="15"/>
  <c r="L28" i="10" s="1"/>
  <c r="G36" i="15"/>
  <c r="G37"/>
  <c r="G38"/>
  <c r="G39"/>
  <c r="G40"/>
  <c r="J27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0" l="1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F32" i="26" s="1"/>
  <c r="C33" i="24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AU28" s="1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<sst xmlns="http://schemas.openxmlformats.org/spreadsheetml/2006/main" count="547" uniqueCount="331">
  <si>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</si>
  <si>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</si>
  <si>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</si>
  <si>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</si>
  <si>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</si>
  <si>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</si>
  <si>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</si>
  <si>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</si>
  <si>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</si>
  <si>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</si>
  <si>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</si>
  <si>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</si>
  <si>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</si>
  <si>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</si>
  <si>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</si>
  <si>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</si>
  <si>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</si>
  <si>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</si>
  <si>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</si>
  <si>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</si>
  <si>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</si>
  <si>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</si>
  <si>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</si>
  <si>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</si>
  <si>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</si>
  <si>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</si>
  <si>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</si>
  <si>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</si>
  <si>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</si>
  <si>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</si>
  <si>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</si>
  <si>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</si>
  <si>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</si>
  <si>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</si>
  <si>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</si>
  <si>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</si>
  <si>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</si>
  <si>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</si>
  <si>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</si>
  <si>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</si>
  <si>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</si>
  <si>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</si>
  <si>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</si>
  <si>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</si>
  <si>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</si>
  <si>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</si>
  <si>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</si>
  <si>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</si>
  <si>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</si>
  <si>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</si>
  <si>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</si>
  <si>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</si>
  <si>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</si>
  <si>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</si>
  <si>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</si>
  <si>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</si>
  <si>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</si>
  <si>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</si>
  <si>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</si>
  <si>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</si>
  <si>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</si>
  <si>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</si>
  <si>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</si>
  <si>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</si>
  <si>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</si>
  <si>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</si>
  <si>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</si>
  <si>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</si>
  <si>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</si>
  <si>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</si>
  <si>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</si>
  <si>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</si>
  <si>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</si>
  <si>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</si>
  <si>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</si>
  <si>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</si>
  <si>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</si>
  <si>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</si>
  <si>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</si>
  <si>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</si>
  <si>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</si>
  <si>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</si>
  <si>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</si>
  <si>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</si>
  <si>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</si>
  <si>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</si>
  <si>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</si>
  <si>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</si>
  <si>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</si>
  <si>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</si>
  <si>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</si>
  <si>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</si>
  <si>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</si>
  <si>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</si>
  <si>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</si>
  <si>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</si>
  <si>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</si>
  <si>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</si>
  <si>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</si>
  <si>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</si>
  <si>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</si>
  <si>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</si>
  <si>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</si>
  <si>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</si>
  <si>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</si>
  <si>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</si>
  <si>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</si>
  <si>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</si>
  <si>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</si>
  <si>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</si>
  <si>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</si>
  <si>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</si>
  <si>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</si>
  <si>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</si>
  <si>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</si>
  <si>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</si>
  <si>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</si>
  <si>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</si>
  <si>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</si>
  <si>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</si>
  <si>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</si>
  <si>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</si>
  <si>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</si>
  <si>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</si>
  <si>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</si>
  <si>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</si>
  <si>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</si>
  <si>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</si>
  <si>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</si>
  <si>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</si>
  <si>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</si>
  <si>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</si>
  <si>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</si>
  <si>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</si>
  <si>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</si>
  <si>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</si>
  <si>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</si>
  <si>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</si>
  <si>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</si>
  <si>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</si>
  <si>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</si>
  <si>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</si>
  <si>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</si>
  <si>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</si>
  <si>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</si>
  <si>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</si>
  <si>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</si>
  <si>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</si>
  <si>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</si>
  <si>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</si>
  <si>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</si>
  <si>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</si>
  <si>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</si>
  <si>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</si>
  <si>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</si>
  <si>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</si>
  <si>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</si>
  <si>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</si>
  <si>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</si>
  <si>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</si>
  <si>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</si>
  <si>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</si>
  <si>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</si>
  <si>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</si>
  <si>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</si>
  <si>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</si>
  <si>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</si>
  <si>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</si>
  <si>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</si>
  <si>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</si>
  <si>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</si>
  <si>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</si>
  <si>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</si>
  <si>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</si>
  <si>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</si>
  <si>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</si>
  <si>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</si>
  <si>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</si>
  <si>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</si>
  <si>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</si>
  <si>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</si>
  <si>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</si>
  <si>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</si>
  <si>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</si>
  <si>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</si>
  <si>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</si>
  <si>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</si>
  <si>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</si>
  <si>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</si>
  <si>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</si>
  <si>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</si>
  <si>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</si>
  <si>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</si>
  <si>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</si>
  <si>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</si>
  <si>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</si>
  <si>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</si>
  <si>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</si>
  <si>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</si>
  <si>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</si>
  <si>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</si>
  <si>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</si>
  <si>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</si>
  <si>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</si>
  <si>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</si>
  <si>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</si>
  <si>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</si>
  <si>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</si>
  <si>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</si>
  <si>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</si>
  <si>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</si>
  <si>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</si>
  <si>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</si>
  <si>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</si>
  <si>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</si>
  <si>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</si>
  <si>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</si>
  <si>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</si>
  <si>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</si>
  <si>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</si>
  <si>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</si>
  <si>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</si>
  <si>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</si>
  <si>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</si>
  <si>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</si>
  <si>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</si>
  <si>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</si>
  <si>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</si>
  <si>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</si>
  <si>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</si>
  <si>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</si>
  <si>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</si>
  <si>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</si>
  <si>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</si>
  <si>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</si>
  <si>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</si>
  <si>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</si>
  <si>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</si>
  <si>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</si>
  <si>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</si>
  <si>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</si>
  <si>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</si>
  <si>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</si>
  <si>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</si>
  <si>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</si>
  <si>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</si>
  <si>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</si>
  <si>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</si>
  <si>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</si>
  <si>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</si>
  <si>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</si>
  <si>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</si>
  <si>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</si>
  <si>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</si>
  <si>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</si>
  <si>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</si>
  <si>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</si>
  <si>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</si>
  <si>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</si>
  <si>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</si>
  <si>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</si>
  <si>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</si>
  <si>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</si>
  <si>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</si>
  <si>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</si>
  <si>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</si>
  <si>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</si>
  <si>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</si>
  <si>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</si>
  <si>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</si>
  <si>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</si>
  <si>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</si>
  <si>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</si>
  <si>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</si>
  <si>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</si>
  <si>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</si>
  <si>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</si>
  <si>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</si>
  <si>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</si>
  <si>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</si>
  <si>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</si>
  <si>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</si>
  <si>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</si>
  <si>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</si>
  <si>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</si>
  <si>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</si>
  <si>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</si>
  <si>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</si>
  <si>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</si>
  <si>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</si>
  <si>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</si>
  <si>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</si>
  <si>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</si>
  <si>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</si>
  <si>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</si>
  <si>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</si>
  <si>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</si>
  <si>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</si>
  <si>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</si>
  <si>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</si>
  <si>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</si>
  <si>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</si>
  <si>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</si>
  <si>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</si>
  <si>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</si>
  <si>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</si>
  <si>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</si>
  <si>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</si>
  <si>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</si>
  <si>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</si>
  <si>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</si>
  <si>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</si>
  <si>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</si>
  <si>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</si>
  <si>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</si>
  <si>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</si>
  <si>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</si>
  <si>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</si>
  <si>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</si>
  <si>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</si>
  <si>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</si>
  <si>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</si>
  <si>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</si>
  <si>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</si>
  <si>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</si>
  <si>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</si>
  <si>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</si>
  <si>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T391DQR</t>
  </si>
  <si>
    <t>Hassan</t>
  </si>
  <si>
    <t>T132CWQ</t>
  </si>
  <si>
    <t>Dornad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</si>
</sst>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1119.3499999999999</c:v>
                </c:pt>
                <c:pt idx="18">
                  <c:v>1055.8400000000001</c:v>
                </c:pt>
                <c:pt idx="19">
                  <c:v>1011.91</c:v>
                </c:pt>
                <c:pt idx="20">
                  <c:v>1044.28</c:v>
                </c:pt>
                <c:pt idx="21">
                  <c:v>1163.1300000000001</c:v>
                </c:pt>
                <c:pt idx="22">
                  <c:v>1029.31</c:v>
                </c:pt>
                <c:pt idx="23">
                  <c:v>1100.5899999999999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4164352"/>
        <c:axId val="1241661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4167680"/>
        <c:axId val="124169216"/>
      </c:lineChart>
      <c:catAx>
        <c:axId val="12416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6144"/>
        <c:crosses val="autoZero"/>
        <c:auto val="1"/>
        <c:lblAlgn val="ctr"/>
        <c:lblOffset val="100"/>
      </c:catAx>
      <c:valAx>
        <c:axId val="12416614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4352"/>
        <c:crosses val="autoZero"/>
        <c:crossBetween val="between"/>
        <c:majorUnit val="200"/>
      </c:valAx>
      <c:catAx>
        <c:axId val="124167680"/>
        <c:scaling>
          <c:orientation val="minMax"/>
        </c:scaling>
        <c:delete val="1"/>
        <c:axPos val="b"/>
        <c:tickLblPos val="none"/>
        <c:crossAx val="124169216"/>
        <c:crosses val="autoZero"/>
        <c:auto val="1"/>
        <c:lblAlgn val="ctr"/>
        <c:lblOffset val="100"/>
      </c:catAx>
      <c:valAx>
        <c:axId val="1241692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7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5854080"/>
        <c:axId val="1258556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5857152"/>
        <c:axId val="125863040"/>
      </c:lineChart>
      <c:catAx>
        <c:axId val="12585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55616"/>
        <c:crosses val="autoZero"/>
        <c:auto val="1"/>
        <c:lblAlgn val="ctr"/>
        <c:lblOffset val="100"/>
      </c:catAx>
      <c:valAx>
        <c:axId val="125855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54080"/>
        <c:crosses val="autoZero"/>
        <c:crossBetween val="between"/>
        <c:majorUnit val="200"/>
      </c:valAx>
      <c:catAx>
        <c:axId val="125857152"/>
        <c:scaling>
          <c:orientation val="minMax"/>
        </c:scaling>
        <c:delete val="1"/>
        <c:axPos val="b"/>
        <c:tickLblPos val="none"/>
        <c:crossAx val="125863040"/>
        <c:crosses val="autoZero"/>
        <c:auto val="1"/>
        <c:lblAlgn val="ctr"/>
        <c:lblOffset val="100"/>
      </c:catAx>
      <c:valAx>
        <c:axId val="125863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57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2958464"/>
        <c:axId val="152960000"/>
      </c:lineChart>
      <c:catAx>
        <c:axId val="15295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60000"/>
        <c:crosses val="autoZero"/>
        <c:auto val="1"/>
        <c:lblAlgn val="ctr"/>
        <c:lblOffset val="200"/>
        <c:tickLblSkip val="1"/>
      </c:catAx>
      <c:valAx>
        <c:axId val="1529600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5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2.5999999999999999E-2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7298560"/>
        <c:axId val="153223936"/>
      </c:lineChart>
      <c:catAx>
        <c:axId val="12729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23936"/>
        <c:crosses val="autoZero"/>
        <c:auto val="1"/>
        <c:lblAlgn val="ctr"/>
        <c:lblOffset val="100"/>
      </c:catAx>
      <c:valAx>
        <c:axId val="1532239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9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3268992"/>
        <c:axId val="153270912"/>
      </c:lineChart>
      <c:catAx>
        <c:axId val="153268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70912"/>
        <c:crosses val="autoZero"/>
        <c:auto val="1"/>
        <c:lblAlgn val="ctr"/>
        <c:lblOffset val="100"/>
      </c:catAx>
      <c:valAx>
        <c:axId val="153270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68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3713664"/>
        <c:axId val="153724032"/>
      </c:lineChart>
      <c:catAx>
        <c:axId val="153713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24032"/>
        <c:crosses val="autoZero"/>
        <c:auto val="1"/>
        <c:lblAlgn val="ctr"/>
        <c:lblOffset val="100"/>
      </c:catAx>
      <c:valAx>
        <c:axId val="1537240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136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-320696.42000000004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3716224"/>
        <c:axId val="153717760"/>
      </c:lineChart>
      <c:catAx>
        <c:axId val="15371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17760"/>
        <c:crosses val="autoZero"/>
        <c:auto val="1"/>
        <c:lblAlgn val="ctr"/>
        <c:lblOffset val="100"/>
      </c:catAx>
      <c:valAx>
        <c:axId val="153717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1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3915392"/>
        <c:axId val="153916928"/>
      </c:lineChart>
      <c:catAx>
        <c:axId val="15391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16928"/>
        <c:crosses val="autoZero"/>
        <c:auto val="1"/>
        <c:lblAlgn val="ctr"/>
        <c:lblOffset val="100"/>
      </c:catAx>
      <c:valAx>
        <c:axId val="15391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1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4936448"/>
        <c:axId val="154937984"/>
      </c:lineChart>
      <c:catAx>
        <c:axId val="15493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37984"/>
        <c:crosses val="autoZero"/>
        <c:auto val="1"/>
        <c:lblAlgn val="ctr"/>
        <c:lblOffset val="100"/>
      </c:catAx>
      <c:valAx>
        <c:axId val="15493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3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94"/>
          <c:y val="7.471324705111409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4962560"/>
        <c:axId val="154972544"/>
      </c:lineChart>
      <c:catAx>
        <c:axId val="15496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2544"/>
        <c:crosses val="autoZero"/>
        <c:auto val="1"/>
        <c:lblAlgn val="ctr"/>
        <c:lblOffset val="200"/>
        <c:tickLblSkip val="1"/>
      </c:catAx>
      <c:valAx>
        <c:axId val="154972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4764032"/>
        <c:axId val="154765568"/>
      </c:lineChart>
      <c:catAx>
        <c:axId val="15476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65568"/>
        <c:crosses val="autoZero"/>
        <c:auto val="1"/>
        <c:lblAlgn val="ctr"/>
        <c:lblOffset val="100"/>
      </c:catAx>
      <c:valAx>
        <c:axId val="15476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6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4781952"/>
        <c:axId val="155480448"/>
      </c:lineChart>
      <c:catAx>
        <c:axId val="154781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0448"/>
        <c:crosses val="autoZero"/>
        <c:auto val="1"/>
        <c:lblAlgn val="ctr"/>
        <c:lblOffset val="100"/>
      </c:catAx>
      <c:valAx>
        <c:axId val="155480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81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5656960"/>
        <c:axId val="155658880"/>
      </c:lineChart>
      <c:catAx>
        <c:axId val="155656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8880"/>
        <c:crosses val="autoZero"/>
        <c:auto val="1"/>
        <c:lblAlgn val="ctr"/>
        <c:lblOffset val="100"/>
      </c:catAx>
      <c:valAx>
        <c:axId val="1556588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69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5692032"/>
        <c:axId val="155693824"/>
      </c:lineChart>
      <c:catAx>
        <c:axId val="15569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93824"/>
        <c:crosses val="autoZero"/>
        <c:auto val="1"/>
        <c:lblAlgn val="ctr"/>
        <c:lblOffset val="100"/>
      </c:catAx>
      <c:valAx>
        <c:axId val="15569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5260416"/>
        <c:axId val="155261952"/>
      </c:lineChart>
      <c:catAx>
        <c:axId val="15526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61952"/>
        <c:crosses val="autoZero"/>
        <c:auto val="1"/>
        <c:lblAlgn val="ctr"/>
        <c:lblOffset val="100"/>
      </c:catAx>
      <c:valAx>
        <c:axId val="15526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6109440"/>
        <c:axId val="156111232"/>
      </c:lineChart>
      <c:catAx>
        <c:axId val="15610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11232"/>
        <c:crosses val="autoZero"/>
        <c:auto val="1"/>
        <c:lblAlgn val="ctr"/>
        <c:lblOffset val="100"/>
      </c:catAx>
      <c:valAx>
        <c:axId val="15611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205"/>
          <c:y val="7.471324705111441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6668672"/>
        <c:axId val="15667020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6688384"/>
        <c:axId val="156689920"/>
      </c:lineChart>
      <c:catAx>
        <c:axId val="1566686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70208"/>
        <c:crosses val="autoZero"/>
        <c:lblAlgn val="ctr"/>
        <c:lblOffset val="100"/>
        <c:tickMarkSkip val="1"/>
      </c:catAx>
      <c:valAx>
        <c:axId val="1566702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68672"/>
        <c:crosses val="autoZero"/>
        <c:crossBetween val="between"/>
      </c:valAx>
      <c:catAx>
        <c:axId val="156688384"/>
        <c:scaling>
          <c:orientation val="minMax"/>
        </c:scaling>
        <c:delete val="1"/>
        <c:axPos val="b"/>
        <c:numFmt formatCode="[$-409]d\-mmm\-yy;@" sourceLinked="1"/>
        <c:tickLblPos val="none"/>
        <c:crossAx val="156689920"/>
        <c:crosses val="autoZero"/>
        <c:lblAlgn val="ctr"/>
        <c:lblOffset val="100"/>
      </c:catAx>
      <c:valAx>
        <c:axId val="15668992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88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6517888"/>
        <c:axId val="156519424"/>
      </c:lineChart>
      <c:catAx>
        <c:axId val="15651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19424"/>
        <c:crosses val="autoZero"/>
        <c:auto val="1"/>
        <c:lblAlgn val="ctr"/>
        <c:lblOffset val="100"/>
      </c:catAx>
      <c:valAx>
        <c:axId val="1565194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6552192"/>
        <c:axId val="156697344"/>
      </c:lineChart>
      <c:catAx>
        <c:axId val="15655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97344"/>
        <c:crosses val="autoZero"/>
        <c:auto val="1"/>
        <c:lblAlgn val="ctr"/>
        <c:lblOffset val="100"/>
      </c:catAx>
      <c:valAx>
        <c:axId val="1566973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6752896"/>
        <c:axId val="1567587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6760320"/>
        <c:axId val="158728192"/>
      </c:lineChart>
      <c:catAx>
        <c:axId val="156752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58784"/>
        <c:crosses val="autoZero"/>
        <c:lblAlgn val="ctr"/>
        <c:lblOffset val="100"/>
        <c:tickMarkSkip val="1"/>
      </c:catAx>
      <c:valAx>
        <c:axId val="15675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52896"/>
        <c:crosses val="autoZero"/>
        <c:crossBetween val="between"/>
      </c:valAx>
      <c:catAx>
        <c:axId val="156760320"/>
        <c:scaling>
          <c:orientation val="minMax"/>
        </c:scaling>
        <c:delete val="1"/>
        <c:axPos val="b"/>
        <c:numFmt formatCode="General" sourceLinked="1"/>
        <c:tickLblPos val="none"/>
        <c:crossAx val="158728192"/>
        <c:crosses val="autoZero"/>
        <c:lblAlgn val="ctr"/>
        <c:lblOffset val="100"/>
      </c:catAx>
      <c:valAx>
        <c:axId val="1587281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60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8777344"/>
        <c:axId val="158778880"/>
      </c:lineChart>
      <c:catAx>
        <c:axId val="15877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78880"/>
        <c:crosses val="autoZero"/>
        <c:auto val="1"/>
        <c:lblAlgn val="ctr"/>
        <c:lblOffset val="100"/>
      </c:catAx>
      <c:valAx>
        <c:axId val="15877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7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9143424"/>
        <c:axId val="159144960"/>
      </c:lineChart>
      <c:catAx>
        <c:axId val="15914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44960"/>
        <c:crosses val="autoZero"/>
        <c:auto val="1"/>
        <c:lblAlgn val="ctr"/>
        <c:lblOffset val="100"/>
      </c:catAx>
      <c:valAx>
        <c:axId val="15914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4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5301888"/>
        <c:axId val="1253034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2715648"/>
        <c:axId val="152717184"/>
      </c:lineChart>
      <c:catAx>
        <c:axId val="1253018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03424"/>
        <c:crosses val="autoZero"/>
        <c:lblAlgn val="ctr"/>
        <c:lblOffset val="100"/>
        <c:tickMarkSkip val="1"/>
      </c:catAx>
      <c:valAx>
        <c:axId val="125303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01888"/>
        <c:crosses val="autoZero"/>
        <c:crossBetween val="between"/>
      </c:valAx>
      <c:catAx>
        <c:axId val="152715648"/>
        <c:scaling>
          <c:orientation val="minMax"/>
        </c:scaling>
        <c:delete val="1"/>
        <c:axPos val="b"/>
        <c:numFmt formatCode="[$-409]d\-mmm\-yy;@" sourceLinked="1"/>
        <c:tickLblPos val="none"/>
        <c:crossAx val="152717184"/>
        <c:crosses val="autoZero"/>
        <c:lblAlgn val="ctr"/>
        <c:lblOffset val="100"/>
      </c:catAx>
      <c:valAx>
        <c:axId val="1527171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15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2747008"/>
        <c:axId val="1527528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2754432"/>
        <c:axId val="152760320"/>
      </c:lineChart>
      <c:catAx>
        <c:axId val="152747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52896"/>
        <c:crosses val="autoZero"/>
        <c:lblAlgn val="ctr"/>
        <c:lblOffset val="100"/>
        <c:tickMarkSkip val="1"/>
      </c:catAx>
      <c:valAx>
        <c:axId val="15275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47008"/>
        <c:crosses val="autoZero"/>
        <c:crossBetween val="between"/>
      </c:valAx>
      <c:catAx>
        <c:axId val="152754432"/>
        <c:scaling>
          <c:orientation val="minMax"/>
        </c:scaling>
        <c:delete val="1"/>
        <c:axPos val="b"/>
        <c:numFmt formatCode="General" sourceLinked="1"/>
        <c:tickLblPos val="none"/>
        <c:crossAx val="152760320"/>
        <c:crosses val="autoZero"/>
        <c:lblAlgn val="ctr"/>
        <c:lblOffset val="100"/>
      </c:catAx>
      <c:valAx>
        <c:axId val="1527603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54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0844032"/>
        <c:axId val="16085401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0855552"/>
        <c:axId val="160857088"/>
      </c:lineChart>
      <c:catAx>
        <c:axId val="1608440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54016"/>
        <c:crosses val="autoZero"/>
        <c:lblAlgn val="ctr"/>
        <c:lblOffset val="100"/>
        <c:tickMarkSkip val="1"/>
      </c:catAx>
      <c:valAx>
        <c:axId val="1608540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44032"/>
        <c:crosses val="autoZero"/>
        <c:crossBetween val="between"/>
      </c:valAx>
      <c:catAx>
        <c:axId val="160855552"/>
        <c:scaling>
          <c:orientation val="minMax"/>
        </c:scaling>
        <c:delete val="1"/>
        <c:axPos val="b"/>
        <c:numFmt formatCode="[$-409]d\-mmm\-yy;@" sourceLinked="1"/>
        <c:tickLblPos val="none"/>
        <c:crossAx val="160857088"/>
        <c:crosses val="autoZero"/>
        <c:lblAlgn val="ctr"/>
        <c:lblOffset val="100"/>
      </c:catAx>
      <c:valAx>
        <c:axId val="1608570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55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1956608"/>
        <c:axId val="161958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1959936"/>
        <c:axId val="161961472"/>
      </c:lineChart>
      <c:catAx>
        <c:axId val="161956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58144"/>
        <c:crosses val="autoZero"/>
        <c:lblAlgn val="ctr"/>
        <c:lblOffset val="100"/>
        <c:tickMarkSkip val="1"/>
      </c:catAx>
      <c:valAx>
        <c:axId val="16195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56608"/>
        <c:crosses val="autoZero"/>
        <c:crossBetween val="between"/>
      </c:valAx>
      <c:catAx>
        <c:axId val="161959936"/>
        <c:scaling>
          <c:orientation val="minMax"/>
        </c:scaling>
        <c:delete val="1"/>
        <c:axPos val="b"/>
        <c:numFmt formatCode="General" sourceLinked="1"/>
        <c:tickLblPos val="none"/>
        <c:crossAx val="161961472"/>
        <c:crosses val="autoZero"/>
        <c:lblAlgn val="ctr"/>
        <c:lblOffset val="100"/>
      </c:catAx>
      <c:valAx>
        <c:axId val="1619614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59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2199424"/>
        <c:axId val="160710656"/>
      </c:lineChart>
      <c:catAx>
        <c:axId val="162199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10656"/>
        <c:crosses val="autoZero"/>
        <c:auto val="1"/>
        <c:lblAlgn val="ctr"/>
        <c:lblOffset val="100"/>
      </c:catAx>
      <c:valAx>
        <c:axId val="1607106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994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0743808"/>
        <c:axId val="160745728"/>
      </c:lineChart>
      <c:catAx>
        <c:axId val="160743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45728"/>
        <c:crosses val="autoZero"/>
        <c:auto val="1"/>
        <c:lblAlgn val="ctr"/>
        <c:lblOffset val="100"/>
      </c:catAx>
      <c:valAx>
        <c:axId val="1607457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438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2810496"/>
        <c:axId val="162812288"/>
      </c:lineChart>
      <c:catAx>
        <c:axId val="16281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2288"/>
        <c:crosses val="autoZero"/>
        <c:auto val="1"/>
        <c:lblAlgn val="ctr"/>
        <c:lblOffset val="200"/>
        <c:tickLblSkip val="1"/>
      </c:catAx>
      <c:valAx>
        <c:axId val="1628122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2.5999999999999999E-2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2849152"/>
        <c:axId val="162850688"/>
      </c:lineChart>
      <c:catAx>
        <c:axId val="16284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0688"/>
        <c:crosses val="autoZero"/>
        <c:auto val="1"/>
        <c:lblAlgn val="ctr"/>
        <c:lblOffset val="100"/>
      </c:catAx>
      <c:valAx>
        <c:axId val="162850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4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2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-320696.42000000004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2228096"/>
        <c:axId val="162229632"/>
      </c:lineChart>
      <c:catAx>
        <c:axId val="16222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9632"/>
        <c:crosses val="autoZero"/>
        <c:auto val="1"/>
        <c:lblAlgn val="ctr"/>
        <c:lblOffset val="100"/>
      </c:catAx>
      <c:valAx>
        <c:axId val="162229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3908992"/>
        <c:axId val="163931648"/>
      </c:lineChart>
      <c:catAx>
        <c:axId val="163908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31648"/>
        <c:crosses val="autoZero"/>
        <c:auto val="1"/>
        <c:lblAlgn val="ctr"/>
        <c:lblOffset val="100"/>
      </c:catAx>
      <c:valAx>
        <c:axId val="1639316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08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960704"/>
        <c:axId val="164114432"/>
      </c:lineChart>
      <c:catAx>
        <c:axId val="163960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14432"/>
        <c:crosses val="autoZero"/>
        <c:auto val="1"/>
        <c:lblAlgn val="ctr"/>
        <c:lblOffset val="100"/>
      </c:catAx>
      <c:valAx>
        <c:axId val="164114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607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4147584"/>
        <c:axId val="164149120"/>
      </c:lineChart>
      <c:catAx>
        <c:axId val="16414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9120"/>
        <c:crosses val="autoZero"/>
        <c:auto val="1"/>
        <c:lblAlgn val="ctr"/>
        <c:lblOffset val="200"/>
        <c:tickLblSkip val="1"/>
      </c:catAx>
      <c:valAx>
        <c:axId val="1641491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2.5999999999999999E-2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4706176"/>
        <c:axId val="164707712"/>
      </c:lineChart>
      <c:catAx>
        <c:axId val="16470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07712"/>
        <c:crosses val="autoZero"/>
        <c:auto val="1"/>
        <c:lblAlgn val="ctr"/>
        <c:lblOffset val="100"/>
      </c:catAx>
      <c:valAx>
        <c:axId val="1647077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0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2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-320696.42000000004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2835840"/>
        <c:axId val="164742272"/>
      </c:lineChart>
      <c:catAx>
        <c:axId val="16283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42272"/>
        <c:crosses val="autoZero"/>
        <c:auto val="1"/>
        <c:lblAlgn val="ctr"/>
        <c:lblOffset val="100"/>
      </c:catAx>
      <c:valAx>
        <c:axId val="164742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3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5610624"/>
        <c:axId val="165612544"/>
      </c:lineChart>
      <c:catAx>
        <c:axId val="165610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2544"/>
        <c:crosses val="autoZero"/>
        <c:auto val="1"/>
        <c:lblAlgn val="ctr"/>
        <c:lblOffset val="100"/>
      </c:catAx>
      <c:valAx>
        <c:axId val="1656125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06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5625216"/>
        <c:axId val="165647872"/>
      </c:lineChart>
      <c:catAx>
        <c:axId val="165625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7872"/>
        <c:crosses val="autoZero"/>
        <c:auto val="1"/>
        <c:lblAlgn val="ctr"/>
        <c:lblOffset val="100"/>
      </c:catAx>
      <c:valAx>
        <c:axId val="165647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25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5672832"/>
        <c:axId val="165674368"/>
      </c:lineChart>
      <c:catAx>
        <c:axId val="16567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74368"/>
        <c:crosses val="autoZero"/>
        <c:auto val="1"/>
        <c:lblAlgn val="ctr"/>
        <c:lblOffset val="200"/>
        <c:tickLblSkip val="1"/>
      </c:catAx>
      <c:valAx>
        <c:axId val="1656743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7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5850496"/>
        <c:axId val="165856384"/>
      </c:lineChart>
      <c:catAx>
        <c:axId val="16585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6384"/>
        <c:crosses val="autoZero"/>
        <c:auto val="1"/>
        <c:lblAlgn val="ctr"/>
        <c:lblOffset val="100"/>
      </c:catAx>
      <c:valAx>
        <c:axId val="16585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45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6339712"/>
        <c:axId val="166341248"/>
      </c:lineChart>
      <c:catAx>
        <c:axId val="16633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1248"/>
        <c:crosses val="autoZero"/>
        <c:auto val="1"/>
        <c:lblAlgn val="ctr"/>
        <c:lblOffset val="100"/>
      </c:catAx>
      <c:valAx>
        <c:axId val="166341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3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6382208"/>
        <c:axId val="166535936"/>
      </c:lineChart>
      <c:catAx>
        <c:axId val="166382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35936"/>
        <c:crosses val="autoZero"/>
        <c:auto val="1"/>
        <c:lblAlgn val="ctr"/>
        <c:lblOffset val="100"/>
      </c:catAx>
      <c:valAx>
        <c:axId val="166535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822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6581376"/>
        <c:axId val="166583296"/>
      </c:lineChart>
      <c:catAx>
        <c:axId val="166581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83296"/>
        <c:crosses val="autoZero"/>
        <c:auto val="1"/>
        <c:lblAlgn val="ctr"/>
        <c:lblOffset val="100"/>
      </c:catAx>
      <c:valAx>
        <c:axId val="166583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813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6149504"/>
        <c:axId val="166163584"/>
      </c:lineChart>
      <c:catAx>
        <c:axId val="16614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63584"/>
        <c:crosses val="autoZero"/>
        <c:auto val="1"/>
        <c:lblAlgn val="ctr"/>
        <c:lblOffset val="200"/>
        <c:tickLblSkip val="1"/>
      </c:catAx>
      <c:valAx>
        <c:axId val="166163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4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6859904"/>
        <c:axId val="166861440"/>
      </c:lineChart>
      <c:catAx>
        <c:axId val="16685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1440"/>
        <c:crosses val="autoZero"/>
        <c:auto val="1"/>
        <c:lblAlgn val="ctr"/>
        <c:lblOffset val="100"/>
      </c:catAx>
      <c:valAx>
        <c:axId val="16686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5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45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6873728"/>
        <c:axId val="166887808"/>
      </c:lineChart>
      <c:catAx>
        <c:axId val="16687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87808"/>
        <c:crosses val="autoZero"/>
        <c:auto val="1"/>
        <c:lblAlgn val="ctr"/>
        <c:lblOffset val="100"/>
      </c:catAx>
      <c:valAx>
        <c:axId val="16688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2360</v>
      </c>
      <c r="F16" s="426">
        <f>('UTILITY REPORT 1'!E17*'UTILITY REPORT 1'!D17)/'UTILITY REPORT 1'!F17</f>
        <v>0.44189830508474581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2624</v>
      </c>
      <c r="F18" s="426">
        <f>('UTILITY REPORT 1'!E19*'UTILITY REPORT 1'!D19)/'UTILITY REPORT 1'!F19</f>
        <v>0.38001524390243907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92.707999999966717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2673</v>
      </c>
      <c r="F20" s="426">
        <f>('UTILITY REPORT 1'!E21*'UTILITY REPORT 1'!D21)/'UTILITY REPORT 1'!F21</f>
        <v>0.41876169098391319</v>
      </c>
      <c r="G20" s="426">
        <f>IF('Utility summery'!M24&lt;0,"0",'Utility summery'!M24)</f>
        <v>93.015999999997447</v>
      </c>
      <c r="H20" s="432">
        <v>0</v>
      </c>
      <c r="I20" s="426">
        <f>IF('UTILITY REPORT 1'!G21&lt;0,"0",'UTILITY REPORT 1'!G21)</f>
        <v>58</v>
      </c>
      <c r="J20" s="432">
        <v>0</v>
      </c>
      <c r="K20" s="425">
        <f>'UTILITY REPORT 1'!C21</f>
        <v>12</v>
      </c>
      <c r="L20" s="427" t="e">
        <f>E20*F20+G20*H20+#REF!*#REF!+I20*J20</f>
        <v>#REF!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2496</v>
      </c>
      <c r="F21" s="426">
        <f>('UTILITY REPORT 1'!E22*'UTILITY REPORT 1'!D22)/'UTILITY REPORT 1'!F22</f>
        <v>0.42301282051282058</v>
      </c>
      <c r="G21" s="426">
        <f>IF('Utility summery'!M25&lt;0,"0",'Utility summery'!M25)</f>
        <v>100.14399999997696</v>
      </c>
      <c r="H21" s="432">
        <v>0</v>
      </c>
      <c r="I21" s="426">
        <f>IF('UTILITY REPORT 1'!G22&lt;0,"0",'UTILITY REPORT 1'!G22)</f>
        <v>77</v>
      </c>
      <c r="J21" s="432">
        <v>0</v>
      </c>
      <c r="K21" s="425">
        <f>'UTILITY REPORT 1'!C22</f>
        <v>10</v>
      </c>
      <c r="L21" s="427" t="e">
        <f>E21*F21+G21*H21+#REF!*#REF!+I21*J21</f>
        <v>#REF!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2329</v>
      </c>
      <c r="F22" s="426">
        <f>('UTILITY REPORT 1'!E23*'UTILITY REPORT 1'!D23)/'UTILITY REPORT 1'!F23</f>
        <v>0.43448261056247317</v>
      </c>
      <c r="G22" s="426">
        <f>IF('Utility summery'!M26&lt;0,"0",'Utility summery'!M26)</f>
        <v>79.2</v>
      </c>
      <c r="H22" s="432">
        <v>0</v>
      </c>
      <c r="I22" s="426">
        <f>IF('UTILITY REPORT 1'!G23&lt;0,"0",'UTILITY REPORT 1'!G23)</f>
        <v>58</v>
      </c>
      <c r="J22" s="432">
        <v>0</v>
      </c>
      <c r="K22" s="425">
        <f>'UTILITY REPORT 1'!C23</f>
        <v>10</v>
      </c>
      <c r="L22" s="427" t="e">
        <f>E22*F22+G22*H22+#REF!*#REF!+I22*J22</f>
        <v>#REF!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2677</v>
      </c>
      <c r="F23" s="426">
        <f>('UTILITY REPORT 1'!E24*'UTILITY REPORT 1'!D24)/'UTILITY REPORT 1'!F24</f>
        <v>0.390093388121031</v>
      </c>
      <c r="G23" s="426">
        <f>IF('Utility summery'!M27&lt;0,"0",'Utility summery'!M27)</f>
        <v>84.436000000010253</v>
      </c>
      <c r="H23" s="432">
        <v>0</v>
      </c>
      <c r="I23" s="426">
        <f>IF('UTILITY REPORT 1'!G24&lt;0,"0",'UTILITY REPORT 1'!G24)</f>
        <v>48</v>
      </c>
      <c r="J23" s="432">
        <v>0</v>
      </c>
      <c r="K23" s="425">
        <f>'UTILITY REPORT 1'!C24</f>
        <v>9</v>
      </c>
      <c r="L23" s="427" t="e">
        <f>E23*F23+G23*H23+#REF!*#REF!+I23*J23</f>
        <v>#REF!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2763</v>
      </c>
      <c r="F24" s="426">
        <f>('UTILITY REPORT 1'!E25*'UTILITY REPORT 1'!D25)/'UTILITY REPORT 1'!F25</f>
        <v>0.42096634093376767</v>
      </c>
      <c r="G24" s="426">
        <f>IF('Utility summery'!M28&lt;0,"0",'Utility summery'!M28)</f>
        <v>30.888000000017932</v>
      </c>
      <c r="H24" s="432">
        <v>0</v>
      </c>
      <c r="I24" s="426">
        <f>IF('UTILITY REPORT 1'!G25&lt;0,"0",'UTILITY REPORT 1'!G25)</f>
        <v>55</v>
      </c>
      <c r="J24" s="432">
        <v>0</v>
      </c>
      <c r="K24" s="425">
        <f>'UTILITY REPORT 1'!C25</f>
        <v>8</v>
      </c>
      <c r="L24" s="427" t="e">
        <f>E24*F24+G24*H24+#REF!*#REF!+I24*J24</f>
        <v>#REF!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2761</v>
      </c>
      <c r="F25" s="426">
        <f>('UTILITY REPORT 1'!E26*'UTILITY REPORT 1'!D26)/'UTILITY REPORT 1'!F26</f>
        <v>0.37280333212604128</v>
      </c>
      <c r="G25" s="426">
        <f>IF('Utility summery'!M29&lt;0,"0",'Utility summery'!M29)</f>
        <v>44</v>
      </c>
      <c r="H25" s="432">
        <v>0</v>
      </c>
      <c r="I25" s="426">
        <f>IF('UTILITY REPORT 1'!G26&lt;0,"0",'UTILITY REPORT 1'!G26)</f>
        <v>54</v>
      </c>
      <c r="J25" s="432">
        <v>0</v>
      </c>
      <c r="K25" s="425">
        <f>'UTILITY REPORT 1'!C26</f>
        <v>8</v>
      </c>
      <c r="L25" s="427" t="e">
        <f>E25*F25+G25*H25+#REF!*#REF!+I25*J25</f>
        <v>#REF!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2695</v>
      </c>
      <c r="F26" s="426">
        <f>('UTILITY REPORT 1'!E27*'UTILITY REPORT 1'!D27)/'UTILITY REPORT 1'!F27</f>
        <v>0.40838218923933206</v>
      </c>
      <c r="G26" s="426">
        <f>IF('Utility summery'!M30&lt;0,"0",'Utility summery'!M30)</f>
        <v>86.020000000012814</v>
      </c>
      <c r="H26" s="432">
        <v>0</v>
      </c>
      <c r="I26" s="426">
        <f>IF('UTILITY REPORT 1'!G27&lt;0,"0",'UTILITY REPORT 1'!G27)</f>
        <v>48</v>
      </c>
      <c r="J26" s="432">
        <v>0</v>
      </c>
      <c r="K26" s="425">
        <f>'UTILITY REPORT 1'!C27</f>
        <v>8</v>
      </c>
      <c r="L26" s="427" t="e">
        <f>E26*F26+G26*H26+#REF!*#REF!+I26*J26</f>
        <v>#REF!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 t="str">
        <f>IF('Utility summery'!M31&lt;0,"0",'Utility summery'!M31)</f>
        <v>0</v>
      </c>
      <c r="H27" s="432">
        <v>0</v>
      </c>
      <c r="I27" s="426" t="str">
        <f>IF('UTILITY REPORT 1'!G28&lt;0,"0",'UTILITY REPORT 1'!G28)</f>
        <v>0</v>
      </c>
      <c r="J27" s="432">
        <v>0</v>
      </c>
      <c r="K27" s="425">
        <f>'UTILITY REPORT 1'!C28</f>
        <v>8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2360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2624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66.3</v>
      </c>
      <c r="F20" s="466">
        <f>'UTILITY REPORT 1'!E21</f>
        <v>1119.3499999999999</v>
      </c>
      <c r="G20" s="467">
        <f>'UTILITY REPORT 1'!F21</f>
        <v>2673</v>
      </c>
      <c r="H20" s="466">
        <f>IF('Kit report'!F22&lt;0,"0",'Kit report'!F22)</f>
        <v>252.00000000004366</v>
      </c>
      <c r="I20" s="466">
        <f>IF('Kit report'!X22&lt;0,"0",'Kit report'!X22)</f>
        <v>100</v>
      </c>
      <c r="J20" s="466">
        <f>IF('Utility summery'!H24&lt;0,"0",'Utility summery'!H24)</f>
        <v>19</v>
      </c>
      <c r="K20" s="467">
        <f>IF('UTILITY REPORT 1'!H21&lt;0,"0",'UTILITY REPORT 1'!H21)</f>
        <v>51</v>
      </c>
      <c r="L20" s="466">
        <f>'Water-Meter'!K24</f>
        <v>1</v>
      </c>
      <c r="M20" s="467">
        <f>'Water-Meter'!H24</f>
        <v>0</v>
      </c>
      <c r="N20" s="467">
        <f>'Water-Meter'!Q24</f>
        <v>2</v>
      </c>
      <c r="O20" s="466" t="e">
        <f>K20*E20+H20*I20+#REF!*#REF!+J20*L20</f>
        <v>#REF!</v>
      </c>
      <c r="P20" s="472">
        <f>'Water-Meter'!E24</f>
        <v>58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34</v>
      </c>
      <c r="T20" s="243">
        <f>IF('Water-Meter'!AD24&lt;0,"0",'Water-Meter'!AD24)</f>
        <v>18</v>
      </c>
      <c r="U20" s="243">
        <f>IF('Water-Meter'!AG24&lt;0,"0",'Water-Meter'!AG24)</f>
        <v>0</v>
      </c>
      <c r="V20" s="243">
        <f>IF('Water-Meter'!AJ24&lt;0,"0",'Water-Meter'!AJ24)</f>
        <v>22</v>
      </c>
      <c r="W20" s="31">
        <f>'Water-Meter'!AN24</f>
        <v>74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10.49</v>
      </c>
      <c r="F21" s="466">
        <f>'UTILITY REPORT 1'!E22</f>
        <v>1055.8400000000001</v>
      </c>
      <c r="G21" s="467">
        <f>'UTILITY REPORT 1'!F22</f>
        <v>2496</v>
      </c>
      <c r="H21" s="466">
        <f>IF('Kit report'!F23&lt;0,"0",'Kit report'!F23)</f>
        <v>227.99999999995634</v>
      </c>
      <c r="I21" s="466">
        <f>IF('Kit report'!X23&lt;0,"0",'Kit report'!X23)</f>
        <v>119.99999999989086</v>
      </c>
      <c r="J21" s="466">
        <f>IF('Utility summery'!H25&lt;0,"0",'Utility summery'!H25)</f>
        <v>40</v>
      </c>
      <c r="K21" s="467">
        <f>IF('UTILITY REPORT 1'!H22&lt;0,"0",'UTILITY REPORT 1'!H22)</f>
        <v>51</v>
      </c>
      <c r="L21" s="466">
        <f>'Water-Meter'!K25</f>
        <v>1</v>
      </c>
      <c r="M21" s="467">
        <f>'Water-Meter'!H25</f>
        <v>0</v>
      </c>
      <c r="N21" s="467">
        <f>'Water-Meter'!Q25</f>
        <v>4</v>
      </c>
      <c r="O21" s="466" t="e">
        <f>K21*E21+H21*I21+#REF!*#REF!+J21*L21</f>
        <v>#REF!</v>
      </c>
      <c r="P21" s="472">
        <f>'Water-Meter'!E25</f>
        <v>77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35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22</v>
      </c>
      <c r="W21" s="31">
        <f>'Water-Meter'!AN25</f>
        <v>74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347.7</v>
      </c>
      <c r="F22" s="466">
        <f>'UTILITY REPORT 1'!E23</f>
        <v>1011.91</v>
      </c>
      <c r="G22" s="467">
        <f>'UTILITY REPORT 1'!F23</f>
        <v>2329</v>
      </c>
      <c r="H22" s="466">
        <f>IF('Kit report'!F24&lt;0,"0",'Kit report'!F24)</f>
        <v>227.99999999995634</v>
      </c>
      <c r="I22" s="466">
        <f>IF('Kit report'!X24&lt;0,"0",'Kit report'!X24)</f>
        <v>0</v>
      </c>
      <c r="J22" s="466">
        <f>IF('Utility summery'!H26&lt;0,"0",'Utility summery'!H26)</f>
        <v>30</v>
      </c>
      <c r="K22" s="467">
        <f>IF('UTILITY REPORT 1'!H23&lt;0,"0",'UTILITY REPORT 1'!H23)</f>
        <v>41</v>
      </c>
      <c r="L22" s="466">
        <f>'Water-Meter'!K26</f>
        <v>1</v>
      </c>
      <c r="M22" s="467">
        <f>'Water-Meter'!H26</f>
        <v>0</v>
      </c>
      <c r="N22" s="467">
        <f>'Water-Meter'!Q26</f>
        <v>2</v>
      </c>
      <c r="O22" s="466" t="e">
        <f>K22*E22+H22*I22+#REF!*#REF!+J22*L22</f>
        <v>#REF!</v>
      </c>
      <c r="P22" s="472">
        <f>'Water-Meter'!E26</f>
        <v>58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37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23</v>
      </c>
      <c r="W22" s="31">
        <f>'Water-Meter'!AN26</f>
        <v>78</v>
      </c>
      <c r="X22" s="483">
        <f>Total!K22</f>
        <v>10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1044.28</v>
      </c>
      <c r="G23" s="467">
        <f>'UTILITY REPORT 1'!F24</f>
        <v>2677</v>
      </c>
      <c r="H23" s="466">
        <f>IF('Kit report'!F25&lt;0,"0",'Kit report'!F25)</f>
        <v>240</v>
      </c>
      <c r="I23" s="466">
        <f>IF('Kit report'!X25&lt;0,"0",'Kit report'!X25)</f>
        <v>100</v>
      </c>
      <c r="J23" s="466">
        <f>IF('Utility summery'!H27&lt;0,"0",'Utility summery'!H27)</f>
        <v>31</v>
      </c>
      <c r="K23" s="467">
        <f>IF('UTILITY REPORT 1'!H24&lt;0,"0",'UTILITY REPORT 1'!H24)</f>
        <v>51</v>
      </c>
      <c r="L23" s="466">
        <f>'Water-Meter'!K27</f>
        <v>1</v>
      </c>
      <c r="M23" s="467">
        <f>'Water-Meter'!H27</f>
        <v>0</v>
      </c>
      <c r="N23" s="467">
        <f>'Water-Meter'!Q27</f>
        <v>4</v>
      </c>
      <c r="O23" s="466" t="e">
        <f>K23*E23+H23*I23+#REF!*#REF!+J23*L23</f>
        <v>#REF!</v>
      </c>
      <c r="P23" s="472">
        <f>'Water-Meter'!E27</f>
        <v>48</v>
      </c>
      <c r="Q23" s="243">
        <f>IF('Water-Meter'!U27&lt;0,"0",'Water-Meter'!U27)</f>
        <v>80</v>
      </c>
      <c r="R23" s="243">
        <f>IF('Water-Meter'!X27&lt;0,"0",'Water-Meter'!X27)</f>
        <v>0</v>
      </c>
      <c r="S23" s="243">
        <f>IF('Water-Meter'!AA27&lt;0,"0",'Water-Meter'!AA27)</f>
        <v>35</v>
      </c>
      <c r="T23" s="243">
        <f>IF('Water-Meter'!AD27&lt;0,"0",'Water-Meter'!AD27)</f>
        <v>18</v>
      </c>
      <c r="U23" s="243">
        <f>IF('Water-Meter'!AG27&lt;0,"0",'Water-Meter'!AG27)</f>
        <v>0</v>
      </c>
      <c r="V23" s="243">
        <f>IF('Water-Meter'!AJ27&lt;0,"0",'Water-Meter'!AJ27)</f>
        <v>22</v>
      </c>
      <c r="W23" s="31">
        <f>'Water-Meter'!AN27</f>
        <v>155</v>
      </c>
      <c r="X23" s="483">
        <f>Total!K23</f>
        <v>9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1163.1300000000001</v>
      </c>
      <c r="G24" s="467">
        <f>'UTILITY REPORT 1'!F25</f>
        <v>2763</v>
      </c>
      <c r="H24" s="466">
        <f>IF('Kit report'!F26&lt;0,"0",'Kit report'!F26)</f>
        <v>252.00000000004366</v>
      </c>
      <c r="I24" s="466">
        <f>IF('Kit report'!X26&lt;0,"0",'Kit report'!X26)</f>
        <v>339.99999999996362</v>
      </c>
      <c r="J24" s="466">
        <f>IF('Utility summery'!H28&lt;0,"0",'Utility summery'!H28)</f>
        <v>16</v>
      </c>
      <c r="K24" s="467">
        <f>IF('UTILITY REPORT 1'!H25&lt;0,"0",'UTILITY REPORT 1'!H25)</f>
        <v>51</v>
      </c>
      <c r="L24" s="466">
        <f>'Water-Meter'!K28</f>
        <v>0</v>
      </c>
      <c r="M24" s="467">
        <f>'Water-Meter'!H28</f>
        <v>0</v>
      </c>
      <c r="N24" s="467">
        <f>'Water-Meter'!Q28</f>
        <v>3</v>
      </c>
      <c r="O24" s="466" t="e">
        <f>K24*E24+H24*I24+#REF!*#REF!+J24*L24</f>
        <v>#REF!</v>
      </c>
      <c r="P24" s="472">
        <f>'Water-Meter'!E28</f>
        <v>55</v>
      </c>
      <c r="Q24" s="243">
        <f>IF('Water-Meter'!U28&lt;0,"0",'Water-Meter'!U28)</f>
        <v>82</v>
      </c>
      <c r="R24" s="243">
        <f>IF('Water-Meter'!X28&lt;0,"0",'Water-Meter'!X28)</f>
        <v>0</v>
      </c>
      <c r="S24" s="243">
        <f>IF('Water-Meter'!AA28&lt;0,"0",'Water-Meter'!AA28)</f>
        <v>41</v>
      </c>
      <c r="T24" s="243">
        <f>IF('Water-Meter'!AD28&lt;0,"0",'Water-Meter'!AD28)</f>
        <v>19</v>
      </c>
      <c r="U24" s="243">
        <f>IF('Water-Meter'!AG28&lt;0,"0",'Water-Meter'!AG28)</f>
        <v>0</v>
      </c>
      <c r="V24" s="243">
        <f>IF('Water-Meter'!AJ28&lt;0,"0",'Water-Meter'!AJ28)</f>
        <v>20</v>
      </c>
      <c r="W24" s="31">
        <f>'Water-Meter'!AN28</f>
        <v>162</v>
      </c>
      <c r="X24" s="483">
        <f>Total!K24</f>
        <v>8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187.74</v>
      </c>
      <c r="F25" s="466">
        <f>'UTILITY REPORT 1'!E26</f>
        <v>1029.31</v>
      </c>
      <c r="G25" s="467">
        <f>'UTILITY REPORT 1'!F26</f>
        <v>2761</v>
      </c>
      <c r="H25" s="466">
        <f>IF('Kit report'!F27&lt;0,"0",'Kit report'!F27)</f>
        <v>215.99999999991269</v>
      </c>
      <c r="I25" s="466">
        <f>IF('Kit report'!X27&lt;0,"0",'Kit report'!X27)</f>
        <v>220.00000000007276</v>
      </c>
      <c r="J25" s="466">
        <f>IF('Utility summery'!H29&lt;0,"0",'Utility summery'!H29)</f>
        <v>20</v>
      </c>
      <c r="K25" s="467">
        <f>IF('UTILITY REPORT 1'!H26&lt;0,"0",'UTILITY REPORT 1'!H26)</f>
        <v>67</v>
      </c>
      <c r="L25" s="466">
        <f>'Water-Meter'!K29</f>
        <v>0</v>
      </c>
      <c r="M25" s="467">
        <f>'Water-Meter'!H29</f>
        <v>0</v>
      </c>
      <c r="N25" s="467">
        <f>'Water-Meter'!Q29</f>
        <v>4</v>
      </c>
      <c r="O25" s="466" t="e">
        <f>K25*E25+H25*I25+#REF!*#REF!+J25*L25</f>
        <v>#REF!</v>
      </c>
      <c r="P25" s="472">
        <f>'Water-Meter'!E29</f>
        <v>54</v>
      </c>
      <c r="Q25" s="243">
        <f>IF('Water-Meter'!U29&lt;0,"0",'Water-Meter'!U29)</f>
        <v>86</v>
      </c>
      <c r="R25" s="243">
        <f>IF('Water-Meter'!X29&lt;0,"0",'Water-Meter'!X29)</f>
        <v>0</v>
      </c>
      <c r="S25" s="243">
        <f>IF('Water-Meter'!AA29&lt;0,"0",'Water-Meter'!AA29)</f>
        <v>40</v>
      </c>
      <c r="T25" s="243">
        <f>IF('Water-Meter'!AD29&lt;0,"0",'Water-Meter'!AD29)</f>
        <v>18</v>
      </c>
      <c r="U25" s="243">
        <f>IF('Water-Meter'!AG29&lt;0,"0",'Water-Meter'!AG29)</f>
        <v>0</v>
      </c>
      <c r="V25" s="243">
        <f>IF('Water-Meter'!AJ29&lt;0,"0",'Water-Meter'!AJ29)</f>
        <v>21</v>
      </c>
      <c r="W25" s="31">
        <f>'Water-Meter'!AN29</f>
        <v>165</v>
      </c>
      <c r="X25" s="483">
        <f>Total!K25</f>
        <v>8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1100.5899999999999</v>
      </c>
      <c r="G26" s="467">
        <f>'UTILITY REPORT 1'!F27</f>
        <v>2695</v>
      </c>
      <c r="H26" s="466">
        <f>IF('Kit report'!F28&lt;0,"0",'Kit report'!F28)</f>
        <v>192.00000000004366</v>
      </c>
      <c r="I26" s="466">
        <f>IF('Kit report'!X28&lt;0,"0",'Kit report'!X28)</f>
        <v>179.99999999992724</v>
      </c>
      <c r="J26" s="466">
        <f>IF('Utility summery'!H30&lt;0,"0",'Utility summery'!H30)</f>
        <v>49</v>
      </c>
      <c r="K26" s="467">
        <f>IF('UTILITY REPORT 1'!H27&lt;0,"0",'UTILITY REPORT 1'!H27)</f>
        <v>145</v>
      </c>
      <c r="L26" s="466">
        <f>'Water-Meter'!K30</f>
        <v>1</v>
      </c>
      <c r="M26" s="467">
        <f>'Water-Meter'!H30</f>
        <v>0</v>
      </c>
      <c r="N26" s="467">
        <f>'Water-Meter'!Q30</f>
        <v>4</v>
      </c>
      <c r="O26" s="466" t="e">
        <f>K26*E26+H26*I26+#REF!*#REF!+J26*L26</f>
        <v>#REF!</v>
      </c>
      <c r="P26" s="472">
        <f>'Water-Meter'!E30</f>
        <v>48</v>
      </c>
      <c r="Q26" s="243">
        <f>IF('Water-Meter'!U30&lt;0,"0",'Water-Meter'!U30)</f>
        <v>0</v>
      </c>
      <c r="R26" s="243" t="str">
        <f>IF('Water-Meter'!X30&lt;0,"0",'Water-Meter'!X30)</f>
        <v>0</v>
      </c>
      <c r="S26" s="243">
        <f>IF('Water-Meter'!AA30&lt;0,"0",'Water-Meter'!AA30)</f>
        <v>45</v>
      </c>
      <c r="T26" s="243">
        <f>IF('Water-Meter'!AD30&lt;0,"0",'Water-Meter'!AD30)</f>
        <v>17</v>
      </c>
      <c r="U26" s="243">
        <f>IF('Water-Meter'!AG30&lt;0,"0",'Water-Meter'!AG30)</f>
        <v>0</v>
      </c>
      <c r="V26" s="243">
        <f>IF('Water-Meter'!AJ30&lt;0,"0",'Water-Meter'!AJ30)</f>
        <v>23</v>
      </c>
      <c r="W26" s="31">
        <f>'Water-Meter'!AN30</f>
        <v>85</v>
      </c>
      <c r="X26" s="483">
        <f>Total!K26</f>
        <v>8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 t="str">
        <f>IF('Kit report'!F29&lt;0,"0",'Kit report'!F29)</f>
        <v>0</v>
      </c>
      <c r="I27" s="466" t="str">
        <f>IF('Kit report'!X29&lt;0,"0",'Kit report'!X29)</f>
        <v>0</v>
      </c>
      <c r="J27" s="466" t="str">
        <f>IF('Utility summery'!H31&lt;0,"0",'Utility summery'!H31)</f>
        <v>0</v>
      </c>
      <c r="K27" s="467" t="str">
        <f>IF('UTILITY REPORT 1'!H28&lt;0,"0",'UTILITY REPORT 1'!H28)</f>
        <v>0</v>
      </c>
      <c r="L27" s="466" t="str">
        <f>'Water-Meter'!K31</f>
        <v>0</v>
      </c>
      <c r="M27" s="467" t="str">
        <f>'Water-Meter'!H31</f>
        <v>0</v>
      </c>
      <c r="N27" s="467" t="str">
        <f>'Water-Meter'!Q31</f>
        <v>0</v>
      </c>
      <c r="O27" s="466" t="e">
        <f>K27*E27+H27*I27+#REF!*#REF!+J27*L27</f>
        <v>#REF!</v>
      </c>
      <c r="P27" s="472" t="str">
        <f>'Water-Meter'!E31</f>
        <v>0</v>
      </c>
      <c r="Q27" s="243" t="str">
        <f>IF('Water-Meter'!U31&lt;0,"0",'Water-Meter'!U31)</f>
        <v>0</v>
      </c>
      <c r="R27" s="243" t="str">
        <f>IF('Water-Meter'!X31&lt;0,"0",'Water-Meter'!X31)</f>
        <v>0</v>
      </c>
      <c r="S27" s="243" t="str">
        <f>IF('Water-Meter'!AA31&lt;0,"0",'Water-Meter'!AA31)</f>
        <v>0</v>
      </c>
      <c r="T27" s="243" t="str">
        <f>IF('Water-Meter'!AD31&lt;0,"0",'Water-Meter'!AD31)</f>
        <v>0</v>
      </c>
      <c r="U27" s="243" t="str">
        <f>IF('Water-Meter'!AG31&lt;0,"0",'Water-Meter'!AG31)</f>
        <v>0</v>
      </c>
      <c r="V27" s="243" t="str">
        <f>IF('Water-Meter'!AJ31&lt;0,"0",'Water-Meter'!AJ31)</f>
        <v>0</v>
      </c>
      <c r="W27" s="31">
        <f>'Water-Meter'!AN31</f>
        <v>0</v>
      </c>
      <c r="X27" s="483">
        <f>Total!K27</f>
        <v>8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6" t="s">
        <v>315</v>
      </c>
      <c r="B1" s="846"/>
      <c r="C1" s="846"/>
      <c r="D1" s="846"/>
      <c r="E1" s="846"/>
      <c r="F1" s="846"/>
      <c r="G1" s="846"/>
      <c r="H1" s="846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2360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2624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1119.3499999999999</v>
      </c>
      <c r="F21" s="413">
        <f>Gen!U29</f>
        <v>2673</v>
      </c>
      <c r="G21" s="413">
        <f>'Water-Meter'!E24</f>
        <v>58</v>
      </c>
      <c r="H21" s="413">
        <f>'Utility report '!AC24</f>
        <v>51</v>
      </c>
      <c r="I21" s="413">
        <f>Gen!AK29</f>
        <v>66.3</v>
      </c>
    </row>
    <row r="22" spans="1:9" ht="13.5">
      <c r="A22" s="410">
        <f>Gen!B30</f>
        <v>44124</v>
      </c>
      <c r="B22" s="412">
        <f>Gen!C30</f>
        <v>0.1169</v>
      </c>
      <c r="C22" s="413">
        <f>'Summery Report'!E24</f>
        <v>10</v>
      </c>
      <c r="D22" s="414">
        <v>1</v>
      </c>
      <c r="E22" s="413">
        <f>Gen!T30</f>
        <v>1055.8400000000001</v>
      </c>
      <c r="F22" s="413">
        <f>Gen!U30</f>
        <v>2496</v>
      </c>
      <c r="G22" s="413">
        <f>'Water-Meter'!E25</f>
        <v>77</v>
      </c>
      <c r="H22" s="413">
        <f>'Utility report '!AC25</f>
        <v>51</v>
      </c>
      <c r="I22" s="413">
        <f>Gen!AK30</f>
        <v>10.49</v>
      </c>
    </row>
    <row r="23" spans="1:9" ht="13.5">
      <c r="A23" s="410">
        <f>Gen!B31</f>
        <v>44125</v>
      </c>
      <c r="B23" s="412">
        <f>Gen!C31</f>
        <v>0.1089</v>
      </c>
      <c r="C23" s="413">
        <f>'Summery Report'!E25</f>
        <v>10</v>
      </c>
      <c r="D23" s="414">
        <v>1</v>
      </c>
      <c r="E23" s="413">
        <f>Gen!T31</f>
        <v>1011.91</v>
      </c>
      <c r="F23" s="413">
        <f>Gen!U31</f>
        <v>2329</v>
      </c>
      <c r="G23" s="413">
        <f>'Water-Meter'!E26</f>
        <v>58</v>
      </c>
      <c r="H23" s="413">
        <f>'Utility report '!AC26</f>
        <v>41</v>
      </c>
      <c r="I23" s="413">
        <f>Gen!AK31</f>
        <v>347.7</v>
      </c>
    </row>
    <row r="24" spans="1:9" ht="13.5">
      <c r="A24" s="410">
        <f>Gen!B32</f>
        <v>44126</v>
      </c>
      <c r="B24" s="412">
        <f>Gen!C32</f>
        <v>0.10390000000000001</v>
      </c>
      <c r="C24" s="413">
        <f>'Summery Report'!E26</f>
        <v>9</v>
      </c>
      <c r="D24" s="414">
        <v>1</v>
      </c>
      <c r="E24" s="413">
        <f>Gen!T32</f>
        <v>1044.28</v>
      </c>
      <c r="F24" s="413">
        <f>Gen!U32</f>
        <v>2677</v>
      </c>
      <c r="G24" s="413">
        <f>'Water-Meter'!E27</f>
        <v>48</v>
      </c>
      <c r="H24" s="413">
        <f>'Utility report '!AC27</f>
        <v>51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9.0899999999999995E-2</v>
      </c>
      <c r="C25" s="413">
        <f>'Summery Report'!E27</f>
        <v>8</v>
      </c>
      <c r="D25" s="414">
        <v>1</v>
      </c>
      <c r="E25" s="413">
        <f>Gen!T33</f>
        <v>1163.1300000000001</v>
      </c>
      <c r="F25" s="413">
        <f>Gen!U33</f>
        <v>2763</v>
      </c>
      <c r="G25" s="413">
        <f>'Water-Meter'!E28</f>
        <v>55</v>
      </c>
      <c r="H25" s="413">
        <f>'Utility report '!AC28</f>
        <v>51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9.0899999999999995E-2</v>
      </c>
      <c r="C26" s="413">
        <f>'Summery Report'!E28</f>
        <v>8</v>
      </c>
      <c r="D26" s="414">
        <v>1</v>
      </c>
      <c r="E26" s="413">
        <f>Gen!T34</f>
        <v>1029.31</v>
      </c>
      <c r="F26" s="413">
        <f>Gen!U34</f>
        <v>2761</v>
      </c>
      <c r="G26" s="413">
        <f>'Water-Meter'!E29</f>
        <v>54</v>
      </c>
      <c r="H26" s="413">
        <f>'Utility report '!AC29</f>
        <v>67</v>
      </c>
      <c r="I26" s="413">
        <f>Gen!AK34</f>
        <v>187.74</v>
      </c>
    </row>
    <row r="27" spans="1:9" ht="13.5">
      <c r="A27" s="410">
        <f>Gen!B35</f>
        <v>44129</v>
      </c>
      <c r="B27" s="412">
        <f>Gen!C35</f>
        <v>9.0899999999999995E-2</v>
      </c>
      <c r="C27" s="413">
        <f>'Summery Report'!E29</f>
        <v>8</v>
      </c>
      <c r="D27" s="414">
        <v>1</v>
      </c>
      <c r="E27" s="413">
        <f>Gen!T35</f>
        <v>1100.5899999999999</v>
      </c>
      <c r="F27" s="413">
        <f>Gen!U35</f>
        <v>2695</v>
      </c>
      <c r="G27" s="413">
        <f>'Water-Meter'!E30</f>
        <v>48</v>
      </c>
      <c r="H27" s="413">
        <f>'Utility report '!AC30</f>
        <v>145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2.5999999999999999E-2</v>
      </c>
      <c r="C28" s="413">
        <f>'Summery Report'!E30</f>
        <v>8</v>
      </c>
      <c r="D28" s="414">
        <v>1</v>
      </c>
      <c r="E28" s="413">
        <f>Gen!T36</f>
        <v>0</v>
      </c>
      <c r="F28" s="413">
        <f>Gen!U36</f>
        <v>0</v>
      </c>
      <c r="G28" s="413" t="str">
        <f>'Water-Meter'!E31</f>
        <v>0</v>
      </c>
      <c r="H28" s="413">
        <f>'Utility report '!AC31</f>
        <v>-40676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7" t="s">
        <v>0</v>
      </c>
      <c r="B4" s="828" t="s">
        <v>141</v>
      </c>
      <c r="C4" s="829" t="s">
        <v>248</v>
      </c>
      <c r="D4" s="847" t="s">
        <v>135</v>
      </c>
      <c r="E4" s="847"/>
      <c r="F4" s="847"/>
      <c r="G4" s="848" t="s">
        <v>20</v>
      </c>
      <c r="H4" s="848"/>
      <c r="I4" s="848"/>
      <c r="J4" s="849" t="s">
        <v>54</v>
      </c>
      <c r="K4" s="849"/>
      <c r="L4" s="849"/>
      <c r="M4" s="849"/>
      <c r="N4" s="850" t="s">
        <v>143</v>
      </c>
      <c r="O4" s="850"/>
      <c r="P4" s="850"/>
      <c r="Q4" s="830"/>
      <c r="R4" s="830"/>
      <c r="S4" s="831"/>
    </row>
    <row r="5" spans="1:19" ht="25.5">
      <c r="A5" s="832"/>
      <c r="B5" s="833"/>
      <c r="C5" s="834"/>
      <c r="D5" s="835" t="s">
        <v>136</v>
      </c>
      <c r="E5" s="835" t="s">
        <v>137</v>
      </c>
      <c r="F5" s="835" t="s">
        <v>121</v>
      </c>
      <c r="G5" s="836" t="s">
        <v>138</v>
      </c>
      <c r="H5" s="836" t="s">
        <v>19</v>
      </c>
      <c r="I5" s="837" t="s">
        <v>139</v>
      </c>
      <c r="J5" s="838" t="s">
        <v>142</v>
      </c>
      <c r="K5" s="838" t="s">
        <v>140</v>
      </c>
      <c r="L5" s="838" t="s">
        <v>140</v>
      </c>
      <c r="M5" s="839" t="s">
        <v>18</v>
      </c>
      <c r="N5" s="840" t="s">
        <v>144</v>
      </c>
      <c r="O5" s="840" t="s">
        <v>146</v>
      </c>
      <c r="P5" s="841" t="s">
        <v>145</v>
      </c>
      <c r="Q5" s="842" t="s">
        <v>148</v>
      </c>
      <c r="R5" s="842" t="s">
        <v>147</v>
      </c>
      <c r="S5" s="843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2360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2624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92.707999999966717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2673</v>
      </c>
      <c r="D24" s="153">
        <f>Gen!T29</f>
        <v>1119.3499999999999</v>
      </c>
      <c r="E24" s="153">
        <f>Gen!AK29</f>
        <v>66.3</v>
      </c>
      <c r="F24" s="153">
        <f>Gen!AS29</f>
        <v>1185.6499999999999</v>
      </c>
      <c r="G24" s="154">
        <f>'Utility report '!AC24</f>
        <v>51</v>
      </c>
      <c r="H24" s="154">
        <f>'Utility report '!AE24</f>
        <v>19</v>
      </c>
      <c r="I24" s="297">
        <f>'Water-Meter'!E24</f>
        <v>58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93.015999999997447</v>
      </c>
      <c r="N24" s="152">
        <f t="shared" si="2"/>
        <v>1567.0899999999997</v>
      </c>
      <c r="O24" s="152">
        <f t="shared" si="2"/>
        <v>92.82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130.59083333333331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2496</v>
      </c>
      <c r="D25" s="153">
        <f>Gen!T30</f>
        <v>1055.8400000000001</v>
      </c>
      <c r="E25" s="153">
        <f>Gen!AK30</f>
        <v>10.49</v>
      </c>
      <c r="F25" s="153">
        <f>Gen!AS30</f>
        <v>1066.3300000000002</v>
      </c>
      <c r="G25" s="154">
        <f>'Utility report '!AC25</f>
        <v>51</v>
      </c>
      <c r="H25" s="154">
        <f>'Utility report '!AE25</f>
        <v>40</v>
      </c>
      <c r="I25" s="297">
        <f>'Water-Meter'!E25</f>
        <v>77</v>
      </c>
      <c r="J25" s="155">
        <f>'Lpg (2)'!B29</f>
        <v>57</v>
      </c>
      <c r="K25" s="155">
        <f>'Lpg (2)'!C29</f>
        <v>85</v>
      </c>
      <c r="L25" s="155">
        <f>'Lpg (2)'!D29</f>
        <v>85</v>
      </c>
      <c r="M25" s="459">
        <f>'Lpg (2)'!G29</f>
        <v>100.14399999997696</v>
      </c>
      <c r="N25" s="152">
        <f t="shared" si="2"/>
        <v>1478.1760000000002</v>
      </c>
      <c r="O25" s="152">
        <f t="shared" si="2"/>
        <v>14.686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147.81760000000003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10</v>
      </c>
      <c r="C26" s="6">
        <f>Gen!U31</f>
        <v>2329</v>
      </c>
      <c r="D26" s="153">
        <f>Gen!T31</f>
        <v>1011.91</v>
      </c>
      <c r="E26" s="153">
        <f>Gen!AK31</f>
        <v>347.7</v>
      </c>
      <c r="F26" s="153">
        <f>Gen!AS31</f>
        <v>1359.61</v>
      </c>
      <c r="G26" s="154">
        <f>'Utility report '!AC26</f>
        <v>41</v>
      </c>
      <c r="H26" s="154">
        <f>'Utility report '!AE26</f>
        <v>30</v>
      </c>
      <c r="I26" s="297">
        <f>'Water-Meter'!E26</f>
        <v>58</v>
      </c>
      <c r="J26" s="155">
        <f>'Lpg (2)'!B30</f>
        <v>54</v>
      </c>
      <c r="K26" s="155">
        <f>'Lpg (2)'!C30</f>
        <v>85</v>
      </c>
      <c r="L26" s="155">
        <f>'Lpg (2)'!D30</f>
        <v>85</v>
      </c>
      <c r="M26" s="459">
        <f>'Lpg (2)'!G30</f>
        <v>79.2</v>
      </c>
      <c r="N26" s="152">
        <f t="shared" si="2"/>
        <v>1416.674</v>
      </c>
      <c r="O26" s="152">
        <f t="shared" si="2"/>
        <v>486.78</v>
      </c>
      <c r="P26" s="151" t="e">
        <f>'[1]Lpg (2)'!#REF!</f>
        <v>#REF!</v>
      </c>
      <c r="Q26" s="152" t="e">
        <f>'[1]Summery Report'!#REF!</f>
        <v>#REF!</v>
      </c>
      <c r="R26" s="152">
        <f t="shared" si="0"/>
        <v>141.66739999999999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9</v>
      </c>
      <c r="C27" s="6">
        <f>Gen!U32</f>
        <v>2677</v>
      </c>
      <c r="D27" s="153">
        <f>Gen!T32</f>
        <v>1044.28</v>
      </c>
      <c r="E27" s="153">
        <f>Gen!AK32</f>
        <v>0</v>
      </c>
      <c r="F27" s="153">
        <f>Gen!AS32</f>
        <v>1044.28</v>
      </c>
      <c r="G27" s="154">
        <f>'Utility report '!AC27</f>
        <v>51</v>
      </c>
      <c r="H27" s="154">
        <f>'Utility report '!AE27</f>
        <v>31</v>
      </c>
      <c r="I27" s="297">
        <f>'Water-Meter'!E27</f>
        <v>48</v>
      </c>
      <c r="J27" s="155">
        <f>'Lpg (2)'!B31</f>
        <v>52</v>
      </c>
      <c r="K27" s="155">
        <f>'Lpg (2)'!C31</f>
        <v>85</v>
      </c>
      <c r="L27" s="155">
        <f>'Lpg (2)'!D31</f>
        <v>85</v>
      </c>
      <c r="M27" s="459">
        <f>'Lpg (2)'!G31</f>
        <v>84.436000000010253</v>
      </c>
      <c r="N27" s="152">
        <f t="shared" si="2"/>
        <v>1461.992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>
        <f t="shared" si="0"/>
        <v>162.44355555555555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8</v>
      </c>
      <c r="C28" s="6">
        <f>Gen!U33</f>
        <v>2763</v>
      </c>
      <c r="D28" s="153">
        <f>Gen!T33</f>
        <v>1163.1300000000001</v>
      </c>
      <c r="E28" s="153">
        <f>Gen!AK33</f>
        <v>0</v>
      </c>
      <c r="F28" s="153">
        <f>Gen!AS33</f>
        <v>1163.1300000000001</v>
      </c>
      <c r="G28" s="154">
        <f>'Utility report '!AC28</f>
        <v>51</v>
      </c>
      <c r="H28" s="154">
        <f>'Utility report '!AE28</f>
        <v>16</v>
      </c>
      <c r="I28" s="297">
        <f>'Water-Meter'!E28</f>
        <v>55</v>
      </c>
      <c r="J28" s="155">
        <f>'Lpg (2)'!B32</f>
        <v>50</v>
      </c>
      <c r="K28" s="155">
        <f>'Lpg (2)'!C32</f>
        <v>85</v>
      </c>
      <c r="L28" s="155">
        <f>'Lpg (2)'!D32</f>
        <v>85</v>
      </c>
      <c r="M28" s="459">
        <f>'Lpg (2)'!G32</f>
        <v>30.888000000017932</v>
      </c>
      <c r="N28" s="152">
        <f t="shared" si="2"/>
        <v>1628.3820000000001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>
        <f t="shared" si="0"/>
        <v>203.54775000000001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8</v>
      </c>
      <c r="C29" s="6">
        <f>Gen!U34</f>
        <v>2761</v>
      </c>
      <c r="D29" s="153">
        <f>Gen!T34</f>
        <v>1029.31</v>
      </c>
      <c r="E29" s="153">
        <f>Gen!AK34</f>
        <v>187.74</v>
      </c>
      <c r="F29" s="153">
        <f>Gen!AS34</f>
        <v>1217.05</v>
      </c>
      <c r="G29" s="154">
        <f>'Utility report '!AC29</f>
        <v>67</v>
      </c>
      <c r="H29" s="154">
        <f>'Utility report '!AE29</f>
        <v>20</v>
      </c>
      <c r="I29" s="297">
        <f>'Water-Meter'!E29</f>
        <v>54</v>
      </c>
      <c r="J29" s="155">
        <f>'Lpg (2)'!B33</f>
        <v>51</v>
      </c>
      <c r="K29" s="155">
        <f>'Lpg (2)'!C33</f>
        <v>85</v>
      </c>
      <c r="L29" s="155">
        <f>'Lpg (2)'!D33</f>
        <v>85</v>
      </c>
      <c r="M29" s="459">
        <f>'Lpg (2)'!G33</f>
        <v>44</v>
      </c>
      <c r="N29" s="152">
        <f t="shared" si="2"/>
        <v>1441.0339999999999</v>
      </c>
      <c r="O29" s="152">
        <f t="shared" si="2"/>
        <v>262.83600000000001</v>
      </c>
      <c r="P29" s="151" t="e">
        <f>'[1]Lpg (2)'!#REF!</f>
        <v>#REF!</v>
      </c>
      <c r="Q29" s="152" t="e">
        <f>'[1]Summery Report'!#REF!</f>
        <v>#REF!</v>
      </c>
      <c r="R29" s="152">
        <f t="shared" si="0"/>
        <v>180.12924999999998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8</v>
      </c>
      <c r="C30" s="6">
        <f>Gen!U35</f>
        <v>2695</v>
      </c>
      <c r="D30" s="153">
        <f>Gen!T35</f>
        <v>1100.5899999999999</v>
      </c>
      <c r="E30" s="153">
        <f>Gen!AK35</f>
        <v>0</v>
      </c>
      <c r="F30" s="153">
        <f>Gen!AS35</f>
        <v>1100.5899999999999</v>
      </c>
      <c r="G30" s="154">
        <f>'Utility report '!AC30</f>
        <v>145</v>
      </c>
      <c r="H30" s="154">
        <f>'Utility report '!AE30</f>
        <v>49</v>
      </c>
      <c r="I30" s="297">
        <f>'Water-Meter'!E30</f>
        <v>48</v>
      </c>
      <c r="J30" s="155">
        <f>'Lpg (2)'!B34</f>
        <v>48</v>
      </c>
      <c r="K30" s="155">
        <f>'Lpg (2)'!C34</f>
        <v>85</v>
      </c>
      <c r="L30" s="155">
        <f>'Lpg (2)'!D34</f>
        <v>85</v>
      </c>
      <c r="M30" s="459">
        <f>'Lpg (2)'!G34</f>
        <v>86.020000000012814</v>
      </c>
      <c r="N30" s="152">
        <f t="shared" si="2"/>
        <v>1540.8259999999998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>
        <f t="shared" si="0"/>
        <v>192.60324999999997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8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-40676</v>
      </c>
      <c r="H31" s="154">
        <f>'Utility report '!AE31</f>
        <v>-206542</v>
      </c>
      <c r="I31" s="297" t="str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-320696.42000000004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>
        <f t="shared" si="0"/>
        <v>0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155</v>
      </c>
      <c r="C39" s="463">
        <f>SUM(C7:C35)</f>
        <v>58622</v>
      </c>
      <c r="D39" s="463">
        <f>SUM(D7:D35)</f>
        <v>24545.219999999998</v>
      </c>
      <c r="E39" s="463">
        <f t="shared" ref="E39:S39" si="3">SUM(E7:E35)</f>
        <v>1571.3400000000001</v>
      </c>
      <c r="F39" s="463">
        <f t="shared" si="3"/>
        <v>26116.560000000001</v>
      </c>
      <c r="G39" s="463">
        <f t="shared" si="3"/>
        <v>-39215</v>
      </c>
      <c r="H39" s="463">
        <f t="shared" si="3"/>
        <v>-205706</v>
      </c>
      <c r="I39" s="463">
        <f t="shared" si="3"/>
        <v>1343</v>
      </c>
      <c r="J39" s="463">
        <f t="shared" si="3"/>
        <v>1660</v>
      </c>
      <c r="K39" s="463">
        <f t="shared" si="3"/>
        <v>1785</v>
      </c>
      <c r="L39" s="463">
        <f t="shared" si="3"/>
        <v>1785</v>
      </c>
      <c r="M39" s="463">
        <f t="shared" si="3"/>
        <v>-319017.42400000006</v>
      </c>
      <c r="N39" s="463">
        <f t="shared" si="3"/>
        <v>34363.307999999997</v>
      </c>
      <c r="O39" s="463">
        <f t="shared" si="3"/>
        <v>2199.8759999999997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2" zoomScalePageLayoutView="85" workbookViewId="0">
      <pane xSplit="1" topLeftCell="M1" activePane="topRight" state="frozen"/>
      <selection pane="topRight" activeCell="T32" sqref="T3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8" t="s">
        <v>314</v>
      </c>
      <c r="B1" s="859"/>
      <c r="C1" s="859"/>
      <c r="D1" s="859"/>
      <c r="E1" s="859"/>
      <c r="F1" s="859"/>
      <c r="G1" s="859"/>
      <c r="H1" s="859"/>
      <c r="I1" s="859"/>
      <c r="J1" s="860"/>
      <c r="K1" s="860"/>
      <c r="L1" s="860"/>
      <c r="M1" s="860"/>
      <c r="N1" s="860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/>
      <c r="AF1" s="859"/>
      <c r="AG1" s="859"/>
      <c r="AH1" s="859"/>
      <c r="AI1" s="859"/>
      <c r="AJ1" s="859"/>
      <c r="AK1" s="861"/>
    </row>
    <row r="2" spans="1:37" ht="61.5" customHeight="1" thickBot="1">
      <c r="A2" s="138" t="s">
        <v>98</v>
      </c>
      <c r="B2" s="862" t="s">
        <v>99</v>
      </c>
      <c r="C2" s="863"/>
      <c r="D2" s="864"/>
      <c r="E2" s="139"/>
      <c r="F2" s="139"/>
      <c r="G2" s="139"/>
      <c r="H2" s="136" t="s">
        <v>124</v>
      </c>
      <c r="I2" s="798" t="s">
        <v>100</v>
      </c>
      <c r="J2" s="800" t="s">
        <v>122</v>
      </c>
      <c r="K2" s="801"/>
      <c r="L2" s="802" t="s">
        <v>123</v>
      </c>
      <c r="M2" s="646" t="s">
        <v>101</v>
      </c>
      <c r="N2" s="285" t="s">
        <v>102</v>
      </c>
      <c r="O2" s="851" t="s">
        <v>103</v>
      </c>
      <c r="P2" s="851"/>
      <c r="Q2" s="851"/>
      <c r="R2" s="851"/>
      <c r="S2" s="851"/>
      <c r="T2" s="851"/>
      <c r="U2" s="851"/>
      <c r="V2" s="851"/>
      <c r="W2" s="851"/>
      <c r="X2" s="851"/>
      <c r="Y2" s="851"/>
      <c r="Z2" s="851"/>
      <c r="AA2" s="285" t="s">
        <v>104</v>
      </c>
      <c r="AB2" s="862" t="s">
        <v>164</v>
      </c>
      <c r="AC2" s="864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5">
        <f>SUM(D3/B3)</f>
        <v>1.3262195121951219</v>
      </c>
      <c r="G3" s="866"/>
      <c r="H3" s="128">
        <f>Gen!D11</f>
        <v>38003.53</v>
      </c>
      <c r="I3" s="647"/>
      <c r="J3" s="803"/>
      <c r="K3" s="804" t="s">
        <v>165</v>
      </c>
      <c r="L3" s="803"/>
      <c r="M3" s="649" t="s">
        <v>111</v>
      </c>
      <c r="N3" s="803"/>
      <c r="O3" s="851" t="s">
        <v>112</v>
      </c>
      <c r="P3" s="851"/>
      <c r="Q3" s="851"/>
      <c r="R3" s="851"/>
      <c r="S3" s="852" t="s">
        <v>113</v>
      </c>
      <c r="T3" s="853"/>
      <c r="U3" s="853"/>
      <c r="V3" s="854"/>
      <c r="W3" s="855" t="s">
        <v>114</v>
      </c>
      <c r="X3" s="856"/>
      <c r="Y3" s="856"/>
      <c r="Z3" s="857"/>
      <c r="AA3" s="287" t="s">
        <v>115</v>
      </c>
      <c r="AB3" s="127" t="s">
        <v>111</v>
      </c>
      <c r="AD3" s="127">
        <v>0</v>
      </c>
      <c r="AE3" s="127" t="s">
        <v>116</v>
      </c>
      <c r="AF3" s="792" t="s">
        <v>117</v>
      </c>
      <c r="AG3" s="793" t="s">
        <v>117</v>
      </c>
      <c r="AH3" s="408" t="s">
        <v>117</v>
      </c>
      <c r="AI3" s="135" t="s">
        <v>118</v>
      </c>
      <c r="AJ3" s="794" t="s">
        <v>115</v>
      </c>
      <c r="AK3" s="795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99"/>
      <c r="J4" s="813"/>
      <c r="K4" s="290"/>
      <c r="L4" s="802"/>
      <c r="M4" s="805"/>
      <c r="N4" s="285"/>
      <c r="O4" s="806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6">
        <v>2000</v>
      </c>
      <c r="AG4" s="797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08"/>
      <c r="B5" s="816"/>
      <c r="C5" s="817"/>
      <c r="D5" s="818"/>
      <c r="E5" s="818"/>
      <c r="F5" s="818"/>
      <c r="G5" s="818"/>
      <c r="H5" s="819"/>
      <c r="I5" s="819"/>
      <c r="J5" s="747"/>
      <c r="K5" s="770"/>
      <c r="L5" s="129"/>
      <c r="M5" s="480"/>
      <c r="N5" s="807"/>
      <c r="O5" s="746"/>
      <c r="P5" s="768">
        <v>19032</v>
      </c>
      <c r="Q5" s="780"/>
      <c r="R5" s="770"/>
      <c r="S5" s="746"/>
      <c r="T5" s="752">
        <v>16993</v>
      </c>
      <c r="U5" s="746"/>
      <c r="V5" s="770"/>
      <c r="W5" s="746"/>
      <c r="X5" s="758">
        <v>25177</v>
      </c>
      <c r="Y5" s="746"/>
      <c r="Z5" s="751"/>
      <c r="AA5" s="765"/>
      <c r="AB5" s="763">
        <v>39178</v>
      </c>
      <c r="AC5" s="741">
        <f>AB5-AB4</f>
        <v>39178</v>
      </c>
      <c r="AD5" s="744">
        <v>205678</v>
      </c>
      <c r="AE5" s="748"/>
      <c r="AF5" s="773">
        <v>0.85</v>
      </c>
      <c r="AG5" s="774">
        <v>0.85</v>
      </c>
      <c r="AH5" s="787">
        <v>0.85</v>
      </c>
      <c r="AI5" s="777"/>
      <c r="AJ5" s="765"/>
      <c r="AK5" s="765"/>
    </row>
    <row r="6" spans="1:37" ht="18.75">
      <c r="A6" s="809">
        <f>Gen!B11</f>
        <v>44105</v>
      </c>
      <c r="B6" s="434">
        <f>'Summery Report'!E5</f>
        <v>5</v>
      </c>
      <c r="C6" s="814">
        <f>Gen!C11</f>
        <v>5.1900000000000002E-2</v>
      </c>
      <c r="D6" s="776">
        <f>'Summery Report'!E5</f>
        <v>5</v>
      </c>
      <c r="E6" s="776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6">
        <f>Gen!D11</f>
        <v>38003.53</v>
      </c>
      <c r="I6" s="776">
        <f>Gen!F11</f>
        <v>0</v>
      </c>
      <c r="J6" s="815">
        <f>Gen!T11</f>
        <v>911.04</v>
      </c>
      <c r="K6" s="820">
        <f>Gen!AK11</f>
        <v>0</v>
      </c>
      <c r="L6" s="811">
        <f t="shared" ref="L6:L13" si="1">SUM(J6:K6)</f>
        <v>911.04</v>
      </c>
      <c r="M6" s="458">
        <f>'Water-Meter'!K46</f>
        <v>591.46243908255417</v>
      </c>
      <c r="N6" s="771">
        <f>'Water-Meter'!E6</f>
        <v>36</v>
      </c>
      <c r="O6" s="759"/>
      <c r="P6" s="769">
        <v>19032</v>
      </c>
      <c r="Q6" s="781">
        <f t="shared" ref="Q6:Q36" si="2">SUM(P6-P5)</f>
        <v>0</v>
      </c>
      <c r="R6" s="435">
        <f>SUM(Q6*O6)</f>
        <v>0</v>
      </c>
      <c r="S6" s="753">
        <v>2.2000000000000002</v>
      </c>
      <c r="T6" s="754">
        <v>16993</v>
      </c>
      <c r="U6" s="781">
        <f>T6-T5</f>
        <v>0</v>
      </c>
      <c r="V6" s="436" t="s">
        <v>246</v>
      </c>
      <c r="W6" s="759"/>
      <c r="X6" s="760">
        <v>25177</v>
      </c>
      <c r="Y6" s="781">
        <f>X6-X5</f>
        <v>0</v>
      </c>
      <c r="Z6" s="762">
        <f t="shared" ref="Z6:AA6" si="3">Y6-Y5</f>
        <v>0</v>
      </c>
      <c r="AA6" s="766">
        <f t="shared" si="3"/>
        <v>0</v>
      </c>
      <c r="AB6" s="764">
        <v>39215</v>
      </c>
      <c r="AC6" s="742">
        <f>AB6-AB5</f>
        <v>37</v>
      </c>
      <c r="AD6" s="745">
        <v>205706</v>
      </c>
      <c r="AE6" s="179">
        <f>AD6-AD5</f>
        <v>28</v>
      </c>
      <c r="AF6" s="775">
        <f>'Lpg (2)'!B10*2000/85</f>
        <v>2000</v>
      </c>
      <c r="AG6" s="267">
        <f>'Lpg (2)'!C10*1000/85</f>
        <v>0</v>
      </c>
      <c r="AH6" s="788">
        <f>'Lpg (2)'!D10*1000/85</f>
        <v>0</v>
      </c>
      <c r="AI6" s="778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09">
        <f>Gen!B12</f>
        <v>44106</v>
      </c>
      <c r="B7" s="434">
        <f>'Summery Report'!E6</f>
        <v>4</v>
      </c>
      <c r="C7" s="814">
        <f>Gen!C12</f>
        <v>3.9E-2</v>
      </c>
      <c r="D7" s="776">
        <f>'Summery Report'!E6</f>
        <v>4</v>
      </c>
      <c r="E7" s="776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6">
        <f>Gen!D12</f>
        <v>37092.49</v>
      </c>
      <c r="I7" s="776">
        <f>Gen!F12</f>
        <v>0</v>
      </c>
      <c r="J7" s="815">
        <f>Gen!T12</f>
        <v>976.24</v>
      </c>
      <c r="K7" s="820">
        <f>Gen!AK12</f>
        <v>0</v>
      </c>
      <c r="L7" s="811">
        <f t="shared" si="1"/>
        <v>976.24</v>
      </c>
      <c r="M7" s="458">
        <f>'Water-Meter'!K47</f>
        <v>591.95157136019827</v>
      </c>
      <c r="N7" s="771">
        <f>'Water-Meter'!E7</f>
        <v>45</v>
      </c>
      <c r="O7" s="759"/>
      <c r="P7" s="769">
        <v>19032</v>
      </c>
      <c r="Q7" s="781">
        <f t="shared" si="2"/>
        <v>0</v>
      </c>
      <c r="R7" s="435">
        <f t="shared" ref="R7:R36" si="5">SUM(Q7*O7)</f>
        <v>0</v>
      </c>
      <c r="S7" s="753">
        <v>2.2000000000000002</v>
      </c>
      <c r="T7" s="754">
        <v>16993</v>
      </c>
      <c r="U7" s="781">
        <f t="shared" ref="U7:U36" si="6">T7-T6</f>
        <v>0</v>
      </c>
      <c r="V7" s="436">
        <f t="shared" ref="V7:V9" si="7">SUM(U7*S7)</f>
        <v>0</v>
      </c>
      <c r="W7" s="759"/>
      <c r="X7" s="760">
        <v>25177</v>
      </c>
      <c r="Y7" s="781">
        <f t="shared" ref="Y7:Y36" si="8">X7-X6</f>
        <v>0</v>
      </c>
      <c r="Z7" s="757">
        <f t="shared" ref="Z7:Z36" si="9">SUM(Y7*W7)</f>
        <v>0</v>
      </c>
      <c r="AA7" s="767">
        <f t="shared" ref="AA7:AA36" si="10">SUM(Z7*X9)</f>
        <v>0</v>
      </c>
      <c r="AB7" s="764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5">
        <f>'Lpg (2)'!B11*2000/85</f>
        <v>2000</v>
      </c>
      <c r="AG7" s="267">
        <f>'Lpg (2)'!C11*1000/85</f>
        <v>0</v>
      </c>
      <c r="AH7" s="788">
        <f>'Lpg (2)'!D11*1000/85</f>
        <v>0</v>
      </c>
      <c r="AI7" s="778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09">
        <f>Gen!B13</f>
        <v>44107</v>
      </c>
      <c r="B8" s="434">
        <f>'Summery Report'!E7</f>
        <v>2</v>
      </c>
      <c r="C8" s="814">
        <f>Gen!C13</f>
        <v>2.5999999999999999E-2</v>
      </c>
      <c r="D8" s="776">
        <f>'Summery Report'!E7</f>
        <v>2</v>
      </c>
      <c r="E8" s="776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6">
        <f>Gen!D13</f>
        <v>36116.25</v>
      </c>
      <c r="I8" s="776">
        <f>Gen!F13</f>
        <v>0</v>
      </c>
      <c r="J8" s="815">
        <f>Gen!T13</f>
        <v>996.18</v>
      </c>
      <c r="K8" s="820">
        <f>Gen!AK13</f>
        <v>47.58</v>
      </c>
      <c r="L8" s="811">
        <f t="shared" si="1"/>
        <v>1043.76</v>
      </c>
      <c r="M8" s="458">
        <f>'Water-Meter'!K48</f>
        <v>586.8225647242939</v>
      </c>
      <c r="N8" s="771">
        <f>'Water-Meter'!E8</f>
        <v>36</v>
      </c>
      <c r="O8" s="759"/>
      <c r="P8" s="769">
        <v>19032</v>
      </c>
      <c r="Q8" s="781">
        <f t="shared" si="2"/>
        <v>0</v>
      </c>
      <c r="R8" s="435">
        <f t="shared" si="5"/>
        <v>0</v>
      </c>
      <c r="S8" s="753">
        <v>2.2000000000000002</v>
      </c>
      <c r="T8" s="754">
        <v>17017</v>
      </c>
      <c r="U8" s="781">
        <f t="shared" si="6"/>
        <v>24</v>
      </c>
      <c r="V8" s="436">
        <f t="shared" si="7"/>
        <v>52.800000000000004</v>
      </c>
      <c r="W8" s="759"/>
      <c r="X8" s="760">
        <v>25177</v>
      </c>
      <c r="Y8" s="781">
        <f t="shared" si="8"/>
        <v>0</v>
      </c>
      <c r="Z8" s="757">
        <f t="shared" si="9"/>
        <v>0</v>
      </c>
      <c r="AA8" s="767">
        <f t="shared" si="10"/>
        <v>0</v>
      </c>
      <c r="AB8" s="764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5">
        <f>'Lpg (2)'!B12*2000/85</f>
        <v>2000</v>
      </c>
      <c r="AG8" s="267">
        <f>'Lpg (2)'!C12*1000/85</f>
        <v>0</v>
      </c>
      <c r="AH8" s="788">
        <f>'Lpg (2)'!D12*1000/85</f>
        <v>0</v>
      </c>
      <c r="AI8" s="778">
        <f t="shared" si="12"/>
        <v>4000000</v>
      </c>
      <c r="AJ8" s="437">
        <f t="shared" si="4"/>
        <v>0</v>
      </c>
      <c r="AK8" s="133"/>
    </row>
    <row r="9" spans="1:37" ht="18.75">
      <c r="A9" s="809">
        <f>Gen!B14</f>
        <v>44108</v>
      </c>
      <c r="B9" s="434">
        <f>'Summery Report'!E8</f>
        <v>1</v>
      </c>
      <c r="C9" s="814">
        <f>Gen!C14</f>
        <v>1.2999999999999999E-2</v>
      </c>
      <c r="D9" s="776">
        <f>'Summery Report'!E8</f>
        <v>1</v>
      </c>
      <c r="E9" s="776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6">
        <f>Gen!D14</f>
        <v>35072.49</v>
      </c>
      <c r="I9" s="776">
        <f>Gen!F14</f>
        <v>0</v>
      </c>
      <c r="J9" s="815">
        <f>Gen!T14</f>
        <v>924.63</v>
      </c>
      <c r="K9" s="820">
        <f>Gen!AK14</f>
        <v>0</v>
      </c>
      <c r="L9" s="811">
        <f t="shared" si="1"/>
        <v>924.63</v>
      </c>
      <c r="M9" s="458">
        <f>'Water-Meter'!K49</f>
        <v>498.21689553152549</v>
      </c>
      <c r="N9" s="771">
        <f>'Water-Meter'!E9</f>
        <v>60</v>
      </c>
      <c r="O9" s="759"/>
      <c r="P9" s="769">
        <v>19032</v>
      </c>
      <c r="Q9" s="781">
        <f t="shared" si="2"/>
        <v>0</v>
      </c>
      <c r="R9" s="435">
        <f t="shared" si="5"/>
        <v>0</v>
      </c>
      <c r="S9" s="753">
        <v>2.2000000000000002</v>
      </c>
      <c r="T9" s="754">
        <v>17019</v>
      </c>
      <c r="U9" s="781">
        <f t="shared" si="6"/>
        <v>2</v>
      </c>
      <c r="V9" s="436">
        <f t="shared" si="7"/>
        <v>4.4000000000000004</v>
      </c>
      <c r="W9" s="759"/>
      <c r="X9" s="760">
        <v>25177</v>
      </c>
      <c r="Y9" s="781">
        <f t="shared" si="8"/>
        <v>0</v>
      </c>
      <c r="Z9" s="757">
        <f t="shared" si="9"/>
        <v>0</v>
      </c>
      <c r="AA9" s="767">
        <f t="shared" si="10"/>
        <v>0</v>
      </c>
      <c r="AB9" s="764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5">
        <f>'Lpg (2)'!B13*2000/85</f>
        <v>2000</v>
      </c>
      <c r="AG9" s="267">
        <f>'Lpg (2)'!C13*1000/85</f>
        <v>0</v>
      </c>
      <c r="AH9" s="788">
        <f>'Lpg (2)'!D13*1000/85</f>
        <v>0</v>
      </c>
      <c r="AI9" s="778">
        <f t="shared" si="12"/>
        <v>4000000</v>
      </c>
      <c r="AJ9" s="437">
        <f t="shared" si="4"/>
        <v>0</v>
      </c>
      <c r="AK9" s="133"/>
    </row>
    <row r="10" spans="1:37" ht="18.75">
      <c r="A10" s="809">
        <f>Gen!B15</f>
        <v>44109</v>
      </c>
      <c r="B10" s="434">
        <f>'Summery Report'!E9</f>
        <v>2</v>
      </c>
      <c r="C10" s="814">
        <f>Gen!C15</f>
        <v>2.3E-2</v>
      </c>
      <c r="D10" s="776">
        <f>'Summery Report'!E9</f>
        <v>2</v>
      </c>
      <c r="E10" s="776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6">
        <f>Gen!D15</f>
        <v>34147.86</v>
      </c>
      <c r="I10" s="776">
        <f>Gen!F15</f>
        <v>0</v>
      </c>
      <c r="J10" s="815">
        <f>Gen!T15</f>
        <v>936.98</v>
      </c>
      <c r="K10" s="820">
        <f>Gen!AK15</f>
        <v>0</v>
      </c>
      <c r="L10" s="811">
        <f t="shared" si="1"/>
        <v>936.98</v>
      </c>
      <c r="M10" s="458">
        <f>'Water-Meter'!K50</f>
        <v>580.82616800012897</v>
      </c>
      <c r="N10" s="771">
        <f>'Water-Meter'!E10</f>
        <v>45</v>
      </c>
      <c r="O10" s="759"/>
      <c r="P10" s="769">
        <v>19032</v>
      </c>
      <c r="Q10" s="781">
        <f t="shared" si="2"/>
        <v>0</v>
      </c>
      <c r="R10" s="435">
        <f t="shared" si="5"/>
        <v>0</v>
      </c>
      <c r="S10" s="753">
        <v>2.2000000000000002</v>
      </c>
      <c r="T10" s="754">
        <v>17026</v>
      </c>
      <c r="U10" s="781">
        <f t="shared" si="6"/>
        <v>7</v>
      </c>
      <c r="V10" s="436">
        <f t="shared" ref="V10:V16" si="16">SUM(U10*S10)</f>
        <v>15.400000000000002</v>
      </c>
      <c r="W10" s="753">
        <v>2.2999999999999998</v>
      </c>
      <c r="X10" s="760">
        <v>25177</v>
      </c>
      <c r="Y10" s="781">
        <f t="shared" si="8"/>
        <v>0</v>
      </c>
      <c r="Z10" s="757">
        <f t="shared" si="9"/>
        <v>0</v>
      </c>
      <c r="AA10" s="767">
        <f t="shared" si="10"/>
        <v>0</v>
      </c>
      <c r="AB10" s="764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5">
        <f>'Lpg (2)'!B14*2000/85</f>
        <v>1976.4705882352941</v>
      </c>
      <c r="AG10" s="267">
        <f>'Lpg (2)'!C14*1000/85</f>
        <v>1000</v>
      </c>
      <c r="AH10" s="788">
        <f>'Lpg (2)'!D14*1000/85</f>
        <v>1000</v>
      </c>
      <c r="AI10" s="778">
        <f t="shared" si="12"/>
        <v>6000000</v>
      </c>
      <c r="AJ10" s="437">
        <f t="shared" si="4"/>
        <v>-2000000</v>
      </c>
      <c r="AK10" s="133"/>
    </row>
    <row r="11" spans="1:37" ht="18.75">
      <c r="A11" s="809">
        <f>Gen!B16</f>
        <v>44110</v>
      </c>
      <c r="B11" s="434">
        <f>'Summery Report'!E10</f>
        <v>2</v>
      </c>
      <c r="C11" s="814">
        <f>Gen!C16</f>
        <v>2.3E-2</v>
      </c>
      <c r="D11" s="776">
        <f>'Summery Report'!E10</f>
        <v>2</v>
      </c>
      <c r="E11" s="776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6">
        <f>Gen!D16</f>
        <v>33210.879999999997</v>
      </c>
      <c r="I11" s="776">
        <f>Gen!F16</f>
        <v>0</v>
      </c>
      <c r="J11" s="815">
        <f>Gen!T16</f>
        <v>982.58999999999992</v>
      </c>
      <c r="K11" s="820">
        <f>Gen!AK16</f>
        <v>0</v>
      </c>
      <c r="L11" s="811">
        <f t="shared" si="1"/>
        <v>982.58999999999992</v>
      </c>
      <c r="M11" s="458">
        <f>'Water-Meter'!K51</f>
        <v>573.80249949368635</v>
      </c>
      <c r="N11" s="771">
        <f>'Water-Meter'!E11</f>
        <v>57</v>
      </c>
      <c r="O11" s="759"/>
      <c r="P11" s="769">
        <v>19032</v>
      </c>
      <c r="Q11" s="781">
        <f t="shared" si="2"/>
        <v>0</v>
      </c>
      <c r="R11" s="435">
        <f t="shared" si="5"/>
        <v>0</v>
      </c>
      <c r="S11" s="753"/>
      <c r="T11" s="754">
        <v>17039</v>
      </c>
      <c r="U11" s="781">
        <f t="shared" si="6"/>
        <v>13</v>
      </c>
      <c r="V11" s="436">
        <f t="shared" si="16"/>
        <v>0</v>
      </c>
      <c r="W11" s="753">
        <v>2.2999999999999998</v>
      </c>
      <c r="X11" s="760">
        <v>25182</v>
      </c>
      <c r="Y11" s="781">
        <f t="shared" si="8"/>
        <v>5</v>
      </c>
      <c r="Z11" s="757">
        <f t="shared" si="9"/>
        <v>11.5</v>
      </c>
      <c r="AA11" s="767">
        <f t="shared" si="10"/>
        <v>289869</v>
      </c>
      <c r="AB11" s="764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5">
        <f>'Lpg (2)'!B15*2000/85</f>
        <v>1929.4117647058824</v>
      </c>
      <c r="AG11" s="267">
        <f>'Lpg (2)'!C15*1000/85</f>
        <v>1000</v>
      </c>
      <c r="AH11" s="788">
        <f>'Lpg (2)'!D15*1000/85</f>
        <v>1000</v>
      </c>
      <c r="AI11" s="778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09">
        <f>Gen!B17</f>
        <v>44111</v>
      </c>
      <c r="B12" s="434">
        <f>'Summery Report'!E11</f>
        <v>4</v>
      </c>
      <c r="C12" s="814">
        <f>Gen!C17</f>
        <v>3.9E-2</v>
      </c>
      <c r="D12" s="776">
        <f>'Summery Report'!E11</f>
        <v>4</v>
      </c>
      <c r="E12" s="776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6">
        <f>Gen!D17</f>
        <v>32228.289999999997</v>
      </c>
      <c r="I12" s="776">
        <f>Gen!F17</f>
        <v>0</v>
      </c>
      <c r="J12" s="815">
        <f>Gen!T17</f>
        <v>950.56999999999994</v>
      </c>
      <c r="K12" s="820">
        <f>Gen!AK17</f>
        <v>0</v>
      </c>
      <c r="L12" s="811">
        <f t="shared" si="1"/>
        <v>950.56999999999994</v>
      </c>
      <c r="M12" s="458">
        <f>'Water-Meter'!K52</f>
        <v>601.43386395738401</v>
      </c>
      <c r="N12" s="771">
        <f>'Water-Meter'!E12</f>
        <v>59</v>
      </c>
      <c r="O12" s="759"/>
      <c r="P12" s="769">
        <v>19032</v>
      </c>
      <c r="Q12" s="781">
        <f t="shared" si="2"/>
        <v>0</v>
      </c>
      <c r="R12" s="435">
        <f t="shared" si="5"/>
        <v>0</v>
      </c>
      <c r="S12" s="753"/>
      <c r="T12" s="754">
        <v>17039</v>
      </c>
      <c r="U12" s="781">
        <f t="shared" si="6"/>
        <v>0</v>
      </c>
      <c r="V12" s="436">
        <f t="shared" si="16"/>
        <v>0</v>
      </c>
      <c r="W12" s="753">
        <v>2.2999999999999998</v>
      </c>
      <c r="X12" s="760">
        <v>25206</v>
      </c>
      <c r="Y12" s="781">
        <f t="shared" si="8"/>
        <v>24</v>
      </c>
      <c r="Z12" s="757">
        <f t="shared" si="9"/>
        <v>55.199999999999996</v>
      </c>
      <c r="AA12" s="767">
        <f t="shared" si="10"/>
        <v>1392254.4</v>
      </c>
      <c r="AB12" s="764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5">
        <f>'Lpg (2)'!B16*2000/85</f>
        <v>1905.8823529411766</v>
      </c>
      <c r="AG12" s="267">
        <f>'Lpg (2)'!C16*1000/85</f>
        <v>1000</v>
      </c>
      <c r="AH12" s="788">
        <f>'Lpg (2)'!D16*1000/85</f>
        <v>1000</v>
      </c>
      <c r="AI12" s="778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09">
        <f>Gen!B18</f>
        <v>44112</v>
      </c>
      <c r="B13" s="434">
        <f>'Summery Report'!E12</f>
        <v>5</v>
      </c>
      <c r="C13" s="814">
        <f>Gen!C18</f>
        <v>5.1900000000000002E-2</v>
      </c>
      <c r="D13" s="776">
        <f>'Summery Report'!E12</f>
        <v>5</v>
      </c>
      <c r="E13" s="776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6">
        <f>Gen!D18</f>
        <v>31277.719999999998</v>
      </c>
      <c r="I13" s="776">
        <f>Gen!F18</f>
        <v>0</v>
      </c>
      <c r="J13" s="815">
        <f>Gen!T18</f>
        <v>956.81999999999994</v>
      </c>
      <c r="K13" s="820">
        <f>Gen!AK18</f>
        <v>91</v>
      </c>
      <c r="L13" s="811">
        <f t="shared" si="1"/>
        <v>1047.82</v>
      </c>
      <c r="M13" s="458">
        <f>'Water-Meter'!K53</f>
        <v>548.05867595430152</v>
      </c>
      <c r="N13" s="771">
        <f>'Water-Meter'!E13</f>
        <v>46</v>
      </c>
      <c r="O13" s="759"/>
      <c r="P13" s="769">
        <v>19032</v>
      </c>
      <c r="Q13" s="781">
        <f t="shared" si="2"/>
        <v>0</v>
      </c>
      <c r="R13" s="435">
        <f t="shared" si="5"/>
        <v>0</v>
      </c>
      <c r="S13" s="753"/>
      <c r="T13" s="754">
        <v>17039</v>
      </c>
      <c r="U13" s="781">
        <f t="shared" si="6"/>
        <v>0</v>
      </c>
      <c r="V13" s="436">
        <f t="shared" si="16"/>
        <v>0</v>
      </c>
      <c r="W13" s="753">
        <v>2.2999999999999998</v>
      </c>
      <c r="X13" s="760">
        <v>25206</v>
      </c>
      <c r="Y13" s="781">
        <f t="shared" si="8"/>
        <v>0</v>
      </c>
      <c r="Z13" s="757">
        <f t="shared" si="9"/>
        <v>0</v>
      </c>
      <c r="AA13" s="767">
        <f t="shared" si="10"/>
        <v>0</v>
      </c>
      <c r="AB13" s="764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5">
        <f>'Lpg (2)'!B17*2000/85</f>
        <v>1882.3529411764705</v>
      </c>
      <c r="AG13" s="267">
        <f>'Lpg (2)'!C17*1000/85</f>
        <v>1000</v>
      </c>
      <c r="AH13" s="788">
        <f>'Lpg (2)'!D17*1000/85</f>
        <v>1000</v>
      </c>
      <c r="AI13" s="778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09">
        <f>Gen!B19</f>
        <v>44113</v>
      </c>
      <c r="B14" s="434">
        <f>'Summery Report'!E13</f>
        <v>5</v>
      </c>
      <c r="C14" s="814">
        <f>Gen!C19</f>
        <v>5.1900000000000002E-2</v>
      </c>
      <c r="D14" s="776">
        <f>'Summery Report'!E13</f>
        <v>5</v>
      </c>
      <c r="E14" s="776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6">
        <f>Gen!D19</f>
        <v>30229.899999999998</v>
      </c>
      <c r="I14" s="776">
        <f>Gen!F19</f>
        <v>0</v>
      </c>
      <c r="J14" s="815">
        <f>Gen!T19</f>
        <v>990.35</v>
      </c>
      <c r="K14" s="820">
        <f>Gen!AK19</f>
        <v>76.97</v>
      </c>
      <c r="L14" s="811">
        <f t="shared" ref="L14:L37" si="17">SUM(J14:K14)</f>
        <v>1067.32</v>
      </c>
      <c r="M14" s="458">
        <f>'Water-Meter'!K54</f>
        <v>466.4801122431906</v>
      </c>
      <c r="N14" s="771">
        <f>'Water-Meter'!E14</f>
        <v>56</v>
      </c>
      <c r="O14" s="759"/>
      <c r="P14" s="769">
        <v>19032</v>
      </c>
      <c r="Q14" s="781">
        <f t="shared" si="2"/>
        <v>0</v>
      </c>
      <c r="R14" s="435">
        <f t="shared" si="5"/>
        <v>0</v>
      </c>
      <c r="S14" s="753">
        <v>2.2000000000000002</v>
      </c>
      <c r="T14" s="754">
        <v>17053</v>
      </c>
      <c r="U14" s="781">
        <f t="shared" si="6"/>
        <v>14</v>
      </c>
      <c r="V14" s="436">
        <f t="shared" si="16"/>
        <v>30.800000000000004</v>
      </c>
      <c r="W14" s="753"/>
      <c r="X14" s="760">
        <v>25222</v>
      </c>
      <c r="Y14" s="781">
        <f t="shared" si="8"/>
        <v>16</v>
      </c>
      <c r="Z14" s="757">
        <f t="shared" si="9"/>
        <v>0</v>
      </c>
      <c r="AA14" s="767">
        <f t="shared" si="10"/>
        <v>0</v>
      </c>
      <c r="AB14" s="764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5">
        <f>'Lpg (2)'!B18*2000/85</f>
        <v>1858.8235294117646</v>
      </c>
      <c r="AG14" s="267">
        <f>'Lpg (2)'!C18*1000/85</f>
        <v>1000</v>
      </c>
      <c r="AH14" s="788">
        <f>'Lpg (2)'!D18*1000/85</f>
        <v>1000</v>
      </c>
      <c r="AI14" s="778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09">
        <f>Gen!B20</f>
        <v>44114</v>
      </c>
      <c r="B15" s="434">
        <f>'Summery Report'!E14</f>
        <v>5</v>
      </c>
      <c r="C15" s="814">
        <f>Gen!C20</f>
        <v>5.1900000000000002E-2</v>
      </c>
      <c r="D15" s="776">
        <f>'Summery Report'!E14</f>
        <v>5</v>
      </c>
      <c r="E15" s="776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6">
        <f>Gen!D20</f>
        <v>44162.58</v>
      </c>
      <c r="I15" s="776">
        <f>Gen!F20</f>
        <v>15000</v>
      </c>
      <c r="J15" s="815">
        <f>Gen!T20</f>
        <v>995.05000000000007</v>
      </c>
      <c r="K15" s="820">
        <f>Gen!AK20</f>
        <v>0</v>
      </c>
      <c r="L15" s="811">
        <f t="shared" si="17"/>
        <v>995.05000000000007</v>
      </c>
      <c r="M15" s="458">
        <f>'Water-Meter'!K55</f>
        <v>502.5927098811103</v>
      </c>
      <c r="N15" s="771">
        <f>'Water-Meter'!E15</f>
        <v>98</v>
      </c>
      <c r="O15" s="759"/>
      <c r="P15" s="769">
        <v>19032</v>
      </c>
      <c r="Q15" s="781">
        <f t="shared" si="2"/>
        <v>0</v>
      </c>
      <c r="R15" s="435">
        <f t="shared" si="5"/>
        <v>0</v>
      </c>
      <c r="S15" s="753"/>
      <c r="T15" s="754">
        <v>17053</v>
      </c>
      <c r="U15" s="781">
        <f t="shared" si="6"/>
        <v>0</v>
      </c>
      <c r="V15" s="436">
        <f t="shared" si="16"/>
        <v>0</v>
      </c>
      <c r="W15" s="753">
        <v>2.2999999999999998</v>
      </c>
      <c r="X15" s="760">
        <v>25235</v>
      </c>
      <c r="Y15" s="781">
        <f t="shared" si="8"/>
        <v>13</v>
      </c>
      <c r="Z15" s="757">
        <f t="shared" si="9"/>
        <v>29.9</v>
      </c>
      <c r="AA15" s="767">
        <f t="shared" si="10"/>
        <v>755094.6</v>
      </c>
      <c r="AB15" s="764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5">
        <f>'Lpg (2)'!B19*2000/85</f>
        <v>1811.7647058823529</v>
      </c>
      <c r="AG15" s="267">
        <f>'Lpg (2)'!C19*1000/85</f>
        <v>1000</v>
      </c>
      <c r="AH15" s="788">
        <f>'Lpg (2)'!D19*1000/85</f>
        <v>1000</v>
      </c>
      <c r="AI15" s="778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09">
        <f>Gen!B21</f>
        <v>44115</v>
      </c>
      <c r="B16" s="434">
        <f>'Summery Report'!E15</f>
        <v>2</v>
      </c>
      <c r="C16" s="814">
        <f>Gen!C21</f>
        <v>1.2999999999999999E-2</v>
      </c>
      <c r="D16" s="776">
        <f>'Summery Report'!E15</f>
        <v>2</v>
      </c>
      <c r="E16" s="776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6">
        <f>Gen!D21</f>
        <v>43167.53</v>
      </c>
      <c r="I16" s="776">
        <f>Gen!F21</f>
        <v>0</v>
      </c>
      <c r="J16" s="815">
        <f>Gen!T21</f>
        <v>980.98</v>
      </c>
      <c r="K16" s="820">
        <f>Gen!AK21</f>
        <v>66.490000000000009</v>
      </c>
      <c r="L16" s="811">
        <f t="shared" si="17"/>
        <v>1047.47</v>
      </c>
      <c r="M16" s="458">
        <f>'Water-Meter'!K56</f>
        <v>544.69932846975826</v>
      </c>
      <c r="N16" s="771">
        <f>'Water-Meter'!E16</f>
        <v>73</v>
      </c>
      <c r="O16" s="759"/>
      <c r="P16" s="769">
        <v>19032</v>
      </c>
      <c r="Q16" s="781">
        <f t="shared" si="2"/>
        <v>0</v>
      </c>
      <c r="R16" s="435">
        <f t="shared" si="5"/>
        <v>0</v>
      </c>
      <c r="S16" s="753">
        <v>2.2000000000000002</v>
      </c>
      <c r="T16" s="754">
        <v>17058</v>
      </c>
      <c r="U16" s="781">
        <f t="shared" si="6"/>
        <v>5</v>
      </c>
      <c r="V16" s="436">
        <f t="shared" si="16"/>
        <v>11</v>
      </c>
      <c r="W16" s="753">
        <v>2.2999999999999998</v>
      </c>
      <c r="X16" s="760">
        <v>25254</v>
      </c>
      <c r="Y16" s="781">
        <f t="shared" si="8"/>
        <v>19</v>
      </c>
      <c r="Z16" s="757">
        <f t="shared" si="9"/>
        <v>43.699999999999996</v>
      </c>
      <c r="AA16" s="767">
        <f t="shared" si="10"/>
        <v>1103599.7999999998</v>
      </c>
      <c r="AB16" s="764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5">
        <f>'Lpg (2)'!B20*2000/85</f>
        <v>1764.7058823529412</v>
      </c>
      <c r="AG16" s="267">
        <f>'Lpg (2)'!C20*1000/85</f>
        <v>1000</v>
      </c>
      <c r="AH16" s="788">
        <f>'Lpg (2)'!D20*1000/85</f>
        <v>1000</v>
      </c>
      <c r="AI16" s="778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09">
        <f>Gen!B22</f>
        <v>44116</v>
      </c>
      <c r="B17" s="434">
        <f>'Summery Report'!E16</f>
        <v>4</v>
      </c>
      <c r="C17" s="814">
        <f>Gen!C22</f>
        <v>3.9E-2</v>
      </c>
      <c r="D17" s="776">
        <f>'Summery Report'!E16</f>
        <v>4</v>
      </c>
      <c r="E17" s="776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6">
        <f>Gen!D22</f>
        <v>42120.06</v>
      </c>
      <c r="I17" s="776">
        <f>Gen!F22</f>
        <v>0</v>
      </c>
      <c r="J17" s="815">
        <f>Gen!T22</f>
        <v>935.25</v>
      </c>
      <c r="K17" s="820">
        <f>Gen!AK22</f>
        <v>71</v>
      </c>
      <c r="L17" s="811">
        <f t="shared" si="17"/>
        <v>1006.25</v>
      </c>
      <c r="M17" s="458">
        <f>'Water-Meter'!K57</f>
        <v>528.49955112729583</v>
      </c>
      <c r="N17" s="771">
        <f>'Water-Meter'!E17</f>
        <v>42</v>
      </c>
      <c r="O17" s="759"/>
      <c r="P17" s="769">
        <v>19032</v>
      </c>
      <c r="Q17" s="781">
        <f>SUM(P18-P16)</f>
        <v>0</v>
      </c>
      <c r="R17" s="435">
        <f t="shared" si="5"/>
        <v>0</v>
      </c>
      <c r="S17" s="753"/>
      <c r="T17" s="754">
        <v>17058</v>
      </c>
      <c r="U17" s="781">
        <f t="shared" si="6"/>
        <v>0</v>
      </c>
      <c r="V17" s="436">
        <f t="shared" ref="V17:V36" si="19">SUM(U17*S17)</f>
        <v>0</v>
      </c>
      <c r="W17" s="753">
        <v>2.2999999999999998</v>
      </c>
      <c r="X17" s="760">
        <v>25254</v>
      </c>
      <c r="Y17" s="781">
        <f t="shared" si="8"/>
        <v>0</v>
      </c>
      <c r="Z17" s="757">
        <f t="shared" si="9"/>
        <v>0</v>
      </c>
      <c r="AA17" s="767">
        <f t="shared" si="10"/>
        <v>0</v>
      </c>
      <c r="AB17" s="764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5">
        <f>'Lpg (2)'!B21*2000/85</f>
        <v>1717.6470588235295</v>
      </c>
      <c r="AG17" s="267">
        <f>'Lpg (2)'!C21*1000/85</f>
        <v>1000</v>
      </c>
      <c r="AH17" s="788">
        <f>'Lpg (2)'!D21*1000/85</f>
        <v>1000</v>
      </c>
      <c r="AI17" s="778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09">
        <f>Gen!B23</f>
        <v>44117</v>
      </c>
      <c r="B18" s="434">
        <f>'Summery Report'!E17</f>
        <v>5</v>
      </c>
      <c r="C18" s="814">
        <f>Gen!C23</f>
        <v>5.1900000000000002E-2</v>
      </c>
      <c r="D18" s="776">
        <f>'Summery Report'!E17</f>
        <v>5</v>
      </c>
      <c r="E18" s="776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6">
        <f>Gen!D23</f>
        <v>41113.81</v>
      </c>
      <c r="I18" s="776">
        <f>Gen!F23</f>
        <v>0</v>
      </c>
      <c r="J18" s="815">
        <f>Gen!T23</f>
        <v>995.96</v>
      </c>
      <c r="K18" s="820">
        <f>Gen!AK23</f>
        <v>71.09</v>
      </c>
      <c r="L18" s="811">
        <f t="shared" si="17"/>
        <v>1067.05</v>
      </c>
      <c r="M18" s="458">
        <f>'Water-Meter'!K58</f>
        <v>517.78614801070182</v>
      </c>
      <c r="N18" s="771">
        <f>'Water-Meter'!E18</f>
        <v>53</v>
      </c>
      <c r="O18" s="759"/>
      <c r="P18" s="769">
        <v>19032</v>
      </c>
      <c r="Q18" s="781"/>
      <c r="R18" s="435">
        <f t="shared" si="5"/>
        <v>0</v>
      </c>
      <c r="S18" s="753"/>
      <c r="T18" s="754">
        <v>17058</v>
      </c>
      <c r="U18" s="781">
        <f t="shared" si="6"/>
        <v>0</v>
      </c>
      <c r="V18" s="436">
        <f t="shared" si="19"/>
        <v>0</v>
      </c>
      <c r="W18" s="753">
        <v>2.2999999999999998</v>
      </c>
      <c r="X18" s="760">
        <v>25254</v>
      </c>
      <c r="Y18" s="781">
        <f t="shared" si="8"/>
        <v>0</v>
      </c>
      <c r="Z18" s="757">
        <f t="shared" si="9"/>
        <v>0</v>
      </c>
      <c r="AA18" s="767">
        <f t="shared" si="10"/>
        <v>0</v>
      </c>
      <c r="AB18" s="764">
        <v>39966</v>
      </c>
      <c r="AC18" s="742">
        <f t="shared" si="11"/>
        <v>119</v>
      </c>
      <c r="AD18" s="745">
        <v>206136</v>
      </c>
      <c r="AE18" s="179">
        <f t="shared" si="15"/>
        <v>30</v>
      </c>
      <c r="AF18" s="775">
        <f>'Lpg (2)'!B22*2000/85</f>
        <v>1647.0588235294117</v>
      </c>
      <c r="AG18" s="267">
        <f>'Lpg (2)'!C22*1000/85</f>
        <v>1000</v>
      </c>
      <c r="AH18" s="788">
        <f>'Lpg (2)'!D22*1000/85</f>
        <v>1000</v>
      </c>
      <c r="AI18" s="778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09">
        <f>Gen!B24</f>
        <v>44118</v>
      </c>
      <c r="B19" s="434">
        <f>'Summery Report'!E18</f>
        <v>2</v>
      </c>
      <c r="C19" s="814">
        <f>Gen!C24</f>
        <v>1.2999999999999999E-2</v>
      </c>
      <c r="D19" s="776">
        <f>'Summery Report'!E18</f>
        <v>2</v>
      </c>
      <c r="E19" s="776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6">
        <f>Gen!D24</f>
        <v>40046.759999999995</v>
      </c>
      <c r="I19" s="776">
        <f>Gen!F24</f>
        <v>0</v>
      </c>
      <c r="J19" s="815">
        <f>Gen!T24</f>
        <v>974.17000000000007</v>
      </c>
      <c r="K19" s="820">
        <f>Gen!AK24</f>
        <v>58.87</v>
      </c>
      <c r="L19" s="811">
        <f t="shared" si="17"/>
        <v>1033.04</v>
      </c>
      <c r="M19" s="458">
        <f>'Water-Meter'!K59</f>
        <v>579.4304360893284</v>
      </c>
      <c r="N19" s="771">
        <f>'Water-Meter'!E19</f>
        <v>43</v>
      </c>
      <c r="O19" s="759"/>
      <c r="P19" s="769">
        <v>19032</v>
      </c>
      <c r="Q19" s="781"/>
      <c r="R19" s="435">
        <f t="shared" si="5"/>
        <v>0</v>
      </c>
      <c r="S19" s="753"/>
      <c r="T19" s="754">
        <v>17058</v>
      </c>
      <c r="U19" s="781">
        <f t="shared" si="6"/>
        <v>0</v>
      </c>
      <c r="V19" s="436">
        <f t="shared" si="19"/>
        <v>0</v>
      </c>
      <c r="W19" s="753">
        <v>2.2999999999999998</v>
      </c>
      <c r="X19" s="760">
        <v>25254</v>
      </c>
      <c r="Y19" s="781">
        <f t="shared" si="8"/>
        <v>0</v>
      </c>
      <c r="Z19" s="757">
        <f t="shared" si="9"/>
        <v>0</v>
      </c>
      <c r="AA19" s="767">
        <f t="shared" si="10"/>
        <v>0</v>
      </c>
      <c r="AB19" s="764">
        <v>39986</v>
      </c>
      <c r="AC19" s="742">
        <f t="shared" si="11"/>
        <v>20</v>
      </c>
      <c r="AD19" s="745">
        <v>206165</v>
      </c>
      <c r="AE19" s="179">
        <f t="shared" si="15"/>
        <v>29</v>
      </c>
      <c r="AF19" s="775">
        <f>'Lpg (2)'!B23*2000/85</f>
        <v>1623.5294117647059</v>
      </c>
      <c r="AG19" s="267">
        <f>'Lpg (2)'!C23*1000/85</f>
        <v>1000</v>
      </c>
      <c r="AH19" s="788">
        <f>'Lpg (2)'!D23*1000/85</f>
        <v>1000</v>
      </c>
      <c r="AI19" s="778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09">
        <f>Gen!B25</f>
        <v>44119</v>
      </c>
      <c r="B20" s="434">
        <f>'Summery Report'!E19</f>
        <v>5</v>
      </c>
      <c r="C20" s="814">
        <f>Gen!C25</f>
        <v>5.1900000000000002E-2</v>
      </c>
      <c r="D20" s="776">
        <f>'Summery Report'!E19</f>
        <v>5</v>
      </c>
      <c r="E20" s="776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6">
        <f>Gen!D25</f>
        <v>39013.719999999994</v>
      </c>
      <c r="I20" s="776">
        <f>Gen!F25</f>
        <v>0</v>
      </c>
      <c r="J20" s="815">
        <f>Gen!T25</f>
        <v>1042.8800000000001</v>
      </c>
      <c r="K20" s="820">
        <f>Gen!AK25</f>
        <v>0</v>
      </c>
      <c r="L20" s="811">
        <f t="shared" si="17"/>
        <v>1042.8800000000001</v>
      </c>
      <c r="M20" s="458">
        <f>'Water-Meter'!K60</f>
        <v>611.01162357951932</v>
      </c>
      <c r="N20" s="771">
        <f>'Water-Meter'!E20</f>
        <v>48</v>
      </c>
      <c r="O20" s="759"/>
      <c r="P20" s="769">
        <v>19032</v>
      </c>
      <c r="Q20" s="781">
        <f t="shared" si="2"/>
        <v>0</v>
      </c>
      <c r="R20" s="435">
        <f t="shared" si="5"/>
        <v>0</v>
      </c>
      <c r="S20" s="753"/>
      <c r="T20" s="754">
        <v>17058</v>
      </c>
      <c r="U20" s="781">
        <f t="shared" si="6"/>
        <v>0</v>
      </c>
      <c r="V20" s="436">
        <f t="shared" si="19"/>
        <v>0</v>
      </c>
      <c r="W20" s="753">
        <v>2.2999999999999998</v>
      </c>
      <c r="X20" s="760">
        <v>25254</v>
      </c>
      <c r="Y20" s="781">
        <f t="shared" si="8"/>
        <v>0</v>
      </c>
      <c r="Z20" s="757">
        <f t="shared" si="9"/>
        <v>0</v>
      </c>
      <c r="AA20" s="767">
        <f t="shared" si="10"/>
        <v>0</v>
      </c>
      <c r="AB20" s="764">
        <v>40031</v>
      </c>
      <c r="AC20" s="742">
        <f t="shared" si="11"/>
        <v>45</v>
      </c>
      <c r="AD20" s="745">
        <v>206199</v>
      </c>
      <c r="AE20" s="179">
        <f t="shared" si="15"/>
        <v>34</v>
      </c>
      <c r="AF20" s="775">
        <f>'Lpg (2)'!B24*2000/85</f>
        <v>1600</v>
      </c>
      <c r="AG20" s="267">
        <f>'Lpg (2)'!C24*1000/85</f>
        <v>1000</v>
      </c>
      <c r="AH20" s="788">
        <f>'Lpg (2)'!D24*1000/85</f>
        <v>1000</v>
      </c>
      <c r="AI20" s="778">
        <f t="shared" si="18"/>
        <v>5200000</v>
      </c>
      <c r="AJ20" s="437">
        <f t="shared" si="4"/>
        <v>47058.823529411107</v>
      </c>
      <c r="AK20" s="133"/>
    </row>
    <row r="21" spans="1:37" ht="18.75">
      <c r="A21" s="809">
        <f>Gen!B26</f>
        <v>44120</v>
      </c>
      <c r="B21" s="434">
        <f>'Summery Report'!E20</f>
        <v>10</v>
      </c>
      <c r="C21" s="814">
        <f>Gen!C26</f>
        <v>0.1169</v>
      </c>
      <c r="D21" s="776">
        <f>'Summery Report'!E20</f>
        <v>10</v>
      </c>
      <c r="E21" s="776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6">
        <f>Gen!D26</f>
        <v>37970.839999999997</v>
      </c>
      <c r="I21" s="776">
        <f>Gen!F26</f>
        <v>0</v>
      </c>
      <c r="J21" s="815">
        <f>Gen!T26</f>
        <v>1176.97</v>
      </c>
      <c r="K21" s="820">
        <f>Gen!AK26</f>
        <v>102.83999999999999</v>
      </c>
      <c r="L21" s="811">
        <f t="shared" si="17"/>
        <v>1279.81</v>
      </c>
      <c r="M21" s="458">
        <f>'Water-Meter'!K61</f>
        <v>609.10561835758722</v>
      </c>
      <c r="N21" s="771">
        <f>'Water-Meter'!E21</f>
        <v>56</v>
      </c>
      <c r="O21" s="759"/>
      <c r="P21" s="769">
        <v>19032</v>
      </c>
      <c r="Q21" s="781">
        <f t="shared" si="2"/>
        <v>0</v>
      </c>
      <c r="R21" s="435">
        <f t="shared" si="5"/>
        <v>0</v>
      </c>
      <c r="S21" s="753"/>
      <c r="T21" s="754">
        <v>17058</v>
      </c>
      <c r="U21" s="781">
        <f>T22-T20</f>
        <v>59</v>
      </c>
      <c r="V21" s="436">
        <f t="shared" si="19"/>
        <v>0</v>
      </c>
      <c r="W21" s="753">
        <v>2.2999999999999998</v>
      </c>
      <c r="X21" s="760">
        <v>25254</v>
      </c>
      <c r="Y21" s="781">
        <f t="shared" si="8"/>
        <v>0</v>
      </c>
      <c r="Z21" s="757">
        <f t="shared" si="9"/>
        <v>0</v>
      </c>
      <c r="AA21" s="767">
        <f t="shared" si="10"/>
        <v>0</v>
      </c>
      <c r="AB21" s="764">
        <v>40091</v>
      </c>
      <c r="AC21" s="742">
        <f t="shared" si="11"/>
        <v>60</v>
      </c>
      <c r="AD21" s="745">
        <v>206242</v>
      </c>
      <c r="AE21" s="179">
        <f t="shared" si="15"/>
        <v>43</v>
      </c>
      <c r="AF21" s="775">
        <f>'Lpg (2)'!B25*2000/85</f>
        <v>1576.4705882352941</v>
      </c>
      <c r="AG21" s="267">
        <f>'Lpg (2)'!C25*1000/85</f>
        <v>1000</v>
      </c>
      <c r="AH21" s="788">
        <f>'Lpg (2)'!D25*1000/85</f>
        <v>1000</v>
      </c>
      <c r="AI21" s="778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09">
        <f>Gen!B27</f>
        <v>44121</v>
      </c>
      <c r="B22" s="434">
        <f>'Summery Report'!E21</f>
        <v>12</v>
      </c>
      <c r="C22" s="814">
        <f>Gen!C27</f>
        <v>0.15790000000000001</v>
      </c>
      <c r="D22" s="776">
        <f>'Summery Report'!E21</f>
        <v>12</v>
      </c>
      <c r="E22" s="776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6">
        <f>Gen!D27</f>
        <v>36691.03</v>
      </c>
      <c r="I22" s="776">
        <f>Gen!F27</f>
        <v>0</v>
      </c>
      <c r="J22" s="815">
        <f>Gen!T27</f>
        <v>997.16000000000008</v>
      </c>
      <c r="K22" s="820">
        <f>Gen!AK27</f>
        <v>163</v>
      </c>
      <c r="L22" s="811">
        <f t="shared" si="17"/>
        <v>1160.1600000000001</v>
      </c>
      <c r="M22" s="458">
        <f>'Water-Meter'!K62</f>
        <v>611.72006005166338</v>
      </c>
      <c r="N22" s="771">
        <f>'Water-Meter'!E22</f>
        <v>71</v>
      </c>
      <c r="O22" s="759"/>
      <c r="P22" s="769">
        <v>19032</v>
      </c>
      <c r="Q22" s="781">
        <f t="shared" si="2"/>
        <v>0</v>
      </c>
      <c r="R22" s="435">
        <f t="shared" si="5"/>
        <v>0</v>
      </c>
      <c r="S22" s="753">
        <v>6.6</v>
      </c>
      <c r="T22" s="754">
        <v>17117</v>
      </c>
      <c r="U22" s="781">
        <f t="shared" ref="U22:U23" si="20">T23-T21</f>
        <v>61</v>
      </c>
      <c r="V22" s="436">
        <f t="shared" si="19"/>
        <v>402.59999999999997</v>
      </c>
      <c r="W22" s="753">
        <v>2.2999999999999998</v>
      </c>
      <c r="X22" s="760">
        <v>25254</v>
      </c>
      <c r="Y22" s="781">
        <f t="shared" si="8"/>
        <v>0</v>
      </c>
      <c r="Z22" s="757">
        <f t="shared" si="9"/>
        <v>0</v>
      </c>
      <c r="AA22" s="767">
        <f t="shared" si="10"/>
        <v>0</v>
      </c>
      <c r="AB22" s="764">
        <v>40175</v>
      </c>
      <c r="AC22" s="742">
        <f t="shared" si="11"/>
        <v>84</v>
      </c>
      <c r="AD22" s="745">
        <v>206289</v>
      </c>
      <c r="AE22" s="179">
        <f t="shared" si="15"/>
        <v>47</v>
      </c>
      <c r="AF22" s="775">
        <f>'Lpg (2)'!B26*2000/85</f>
        <v>1529.4117647058824</v>
      </c>
      <c r="AG22" s="267">
        <f>'Lpg (2)'!C26*1000/85</f>
        <v>1000</v>
      </c>
      <c r="AH22" s="788">
        <f>'Lpg (2)'!D26*1000/85</f>
        <v>1000</v>
      </c>
      <c r="AI22" s="778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09">
        <f>Gen!B28</f>
        <v>44122</v>
      </c>
      <c r="B23" s="434">
        <f>'Summery Report'!E22</f>
        <v>12</v>
      </c>
      <c r="C23" s="814">
        <f>Gen!C28</f>
        <v>0.15790000000000001</v>
      </c>
      <c r="D23" s="776">
        <f>'Summery Report'!E22</f>
        <v>12</v>
      </c>
      <c r="E23" s="776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6">
        <f>Gen!D28</f>
        <v>35530.869999999995</v>
      </c>
      <c r="I23" s="776">
        <f>Gen!F28</f>
        <v>0</v>
      </c>
      <c r="J23" s="815">
        <f>Gen!T28</f>
        <v>1208.03</v>
      </c>
      <c r="K23" s="820">
        <f>Gen!AK28</f>
        <v>210.26999999999998</v>
      </c>
      <c r="L23" s="811">
        <f t="shared" si="17"/>
        <v>1418.3</v>
      </c>
      <c r="M23" s="458">
        <f>'Water-Meter'!K63</f>
        <v>544.2797257068147</v>
      </c>
      <c r="N23" s="771">
        <f>'Water-Meter'!E23</f>
        <v>57</v>
      </c>
      <c r="O23" s="759"/>
      <c r="P23" s="769">
        <v>19032</v>
      </c>
      <c r="Q23" s="781">
        <f t="shared" si="2"/>
        <v>0</v>
      </c>
      <c r="R23" s="435">
        <f t="shared" si="5"/>
        <v>0</v>
      </c>
      <c r="S23" s="753">
        <v>6.6</v>
      </c>
      <c r="T23" s="754">
        <v>17119</v>
      </c>
      <c r="U23" s="781">
        <f t="shared" si="20"/>
        <v>4</v>
      </c>
      <c r="V23" s="436">
        <f t="shared" si="19"/>
        <v>26.4</v>
      </c>
      <c r="W23" s="753">
        <v>2.4</v>
      </c>
      <c r="X23" s="760">
        <v>25264</v>
      </c>
      <c r="Y23" s="781">
        <f t="shared" si="8"/>
        <v>10</v>
      </c>
      <c r="Z23" s="757">
        <f t="shared" si="9"/>
        <v>24</v>
      </c>
      <c r="AA23" s="767">
        <f t="shared" si="10"/>
        <v>607488</v>
      </c>
      <c r="AB23" s="764">
        <v>40219</v>
      </c>
      <c r="AC23" s="742">
        <f t="shared" si="11"/>
        <v>44</v>
      </c>
      <c r="AD23" s="745">
        <v>206337</v>
      </c>
      <c r="AE23" s="179">
        <f t="shared" si="15"/>
        <v>48</v>
      </c>
      <c r="AF23" s="775">
        <f>'Lpg (2)'!B27*2000/85</f>
        <v>1482.3529411764705</v>
      </c>
      <c r="AG23" s="267">
        <f>'Lpg (2)'!C27*1000/85</f>
        <v>1000</v>
      </c>
      <c r="AH23" s="788">
        <f>'Lpg (2)'!D27*1000/85</f>
        <v>1000</v>
      </c>
      <c r="AI23" s="778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09">
        <f>Gen!B29</f>
        <v>44123</v>
      </c>
      <c r="B24" s="434">
        <f>'Summery Report'!E23</f>
        <v>12</v>
      </c>
      <c r="C24" s="814">
        <f>Gen!C29</f>
        <v>0.12989999999999999</v>
      </c>
      <c r="D24" s="776">
        <f>'Summery Report'!E23</f>
        <v>12</v>
      </c>
      <c r="E24" s="776">
        <f t="shared" si="13"/>
        <v>1.3262195121951219</v>
      </c>
      <c r="F24" s="447">
        <f t="shared" si="14"/>
        <v>123.70865091463413</v>
      </c>
      <c r="G24" s="447">
        <f t="shared" si="0"/>
        <v>131.03601371951217</v>
      </c>
      <c r="H24" s="776">
        <f>Gen!D29</f>
        <v>34112.569999999992</v>
      </c>
      <c r="I24" s="776">
        <f>Gen!F29</f>
        <v>0</v>
      </c>
      <c r="J24" s="815">
        <f>Gen!T29</f>
        <v>1119.3499999999999</v>
      </c>
      <c r="K24" s="820">
        <f>Gen!AK29</f>
        <v>66.3</v>
      </c>
      <c r="L24" s="811">
        <f t="shared" si="17"/>
        <v>1185.6499999999999</v>
      </c>
      <c r="M24" s="458">
        <f>'Water-Meter'!K64</f>
        <v>509.6764132208159</v>
      </c>
      <c r="N24" s="771">
        <f>'Water-Meter'!E24</f>
        <v>58</v>
      </c>
      <c r="O24" s="759"/>
      <c r="P24" s="769">
        <v>19032</v>
      </c>
      <c r="Q24" s="781">
        <f t="shared" si="2"/>
        <v>0</v>
      </c>
      <c r="R24" s="435">
        <f t="shared" si="5"/>
        <v>0</v>
      </c>
      <c r="S24" s="753">
        <v>6.6</v>
      </c>
      <c r="T24" s="754">
        <v>17121</v>
      </c>
      <c r="U24" s="781">
        <f t="shared" si="6"/>
        <v>2</v>
      </c>
      <c r="V24" s="436">
        <f t="shared" si="19"/>
        <v>13.2</v>
      </c>
      <c r="W24" s="753">
        <v>2.4</v>
      </c>
      <c r="X24" s="760">
        <v>25288</v>
      </c>
      <c r="Y24" s="781">
        <f t="shared" si="8"/>
        <v>24</v>
      </c>
      <c r="Z24" s="757">
        <f t="shared" si="9"/>
        <v>57.599999999999994</v>
      </c>
      <c r="AA24" s="767">
        <f t="shared" si="10"/>
        <v>1457971.2</v>
      </c>
      <c r="AB24" s="764">
        <v>40270</v>
      </c>
      <c r="AC24" s="742">
        <f t="shared" si="11"/>
        <v>51</v>
      </c>
      <c r="AD24" s="745">
        <v>206356</v>
      </c>
      <c r="AE24" s="179">
        <f t="shared" si="15"/>
        <v>19</v>
      </c>
      <c r="AF24" s="775">
        <f>'Lpg (2)'!B28*2000/85</f>
        <v>1411.7647058823529</v>
      </c>
      <c r="AG24" s="267">
        <f>'Lpg (2)'!C28*1000/85</f>
        <v>1000</v>
      </c>
      <c r="AH24" s="788">
        <f>'Lpg (2)'!D28*1000/85</f>
        <v>1000</v>
      </c>
      <c r="AI24" s="778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09">
        <f>Gen!B30</f>
        <v>44124</v>
      </c>
      <c r="B25" s="434">
        <f>'Summery Report'!E24</f>
        <v>10</v>
      </c>
      <c r="C25" s="814">
        <f>Gen!C30</f>
        <v>0.1169</v>
      </c>
      <c r="D25" s="776">
        <f>'Summery Report'!E24</f>
        <v>10</v>
      </c>
      <c r="E25" s="776">
        <f t="shared" si="13"/>
        <v>1.3262195121951219</v>
      </c>
      <c r="F25" s="447">
        <f t="shared" si="14"/>
        <v>140.02756097560979</v>
      </c>
      <c r="G25" s="447">
        <f t="shared" si="0"/>
        <v>141.41876524390244</v>
      </c>
      <c r="H25" s="776">
        <f>Gen!D30</f>
        <v>32926.919999999991</v>
      </c>
      <c r="I25" s="776">
        <f>Gen!F30</f>
        <v>0</v>
      </c>
      <c r="J25" s="815">
        <f>Gen!T30</f>
        <v>1055.8400000000001</v>
      </c>
      <c r="K25" s="820">
        <f>Gen!AK30</f>
        <v>10.49</v>
      </c>
      <c r="L25" s="811">
        <f t="shared" si="17"/>
        <v>1066.3300000000002</v>
      </c>
      <c r="M25" s="458">
        <f>'Water-Meter'!K65</f>
        <v>487.90259577201755</v>
      </c>
      <c r="N25" s="771">
        <f>'Water-Meter'!E25</f>
        <v>77</v>
      </c>
      <c r="O25" s="759"/>
      <c r="P25" s="769">
        <v>19032</v>
      </c>
      <c r="Q25" s="781">
        <f t="shared" si="2"/>
        <v>0</v>
      </c>
      <c r="R25" s="435">
        <f t="shared" si="5"/>
        <v>0</v>
      </c>
      <c r="S25" s="753">
        <v>6.6</v>
      </c>
      <c r="T25" s="754">
        <v>17121</v>
      </c>
      <c r="U25" s="781">
        <f t="shared" si="6"/>
        <v>0</v>
      </c>
      <c r="V25" s="436">
        <f t="shared" si="19"/>
        <v>0</v>
      </c>
      <c r="W25" s="753">
        <v>2.4</v>
      </c>
      <c r="X25" s="760">
        <v>25312</v>
      </c>
      <c r="Y25" s="781">
        <f t="shared" si="8"/>
        <v>24</v>
      </c>
      <c r="Z25" s="757">
        <f t="shared" si="9"/>
        <v>57.599999999999994</v>
      </c>
      <c r="AA25" s="767">
        <f t="shared" si="10"/>
        <v>1460447.9999999998</v>
      </c>
      <c r="AB25" s="764">
        <v>40321</v>
      </c>
      <c r="AC25" s="742">
        <f t="shared" si="11"/>
        <v>51</v>
      </c>
      <c r="AD25" s="745">
        <v>206396</v>
      </c>
      <c r="AE25" s="179">
        <f t="shared" si="15"/>
        <v>40</v>
      </c>
      <c r="AF25" s="775">
        <f>'Lpg (2)'!B29*2000/85</f>
        <v>1341.1764705882354</v>
      </c>
      <c r="AG25" s="267">
        <f>'Lpg (2)'!C29*1000/85</f>
        <v>1000</v>
      </c>
      <c r="AH25" s="788">
        <f>'Lpg (2)'!D29*1000/85</f>
        <v>1000</v>
      </c>
      <c r="AI25" s="778">
        <f t="shared" si="18"/>
        <v>4682352.9411764704</v>
      </c>
      <c r="AJ25" s="437">
        <f t="shared" si="4"/>
        <v>141176.47058823518</v>
      </c>
      <c r="AK25" s="133"/>
    </row>
    <row r="26" spans="1:37" ht="18.75">
      <c r="A26" s="809">
        <f>Gen!B31</f>
        <v>44125</v>
      </c>
      <c r="B26" s="434">
        <f>'Summery Report'!E25</f>
        <v>10</v>
      </c>
      <c r="C26" s="814">
        <f>Gen!C31</f>
        <v>0.1089</v>
      </c>
      <c r="D26" s="776">
        <f>'Summery Report'!E25</f>
        <v>10</v>
      </c>
      <c r="E26" s="776">
        <f t="shared" si="13"/>
        <v>1.3262195121951219</v>
      </c>
      <c r="F26" s="447">
        <f>SUM(J26*E26)/D26</f>
        <v>134.20147865853659</v>
      </c>
      <c r="G26" s="447">
        <f t="shared" si="0"/>
        <v>180.31413109756096</v>
      </c>
      <c r="H26" s="776">
        <f>Gen!D31</f>
        <v>31860.589999999989</v>
      </c>
      <c r="I26" s="776">
        <f>Gen!F31</f>
        <v>0</v>
      </c>
      <c r="J26" s="815">
        <f>Gen!T31</f>
        <v>1011.91</v>
      </c>
      <c r="K26" s="820">
        <f>Gen!AK31</f>
        <v>347.7</v>
      </c>
      <c r="L26" s="811">
        <f t="shared" si="17"/>
        <v>1359.61</v>
      </c>
      <c r="M26" s="458">
        <f>'Water-Meter'!K66</f>
        <v>429.7848288178314</v>
      </c>
      <c r="N26" s="771">
        <f>'Water-Meter'!E26</f>
        <v>58</v>
      </c>
      <c r="O26" s="759"/>
      <c r="P26" s="769">
        <v>19032</v>
      </c>
      <c r="Q26" s="781">
        <f t="shared" si="2"/>
        <v>0</v>
      </c>
      <c r="R26" s="435">
        <f t="shared" si="5"/>
        <v>0</v>
      </c>
      <c r="S26" s="753">
        <v>6.6</v>
      </c>
      <c r="T26" s="754">
        <v>17121</v>
      </c>
      <c r="U26" s="781">
        <f t="shared" si="6"/>
        <v>0</v>
      </c>
      <c r="V26" s="436">
        <f t="shared" si="19"/>
        <v>0</v>
      </c>
      <c r="W26" s="753">
        <v>2.4</v>
      </c>
      <c r="X26" s="760">
        <v>25312</v>
      </c>
      <c r="Y26" s="781">
        <f t="shared" si="8"/>
        <v>0</v>
      </c>
      <c r="Z26" s="757">
        <f t="shared" si="9"/>
        <v>0</v>
      </c>
      <c r="AA26" s="767">
        <f t="shared" si="10"/>
        <v>0</v>
      </c>
      <c r="AB26" s="764">
        <v>40362</v>
      </c>
      <c r="AC26" s="742">
        <f t="shared" si="11"/>
        <v>41</v>
      </c>
      <c r="AD26" s="745">
        <v>206426</v>
      </c>
      <c r="AE26" s="179">
        <f t="shared" si="15"/>
        <v>30</v>
      </c>
      <c r="AF26" s="775">
        <f>'Lpg (2)'!B30*2000/85</f>
        <v>1270.5882352941176</v>
      </c>
      <c r="AG26" s="267">
        <f>'Lpg (2)'!C30*1000/85</f>
        <v>1000</v>
      </c>
      <c r="AH26" s="788">
        <f>'Lpg (2)'!D30*1000/85</f>
        <v>1000</v>
      </c>
      <c r="AI26" s="778">
        <f t="shared" si="18"/>
        <v>4541176.4705882352</v>
      </c>
      <c r="AJ26" s="437">
        <f t="shared" si="4"/>
        <v>141176.47058823518</v>
      </c>
      <c r="AK26" s="133"/>
    </row>
    <row r="27" spans="1:37" ht="18.75">
      <c r="A27" s="809">
        <f>Gen!B32</f>
        <v>44126</v>
      </c>
      <c r="B27" s="434">
        <f>'Summery Report'!E26</f>
        <v>9</v>
      </c>
      <c r="C27" s="814">
        <f>Gen!C32</f>
        <v>0.10390000000000001</v>
      </c>
      <c r="D27" s="776">
        <f>'Summery Report'!E26</f>
        <v>9</v>
      </c>
      <c r="E27" s="776">
        <f t="shared" si="13"/>
        <v>1.3262195121951219</v>
      </c>
      <c r="F27" s="447">
        <f t="shared" si="14"/>
        <v>153.88272357723577</v>
      </c>
      <c r="G27" s="447">
        <f t="shared" si="0"/>
        <v>153.88272357723577</v>
      </c>
      <c r="H27" s="776">
        <f>Gen!D32</f>
        <v>30500.979999999989</v>
      </c>
      <c r="I27" s="776">
        <f>Gen!F32</f>
        <v>0</v>
      </c>
      <c r="J27" s="815">
        <f>Gen!T32</f>
        <v>1044.28</v>
      </c>
      <c r="K27" s="820">
        <f>Gen!AK32</f>
        <v>0</v>
      </c>
      <c r="L27" s="811">
        <f t="shared" si="17"/>
        <v>1044.28</v>
      </c>
      <c r="M27" s="458">
        <f>'Water-Meter'!K67</f>
        <v>403.22444302262818</v>
      </c>
      <c r="N27" s="771">
        <f>'Water-Meter'!E27</f>
        <v>48</v>
      </c>
      <c r="O27" s="759"/>
      <c r="P27" s="769">
        <v>19032</v>
      </c>
      <c r="Q27" s="781">
        <f t="shared" si="2"/>
        <v>0</v>
      </c>
      <c r="R27" s="435">
        <f t="shared" si="5"/>
        <v>0</v>
      </c>
      <c r="S27" s="753">
        <v>6.6</v>
      </c>
      <c r="T27" s="754">
        <v>17121</v>
      </c>
      <c r="U27" s="781">
        <f t="shared" si="6"/>
        <v>0</v>
      </c>
      <c r="V27" s="436">
        <f t="shared" si="19"/>
        <v>0</v>
      </c>
      <c r="W27" s="753">
        <v>2.4</v>
      </c>
      <c r="X27" s="760">
        <v>25355</v>
      </c>
      <c r="Y27" s="781">
        <f t="shared" si="8"/>
        <v>43</v>
      </c>
      <c r="Z27" s="757">
        <f t="shared" si="9"/>
        <v>103.2</v>
      </c>
      <c r="AA27" s="767">
        <f t="shared" si="10"/>
        <v>2620144.8000000003</v>
      </c>
      <c r="AB27" s="764">
        <v>40413</v>
      </c>
      <c r="AC27" s="742">
        <f t="shared" si="11"/>
        <v>51</v>
      </c>
      <c r="AD27" s="745">
        <v>206457</v>
      </c>
      <c r="AE27" s="179">
        <f t="shared" si="15"/>
        <v>31</v>
      </c>
      <c r="AF27" s="775">
        <f>'Lpg (2)'!B31*2000/85</f>
        <v>1223.5294117647059</v>
      </c>
      <c r="AG27" s="267">
        <f>'Lpg (2)'!C31*1000/85</f>
        <v>1000</v>
      </c>
      <c r="AH27" s="788">
        <f>'Lpg (2)'!D31*1000/85</f>
        <v>1000</v>
      </c>
      <c r="AI27" s="778">
        <f t="shared" si="18"/>
        <v>4447058.8235294111</v>
      </c>
      <c r="AJ27" s="437">
        <f t="shared" si="4"/>
        <v>94117.647058824077</v>
      </c>
      <c r="AK27" s="133"/>
    </row>
    <row r="28" spans="1:37" ht="18.75">
      <c r="A28" s="809">
        <f>Gen!B33</f>
        <v>44127</v>
      </c>
      <c r="B28" s="434">
        <f>'Summery Report'!E27</f>
        <v>8</v>
      </c>
      <c r="C28" s="814">
        <f>Gen!C33</f>
        <v>9.0899999999999995E-2</v>
      </c>
      <c r="D28" s="776">
        <f>'Summery Report'!E27</f>
        <v>8</v>
      </c>
      <c r="E28" s="776">
        <f t="shared" si="13"/>
        <v>1.3262195121951219</v>
      </c>
      <c r="F28" s="447">
        <f t="shared" si="14"/>
        <v>192.82071265243903</v>
      </c>
      <c r="G28" s="447">
        <f t="shared" si="0"/>
        <v>192.82071265243903</v>
      </c>
      <c r="H28" s="776">
        <f>Gen!D33</f>
        <v>29456.69999999999</v>
      </c>
      <c r="I28" s="776">
        <f>Gen!F33</f>
        <v>0</v>
      </c>
      <c r="J28" s="815">
        <f>Gen!T33</f>
        <v>1163.1300000000001</v>
      </c>
      <c r="K28" s="820">
        <f>Gen!AK33</f>
        <v>0</v>
      </c>
      <c r="L28" s="811">
        <f t="shared" si="17"/>
        <v>1163.1300000000001</v>
      </c>
      <c r="M28" s="458">
        <f>'Water-Meter'!K68</f>
        <v>453.24318208222462</v>
      </c>
      <c r="N28" s="771">
        <f>'Water-Meter'!E28</f>
        <v>55</v>
      </c>
      <c r="O28" s="759"/>
      <c r="P28" s="769">
        <v>19032</v>
      </c>
      <c r="Q28" s="781">
        <f t="shared" si="2"/>
        <v>0</v>
      </c>
      <c r="R28" s="435">
        <f t="shared" si="5"/>
        <v>0</v>
      </c>
      <c r="S28" s="753">
        <v>6.6</v>
      </c>
      <c r="T28" s="754">
        <v>17121</v>
      </c>
      <c r="U28" s="781">
        <f t="shared" si="6"/>
        <v>0</v>
      </c>
      <c r="V28" s="436">
        <f t="shared" si="19"/>
        <v>0</v>
      </c>
      <c r="W28" s="753">
        <v>2.4</v>
      </c>
      <c r="X28" s="760">
        <v>25380</v>
      </c>
      <c r="Y28" s="781">
        <f t="shared" si="8"/>
        <v>25</v>
      </c>
      <c r="Z28" s="757">
        <f t="shared" si="9"/>
        <v>60</v>
      </c>
      <c r="AA28" s="767">
        <f t="shared" si="10"/>
        <v>1524600</v>
      </c>
      <c r="AB28" s="764">
        <v>40464</v>
      </c>
      <c r="AC28" s="742">
        <f t="shared" ref="AC28:AC37" si="21">SUM(AB28-AB27)</f>
        <v>51</v>
      </c>
      <c r="AD28" s="745">
        <v>206473</v>
      </c>
      <c r="AE28" s="179">
        <f t="shared" si="15"/>
        <v>16</v>
      </c>
      <c r="AF28" s="775">
        <f>'Lpg (2)'!B32*2000/85</f>
        <v>1176.4705882352941</v>
      </c>
      <c r="AG28" s="267">
        <f>'Lpg (2)'!C32*1000/85</f>
        <v>1000</v>
      </c>
      <c r="AH28" s="788">
        <f>'Lpg (2)'!D32*1000/85</f>
        <v>1000</v>
      </c>
      <c r="AI28" s="778">
        <f t="shared" si="18"/>
        <v>4352941.1764705889</v>
      </c>
      <c r="AJ28" s="437">
        <f t="shared" si="4"/>
        <v>94117.647058822215</v>
      </c>
      <c r="AK28" s="133"/>
    </row>
    <row r="29" spans="1:37" ht="18.75">
      <c r="A29" s="809">
        <f>Gen!B34</f>
        <v>44128</v>
      </c>
      <c r="B29" s="434">
        <f>'Summery Report'!E28</f>
        <v>8</v>
      </c>
      <c r="C29" s="814">
        <f>Gen!C34</f>
        <v>9.0899999999999995E-2</v>
      </c>
      <c r="D29" s="776">
        <f>'Summery Report'!E28</f>
        <v>8</v>
      </c>
      <c r="E29" s="776">
        <f t="shared" si="13"/>
        <v>1.3262195121951219</v>
      </c>
      <c r="F29" s="447">
        <f t="shared" si="14"/>
        <v>170.63637576219512</v>
      </c>
      <c r="G29" s="447">
        <f t="shared" si="0"/>
        <v>201.75943216463412</v>
      </c>
      <c r="H29" s="776">
        <f>Gen!D34</f>
        <v>28293.569999999989</v>
      </c>
      <c r="I29" s="776">
        <f>Gen!F34</f>
        <v>0</v>
      </c>
      <c r="J29" s="815">
        <f>Gen!T34</f>
        <v>1029.31</v>
      </c>
      <c r="K29" s="820">
        <f>Gen!AK34</f>
        <v>187.74</v>
      </c>
      <c r="L29" s="811">
        <f t="shared" si="17"/>
        <v>1217.05</v>
      </c>
      <c r="M29" s="458">
        <f>'Water-Meter'!K69</f>
        <v>531.73818382675972</v>
      </c>
      <c r="N29" s="771">
        <f>'Water-Meter'!E29</f>
        <v>54</v>
      </c>
      <c r="O29" s="759"/>
      <c r="P29" s="769">
        <v>19032</v>
      </c>
      <c r="Q29" s="781">
        <f t="shared" si="2"/>
        <v>0</v>
      </c>
      <c r="R29" s="435">
        <f t="shared" si="5"/>
        <v>0</v>
      </c>
      <c r="S29" s="753">
        <v>6.6</v>
      </c>
      <c r="T29" s="754">
        <v>17126</v>
      </c>
      <c r="U29" s="781">
        <f t="shared" si="6"/>
        <v>5</v>
      </c>
      <c r="V29" s="436">
        <f t="shared" si="19"/>
        <v>33</v>
      </c>
      <c r="W29" s="753">
        <v>2.4</v>
      </c>
      <c r="X29" s="760">
        <v>25389</v>
      </c>
      <c r="Y29" s="781">
        <f t="shared" si="8"/>
        <v>9</v>
      </c>
      <c r="Z29" s="757">
        <f t="shared" si="9"/>
        <v>21.599999999999998</v>
      </c>
      <c r="AA29" s="767">
        <f t="shared" si="10"/>
        <v>0</v>
      </c>
      <c r="AB29" s="764">
        <v>40531</v>
      </c>
      <c r="AC29" s="742">
        <f t="shared" si="21"/>
        <v>67</v>
      </c>
      <c r="AD29" s="745">
        <v>206493</v>
      </c>
      <c r="AE29" s="179">
        <f t="shared" si="15"/>
        <v>20</v>
      </c>
      <c r="AF29" s="775">
        <f>'Lpg (2)'!B33*2000/85</f>
        <v>1200</v>
      </c>
      <c r="AG29" s="267">
        <f>'Lpg (2)'!C33*1000/85</f>
        <v>1000</v>
      </c>
      <c r="AH29" s="788">
        <f>'Lpg (2)'!D33*1000/85</f>
        <v>1000</v>
      </c>
      <c r="AI29" s="778">
        <f t="shared" si="18"/>
        <v>4400000</v>
      </c>
      <c r="AJ29" s="437">
        <f t="shared" si="4"/>
        <v>-47058.823529411107</v>
      </c>
      <c r="AK29" s="133"/>
    </row>
    <row r="30" spans="1:37" ht="18.75">
      <c r="A30" s="809">
        <f>Gen!B35</f>
        <v>44129</v>
      </c>
      <c r="B30" s="434">
        <f>'Summery Report'!E29</f>
        <v>8</v>
      </c>
      <c r="C30" s="814">
        <f>Gen!C35</f>
        <v>9.0899999999999995E-2</v>
      </c>
      <c r="D30" s="776">
        <f>'Summery Report'!E29</f>
        <v>8</v>
      </c>
      <c r="E30" s="776">
        <f t="shared" si="13"/>
        <v>1.3262195121951219</v>
      </c>
      <c r="F30" s="447">
        <f t="shared" si="14"/>
        <v>182.45299161585365</v>
      </c>
      <c r="G30" s="447">
        <f t="shared" si="0"/>
        <v>182.45299161585365</v>
      </c>
      <c r="H30" s="776">
        <f>Gen!D35</f>
        <v>27076.51999999999</v>
      </c>
      <c r="I30" s="776">
        <f>Gen!F35</f>
        <v>12000</v>
      </c>
      <c r="J30" s="815">
        <f>Gen!T35</f>
        <v>1100.5899999999999</v>
      </c>
      <c r="K30" s="820">
        <f>Gen!AK35</f>
        <v>0</v>
      </c>
      <c r="L30" s="811">
        <f t="shared" si="17"/>
        <v>1100.5899999999999</v>
      </c>
      <c r="M30" s="458">
        <f>'Water-Meter'!K70</f>
        <v>572.89151914087711</v>
      </c>
      <c r="N30" s="771">
        <f>'Water-Meter'!E30</f>
        <v>48</v>
      </c>
      <c r="O30" s="759"/>
      <c r="P30" s="769">
        <v>19032</v>
      </c>
      <c r="Q30" s="781">
        <f t="shared" si="2"/>
        <v>0</v>
      </c>
      <c r="R30" s="435">
        <f t="shared" si="5"/>
        <v>0</v>
      </c>
      <c r="S30" s="753">
        <v>6.6</v>
      </c>
      <c r="T30" s="754">
        <v>17126</v>
      </c>
      <c r="U30" s="781">
        <f t="shared" si="6"/>
        <v>0</v>
      </c>
      <c r="V30" s="436">
        <f t="shared" si="19"/>
        <v>0</v>
      </c>
      <c r="W30" s="753">
        <v>2.4</v>
      </c>
      <c r="X30" s="760">
        <v>25410</v>
      </c>
      <c r="Y30" s="781">
        <f t="shared" si="8"/>
        <v>21</v>
      </c>
      <c r="Z30" s="757">
        <f t="shared" si="9"/>
        <v>50.4</v>
      </c>
      <c r="AA30" s="767">
        <f t="shared" si="10"/>
        <v>0</v>
      </c>
      <c r="AB30" s="764">
        <v>40676</v>
      </c>
      <c r="AC30" s="742">
        <f t="shared" si="21"/>
        <v>145</v>
      </c>
      <c r="AD30" s="745">
        <v>206542</v>
      </c>
      <c r="AE30" s="179">
        <f t="shared" si="15"/>
        <v>49</v>
      </c>
      <c r="AF30" s="775">
        <f>'Lpg (2)'!B34*2000/85</f>
        <v>1129.4117647058824</v>
      </c>
      <c r="AG30" s="267">
        <f>'Lpg (2)'!C34*1000/85</f>
        <v>1000</v>
      </c>
      <c r="AH30" s="788">
        <f>'Lpg (2)'!D34*1000/85</f>
        <v>1000</v>
      </c>
      <c r="AI30" s="778">
        <f t="shared" si="18"/>
        <v>4258823.5294117648</v>
      </c>
      <c r="AJ30" s="437">
        <f t="shared" si="4"/>
        <v>141176.47058823518</v>
      </c>
      <c r="AK30" s="133"/>
    </row>
    <row r="31" spans="1:37" ht="18.75">
      <c r="A31" s="809">
        <f>Gen!B36</f>
        <v>44130</v>
      </c>
      <c r="B31" s="434">
        <f>'Summery Report'!E30</f>
        <v>8</v>
      </c>
      <c r="C31" s="814">
        <f>Gen!C36</f>
        <v>2.5999999999999999E-2</v>
      </c>
      <c r="D31" s="776">
        <f>'Summery Report'!E30</f>
        <v>8</v>
      </c>
      <c r="E31" s="776">
        <f t="shared" si="13"/>
        <v>1.3262195121951219</v>
      </c>
      <c r="F31" s="447">
        <f t="shared" si="14"/>
        <v>0</v>
      </c>
      <c r="G31" s="447">
        <f t="shared" si="0"/>
        <v>0</v>
      </c>
      <c r="H31" s="776">
        <f>Gen!D36</f>
        <v>25975.929999999989</v>
      </c>
      <c r="I31" s="776">
        <f>Gen!F36</f>
        <v>0</v>
      </c>
      <c r="J31" s="815">
        <f>Gen!T36</f>
        <v>0</v>
      </c>
      <c r="K31" s="820">
        <f>Gen!AK36</f>
        <v>0</v>
      </c>
      <c r="L31" s="811">
        <f t="shared" si="17"/>
        <v>0</v>
      </c>
      <c r="M31" s="458">
        <f>'Water-Meter'!K71</f>
        <v>537.48797438433098</v>
      </c>
      <c r="N31" s="771" t="str">
        <f>'Water-Meter'!E31</f>
        <v>0</v>
      </c>
      <c r="O31" s="759"/>
      <c r="P31" s="769"/>
      <c r="Q31" s="781">
        <f t="shared" si="2"/>
        <v>-19032</v>
      </c>
      <c r="R31" s="435">
        <f t="shared" si="5"/>
        <v>0</v>
      </c>
      <c r="S31" s="753"/>
      <c r="T31" s="754"/>
      <c r="U31" s="781">
        <f t="shared" si="6"/>
        <v>-17126</v>
      </c>
      <c r="V31" s="436">
        <f t="shared" si="19"/>
        <v>0</v>
      </c>
      <c r="W31" s="753"/>
      <c r="X31" s="761"/>
      <c r="Y31" s="781">
        <f t="shared" si="8"/>
        <v>-25410</v>
      </c>
      <c r="Z31" s="757">
        <f t="shared" si="9"/>
        <v>0</v>
      </c>
      <c r="AA31" s="767">
        <f t="shared" si="10"/>
        <v>0</v>
      </c>
      <c r="AB31" s="764"/>
      <c r="AC31" s="742">
        <f t="shared" si="21"/>
        <v>-40676</v>
      </c>
      <c r="AD31" s="745"/>
      <c r="AE31" s="179">
        <f t="shared" si="15"/>
        <v>-206542</v>
      </c>
      <c r="AF31" s="775">
        <f>'Lpg (2)'!B35*2000/85</f>
        <v>0</v>
      </c>
      <c r="AG31" s="267">
        <f>'Lpg (2)'!C35*1000/85</f>
        <v>0</v>
      </c>
      <c r="AH31" s="788">
        <f>'Lpg (2)'!D35*1000/85</f>
        <v>0</v>
      </c>
      <c r="AI31" s="778">
        <f t="shared" si="18"/>
        <v>0</v>
      </c>
      <c r="AJ31" s="437">
        <f t="shared" si="4"/>
        <v>4258823.5294117648</v>
      </c>
      <c r="AK31" s="133"/>
    </row>
    <row r="32" spans="1:37" ht="18.75">
      <c r="A32" s="809">
        <f>Gen!B37</f>
        <v>44131</v>
      </c>
      <c r="B32" s="434">
        <f>'Summery Report'!E31</f>
        <v>0</v>
      </c>
      <c r="C32" s="814">
        <f>Gen!C37</f>
        <v>0</v>
      </c>
      <c r="D32" s="776">
        <f>'Summery Report'!E31</f>
        <v>0</v>
      </c>
      <c r="E32" s="776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6">
        <f>Gen!D37</f>
        <v>25975.929999999989</v>
      </c>
      <c r="I32" s="776">
        <f>Gen!F37</f>
        <v>0</v>
      </c>
      <c r="J32" s="815">
        <f>Gen!T37</f>
        <v>0</v>
      </c>
      <c r="K32" s="820">
        <f>Gen!AK37</f>
        <v>0</v>
      </c>
      <c r="L32" s="811">
        <f t="shared" si="17"/>
        <v>0</v>
      </c>
      <c r="M32" s="458">
        <f>'Water-Meter'!K72</f>
        <v>0</v>
      </c>
      <c r="N32" s="771">
        <f>'Water-Meter'!E32</f>
        <v>0</v>
      </c>
      <c r="O32" s="759"/>
      <c r="P32" s="769"/>
      <c r="Q32" s="781">
        <f t="shared" si="2"/>
        <v>0</v>
      </c>
      <c r="R32" s="435">
        <f t="shared" si="5"/>
        <v>0</v>
      </c>
      <c r="S32" s="753"/>
      <c r="T32" s="754"/>
      <c r="U32" s="781">
        <f t="shared" si="6"/>
        <v>0</v>
      </c>
      <c r="V32" s="436">
        <f t="shared" si="19"/>
        <v>0</v>
      </c>
      <c r="W32" s="753"/>
      <c r="X32" s="760"/>
      <c r="Y32" s="781">
        <f t="shared" si="8"/>
        <v>0</v>
      </c>
      <c r="Z32" s="757">
        <f t="shared" si="9"/>
        <v>0</v>
      </c>
      <c r="AA32" s="767">
        <f t="shared" si="10"/>
        <v>0</v>
      </c>
      <c r="AB32" s="764"/>
      <c r="AC32" s="742">
        <f t="shared" si="21"/>
        <v>0</v>
      </c>
      <c r="AD32" s="745"/>
      <c r="AE32" s="179">
        <f t="shared" si="15"/>
        <v>0</v>
      </c>
      <c r="AF32" s="775">
        <f>'Lpg (2)'!B36*2000/85</f>
        <v>0</v>
      </c>
      <c r="AG32" s="267">
        <f>'Lpg (2)'!C36*1000/85</f>
        <v>0</v>
      </c>
      <c r="AH32" s="788">
        <f>'Lpg (2)'!D36*1000/85</f>
        <v>0</v>
      </c>
      <c r="AI32" s="778">
        <f t="shared" si="18"/>
        <v>0</v>
      </c>
      <c r="AJ32" s="437">
        <f t="shared" si="4"/>
        <v>0</v>
      </c>
      <c r="AK32" s="133"/>
    </row>
    <row r="33" spans="1:37" ht="18.75">
      <c r="A33" s="809">
        <f>Gen!B38</f>
        <v>44132</v>
      </c>
      <c r="B33" s="434">
        <f>'Summery Report'!E32</f>
        <v>0</v>
      </c>
      <c r="C33" s="814">
        <f>Gen!C38</f>
        <v>0</v>
      </c>
      <c r="D33" s="776">
        <f>'Summery Report'!E32</f>
        <v>0</v>
      </c>
      <c r="E33" s="776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6">
        <f>Gen!D38</f>
        <v>25975.929999999989</v>
      </c>
      <c r="I33" s="776">
        <f>Gen!F38</f>
        <v>0</v>
      </c>
      <c r="J33" s="815">
        <f>Gen!T38</f>
        <v>0</v>
      </c>
      <c r="K33" s="820">
        <f>Gen!AK38</f>
        <v>0</v>
      </c>
      <c r="L33" s="811">
        <f t="shared" si="17"/>
        <v>0</v>
      </c>
      <c r="M33" s="458">
        <f>'Water-Meter'!K73</f>
        <v>0</v>
      </c>
      <c r="N33" s="771">
        <f>'Water-Meter'!E33</f>
        <v>0</v>
      </c>
      <c r="O33" s="759"/>
      <c r="P33" s="769"/>
      <c r="Q33" s="781">
        <f t="shared" si="2"/>
        <v>0</v>
      </c>
      <c r="R33" s="435">
        <f t="shared" si="5"/>
        <v>0</v>
      </c>
      <c r="S33" s="753"/>
      <c r="T33" s="754"/>
      <c r="U33" s="781">
        <f t="shared" si="6"/>
        <v>0</v>
      </c>
      <c r="V33" s="436">
        <f t="shared" si="19"/>
        <v>0</v>
      </c>
      <c r="W33" s="753"/>
      <c r="X33" s="760"/>
      <c r="Y33" s="781">
        <f t="shared" si="8"/>
        <v>0</v>
      </c>
      <c r="Z33" s="757">
        <f t="shared" si="9"/>
        <v>0</v>
      </c>
      <c r="AA33" s="767">
        <f t="shared" si="10"/>
        <v>0</v>
      </c>
      <c r="AB33" s="764"/>
      <c r="AC33" s="742">
        <f t="shared" si="21"/>
        <v>0</v>
      </c>
      <c r="AD33" s="745"/>
      <c r="AE33" s="179">
        <f t="shared" si="15"/>
        <v>0</v>
      </c>
      <c r="AF33" s="775">
        <f>'Lpg (2)'!B37*2000/85</f>
        <v>0</v>
      </c>
      <c r="AG33" s="267">
        <f>'Lpg (2)'!C37*1000/85</f>
        <v>0</v>
      </c>
      <c r="AH33" s="788">
        <f>'Lpg (2)'!D37*1000/85</f>
        <v>0</v>
      </c>
      <c r="AI33" s="778">
        <f t="shared" si="18"/>
        <v>0</v>
      </c>
      <c r="AJ33" s="437">
        <f t="shared" si="4"/>
        <v>0</v>
      </c>
      <c r="AK33" s="133"/>
    </row>
    <row r="34" spans="1:37" ht="18.75">
      <c r="A34" s="809">
        <f>Gen!B39</f>
        <v>44133</v>
      </c>
      <c r="B34" s="434">
        <f>'Summery Report'!E33</f>
        <v>0</v>
      </c>
      <c r="C34" s="814">
        <f>Gen!C39</f>
        <v>0</v>
      </c>
      <c r="D34" s="776">
        <f>'Summery Report'!E33</f>
        <v>0</v>
      </c>
      <c r="E34" s="776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6">
        <f>Gen!D39</f>
        <v>25975.929999999989</v>
      </c>
      <c r="I34" s="776">
        <f>Gen!F39</f>
        <v>0</v>
      </c>
      <c r="J34" s="815">
        <f>Gen!T39</f>
        <v>0</v>
      </c>
      <c r="K34" s="820">
        <f>Gen!AK39</f>
        <v>0</v>
      </c>
      <c r="L34" s="811">
        <f t="shared" si="17"/>
        <v>0</v>
      </c>
      <c r="M34" s="458">
        <f>'Water-Meter'!K74</f>
        <v>0</v>
      </c>
      <c r="N34" s="771">
        <f>'Water-Meter'!E34</f>
        <v>0</v>
      </c>
      <c r="O34" s="759"/>
      <c r="P34" s="769"/>
      <c r="Q34" s="781">
        <f t="shared" si="2"/>
        <v>0</v>
      </c>
      <c r="R34" s="435">
        <f t="shared" si="5"/>
        <v>0</v>
      </c>
      <c r="S34" s="753"/>
      <c r="T34" s="754"/>
      <c r="U34" s="781">
        <f t="shared" si="6"/>
        <v>0</v>
      </c>
      <c r="V34" s="436">
        <f t="shared" si="19"/>
        <v>0</v>
      </c>
      <c r="W34" s="753"/>
      <c r="X34" s="760"/>
      <c r="Y34" s="781">
        <f t="shared" si="8"/>
        <v>0</v>
      </c>
      <c r="Z34" s="757">
        <f t="shared" si="9"/>
        <v>0</v>
      </c>
      <c r="AA34" s="767">
        <f t="shared" si="10"/>
        <v>0</v>
      </c>
      <c r="AB34" s="764"/>
      <c r="AC34" s="742">
        <f t="shared" si="21"/>
        <v>0</v>
      </c>
      <c r="AD34" s="745"/>
      <c r="AE34" s="179">
        <f t="shared" si="15"/>
        <v>0</v>
      </c>
      <c r="AF34" s="775">
        <f>'Lpg (2)'!B38*2000/85</f>
        <v>0</v>
      </c>
      <c r="AG34" s="267">
        <f>'Lpg (2)'!C38*1000/85</f>
        <v>0</v>
      </c>
      <c r="AH34" s="788">
        <f>'Lpg (2)'!D38*1000/85</f>
        <v>0</v>
      </c>
      <c r="AI34" s="778">
        <f t="shared" si="18"/>
        <v>0</v>
      </c>
      <c r="AJ34" s="437">
        <f t="shared" si="4"/>
        <v>0</v>
      </c>
      <c r="AK34" s="133"/>
    </row>
    <row r="35" spans="1:37" ht="18.75">
      <c r="A35" s="809">
        <f>Gen!B40</f>
        <v>44134</v>
      </c>
      <c r="B35" s="434">
        <f>'Summery Report'!E34</f>
        <v>0</v>
      </c>
      <c r="C35" s="814">
        <f>Gen!C40</f>
        <v>0</v>
      </c>
      <c r="D35" s="776">
        <f>'Summery Report'!E34</f>
        <v>0</v>
      </c>
      <c r="E35" s="776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6">
        <f>Gen!D40</f>
        <v>25975.929999999989</v>
      </c>
      <c r="I35" s="776">
        <f>Gen!F40</f>
        <v>0</v>
      </c>
      <c r="J35" s="815">
        <f>Gen!T40</f>
        <v>0</v>
      </c>
      <c r="K35" s="820">
        <f>Gen!AK40</f>
        <v>0</v>
      </c>
      <c r="L35" s="811">
        <f t="shared" si="17"/>
        <v>0</v>
      </c>
      <c r="M35" s="458">
        <f>'Water-Meter'!K75</f>
        <v>0</v>
      </c>
      <c r="N35" s="771">
        <f>'Water-Meter'!E35</f>
        <v>0</v>
      </c>
      <c r="O35" s="759"/>
      <c r="P35" s="769"/>
      <c r="Q35" s="781">
        <f t="shared" si="2"/>
        <v>0</v>
      </c>
      <c r="R35" s="435">
        <f t="shared" si="5"/>
        <v>0</v>
      </c>
      <c r="S35" s="753"/>
      <c r="T35" s="754"/>
      <c r="U35" s="781">
        <f t="shared" si="6"/>
        <v>0</v>
      </c>
      <c r="V35" s="436">
        <f t="shared" si="19"/>
        <v>0</v>
      </c>
      <c r="W35" s="753"/>
      <c r="X35" s="760"/>
      <c r="Y35" s="781">
        <f t="shared" si="8"/>
        <v>0</v>
      </c>
      <c r="Z35" s="757">
        <f t="shared" si="9"/>
        <v>0</v>
      </c>
      <c r="AA35" s="767">
        <f t="shared" si="10"/>
        <v>0</v>
      </c>
      <c r="AB35" s="764"/>
      <c r="AC35" s="742">
        <f t="shared" si="21"/>
        <v>0</v>
      </c>
      <c r="AD35" s="745"/>
      <c r="AE35" s="179">
        <f t="shared" si="15"/>
        <v>0</v>
      </c>
      <c r="AF35" s="775">
        <f>'Lpg (2)'!B39*2000/85</f>
        <v>0</v>
      </c>
      <c r="AG35" s="267">
        <f>'Lpg (2)'!C39*1000/85</f>
        <v>0</v>
      </c>
      <c r="AH35" s="788">
        <f>'Lpg (2)'!D39*1000/85</f>
        <v>0</v>
      </c>
      <c r="AI35" s="778">
        <f t="shared" si="18"/>
        <v>0</v>
      </c>
      <c r="AJ35" s="437">
        <f t="shared" si="4"/>
        <v>0</v>
      </c>
      <c r="AK35" s="133"/>
    </row>
    <row r="36" spans="1:37" ht="18.75">
      <c r="A36" s="809">
        <f>Gen!B41</f>
        <v>44135</v>
      </c>
      <c r="B36" s="434">
        <f>'Summery Report'!E35</f>
        <v>0</v>
      </c>
      <c r="C36" s="814">
        <f>Gen!C41</f>
        <v>0</v>
      </c>
      <c r="D36" s="776">
        <f>'Summery Report'!E35</f>
        <v>0</v>
      </c>
      <c r="E36" s="776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6">
        <f>Gen!D41</f>
        <v>25975.929999999989</v>
      </c>
      <c r="I36" s="776">
        <f>Gen!F41</f>
        <v>0</v>
      </c>
      <c r="J36" s="815">
        <f>Gen!T41</f>
        <v>0</v>
      </c>
      <c r="K36" s="820">
        <f>Gen!AK41</f>
        <v>0</v>
      </c>
      <c r="L36" s="811">
        <f t="shared" si="17"/>
        <v>0</v>
      </c>
      <c r="M36" s="458">
        <f>'Water-Meter'!K76</f>
        <v>0</v>
      </c>
      <c r="N36" s="771">
        <f>'Water-Meter'!E36</f>
        <v>0</v>
      </c>
      <c r="O36" s="759"/>
      <c r="P36" s="769"/>
      <c r="Q36" s="781">
        <f t="shared" si="2"/>
        <v>0</v>
      </c>
      <c r="R36" s="435">
        <f t="shared" si="5"/>
        <v>0</v>
      </c>
      <c r="S36" s="753"/>
      <c r="T36" s="754"/>
      <c r="U36" s="781">
        <f t="shared" si="6"/>
        <v>0</v>
      </c>
      <c r="V36" s="436">
        <f t="shared" si="19"/>
        <v>0</v>
      </c>
      <c r="W36" s="753"/>
      <c r="X36" s="760"/>
      <c r="Y36" s="781">
        <f t="shared" si="8"/>
        <v>0</v>
      </c>
      <c r="Z36" s="757">
        <f t="shared" si="9"/>
        <v>0</v>
      </c>
      <c r="AA36" s="767">
        <f t="shared" si="10"/>
        <v>0</v>
      </c>
      <c r="AB36" s="764"/>
      <c r="AC36" s="742">
        <f t="shared" si="21"/>
        <v>0</v>
      </c>
      <c r="AD36" s="745"/>
      <c r="AE36" s="179">
        <f t="shared" si="15"/>
        <v>0</v>
      </c>
      <c r="AF36" s="775">
        <f>'Lpg (2)'!B40*2000/85</f>
        <v>0</v>
      </c>
      <c r="AG36" s="267">
        <f>'Lpg (2)'!C40*1000/85</f>
        <v>0</v>
      </c>
      <c r="AH36" s="788">
        <f>'Lpg (2)'!D40*1000/85</f>
        <v>0</v>
      </c>
      <c r="AI36" s="778">
        <f>SUM(AF36*1000)+(AG36*1000)+(AH36*2000)</f>
        <v>0</v>
      </c>
      <c r="AJ36" s="437">
        <f t="shared" si="4"/>
        <v>0</v>
      </c>
      <c r="AK36" s="133"/>
    </row>
    <row r="37" spans="1:37" s="9" customFormat="1" ht="19.5" thickBot="1">
      <c r="A37" s="810">
        <f>Gen!B42</f>
        <v>44136</v>
      </c>
      <c r="B37" s="821">
        <v>0</v>
      </c>
      <c r="C37" s="822"/>
      <c r="D37" s="822"/>
      <c r="E37" s="822"/>
      <c r="F37" s="822"/>
      <c r="G37" s="822"/>
      <c r="H37" s="823"/>
      <c r="I37" s="824"/>
      <c r="J37" s="825">
        <f>SUM(J6:J36)</f>
        <v>25456.26</v>
      </c>
      <c r="K37" s="826"/>
      <c r="L37" s="812">
        <f t="shared" si="17"/>
        <v>25456.26</v>
      </c>
      <c r="M37" s="458">
        <f>'Water-Meter'!K77</f>
        <v>0</v>
      </c>
      <c r="N37" s="772">
        <f>'Water-Meter'!E37</f>
        <v>0</v>
      </c>
      <c r="O37" s="755"/>
      <c r="P37" s="756"/>
      <c r="Q37" s="782">
        <f t="shared" ref="Q37" si="22">SUM(P37-P36)</f>
        <v>0</v>
      </c>
      <c r="R37" s="783">
        <f t="shared" ref="R37" si="23">SUM(Q37*O37)</f>
        <v>0</v>
      </c>
      <c r="S37" s="755"/>
      <c r="T37" s="756"/>
      <c r="U37" s="782">
        <f t="shared" ref="U37" si="24">T37-T36</f>
        <v>0</v>
      </c>
      <c r="V37" s="784">
        <f t="shared" ref="V37" si="25">SUM(U37*S37)</f>
        <v>0</v>
      </c>
      <c r="W37" s="755"/>
      <c r="X37" s="756"/>
      <c r="Y37" s="782">
        <f t="shared" ref="Y37" si="26">X37-X36</f>
        <v>0</v>
      </c>
      <c r="Z37" s="785">
        <f t="shared" ref="Z37" si="27">SUM(Y37*W37)</f>
        <v>0</v>
      </c>
      <c r="AA37" s="786">
        <f t="shared" ref="AA37" si="28">SUM(Z37*X39)</f>
        <v>0</v>
      </c>
      <c r="AB37" s="749"/>
      <c r="AC37" s="743">
        <f t="shared" si="21"/>
        <v>0</v>
      </c>
      <c r="AD37" s="745"/>
      <c r="AE37" s="750">
        <f t="shared" si="15"/>
        <v>0</v>
      </c>
      <c r="AF37" s="789">
        <f>'Lpg (2)'!B41*2000/85</f>
        <v>0</v>
      </c>
      <c r="AG37" s="790">
        <f>'Lpg (2)'!C41*1000/85</f>
        <v>0</v>
      </c>
      <c r="AH37" s="791">
        <f>'Lpg (2)'!D41*1000/85</f>
        <v>0</v>
      </c>
      <c r="AI37" s="779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31" sqref="E3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7" t="s">
        <v>150</v>
      </c>
      <c r="C1" s="868"/>
      <c r="D1" s="868"/>
      <c r="E1" s="868"/>
      <c r="F1" s="869"/>
      <c r="G1" s="158"/>
      <c r="H1" s="867" t="s">
        <v>151</v>
      </c>
      <c r="I1" s="868"/>
      <c r="J1" s="868"/>
      <c r="K1" s="868"/>
      <c r="L1" s="869"/>
      <c r="M1" s="867" t="s">
        <v>170</v>
      </c>
      <c r="N1" s="868"/>
      <c r="O1" s="868"/>
      <c r="P1" s="868"/>
      <c r="Q1" s="869"/>
      <c r="R1" s="158"/>
      <c r="T1" s="867" t="s">
        <v>166</v>
      </c>
      <c r="U1" s="868"/>
      <c r="V1" s="868"/>
      <c r="W1" s="868"/>
      <c r="X1" s="869"/>
      <c r="Y1" s="867" t="s">
        <v>169</v>
      </c>
      <c r="Z1" s="868"/>
      <c r="AA1" s="868"/>
      <c r="AB1" s="868"/>
      <c r="AC1" s="869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0" t="s">
        <v>156</v>
      </c>
      <c r="C3" s="871"/>
      <c r="D3" s="167"/>
      <c r="E3" s="669">
        <v>8844.6</v>
      </c>
      <c r="F3" s="607" t="s">
        <v>157</v>
      </c>
      <c r="G3" s="608"/>
      <c r="H3" s="870" t="s">
        <v>156</v>
      </c>
      <c r="I3" s="871"/>
      <c r="J3" s="635">
        <f>'Water-Meter'!G5</f>
        <v>38000</v>
      </c>
      <c r="K3" s="609">
        <f>'Water-Meter'!G5</f>
        <v>38000</v>
      </c>
      <c r="L3" s="242"/>
      <c r="M3" s="870" t="s">
        <v>156</v>
      </c>
      <c r="N3" s="871"/>
      <c r="O3" s="167">
        <f>'Water-Meter'!J5</f>
        <v>8050</v>
      </c>
      <c r="P3" s="610">
        <f>'Water-Meter'!J5</f>
        <v>8050</v>
      </c>
      <c r="Q3" s="166"/>
      <c r="R3" s="242"/>
      <c r="S3" s="670"/>
      <c r="T3" s="870" t="s">
        <v>156</v>
      </c>
      <c r="U3" s="871"/>
      <c r="V3" s="167"/>
      <c r="W3" s="671">
        <v>7829.2</v>
      </c>
      <c r="X3" s="611">
        <f t="shared" ref="X3:X35" si="0">(W3-V3)*200</f>
        <v>1565840</v>
      </c>
      <c r="Y3" s="870" t="s">
        <v>156</v>
      </c>
      <c r="Z3" s="871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50">
        <f t="shared" si="6"/>
        <v>44119</v>
      </c>
      <c r="I18" s="599"/>
      <c r="J18" s="651">
        <f>'Water-Meter'!G20</f>
        <v>38000</v>
      </c>
      <c r="K18" s="652">
        <f>'Water-Meter'!G20</f>
        <v>38000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3">
        <f t="shared" si="4"/>
        <v>-4.9944272445820435</v>
      </c>
      <c r="S18" s="654">
        <f>Gen!T25</f>
        <v>1042.8800000000001</v>
      </c>
      <c r="T18" s="650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50">
        <f t="shared" si="10"/>
        <v>44119</v>
      </c>
      <c r="Z18" s="599"/>
      <c r="AA18" s="599"/>
      <c r="AB18" s="603">
        <f>'Water-Meter'!P20</f>
        <v>20350</v>
      </c>
      <c r="AC18" s="662">
        <f t="shared" si="11"/>
        <v>-20348</v>
      </c>
    </row>
    <row r="19" spans="1:29" ht="18.75">
      <c r="A19" s="673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50">
        <f t="shared" si="6"/>
        <v>44120</v>
      </c>
      <c r="I19" s="602"/>
      <c r="J19" s="651">
        <f>'Water-Meter'!G21</f>
        <v>38000</v>
      </c>
      <c r="K19" s="652">
        <f>'Water-Meter'!G21</f>
        <v>38000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3">
        <f t="shared" si="4"/>
        <v>-4.9950464396284833</v>
      </c>
      <c r="S19" s="654">
        <f>Gen!T26</f>
        <v>1176.97</v>
      </c>
      <c r="T19" s="650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50">
        <f t="shared" si="10"/>
        <v>44120</v>
      </c>
      <c r="Z19" s="602"/>
      <c r="AA19" s="599"/>
      <c r="AB19" s="603">
        <f>'Water-Meter'!P21</f>
        <v>20353</v>
      </c>
      <c r="AC19" s="662">
        <f t="shared" si="11"/>
        <v>-20350</v>
      </c>
    </row>
    <row r="20" spans="1:29" ht="18.75">
      <c r="A20" s="673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50">
        <f t="shared" si="6"/>
        <v>44121</v>
      </c>
      <c r="I20" s="602"/>
      <c r="J20" s="651">
        <f>'Water-Meter'!G22</f>
        <v>38000</v>
      </c>
      <c r="K20" s="652">
        <f>'Water-Meter'!G22</f>
        <v>38000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3">
        <f t="shared" si="4"/>
        <v>-4.9956656346749222</v>
      </c>
      <c r="S20" s="654">
        <f>Gen!T27</f>
        <v>997.16000000000008</v>
      </c>
      <c r="T20" s="650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50">
        <f t="shared" si="10"/>
        <v>44121</v>
      </c>
      <c r="Z20" s="602"/>
      <c r="AA20" s="599"/>
      <c r="AB20" s="603">
        <f>'Water-Meter'!P22</f>
        <v>20357</v>
      </c>
      <c r="AC20" s="662">
        <f t="shared" si="11"/>
        <v>-20353</v>
      </c>
    </row>
    <row r="21" spans="1:29" ht="18.75">
      <c r="A21" s="673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50">
        <f t="shared" si="6"/>
        <v>44122</v>
      </c>
      <c r="I21" s="602"/>
      <c r="J21" s="651">
        <f>'Water-Meter'!G23</f>
        <v>38000</v>
      </c>
      <c r="K21" s="652">
        <f>'Water-Meter'!G23</f>
        <v>38000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3">
        <f t="shared" ref="R21:R35" si="14">SUM(Q21/1615)</f>
        <v>-4.9956656346749222</v>
      </c>
      <c r="S21" s="654">
        <f>Gen!T28</f>
        <v>1208.03</v>
      </c>
      <c r="T21" s="650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50">
        <f t="shared" si="10"/>
        <v>44122</v>
      </c>
      <c r="Z21" s="602"/>
      <c r="AA21" s="599"/>
      <c r="AB21" s="603">
        <f>'Water-Meter'!P23</f>
        <v>20360</v>
      </c>
      <c r="AC21" s="662">
        <f t="shared" si="11"/>
        <v>-20357</v>
      </c>
    </row>
    <row r="22" spans="1:29" ht="18.75">
      <c r="A22" s="673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>
        <v>8879.6</v>
      </c>
      <c r="F22" s="604">
        <f t="shared" si="12"/>
        <v>252.00000000004366</v>
      </c>
      <c r="G22" s="599"/>
      <c r="H22" s="650">
        <f t="shared" si="6"/>
        <v>44123</v>
      </c>
      <c r="I22" s="599"/>
      <c r="J22" s="651">
        <f>'Water-Meter'!G24</f>
        <v>38000</v>
      </c>
      <c r="K22" s="652">
        <f>'Water-Meter'!G24</f>
        <v>38000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8071</v>
      </c>
      <c r="P22" s="603">
        <f>'Water-Meter'!J24</f>
        <v>8071</v>
      </c>
      <c r="Q22" s="599">
        <f t="shared" si="13"/>
        <v>-8070</v>
      </c>
      <c r="R22" s="653">
        <f t="shared" si="14"/>
        <v>-4.9969040247678018</v>
      </c>
      <c r="S22" s="654">
        <f>Gen!T29</f>
        <v>1119.3499999999999</v>
      </c>
      <c r="T22" s="650">
        <f t="shared" si="9"/>
        <v>44123</v>
      </c>
      <c r="U22" s="599"/>
      <c r="V22" s="604">
        <f t="shared" si="5"/>
        <v>7836.1</v>
      </c>
      <c r="W22" s="601">
        <v>7836.6</v>
      </c>
      <c r="X22" s="604">
        <f t="shared" si="0"/>
        <v>100</v>
      </c>
      <c r="Y22" s="650">
        <f t="shared" si="10"/>
        <v>44123</v>
      </c>
      <c r="Z22" s="599"/>
      <c r="AA22" s="599"/>
      <c r="AB22" s="603">
        <f>'Water-Meter'!P24</f>
        <v>20362</v>
      </c>
      <c r="AC22" s="662">
        <f t="shared" si="11"/>
        <v>-20360</v>
      </c>
    </row>
    <row r="23" spans="1:29" ht="18.75">
      <c r="A23" s="673">
        <f>Gen!C30</f>
        <v>0.1169</v>
      </c>
      <c r="B23" s="615">
        <f>Gen!B30</f>
        <v>44124</v>
      </c>
      <c r="C23" s="602"/>
      <c r="D23" s="604">
        <f t="shared" si="1"/>
        <v>8879.6</v>
      </c>
      <c r="E23" s="600">
        <v>8881.5</v>
      </c>
      <c r="F23" s="604">
        <f t="shared" ref="F23:F34" si="15">SUM(E23-D23)*120</f>
        <v>227.99999999995634</v>
      </c>
      <c r="G23" s="599"/>
      <c r="H23" s="650">
        <f t="shared" si="6"/>
        <v>44124</v>
      </c>
      <c r="I23" s="602"/>
      <c r="J23" s="651">
        <f>'Water-Meter'!G25</f>
        <v>38000</v>
      </c>
      <c r="K23" s="652">
        <f>'Water-Meter'!G26</f>
        <v>38000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8072</v>
      </c>
      <c r="P23" s="603">
        <f>'Water-Meter'!J25</f>
        <v>8072</v>
      </c>
      <c r="Q23" s="599">
        <f t="shared" si="13"/>
        <v>-8071</v>
      </c>
      <c r="R23" s="653">
        <f t="shared" si="14"/>
        <v>-4.9975232198142416</v>
      </c>
      <c r="S23" s="654">
        <f>Gen!T30</f>
        <v>1055.8400000000001</v>
      </c>
      <c r="T23" s="650">
        <f t="shared" si="9"/>
        <v>44124</v>
      </c>
      <c r="U23" s="602"/>
      <c r="V23" s="604">
        <f t="shared" si="5"/>
        <v>7836.6</v>
      </c>
      <c r="W23" s="601">
        <v>7837.2</v>
      </c>
      <c r="X23" s="604">
        <f t="shared" si="0"/>
        <v>119.99999999989086</v>
      </c>
      <c r="Y23" s="650">
        <f t="shared" si="10"/>
        <v>44124</v>
      </c>
      <c r="Z23" s="602"/>
      <c r="AA23" s="599"/>
      <c r="AB23" s="603">
        <f>'Water-Meter'!P25</f>
        <v>20366</v>
      </c>
      <c r="AC23" s="662">
        <f t="shared" si="11"/>
        <v>-20362</v>
      </c>
    </row>
    <row r="24" spans="1:29" ht="18.75">
      <c r="A24" s="673">
        <f>Gen!C31</f>
        <v>0.1089</v>
      </c>
      <c r="B24" s="615">
        <f>Gen!B31</f>
        <v>44125</v>
      </c>
      <c r="C24" s="602"/>
      <c r="D24" s="604">
        <f t="shared" ref="D24:D35" si="16">SUM(E23)</f>
        <v>8881.5</v>
      </c>
      <c r="E24" s="600">
        <v>8883.4</v>
      </c>
      <c r="F24" s="604">
        <f t="shared" si="15"/>
        <v>227.99999999995634</v>
      </c>
      <c r="G24" s="599"/>
      <c r="H24" s="650">
        <f t="shared" si="6"/>
        <v>44125</v>
      </c>
      <c r="I24" s="602"/>
      <c r="J24" s="651">
        <f>'Water-Meter'!G26</f>
        <v>38000</v>
      </c>
      <c r="K24" s="652">
        <f>'Water-Meter'!G27</f>
        <v>38000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8073</v>
      </c>
      <c r="P24" s="603">
        <f>'Water-Meter'!J26</f>
        <v>8073</v>
      </c>
      <c r="Q24" s="599">
        <f t="shared" si="13"/>
        <v>-8072</v>
      </c>
      <c r="R24" s="653">
        <f t="shared" si="14"/>
        <v>-4.9981424148606814</v>
      </c>
      <c r="S24" s="654">
        <f>Gen!T31</f>
        <v>1011.91</v>
      </c>
      <c r="T24" s="650">
        <v>5835.7</v>
      </c>
      <c r="U24" s="602"/>
      <c r="V24" s="604">
        <f t="shared" si="5"/>
        <v>7837.2</v>
      </c>
      <c r="W24" s="601">
        <v>7837.2</v>
      </c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20368</v>
      </c>
      <c r="AC24" s="662">
        <f t="shared" si="11"/>
        <v>-20366</v>
      </c>
    </row>
    <row r="25" spans="1:29" ht="18.75">
      <c r="A25" s="673">
        <f>Gen!C32</f>
        <v>0.10390000000000001</v>
      </c>
      <c r="B25" s="615">
        <f>Gen!B32</f>
        <v>44126</v>
      </c>
      <c r="C25" s="602"/>
      <c r="D25" s="604">
        <f t="shared" si="16"/>
        <v>8883.4</v>
      </c>
      <c r="E25" s="600">
        <v>8885.4</v>
      </c>
      <c r="F25" s="604">
        <f t="shared" si="15"/>
        <v>240</v>
      </c>
      <c r="G25" s="599"/>
      <c r="H25" s="650">
        <f t="shared" si="6"/>
        <v>44126</v>
      </c>
      <c r="I25" s="602"/>
      <c r="J25" s="651">
        <f>'Water-Meter'!G27</f>
        <v>38000</v>
      </c>
      <c r="K25" s="652">
        <f>'Water-Meter'!G28</f>
        <v>38000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8074</v>
      </c>
      <c r="P25" s="603">
        <f>'Water-Meter'!J27</f>
        <v>8074</v>
      </c>
      <c r="Q25" s="599">
        <f t="shared" si="13"/>
        <v>-8073</v>
      </c>
      <c r="R25" s="653">
        <f t="shared" si="14"/>
        <v>-4.9987616099071204</v>
      </c>
      <c r="S25" s="654">
        <f>Gen!T32</f>
        <v>1044.28</v>
      </c>
      <c r="T25" s="650">
        <f t="shared" si="9"/>
        <v>44126</v>
      </c>
      <c r="U25" s="602"/>
      <c r="V25" s="604">
        <f t="shared" si="5"/>
        <v>7837.2</v>
      </c>
      <c r="W25" s="601">
        <v>7837.7</v>
      </c>
      <c r="X25" s="604">
        <f t="shared" si="0"/>
        <v>100</v>
      </c>
      <c r="Y25" s="650">
        <f t="shared" si="10"/>
        <v>44126</v>
      </c>
      <c r="Z25" s="602"/>
      <c r="AA25" s="599"/>
      <c r="AB25" s="603">
        <f>'Water-Meter'!P27</f>
        <v>20372</v>
      </c>
      <c r="AC25" s="662">
        <f t="shared" si="11"/>
        <v>-20368</v>
      </c>
    </row>
    <row r="26" spans="1:29" ht="18.75">
      <c r="A26" s="673">
        <f>Gen!C33</f>
        <v>9.0899999999999995E-2</v>
      </c>
      <c r="B26" s="615">
        <f>Gen!B33</f>
        <v>44127</v>
      </c>
      <c r="C26" s="602"/>
      <c r="D26" s="604">
        <f t="shared" si="16"/>
        <v>8885.4</v>
      </c>
      <c r="E26" s="600">
        <v>8887.5</v>
      </c>
      <c r="F26" s="604">
        <f t="shared" si="15"/>
        <v>252.00000000004366</v>
      </c>
      <c r="G26" s="599"/>
      <c r="H26" s="650">
        <f t="shared" si="6"/>
        <v>44127</v>
      </c>
      <c r="I26" s="602"/>
      <c r="J26" s="651">
        <f>'Water-Meter'!G28</f>
        <v>38000</v>
      </c>
      <c r="K26" s="652">
        <f>'Water-Meter'!G29</f>
        <v>38000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8074</v>
      </c>
      <c r="P26" s="603">
        <f>'Water-Meter'!J28</f>
        <v>8074</v>
      </c>
      <c r="Q26" s="599">
        <f t="shared" si="13"/>
        <v>-8074</v>
      </c>
      <c r="R26" s="653">
        <f t="shared" si="14"/>
        <v>-4.9993808049535602</v>
      </c>
      <c r="S26" s="654">
        <f>Gen!T33</f>
        <v>1163.1300000000001</v>
      </c>
      <c r="T26" s="650">
        <f t="shared" si="9"/>
        <v>44127</v>
      </c>
      <c r="U26" s="602"/>
      <c r="V26" s="604">
        <f t="shared" si="5"/>
        <v>7837.7</v>
      </c>
      <c r="W26" s="601">
        <v>7839.4</v>
      </c>
      <c r="X26" s="604">
        <f t="shared" si="0"/>
        <v>339.99999999996362</v>
      </c>
      <c r="Y26" s="650">
        <f t="shared" si="10"/>
        <v>44127</v>
      </c>
      <c r="Z26" s="602"/>
      <c r="AA26" s="599"/>
      <c r="AB26" s="603">
        <f>'Water-Meter'!P28</f>
        <v>20375</v>
      </c>
      <c r="AC26" s="662">
        <f t="shared" si="11"/>
        <v>-20372</v>
      </c>
    </row>
    <row r="27" spans="1:29" ht="18.75">
      <c r="A27" s="673">
        <f>Gen!C34</f>
        <v>9.0899999999999995E-2</v>
      </c>
      <c r="B27" s="615">
        <f>Gen!B34</f>
        <v>44128</v>
      </c>
      <c r="C27" s="602"/>
      <c r="D27" s="604">
        <f t="shared" si="16"/>
        <v>8887.5</v>
      </c>
      <c r="E27" s="600">
        <v>8889.2999999999993</v>
      </c>
      <c r="F27" s="604">
        <f t="shared" si="15"/>
        <v>215.99999999991269</v>
      </c>
      <c r="G27" s="599"/>
      <c r="H27" s="650">
        <f t="shared" si="6"/>
        <v>44128</v>
      </c>
      <c r="I27" s="602"/>
      <c r="J27" s="651">
        <f>'Water-Meter'!G29</f>
        <v>38000</v>
      </c>
      <c r="K27" s="652">
        <f>'Water-Meter'!G30</f>
        <v>38000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8074</v>
      </c>
      <c r="P27" s="603">
        <f>'Water-Meter'!J29</f>
        <v>8074</v>
      </c>
      <c r="Q27" s="599">
        <f t="shared" si="13"/>
        <v>-8074</v>
      </c>
      <c r="R27" s="653">
        <f t="shared" si="14"/>
        <v>-4.9993808049535602</v>
      </c>
      <c r="S27" s="654">
        <f>Gen!T34</f>
        <v>1029.31</v>
      </c>
      <c r="T27" s="650">
        <f t="shared" si="9"/>
        <v>44128</v>
      </c>
      <c r="U27" s="602"/>
      <c r="V27" s="604">
        <f t="shared" si="5"/>
        <v>7839.4</v>
      </c>
      <c r="W27" s="601">
        <v>7840.5</v>
      </c>
      <c r="X27" s="604">
        <f t="shared" si="0"/>
        <v>220.00000000007276</v>
      </c>
      <c r="Y27" s="650">
        <f t="shared" si="10"/>
        <v>44128</v>
      </c>
      <c r="Z27" s="602"/>
      <c r="AA27" s="599"/>
      <c r="AB27" s="603">
        <f>'Water-Meter'!P29</f>
        <v>20379</v>
      </c>
      <c r="AC27" s="662">
        <f t="shared" si="11"/>
        <v>-20375</v>
      </c>
    </row>
    <row r="28" spans="1:29" ht="18.75">
      <c r="A28" s="673">
        <f>Gen!C35</f>
        <v>9.0899999999999995E-2</v>
      </c>
      <c r="B28" s="615">
        <f>Gen!B35</f>
        <v>44129</v>
      </c>
      <c r="C28" s="602"/>
      <c r="D28" s="604">
        <f t="shared" si="16"/>
        <v>8889.2999999999993</v>
      </c>
      <c r="E28" s="600">
        <v>8890.9</v>
      </c>
      <c r="F28" s="604">
        <f t="shared" si="15"/>
        <v>192.00000000004366</v>
      </c>
      <c r="G28" s="599"/>
      <c r="H28" s="650">
        <f t="shared" si="6"/>
        <v>44129</v>
      </c>
      <c r="I28" s="602"/>
      <c r="J28" s="651">
        <f>'Water-Meter'!G30</f>
        <v>38000</v>
      </c>
      <c r="K28" s="652">
        <f>'Water-Meter'!G31</f>
        <v>0</v>
      </c>
      <c r="L28" s="599">
        <f t="shared" si="3"/>
        <v>-38000</v>
      </c>
      <c r="M28" s="650">
        <f t="shared" si="7"/>
        <v>44129</v>
      </c>
      <c r="N28" s="602"/>
      <c r="O28" s="6">
        <f>'Water-Meter'!J30</f>
        <v>8075</v>
      </c>
      <c r="P28" s="603">
        <f>'Water-Meter'!J30</f>
        <v>8075</v>
      </c>
      <c r="Q28" s="599">
        <f t="shared" si="13"/>
        <v>-8074</v>
      </c>
      <c r="R28" s="653">
        <f t="shared" si="14"/>
        <v>-4.9993808049535602</v>
      </c>
      <c r="S28" s="654">
        <f>Gen!T35</f>
        <v>1100.5899999999999</v>
      </c>
      <c r="T28" s="650">
        <f t="shared" si="9"/>
        <v>44129</v>
      </c>
      <c r="U28" s="602"/>
      <c r="V28" s="604">
        <f t="shared" si="5"/>
        <v>7840.5</v>
      </c>
      <c r="W28" s="601">
        <v>7841.4</v>
      </c>
      <c r="X28" s="604">
        <f t="shared" si="0"/>
        <v>179.99999999992724</v>
      </c>
      <c r="Y28" s="650">
        <f t="shared" si="10"/>
        <v>44129</v>
      </c>
      <c r="Z28" s="602"/>
      <c r="AA28" s="599"/>
      <c r="AB28" s="603">
        <f>'Water-Meter'!P30</f>
        <v>20383</v>
      </c>
      <c r="AC28" s="662">
        <f t="shared" si="11"/>
        <v>-20379</v>
      </c>
    </row>
    <row r="29" spans="1:29" ht="18.75">
      <c r="A29" s="673">
        <f>Gen!C36</f>
        <v>2.5999999999999999E-2</v>
      </c>
      <c r="B29" s="615">
        <f>Gen!B36</f>
        <v>44130</v>
      </c>
      <c r="C29" s="602"/>
      <c r="D29" s="604">
        <f t="shared" si="16"/>
        <v>8890.9</v>
      </c>
      <c r="E29" s="600"/>
      <c r="F29" s="604">
        <f t="shared" si="15"/>
        <v>-1066908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-8075</v>
      </c>
      <c r="R29" s="653">
        <f t="shared" si="14"/>
        <v>-5</v>
      </c>
      <c r="S29" s="654">
        <f>Gen!T36</f>
        <v>0</v>
      </c>
      <c r="T29" s="650">
        <f t="shared" si="9"/>
        <v>44130</v>
      </c>
      <c r="U29" s="602"/>
      <c r="V29" s="604">
        <f t="shared" si="5"/>
        <v>7841.4</v>
      </c>
      <c r="W29" s="601"/>
      <c r="X29" s="604">
        <f t="shared" si="0"/>
        <v>-1568280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-20383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-38000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abSelected="1" workbookViewId="0">
      <selection activeCell="E32" sqref="E32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2" t="s">
        <v>319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41113.81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40046.759999999995</v>
      </c>
      <c r="K18" s="296">
        <f>'Water-Meter'!E19</f>
        <v>43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39013.719999999994</v>
      </c>
      <c r="K19" s="296">
        <f>'Water-Meter'!E20</f>
        <v>48</v>
      </c>
      <c r="L19" s="685">
        <f>'Lpg (2)'!G24</f>
        <v>73.127999999979522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37970.839999999997</v>
      </c>
      <c r="K20" s="296">
        <f>'Water-Meter'!E21</f>
        <v>56</v>
      </c>
      <c r="L20" s="685">
        <f>'Lpg (2)'!G25</f>
        <v>79.288000000017931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2360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36691.03</v>
      </c>
      <c r="K21" s="296">
        <f>'Water-Meter'!E22</f>
        <v>71</v>
      </c>
      <c r="L21" s="685">
        <f>'Lpg (2)'!G26</f>
        <v>94.468000000005134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35530.869999999995</v>
      </c>
      <c r="K22" s="296">
        <f>'Water-Meter'!E23</f>
        <v>57</v>
      </c>
      <c r="L22" s="685">
        <f>'Lpg (2)'!G27</f>
        <v>92.707999999966717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28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2624</v>
      </c>
      <c r="G23" s="86">
        <f>Gen!T27</f>
        <v>997.16000000000008</v>
      </c>
      <c r="H23" s="86">
        <f>Gen!AK29</f>
        <v>66.3</v>
      </c>
      <c r="I23" s="86">
        <f t="shared" si="1"/>
        <v>1063.46</v>
      </c>
      <c r="J23" s="456">
        <f>Gen!D29</f>
        <v>34112.569999999992</v>
      </c>
      <c r="K23" s="296">
        <f>'Water-Meter'!E24</f>
        <v>58</v>
      </c>
      <c r="L23" s="685">
        <f>'Lpg (2)'!G28</f>
        <v>93.015999999997447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25</v>
      </c>
      <c r="C24" s="88">
        <f>Gen!C30</f>
        <v>0.1169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10.49</v>
      </c>
      <c r="I24" s="86">
        <f t="shared" si="1"/>
        <v>1218.52</v>
      </c>
      <c r="J24" s="456">
        <f>Gen!D30</f>
        <v>32926.919999999991</v>
      </c>
      <c r="K24" s="296">
        <f>'Water-Meter'!E25</f>
        <v>77</v>
      </c>
      <c r="L24" s="685">
        <f>'Lpg (2)'!G29</f>
        <v>100.14399999997696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24</v>
      </c>
      <c r="C25" s="88">
        <f>Gen!C31</f>
        <v>0.1089</v>
      </c>
      <c r="D25" s="443">
        <f t="shared" si="0"/>
        <v>10</v>
      </c>
      <c r="E25" s="75">
        <v>10</v>
      </c>
      <c r="F25" s="71">
        <f>Gen!U29</f>
        <v>2673</v>
      </c>
      <c r="G25" s="86">
        <f>Gen!T29</f>
        <v>1119.3499999999999</v>
      </c>
      <c r="H25" s="86">
        <f>Gen!AK31</f>
        <v>347.7</v>
      </c>
      <c r="I25" s="86">
        <f t="shared" si="1"/>
        <v>1467.05</v>
      </c>
      <c r="J25" s="456">
        <f>Gen!D31</f>
        <v>31860.589999999989</v>
      </c>
      <c r="K25" s="296">
        <f>'Water-Meter'!E26</f>
        <v>58</v>
      </c>
      <c r="L25" s="685">
        <f>'Lpg (2)'!G30</f>
        <v>79.2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24</v>
      </c>
      <c r="C26" s="88">
        <f>Gen!C32</f>
        <v>0.10390000000000001</v>
      </c>
      <c r="D26" s="443">
        <f t="shared" si="0"/>
        <v>9</v>
      </c>
      <c r="E26" s="75">
        <v>9</v>
      </c>
      <c r="F26" s="71">
        <f>Gen!U30</f>
        <v>2496</v>
      </c>
      <c r="G26" s="86">
        <f>Gen!T30</f>
        <v>1055.8400000000001</v>
      </c>
      <c r="H26" s="86">
        <f>Gen!AK32</f>
        <v>0</v>
      </c>
      <c r="I26" s="86">
        <f t="shared" si="1"/>
        <v>1055.8400000000001</v>
      </c>
      <c r="J26" s="456">
        <f>Gen!D32</f>
        <v>30500.979999999989</v>
      </c>
      <c r="K26" s="296">
        <f>'Water-Meter'!E27</f>
        <v>48</v>
      </c>
      <c r="L26" s="685">
        <f>'Lpg (2)'!G31</f>
        <v>84.436000000010253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25</v>
      </c>
      <c r="C27" s="88">
        <f>Gen!C33</f>
        <v>9.0899999999999995E-2</v>
      </c>
      <c r="D27" s="443">
        <f t="shared" si="0"/>
        <v>8</v>
      </c>
      <c r="E27" s="75">
        <v>8</v>
      </c>
      <c r="F27" s="71">
        <f>Gen!U31</f>
        <v>2329</v>
      </c>
      <c r="G27" s="86">
        <f>Gen!T31</f>
        <v>1011.91</v>
      </c>
      <c r="H27" s="86">
        <f>Gen!AK33</f>
        <v>0</v>
      </c>
      <c r="I27" s="86">
        <f t="shared" si="1"/>
        <v>1011.91</v>
      </c>
      <c r="J27" s="456">
        <f>Gen!D33</f>
        <v>29456.69999999999</v>
      </c>
      <c r="K27" s="296">
        <f>'Water-Meter'!E28</f>
        <v>55</v>
      </c>
      <c r="L27" s="685">
        <f>'Lpg (2)'!G32</f>
        <v>30.888000000017932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24</v>
      </c>
      <c r="C28" s="88">
        <f>Gen!C34</f>
        <v>9.0899999999999995E-2</v>
      </c>
      <c r="D28" s="443">
        <f t="shared" si="0"/>
        <v>8</v>
      </c>
      <c r="E28" s="75">
        <v>8</v>
      </c>
      <c r="F28" s="71">
        <f>Gen!U32</f>
        <v>2677</v>
      </c>
      <c r="G28" s="86">
        <f>Gen!T32</f>
        <v>1044.28</v>
      </c>
      <c r="H28" s="86">
        <f>Gen!AK34</f>
        <v>187.74</v>
      </c>
      <c r="I28" s="86">
        <f t="shared" si="1"/>
        <v>1232.02</v>
      </c>
      <c r="J28" s="456">
        <f>Gen!D34</f>
        <v>28293.569999999989</v>
      </c>
      <c r="K28" s="296">
        <f>'Water-Meter'!E29</f>
        <v>54</v>
      </c>
      <c r="L28" s="685">
        <f>'Lpg (2)'!G33</f>
        <v>44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25</v>
      </c>
      <c r="C29" s="88">
        <f>Gen!C35</f>
        <v>9.0899999999999995E-2</v>
      </c>
      <c r="D29" s="443">
        <f t="shared" si="0"/>
        <v>8</v>
      </c>
      <c r="E29" s="75">
        <v>8</v>
      </c>
      <c r="F29" s="71">
        <f>Gen!U33</f>
        <v>2763</v>
      </c>
      <c r="G29" s="86">
        <f>Gen!T33</f>
        <v>1163.1300000000001</v>
      </c>
      <c r="H29" s="86">
        <f>Gen!AK35</f>
        <v>0</v>
      </c>
      <c r="I29" s="86">
        <f t="shared" si="1"/>
        <v>1163.1300000000001</v>
      </c>
      <c r="J29" s="456">
        <f>Gen!D35</f>
        <v>27076.51999999999</v>
      </c>
      <c r="K29" s="296">
        <f>'Water-Meter'!E30</f>
        <v>48</v>
      </c>
      <c r="L29" s="685">
        <f>'Lpg (2)'!G34</f>
        <v>86.020000000012814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-155011</v>
      </c>
      <c r="C30" s="88">
        <f>Gen!C36</f>
        <v>2.5999999999999999E-2</v>
      </c>
      <c r="D30" s="443">
        <f t="shared" si="0"/>
        <v>8</v>
      </c>
      <c r="E30" s="75">
        <v>8</v>
      </c>
      <c r="F30" s="71">
        <f>Gen!U34</f>
        <v>2761</v>
      </c>
      <c r="G30" s="86">
        <f>Gen!T34</f>
        <v>1029.31</v>
      </c>
      <c r="H30" s="86">
        <f>Gen!AK36</f>
        <v>0</v>
      </c>
      <c r="I30" s="86">
        <f t="shared" si="1"/>
        <v>1029.31</v>
      </c>
      <c r="J30" s="456">
        <f>Gen!D36</f>
        <v>25975.929999999989</v>
      </c>
      <c r="K30" s="296" t="str">
        <f>'Water-Meter'!E31</f>
        <v>0</v>
      </c>
      <c r="L30" s="685">
        <f>'Lpg (2)'!G35</f>
        <v>-320696.42000000004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2695</v>
      </c>
      <c r="G31" s="86">
        <f>Gen!T35</f>
        <v>1100.5899999999999</v>
      </c>
      <c r="H31" s="86">
        <f>Gen!AK37</f>
        <v>0</v>
      </c>
      <c r="I31" s="86">
        <f t="shared" si="1"/>
        <v>1100.5899999999999</v>
      </c>
      <c r="J31" s="456">
        <f>Gen!D37</f>
        <v>25975.929999999989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25975.929999999989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25975.929999999989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25975.929999999989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25975.929999999989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25975.929999999989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AA36" sqref="AA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5">
        <f>A6</f>
        <v>44105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20"/>
    </row>
    <row r="2" spans="1:29" ht="12" customHeight="1" thickBot="1">
      <c r="A2" s="876"/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6"/>
      <c r="AB2" s="87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7" t="s">
        <v>298</v>
      </c>
      <c r="L3" s="878"/>
      <c r="M3" s="879"/>
      <c r="N3" s="877" t="s">
        <v>299</v>
      </c>
      <c r="O3" s="878"/>
      <c r="P3" s="879"/>
      <c r="Q3" s="877" t="s">
        <v>300</v>
      </c>
      <c r="R3" s="878"/>
      <c r="S3" s="879"/>
      <c r="T3" s="877" t="s">
        <v>301</v>
      </c>
      <c r="U3" s="878"/>
      <c r="V3" s="879"/>
      <c r="W3" s="877" t="s">
        <v>302</v>
      </c>
      <c r="X3" s="878"/>
      <c r="Y3" s="879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3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4">
        <f>Gen!T23</f>
        <v>995.96</v>
      </c>
    </row>
    <row r="19" spans="1:29" ht="20.100000000000001" customHeight="1">
      <c r="A19" s="717">
        <f>Gen!B24</f>
        <v>44118</v>
      </c>
      <c r="B19" s="711"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3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4">
        <f>Gen!T24</f>
        <v>974.17000000000007</v>
      </c>
    </row>
    <row r="20" spans="1:29" ht="20.100000000000001" customHeight="1">
      <c r="A20" s="717">
        <f>Gen!B25</f>
        <v>44119</v>
      </c>
      <c r="B20" s="711">
        <v>1.2999999999999999E-2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2">
        <v>20645.599999999999</v>
      </c>
      <c r="K20" s="723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4">
        <f>Gen!T25</f>
        <v>1042.8800000000001</v>
      </c>
    </row>
    <row r="21" spans="1:29" ht="20.100000000000001" customHeight="1">
      <c r="A21" s="717">
        <f>Gen!B26</f>
        <v>44120</v>
      </c>
      <c r="B21" s="711"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2">
        <v>20648.8</v>
      </c>
      <c r="K21" s="723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4">
        <f>Gen!T26</f>
        <v>1176.97</v>
      </c>
    </row>
    <row r="22" spans="1:29" ht="18.75" customHeight="1">
      <c r="A22" s="717">
        <f>Gen!B27</f>
        <v>44121</v>
      </c>
      <c r="B22" s="711">
        <v>0.1578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2">
        <v>20652.400000000001</v>
      </c>
      <c r="K22" s="723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4">
        <f>Gen!T27</f>
        <v>997.16000000000008</v>
      </c>
    </row>
    <row r="23" spans="1:29" ht="20.100000000000001" customHeight="1">
      <c r="A23" s="717">
        <f>Gen!B28</f>
        <v>44122</v>
      </c>
      <c r="B23" s="711">
        <v>0.1578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2">
        <v>20655.900000000001</v>
      </c>
      <c r="K23" s="723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4">
        <f>Gen!T28</f>
        <v>1208.03</v>
      </c>
    </row>
    <row r="24" spans="1:29" ht="20.100000000000001" customHeight="1">
      <c r="A24" s="717">
        <f>Gen!B29</f>
        <v>44123</v>
      </c>
      <c r="B24" s="711">
        <v>0.12989999999999999</v>
      </c>
      <c r="C24" s="307">
        <v>12272.37</v>
      </c>
      <c r="D24" s="307">
        <v>21840.2</v>
      </c>
      <c r="E24" s="307"/>
      <c r="F24" s="307"/>
      <c r="G24" s="307">
        <v>66.3</v>
      </c>
      <c r="H24" s="307"/>
      <c r="I24" s="307">
        <v>31098.1</v>
      </c>
      <c r="J24" s="712">
        <v>20659.099999999999</v>
      </c>
      <c r="K24" s="723">
        <f t="shared" si="0"/>
        <v>35278</v>
      </c>
      <c r="L24" s="307">
        <v>35293</v>
      </c>
      <c r="M24" s="306">
        <f t="shared" si="1"/>
        <v>15</v>
      </c>
      <c r="N24" s="308">
        <f t="shared" si="2"/>
        <v>30202</v>
      </c>
      <c r="O24" s="307">
        <v>30202</v>
      </c>
      <c r="P24" s="306">
        <f t="shared" si="3"/>
        <v>0</v>
      </c>
      <c r="Q24" s="306">
        <f t="shared" si="4"/>
        <v>35756</v>
      </c>
      <c r="R24" s="307">
        <v>35756</v>
      </c>
      <c r="S24" s="306">
        <f t="shared" si="5"/>
        <v>0</v>
      </c>
      <c r="T24" s="306">
        <f t="shared" si="6"/>
        <v>32478</v>
      </c>
      <c r="U24" s="307">
        <v>32491</v>
      </c>
      <c r="V24" s="306">
        <f t="shared" si="7"/>
        <v>13</v>
      </c>
      <c r="W24" s="308">
        <f t="shared" si="8"/>
        <v>21122</v>
      </c>
      <c r="X24" s="307">
        <v>21122</v>
      </c>
      <c r="Y24" s="306">
        <f t="shared" si="9"/>
        <v>0</v>
      </c>
      <c r="Z24" s="309">
        <f t="shared" si="10"/>
        <v>28</v>
      </c>
      <c r="AA24" s="126">
        <v>220</v>
      </c>
      <c r="AB24" s="126">
        <v>120</v>
      </c>
      <c r="AC24" s="724">
        <f>Gen!T29</f>
        <v>1119.3499999999999</v>
      </c>
    </row>
    <row r="25" spans="1:29" ht="18.75" customHeight="1">
      <c r="A25" s="717">
        <f>Gen!B30</f>
        <v>44124</v>
      </c>
      <c r="B25" s="711"/>
      <c r="C25" s="307">
        <v>11086.72</v>
      </c>
      <c r="D25" s="307">
        <v>21840.2</v>
      </c>
      <c r="E25" s="307"/>
      <c r="F25" s="307"/>
      <c r="G25" s="307">
        <v>10.49</v>
      </c>
      <c r="H25" s="307"/>
      <c r="I25" s="307">
        <v>31102.1</v>
      </c>
      <c r="J25" s="712">
        <v>20662.099999999999</v>
      </c>
      <c r="K25" s="723">
        <f t="shared" si="0"/>
        <v>35293</v>
      </c>
      <c r="L25" s="307">
        <v>35293</v>
      </c>
      <c r="M25" s="306">
        <f t="shared" si="1"/>
        <v>0</v>
      </c>
      <c r="N25" s="308">
        <f t="shared" si="2"/>
        <v>30202</v>
      </c>
      <c r="O25" s="307">
        <v>30215</v>
      </c>
      <c r="P25" s="306">
        <f t="shared" si="3"/>
        <v>13</v>
      </c>
      <c r="Q25" s="306">
        <f t="shared" si="4"/>
        <v>35756</v>
      </c>
      <c r="R25" s="307">
        <v>35756</v>
      </c>
      <c r="S25" s="306">
        <f t="shared" si="5"/>
        <v>0</v>
      </c>
      <c r="T25" s="306">
        <f t="shared" si="6"/>
        <v>32491</v>
      </c>
      <c r="U25" s="307">
        <v>32491</v>
      </c>
      <c r="V25" s="306">
        <f t="shared" si="7"/>
        <v>0</v>
      </c>
      <c r="W25" s="308">
        <f t="shared" si="8"/>
        <v>21122</v>
      </c>
      <c r="X25" s="307">
        <v>21134</v>
      </c>
      <c r="Y25" s="306">
        <f t="shared" si="9"/>
        <v>12</v>
      </c>
      <c r="Z25" s="309">
        <f t="shared" si="10"/>
        <v>25</v>
      </c>
      <c r="AA25" s="126">
        <v>200</v>
      </c>
      <c r="AB25" s="126">
        <v>120</v>
      </c>
      <c r="AC25" s="724">
        <f>Gen!T30</f>
        <v>1055.8400000000001</v>
      </c>
    </row>
    <row r="26" spans="1:29" ht="20.100000000000001" customHeight="1">
      <c r="A26" s="717">
        <f>Gen!B31</f>
        <v>44125</v>
      </c>
      <c r="B26" s="711"/>
      <c r="C26" s="307">
        <v>10020.39</v>
      </c>
      <c r="D26" s="307">
        <v>21840.2</v>
      </c>
      <c r="E26" s="307"/>
      <c r="F26" s="307"/>
      <c r="G26" s="307"/>
      <c r="H26" s="307"/>
      <c r="I26" s="307">
        <v>31105.9</v>
      </c>
      <c r="J26" s="712">
        <v>20664.900000000001</v>
      </c>
      <c r="K26" s="723">
        <f t="shared" si="0"/>
        <v>35293</v>
      </c>
      <c r="L26" s="307">
        <v>35306</v>
      </c>
      <c r="M26" s="306">
        <f t="shared" si="1"/>
        <v>13</v>
      </c>
      <c r="N26" s="308">
        <f t="shared" si="2"/>
        <v>30215</v>
      </c>
      <c r="O26" s="307">
        <v>30215</v>
      </c>
      <c r="P26" s="306">
        <f t="shared" si="3"/>
        <v>0</v>
      </c>
      <c r="Q26" s="306">
        <f t="shared" si="4"/>
        <v>35756</v>
      </c>
      <c r="R26" s="307">
        <v>35756</v>
      </c>
      <c r="S26" s="306">
        <f t="shared" si="5"/>
        <v>0</v>
      </c>
      <c r="T26" s="306">
        <f t="shared" si="6"/>
        <v>32491</v>
      </c>
      <c r="U26" s="307">
        <v>32502</v>
      </c>
      <c r="V26" s="306">
        <f t="shared" si="7"/>
        <v>11</v>
      </c>
      <c r="W26" s="308">
        <f t="shared" si="8"/>
        <v>21134</v>
      </c>
      <c r="X26" s="307">
        <v>21134</v>
      </c>
      <c r="Y26" s="306">
        <f t="shared" si="9"/>
        <v>0</v>
      </c>
      <c r="Z26" s="309">
        <f t="shared" ref="Z26:Z37" si="11">Y26+V26+S26+P26+M26</f>
        <v>24</v>
      </c>
      <c r="AA26" s="126">
        <v>220</v>
      </c>
      <c r="AB26" s="126">
        <v>113</v>
      </c>
      <c r="AC26" s="724">
        <f>Gen!T31</f>
        <v>1011.91</v>
      </c>
    </row>
    <row r="27" spans="1:29" ht="20.100000000000001" customHeight="1">
      <c r="A27" s="717">
        <f>Gen!B32</f>
        <v>44126</v>
      </c>
      <c r="B27" s="711"/>
      <c r="C27" s="307">
        <v>9008.48</v>
      </c>
      <c r="D27" s="307">
        <v>21840.2</v>
      </c>
      <c r="E27" s="307"/>
      <c r="F27" s="307"/>
      <c r="G27" s="307"/>
      <c r="H27" s="307"/>
      <c r="I27" s="307">
        <v>31110.3</v>
      </c>
      <c r="J27" s="712">
        <v>20668.2</v>
      </c>
      <c r="K27" s="723">
        <f t="shared" si="0"/>
        <v>35306</v>
      </c>
      <c r="L27" s="307">
        <v>35306</v>
      </c>
      <c r="M27" s="306">
        <f t="shared" si="1"/>
        <v>0</v>
      </c>
      <c r="N27" s="308">
        <f t="shared" si="2"/>
        <v>30215</v>
      </c>
      <c r="O27" s="307">
        <v>30227</v>
      </c>
      <c r="P27" s="306">
        <f t="shared" si="3"/>
        <v>12</v>
      </c>
      <c r="Q27" s="306">
        <f t="shared" si="4"/>
        <v>35756</v>
      </c>
      <c r="R27" s="307">
        <v>35756</v>
      </c>
      <c r="S27" s="306">
        <f t="shared" si="5"/>
        <v>0</v>
      </c>
      <c r="T27" s="306">
        <f t="shared" si="6"/>
        <v>32502</v>
      </c>
      <c r="U27" s="307">
        <v>32502</v>
      </c>
      <c r="V27" s="306">
        <f t="shared" si="7"/>
        <v>0</v>
      </c>
      <c r="W27" s="308">
        <f t="shared" si="8"/>
        <v>21134</v>
      </c>
      <c r="X27" s="307">
        <v>21146</v>
      </c>
      <c r="Y27" s="306">
        <f t="shared" si="9"/>
        <v>12</v>
      </c>
      <c r="Z27" s="309">
        <f t="shared" si="11"/>
        <v>24</v>
      </c>
      <c r="AA27" s="126">
        <v>213</v>
      </c>
      <c r="AB27" s="126">
        <v>119</v>
      </c>
      <c r="AC27" s="724">
        <f>Gen!T32</f>
        <v>1044.28</v>
      </c>
    </row>
    <row r="28" spans="1:29" ht="20.100000000000001" customHeight="1">
      <c r="A28" s="717">
        <f>Gen!B33</f>
        <v>44127</v>
      </c>
      <c r="B28" s="711"/>
      <c r="C28" s="307">
        <v>7616.5</v>
      </c>
      <c r="D28" s="307">
        <v>21840.2</v>
      </c>
      <c r="E28" s="307"/>
      <c r="F28" s="307"/>
      <c r="G28" s="307"/>
      <c r="H28" s="307"/>
      <c r="I28" s="307">
        <v>31114.6</v>
      </c>
      <c r="J28" s="712">
        <v>20671.599999999999</v>
      </c>
      <c r="K28" s="723">
        <f t="shared" si="0"/>
        <v>35306</v>
      </c>
      <c r="L28" s="307">
        <v>35319</v>
      </c>
      <c r="M28" s="306">
        <f t="shared" si="1"/>
        <v>13</v>
      </c>
      <c r="N28" s="308">
        <f t="shared" si="2"/>
        <v>30227</v>
      </c>
      <c r="O28" s="307">
        <v>30227</v>
      </c>
      <c r="P28" s="306">
        <f t="shared" si="3"/>
        <v>0</v>
      </c>
      <c r="Q28" s="306">
        <f t="shared" si="4"/>
        <v>35756</v>
      </c>
      <c r="R28" s="307">
        <v>35756</v>
      </c>
      <c r="S28" s="306">
        <f t="shared" si="5"/>
        <v>0</v>
      </c>
      <c r="T28" s="306">
        <f t="shared" si="6"/>
        <v>32502</v>
      </c>
      <c r="U28" s="307">
        <v>32514</v>
      </c>
      <c r="V28" s="306">
        <f t="shared" si="7"/>
        <v>12</v>
      </c>
      <c r="W28" s="308">
        <f t="shared" si="8"/>
        <v>21146</v>
      </c>
      <c r="X28" s="307">
        <v>21146</v>
      </c>
      <c r="Y28" s="306">
        <f t="shared" si="9"/>
        <v>0</v>
      </c>
      <c r="Z28" s="309">
        <f t="shared" si="11"/>
        <v>25</v>
      </c>
      <c r="AA28" s="126">
        <v>215</v>
      </c>
      <c r="AB28" s="126">
        <v>120</v>
      </c>
      <c r="AC28" s="724">
        <f>Gen!T33</f>
        <v>1163.1300000000001</v>
      </c>
    </row>
    <row r="29" spans="1:29" ht="20.100000000000001" customHeight="1">
      <c r="A29" s="717">
        <f>Gen!B34</f>
        <v>44128</v>
      </c>
      <c r="B29" s="711"/>
      <c r="C29" s="307">
        <v>6453.37</v>
      </c>
      <c r="D29" s="307">
        <v>21840.2</v>
      </c>
      <c r="E29" s="307"/>
      <c r="F29" s="307"/>
      <c r="G29" s="307">
        <v>187.74</v>
      </c>
      <c r="H29" s="307"/>
      <c r="I29" s="307">
        <v>31118.799999999999</v>
      </c>
      <c r="J29" s="712">
        <v>20675.2</v>
      </c>
      <c r="K29" s="723">
        <f t="shared" si="0"/>
        <v>35319</v>
      </c>
      <c r="L29" s="307">
        <v>35319</v>
      </c>
      <c r="M29" s="306">
        <f t="shared" si="1"/>
        <v>0</v>
      </c>
      <c r="N29" s="308">
        <f t="shared" si="2"/>
        <v>30227</v>
      </c>
      <c r="O29" s="307">
        <v>30240</v>
      </c>
      <c r="P29" s="306">
        <f t="shared" si="3"/>
        <v>13</v>
      </c>
      <c r="Q29" s="306">
        <f t="shared" si="4"/>
        <v>35756</v>
      </c>
      <c r="R29" s="307">
        <v>35756</v>
      </c>
      <c r="S29" s="306">
        <f t="shared" si="5"/>
        <v>0</v>
      </c>
      <c r="T29" s="306">
        <f t="shared" si="6"/>
        <v>32514</v>
      </c>
      <c r="U29" s="307">
        <v>32514</v>
      </c>
      <c r="V29" s="306">
        <f t="shared" si="7"/>
        <v>0</v>
      </c>
      <c r="W29" s="308">
        <f t="shared" si="8"/>
        <v>21146</v>
      </c>
      <c r="X29" s="307">
        <v>21157</v>
      </c>
      <c r="Y29" s="306">
        <f t="shared" si="9"/>
        <v>11</v>
      </c>
      <c r="Z29" s="309">
        <f t="shared" si="11"/>
        <v>24</v>
      </c>
      <c r="AA29" s="126">
        <v>200</v>
      </c>
      <c r="AB29" s="126">
        <v>100</v>
      </c>
      <c r="AC29" s="724">
        <f>Gen!T34</f>
        <v>1029.31</v>
      </c>
    </row>
    <row r="30" spans="1:29" ht="20.100000000000001" customHeight="1">
      <c r="A30" s="717">
        <f>Gen!B35</f>
        <v>44129</v>
      </c>
      <c r="B30" s="711"/>
      <c r="C30" s="307">
        <v>5236.32</v>
      </c>
      <c r="D30" s="307">
        <v>21840.2</v>
      </c>
      <c r="E30" s="307"/>
      <c r="F30" s="307"/>
      <c r="G30" s="307"/>
      <c r="H30" s="307"/>
      <c r="I30" s="307">
        <v>31122.9</v>
      </c>
      <c r="J30" s="712">
        <v>20678.599999999999</v>
      </c>
      <c r="K30" s="723">
        <f t="shared" si="0"/>
        <v>35319</v>
      </c>
      <c r="L30" s="307">
        <v>35332</v>
      </c>
      <c r="M30" s="306">
        <f t="shared" si="1"/>
        <v>13</v>
      </c>
      <c r="N30" s="308">
        <f t="shared" si="2"/>
        <v>30240</v>
      </c>
      <c r="O30" s="307">
        <v>30240</v>
      </c>
      <c r="P30" s="306">
        <f t="shared" si="3"/>
        <v>0</v>
      </c>
      <c r="Q30" s="306">
        <f t="shared" si="4"/>
        <v>35756</v>
      </c>
      <c r="R30" s="307">
        <v>35756</v>
      </c>
      <c r="S30" s="306">
        <f t="shared" si="5"/>
        <v>0</v>
      </c>
      <c r="T30" s="306">
        <f t="shared" si="6"/>
        <v>32514</v>
      </c>
      <c r="U30" s="307">
        <v>32526</v>
      </c>
      <c r="V30" s="306">
        <f t="shared" si="7"/>
        <v>12</v>
      </c>
      <c r="W30" s="308">
        <f t="shared" si="8"/>
        <v>21157</v>
      </c>
      <c r="X30" s="307">
        <v>21157</v>
      </c>
      <c r="Y30" s="306">
        <f t="shared" si="9"/>
        <v>0</v>
      </c>
      <c r="Z30" s="309">
        <f t="shared" si="11"/>
        <v>25</v>
      </c>
      <c r="AA30" s="126">
        <v>209</v>
      </c>
      <c r="AB30" s="126">
        <v>113</v>
      </c>
      <c r="AC30" s="724">
        <f>Gen!T35</f>
        <v>1100.5899999999999</v>
      </c>
    </row>
    <row r="31" spans="1:29" ht="20.100000000000001" customHeight="1">
      <c r="A31" s="717">
        <f>Gen!B36</f>
        <v>44130</v>
      </c>
      <c r="B31" s="711"/>
      <c r="C31" s="307">
        <v>4135.7299999999996</v>
      </c>
      <c r="D31" s="307">
        <v>21840.2</v>
      </c>
      <c r="E31" s="307"/>
      <c r="F31" s="307"/>
      <c r="G31" s="307"/>
      <c r="H31" s="307"/>
      <c r="I31" s="307"/>
      <c r="J31" s="712"/>
      <c r="K31" s="723">
        <f t="shared" si="0"/>
        <v>35332</v>
      </c>
      <c r="L31" s="307"/>
      <c r="M31" s="306">
        <f t="shared" si="1"/>
        <v>-35332</v>
      </c>
      <c r="N31" s="308">
        <f t="shared" si="2"/>
        <v>30240</v>
      </c>
      <c r="O31" s="307"/>
      <c r="P31" s="306">
        <f t="shared" si="3"/>
        <v>-30240</v>
      </c>
      <c r="Q31" s="306">
        <f t="shared" si="4"/>
        <v>35756</v>
      </c>
      <c r="R31" s="307"/>
      <c r="S31" s="306">
        <f t="shared" si="5"/>
        <v>-35756</v>
      </c>
      <c r="T31" s="306">
        <f t="shared" si="6"/>
        <v>32526</v>
      </c>
      <c r="U31" s="307"/>
      <c r="V31" s="306">
        <f t="shared" si="7"/>
        <v>-32526</v>
      </c>
      <c r="W31" s="308">
        <f t="shared" si="8"/>
        <v>21157</v>
      </c>
      <c r="X31" s="307"/>
      <c r="Y31" s="306">
        <f t="shared" si="9"/>
        <v>-21157</v>
      </c>
      <c r="Z31" s="309">
        <f t="shared" si="11"/>
        <v>-155011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0" zoomScale="110" zoomScaleNormal="110" workbookViewId="0">
      <pane xSplit="2" topLeftCell="C1" activePane="topRight" state="frozen"/>
      <selection pane="topRight" activeCell="C38" sqref="C38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6"/>
      <c r="C1" s="886"/>
    </row>
    <row r="2" spans="2:47" ht="26.25">
      <c r="B2" s="886"/>
      <c r="C2" s="886"/>
      <c r="E2" s="887" t="s">
        <v>320</v>
      </c>
      <c r="F2" s="887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8"/>
      <c r="R2" s="888"/>
      <c r="S2" s="888"/>
      <c r="T2" s="888"/>
      <c r="U2" s="888"/>
      <c r="V2" s="888"/>
      <c r="W2" s="888"/>
      <c r="X2" s="888"/>
      <c r="Y2" s="888"/>
      <c r="Z2" s="888"/>
      <c r="AA2" s="888"/>
      <c r="AB2" s="888"/>
      <c r="AC2" s="888"/>
      <c r="AD2" s="888"/>
      <c r="AE2" s="888"/>
      <c r="AF2" s="888"/>
      <c r="AG2" s="888"/>
      <c r="AH2" s="888"/>
      <c r="AI2" s="888"/>
      <c r="AJ2" s="888"/>
      <c r="AK2" s="888"/>
      <c r="AL2" s="888"/>
      <c r="AM2" s="888"/>
      <c r="AN2" s="888"/>
      <c r="AO2" s="888"/>
      <c r="AP2" s="888"/>
      <c r="AQ2" s="888"/>
      <c r="AR2" s="888"/>
      <c r="AS2" s="888"/>
      <c r="AT2" s="888"/>
      <c r="AU2" s="888"/>
    </row>
    <row r="3" spans="2:47" ht="12.75" customHeight="1">
      <c r="B3" s="886"/>
      <c r="C3" s="886"/>
      <c r="I3" s="904"/>
      <c r="J3" s="904"/>
      <c r="K3" s="904"/>
      <c r="L3" s="182"/>
      <c r="R3" s="182"/>
    </row>
    <row r="4" spans="2:47">
      <c r="B4" s="886"/>
      <c r="C4" s="886"/>
      <c r="I4" s="904"/>
      <c r="J4" s="904"/>
      <c r="K4" s="904"/>
      <c r="L4" s="182"/>
      <c r="R4" s="182"/>
    </row>
    <row r="5" spans="2:47" ht="12" thickBot="1">
      <c r="B5" s="886"/>
      <c r="C5" s="886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6"/>
      <c r="C6" s="886"/>
      <c r="D6" s="187"/>
      <c r="G6" s="895" t="s">
        <v>57</v>
      </c>
      <c r="H6" s="896"/>
      <c r="I6" s="896"/>
      <c r="J6" s="896"/>
      <c r="K6" s="896"/>
      <c r="L6" s="896"/>
      <c r="M6" s="897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89" t="s">
        <v>201</v>
      </c>
      <c r="H7" s="890"/>
      <c r="I7" s="890"/>
      <c r="J7" s="890"/>
      <c r="K7" s="890"/>
      <c r="L7" s="890"/>
      <c r="M7" s="891"/>
      <c r="N7" s="892" t="s">
        <v>40</v>
      </c>
      <c r="O7" s="893"/>
      <c r="P7" s="893"/>
      <c r="Q7" s="893"/>
      <c r="R7" s="893"/>
      <c r="S7" s="894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4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4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844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844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>
        <v>1.2999999999999999E-2</v>
      </c>
      <c r="D24" s="733">
        <f t="shared" si="6"/>
        <v>40046.759999999995</v>
      </c>
      <c r="E24" s="738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40046.759999999995</v>
      </c>
    </row>
    <row r="25" spans="2:47" ht="14.25">
      <c r="B25" s="598">
        <v>44119</v>
      </c>
      <c r="C25" s="592">
        <v>5.1900000000000002E-2</v>
      </c>
      <c r="D25" s="733">
        <f t="shared" si="6"/>
        <v>39013.719999999994</v>
      </c>
      <c r="E25" s="737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715</v>
      </c>
      <c r="R25" s="207">
        <v>1216</v>
      </c>
      <c r="S25" s="579"/>
      <c r="T25" s="587">
        <f t="shared" si="0"/>
        <v>1042.8800000000001</v>
      </c>
      <c r="U25" s="219">
        <f t="shared" si="1"/>
        <v>2360</v>
      </c>
      <c r="V25" s="588">
        <f t="shared" si="4"/>
        <v>0.44189830508474581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39013.719999999994</v>
      </c>
    </row>
    <row r="26" spans="2:47" ht="14.25">
      <c r="B26" s="598">
        <v>44120</v>
      </c>
      <c r="C26" s="592">
        <v>0.1169</v>
      </c>
      <c r="D26" s="733">
        <f t="shared" si="6"/>
        <v>37970.839999999997</v>
      </c>
      <c r="E26" s="737"/>
      <c r="F26" s="596"/>
      <c r="G26" s="844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37970.839999999997</v>
      </c>
    </row>
    <row r="27" spans="2:47" ht="14.25">
      <c r="B27" s="598">
        <v>44121</v>
      </c>
      <c r="C27" s="592">
        <v>0.15790000000000001</v>
      </c>
      <c r="D27" s="733">
        <f t="shared" si="6"/>
        <v>36691.03</v>
      </c>
      <c r="E27" s="737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1344</v>
      </c>
      <c r="R27" s="207">
        <v>1280</v>
      </c>
      <c r="S27" s="579"/>
      <c r="T27" s="587">
        <f t="shared" si="0"/>
        <v>997.16000000000008</v>
      </c>
      <c r="U27" s="219">
        <f t="shared" si="1"/>
        <v>2624</v>
      </c>
      <c r="V27" s="588">
        <f t="shared" si="4"/>
        <v>0.38001524390243907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36691.03</v>
      </c>
    </row>
    <row r="28" spans="2:47" ht="14.25">
      <c r="B28" s="598">
        <v>44122</v>
      </c>
      <c r="C28" s="592">
        <v>0.15790000000000001</v>
      </c>
      <c r="D28" s="733">
        <f t="shared" si="6"/>
        <v>35530.869999999995</v>
      </c>
      <c r="E28" s="737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35530.869999999995</v>
      </c>
    </row>
    <row r="29" spans="2:47" ht="14.25">
      <c r="B29" s="598">
        <v>44123</v>
      </c>
      <c r="C29" s="592">
        <v>0.12989999999999999</v>
      </c>
      <c r="D29" s="733">
        <f t="shared" si="6"/>
        <v>34112.569999999992</v>
      </c>
      <c r="E29" s="737"/>
      <c r="F29" s="596"/>
      <c r="G29" s="594"/>
      <c r="H29" s="574">
        <v>588.02</v>
      </c>
      <c r="I29" s="220"/>
      <c r="J29" s="206"/>
      <c r="K29" s="205"/>
      <c r="L29" s="205">
        <v>531.33000000000004</v>
      </c>
      <c r="M29" s="537"/>
      <c r="N29" s="299">
        <v>1216</v>
      </c>
      <c r="O29" s="207"/>
      <c r="P29" s="207"/>
      <c r="Q29" s="207"/>
      <c r="R29" s="207">
        <v>1457</v>
      </c>
      <c r="S29" s="579"/>
      <c r="T29" s="587">
        <f t="shared" si="0"/>
        <v>1119.3499999999999</v>
      </c>
      <c r="U29" s="219">
        <f t="shared" si="1"/>
        <v>2673</v>
      </c>
      <c r="V29" s="588">
        <f t="shared" si="4"/>
        <v>0.41876169098391319</v>
      </c>
      <c r="W29" s="212"/>
      <c r="X29" s="220"/>
      <c r="Y29" s="198"/>
      <c r="Z29" s="220"/>
      <c r="AA29" s="205">
        <v>66.3</v>
      </c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66.3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1185.6499999999999</v>
      </c>
      <c r="AT29" s="222">
        <f t="shared" si="7"/>
        <v>0</v>
      </c>
      <c r="AU29" s="284">
        <f t="shared" si="5"/>
        <v>34112.569999999992</v>
      </c>
    </row>
    <row r="30" spans="2:47" ht="14.25">
      <c r="B30" s="598">
        <v>44124</v>
      </c>
      <c r="C30" s="592">
        <v>0.1169</v>
      </c>
      <c r="D30" s="733">
        <f t="shared" si="6"/>
        <v>32926.919999999991</v>
      </c>
      <c r="E30" s="737"/>
      <c r="F30" s="596"/>
      <c r="G30" s="594"/>
      <c r="H30" s="574"/>
      <c r="I30" s="220">
        <v>487.52</v>
      </c>
      <c r="J30" s="206"/>
      <c r="K30" s="205"/>
      <c r="L30" s="205"/>
      <c r="M30" s="537">
        <v>568.32000000000005</v>
      </c>
      <c r="N30" s="299"/>
      <c r="O30" s="207">
        <v>1190</v>
      </c>
      <c r="P30" s="207"/>
      <c r="Q30" s="207"/>
      <c r="R30" s="207"/>
      <c r="S30" s="579">
        <v>1306</v>
      </c>
      <c r="T30" s="587">
        <f t="shared" si="0"/>
        <v>1055.8400000000001</v>
      </c>
      <c r="U30" s="219">
        <f t="shared" si="1"/>
        <v>2496</v>
      </c>
      <c r="V30" s="588">
        <f t="shared" si="4"/>
        <v>0.42301282051282058</v>
      </c>
      <c r="W30" s="212"/>
      <c r="X30" s="220"/>
      <c r="Y30" s="198"/>
      <c r="Z30" s="220"/>
      <c r="AA30" s="205">
        <v>10.49</v>
      </c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10.49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1066.3300000000002</v>
      </c>
      <c r="AT30" s="222">
        <f t="shared" si="7"/>
        <v>0</v>
      </c>
      <c r="AU30" s="284">
        <f t="shared" si="5"/>
        <v>32926.919999999991</v>
      </c>
    </row>
    <row r="31" spans="2:47" ht="14.25">
      <c r="B31" s="598">
        <v>44125</v>
      </c>
      <c r="C31" s="592">
        <v>0.1089</v>
      </c>
      <c r="D31" s="733">
        <f t="shared" si="6"/>
        <v>31860.589999999989</v>
      </c>
      <c r="E31" s="737"/>
      <c r="F31" s="596"/>
      <c r="G31" s="594"/>
      <c r="H31" s="574">
        <v>452.64</v>
      </c>
      <c r="I31" s="220"/>
      <c r="J31" s="206"/>
      <c r="K31" s="205"/>
      <c r="L31" s="205">
        <v>559.27</v>
      </c>
      <c r="M31" s="537"/>
      <c r="N31" s="299">
        <v>1178</v>
      </c>
      <c r="O31" s="207"/>
      <c r="P31" s="207"/>
      <c r="Q31" s="207"/>
      <c r="R31" s="207">
        <v>1151</v>
      </c>
      <c r="S31" s="579"/>
      <c r="T31" s="587">
        <f t="shared" si="0"/>
        <v>1011.91</v>
      </c>
      <c r="U31" s="219">
        <f t="shared" si="1"/>
        <v>2329</v>
      </c>
      <c r="V31" s="588">
        <f t="shared" si="4"/>
        <v>0.43448261056247317</v>
      </c>
      <c r="W31" s="212"/>
      <c r="X31" s="220"/>
      <c r="Y31" s="198">
        <v>45.61</v>
      </c>
      <c r="Z31" s="220"/>
      <c r="AA31" s="205">
        <v>49.75</v>
      </c>
      <c r="AB31" s="274"/>
      <c r="AC31" s="220"/>
      <c r="AD31" s="220"/>
      <c r="AE31" s="220">
        <v>252.34</v>
      </c>
      <c r="AF31" s="220"/>
      <c r="AG31" s="220"/>
      <c r="AH31" s="220"/>
      <c r="AI31" s="220"/>
      <c r="AJ31" s="393"/>
      <c r="AK31" s="272">
        <f t="shared" si="3"/>
        <v>347.7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1359.61</v>
      </c>
      <c r="AT31" s="222">
        <f t="shared" si="7"/>
        <v>0</v>
      </c>
      <c r="AU31" s="284">
        <f t="shared" si="5"/>
        <v>31860.589999999989</v>
      </c>
    </row>
    <row r="32" spans="2:47" ht="14.25">
      <c r="B32" s="598">
        <v>44126</v>
      </c>
      <c r="C32" s="592">
        <v>0.10390000000000001</v>
      </c>
      <c r="D32" s="733">
        <f t="shared" si="6"/>
        <v>30500.979999999989</v>
      </c>
      <c r="E32" s="737"/>
      <c r="F32" s="596"/>
      <c r="G32" s="594"/>
      <c r="H32" s="574"/>
      <c r="I32" s="220">
        <v>546.28</v>
      </c>
      <c r="J32" s="206"/>
      <c r="K32" s="205"/>
      <c r="L32" s="205"/>
      <c r="M32" s="537">
        <v>498</v>
      </c>
      <c r="N32" s="299"/>
      <c r="O32" s="207">
        <v>1293</v>
      </c>
      <c r="P32" s="207"/>
      <c r="Q32" s="207"/>
      <c r="R32" s="207"/>
      <c r="S32" s="579">
        <v>1384</v>
      </c>
      <c r="T32" s="587">
        <f t="shared" si="0"/>
        <v>1044.28</v>
      </c>
      <c r="U32" s="219">
        <f t="shared" si="1"/>
        <v>2677</v>
      </c>
      <c r="V32" s="588">
        <f t="shared" si="4"/>
        <v>0.390093388121031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1044.28</v>
      </c>
      <c r="AT32" s="222">
        <f t="shared" si="7"/>
        <v>0</v>
      </c>
      <c r="AU32" s="284">
        <f t="shared" si="5"/>
        <v>30500.979999999989</v>
      </c>
    </row>
    <row r="33" spans="2:47" ht="14.25">
      <c r="B33" s="598">
        <v>44127</v>
      </c>
      <c r="C33" s="592">
        <v>9.0899999999999995E-2</v>
      </c>
      <c r="D33" s="733">
        <f t="shared" si="6"/>
        <v>29456.69999999999</v>
      </c>
      <c r="E33" s="737"/>
      <c r="F33" s="596"/>
      <c r="G33" s="594"/>
      <c r="H33" s="574">
        <v>582.62</v>
      </c>
      <c r="I33" s="220"/>
      <c r="J33" s="206"/>
      <c r="K33" s="205"/>
      <c r="L33" s="205">
        <v>580.51</v>
      </c>
      <c r="M33" s="537"/>
      <c r="N33" s="299">
        <v>1314</v>
      </c>
      <c r="O33" s="207"/>
      <c r="P33" s="207"/>
      <c r="Q33" s="207"/>
      <c r="R33" s="207">
        <v>1449</v>
      </c>
      <c r="S33" s="579"/>
      <c r="T33" s="587">
        <f t="shared" si="0"/>
        <v>1163.1300000000001</v>
      </c>
      <c r="U33" s="219">
        <f t="shared" si="1"/>
        <v>2763</v>
      </c>
      <c r="V33" s="588">
        <f t="shared" si="4"/>
        <v>0.42096634093376767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1163.1300000000001</v>
      </c>
      <c r="AT33" s="222">
        <f t="shared" si="7"/>
        <v>0</v>
      </c>
      <c r="AU33" s="284">
        <f t="shared" si="5"/>
        <v>29456.69999999999</v>
      </c>
    </row>
    <row r="34" spans="2:47" ht="14.25">
      <c r="B34" s="598">
        <v>44128</v>
      </c>
      <c r="C34" s="592">
        <v>9.0899999999999995E-2</v>
      </c>
      <c r="D34" s="733">
        <f t="shared" si="6"/>
        <v>28293.569999999989</v>
      </c>
      <c r="E34" s="737"/>
      <c r="F34" s="596"/>
      <c r="G34" s="594"/>
      <c r="H34" s="574"/>
      <c r="I34" s="205">
        <v>420.62</v>
      </c>
      <c r="J34" s="205"/>
      <c r="K34" s="205"/>
      <c r="L34" s="205"/>
      <c r="M34" s="537">
        <v>608.69000000000005</v>
      </c>
      <c r="N34" s="299"/>
      <c r="O34" s="207">
        <v>1271</v>
      </c>
      <c r="P34" s="207"/>
      <c r="Q34" s="207"/>
      <c r="R34" s="207"/>
      <c r="S34" s="579">
        <v>1490</v>
      </c>
      <c r="T34" s="587">
        <f t="shared" si="0"/>
        <v>1029.31</v>
      </c>
      <c r="U34" s="219">
        <f t="shared" si="1"/>
        <v>2761</v>
      </c>
      <c r="V34" s="588">
        <f t="shared" si="4"/>
        <v>0.37280333212604128</v>
      </c>
      <c r="W34" s="212"/>
      <c r="X34" s="220">
        <v>53.61</v>
      </c>
      <c r="Y34" s="198">
        <v>19.13</v>
      </c>
      <c r="Z34" s="220"/>
      <c r="AA34" s="205"/>
      <c r="AB34" s="274"/>
      <c r="AC34" s="220"/>
      <c r="AD34" s="220"/>
      <c r="AE34" s="220"/>
      <c r="AF34" s="220"/>
      <c r="AG34" s="220"/>
      <c r="AH34" s="220"/>
      <c r="AI34" s="220">
        <v>115</v>
      </c>
      <c r="AJ34" s="393"/>
      <c r="AK34" s="272">
        <f t="shared" si="3"/>
        <v>187.74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1217.05</v>
      </c>
      <c r="AT34" s="222">
        <f t="shared" si="7"/>
        <v>0</v>
      </c>
      <c r="AU34" s="284">
        <f t="shared" si="5"/>
        <v>28293.569999999989</v>
      </c>
    </row>
    <row r="35" spans="2:47" ht="14.25">
      <c r="B35" s="598">
        <v>44129</v>
      </c>
      <c r="C35" s="592">
        <v>9.0899999999999995E-2</v>
      </c>
      <c r="D35" s="733">
        <f t="shared" si="6"/>
        <v>27076.51999999999</v>
      </c>
      <c r="E35" s="737"/>
      <c r="F35" s="596">
        <v>12000</v>
      </c>
      <c r="G35" s="626" t="s">
        <v>318</v>
      </c>
      <c r="H35" s="574">
        <v>508.71</v>
      </c>
      <c r="I35" s="220"/>
      <c r="J35" s="206"/>
      <c r="K35" s="205"/>
      <c r="L35" s="205">
        <v>591.88</v>
      </c>
      <c r="M35" s="537"/>
      <c r="N35" s="299">
        <v>1241</v>
      </c>
      <c r="O35" s="207"/>
      <c r="P35" s="207"/>
      <c r="Q35" s="207"/>
      <c r="R35" s="207">
        <v>1454</v>
      </c>
      <c r="S35" s="579"/>
      <c r="T35" s="587">
        <f t="shared" si="0"/>
        <v>1100.5899999999999</v>
      </c>
      <c r="U35" s="219">
        <f t="shared" si="1"/>
        <v>2695</v>
      </c>
      <c r="V35" s="588">
        <f t="shared" si="4"/>
        <v>0.40838218923933206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1100.5899999999999</v>
      </c>
      <c r="AT35" s="222">
        <f t="shared" si="7"/>
        <v>0</v>
      </c>
      <c r="AU35" s="284">
        <f t="shared" si="5"/>
        <v>27076.51999999999</v>
      </c>
    </row>
    <row r="36" spans="2:47" ht="14.25">
      <c r="B36" s="598">
        <v>44130</v>
      </c>
      <c r="C36" s="592">
        <v>2.5999999999999999E-2</v>
      </c>
      <c r="D36" s="733">
        <f t="shared" si="6"/>
        <v>25975.929999999989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25975.929999999989</v>
      </c>
    </row>
    <row r="37" spans="2:47" ht="14.25">
      <c r="B37" s="598">
        <v>44131</v>
      </c>
      <c r="C37" s="592"/>
      <c r="D37" s="733">
        <f t="shared" si="6"/>
        <v>25975.929999999989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25975.929999999989</v>
      </c>
    </row>
    <row r="38" spans="2:47" ht="14.25">
      <c r="B38" s="598">
        <v>44132</v>
      </c>
      <c r="C38" s="592"/>
      <c r="D38" s="733">
        <f t="shared" si="6"/>
        <v>25975.929999999989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25975.929999999989</v>
      </c>
    </row>
    <row r="39" spans="2:47" ht="14.25">
      <c r="B39" s="598">
        <v>44133</v>
      </c>
      <c r="C39" s="592"/>
      <c r="D39" s="733">
        <f t="shared" si="6"/>
        <v>25975.929999999989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25975.929999999989</v>
      </c>
    </row>
    <row r="40" spans="2:47" ht="14.25">
      <c r="B40" s="598">
        <v>44134</v>
      </c>
      <c r="C40" s="592"/>
      <c r="D40" s="733">
        <f t="shared" si="6"/>
        <v>25975.929999999989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25975.929999999989</v>
      </c>
    </row>
    <row r="41" spans="2:47" ht="14.25">
      <c r="B41" s="598">
        <v>44135</v>
      </c>
      <c r="C41" s="592"/>
      <c r="D41" s="733">
        <f t="shared" si="6"/>
        <v>25975.929999999989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25975.929999999989</v>
      </c>
    </row>
    <row r="42" spans="2:47" ht="14.25">
      <c r="B42" s="598">
        <v>44136</v>
      </c>
      <c r="C42" s="593"/>
      <c r="D42" s="733">
        <f t="shared" si="6"/>
        <v>25975.929999999989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25975.929999999989</v>
      </c>
    </row>
    <row r="43" spans="2:47" ht="14.25">
      <c r="B43" s="507" t="s">
        <v>25</v>
      </c>
      <c r="C43" s="479">
        <f>AVERAGE(C11:C42)</f>
        <v>6.6553846153846158E-2</v>
      </c>
      <c r="D43" s="732">
        <f t="shared" si="6"/>
        <v>25975.929999999989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25975.929999999989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6088.2599999999993</v>
      </c>
      <c r="I45" s="310">
        <f t="shared" si="8"/>
        <v>3155.6899999999996</v>
      </c>
      <c r="J45" s="315">
        <f t="shared" si="8"/>
        <v>0</v>
      </c>
      <c r="K45" s="310">
        <f t="shared" si="8"/>
        <v>3691.96</v>
      </c>
      <c r="L45" s="315">
        <f t="shared" si="8"/>
        <v>6319.36</v>
      </c>
      <c r="M45" s="310">
        <f t="shared" si="8"/>
        <v>6200.99</v>
      </c>
      <c r="N45" s="315">
        <f t="shared" si="8"/>
        <v>14374</v>
      </c>
      <c r="O45" s="567">
        <f t="shared" si="8"/>
        <v>6369</v>
      </c>
      <c r="P45" s="315">
        <f t="shared" si="8"/>
        <v>0</v>
      </c>
      <c r="Q45" s="310">
        <f>SUM(Q11:Q43)</f>
        <v>9969</v>
      </c>
      <c r="R45" s="315">
        <f>SUM(R11:R44)</f>
        <v>14938</v>
      </c>
      <c r="S45" s="310">
        <f>SUM(S11:S44)</f>
        <v>15186</v>
      </c>
      <c r="T45" s="564">
        <f t="shared" si="0"/>
        <v>25456.260000000002</v>
      </c>
      <c r="U45" s="310">
        <f>SUM(N45:S45)</f>
        <v>60836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143.26</v>
      </c>
      <c r="Y45" s="559">
        <f t="shared" si="9"/>
        <v>146.23000000000002</v>
      </c>
      <c r="Z45" s="235">
        <f t="shared" si="9"/>
        <v>71.09</v>
      </c>
      <c r="AA45" s="559">
        <f t="shared" si="9"/>
        <v>364.42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252.34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574</v>
      </c>
      <c r="AJ45" s="235">
        <f>SUM(AJ9:AJ39)</f>
        <v>20</v>
      </c>
      <c r="AK45" s="559">
        <f>SUM(AK9:AK44)</f>
        <v>1571.3400000000001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27027.600000000002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58931241.900000006</v>
      </c>
      <c r="V47" s="320" t="s">
        <v>244</v>
      </c>
      <c r="AS47" s="534">
        <f>AS45*2143</f>
        <v>57920146.800000004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25745.409305373527</v>
      </c>
      <c r="V48" s="320" t="s">
        <v>245</v>
      </c>
      <c r="X48" s="192"/>
      <c r="Y48" s="192"/>
      <c r="Z48" s="192"/>
      <c r="AA48" s="192"/>
      <c r="AB48" s="192"/>
      <c r="AS48" s="319">
        <f>AS47/2289</f>
        <v>25303.69017038008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0" t="s">
        <v>241</v>
      </c>
      <c r="D50" s="881"/>
      <c r="E50" s="881"/>
      <c r="F50" s="881"/>
      <c r="G50" s="882"/>
      <c r="H50" s="538"/>
      <c r="I50" s="883" t="s">
        <v>213</v>
      </c>
      <c r="J50" s="884"/>
      <c r="K50" s="884"/>
      <c r="L50" s="884"/>
      <c r="M50" s="885"/>
      <c r="N50" s="538"/>
      <c r="O50" s="898" t="s">
        <v>309</v>
      </c>
      <c r="P50" s="899"/>
      <c r="Q50" s="899"/>
      <c r="R50" s="899"/>
      <c r="S50" s="900"/>
      <c r="U50" s="901" t="s">
        <v>226</v>
      </c>
      <c r="V50" s="902"/>
      <c r="W50" s="902"/>
      <c r="X50" s="902"/>
      <c r="Y50" s="902"/>
      <c r="Z50" s="903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>
        <v>44121</v>
      </c>
      <c r="D54" s="304"/>
      <c r="E54" s="389">
        <v>163</v>
      </c>
      <c r="F54" s="304"/>
      <c r="G54" s="539" t="s">
        <v>323</v>
      </c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>
        <v>44122</v>
      </c>
      <c r="D55" s="304" t="s">
        <v>327</v>
      </c>
      <c r="E55" s="389">
        <v>135</v>
      </c>
      <c r="F55" s="304" t="s">
        <v>328</v>
      </c>
      <c r="G55" s="539" t="s">
        <v>323</v>
      </c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>
        <v>44128</v>
      </c>
      <c r="D56" s="304" t="s">
        <v>329</v>
      </c>
      <c r="E56" s="389">
        <v>115</v>
      </c>
      <c r="F56" s="304" t="s">
        <v>330</v>
      </c>
      <c r="G56" s="539" t="s">
        <v>323</v>
      </c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2"/>
  <sheetViews>
    <sheetView topLeftCell="A4" zoomScale="70" zoomScaleNormal="70" workbookViewId="0">
      <selection activeCell="D38" sqref="D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6"/>
      <c r="D6" s="907"/>
      <c r="E6" s="908"/>
      <c r="F6" s="908"/>
      <c r="G6" s="49" t="s">
        <v>4</v>
      </c>
      <c r="H6" s="47" t="s">
        <v>14</v>
      </c>
      <c r="I6" s="42"/>
      <c r="J6" s="114"/>
    </row>
    <row r="7" spans="1:15" ht="18" customHeight="1">
      <c r="A7" s="909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0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72767.89</v>
      </c>
      <c r="G27" s="269">
        <f t="shared" si="0"/>
        <v>92.707999999966717</v>
      </c>
      <c r="H27" s="112">
        <f>Gen!C28</f>
        <v>0.15790000000000001</v>
      </c>
      <c r="I27" s="6">
        <f t="shared" si="2"/>
        <v>460847.94173527544</v>
      </c>
      <c r="J27" s="117">
        <f t="shared" si="1"/>
        <v>2.0116830651534278E-4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>
        <v>72789.03</v>
      </c>
      <c r="G28" s="269">
        <f t="shared" si="0"/>
        <v>93.015999999997447</v>
      </c>
      <c r="H28" s="112">
        <f>Gen!C29</f>
        <v>0.12989999999999999</v>
      </c>
      <c r="I28" s="6">
        <f t="shared" si="2"/>
        <v>560346.65127020795</v>
      </c>
      <c r="J28" s="117">
        <f t="shared" si="1"/>
        <v>1.6599724436497734E-4</v>
      </c>
    </row>
    <row r="29" spans="1:14" ht="18.75">
      <c r="A29" s="95">
        <f>Gen!B30</f>
        <v>44124</v>
      </c>
      <c r="B29" s="269">
        <v>57</v>
      </c>
      <c r="C29" s="269">
        <v>85</v>
      </c>
      <c r="D29" s="269">
        <v>85</v>
      </c>
      <c r="E29" s="269"/>
      <c r="F29" s="269">
        <v>72811.789999999994</v>
      </c>
      <c r="G29" s="269">
        <f t="shared" si="0"/>
        <v>100.14399999997696</v>
      </c>
      <c r="H29" s="112">
        <f>Gen!C30</f>
        <v>0.1169</v>
      </c>
      <c r="I29" s="6">
        <f t="shared" ref="I29:I41" si="3">SUM(F29/H29)</f>
        <v>622855.34644995711</v>
      </c>
      <c r="J29" s="117">
        <f t="shared" si="1"/>
        <v>1.6078211509423554E-4</v>
      </c>
    </row>
    <row r="30" spans="1:14" ht="18.75">
      <c r="A30" s="95">
        <f>Gen!B31</f>
        <v>44125</v>
      </c>
      <c r="B30" s="269">
        <v>54</v>
      </c>
      <c r="C30" s="269">
        <v>85</v>
      </c>
      <c r="D30" s="269">
        <v>85</v>
      </c>
      <c r="E30" s="269"/>
      <c r="F30" s="269">
        <v>72829.789999999994</v>
      </c>
      <c r="G30" s="269">
        <f t="shared" si="0"/>
        <v>79.2</v>
      </c>
      <c r="H30" s="112">
        <f>Gen!C31</f>
        <v>0.1089</v>
      </c>
      <c r="I30" s="6">
        <f t="shared" si="3"/>
        <v>668776.76767676766</v>
      </c>
      <c r="J30" s="117">
        <f t="shared" si="1"/>
        <v>1.1842516640512077E-4</v>
      </c>
    </row>
    <row r="31" spans="1:14" ht="18.75">
      <c r="A31" s="95">
        <f>Gen!B32</f>
        <v>44126</v>
      </c>
      <c r="B31" s="269">
        <v>52</v>
      </c>
      <c r="C31" s="269">
        <v>85</v>
      </c>
      <c r="D31" s="269">
        <v>85</v>
      </c>
      <c r="E31" s="269"/>
      <c r="F31" s="269">
        <v>72848.98</v>
      </c>
      <c r="G31" s="269">
        <f t="shared" si="0"/>
        <v>84.436000000010253</v>
      </c>
      <c r="H31" s="112">
        <f>Gen!C32</f>
        <v>0.10390000000000001</v>
      </c>
      <c r="I31" s="6">
        <f t="shared" si="3"/>
        <v>701145.13955726649</v>
      </c>
      <c r="J31" s="117">
        <f t="shared" si="1"/>
        <v>1.2042585084926469E-4</v>
      </c>
    </row>
    <row r="32" spans="1:14" ht="18.75">
      <c r="A32" s="95">
        <f>Gen!B33</f>
        <v>44127</v>
      </c>
      <c r="B32" s="269">
        <v>50</v>
      </c>
      <c r="C32" s="269">
        <v>85</v>
      </c>
      <c r="D32" s="269">
        <v>85</v>
      </c>
      <c r="E32" s="269"/>
      <c r="F32" s="269">
        <v>72856</v>
      </c>
      <c r="G32" s="269">
        <f t="shared" si="0"/>
        <v>30.888000000017932</v>
      </c>
      <c r="H32" s="112">
        <f>Gen!C33</f>
        <v>9.0899999999999995E-2</v>
      </c>
      <c r="I32" s="6">
        <f t="shared" si="3"/>
        <v>801496.14961496159</v>
      </c>
      <c r="J32" s="117">
        <f t="shared" si="1"/>
        <v>3.8537926869463457E-5</v>
      </c>
    </row>
    <row r="33" spans="1:10" ht="18.75">
      <c r="A33" s="95">
        <f>Gen!B34</f>
        <v>44128</v>
      </c>
      <c r="B33" s="269">
        <v>51</v>
      </c>
      <c r="C33" s="269">
        <v>85</v>
      </c>
      <c r="D33" s="269">
        <v>85</v>
      </c>
      <c r="E33" s="269"/>
      <c r="F33" s="269">
        <v>72866</v>
      </c>
      <c r="G33" s="269">
        <f t="shared" si="0"/>
        <v>44</v>
      </c>
      <c r="H33" s="112">
        <f>Gen!C34</f>
        <v>9.0899999999999995E-2</v>
      </c>
      <c r="I33" s="6">
        <f t="shared" si="3"/>
        <v>801606.16061606165</v>
      </c>
      <c r="J33" s="117">
        <f t="shared" si="1"/>
        <v>5.4889797710866522E-5</v>
      </c>
    </row>
    <row r="34" spans="1:10" ht="18.75">
      <c r="A34" s="95">
        <f>Gen!B35</f>
        <v>44129</v>
      </c>
      <c r="B34" s="269">
        <v>48</v>
      </c>
      <c r="C34" s="269">
        <v>85</v>
      </c>
      <c r="D34" s="269">
        <v>85</v>
      </c>
      <c r="E34" s="269"/>
      <c r="F34" s="269">
        <v>72885.55</v>
      </c>
      <c r="G34" s="269">
        <f t="shared" si="0"/>
        <v>86.020000000012814</v>
      </c>
      <c r="H34" s="112">
        <f>Gen!C35</f>
        <v>9.0899999999999995E-2</v>
      </c>
      <c r="I34" s="6">
        <f t="shared" si="3"/>
        <v>801821.23212321242</v>
      </c>
      <c r="J34" s="117">
        <f t="shared" si="1"/>
        <v>1.0728077101704198E-4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-320696.42000000004</v>
      </c>
      <c r="H35" s="112">
        <f>Gen!C36</f>
        <v>2.5999999999999999E-2</v>
      </c>
      <c r="I35" s="6">
        <f t="shared" si="3"/>
        <v>0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5" t="s">
        <v>6</v>
      </c>
      <c r="D42" s="905"/>
      <c r="E42" s="2">
        <f t="shared" ref="E42:F42" si="4">SUM(E10:E40)</f>
        <v>0</v>
      </c>
      <c r="F42" s="2">
        <f t="shared" si="4"/>
        <v>1817169.8900000001</v>
      </c>
      <c r="G42" s="102">
        <f>SUM(G10:G40)</f>
        <v>-318961.50000000006</v>
      </c>
      <c r="H42" s="7"/>
      <c r="I42" s="6"/>
      <c r="J42" s="117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6" zoomScale="94" zoomScaleNormal="94" workbookViewId="0">
      <pane xSplit="1" topLeftCell="S1" activePane="topRight" state="frozen"/>
      <selection pane="topRight" activeCell="I74" sqref="I7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0" t="s">
        <v>316</v>
      </c>
      <c r="B1" s="931"/>
      <c r="C1" s="931"/>
      <c r="D1" s="931"/>
      <c r="E1" s="931"/>
      <c r="F1" s="931"/>
      <c r="G1" s="931"/>
      <c r="H1" s="931"/>
      <c r="I1" s="931"/>
      <c r="J1" s="931"/>
      <c r="K1" s="931"/>
      <c r="L1" s="931"/>
      <c r="M1" s="931"/>
      <c r="N1" s="931"/>
      <c r="O1" s="931"/>
      <c r="P1" s="931"/>
      <c r="Q1" s="931"/>
      <c r="R1" s="931"/>
      <c r="S1" s="931"/>
      <c r="T1" s="931"/>
      <c r="U1" s="931"/>
      <c r="V1" s="931"/>
      <c r="W1" s="931"/>
      <c r="X1" s="931"/>
      <c r="Y1" s="931"/>
      <c r="Z1" s="931"/>
      <c r="AA1" s="931"/>
      <c r="AB1" s="931"/>
      <c r="AC1" s="931"/>
      <c r="AD1" s="931"/>
      <c r="AE1" s="931"/>
      <c r="AF1" s="931"/>
      <c r="AG1" s="931"/>
      <c r="AH1" s="931"/>
      <c r="AI1" s="931"/>
      <c r="AJ1" s="931"/>
      <c r="AK1" s="931"/>
      <c r="AL1" s="931"/>
      <c r="AM1" s="931"/>
      <c r="AN1" s="931"/>
    </row>
    <row r="2" spans="1:40" ht="13.5" customHeight="1" thickTop="1">
      <c r="A2" s="30"/>
      <c r="B2" s="30"/>
      <c r="C2" s="929" t="s">
        <v>52</v>
      </c>
      <c r="D2" s="929"/>
      <c r="E2" s="929"/>
      <c r="F2" s="929" t="s">
        <v>17</v>
      </c>
      <c r="G2" s="929"/>
      <c r="H2" s="929"/>
      <c r="I2" s="929" t="s">
        <v>131</v>
      </c>
      <c r="J2" s="929"/>
      <c r="K2" s="929"/>
      <c r="L2" s="929" t="s">
        <v>134</v>
      </c>
      <c r="M2" s="929"/>
      <c r="N2" s="929"/>
      <c r="O2" s="929" t="s">
        <v>132</v>
      </c>
      <c r="P2" s="929"/>
      <c r="Q2" s="929"/>
      <c r="R2" s="253"/>
      <c r="S2" s="938" t="s">
        <v>181</v>
      </c>
      <c r="T2" s="939"/>
      <c r="U2" s="940"/>
      <c r="V2" s="938" t="s">
        <v>182</v>
      </c>
      <c r="W2" s="939"/>
      <c r="X2" s="940"/>
      <c r="Y2" s="938" t="s">
        <v>183</v>
      </c>
      <c r="Z2" s="939"/>
      <c r="AA2" s="940"/>
      <c r="AB2" s="938" t="s">
        <v>184</v>
      </c>
      <c r="AC2" s="939"/>
      <c r="AD2" s="940"/>
      <c r="AE2" s="932" t="s">
        <v>239</v>
      </c>
      <c r="AF2" s="933"/>
      <c r="AG2" s="944"/>
      <c r="AH2" s="932" t="s">
        <v>243</v>
      </c>
      <c r="AI2" s="933"/>
      <c r="AJ2" s="944"/>
      <c r="AK2" s="932" t="s">
        <v>240</v>
      </c>
      <c r="AL2" s="933"/>
      <c r="AM2" s="933"/>
      <c r="AN2" s="936" t="s">
        <v>189</v>
      </c>
    </row>
    <row r="3" spans="1:40" ht="21.75" customHeight="1" thickBot="1">
      <c r="A3" s="927" t="s">
        <v>7</v>
      </c>
      <c r="B3" s="30"/>
      <c r="C3" s="929" t="s">
        <v>133</v>
      </c>
      <c r="D3" s="929" t="s">
        <v>15</v>
      </c>
      <c r="E3" s="929" t="s">
        <v>16</v>
      </c>
      <c r="F3" s="929" t="s">
        <v>133</v>
      </c>
      <c r="G3" s="929" t="s">
        <v>15</v>
      </c>
      <c r="H3" s="929" t="s">
        <v>16</v>
      </c>
      <c r="I3" s="929" t="s">
        <v>133</v>
      </c>
      <c r="J3" s="929" t="s">
        <v>15</v>
      </c>
      <c r="K3" s="929" t="s">
        <v>16</v>
      </c>
      <c r="L3" s="929" t="s">
        <v>133</v>
      </c>
      <c r="M3" s="929" t="s">
        <v>15</v>
      </c>
      <c r="N3" s="929" t="s">
        <v>16</v>
      </c>
      <c r="O3" s="929" t="s">
        <v>133</v>
      </c>
      <c r="P3" s="929" t="s">
        <v>15</v>
      </c>
      <c r="Q3" s="929" t="s">
        <v>16</v>
      </c>
      <c r="R3" s="946" t="s">
        <v>185</v>
      </c>
      <c r="S3" s="941"/>
      <c r="T3" s="942"/>
      <c r="U3" s="943"/>
      <c r="V3" s="941"/>
      <c r="W3" s="942"/>
      <c r="X3" s="943"/>
      <c r="Y3" s="941"/>
      <c r="Z3" s="942"/>
      <c r="AA3" s="943"/>
      <c r="AB3" s="941"/>
      <c r="AC3" s="942"/>
      <c r="AD3" s="943"/>
      <c r="AE3" s="934"/>
      <c r="AF3" s="935"/>
      <c r="AG3" s="945"/>
      <c r="AH3" s="934"/>
      <c r="AI3" s="935"/>
      <c r="AJ3" s="945"/>
      <c r="AK3" s="934"/>
      <c r="AL3" s="935"/>
      <c r="AM3" s="935"/>
      <c r="AN3" s="937"/>
    </row>
    <row r="4" spans="1:40" ht="15.75" thickTop="1">
      <c r="A4" s="928"/>
      <c r="B4" s="245"/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  <c r="O4" s="929"/>
      <c r="P4" s="929"/>
      <c r="Q4" s="929"/>
      <c r="R4" s="946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634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634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634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634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>
        <v>242567</v>
      </c>
      <c r="E24" s="484">
        <f t="shared" si="28"/>
        <v>58</v>
      </c>
      <c r="F24" s="96">
        <f t="shared" si="2"/>
        <v>38000</v>
      </c>
      <c r="G24" s="394">
        <v>38000</v>
      </c>
      <c r="H24" s="484">
        <f t="shared" si="13"/>
        <v>0</v>
      </c>
      <c r="I24" s="96">
        <f t="shared" si="3"/>
        <v>8070</v>
      </c>
      <c r="J24" s="1">
        <v>8071</v>
      </c>
      <c r="K24" s="484">
        <f t="shared" si="26"/>
        <v>1</v>
      </c>
      <c r="L24" s="96">
        <f t="shared" si="5"/>
        <v>12907</v>
      </c>
      <c r="M24" s="1">
        <v>12907</v>
      </c>
      <c r="N24" s="484">
        <f t="shared" si="14"/>
        <v>0</v>
      </c>
      <c r="O24" s="96">
        <f t="shared" si="6"/>
        <v>20360</v>
      </c>
      <c r="P24" s="390">
        <v>20362</v>
      </c>
      <c r="Q24" s="484">
        <f t="shared" si="7"/>
        <v>2</v>
      </c>
      <c r="R24" s="251"/>
      <c r="S24" s="246">
        <f t="shared" si="15"/>
        <v>60264</v>
      </c>
      <c r="T24" s="391">
        <v>60264</v>
      </c>
      <c r="U24" s="485">
        <f t="shared" si="16"/>
        <v>0</v>
      </c>
      <c r="V24" s="246">
        <f t="shared" si="30"/>
        <v>73031</v>
      </c>
      <c r="W24" s="391">
        <v>73031</v>
      </c>
      <c r="X24" s="485">
        <f t="shared" si="17"/>
        <v>0</v>
      </c>
      <c r="Y24" s="246">
        <f t="shared" si="9"/>
        <v>84719</v>
      </c>
      <c r="Z24" s="391">
        <v>84753</v>
      </c>
      <c r="AA24" s="485">
        <f t="shared" si="18"/>
        <v>34</v>
      </c>
      <c r="AB24" s="630">
        <f t="shared" si="22"/>
        <v>16000</v>
      </c>
      <c r="AC24" s="631">
        <v>16018</v>
      </c>
      <c r="AD24" s="633">
        <f t="shared" si="23"/>
        <v>18</v>
      </c>
      <c r="AE24" s="246">
        <f t="shared" si="10"/>
        <v>18300</v>
      </c>
      <c r="AF24" s="392">
        <v>18300</v>
      </c>
      <c r="AG24" s="485">
        <f t="shared" si="19"/>
        <v>0</v>
      </c>
      <c r="AH24" s="246">
        <f t="shared" si="11"/>
        <v>26336</v>
      </c>
      <c r="AI24" s="392">
        <v>26358</v>
      </c>
      <c r="AJ24" s="485">
        <f t="shared" si="20"/>
        <v>22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74</v>
      </c>
    </row>
    <row r="25" spans="1:40" ht="23.1" customHeight="1">
      <c r="A25" s="58">
        <f>Gen!B30</f>
        <v>44124</v>
      </c>
      <c r="B25" s="4"/>
      <c r="C25" s="96">
        <f>D24</f>
        <v>242567</v>
      </c>
      <c r="D25" s="1">
        <v>242644</v>
      </c>
      <c r="E25" s="484">
        <f t="shared" si="28"/>
        <v>77</v>
      </c>
      <c r="F25" s="96">
        <f t="shared" si="2"/>
        <v>38000</v>
      </c>
      <c r="G25" s="394">
        <v>38000</v>
      </c>
      <c r="H25" s="484">
        <f>IF((G26-G24)&lt;0,"0",(G26-G24))</f>
        <v>0</v>
      </c>
      <c r="I25" s="96">
        <f t="shared" ref="I25:I37" si="31">J24</f>
        <v>8071</v>
      </c>
      <c r="J25" s="1">
        <v>8072</v>
      </c>
      <c r="K25" s="484">
        <f t="shared" si="26"/>
        <v>1</v>
      </c>
      <c r="L25" s="96">
        <f t="shared" ref="L25:L37" si="32">M24</f>
        <v>12907</v>
      </c>
      <c r="M25" s="1">
        <v>12907</v>
      </c>
      <c r="N25" s="484">
        <f t="shared" ref="N25:N37" si="33">IF((M25-M24)&lt;0,"0",(M25-M24))</f>
        <v>0</v>
      </c>
      <c r="O25" s="96">
        <f t="shared" si="6"/>
        <v>20362</v>
      </c>
      <c r="P25" s="390">
        <v>20366</v>
      </c>
      <c r="Q25" s="484">
        <f t="shared" si="7"/>
        <v>4</v>
      </c>
      <c r="R25" s="251"/>
      <c r="S25" s="246">
        <f t="shared" ref="S25:S37" si="34">T24</f>
        <v>60264</v>
      </c>
      <c r="T25" s="391">
        <v>60264</v>
      </c>
      <c r="U25" s="485">
        <f t="shared" ref="U25:U37" si="35">IF((T25-T24)&lt;0,"0",(T25-T24))</f>
        <v>0</v>
      </c>
      <c r="V25" s="246">
        <f t="shared" si="30"/>
        <v>73031</v>
      </c>
      <c r="W25" s="391">
        <v>73031</v>
      </c>
      <c r="X25" s="485">
        <f t="shared" si="17"/>
        <v>0</v>
      </c>
      <c r="Y25" s="246">
        <f t="shared" si="9"/>
        <v>84753</v>
      </c>
      <c r="Z25" s="391">
        <v>84788</v>
      </c>
      <c r="AA25" s="485">
        <f t="shared" si="18"/>
        <v>35</v>
      </c>
      <c r="AB25" s="630">
        <f t="shared" si="22"/>
        <v>16018</v>
      </c>
      <c r="AC25" s="631">
        <v>16035</v>
      </c>
      <c r="AD25" s="633">
        <f t="shared" si="23"/>
        <v>17</v>
      </c>
      <c r="AE25" s="246">
        <f t="shared" si="10"/>
        <v>18300</v>
      </c>
      <c r="AF25" s="392">
        <v>18300</v>
      </c>
      <c r="AG25" s="485">
        <f t="shared" si="19"/>
        <v>0</v>
      </c>
      <c r="AH25" s="246">
        <f t="shared" si="11"/>
        <v>26358</v>
      </c>
      <c r="AI25" s="392">
        <v>26380</v>
      </c>
      <c r="AJ25" s="485">
        <f t="shared" si="20"/>
        <v>22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74</v>
      </c>
    </row>
    <row r="26" spans="1:40" ht="23.1" customHeight="1">
      <c r="A26" s="58">
        <f>Gen!B31</f>
        <v>44125</v>
      </c>
      <c r="B26" s="4"/>
      <c r="C26" s="96">
        <f>D25</f>
        <v>242644</v>
      </c>
      <c r="D26" s="1">
        <v>242702</v>
      </c>
      <c r="E26" s="484">
        <f t="shared" si="28"/>
        <v>58</v>
      </c>
      <c r="F26" s="96">
        <f>G26</f>
        <v>38000</v>
      </c>
      <c r="G26" s="394">
        <v>38000</v>
      </c>
      <c r="H26" s="484">
        <f t="shared" ref="H26:H27" si="36">IF((G27-G25)&lt;0,"0",(G27-G25))</f>
        <v>0</v>
      </c>
      <c r="I26" s="96">
        <f t="shared" si="31"/>
        <v>8072</v>
      </c>
      <c r="J26" s="1">
        <v>8073</v>
      </c>
      <c r="K26" s="484">
        <f t="shared" si="26"/>
        <v>1</v>
      </c>
      <c r="L26" s="96">
        <f t="shared" si="32"/>
        <v>12907</v>
      </c>
      <c r="M26" s="1">
        <v>12907</v>
      </c>
      <c r="N26" s="484">
        <f t="shared" si="33"/>
        <v>0</v>
      </c>
      <c r="O26" s="96">
        <f t="shared" ref="O26:O37" si="37">P25</f>
        <v>20366</v>
      </c>
      <c r="P26" s="390">
        <v>20368</v>
      </c>
      <c r="Q26" s="484">
        <f t="shared" si="7"/>
        <v>2</v>
      </c>
      <c r="R26" s="251"/>
      <c r="S26" s="246">
        <f t="shared" si="34"/>
        <v>60264</v>
      </c>
      <c r="T26" s="391">
        <v>60264</v>
      </c>
      <c r="U26" s="485">
        <f t="shared" si="35"/>
        <v>0</v>
      </c>
      <c r="V26" s="246">
        <f t="shared" si="30"/>
        <v>73031</v>
      </c>
      <c r="W26" s="391">
        <v>73031</v>
      </c>
      <c r="X26" s="485">
        <f t="shared" si="17"/>
        <v>0</v>
      </c>
      <c r="Y26" s="246">
        <f t="shared" si="9"/>
        <v>84788</v>
      </c>
      <c r="Z26" s="391">
        <v>84825</v>
      </c>
      <c r="AA26" s="485">
        <f t="shared" si="18"/>
        <v>37</v>
      </c>
      <c r="AB26" s="630">
        <f t="shared" si="22"/>
        <v>16035</v>
      </c>
      <c r="AC26" s="631">
        <v>16053</v>
      </c>
      <c r="AD26" s="633">
        <f t="shared" si="23"/>
        <v>18</v>
      </c>
      <c r="AE26" s="246">
        <f t="shared" si="10"/>
        <v>18300</v>
      </c>
      <c r="AF26" s="392">
        <v>18300</v>
      </c>
      <c r="AG26" s="485">
        <f t="shared" si="19"/>
        <v>0</v>
      </c>
      <c r="AH26" s="246">
        <f t="shared" si="11"/>
        <v>26380</v>
      </c>
      <c r="AI26" s="392">
        <v>26403</v>
      </c>
      <c r="AJ26" s="485">
        <f t="shared" si="20"/>
        <v>23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78</v>
      </c>
    </row>
    <row r="27" spans="1:40" ht="23.1" customHeight="1">
      <c r="A27" s="58">
        <f>Gen!B32</f>
        <v>44126</v>
      </c>
      <c r="B27" s="4"/>
      <c r="C27" s="96">
        <f>D26</f>
        <v>242702</v>
      </c>
      <c r="D27" s="1">
        <v>242750</v>
      </c>
      <c r="E27" s="484">
        <f t="shared" si="28"/>
        <v>48</v>
      </c>
      <c r="F27" s="96">
        <f t="shared" ref="F27:F31" si="38">G27</f>
        <v>38000</v>
      </c>
      <c r="G27" s="394">
        <v>38000</v>
      </c>
      <c r="H27" s="484">
        <f t="shared" si="36"/>
        <v>0</v>
      </c>
      <c r="I27" s="96">
        <f t="shared" si="31"/>
        <v>8073</v>
      </c>
      <c r="J27" s="1">
        <v>8074</v>
      </c>
      <c r="K27" s="484">
        <f t="shared" si="26"/>
        <v>1</v>
      </c>
      <c r="L27" s="96">
        <f t="shared" si="32"/>
        <v>12907</v>
      </c>
      <c r="M27" s="1">
        <v>12907</v>
      </c>
      <c r="N27" s="484">
        <f t="shared" si="33"/>
        <v>0</v>
      </c>
      <c r="O27" s="96">
        <f t="shared" si="37"/>
        <v>20368</v>
      </c>
      <c r="P27" s="390">
        <v>20372</v>
      </c>
      <c r="Q27" s="484">
        <f t="shared" si="7"/>
        <v>4</v>
      </c>
      <c r="R27" s="251"/>
      <c r="S27" s="246">
        <f t="shared" si="34"/>
        <v>60264</v>
      </c>
      <c r="T27" s="391">
        <v>60344</v>
      </c>
      <c r="U27" s="485">
        <f t="shared" si="35"/>
        <v>80</v>
      </c>
      <c r="V27" s="246">
        <f t="shared" si="30"/>
        <v>73031</v>
      </c>
      <c r="W27" s="391">
        <v>73031</v>
      </c>
      <c r="X27" s="485">
        <f>IF((W28-W26)&lt;0,"0",(W28-W26))</f>
        <v>0</v>
      </c>
      <c r="Y27" s="246">
        <f t="shared" si="9"/>
        <v>84825</v>
      </c>
      <c r="Z27" s="391">
        <v>84860</v>
      </c>
      <c r="AA27" s="485">
        <f t="shared" si="18"/>
        <v>35</v>
      </c>
      <c r="AB27" s="630">
        <f t="shared" si="22"/>
        <v>16053</v>
      </c>
      <c r="AC27" s="631">
        <v>16071</v>
      </c>
      <c r="AD27" s="633">
        <f t="shared" si="23"/>
        <v>18</v>
      </c>
      <c r="AE27" s="246">
        <f t="shared" si="10"/>
        <v>18300</v>
      </c>
      <c r="AF27" s="392">
        <v>18300</v>
      </c>
      <c r="AG27" s="485">
        <f t="shared" si="19"/>
        <v>0</v>
      </c>
      <c r="AH27" s="246">
        <f t="shared" si="11"/>
        <v>26403</v>
      </c>
      <c r="AI27" s="392">
        <v>26425</v>
      </c>
      <c r="AJ27" s="485">
        <f t="shared" si="20"/>
        <v>22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155</v>
      </c>
    </row>
    <row r="28" spans="1:40" ht="23.1" customHeight="1">
      <c r="A28" s="58">
        <f>Gen!B33</f>
        <v>44127</v>
      </c>
      <c r="B28" s="4"/>
      <c r="C28" s="96">
        <f t="shared" ref="C28:C37" si="39">D27</f>
        <v>242750</v>
      </c>
      <c r="D28" s="1">
        <v>242805</v>
      </c>
      <c r="E28" s="484">
        <f t="shared" si="28"/>
        <v>55</v>
      </c>
      <c r="F28" s="96">
        <f t="shared" si="38"/>
        <v>38000</v>
      </c>
      <c r="G28" s="394">
        <v>38000</v>
      </c>
      <c r="H28" s="484">
        <f t="shared" ref="H28:H37" si="40">IF((G28-G27)&lt;0,"0",(G28-G27))</f>
        <v>0</v>
      </c>
      <c r="I28" s="96">
        <f t="shared" si="31"/>
        <v>8074</v>
      </c>
      <c r="J28" s="1">
        <v>8074</v>
      </c>
      <c r="K28" s="484">
        <f>IF((J28-J27)&lt;0,"0",(J28-J27))</f>
        <v>0</v>
      </c>
      <c r="L28" s="96">
        <f t="shared" si="32"/>
        <v>12907</v>
      </c>
      <c r="M28" s="1">
        <v>12907</v>
      </c>
      <c r="N28" s="484">
        <f t="shared" si="33"/>
        <v>0</v>
      </c>
      <c r="O28" s="96">
        <f t="shared" si="37"/>
        <v>20372</v>
      </c>
      <c r="P28" s="390">
        <v>20375</v>
      </c>
      <c r="Q28" s="484">
        <f t="shared" ref="Q28:Q37" si="41">IF((P28-P27)&lt;0,"0",(P28-P27))</f>
        <v>3</v>
      </c>
      <c r="R28" s="251"/>
      <c r="S28" s="246">
        <f t="shared" si="34"/>
        <v>60344</v>
      </c>
      <c r="T28" s="391">
        <v>60426</v>
      </c>
      <c r="U28" s="485">
        <f t="shared" si="35"/>
        <v>82</v>
      </c>
      <c r="V28" s="246">
        <f>W28</f>
        <v>73031</v>
      </c>
      <c r="W28" s="391">
        <v>73031</v>
      </c>
      <c r="X28" s="485">
        <f t="shared" ref="X28:X30" si="42">IF((W29-W27)&lt;0,"0",(W29-W27))</f>
        <v>0</v>
      </c>
      <c r="Y28" s="246">
        <f t="shared" si="9"/>
        <v>84860</v>
      </c>
      <c r="Z28" s="391">
        <v>84901</v>
      </c>
      <c r="AA28" s="485">
        <f t="shared" si="18"/>
        <v>41</v>
      </c>
      <c r="AB28" s="630">
        <f t="shared" si="22"/>
        <v>16071</v>
      </c>
      <c r="AC28" s="631">
        <v>16090</v>
      </c>
      <c r="AD28" s="633">
        <f t="shared" si="23"/>
        <v>19</v>
      </c>
      <c r="AE28" s="246">
        <f t="shared" si="10"/>
        <v>18300</v>
      </c>
      <c r="AF28" s="392">
        <v>18300</v>
      </c>
      <c r="AG28" s="485">
        <f t="shared" si="19"/>
        <v>0</v>
      </c>
      <c r="AH28" s="246">
        <f t="shared" si="11"/>
        <v>26425</v>
      </c>
      <c r="AI28" s="392">
        <v>26445</v>
      </c>
      <c r="AJ28" s="485">
        <f t="shared" si="20"/>
        <v>20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162</v>
      </c>
    </row>
    <row r="29" spans="1:40" ht="23.1" customHeight="1">
      <c r="A29" s="58">
        <f>Gen!B34</f>
        <v>44128</v>
      </c>
      <c r="B29" s="4"/>
      <c r="C29" s="96">
        <f t="shared" si="39"/>
        <v>242805</v>
      </c>
      <c r="D29" s="1">
        <v>242859</v>
      </c>
      <c r="E29" s="484">
        <f t="shared" si="28"/>
        <v>54</v>
      </c>
      <c r="F29" s="96">
        <f t="shared" si="38"/>
        <v>38000</v>
      </c>
      <c r="G29" s="394">
        <v>38000</v>
      </c>
      <c r="H29" s="484">
        <f t="shared" si="40"/>
        <v>0</v>
      </c>
      <c r="I29" s="96">
        <f t="shared" si="31"/>
        <v>8074</v>
      </c>
      <c r="J29" s="1">
        <v>8074</v>
      </c>
      <c r="K29" s="484">
        <f t="shared" ref="K29:K37" si="43">IF((J29-J28)&lt;0,"0",(J29-J28))</f>
        <v>0</v>
      </c>
      <c r="L29" s="96">
        <f t="shared" si="32"/>
        <v>12907</v>
      </c>
      <c r="M29" s="1">
        <v>12907</v>
      </c>
      <c r="N29" s="484">
        <f t="shared" si="33"/>
        <v>0</v>
      </c>
      <c r="O29" s="96">
        <f t="shared" si="37"/>
        <v>20375</v>
      </c>
      <c r="P29" s="390">
        <v>20379</v>
      </c>
      <c r="Q29" s="484">
        <f t="shared" si="41"/>
        <v>4</v>
      </c>
      <c r="R29" s="251"/>
      <c r="S29" s="246">
        <f t="shared" si="34"/>
        <v>60426</v>
      </c>
      <c r="T29" s="391">
        <v>60512</v>
      </c>
      <c r="U29" s="485">
        <f t="shared" si="35"/>
        <v>86</v>
      </c>
      <c r="V29" s="246" t="e">
        <f>#REF!</f>
        <v>#REF!</v>
      </c>
      <c r="W29" s="391">
        <v>73031</v>
      </c>
      <c r="X29" s="485">
        <f t="shared" si="42"/>
        <v>0</v>
      </c>
      <c r="Y29" s="246">
        <f t="shared" si="9"/>
        <v>84901</v>
      </c>
      <c r="Z29" s="391">
        <v>84941</v>
      </c>
      <c r="AA29" s="485">
        <f t="shared" si="18"/>
        <v>40</v>
      </c>
      <c r="AB29" s="630">
        <f t="shared" si="22"/>
        <v>16090</v>
      </c>
      <c r="AC29" s="631">
        <v>16108</v>
      </c>
      <c r="AD29" s="633">
        <f t="shared" si="23"/>
        <v>18</v>
      </c>
      <c r="AE29" s="246">
        <f t="shared" si="10"/>
        <v>18300</v>
      </c>
      <c r="AF29" s="392">
        <v>18300</v>
      </c>
      <c r="AG29" s="485">
        <f t="shared" si="19"/>
        <v>0</v>
      </c>
      <c r="AH29" s="246">
        <f t="shared" si="11"/>
        <v>26445</v>
      </c>
      <c r="AI29" s="392">
        <v>26466</v>
      </c>
      <c r="AJ29" s="485">
        <f t="shared" si="20"/>
        <v>21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165</v>
      </c>
    </row>
    <row r="30" spans="1:40" ht="23.1" customHeight="1">
      <c r="A30" s="58">
        <f>Gen!B35</f>
        <v>44129</v>
      </c>
      <c r="B30" s="4"/>
      <c r="C30" s="96">
        <f t="shared" si="39"/>
        <v>242859</v>
      </c>
      <c r="D30" s="1">
        <v>242907</v>
      </c>
      <c r="E30" s="484">
        <f t="shared" si="28"/>
        <v>48</v>
      </c>
      <c r="F30" s="96">
        <f t="shared" si="38"/>
        <v>38000</v>
      </c>
      <c r="G30" s="394">
        <v>38000</v>
      </c>
      <c r="H30" s="484">
        <f t="shared" si="40"/>
        <v>0</v>
      </c>
      <c r="I30" s="96">
        <f t="shared" si="31"/>
        <v>8074</v>
      </c>
      <c r="J30" s="1">
        <v>8075</v>
      </c>
      <c r="K30" s="484">
        <f t="shared" si="43"/>
        <v>1</v>
      </c>
      <c r="L30" s="96">
        <f t="shared" si="32"/>
        <v>12907</v>
      </c>
      <c r="M30" s="1">
        <v>12907</v>
      </c>
      <c r="N30" s="484">
        <f t="shared" si="33"/>
        <v>0</v>
      </c>
      <c r="O30" s="96">
        <f t="shared" si="37"/>
        <v>20379</v>
      </c>
      <c r="P30" s="390">
        <v>20383</v>
      </c>
      <c r="Q30" s="484">
        <f t="shared" si="41"/>
        <v>4</v>
      </c>
      <c r="R30" s="251"/>
      <c r="S30" s="246">
        <f t="shared" si="34"/>
        <v>60512</v>
      </c>
      <c r="T30" s="391">
        <v>60512</v>
      </c>
      <c r="U30" s="485">
        <f t="shared" si="35"/>
        <v>0</v>
      </c>
      <c r="V30" s="246">
        <f t="shared" si="30"/>
        <v>73031</v>
      </c>
      <c r="W30" s="391">
        <v>73031</v>
      </c>
      <c r="X30" s="485" t="str">
        <f t="shared" si="42"/>
        <v>0</v>
      </c>
      <c r="Y30" s="246">
        <f t="shared" si="9"/>
        <v>84941</v>
      </c>
      <c r="Z30" s="391">
        <v>84986</v>
      </c>
      <c r="AA30" s="485">
        <f t="shared" si="18"/>
        <v>45</v>
      </c>
      <c r="AB30" s="630">
        <f t="shared" si="22"/>
        <v>16108</v>
      </c>
      <c r="AC30" s="631">
        <v>16125</v>
      </c>
      <c r="AD30" s="633">
        <f t="shared" si="23"/>
        <v>17</v>
      </c>
      <c r="AE30" s="246">
        <f t="shared" si="10"/>
        <v>18300</v>
      </c>
      <c r="AF30" s="392">
        <v>18300</v>
      </c>
      <c r="AG30" s="485">
        <f t="shared" si="19"/>
        <v>0</v>
      </c>
      <c r="AH30" s="246">
        <f t="shared" si="11"/>
        <v>26466</v>
      </c>
      <c r="AI30" s="392">
        <v>26489</v>
      </c>
      <c r="AJ30" s="485">
        <f t="shared" si="20"/>
        <v>23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85</v>
      </c>
    </row>
    <row r="31" spans="1:40" ht="23.1" customHeight="1">
      <c r="A31" s="58">
        <f>Gen!B36</f>
        <v>44130</v>
      </c>
      <c r="B31" s="4"/>
      <c r="C31" s="96">
        <f t="shared" si="39"/>
        <v>242907</v>
      </c>
      <c r="D31" s="1"/>
      <c r="E31" s="484" t="str">
        <f t="shared" si="28"/>
        <v>0</v>
      </c>
      <c r="F31" s="96">
        <f t="shared" si="38"/>
        <v>0</v>
      </c>
      <c r="G31" s="394"/>
      <c r="H31" s="484" t="str">
        <f t="shared" si="40"/>
        <v>0</v>
      </c>
      <c r="I31" s="96">
        <f t="shared" si="31"/>
        <v>8075</v>
      </c>
      <c r="J31" s="1"/>
      <c r="K31" s="484" t="str">
        <f t="shared" si="43"/>
        <v>0</v>
      </c>
      <c r="L31" s="96">
        <f t="shared" si="32"/>
        <v>12907</v>
      </c>
      <c r="M31" s="1"/>
      <c r="N31" s="484" t="str">
        <f t="shared" si="33"/>
        <v>0</v>
      </c>
      <c r="O31" s="96">
        <f t="shared" si="37"/>
        <v>20383</v>
      </c>
      <c r="P31" s="390"/>
      <c r="Q31" s="484" t="str">
        <f t="shared" si="41"/>
        <v>0</v>
      </c>
      <c r="R31" s="251"/>
      <c r="S31" s="246">
        <f t="shared" si="34"/>
        <v>60512</v>
      </c>
      <c r="T31" s="391"/>
      <c r="U31" s="485" t="str">
        <f t="shared" si="35"/>
        <v>0</v>
      </c>
      <c r="V31" s="246">
        <f t="shared" si="30"/>
        <v>73031</v>
      </c>
      <c r="W31" s="391"/>
      <c r="X31" s="485" t="str">
        <f t="shared" si="17"/>
        <v>0</v>
      </c>
      <c r="Y31" s="246">
        <f t="shared" si="9"/>
        <v>84986</v>
      </c>
      <c r="Z31" s="391"/>
      <c r="AA31" s="485" t="str">
        <f t="shared" si="18"/>
        <v>0</v>
      </c>
      <c r="AB31" s="630">
        <f t="shared" si="22"/>
        <v>16125</v>
      </c>
      <c r="AC31" s="631"/>
      <c r="AD31" s="633" t="str">
        <f t="shared" si="23"/>
        <v>0</v>
      </c>
      <c r="AE31" s="246">
        <f t="shared" si="10"/>
        <v>18300</v>
      </c>
      <c r="AF31" s="392"/>
      <c r="AG31" s="485" t="str">
        <f t="shared" si="19"/>
        <v>0</v>
      </c>
      <c r="AH31" s="246">
        <f t="shared" si="11"/>
        <v>26489</v>
      </c>
      <c r="AI31" s="392"/>
      <c r="AJ31" s="485" t="str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3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3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3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3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3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3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4">U38+X38+AA38+AD38+AG38+AJ38+AM38</f>
        <v>925</v>
      </c>
    </row>
    <row r="38" spans="1:41" ht="18.75">
      <c r="A38" s="58"/>
      <c r="B38" s="22"/>
      <c r="C38" s="947" t="s">
        <v>6</v>
      </c>
      <c r="D38" s="947"/>
      <c r="E38" s="23">
        <f>SUM(E6:E36)</f>
        <v>1379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25</v>
      </c>
      <c r="L38" s="148"/>
      <c r="M38" s="148"/>
      <c r="N38" s="29">
        <f t="shared" ref="N38" si="45">M38-M37</f>
        <v>0</v>
      </c>
      <c r="O38" s="27"/>
      <c r="P38" s="248"/>
      <c r="Q38" s="249">
        <f t="shared" ref="Q38" si="46">P38-O38</f>
        <v>0</v>
      </c>
      <c r="R38" s="250">
        <f>E38</f>
        <v>1379</v>
      </c>
      <c r="S38" s="248"/>
      <c r="T38" s="248"/>
      <c r="U38" s="258">
        <f>SUM(U6:U37)</f>
        <v>925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7">IF((AI39-AI37)&lt;0,"0",(AI39-AI37))</f>
        <v>0</v>
      </c>
      <c r="AK38" s="248"/>
      <c r="AL38" s="248"/>
      <c r="AM38" s="248"/>
      <c r="AN38" s="254">
        <f t="shared" ref="AN38" si="48">U38+X38+AA38+AD38+AG38+AJ38+AM38</f>
        <v>925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6"/>
      <c r="B42" s="278"/>
      <c r="C42" s="913" t="s">
        <v>222</v>
      </c>
      <c r="D42" s="914"/>
      <c r="E42" s="914"/>
      <c r="F42" s="914"/>
      <c r="G42" s="914"/>
      <c r="H42" s="914"/>
      <c r="I42" s="914"/>
      <c r="J42" s="914"/>
      <c r="K42" s="915"/>
      <c r="R42" s="20"/>
    </row>
    <row r="43" spans="1:41" ht="24.75" customHeight="1">
      <c r="A43" s="917"/>
      <c r="B43" s="20"/>
      <c r="C43" s="919" t="s">
        <v>216</v>
      </c>
      <c r="D43" s="920"/>
      <c r="E43" s="921" t="s">
        <v>237</v>
      </c>
      <c r="F43" s="922"/>
      <c r="G43" s="923" t="s">
        <v>217</v>
      </c>
      <c r="H43" s="924"/>
      <c r="I43" s="923" t="s">
        <v>238</v>
      </c>
      <c r="J43" s="924"/>
      <c r="K43" s="911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17"/>
      <c r="B44" s="20"/>
      <c r="C44" s="925" t="s">
        <v>218</v>
      </c>
      <c r="D44" s="926"/>
      <c r="E44" s="925" t="s">
        <v>219</v>
      </c>
      <c r="F44" s="926"/>
      <c r="G44" s="925" t="s">
        <v>220</v>
      </c>
      <c r="H44" s="926"/>
      <c r="I44" s="925" t="s">
        <v>221</v>
      </c>
      <c r="J44" s="926"/>
      <c r="K44" s="912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18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9">C46*217/300</f>
        <v>217</v>
      </c>
      <c r="E46" s="6">
        <v>295</v>
      </c>
      <c r="F46" s="328">
        <f t="shared" ref="F46:F77" si="50">E46*92/305</f>
        <v>88.983606557377044</v>
      </c>
      <c r="G46" s="644">
        <v>250</v>
      </c>
      <c r="H46" s="328">
        <f t="shared" ref="H46:H77" si="51">G46*146/383</f>
        <v>95.300261096605738</v>
      </c>
      <c r="I46" s="6">
        <v>275</v>
      </c>
      <c r="J46" s="328">
        <f t="shared" ref="J46:J77" si="52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9"/>
        <v>217</v>
      </c>
      <c r="E47" s="6">
        <v>295</v>
      </c>
      <c r="F47" s="328">
        <f t="shared" si="50"/>
        <v>88.983606557377044</v>
      </c>
      <c r="G47" s="487">
        <v>215</v>
      </c>
      <c r="H47" s="328">
        <f t="shared" si="51"/>
        <v>81.958224543080945</v>
      </c>
      <c r="I47" s="6">
        <v>295</v>
      </c>
      <c r="J47" s="328">
        <f t="shared" si="52"/>
        <v>204.00974025974025</v>
      </c>
      <c r="K47" s="334">
        <f t="shared" ref="K47:K77" si="53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9"/>
        <v>213.38333333333333</v>
      </c>
      <c r="E48" s="6">
        <v>275</v>
      </c>
      <c r="F48" s="328">
        <f t="shared" si="50"/>
        <v>82.950819672131146</v>
      </c>
      <c r="G48" s="487">
        <v>245</v>
      </c>
      <c r="H48" s="328">
        <f t="shared" si="51"/>
        <v>93.394255874673632</v>
      </c>
      <c r="I48" s="6">
        <v>285</v>
      </c>
      <c r="J48" s="328">
        <f t="shared" si="52"/>
        <v>197.09415584415584</v>
      </c>
      <c r="K48" s="334">
        <f t="shared" si="53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9"/>
        <v>137.43333333333334</v>
      </c>
      <c r="E49" s="6">
        <v>175</v>
      </c>
      <c r="F49" s="328">
        <f t="shared" si="50"/>
        <v>52.786885245901637</v>
      </c>
      <c r="G49" s="487">
        <v>300</v>
      </c>
      <c r="H49" s="328">
        <f t="shared" si="51"/>
        <v>114.36031331592689</v>
      </c>
      <c r="I49" s="6">
        <v>280</v>
      </c>
      <c r="J49" s="328">
        <f t="shared" si="52"/>
        <v>193.63636363636363</v>
      </c>
      <c r="K49" s="334">
        <f t="shared" si="53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9"/>
        <v>217</v>
      </c>
      <c r="E50" s="6">
        <v>300</v>
      </c>
      <c r="F50" s="328">
        <f t="shared" si="50"/>
        <v>90.491803278688522</v>
      </c>
      <c r="G50" s="487">
        <v>200</v>
      </c>
      <c r="H50" s="328">
        <f t="shared" si="51"/>
        <v>76.240208877284601</v>
      </c>
      <c r="I50" s="6">
        <v>285</v>
      </c>
      <c r="J50" s="328">
        <f t="shared" si="52"/>
        <v>197.09415584415584</v>
      </c>
      <c r="K50" s="334">
        <f t="shared" si="53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9"/>
        <v>209.76666666666668</v>
      </c>
      <c r="E51" s="6">
        <v>245</v>
      </c>
      <c r="F51" s="328">
        <f t="shared" si="50"/>
        <v>73.901639344262293</v>
      </c>
      <c r="G51" s="487">
        <v>235</v>
      </c>
      <c r="H51" s="328">
        <f t="shared" si="51"/>
        <v>89.582245430809394</v>
      </c>
      <c r="I51" s="6">
        <v>290</v>
      </c>
      <c r="J51" s="328">
        <f t="shared" si="52"/>
        <v>200.55194805194805</v>
      </c>
      <c r="K51" s="334">
        <f t="shared" si="53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9"/>
        <v>217</v>
      </c>
      <c r="E52" s="6">
        <v>285</v>
      </c>
      <c r="F52" s="328">
        <f t="shared" si="50"/>
        <v>85.967213114754102</v>
      </c>
      <c r="G52" s="487">
        <v>275</v>
      </c>
      <c r="H52" s="328">
        <f t="shared" si="51"/>
        <v>104.83028720626632</v>
      </c>
      <c r="I52" s="6">
        <v>280</v>
      </c>
      <c r="J52" s="328">
        <f t="shared" si="52"/>
        <v>193.63636363636363</v>
      </c>
      <c r="K52" s="334">
        <f t="shared" si="53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9"/>
        <v>198.91666666666666</v>
      </c>
      <c r="E53" s="6">
        <v>245</v>
      </c>
      <c r="F53" s="328">
        <f t="shared" si="50"/>
        <v>73.901639344262293</v>
      </c>
      <c r="G53" s="487">
        <v>205</v>
      </c>
      <c r="H53" s="328">
        <f t="shared" si="51"/>
        <v>78.146214099216706</v>
      </c>
      <c r="I53" s="6">
        <v>285</v>
      </c>
      <c r="J53" s="328">
        <f t="shared" si="52"/>
        <v>197.09415584415584</v>
      </c>
      <c r="K53" s="334">
        <f t="shared" si="53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9"/>
        <v>151.9</v>
      </c>
      <c r="E54" s="6">
        <v>100</v>
      </c>
      <c r="F54" s="328">
        <f t="shared" si="50"/>
        <v>30.16393442622951</v>
      </c>
      <c r="G54" s="487">
        <v>220</v>
      </c>
      <c r="H54" s="328">
        <f t="shared" si="51"/>
        <v>83.86422976501305</v>
      </c>
      <c r="I54" s="6">
        <v>290</v>
      </c>
      <c r="J54" s="328">
        <f t="shared" si="52"/>
        <v>200.55194805194805</v>
      </c>
      <c r="K54" s="334">
        <f t="shared" si="53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9"/>
        <v>148.28333333333333</v>
      </c>
      <c r="E55" s="6">
        <v>165</v>
      </c>
      <c r="F55" s="328">
        <f t="shared" si="50"/>
        <v>49.770491803278688</v>
      </c>
      <c r="G55" s="487">
        <v>300</v>
      </c>
      <c r="H55" s="328">
        <f t="shared" si="51"/>
        <v>114.36031331592689</v>
      </c>
      <c r="I55" s="6">
        <v>275</v>
      </c>
      <c r="J55" s="328">
        <f t="shared" si="52"/>
        <v>190.17857142857142</v>
      </c>
      <c r="K55" s="334">
        <f t="shared" si="53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9"/>
        <v>206.15</v>
      </c>
      <c r="E56" s="6">
        <v>245</v>
      </c>
      <c r="F56" s="328">
        <f t="shared" si="50"/>
        <v>73.901639344262293</v>
      </c>
      <c r="G56" s="487">
        <v>150</v>
      </c>
      <c r="H56" s="328">
        <f t="shared" si="51"/>
        <v>57.180156657963444</v>
      </c>
      <c r="I56" s="6">
        <v>300</v>
      </c>
      <c r="J56" s="328">
        <f t="shared" si="52"/>
        <v>207.46753246753246</v>
      </c>
      <c r="K56" s="334">
        <f t="shared" si="53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9"/>
        <v>162.75</v>
      </c>
      <c r="E57" s="6">
        <v>180</v>
      </c>
      <c r="F57" s="328">
        <f t="shared" si="50"/>
        <v>54.295081967213115</v>
      </c>
      <c r="G57" s="487">
        <v>300</v>
      </c>
      <c r="H57" s="328">
        <f t="shared" si="51"/>
        <v>114.36031331592689</v>
      </c>
      <c r="I57" s="6">
        <v>285</v>
      </c>
      <c r="J57" s="328">
        <f t="shared" si="52"/>
        <v>197.09415584415584</v>
      </c>
      <c r="K57" s="334">
        <f t="shared" si="53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9"/>
        <v>217</v>
      </c>
      <c r="E58" s="6">
        <v>295</v>
      </c>
      <c r="F58" s="328">
        <f t="shared" si="50"/>
        <v>88.983606557377044</v>
      </c>
      <c r="G58" s="487">
        <v>220</v>
      </c>
      <c r="H58" s="328">
        <f t="shared" si="51"/>
        <v>83.86422976501305</v>
      </c>
      <c r="I58" s="6">
        <v>185</v>
      </c>
      <c r="J58" s="328">
        <f t="shared" si="52"/>
        <v>127.93831168831169</v>
      </c>
      <c r="K58" s="334">
        <f t="shared" si="53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9"/>
        <v>191.68333333333334</v>
      </c>
      <c r="E59" s="6">
        <v>230</v>
      </c>
      <c r="F59" s="328">
        <f t="shared" si="50"/>
        <v>69.377049180327873</v>
      </c>
      <c r="G59" s="487">
        <v>300</v>
      </c>
      <c r="H59" s="328">
        <f t="shared" si="51"/>
        <v>114.36031331592689</v>
      </c>
      <c r="I59" s="6">
        <v>295</v>
      </c>
      <c r="J59" s="328">
        <f t="shared" si="52"/>
        <v>204.00974025974025</v>
      </c>
      <c r="K59" s="334">
        <f t="shared" si="53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9"/>
        <v>217</v>
      </c>
      <c r="E60" s="6">
        <v>295</v>
      </c>
      <c r="F60" s="328">
        <f t="shared" si="50"/>
        <v>88.983606557377044</v>
      </c>
      <c r="G60" s="487">
        <v>265</v>
      </c>
      <c r="H60" s="328">
        <f t="shared" si="51"/>
        <v>101.0182767624021</v>
      </c>
      <c r="I60" s="6">
        <v>295</v>
      </c>
      <c r="J60" s="328">
        <f t="shared" si="52"/>
        <v>204.00974025974025</v>
      </c>
      <c r="K60" s="334">
        <f t="shared" si="53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9"/>
        <v>217</v>
      </c>
      <c r="E61" s="6">
        <v>295</v>
      </c>
      <c r="F61" s="328">
        <f t="shared" si="50"/>
        <v>88.983606557377044</v>
      </c>
      <c r="G61" s="487">
        <v>260</v>
      </c>
      <c r="H61" s="328">
        <f t="shared" si="51"/>
        <v>99.112271540469976</v>
      </c>
      <c r="I61" s="6">
        <v>295</v>
      </c>
      <c r="J61" s="328">
        <f t="shared" si="52"/>
        <v>204.00974025974025</v>
      </c>
      <c r="K61" s="334">
        <f t="shared" si="53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9"/>
        <v>217</v>
      </c>
      <c r="E62" s="6">
        <v>295</v>
      </c>
      <c r="F62" s="328">
        <f t="shared" si="50"/>
        <v>88.983606557377044</v>
      </c>
      <c r="G62" s="487">
        <v>285</v>
      </c>
      <c r="H62" s="328">
        <f t="shared" si="51"/>
        <v>108.64229765013054</v>
      </c>
      <c r="I62" s="6">
        <v>285</v>
      </c>
      <c r="J62" s="328">
        <f t="shared" si="52"/>
        <v>197.09415584415584</v>
      </c>
      <c r="K62" s="334">
        <f t="shared" si="53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9"/>
        <v>167.09</v>
      </c>
      <c r="E63" s="6">
        <v>195</v>
      </c>
      <c r="F63" s="328">
        <f t="shared" si="50"/>
        <v>58.819672131147541</v>
      </c>
      <c r="G63" s="487">
        <v>300</v>
      </c>
      <c r="H63" s="328">
        <f t="shared" si="51"/>
        <v>114.36031331592689</v>
      </c>
      <c r="I63" s="6">
        <v>295</v>
      </c>
      <c r="J63" s="328">
        <f t="shared" si="52"/>
        <v>204.00974025974025</v>
      </c>
      <c r="K63" s="334">
        <f t="shared" si="53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9"/>
        <v>156.24</v>
      </c>
      <c r="E64" s="6">
        <v>180</v>
      </c>
      <c r="F64" s="328">
        <f t="shared" si="50"/>
        <v>54.295081967213115</v>
      </c>
      <c r="G64" s="487">
        <v>255</v>
      </c>
      <c r="H64" s="328">
        <f t="shared" si="51"/>
        <v>97.206266318537857</v>
      </c>
      <c r="I64" s="6">
        <v>292</v>
      </c>
      <c r="J64" s="328">
        <f t="shared" si="52"/>
        <v>201.93506493506493</v>
      </c>
      <c r="K64" s="334">
        <f t="shared" si="53"/>
        <v>509.6764132208159</v>
      </c>
    </row>
    <row r="65" spans="1:11" ht="13.5">
      <c r="A65" s="294">
        <f>Gen!B30</f>
        <v>44124</v>
      </c>
      <c r="B65" s="20"/>
      <c r="C65" s="63">
        <v>185</v>
      </c>
      <c r="D65" s="328">
        <f t="shared" si="49"/>
        <v>133.81666666666666</v>
      </c>
      <c r="E65" s="6">
        <v>150</v>
      </c>
      <c r="F65" s="328">
        <f t="shared" si="50"/>
        <v>45.245901639344261</v>
      </c>
      <c r="G65" s="487">
        <v>275</v>
      </c>
      <c r="H65" s="328">
        <f t="shared" si="51"/>
        <v>104.83028720626632</v>
      </c>
      <c r="I65" s="6">
        <v>295</v>
      </c>
      <c r="J65" s="328">
        <f t="shared" si="52"/>
        <v>204.00974025974025</v>
      </c>
      <c r="K65" s="334">
        <f t="shared" si="53"/>
        <v>487.90259577201755</v>
      </c>
    </row>
    <row r="66" spans="1:11" ht="13.5">
      <c r="A66" s="294">
        <f>Gen!B31</f>
        <v>44125</v>
      </c>
      <c r="B66" s="20"/>
      <c r="C66" s="63">
        <v>158</v>
      </c>
      <c r="D66" s="328">
        <f t="shared" si="49"/>
        <v>114.28666666666666</v>
      </c>
      <c r="E66" s="6">
        <v>122</v>
      </c>
      <c r="F66" s="328">
        <f t="shared" si="50"/>
        <v>36.799999999999997</v>
      </c>
      <c r="G66" s="487">
        <v>205</v>
      </c>
      <c r="H66" s="328">
        <f t="shared" si="51"/>
        <v>78.146214099216706</v>
      </c>
      <c r="I66" s="6">
        <v>290</v>
      </c>
      <c r="J66" s="328">
        <f t="shared" si="52"/>
        <v>200.55194805194805</v>
      </c>
      <c r="K66" s="334">
        <f t="shared" si="53"/>
        <v>429.7848288178314</v>
      </c>
    </row>
    <row r="67" spans="1:11" ht="13.5">
      <c r="A67" s="294">
        <f>Gen!B32</f>
        <v>44126</v>
      </c>
      <c r="B67" s="20"/>
      <c r="C67" s="63">
        <v>150</v>
      </c>
      <c r="D67" s="328">
        <f t="shared" si="49"/>
        <v>108.5</v>
      </c>
      <c r="E67" s="6">
        <v>110</v>
      </c>
      <c r="F67" s="328">
        <f t="shared" si="50"/>
        <v>33.180327868852459</v>
      </c>
      <c r="G67" s="487">
        <v>160</v>
      </c>
      <c r="H67" s="328">
        <f t="shared" si="51"/>
        <v>60.992167101827675</v>
      </c>
      <c r="I67" s="6">
        <v>290</v>
      </c>
      <c r="J67" s="328">
        <f t="shared" si="52"/>
        <v>200.55194805194805</v>
      </c>
      <c r="K67" s="334">
        <f t="shared" si="53"/>
        <v>403.22444302262818</v>
      </c>
    </row>
    <row r="68" spans="1:11" ht="13.5">
      <c r="A68" s="294">
        <f>Gen!B33</f>
        <v>44127</v>
      </c>
      <c r="B68" s="20"/>
      <c r="C68" s="63">
        <v>210</v>
      </c>
      <c r="D68" s="328">
        <f t="shared" si="49"/>
        <v>151.9</v>
      </c>
      <c r="E68" s="6">
        <v>175</v>
      </c>
      <c r="F68" s="328">
        <f t="shared" si="50"/>
        <v>52.786885245901637</v>
      </c>
      <c r="G68" s="487">
        <v>135</v>
      </c>
      <c r="H68" s="328">
        <f t="shared" si="51"/>
        <v>51.4621409921671</v>
      </c>
      <c r="I68" s="6">
        <v>285</v>
      </c>
      <c r="J68" s="328">
        <f t="shared" si="52"/>
        <v>197.09415584415584</v>
      </c>
      <c r="K68" s="334">
        <f t="shared" si="53"/>
        <v>453.24318208222462</v>
      </c>
    </row>
    <row r="69" spans="1:11" ht="13.5">
      <c r="A69" s="294">
        <f>Gen!B34</f>
        <v>44128</v>
      </c>
      <c r="B69" s="20"/>
      <c r="C69" s="63">
        <v>280</v>
      </c>
      <c r="D69" s="328">
        <f t="shared" si="49"/>
        <v>202.53333333333333</v>
      </c>
      <c r="E69" s="6">
        <v>245</v>
      </c>
      <c r="F69" s="328">
        <f t="shared" si="50"/>
        <v>73.901639344262293</v>
      </c>
      <c r="G69" s="487">
        <v>140</v>
      </c>
      <c r="H69" s="328">
        <f t="shared" si="51"/>
        <v>53.36814621409922</v>
      </c>
      <c r="I69" s="6">
        <v>292</v>
      </c>
      <c r="J69" s="328">
        <f t="shared" si="52"/>
        <v>201.93506493506493</v>
      </c>
      <c r="K69" s="334">
        <f t="shared" si="53"/>
        <v>531.73818382675972</v>
      </c>
    </row>
    <row r="70" spans="1:11" ht="13.5">
      <c r="A70" s="294">
        <f>Gen!B35</f>
        <v>44129</v>
      </c>
      <c r="B70" s="20"/>
      <c r="C70" s="63">
        <v>300</v>
      </c>
      <c r="D70" s="328">
        <f t="shared" si="49"/>
        <v>217</v>
      </c>
      <c r="E70" s="6">
        <v>295</v>
      </c>
      <c r="F70" s="328">
        <f t="shared" si="50"/>
        <v>88.983606557377044</v>
      </c>
      <c r="G70" s="487">
        <v>165</v>
      </c>
      <c r="H70" s="328">
        <f t="shared" si="51"/>
        <v>62.898172323759788</v>
      </c>
      <c r="I70" s="6">
        <v>295</v>
      </c>
      <c r="J70" s="328">
        <f t="shared" si="52"/>
        <v>204.00974025974025</v>
      </c>
      <c r="K70" s="334">
        <f t="shared" si="53"/>
        <v>572.89151914087711</v>
      </c>
    </row>
    <row r="71" spans="1:11" ht="13.5">
      <c r="A71" s="294">
        <f>Gen!B36</f>
        <v>44130</v>
      </c>
      <c r="B71" s="20"/>
      <c r="C71" s="63">
        <v>281</v>
      </c>
      <c r="D71" s="328">
        <f t="shared" si="49"/>
        <v>203.25666666666666</v>
      </c>
      <c r="E71" s="6">
        <v>245</v>
      </c>
      <c r="F71" s="328">
        <f t="shared" si="50"/>
        <v>73.901639344262293</v>
      </c>
      <c r="G71" s="487">
        <v>155</v>
      </c>
      <c r="H71" s="328">
        <f t="shared" si="51"/>
        <v>59.086161879895563</v>
      </c>
      <c r="I71" s="6">
        <v>291</v>
      </c>
      <c r="J71" s="328">
        <f t="shared" si="52"/>
        <v>201.24350649350649</v>
      </c>
      <c r="K71" s="334">
        <f t="shared" si="53"/>
        <v>537.48797438433098</v>
      </c>
    </row>
    <row r="72" spans="1:11" ht="13.5">
      <c r="A72" s="294">
        <f>Gen!B37</f>
        <v>44131</v>
      </c>
      <c r="B72" s="20"/>
      <c r="C72" s="63"/>
      <c r="D72" s="328">
        <f t="shared" si="49"/>
        <v>0</v>
      </c>
      <c r="E72" s="6"/>
      <c r="F72" s="328">
        <f t="shared" si="50"/>
        <v>0</v>
      </c>
      <c r="G72" s="487"/>
      <c r="H72" s="328">
        <f t="shared" si="51"/>
        <v>0</v>
      </c>
      <c r="I72" s="6"/>
      <c r="J72" s="328">
        <f t="shared" si="52"/>
        <v>0</v>
      </c>
      <c r="K72" s="334">
        <f t="shared" si="53"/>
        <v>0</v>
      </c>
    </row>
    <row r="73" spans="1:11" ht="13.5">
      <c r="A73" s="294">
        <f>Gen!B38</f>
        <v>44132</v>
      </c>
      <c r="B73" s="20"/>
      <c r="C73" s="63"/>
      <c r="D73" s="328">
        <f t="shared" si="49"/>
        <v>0</v>
      </c>
      <c r="E73" s="6"/>
      <c r="F73" s="328">
        <f t="shared" si="50"/>
        <v>0</v>
      </c>
      <c r="G73" s="487"/>
      <c r="H73" s="328">
        <f t="shared" si="51"/>
        <v>0</v>
      </c>
      <c r="I73" s="6"/>
      <c r="J73" s="328">
        <f t="shared" si="52"/>
        <v>0</v>
      </c>
      <c r="K73" s="334">
        <f t="shared" si="53"/>
        <v>0</v>
      </c>
    </row>
    <row r="74" spans="1:11" ht="13.5">
      <c r="A74" s="294">
        <f>Gen!B39</f>
        <v>44133</v>
      </c>
      <c r="B74" s="20"/>
      <c r="C74" s="63"/>
      <c r="D74" s="328">
        <f t="shared" si="49"/>
        <v>0</v>
      </c>
      <c r="E74" s="6"/>
      <c r="F74" s="328">
        <f t="shared" si="50"/>
        <v>0</v>
      </c>
      <c r="G74" s="487"/>
      <c r="H74" s="328">
        <f t="shared" si="51"/>
        <v>0</v>
      </c>
      <c r="I74" s="6"/>
      <c r="J74" s="328">
        <f t="shared" si="52"/>
        <v>0</v>
      </c>
      <c r="K74" s="334">
        <f t="shared" si="53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9"/>
        <v>0</v>
      </c>
      <c r="E75" s="6"/>
      <c r="F75" s="328">
        <f t="shared" si="50"/>
        <v>0</v>
      </c>
      <c r="G75" s="487"/>
      <c r="H75" s="328">
        <f t="shared" si="51"/>
        <v>0</v>
      </c>
      <c r="I75" s="6"/>
      <c r="J75" s="328">
        <f t="shared" si="52"/>
        <v>0</v>
      </c>
      <c r="K75" s="334">
        <f t="shared" si="53"/>
        <v>0</v>
      </c>
    </row>
    <row r="76" spans="1:11" ht="13.5">
      <c r="A76" s="294">
        <f>Gen!B41</f>
        <v>44135</v>
      </c>
      <c r="C76" s="63"/>
      <c r="D76" s="328">
        <f t="shared" si="49"/>
        <v>0</v>
      </c>
      <c r="E76" s="6"/>
      <c r="F76" s="328">
        <f t="shared" si="50"/>
        <v>0</v>
      </c>
      <c r="G76" s="487"/>
      <c r="H76" s="328">
        <f t="shared" si="51"/>
        <v>0</v>
      </c>
      <c r="I76" s="6"/>
      <c r="J76" s="328">
        <f t="shared" si="52"/>
        <v>0</v>
      </c>
      <c r="K76" s="334">
        <f t="shared" si="53"/>
        <v>0</v>
      </c>
    </row>
    <row r="77" spans="1:11" ht="14.25" thickBot="1">
      <c r="A77" s="294">
        <f>Gen!B42</f>
        <v>44136</v>
      </c>
      <c r="C77" s="63"/>
      <c r="D77" s="328">
        <f t="shared" si="49"/>
        <v>0</v>
      </c>
      <c r="E77" s="6"/>
      <c r="F77" s="328">
        <f t="shared" si="50"/>
        <v>0</v>
      </c>
      <c r="G77" s="487"/>
      <c r="H77" s="328">
        <f t="shared" si="51"/>
        <v>0</v>
      </c>
      <c r="I77" s="6"/>
      <c r="J77" s="328">
        <f t="shared" si="52"/>
        <v>0</v>
      </c>
      <c r="K77" s="335">
        <f t="shared" si="53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2" t="s">
        <v>317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2360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2624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92.707999999966717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114.89002777773653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2673</v>
      </c>
      <c r="G23" s="86">
        <f>Gen!T29</f>
        <v>1119.3499999999999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58</v>
      </c>
      <c r="L23" s="457">
        <f>'Lpg (2)'!G28</f>
        <v>93.015999999997447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3.7348484848484849</v>
      </c>
      <c r="U23" s="123">
        <f t="shared" si="6"/>
        <v>115.27172222221905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0.1169</v>
      </c>
      <c r="D24" s="443">
        <f t="shared" si="2"/>
        <v>9.0013000000000005</v>
      </c>
      <c r="E24" s="75"/>
      <c r="F24" s="71">
        <f>Gen!U30</f>
        <v>2496</v>
      </c>
      <c r="G24" s="86">
        <f>Gen!T30</f>
        <v>1055.8400000000001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77</v>
      </c>
      <c r="L24" s="457">
        <f>'Lpg (2)'!G29</f>
        <v>100.14399999997696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4.958333333333333</v>
      </c>
      <c r="U24" s="123">
        <f t="shared" si="6"/>
        <v>124.10522222219366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0.1089</v>
      </c>
      <c r="D25" s="443">
        <f t="shared" si="2"/>
        <v>8.3852999999999991</v>
      </c>
      <c r="E25" s="75"/>
      <c r="F25" s="71">
        <f>Gen!U31</f>
        <v>2329</v>
      </c>
      <c r="G25" s="86">
        <f>Gen!T31</f>
        <v>1011.91</v>
      </c>
      <c r="H25" s="86">
        <f>[1]Gen!AJ31</f>
        <v>172.05</v>
      </c>
      <c r="I25" s="86">
        <f t="shared" si="0"/>
        <v>1183.96</v>
      </c>
      <c r="J25" s="86">
        <f>[1]Gen!AT31</f>
        <v>41422.370000000032</v>
      </c>
      <c r="K25" s="70">
        <f>'Water-Meter'!E26</f>
        <v>58</v>
      </c>
      <c r="L25" s="457">
        <f>'Lpg (2)'!G30</f>
        <v>79.2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2616374.0060000001</v>
      </c>
      <c r="R25" s="77">
        <f t="shared" si="3"/>
        <v>196.98177362934439</v>
      </c>
      <c r="S25" s="447" t="e">
        <f t="shared" si="4"/>
        <v>#DIV/0!</v>
      </c>
      <c r="T25" s="77">
        <f t="shared" si="5"/>
        <v>3.7348484848484849</v>
      </c>
      <c r="U25" s="123">
        <f t="shared" si="6"/>
        <v>98.15</v>
      </c>
      <c r="V25" s="18">
        <f t="shared" si="7"/>
        <v>2616475.8908484848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0.10390000000000001</v>
      </c>
      <c r="D26" s="443">
        <f t="shared" si="2"/>
        <v>8.0003000000000011</v>
      </c>
      <c r="E26" s="75"/>
      <c r="F26" s="71">
        <f>Gen!U32</f>
        <v>2677</v>
      </c>
      <c r="G26" s="86">
        <f>Gen!T32</f>
        <v>1044.28</v>
      </c>
      <c r="H26" s="86">
        <f>[1]Gen!AJ32</f>
        <v>18.63</v>
      </c>
      <c r="I26" s="86">
        <f t="shared" si="0"/>
        <v>1062.9100000000001</v>
      </c>
      <c r="J26" s="86">
        <f>[1]Gen!AT32</f>
        <v>38988.160000000033</v>
      </c>
      <c r="K26" s="70">
        <f>'Water-Meter'!E27</f>
        <v>48</v>
      </c>
      <c r="L26" s="457">
        <f>'Lpg (2)'!G31</f>
        <v>84.436000000010253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2348871.6635000003</v>
      </c>
      <c r="R26" s="77">
        <f t="shared" si="3"/>
        <v>185.35223990811201</v>
      </c>
      <c r="S26" s="447" t="e">
        <f t="shared" si="4"/>
        <v>#DIV/0!</v>
      </c>
      <c r="T26" s="77">
        <f t="shared" si="5"/>
        <v>3.0909090909090908</v>
      </c>
      <c r="U26" s="123">
        <f t="shared" si="6"/>
        <v>104.63880555556827</v>
      </c>
      <c r="V26" s="18">
        <f t="shared" si="7"/>
        <v>2348979.3932146467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9.0899999999999995E-2</v>
      </c>
      <c r="D27" s="443">
        <f t="shared" si="2"/>
        <v>6.9992999999999999</v>
      </c>
      <c r="E27" s="75"/>
      <c r="F27" s="71">
        <f>Gen!U33</f>
        <v>2763</v>
      </c>
      <c r="G27" s="86">
        <f>Gen!T33</f>
        <v>1163.1300000000001</v>
      </c>
      <c r="H27" s="86">
        <f>[1]Gen!AJ33</f>
        <v>311.34000000000003</v>
      </c>
      <c r="I27" s="86">
        <f t="shared" si="0"/>
        <v>1474.4700000000003</v>
      </c>
      <c r="J27" s="86">
        <f>[1]Gen!AT33</f>
        <v>36682.670000000035</v>
      </c>
      <c r="K27" s="70">
        <f>'Water-Meter'!E28</f>
        <v>55</v>
      </c>
      <c r="L27" s="457">
        <f>'Lpg (2)'!G32</f>
        <v>30.888000000017932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3258357.5295000006</v>
      </c>
      <c r="R27" s="77">
        <f t="shared" si="3"/>
        <v>293.89280283547845</v>
      </c>
      <c r="S27" s="447" t="e">
        <f t="shared" si="4"/>
        <v>#DIV/0!</v>
      </c>
      <c r="T27" s="77">
        <f t="shared" si="5"/>
        <v>3.5416666666666665</v>
      </c>
      <c r="U27" s="123">
        <f t="shared" si="6"/>
        <v>38.27850000002222</v>
      </c>
      <c r="V27" s="18">
        <f t="shared" si="7"/>
        <v>3258399.3496666672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9.0899999999999995E-2</v>
      </c>
      <c r="D28" s="443">
        <f t="shared" si="2"/>
        <v>6.9992999999999999</v>
      </c>
      <c r="E28" s="75"/>
      <c r="F28" s="71">
        <f>Gen!U34</f>
        <v>2761</v>
      </c>
      <c r="G28" s="86">
        <f>Gen!T34</f>
        <v>1029.31</v>
      </c>
      <c r="H28" s="86">
        <f>[1]Gen!AJ34</f>
        <v>380.7</v>
      </c>
      <c r="I28" s="86">
        <f t="shared" si="0"/>
        <v>1410.01</v>
      </c>
      <c r="J28" s="86">
        <f>[1]Gen!AT34</f>
        <v>44223.030000000035</v>
      </c>
      <c r="K28" s="70">
        <f>'Water-Meter'!E29</f>
        <v>54</v>
      </c>
      <c r="L28" s="457">
        <f>'Lpg (2)'!G33</f>
        <v>44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3115910.5984999998</v>
      </c>
      <c r="R28" s="77">
        <f t="shared" si="3"/>
        <v>281.04457257594447</v>
      </c>
      <c r="S28" s="447" t="e">
        <f t="shared" si="4"/>
        <v>#DIV/0!</v>
      </c>
      <c r="T28" s="77">
        <f t="shared" si="5"/>
        <v>3.4772727272727271</v>
      </c>
      <c r="U28" s="123">
        <f t="shared" si="6"/>
        <v>54.527777777777779</v>
      </c>
      <c r="V28" s="18">
        <f t="shared" si="7"/>
        <v>3115968.6035505049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9.0899999999999995E-2</v>
      </c>
      <c r="D29" s="443">
        <f t="shared" si="2"/>
        <v>6.9992999999999999</v>
      </c>
      <c r="E29" s="75"/>
      <c r="F29" s="71">
        <f>Gen!U35</f>
        <v>2695</v>
      </c>
      <c r="G29" s="86">
        <f>Gen!T35</f>
        <v>1100.5899999999999</v>
      </c>
      <c r="H29" s="86">
        <f>[1]Gen!AJ35</f>
        <v>273.37</v>
      </c>
      <c r="I29" s="86">
        <f t="shared" si="0"/>
        <v>1373.96</v>
      </c>
      <c r="J29" s="86">
        <f>[1]Gen!AT35</f>
        <v>41629.060000000034</v>
      </c>
      <c r="K29" s="70">
        <f>'Water-Meter'!E30</f>
        <v>48</v>
      </c>
      <c r="L29" s="457">
        <f>'Lpg (2)'!G34</f>
        <v>86.020000000012814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3036245.5060000001</v>
      </c>
      <c r="R29" s="77">
        <f t="shared" si="3"/>
        <v>273.85905130917132</v>
      </c>
      <c r="S29" s="447" t="e">
        <f t="shared" si="4"/>
        <v>#DIV/0!</v>
      </c>
      <c r="T29" s="77">
        <f t="shared" si="5"/>
        <v>3.0909090909090908</v>
      </c>
      <c r="U29" s="123">
        <f t="shared" si="6"/>
        <v>106.60180555557143</v>
      </c>
      <c r="V29" s="18">
        <f t="shared" si="7"/>
        <v>3036355.1987146465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2.5999999999999999E-2</v>
      </c>
      <c r="D30" s="443">
        <f t="shared" si="2"/>
        <v>2.0019999999999998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 t="str">
        <f>'Water-Meter'!E31</f>
        <v>0</v>
      </c>
      <c r="L30" s="457">
        <f>'Lpg (2)'!G35</f>
        <v>-320696.42000000004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>
        <f t="shared" si="3"/>
        <v>276.34553451598907</v>
      </c>
      <c r="S30" s="447" t="e">
        <f t="shared" si="4"/>
        <v>#DIV/0!</v>
      </c>
      <c r="T30" s="77">
        <f t="shared" si="5"/>
        <v>0</v>
      </c>
      <c r="U30" s="123">
        <f t="shared" si="6"/>
        <v>-397428.70736111113</v>
      </c>
      <c r="V30" s="18">
        <f t="shared" si="7"/>
        <v>478909.4086388888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1379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8" t="s">
        <v>180</v>
      </c>
      <c r="B1" s="949"/>
      <c r="C1" s="949"/>
      <c r="D1" s="949"/>
      <c r="E1" s="949"/>
      <c r="F1" s="949"/>
      <c r="G1" s="950"/>
    </row>
    <row r="2" spans="1:7" ht="13.5" thickBot="1">
      <c r="A2" s="302"/>
      <c r="B2" s="951" t="s">
        <v>175</v>
      </c>
      <c r="C2" s="952"/>
      <c r="D2" s="953"/>
      <c r="E2" s="951" t="s">
        <v>176</v>
      </c>
      <c r="F2" s="952"/>
      <c r="G2" s="953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E39" sqref="E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8" t="s">
        <v>230</v>
      </c>
      <c r="B1" s="949"/>
      <c r="C1" s="949"/>
      <c r="D1" s="949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5">
        <v>8470098</v>
      </c>
      <c r="D36" s="399">
        <f t="shared" si="1"/>
        <v>15727</v>
      </c>
      <c r="E36" s="845">
        <v>15726.66</v>
      </c>
      <c r="F36" s="498">
        <f t="shared" si="2"/>
        <v>0.34000000000014552</v>
      </c>
      <c r="G36" s="499">
        <f t="shared" si="3"/>
        <v>270861</v>
      </c>
      <c r="H36" s="845">
        <v>271447</v>
      </c>
      <c r="I36" s="270">
        <f t="shared" si="4"/>
        <v>586</v>
      </c>
      <c r="J36" s="845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4"/>
      <c r="C76" s="955"/>
      <c r="D76" s="955"/>
      <c r="E76" s="956"/>
      <c r="H76" s="954"/>
      <c r="I76" s="955"/>
      <c r="J76" s="955"/>
      <c r="K76" s="955"/>
      <c r="L76" s="956"/>
    </row>
    <row r="77" spans="1:12">
      <c r="B77" s="957"/>
      <c r="C77" s="958"/>
      <c r="D77" s="958"/>
      <c r="E77" s="959"/>
      <c r="H77" s="957"/>
      <c r="I77" s="958"/>
      <c r="J77" s="958"/>
      <c r="K77" s="958"/>
      <c r="L77" s="959"/>
    </row>
    <row r="78" spans="1:12">
      <c r="B78" s="957"/>
      <c r="C78" s="958"/>
      <c r="D78" s="958"/>
      <c r="E78" s="959"/>
      <c r="H78" s="957"/>
      <c r="I78" s="958"/>
      <c r="J78" s="958"/>
      <c r="K78" s="958"/>
      <c r="L78" s="959"/>
    </row>
    <row r="79" spans="1:12">
      <c r="B79" s="957"/>
      <c r="C79" s="958"/>
      <c r="D79" s="958"/>
      <c r="E79" s="959"/>
      <c r="H79" s="957"/>
      <c r="I79" s="958"/>
      <c r="J79" s="958"/>
      <c r="K79" s="958"/>
      <c r="L79" s="959"/>
    </row>
    <row r="80" spans="1:12">
      <c r="B80" s="957"/>
      <c r="C80" s="958"/>
      <c r="D80" s="958"/>
      <c r="E80" s="959"/>
      <c r="H80" s="957"/>
      <c r="I80" s="958"/>
      <c r="J80" s="958"/>
      <c r="K80" s="958"/>
      <c r="L80" s="959"/>
    </row>
    <row r="81" spans="2:12">
      <c r="B81" s="957"/>
      <c r="C81" s="958"/>
      <c r="D81" s="958"/>
      <c r="E81" s="959"/>
      <c r="H81" s="957"/>
      <c r="I81" s="958"/>
      <c r="J81" s="958"/>
      <c r="K81" s="958"/>
      <c r="L81" s="959"/>
    </row>
    <row r="82" spans="2:12">
      <c r="B82" s="957"/>
      <c r="C82" s="958"/>
      <c r="D82" s="958"/>
      <c r="E82" s="959"/>
      <c r="H82" s="957"/>
      <c r="I82" s="958"/>
      <c r="J82" s="958"/>
      <c r="K82" s="958"/>
      <c r="L82" s="959"/>
    </row>
    <row r="83" spans="2:12">
      <c r="B83" s="957"/>
      <c r="C83" s="958"/>
      <c r="D83" s="958"/>
      <c r="E83" s="959"/>
      <c r="H83" s="957"/>
      <c r="I83" s="958"/>
      <c r="J83" s="958"/>
      <c r="K83" s="958"/>
      <c r="L83" s="959"/>
    </row>
    <row r="84" spans="2:12">
      <c r="B84" s="957"/>
      <c r="C84" s="958"/>
      <c r="D84" s="958"/>
      <c r="E84" s="959"/>
      <c r="H84" s="957"/>
      <c r="I84" s="958"/>
      <c r="J84" s="958"/>
      <c r="K84" s="958"/>
      <c r="L84" s="959"/>
    </row>
    <row r="85" spans="2:12">
      <c r="B85" s="957"/>
      <c r="C85" s="958"/>
      <c r="D85" s="958"/>
      <c r="E85" s="959"/>
      <c r="H85" s="957"/>
      <c r="I85" s="958"/>
      <c r="J85" s="958"/>
      <c r="K85" s="958"/>
      <c r="L85" s="959"/>
    </row>
    <row r="86" spans="2:12">
      <c r="B86" s="957"/>
      <c r="C86" s="958"/>
      <c r="D86" s="958"/>
      <c r="E86" s="959"/>
      <c r="H86" s="957"/>
      <c r="I86" s="958"/>
      <c r="J86" s="958"/>
      <c r="K86" s="958"/>
      <c r="L86" s="959"/>
    </row>
    <row r="87" spans="2:12">
      <c r="B87" s="957"/>
      <c r="C87" s="958"/>
      <c r="D87" s="958"/>
      <c r="E87" s="959"/>
      <c r="H87" s="957"/>
      <c r="I87" s="958"/>
      <c r="J87" s="958"/>
      <c r="K87" s="958"/>
      <c r="L87" s="959"/>
    </row>
    <row r="88" spans="2:12">
      <c r="B88" s="957"/>
      <c r="C88" s="958"/>
      <c r="D88" s="958"/>
      <c r="E88" s="959"/>
      <c r="H88" s="957"/>
      <c r="I88" s="958"/>
      <c r="J88" s="958"/>
      <c r="K88" s="958"/>
      <c r="L88" s="959"/>
    </row>
    <row r="89" spans="2:12">
      <c r="B89" s="957"/>
      <c r="C89" s="958"/>
      <c r="D89" s="958"/>
      <c r="E89" s="959"/>
      <c r="H89" s="957"/>
      <c r="I89" s="958"/>
      <c r="J89" s="958"/>
      <c r="K89" s="958"/>
      <c r="L89" s="959"/>
    </row>
    <row r="90" spans="2:12" ht="13.5" thickBot="1">
      <c r="B90" s="960"/>
      <c r="C90" s="961"/>
      <c r="D90" s="961"/>
      <c r="E90" s="962"/>
      <c r="H90" s="960"/>
      <c r="I90" s="961"/>
      <c r="J90" s="961"/>
      <c r="K90" s="961"/>
      <c r="L90" s="962"/>
    </row>
    <row r="91" spans="2:12">
      <c r="B91" s="963" t="s">
        <v>312</v>
      </c>
      <c r="C91" s="964"/>
      <c r="D91" s="964"/>
      <c r="E91" s="965"/>
      <c r="H91" s="963" t="s">
        <v>313</v>
      </c>
      <c r="I91" s="964"/>
      <c r="J91" s="964"/>
      <c r="K91" s="964"/>
      <c r="L91" s="965"/>
    </row>
    <row r="92" spans="2:12">
      <c r="B92" s="966"/>
      <c r="C92" s="967"/>
      <c r="D92" s="967"/>
      <c r="E92" s="968"/>
      <c r="H92" s="966"/>
      <c r="I92" s="967"/>
      <c r="J92" s="967"/>
      <c r="K92" s="967"/>
      <c r="L92" s="968"/>
    </row>
    <row r="93" spans="2:12" ht="13.5" thickBot="1">
      <c r="B93" s="969"/>
      <c r="C93" s="970"/>
      <c r="D93" s="970"/>
      <c r="E93" s="971"/>
      <c r="H93" s="969"/>
      <c r="I93" s="970"/>
      <c r="J93" s="970"/>
      <c r="K93" s="970"/>
      <c r="L93" s="97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C29" sqref="C29:J3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2" t="s">
        <v>254</v>
      </c>
      <c r="B1" s="972"/>
      <c r="C1" s="972"/>
      <c r="D1" s="972"/>
      <c r="E1" s="972"/>
      <c r="F1" s="972"/>
      <c r="G1" s="972"/>
      <c r="H1" s="972"/>
      <c r="I1" s="972"/>
      <c r="J1" s="972"/>
    </row>
    <row r="2" spans="1:10" ht="19.5" thickBot="1">
      <c r="A2" s="981">
        <f>A5</f>
        <v>44105</v>
      </c>
      <c r="B2" s="982"/>
      <c r="C2" s="982"/>
      <c r="D2" s="982"/>
      <c r="E2" s="982"/>
      <c r="F2" s="982"/>
      <c r="G2" s="982"/>
      <c r="H2" s="982"/>
      <c r="I2" s="982"/>
      <c r="J2" s="982"/>
    </row>
    <row r="3" spans="1:10" ht="15.75" thickBot="1">
      <c r="A3" s="973" t="s">
        <v>7</v>
      </c>
      <c r="B3" s="975" t="s">
        <v>255</v>
      </c>
      <c r="C3" s="449"/>
      <c r="D3" s="977" t="s">
        <v>256</v>
      </c>
      <c r="E3" s="978"/>
      <c r="F3" s="979" t="s">
        <v>257</v>
      </c>
      <c r="G3" s="980"/>
      <c r="H3" s="978"/>
      <c r="I3" s="979" t="s">
        <v>258</v>
      </c>
      <c r="J3" s="978"/>
    </row>
    <row r="4" spans="1:10" ht="30.75" thickBot="1">
      <c r="A4" s="974"/>
      <c r="B4" s="976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41113.81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40046.759999999995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39013.719999999994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37970.839999999997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36691.03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35530.869999999995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66.3</v>
      </c>
      <c r="D23" s="454">
        <f>Gen!T29</f>
        <v>1119.3499999999999</v>
      </c>
      <c r="E23" s="402">
        <f>Gen!D29</f>
        <v>34112.569999999992</v>
      </c>
      <c r="F23" s="403">
        <f>'Water-Meter'!E24</f>
        <v>58</v>
      </c>
      <c r="G23" s="404">
        <f>'Water-Meter'!AN24</f>
        <v>74</v>
      </c>
      <c r="H23" s="402">
        <f>'Utility report '!AC24</f>
        <v>51</v>
      </c>
      <c r="I23" s="401">
        <f>'Kit report'!F22</f>
        <v>252.00000000004366</v>
      </c>
      <c r="J23" s="402">
        <f>'Kit report'!X22</f>
        <v>100</v>
      </c>
    </row>
    <row r="24" spans="1:10" ht="15" customHeight="1">
      <c r="A24" s="218">
        <f>Gen!B30</f>
        <v>44124</v>
      </c>
      <c r="B24" s="406">
        <f>Gen!C30</f>
        <v>0.1169</v>
      </c>
      <c r="C24" s="453">
        <f>Gen!AK30</f>
        <v>10.49</v>
      </c>
      <c r="D24" s="454">
        <f>Gen!T30</f>
        <v>1055.8400000000001</v>
      </c>
      <c r="E24" s="402">
        <f>Gen!D30</f>
        <v>32926.919999999991</v>
      </c>
      <c r="F24" s="403">
        <f>'Water-Meter'!E25</f>
        <v>77</v>
      </c>
      <c r="G24" s="404">
        <f>'Water-Meter'!AN25</f>
        <v>74</v>
      </c>
      <c r="H24" s="402">
        <f>'Utility report '!AC25</f>
        <v>51</v>
      </c>
      <c r="I24" s="401">
        <f>'Kit report'!F23</f>
        <v>227.99999999995634</v>
      </c>
      <c r="J24" s="402">
        <f>'Kit report'!X23</f>
        <v>119.99999999989086</v>
      </c>
    </row>
    <row r="25" spans="1:10" ht="15" customHeight="1">
      <c r="A25" s="218">
        <f>Gen!B31</f>
        <v>44125</v>
      </c>
      <c r="B25" s="406">
        <f>Gen!C31</f>
        <v>0.1089</v>
      </c>
      <c r="C25" s="453">
        <f>Gen!AK31</f>
        <v>347.7</v>
      </c>
      <c r="D25" s="454">
        <f>Gen!T31</f>
        <v>1011.91</v>
      </c>
      <c r="E25" s="402">
        <f>Gen!D31</f>
        <v>31860.589999999989</v>
      </c>
      <c r="F25" s="403">
        <f>'Water-Meter'!E26</f>
        <v>58</v>
      </c>
      <c r="G25" s="404">
        <f>'Water-Meter'!AN26</f>
        <v>78</v>
      </c>
      <c r="H25" s="402">
        <f>'Utility report '!AC26</f>
        <v>41</v>
      </c>
      <c r="I25" s="401">
        <f>'Kit report'!F24</f>
        <v>227.99999999995634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0.10390000000000001</v>
      </c>
      <c r="C26" s="453">
        <f>Gen!AK32</f>
        <v>0</v>
      </c>
      <c r="D26" s="454">
        <f>Gen!T32</f>
        <v>1044.28</v>
      </c>
      <c r="E26" s="402">
        <f>Gen!D32</f>
        <v>30500.979999999989</v>
      </c>
      <c r="F26" s="403">
        <f>'Water-Meter'!E27</f>
        <v>48</v>
      </c>
      <c r="G26" s="404">
        <f>'Water-Meter'!AN27</f>
        <v>155</v>
      </c>
      <c r="H26" s="402">
        <f>'Utility report '!AC27</f>
        <v>51</v>
      </c>
      <c r="I26" s="401">
        <f>'Kit report'!F25</f>
        <v>240</v>
      </c>
      <c r="J26" s="402">
        <f>'Kit report'!X25</f>
        <v>100</v>
      </c>
    </row>
    <row r="27" spans="1:10" ht="15" customHeight="1">
      <c r="A27" s="218">
        <f>Gen!B33</f>
        <v>44127</v>
      </c>
      <c r="B27" s="406">
        <f>Gen!C33</f>
        <v>9.0899999999999995E-2</v>
      </c>
      <c r="C27" s="453">
        <f>Gen!AK33</f>
        <v>0</v>
      </c>
      <c r="D27" s="454">
        <f>Gen!T33</f>
        <v>1163.1300000000001</v>
      </c>
      <c r="E27" s="402">
        <f>Gen!D33</f>
        <v>29456.69999999999</v>
      </c>
      <c r="F27" s="403">
        <f>'Water-Meter'!E28</f>
        <v>55</v>
      </c>
      <c r="G27" s="404">
        <f>'Water-Meter'!AN28</f>
        <v>162</v>
      </c>
      <c r="H27" s="402">
        <f>'Utility report '!AC28</f>
        <v>51</v>
      </c>
      <c r="I27" s="401">
        <f>'Kit report'!F26</f>
        <v>252.00000000004366</v>
      </c>
      <c r="J27" s="402">
        <f>'Kit report'!X26</f>
        <v>339.99999999996362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187.74</v>
      </c>
      <c r="D28" s="454">
        <f>Gen!T34</f>
        <v>1029.31</v>
      </c>
      <c r="E28" s="402">
        <f>Gen!D34</f>
        <v>28293.569999999989</v>
      </c>
      <c r="F28" s="403">
        <f>'Water-Meter'!E29</f>
        <v>54</v>
      </c>
      <c r="G28" s="404">
        <f>'Water-Meter'!AN29</f>
        <v>165</v>
      </c>
      <c r="H28" s="402">
        <f>'Utility report '!AC29</f>
        <v>67</v>
      </c>
      <c r="I28" s="401">
        <f>'Kit report'!F27</f>
        <v>215.99999999991269</v>
      </c>
      <c r="J28" s="402">
        <f>'Kit report'!X27</f>
        <v>220.00000000007276</v>
      </c>
    </row>
    <row r="29" spans="1:10" ht="15" customHeight="1">
      <c r="A29" s="218">
        <f>Gen!B35</f>
        <v>44129</v>
      </c>
      <c r="B29" s="406">
        <f>Gen!C35</f>
        <v>9.0899999999999995E-2</v>
      </c>
      <c r="C29" s="453">
        <f>Gen!AK35</f>
        <v>0</v>
      </c>
      <c r="D29" s="454">
        <f>Gen!T35</f>
        <v>1100.5899999999999</v>
      </c>
      <c r="E29" s="402">
        <f>Gen!D35</f>
        <v>27076.51999999999</v>
      </c>
      <c r="F29" s="403">
        <f>'Water-Meter'!E30</f>
        <v>48</v>
      </c>
      <c r="G29" s="404">
        <f>'Water-Meter'!AN30</f>
        <v>85</v>
      </c>
      <c r="H29" s="402">
        <f>'Utility report '!AC30</f>
        <v>145</v>
      </c>
      <c r="I29" s="401">
        <f>'Kit report'!F28</f>
        <v>192.00000000004366</v>
      </c>
      <c r="J29" s="402">
        <f>'Kit report'!X28</f>
        <v>179.99999999992724</v>
      </c>
    </row>
    <row r="30" spans="1:10" ht="15" customHeight="1">
      <c r="A30" s="218">
        <f>Gen!B36</f>
        <v>44130</v>
      </c>
      <c r="B30" s="406">
        <f>Gen!C36</f>
        <v>2.5999999999999999E-2</v>
      </c>
      <c r="C30" s="453">
        <f>Gen!AK36</f>
        <v>0</v>
      </c>
      <c r="D30" s="454">
        <f>Gen!T36</f>
        <v>0</v>
      </c>
      <c r="E30" s="402">
        <f>Gen!D36</f>
        <v>25975.929999999989</v>
      </c>
      <c r="F30" s="403" t="str">
        <f>'Water-Meter'!E31</f>
        <v>0</v>
      </c>
      <c r="G30" s="404">
        <f>'Water-Meter'!AN31</f>
        <v>0</v>
      </c>
      <c r="H30" s="402">
        <f>'Utility report '!AC31</f>
        <v>-40676</v>
      </c>
      <c r="I30" s="401">
        <f>'Kit report'!F29</f>
        <v>-1066908</v>
      </c>
      <c r="J30" s="402">
        <f>'Kit report'!X29</f>
        <v>-1568280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25975.929999999989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25975.929999999989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25975.929999999989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25975.929999999989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25975.929999999989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25975.929999999989</v>
      </c>
      <c r="F36" s="403">
        <f>'Water-Meter'!E37</f>
        <v>0</v>
      </c>
      <c r="G36" s="404">
        <f>'Water-Meter'!AN37</f>
        <v>925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2020-10-26T05:07:21Z</dcterms:modified>
</cp:coreProperties>
</file>