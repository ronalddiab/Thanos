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<sst xmlns="http://schemas.openxmlformats.org/spreadsheetml/2006/main" count="313" uniqueCount="148">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</sst>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 t="e">
        <f>Submetering!E13+Submetering!F13+Submetering!G13+Submetering!H13+Submetering!J13-Submetering!AV13</f>
        <v>#VALUE!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 t="e">
        <f>'FS Desroches Daily'!CM15</f>
        <v>#VALUE!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 t="str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25599.999999999847</v>
      </c>
      <c r="F33" s="17">
        <f t="shared" ref="F33:BC33" si="1">SUM(F2:F32)</f>
        <v>28299.999999999764</v>
      </c>
      <c r="G33" s="17">
        <f t="shared" si="1"/>
        <v>29700.000000000058</v>
      </c>
      <c r="H33" s="17">
        <f t="shared" si="1"/>
        <v>13800.000000000031</v>
      </c>
      <c r="I33" s="17">
        <f t="shared" si="1"/>
        <v>21799.999999999814</v>
      </c>
      <c r="J33" s="17">
        <f t="shared" si="1"/>
        <v>9300.0000000000873</v>
      </c>
      <c r="K33" s="17">
        <f t="shared" si="1"/>
        <v>52</v>
      </c>
      <c r="L33" s="17">
        <f t="shared" si="1"/>
        <v>27</v>
      </c>
      <c r="M33" s="17">
        <f t="shared" si="1"/>
        <v>9.3000000000000682</v>
      </c>
      <c r="N33" s="17">
        <f t="shared" si="1"/>
        <v>3495.5</v>
      </c>
      <c r="O33" s="17">
        <f t="shared" si="1"/>
        <v>2889.9999999999864</v>
      </c>
      <c r="P33" s="17">
        <f t="shared" si="1"/>
        <v>25300.000000000102</v>
      </c>
      <c r="Q33" s="17">
        <f t="shared" si="1"/>
        <v>3050.0000000000114</v>
      </c>
      <c r="R33" s="17">
        <f t="shared" si="1"/>
        <v>2979.9999999999613</v>
      </c>
      <c r="S33" s="17">
        <f t="shared" si="1"/>
        <v>2120.0000000000045</v>
      </c>
      <c r="T33" s="17">
        <f t="shared" si="1"/>
        <v>376</v>
      </c>
      <c r="U33" s="35">
        <f t="shared" si="1"/>
        <v>8980.0000000000182</v>
      </c>
      <c r="V33" s="35">
        <f t="shared" si="1"/>
        <v>2259.9999999999909</v>
      </c>
      <c r="W33" s="35">
        <f t="shared" si="1"/>
        <v>2020.0000000000102</v>
      </c>
      <c r="X33" s="35">
        <f t="shared" si="1"/>
        <v>2069.9999999999932</v>
      </c>
      <c r="Y33" s="35">
        <f t="shared" si="1"/>
        <v>2060.0000000000023</v>
      </c>
      <c r="Z33" s="35">
        <f t="shared" si="1"/>
        <v>1680.0000000000068</v>
      </c>
      <c r="AA33" s="35">
        <f t="shared" si="1"/>
        <v>1680.0000000000068</v>
      </c>
      <c r="AB33" s="35">
        <f t="shared" si="1"/>
        <v>1479.9999999999613</v>
      </c>
      <c r="AC33" s="35">
        <f t="shared" si="1"/>
        <v>449.99999999998863</v>
      </c>
      <c r="AD33" s="35">
        <f t="shared" si="1"/>
        <v>289.99999999996362</v>
      </c>
      <c r="AE33" s="35">
        <f t="shared" si="1"/>
        <v>779.99999999997272</v>
      </c>
      <c r="AF33" s="17">
        <f t="shared" si="1"/>
        <v>324</v>
      </c>
      <c r="AG33" s="32">
        <f t="shared" si="1"/>
        <v>469.99999999999886</v>
      </c>
      <c r="AH33" s="32">
        <f t="shared" si="1"/>
        <v>279.99999999997272</v>
      </c>
      <c r="AI33" s="32">
        <f t="shared" si="1"/>
        <v>310.00000000000227</v>
      </c>
      <c r="AJ33" s="32">
        <f t="shared" si="1"/>
        <v>439.99999999999773</v>
      </c>
      <c r="AK33" s="32">
        <f t="shared" si="1"/>
        <v>520.00000000003865</v>
      </c>
      <c r="AL33" s="32">
        <f t="shared" si="1"/>
        <v>259</v>
      </c>
      <c r="AM33" s="32">
        <f t="shared" si="1"/>
        <v>400.00000000000568</v>
      </c>
      <c r="AN33" s="32">
        <f t="shared" si="1"/>
        <v>437</v>
      </c>
      <c r="AO33" s="32">
        <f t="shared" si="1"/>
        <v>250</v>
      </c>
      <c r="AP33" s="32">
        <f t="shared" si="1"/>
        <v>424</v>
      </c>
      <c r="AQ33" s="17">
        <f t="shared" si="1"/>
        <v>365.59999999999854</v>
      </c>
      <c r="AR33" s="17">
        <f t="shared" si="1"/>
        <v>75.5</v>
      </c>
      <c r="AS33" s="17">
        <f t="shared" si="1"/>
        <v>69.800000000000182</v>
      </c>
      <c r="AT33" s="17">
        <f t="shared" si="1"/>
        <v>544.59999999999854</v>
      </c>
      <c r="AU33" s="17">
        <f t="shared" si="1"/>
        <v>2980</v>
      </c>
      <c r="AV33" s="17">
        <f t="shared" si="1"/>
        <v>8120.0000000000045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64.102499999999992</v>
      </c>
      <c r="BC33" s="17">
        <f t="shared" si="1"/>
        <v>121</v>
      </c>
    </row>
    <row r="35" spans="5:55" x14ac:dyDescent="0.25">
      <c r="E35" s="38">
        <f>E33/E37</f>
        <v>0.26165702487785836</v>
      </c>
      <c r="G35" s="29">
        <f>G33-M36</f>
        <v>26195.200000000059</v>
      </c>
      <c r="AE35" s="35">
        <f>SUM(U33:AE33)</f>
        <v>23749.999999999913</v>
      </c>
      <c r="AG35" s="32">
        <f>SUM(AG33:AP33)</f>
        <v>3790.0000000000155</v>
      </c>
    </row>
    <row r="36" spans="5:55" x14ac:dyDescent="0.25">
      <c r="G36" s="29">
        <f>G35-633*14</f>
        <v>17333.200000000059</v>
      </c>
      <c r="M36" s="29">
        <f>M33+N33</f>
        <v>3504.8</v>
      </c>
    </row>
    <row r="37" spans="5:55" x14ac:dyDescent="0.25">
      <c r="E37" s="17">
        <f>E33+F33+G33+H33+J33-633*14</f>
        <v>97837.999999999782</v>
      </c>
      <c r="G37" s="37">
        <f>M36/E37</f>
        <v>3.582248206218451E-2</v>
      </c>
      <c r="M37" s="35">
        <f>AE35</f>
        <v>23749.999999999913</v>
      </c>
    </row>
    <row r="38" spans="5:55" x14ac:dyDescent="0.25">
      <c r="L38" s="27">
        <f>M38/E37</f>
        <v>3.873750485496457E-2</v>
      </c>
      <c r="M38" s="29">
        <f>AG35</f>
        <v>3790.0000000000155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Y1" zoomScale="80" zoomScaleNormal="80" workbookViewId="0">
      <pane ySplit="1" topLeftCell="A2" activePane="bottomLeft" state="frozen"/>
      <selection pane="bottomLeft" activeCell="BE15" sqref="BE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/>
      <c r="D15" s="64" t="str">
        <f t="shared" si="0"/>
        <v>0</v>
      </c>
      <c r="E15" s="58"/>
      <c r="F15" s="64" t="str">
        <f t="shared" si="1"/>
        <v>0</v>
      </c>
      <c r="G15" s="58"/>
      <c r="H15" s="64" t="str">
        <f t="shared" si="2"/>
        <v>0</v>
      </c>
      <c r="I15" s="58"/>
      <c r="J15" s="64" t="str">
        <f t="shared" si="3"/>
        <v>0</v>
      </c>
      <c r="K15" s="58"/>
      <c r="L15" s="64" t="str">
        <f t="shared" si="4"/>
        <v>0</v>
      </c>
      <c r="M15" s="58"/>
      <c r="N15" s="64" t="str">
        <f t="shared" si="5"/>
        <v/>
      </c>
      <c r="O15" s="58"/>
      <c r="P15" s="67" t="str">
        <f t="shared" si="44"/>
        <v/>
      </c>
      <c r="Q15" s="58"/>
      <c r="R15" s="67" t="str">
        <f t="shared" si="6"/>
        <v/>
      </c>
      <c r="S15" s="58"/>
      <c r="T15" s="67" t="str">
        <f t="shared" si="7"/>
        <v/>
      </c>
      <c r="U15" s="58"/>
      <c r="V15" s="67" t="str">
        <f t="shared" si="8"/>
        <v/>
      </c>
      <c r="W15" s="58"/>
      <c r="X15" s="65" t="str">
        <f t="shared" si="9"/>
        <v/>
      </c>
      <c r="Y15" s="58"/>
      <c r="Z15" s="65" t="str">
        <f t="shared" si="10"/>
        <v/>
      </c>
      <c r="AA15" s="58"/>
      <c r="AB15" s="65" t="str">
        <f t="shared" si="11"/>
        <v/>
      </c>
      <c r="AC15" s="58"/>
      <c r="AD15" s="65" t="str">
        <f t="shared" si="12"/>
        <v/>
      </c>
      <c r="AE15" s="58"/>
      <c r="AF15" s="65" t="str">
        <f t="shared" si="13"/>
        <v/>
      </c>
      <c r="AG15" s="58"/>
      <c r="AH15" s="67" t="str">
        <f t="shared" si="14"/>
        <v/>
      </c>
      <c r="AI15" s="58"/>
      <c r="AJ15" s="65" t="str">
        <f t="shared" si="15"/>
        <v/>
      </c>
      <c r="AK15" s="58"/>
      <c r="AL15" s="65" t="str">
        <f t="shared" si="15"/>
        <v/>
      </c>
      <c r="AM15" s="58"/>
      <c r="AN15" s="65" t="str">
        <f t="shared" si="15"/>
        <v/>
      </c>
      <c r="AO15" s="58"/>
      <c r="AP15" s="65" t="str">
        <f t="shared" si="15"/>
        <v/>
      </c>
      <c r="AQ15" s="58"/>
      <c r="AR15" s="65" t="str">
        <f t="shared" si="16"/>
        <v/>
      </c>
      <c r="AS15" s="58"/>
      <c r="AT15" s="65" t="str">
        <f t="shared" si="17"/>
        <v/>
      </c>
      <c r="AU15" s="58"/>
      <c r="AV15" s="65" t="str">
        <f t="shared" si="18"/>
        <v/>
      </c>
      <c r="AW15" s="58"/>
      <c r="AX15" s="65" t="str">
        <f t="shared" si="19"/>
        <v/>
      </c>
      <c r="AY15" s="58"/>
      <c r="AZ15" s="65" t="str">
        <f t="shared" si="20"/>
        <v/>
      </c>
      <c r="BA15" s="58"/>
      <c r="BB15" s="65" t="str">
        <f t="shared" si="21"/>
        <v/>
      </c>
      <c r="BC15" s="58"/>
      <c r="BD15" s="65" t="str">
        <f t="shared" si="22"/>
        <v/>
      </c>
      <c r="BE15" s="59"/>
      <c r="BF15" s="67" t="str">
        <f t="shared" si="39"/>
        <v/>
      </c>
      <c r="BG15" s="60"/>
      <c r="BH15" s="65" t="str">
        <f t="shared" si="23"/>
        <v/>
      </c>
      <c r="BI15" s="60"/>
      <c r="BJ15" s="65" t="str">
        <f t="shared" si="40"/>
        <v/>
      </c>
      <c r="BK15" s="60"/>
      <c r="BL15" s="65" t="str">
        <f t="shared" si="24"/>
        <v/>
      </c>
      <c r="BM15" s="60"/>
      <c r="BN15" s="65" t="str">
        <f t="shared" si="25"/>
        <v/>
      </c>
      <c r="BO15" s="60"/>
      <c r="BP15" s="65" t="str">
        <f t="shared" si="26"/>
        <v/>
      </c>
      <c r="BQ15" s="60"/>
      <c r="BR15" s="65" t="str">
        <f t="shared" si="27"/>
        <v/>
      </c>
      <c r="BS15" s="60"/>
      <c r="BT15" s="65" t="str">
        <f t="shared" si="42"/>
        <v/>
      </c>
      <c r="BU15" s="60"/>
      <c r="BV15" s="65" t="str">
        <f t="shared" si="29"/>
        <v/>
      </c>
      <c r="BW15" s="60"/>
      <c r="BX15" s="65" t="str">
        <f t="shared" si="30"/>
        <v/>
      </c>
      <c r="BY15" s="60"/>
      <c r="BZ15" s="67" t="str">
        <f t="shared" si="31"/>
        <v/>
      </c>
      <c r="CA15" s="60"/>
      <c r="CB15" s="67" t="str">
        <f t="shared" si="32"/>
        <v/>
      </c>
      <c r="CC15" s="60"/>
      <c r="CD15" s="67" t="str">
        <f t="shared" si="33"/>
        <v/>
      </c>
      <c r="CE15" s="60"/>
      <c r="CF15" s="67" t="str">
        <f t="shared" si="34"/>
        <v/>
      </c>
      <c r="CG15" s="60"/>
      <c r="CH15" s="67" t="str">
        <f t="shared" si="35"/>
        <v/>
      </c>
      <c r="CI15" s="60"/>
      <c r="CJ15" s="67" t="str">
        <f t="shared" si="36"/>
        <v/>
      </c>
      <c r="CK15" s="60"/>
      <c r="CL15" s="64" t="str">
        <f t="shared" si="37"/>
        <v/>
      </c>
      <c r="CM15" s="65" t="e">
        <f t="shared" si="41"/>
        <v>#VALUE!</v>
      </c>
      <c r="CN15" s="62">
        <v>0</v>
      </c>
      <c r="CO15" s="62">
        <v>0</v>
      </c>
      <c r="CP15" s="68"/>
      <c r="CQ15" s="67" t="str">
        <f t="shared" si="38"/>
        <v/>
      </c>
      <c r="CR15" s="68"/>
      <c r="CS15" s="67" t="str">
        <f t="shared" si="38"/>
        <v/>
      </c>
      <c r="CT15" s="75"/>
      <c r="CU15" s="67" t="str">
        <f t="shared" si="38"/>
        <v/>
      </c>
      <c r="CV15" s="68"/>
      <c r="CW15" s="67" t="str">
        <f t="shared" si="38"/>
        <v/>
      </c>
    </row>
    <row r="16" spans="1:102" ht="25.5" customHeight="1" thickBot="1" x14ac:dyDescent="0.45">
      <c r="A16" s="63">
        <v>44421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44422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44423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44424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44425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44426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44427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E19" sqref="E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-217</v>
      </c>
    </row>
    <row r="20" spans="1:20" x14ac:dyDescent="0.25">
      <c r="A20" s="73">
        <v>44421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2021-08-12T18:38:06Z</dcterms:modified>
</cp:coreProperties>
</file>