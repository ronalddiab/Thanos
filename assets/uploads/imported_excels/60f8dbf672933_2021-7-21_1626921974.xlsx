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2" l="1"/>
  <c r="G16" i="3" l="1"/>
  <c r="G17" i="3"/>
  <c r="G18" i="3"/>
  <c r="P13" i="2" l="1"/>
  <c r="C11" i="5" l="1"/>
  <c r="T24" i="2" l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6" i="2" s="1"/>
  <c r="P17" i="2" s="1"/>
  <c r="P18" i="2" s="1"/>
  <c r="P19" i="2" s="1"/>
  <c r="P20" i="2" s="1"/>
  <c r="P21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D24" i="2"/>
  <c r="D25" i="2" s="1"/>
  <c r="D26" i="2" s="1"/>
  <c r="D27" i="2" s="1"/>
  <c r="D28" i="2" s="1"/>
  <c r="D29" i="2" s="1"/>
  <c r="D30" i="2" s="1"/>
  <c r="D31" i="2" s="1"/>
  <c r="D32" i="2" s="1"/>
  <c r="D33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Q24" i="1"/>
  <c r="Q25" i="1" s="1"/>
  <c r="Q26" i="1" s="1"/>
  <c r="Q27" i="1" s="1"/>
  <c r="Q28" i="1" s="1"/>
  <c r="Q29" i="1" s="1"/>
  <c r="Q30" i="1" s="1"/>
  <c r="Q31" i="1" s="1"/>
  <c r="Q32" i="1" s="1"/>
  <c r="Q33" i="1" s="1"/>
  <c r="N24" i="1"/>
  <c r="N25" i="1" s="1"/>
  <c r="N26" i="1" s="1"/>
  <c r="N27" i="1" s="1"/>
  <c r="N28" i="1" s="1"/>
  <c r="N29" i="1" s="1"/>
  <c r="N30" i="1" s="1"/>
  <c r="N31" i="1" s="1"/>
  <c r="N32" i="1" s="1"/>
  <c r="N33" i="1" s="1"/>
  <c r="K24" i="1"/>
  <c r="K25" i="1" s="1"/>
  <c r="K26" i="1" s="1"/>
  <c r="K27" i="1" s="1"/>
  <c r="K28" i="1" s="1"/>
  <c r="K29" i="1" s="1"/>
  <c r="K30" i="1" s="1"/>
  <c r="K31" i="1" s="1"/>
  <c r="K32" i="1" s="1"/>
  <c r="K33" i="1" s="1"/>
  <c r="H24" i="1"/>
  <c r="H25" i="1" s="1"/>
  <c r="H26" i="1" s="1"/>
  <c r="H27" i="1" s="1"/>
  <c r="H28" i="1" s="1"/>
  <c r="H29" i="1" s="1"/>
  <c r="H30" i="1" s="1"/>
  <c r="H31" i="1" s="1"/>
  <c r="H32" i="1" s="1"/>
  <c r="H33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B24" i="5"/>
  <c r="B25" i="5" s="1"/>
  <c r="B26" i="5" s="1"/>
  <c r="B27" i="5" s="1"/>
  <c r="B28" i="5" s="1"/>
  <c r="B29" i="5" s="1"/>
  <c r="B30" i="5" s="1"/>
  <c r="B31" i="5" s="1"/>
  <c r="B32" i="5" s="1"/>
  <c r="B33" i="5" s="1"/>
  <c r="H20" i="3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D6" i="3"/>
  <c r="D16" i="3" s="1"/>
  <c r="D17" i="3" s="1"/>
  <c r="D18" i="3" s="1"/>
  <c r="D20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20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2" i="4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2" i="4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2" i="4"/>
  <c r="C14" i="4" s="1"/>
  <c r="C15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F20" i="3" l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N26" i="10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M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<sst xmlns="http://schemas.openxmlformats.org/spreadsheetml/2006/main" count="442" uniqueCount="144">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</sst>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17" sqref="K17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65298.791883999991</v>
      </c>
      <c r="F13" s="162">
        <v>1.27</v>
      </c>
      <c r="G13" s="47">
        <f>Gas!C14*0.9147</f>
        <v>1821.1677</v>
      </c>
      <c r="H13" s="163">
        <v>3.65</v>
      </c>
      <c r="I13" s="165">
        <f>Submetering!H13+Submetering!AD13+Submetering!AE13</f>
        <v>1496</v>
      </c>
      <c r="J13" s="165">
        <v>10.029999999999999</v>
      </c>
      <c r="K13" s="47">
        <f>ELECT.!B14</f>
        <v>159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176968.426488</v>
      </c>
      <c r="F14" s="162">
        <v>1.27</v>
      </c>
      <c r="G14" s="47">
        <f>Gas!C15*0.9147</f>
        <v>1677.5598</v>
      </c>
      <c r="H14" s="163">
        <v>3.65</v>
      </c>
      <c r="I14" s="165">
        <f>Submetering!H14+Submetering!AD14+Submetering!AE14</f>
        <v>1256</v>
      </c>
      <c r="J14" s="165">
        <v>10.029999999999999</v>
      </c>
      <c r="K14" s="47">
        <f>ELECT.!B15</f>
        <v>200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64916.869047999993</v>
      </c>
      <c r="F15" s="162">
        <v>1.27</v>
      </c>
      <c r="G15" s="47">
        <f>Gas!C16*0.9147</f>
        <v>1742.5035</v>
      </c>
      <c r="H15" s="163">
        <v>3.65</v>
      </c>
      <c r="I15" s="165">
        <f>Submetering!H15+Submetering!AD15+Submetering!AE15</f>
        <v>1156</v>
      </c>
      <c r="J15" s="165">
        <v>10.029999999999999</v>
      </c>
      <c r="K15" s="47">
        <f>ELECT.!B16</f>
        <v>192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80124.821307999999</v>
      </c>
      <c r="F16" s="162">
        <v>1.27</v>
      </c>
      <c r="G16" s="47">
        <f>Gas!C17*0.9147</f>
        <v>1737.0153</v>
      </c>
      <c r="H16" s="163">
        <v>3.65</v>
      </c>
      <c r="I16" s="165">
        <f>Submetering!H16+Submetering!AD16+Submetering!AE16</f>
        <v>736</v>
      </c>
      <c r="J16" s="165">
        <v>10.029999999999999</v>
      </c>
      <c r="K16" s="47">
        <f>ELECT.!B17</f>
        <v>234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70623.704339999997</v>
      </c>
      <c r="F17" s="162">
        <v>1.27</v>
      </c>
      <c r="G17" s="47">
        <f>Gas!C18*0.9147</f>
        <v>1877.8790999999999</v>
      </c>
      <c r="H17" s="163">
        <v>3.65</v>
      </c>
      <c r="I17" s="165">
        <f>Submetering!H17+Submetering!AD17+Submetering!AE17</f>
        <v>916</v>
      </c>
      <c r="J17" s="165">
        <v>10.029999999999999</v>
      </c>
      <c r="K17" s="47">
        <f>ELECT.!B18</f>
        <v>210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60724.510251999993</v>
      </c>
      <c r="F18" s="162">
        <v>1.27</v>
      </c>
      <c r="G18" s="47">
        <f>Gas!C19*0.9147</f>
        <v>2540.1219000000001</v>
      </c>
      <c r="H18" s="163">
        <v>3.65</v>
      </c>
      <c r="I18" s="165">
        <f>Submetering!H18+Submetering!AD18+Submetering!AE18</f>
        <v>656</v>
      </c>
      <c r="J18" s="165">
        <v>10.029999999999999</v>
      </c>
      <c r="K18" s="47">
        <f>ELECT.!B19</f>
        <v>237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55180.405728000005</v>
      </c>
      <c r="F19" s="162">
        <v>1.27</v>
      </c>
      <c r="G19" s="47">
        <f>Gas!C20*0.9147</f>
        <v>2473.3487999999998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234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75890.642395999996</v>
      </c>
      <c r="F20" s="162">
        <v>1.27</v>
      </c>
      <c r="G20" s="47">
        <f>Gas!C21*0.9147</f>
        <v>1625.4218999999998</v>
      </c>
      <c r="H20" s="163">
        <v>3.65</v>
      </c>
      <c r="I20" s="165">
        <f>Submetering!H20+Submetering!AD20+Submetering!AE20</f>
        <v>1896.0000000000002</v>
      </c>
      <c r="J20" s="165">
        <v>10.029999999999999</v>
      </c>
      <c r="K20" s="47">
        <f>ELECT.!B21</f>
        <v>244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-38789.822904000001</v>
      </c>
      <c r="F21" s="162">
        <v>1.27</v>
      </c>
      <c r="G21" s="47">
        <f>Gas!C22*0.9147</f>
        <v>1822.9970999999998</v>
      </c>
      <c r="H21" s="163">
        <v>3.65</v>
      </c>
      <c r="I21" s="165">
        <f>Submetering!H21+Submetering!AD21+Submetering!AE21</f>
        <v>836</v>
      </c>
      <c r="J21" s="165">
        <v>10.029999999999999</v>
      </c>
      <c r="K21" s="47">
        <f>ELECT.!B22</f>
        <v>232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69382.334843999997</v>
      </c>
      <c r="F22" s="162">
        <v>1.27</v>
      </c>
      <c r="G22" s="47">
        <f>Gas!C23*0.9147</f>
        <v>1972.0931999999998</v>
      </c>
      <c r="H22" s="163">
        <v>3.65</v>
      </c>
      <c r="I22" s="165">
        <f>Submetering!H22+Submetering!AD22+Submetering!AE22</f>
        <v>986</v>
      </c>
      <c r="J22" s="165">
        <v>10.029999999999999</v>
      </c>
      <c r="K22" s="47">
        <f>ELECT.!B23</f>
        <v>324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L19" sqref="L1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1690</v>
      </c>
      <c r="F13" s="47">
        <f>Water!E14</f>
        <v>0</v>
      </c>
      <c r="G13" s="47">
        <f>Water!G14</f>
        <v>486</v>
      </c>
      <c r="H13" s="47">
        <f>Water!I14</f>
        <v>2.8889999999999998</v>
      </c>
      <c r="I13" s="47">
        <f>ELECT.!F14</f>
        <v>15906</v>
      </c>
      <c r="J13" s="47">
        <f>ELECT.!H14</f>
        <v>50141</v>
      </c>
      <c r="K13" s="47">
        <f>ELECT.!K14</f>
        <v>5422</v>
      </c>
      <c r="L13" s="47">
        <f>ELECT.!M14</f>
        <v>5137</v>
      </c>
      <c r="M13" s="47">
        <f>ELECT.!O14</f>
        <v>10658</v>
      </c>
      <c r="N13" s="47">
        <f>ELECT.!Q14</f>
        <v>13307</v>
      </c>
      <c r="O13" s="47">
        <f>ELECT.!S14</f>
        <v>9393</v>
      </c>
      <c r="P13" s="47">
        <f>ELECT.!W14*2</f>
        <v>20708</v>
      </c>
      <c r="Q13" s="47">
        <f>ELECT.!D14</f>
        <v>18441</v>
      </c>
      <c r="R13" s="48">
        <f>BTU!C14</f>
        <v>15.342999999997119</v>
      </c>
      <c r="S13" s="48">
        <f>BTU!F14</f>
        <v>3.7100000000000364</v>
      </c>
      <c r="T13" s="48">
        <f>BTU!I14</f>
        <v>10</v>
      </c>
      <c r="U13" s="48">
        <f>BTU!O14</f>
        <v>2.237999999999829</v>
      </c>
      <c r="V13" s="48">
        <f>BTU!L14</f>
        <v>3.8400000000001455</v>
      </c>
      <c r="W13" s="48">
        <f>BTU!R14</f>
        <v>2.4600000000000364</v>
      </c>
      <c r="X13" s="45">
        <f>ELECT.!B14</f>
        <v>159</v>
      </c>
      <c r="Y13" s="45">
        <f t="shared" si="0"/>
        <v>1422</v>
      </c>
      <c r="Z13">
        <f>'Mall, Citadel, Rotana'!C14+'Mall, Citadel, Rotana'!E14+'Mall, Citadel, Rotana'!G14+'Mall, Citadel, Rotana'!I14</f>
        <v>1738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5">
        <f t="shared" si="1"/>
        <v>196.79202980000002</v>
      </c>
      <c r="AE13" s="45">
        <f t="shared" si="2"/>
        <v>1296.3189702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1450</v>
      </c>
      <c r="F14" s="47">
        <f>Water!E15</f>
        <v>0</v>
      </c>
      <c r="G14" s="47">
        <f>Water!G15</f>
        <v>480.6</v>
      </c>
      <c r="H14" s="47">
        <f>Water!I15</f>
        <v>2.6189999999999998</v>
      </c>
      <c r="I14" s="47">
        <f>ELECT.!F15</f>
        <v>18738</v>
      </c>
      <c r="J14" s="47">
        <f>ELECT.!H15</f>
        <v>47162</v>
      </c>
      <c r="K14" s="47">
        <f>ELECT.!K15</f>
        <v>5194</v>
      </c>
      <c r="L14" s="47">
        <f>ELECT.!M15</f>
        <v>6128</v>
      </c>
      <c r="M14" s="47">
        <f>ELECT.!O15</f>
        <v>12426</v>
      </c>
      <c r="N14" s="47">
        <f>ELECT.!Q15</f>
        <v>12029</v>
      </c>
      <c r="O14" s="47">
        <f>ELECT.!S15</f>
        <v>8852</v>
      </c>
      <c r="P14" s="47">
        <f>ELECT.!W15*2</f>
        <v>19430</v>
      </c>
      <c r="Q14" s="47">
        <f>ELECT.!D15</f>
        <v>18445</v>
      </c>
      <c r="R14" s="48">
        <f>BTU!C15</f>
        <v>14.656000000002678</v>
      </c>
      <c r="S14" s="48">
        <f>BTU!F15</f>
        <v>3.4580000000000837</v>
      </c>
      <c r="T14" s="48">
        <f>BTU!I15</f>
        <v>10</v>
      </c>
      <c r="U14" s="48">
        <f>BTU!O15</f>
        <v>2.1260000000002037</v>
      </c>
      <c r="V14" s="48">
        <f>BTU!L15</f>
        <v>3.9200000000000728</v>
      </c>
      <c r="W14" s="48">
        <f>BTU!R15</f>
        <v>5.5500000000001819</v>
      </c>
      <c r="X14" s="45">
        <f>ELECT.!B15</f>
        <v>200</v>
      </c>
      <c r="Y14" s="45">
        <f t="shared" si="0"/>
        <v>1841</v>
      </c>
      <c r="Z14">
        <f>'Mall, Citadel, Rotana'!C15+'Mall, Citadel, Rotana'!E15+'Mall, Citadel, Rotana'!G15+'Mall, Citadel, Rotana'!I15</f>
        <v>1093</v>
      </c>
      <c r="AA14">
        <f>'Mall, Citadel, Rotana'!K15+'Mall, Citadel, Rotana'!M15</f>
        <v>800</v>
      </c>
      <c r="AB14">
        <f>'Mall, Citadel, Rotana'!O15</f>
        <v>3</v>
      </c>
      <c r="AC14">
        <f>'Mall, Citadel, Rotana'!Q15+'Mall, Citadel, Rotana'!S15</f>
        <v>-111345</v>
      </c>
      <c r="AD14" s="45">
        <f t="shared" si="1"/>
        <v>165.19561580000001</v>
      </c>
      <c r="AE14" s="45">
        <f t="shared" si="2"/>
        <v>1088.1853842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1350</v>
      </c>
      <c r="F15" s="47">
        <f>Water!E16</f>
        <v>0</v>
      </c>
      <c r="G15" s="47">
        <f>Water!G16</f>
        <v>529.20000000000005</v>
      </c>
      <c r="H15" s="47">
        <f>Water!I16</f>
        <v>3.6720000000000002</v>
      </c>
      <c r="I15" s="47">
        <f>ELECT.!F16</f>
        <v>17433</v>
      </c>
      <c r="J15" s="47">
        <f>ELECT.!H16</f>
        <v>50492</v>
      </c>
      <c r="K15" s="47">
        <f>ELECT.!K16</f>
        <v>5534</v>
      </c>
      <c r="L15" s="47">
        <f>ELECT.!M16</f>
        <v>5500</v>
      </c>
      <c r="M15" s="47">
        <f>ELECT.!O16</f>
        <v>11772</v>
      </c>
      <c r="N15" s="47">
        <f>ELECT.!Q16</f>
        <v>12321</v>
      </c>
      <c r="O15" s="47">
        <f>ELECT.!S16</f>
        <v>9956</v>
      </c>
      <c r="P15" s="47">
        <f>ELECT.!W16*2</f>
        <v>21066</v>
      </c>
      <c r="Q15" s="47">
        <f>ELECT.!D16</f>
        <v>2240</v>
      </c>
      <c r="R15" s="48">
        <f>BTU!C16</f>
        <v>13.47899999999936</v>
      </c>
      <c r="S15" s="48">
        <f>BTU!F16</f>
        <v>3.4569999999998799</v>
      </c>
      <c r="T15" s="48">
        <f>BTU!I16</f>
        <v>9</v>
      </c>
      <c r="U15" s="48">
        <f>BTU!O16</f>
        <v>1.9819999999999709</v>
      </c>
      <c r="V15" s="48">
        <f>BTU!L16</f>
        <v>2.8899999999994179</v>
      </c>
      <c r="W15" s="48">
        <f>BTU!R16</f>
        <v>3.1400000000003274</v>
      </c>
      <c r="X15" s="45">
        <f>ELECT.!B16</f>
        <v>192</v>
      </c>
      <c r="Y15" s="45">
        <f t="shared" si="0"/>
        <v>1776</v>
      </c>
      <c r="Z15">
        <f>'Mall, Citadel, Rotana'!C16+'Mall, Citadel, Rotana'!E16+'Mall, Citadel, Rotana'!G16+'Mall, Citadel, Rotana'!I16</f>
        <v>1563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0</v>
      </c>
      <c r="AD15" s="45">
        <f t="shared" si="1"/>
        <v>151.87683039999999</v>
      </c>
      <c r="AE15" s="45">
        <f t="shared" si="2"/>
        <v>1000.4511696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930</v>
      </c>
      <c r="F16" s="47">
        <f>Water!E17</f>
        <v>0</v>
      </c>
      <c r="G16" s="47">
        <f>Water!G17</f>
        <v>494.1</v>
      </c>
      <c r="H16" s="47">
        <f>Water!I17</f>
        <v>3.4289999999999998</v>
      </c>
      <c r="I16" s="47">
        <f>ELECT.!F17</f>
        <v>19516</v>
      </c>
      <c r="J16" s="47">
        <f>ELECT.!H17</f>
        <v>64066</v>
      </c>
      <c r="K16" s="47">
        <f>ELECT.!K17</f>
        <v>6664</v>
      </c>
      <c r="L16" s="47">
        <f>ELECT.!M17</f>
        <v>6066</v>
      </c>
      <c r="M16" s="47">
        <f>ELECT.!O17</f>
        <v>13252</v>
      </c>
      <c r="N16" s="47">
        <f>ELECT.!Q17</f>
        <v>16361</v>
      </c>
      <c r="O16" s="47">
        <f>ELECT.!S17</f>
        <v>12119</v>
      </c>
      <c r="P16" s="47">
        <f>ELECT.!W17*2</f>
        <v>27218</v>
      </c>
      <c r="Q16" s="47">
        <f>ELECT.!D17</f>
        <v>960</v>
      </c>
      <c r="R16" s="48">
        <f>BTU!C17</f>
        <v>13.91899999999805</v>
      </c>
      <c r="S16" s="48">
        <f>BTU!F17</f>
        <v>3.26299999999992</v>
      </c>
      <c r="T16" s="48">
        <f>BTU!I17</f>
        <v>9</v>
      </c>
      <c r="U16" s="48">
        <f>BTU!O17</f>
        <v>2.012000000000171</v>
      </c>
      <c r="V16" s="48">
        <f>BTU!L17</f>
        <v>2.5900000000001455</v>
      </c>
      <c r="W16" s="48">
        <f>BTU!R17</f>
        <v>2.8699999999998909</v>
      </c>
      <c r="X16" s="45">
        <f>ELECT.!B17</f>
        <v>234</v>
      </c>
      <c r="Y16" s="45">
        <f t="shared" si="0"/>
        <v>1902</v>
      </c>
      <c r="Z16">
        <f>'Mall, Citadel, Rotana'!C17+'Mall, Citadel, Rotana'!E17+'Mall, Citadel, Rotana'!G17+'Mall, Citadel, Rotana'!I17</f>
        <v>1560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5">
        <f t="shared" si="1"/>
        <v>96.552857799999998</v>
      </c>
      <c r="AE16" s="45">
        <f t="shared" si="2"/>
        <v>636.01814220000006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1110</v>
      </c>
      <c r="F17" s="47">
        <f>Water!E18</f>
        <v>0</v>
      </c>
      <c r="G17" s="47">
        <f>Water!G18</f>
        <v>580.5</v>
      </c>
      <c r="H17" s="47">
        <f>Water!I18</f>
        <v>3.2399999999999998</v>
      </c>
      <c r="I17" s="47">
        <f>ELECT.!F18</f>
        <v>17722</v>
      </c>
      <c r="J17" s="47">
        <f>ELECT.!H18</f>
        <v>55783</v>
      </c>
      <c r="K17" s="47">
        <f>ELECT.!K18</f>
        <v>5382</v>
      </c>
      <c r="L17" s="47">
        <f>ELECT.!M18</f>
        <v>4935</v>
      </c>
      <c r="M17" s="47">
        <f>ELECT.!O18</f>
        <v>12556</v>
      </c>
      <c r="N17" s="47">
        <f>ELECT.!Q18</f>
        <v>15002</v>
      </c>
      <c r="O17" s="47">
        <f>ELECT.!S18</f>
        <v>10481</v>
      </c>
      <c r="P17" s="47">
        <f>ELECT.!W18*2</f>
        <v>23554</v>
      </c>
      <c r="Q17" s="47">
        <f>ELECT.!D18</f>
        <v>800</v>
      </c>
      <c r="R17" s="48">
        <f>BTU!C18</f>
        <v>14.584000000002561</v>
      </c>
      <c r="S17" s="48">
        <f>BTU!F18</f>
        <v>1.9710000000000036</v>
      </c>
      <c r="T17" s="48">
        <f>BTU!I18</f>
        <v>8</v>
      </c>
      <c r="U17" s="48">
        <f>BTU!O18</f>
        <v>1.7680000000000291</v>
      </c>
      <c r="V17" s="48">
        <f>BTU!L18</f>
        <v>2.5900000000001455</v>
      </c>
      <c r="W17" s="48">
        <f>BTU!R18</f>
        <v>2.7600000000002183</v>
      </c>
      <c r="X17" s="45">
        <f>ELECT.!B18</f>
        <v>210</v>
      </c>
      <c r="Y17" s="45">
        <f t="shared" si="0"/>
        <v>1595</v>
      </c>
      <c r="Z17">
        <f>'Mall, Citadel, Rotana'!C18+'Mall, Citadel, Rotana'!E18+'Mall, Citadel, Rotana'!G18+'Mall, Citadel, Rotana'!I18</f>
        <v>1406</v>
      </c>
      <c r="AA17">
        <f>'Mall, Citadel, Rotana'!K18+'Mall, Citadel, Rotana'!M18</f>
        <v>320</v>
      </c>
      <c r="AB17">
        <f>'Mall, Citadel, Rotana'!O18</f>
        <v>3</v>
      </c>
      <c r="AC17">
        <f>'Mall, Citadel, Rotana'!Q18+'Mall, Citadel, Rotana'!S18</f>
        <v>0</v>
      </c>
      <c r="AD17" s="45">
        <f t="shared" si="1"/>
        <v>120.301768</v>
      </c>
      <c r="AE17" s="45">
        <f t="shared" si="2"/>
        <v>792.45823199999995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850</v>
      </c>
      <c r="F18" s="47">
        <f>Water!E19</f>
        <v>0</v>
      </c>
      <c r="G18" s="47">
        <f>Water!G19</f>
        <v>467.1</v>
      </c>
      <c r="H18" s="47">
        <f>Water!I19</f>
        <v>2.133</v>
      </c>
      <c r="I18" s="47">
        <f>ELECT.!F19</f>
        <v>15244</v>
      </c>
      <c r="J18" s="47">
        <f>ELECT.!H19</f>
        <v>48310</v>
      </c>
      <c r="K18" s="47">
        <f>ELECT.!K19</f>
        <v>4864</v>
      </c>
      <c r="L18" s="47">
        <f>ELECT.!M19</f>
        <v>4572</v>
      </c>
      <c r="M18" s="47">
        <f>ELECT.!O19</f>
        <v>10532</v>
      </c>
      <c r="N18" s="47">
        <f>ELECT.!Q19</f>
        <v>13052</v>
      </c>
      <c r="O18" s="47">
        <f>ELECT.!S19</f>
        <v>9107</v>
      </c>
      <c r="P18" s="47">
        <f>ELECT.!W19*2</f>
        <v>20146</v>
      </c>
      <c r="Q18" s="47">
        <f>ELECT.!D19</f>
        <v>960</v>
      </c>
      <c r="R18" s="48">
        <f>BTU!C19</f>
        <v>14.344999999997526</v>
      </c>
      <c r="S18" s="48">
        <f>BTU!F19</f>
        <v>2.25</v>
      </c>
      <c r="T18" s="48">
        <f>BTU!I19</f>
        <v>7</v>
      </c>
      <c r="U18" s="48">
        <f>BTU!O19</f>
        <v>1.5499999999997272</v>
      </c>
      <c r="V18" s="48">
        <f>BTU!L19</f>
        <v>3.8299999999999272</v>
      </c>
      <c r="W18" s="48">
        <f>BTU!R19</f>
        <v>2.8800000000001091</v>
      </c>
      <c r="X18" s="45">
        <f>ELECT.!B19</f>
        <v>237</v>
      </c>
      <c r="Y18" s="45">
        <f t="shared" si="0"/>
        <v>1281</v>
      </c>
      <c r="Z18">
        <f>'Mall, Citadel, Rotana'!C19+'Mall, Citadel, Rotana'!E19+'Mall, Citadel, Rotana'!G19+'Mall, Citadel, Rotana'!I19</f>
        <v>1242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5">
        <f t="shared" si="1"/>
        <v>86.179670599999994</v>
      </c>
      <c r="AE18" s="45">
        <f t="shared" si="2"/>
        <v>567.68732939999995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13774</v>
      </c>
      <c r="J19" s="47">
        <f>ELECT.!H20</f>
        <v>44303</v>
      </c>
      <c r="K19" s="47">
        <f>ELECT.!K20</f>
        <v>4476</v>
      </c>
      <c r="L19" s="47">
        <f>ELECT.!M20</f>
        <v>4226</v>
      </c>
      <c r="M19" s="47">
        <f>ELECT.!O20</f>
        <v>9388</v>
      </c>
      <c r="N19" s="47">
        <f>ELECT.!Q20</f>
        <v>11382</v>
      </c>
      <c r="O19" s="47">
        <f>ELECT.!S20</f>
        <v>8274</v>
      </c>
      <c r="P19" s="47">
        <f>ELECT.!W20*2</f>
        <v>19218</v>
      </c>
      <c r="Q19" s="47">
        <f>ELECT.!D20</f>
        <v>800</v>
      </c>
      <c r="R19" s="48">
        <f>BTU!C20</f>
        <v>10.733000000000175</v>
      </c>
      <c r="S19" s="48">
        <f>BTU!F20</f>
        <v>1.593000000000302</v>
      </c>
      <c r="T19" s="48">
        <f>BTU!I20</f>
        <v>6</v>
      </c>
      <c r="U19" s="48">
        <f>BTU!O20</f>
        <v>1.1080000000001746</v>
      </c>
      <c r="V19" s="48">
        <f>BTU!L20</f>
        <v>2.9399999999986903</v>
      </c>
      <c r="W19" s="48">
        <f>BTU!R20</f>
        <v>4.0999999999994543</v>
      </c>
      <c r="X19" s="45">
        <f>ELECT.!B20</f>
        <v>234</v>
      </c>
      <c r="Y19" s="45">
        <f t="shared" si="0"/>
        <v>1113</v>
      </c>
      <c r="Z19">
        <f>'Mall, Citadel, Rotana'!C20+'Mall, Citadel, Rotana'!E20+'Mall, Citadel, Rotana'!G20+'Mall, Citadel, Rotana'!I20</f>
        <v>1561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2090</v>
      </c>
      <c r="F20" s="47">
        <f>Water!E21</f>
        <v>0</v>
      </c>
      <c r="G20" s="47">
        <f>Water!G21</f>
        <v>1063.8</v>
      </c>
      <c r="H20" s="47">
        <f>Water!I21</f>
        <v>5.8319999999999999</v>
      </c>
      <c r="I20" s="47">
        <f>ELECT.!F21</f>
        <v>19220</v>
      </c>
      <c r="J20" s="47">
        <f>ELECT.!H21</f>
        <v>59606</v>
      </c>
      <c r="K20" s="47">
        <f>ELECT.!K21</f>
        <v>5814</v>
      </c>
      <c r="L20" s="47">
        <f>ELECT.!M21</f>
        <v>6269</v>
      </c>
      <c r="M20" s="47">
        <f>ELECT.!O21</f>
        <v>12760</v>
      </c>
      <c r="N20" s="47">
        <f>ELECT.!Q21</f>
        <v>15702</v>
      </c>
      <c r="O20" s="47">
        <f>ELECT.!S21</f>
        <v>11229</v>
      </c>
      <c r="P20" s="47">
        <f>ELECT.!W21*2</f>
        <v>25440</v>
      </c>
      <c r="Q20" s="47">
        <f>ELECT.!D21</f>
        <v>800</v>
      </c>
      <c r="R20" s="48">
        <f>BTU!C21</f>
        <v>19.829000000001543</v>
      </c>
      <c r="S20" s="48">
        <f>BTU!F21</f>
        <v>2.5049999999996544</v>
      </c>
      <c r="T20" s="48">
        <f>BTU!I21</f>
        <v>10</v>
      </c>
      <c r="U20" s="48">
        <f>BTU!O21</f>
        <v>2.2439999999996871</v>
      </c>
      <c r="V20" s="48">
        <f>BTU!L21</f>
        <v>5.2800000000006548</v>
      </c>
      <c r="W20" s="48">
        <f>BTU!R21</f>
        <v>5.3600000000005821</v>
      </c>
      <c r="X20" s="45">
        <f>ELECT.!B21</f>
        <v>244</v>
      </c>
      <c r="Y20" s="45">
        <f t="shared" si="0"/>
        <v>1612</v>
      </c>
      <c r="Z20">
        <f>'Mall, Citadel, Rotana'!C21+'Mall, Citadel, Rotana'!E21+'Mall, Citadel, Rotana'!G21+'Mall, Citadel, Rotana'!I21</f>
        <v>1406</v>
      </c>
      <c r="AA20">
        <f>'Mall, Citadel, Rotana'!K21+'Mall, Citadel, Rotana'!M21</f>
        <v>320</v>
      </c>
      <c r="AB20">
        <f>'Mall, Citadel, Rotana'!O21</f>
        <v>3</v>
      </c>
      <c r="AC20">
        <f>'Mall, Citadel, Rotana'!Q21+'Mall, Citadel, Rotana'!S21</f>
        <v>0</v>
      </c>
      <c r="AD20" s="45">
        <f t="shared" si="1"/>
        <v>249.12414240000001</v>
      </c>
      <c r="AE20" s="45">
        <f t="shared" si="2"/>
        <v>1641.0438576000001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1030</v>
      </c>
      <c r="F21" s="47">
        <f>Water!E22</f>
        <v>0</v>
      </c>
      <c r="G21" s="47">
        <f>Water!G22</f>
        <v>540</v>
      </c>
      <c r="H21" s="47">
        <f>Water!I22</f>
        <v>2.8079999999999998</v>
      </c>
      <c r="I21" s="47">
        <f>ELECT.!F22</f>
        <v>23287</v>
      </c>
      <c r="J21" s="47">
        <f>ELECT.!H22</f>
        <v>53864</v>
      </c>
      <c r="K21" s="47">
        <f>ELECT.!K22</f>
        <v>5245</v>
      </c>
      <c r="L21" s="47">
        <f>ELECT.!M22</f>
        <v>7588</v>
      </c>
      <c r="M21" s="47">
        <f>ELECT.!O22</f>
        <v>15420</v>
      </c>
      <c r="N21" s="47">
        <f>ELECT.!Q22</f>
        <v>13625</v>
      </c>
      <c r="O21" s="47">
        <f>ELECT.!S22</f>
        <v>19774</v>
      </c>
      <c r="P21" s="47">
        <f>ELECT.!W22*2</f>
        <v>23320</v>
      </c>
      <c r="Q21" s="47">
        <f>ELECT.!D22</f>
        <v>800</v>
      </c>
      <c r="R21" s="48">
        <f>BTU!C22</f>
        <v>13.525999999998021</v>
      </c>
      <c r="S21" s="48">
        <f>BTU!F22</f>
        <v>1.8070000000002437</v>
      </c>
      <c r="T21" s="48">
        <f>BTU!I22</f>
        <v>7</v>
      </c>
      <c r="U21" s="48">
        <f>BTU!O22</f>
        <v>1.399000000000342</v>
      </c>
      <c r="V21" s="48">
        <f>BTU!L22</f>
        <v>13</v>
      </c>
      <c r="W21" s="48">
        <f>BTU!R22</f>
        <v>3.6399999999994179</v>
      </c>
      <c r="X21" s="45">
        <f>ELECT.!B22</f>
        <v>232</v>
      </c>
      <c r="Y21" s="45">
        <f t="shared" si="0"/>
        <v>-7821</v>
      </c>
      <c r="Z21">
        <f>'Mall, Citadel, Rotana'!C22+'Mall, Citadel, Rotana'!E22+'Mall, Citadel, Rotana'!G22+'Mall, Citadel, Rotana'!I22</f>
        <v>1250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113398</v>
      </c>
      <c r="AD21" s="45">
        <f t="shared" si="1"/>
        <v>109.8147056</v>
      </c>
      <c r="AE21" s="45">
        <f t="shared" si="2"/>
        <v>723.37729439999998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1180</v>
      </c>
      <c r="F22" s="47">
        <f>Water!E23</f>
        <v>0</v>
      </c>
      <c r="G22" s="47">
        <f>Water!G23</f>
        <v>669.6</v>
      </c>
      <c r="H22" s="47">
        <f>Water!I23</f>
        <v>2.5379999999999998</v>
      </c>
      <c r="I22" s="47">
        <f>ELECT.!F23</f>
        <v>21002</v>
      </c>
      <c r="J22" s="47">
        <f>ELECT.!H23</f>
        <v>51364</v>
      </c>
      <c r="K22" s="47">
        <f>ELECT.!K23</f>
        <v>5031</v>
      </c>
      <c r="L22" s="47">
        <f>ELECT.!M23</f>
        <v>7039</v>
      </c>
      <c r="M22" s="47">
        <f>ELECT.!O23</f>
        <v>14190</v>
      </c>
      <c r="N22" s="47">
        <f>ELECT.!Q23</f>
        <v>13329</v>
      </c>
      <c r="O22" s="47">
        <f>ELECT.!S23</f>
        <v>13253</v>
      </c>
      <c r="P22" s="47">
        <f>ELECT.!W23*2</f>
        <v>22388</v>
      </c>
      <c r="Q22" s="47">
        <f>ELECT.!D23</f>
        <v>1120</v>
      </c>
      <c r="R22" s="48">
        <f>BTU!C23</f>
        <v>14.462000000003172</v>
      </c>
      <c r="S22" s="48">
        <f>BTU!F23</f>
        <v>1.4619999999999891</v>
      </c>
      <c r="T22" s="48">
        <f>BTU!I23</f>
        <v>7</v>
      </c>
      <c r="U22" s="48">
        <f>BTU!O23</f>
        <v>1.4980000000000473</v>
      </c>
      <c r="V22" s="48">
        <f>BTU!L23</f>
        <v>3.9200000000000728</v>
      </c>
      <c r="W22" s="48">
        <f>BTU!R23</f>
        <v>3.8000000000001819</v>
      </c>
      <c r="X22" s="45">
        <f>ELECT.!B23</f>
        <v>324</v>
      </c>
      <c r="Y22" s="45">
        <f t="shared" si="0"/>
        <v>-2864</v>
      </c>
      <c r="Z22">
        <f>'Mall, Citadel, Rotana'!C23+'Mall, Citadel, Rotana'!E23+'Mall, Citadel, Rotana'!G23+'Mall, Citadel, Rotana'!I23</f>
        <v>1428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103</v>
      </c>
      <c r="AD22" s="45">
        <f t="shared" si="1"/>
        <v>129.6202916</v>
      </c>
      <c r="AE22" s="45">
        <f t="shared" si="2"/>
        <v>853.84170840000002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3692</v>
      </c>
      <c r="U9" s="16">
        <f t="shared" si="9"/>
        <v>160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3693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160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v>45553</v>
      </c>
      <c r="C14" s="16">
        <f t="shared" si="0"/>
        <v>960</v>
      </c>
      <c r="D14" s="42">
        <v>39673</v>
      </c>
      <c r="E14" s="16">
        <f t="shared" si="1"/>
        <v>640</v>
      </c>
      <c r="F14" s="42">
        <v>20559</v>
      </c>
      <c r="G14" s="16">
        <f t="shared" si="2"/>
        <v>80</v>
      </c>
      <c r="H14" s="42">
        <v>245275</v>
      </c>
      <c r="I14" s="16">
        <f t="shared" si="3"/>
        <v>58</v>
      </c>
      <c r="J14" s="42">
        <v>303517</v>
      </c>
      <c r="K14" s="16">
        <f t="shared" si="4"/>
        <v>0</v>
      </c>
      <c r="L14" s="42">
        <v>25142</v>
      </c>
      <c r="M14" s="16">
        <f t="shared" si="5"/>
        <v>640</v>
      </c>
      <c r="N14" s="42">
        <v>215677</v>
      </c>
      <c r="O14" s="16">
        <f t="shared" si="6"/>
        <v>3</v>
      </c>
      <c r="P14" s="42"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v>3698</v>
      </c>
      <c r="U14" s="16">
        <f>(T14-T13)*800/5</f>
        <v>160</v>
      </c>
    </row>
    <row r="15" spans="1:24" ht="13.5" thickBot="1" x14ac:dyDescent="0.25">
      <c r="A15" s="10">
        <v>44390</v>
      </c>
      <c r="B15" s="42">
        <v>45558</v>
      </c>
      <c r="C15" s="16">
        <f t="shared" si="0"/>
        <v>800</v>
      </c>
      <c r="D15" s="42">
        <v>39674</v>
      </c>
      <c r="E15" s="16">
        <f t="shared" si="1"/>
        <v>160</v>
      </c>
      <c r="F15" s="42">
        <v>20563</v>
      </c>
      <c r="G15" s="16">
        <f t="shared" si="2"/>
        <v>80</v>
      </c>
      <c r="H15" s="42">
        <v>245328</v>
      </c>
      <c r="I15" s="16">
        <f t="shared" si="3"/>
        <v>53</v>
      </c>
      <c r="J15" s="42">
        <v>303517</v>
      </c>
      <c r="K15" s="16">
        <f t="shared" si="4"/>
        <v>0</v>
      </c>
      <c r="L15" s="42">
        <v>25147</v>
      </c>
      <c r="M15" s="16">
        <f t="shared" si="5"/>
        <v>800</v>
      </c>
      <c r="N15" s="42">
        <v>215680</v>
      </c>
      <c r="O15" s="16">
        <f t="shared" si="6"/>
        <v>3</v>
      </c>
      <c r="P15" s="42"/>
      <c r="Q15" s="16">
        <f t="shared" si="7"/>
        <v>-111345</v>
      </c>
      <c r="R15" s="1">
        <v>55047</v>
      </c>
      <c r="S15" s="16">
        <f t="shared" si="8"/>
        <v>0</v>
      </c>
      <c r="T15" s="42">
        <v>3699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44391</v>
      </c>
      <c r="B16" s="42">
        <v>45564</v>
      </c>
      <c r="C16" s="16">
        <f t="shared" si="0"/>
        <v>960</v>
      </c>
      <c r="D16" s="42">
        <v>39677</v>
      </c>
      <c r="E16" s="16">
        <f t="shared" si="1"/>
        <v>480</v>
      </c>
      <c r="F16" s="42">
        <v>20566</v>
      </c>
      <c r="G16" s="16">
        <f t="shared" si="2"/>
        <v>60</v>
      </c>
      <c r="H16" s="42">
        <v>245391</v>
      </c>
      <c r="I16" s="16">
        <f t="shared" si="3"/>
        <v>63</v>
      </c>
      <c r="J16" s="42">
        <v>303517</v>
      </c>
      <c r="K16" s="16">
        <f t="shared" si="4"/>
        <v>0</v>
      </c>
      <c r="L16" s="42">
        <v>25151</v>
      </c>
      <c r="M16" s="16">
        <f t="shared" si="5"/>
        <v>640</v>
      </c>
      <c r="N16" s="42">
        <v>215683</v>
      </c>
      <c r="O16" s="16">
        <f t="shared" si="6"/>
        <v>3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3700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44392</v>
      </c>
      <c r="B17" s="42">
        <v>45570</v>
      </c>
      <c r="C17" s="16">
        <f t="shared" si="0"/>
        <v>960</v>
      </c>
      <c r="D17" s="42">
        <v>39680</v>
      </c>
      <c r="E17" s="16">
        <f t="shared" si="1"/>
        <v>480</v>
      </c>
      <c r="F17" s="42">
        <v>20570</v>
      </c>
      <c r="G17" s="16">
        <f t="shared" si="2"/>
        <v>80</v>
      </c>
      <c r="H17" s="42">
        <v>245431</v>
      </c>
      <c r="I17" s="16">
        <f t="shared" si="3"/>
        <v>40</v>
      </c>
      <c r="J17" s="42">
        <v>303517</v>
      </c>
      <c r="K17" s="16">
        <f t="shared" si="4"/>
        <v>0</v>
      </c>
      <c r="L17" s="42">
        <v>25155</v>
      </c>
      <c r="M17" s="16">
        <f t="shared" si="5"/>
        <v>640</v>
      </c>
      <c r="N17" s="42">
        <v>215686</v>
      </c>
      <c r="O17" s="16">
        <f t="shared" si="6"/>
        <v>3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v>3701</v>
      </c>
      <c r="U17" s="16">
        <f t="shared" si="9"/>
        <v>160</v>
      </c>
    </row>
    <row r="18" spans="1:23" ht="13.5" thickBot="1" x14ac:dyDescent="0.25">
      <c r="A18" s="10">
        <v>44393</v>
      </c>
      <c r="B18" s="42">
        <v>45575</v>
      </c>
      <c r="C18" s="16">
        <f t="shared" si="0"/>
        <v>800</v>
      </c>
      <c r="D18" s="42">
        <v>39683</v>
      </c>
      <c r="E18" s="16">
        <f t="shared" si="1"/>
        <v>480</v>
      </c>
      <c r="F18" s="42">
        <v>20573</v>
      </c>
      <c r="G18" s="16">
        <f t="shared" si="2"/>
        <v>60</v>
      </c>
      <c r="H18" s="42">
        <v>245497</v>
      </c>
      <c r="I18" s="16">
        <f t="shared" si="3"/>
        <v>66</v>
      </c>
      <c r="J18" s="42">
        <v>303517</v>
      </c>
      <c r="K18" s="16">
        <f t="shared" si="4"/>
        <v>0</v>
      </c>
      <c r="L18" s="42">
        <v>25157</v>
      </c>
      <c r="M18" s="16">
        <f t="shared" si="5"/>
        <v>320</v>
      </c>
      <c r="N18" s="42">
        <v>215689</v>
      </c>
      <c r="O18" s="16">
        <f t="shared" si="6"/>
        <v>3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v>3702</v>
      </c>
      <c r="U18" s="16">
        <f t="shared" si="9"/>
        <v>160</v>
      </c>
    </row>
    <row r="19" spans="1:23" ht="13.5" thickBot="1" x14ac:dyDescent="0.25">
      <c r="A19" s="10">
        <v>44394</v>
      </c>
      <c r="B19" s="42">
        <v>45580</v>
      </c>
      <c r="C19" s="16">
        <f t="shared" si="0"/>
        <v>800</v>
      </c>
      <c r="D19" s="42">
        <v>39685</v>
      </c>
      <c r="E19" s="16">
        <f t="shared" si="1"/>
        <v>320</v>
      </c>
      <c r="F19" s="42">
        <v>20577</v>
      </c>
      <c r="G19" s="16">
        <f t="shared" si="2"/>
        <v>80</v>
      </c>
      <c r="H19" s="42">
        <v>245539</v>
      </c>
      <c r="I19" s="16">
        <f t="shared" si="3"/>
        <v>42</v>
      </c>
      <c r="J19" s="42">
        <v>303517</v>
      </c>
      <c r="K19" s="16">
        <f t="shared" si="4"/>
        <v>0</v>
      </c>
      <c r="L19" s="42">
        <v>25161</v>
      </c>
      <c r="M19" s="16">
        <f t="shared" si="5"/>
        <v>640</v>
      </c>
      <c r="N19" s="42">
        <v>215693</v>
      </c>
      <c r="O19" s="16">
        <f t="shared" si="6"/>
        <v>4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v>3703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44395</v>
      </c>
      <c r="B20" s="42">
        <v>45586</v>
      </c>
      <c r="C20" s="16">
        <f t="shared" si="0"/>
        <v>960</v>
      </c>
      <c r="D20" s="42">
        <v>39688</v>
      </c>
      <c r="E20" s="16">
        <f t="shared" si="1"/>
        <v>480</v>
      </c>
      <c r="F20" s="42">
        <v>20580</v>
      </c>
      <c r="G20" s="16">
        <f t="shared" si="2"/>
        <v>60</v>
      </c>
      <c r="H20" s="42">
        <v>245600</v>
      </c>
      <c r="I20" s="16">
        <f t="shared" si="3"/>
        <v>61</v>
      </c>
      <c r="J20" s="42">
        <v>303517</v>
      </c>
      <c r="K20" s="16">
        <v>0</v>
      </c>
      <c r="L20" s="42">
        <v>25164</v>
      </c>
      <c r="M20" s="16">
        <f t="shared" si="5"/>
        <v>480</v>
      </c>
      <c r="N20" s="42">
        <v>215696</v>
      </c>
      <c r="O20" s="16">
        <f t="shared" si="6"/>
        <v>3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v>3704</v>
      </c>
      <c r="U20" s="16">
        <f t="shared" si="9"/>
        <v>160</v>
      </c>
    </row>
    <row r="21" spans="1:23" ht="13.5" thickBot="1" x14ac:dyDescent="0.25">
      <c r="A21" s="10">
        <v>44396</v>
      </c>
      <c r="B21" s="42">
        <v>45591</v>
      </c>
      <c r="C21" s="16">
        <f t="shared" si="0"/>
        <v>800</v>
      </c>
      <c r="D21" s="42">
        <v>39691</v>
      </c>
      <c r="E21" s="16">
        <f t="shared" si="1"/>
        <v>480</v>
      </c>
      <c r="F21" s="42">
        <v>20584</v>
      </c>
      <c r="G21" s="16">
        <f t="shared" si="2"/>
        <v>80</v>
      </c>
      <c r="H21" s="42">
        <v>245646</v>
      </c>
      <c r="I21" s="16">
        <f t="shared" si="3"/>
        <v>46</v>
      </c>
      <c r="J21" s="42">
        <v>303517</v>
      </c>
      <c r="K21" s="16">
        <f t="shared" si="4"/>
        <v>0</v>
      </c>
      <c r="L21" s="42">
        <v>25166</v>
      </c>
      <c r="M21" s="16">
        <f t="shared" si="5"/>
        <v>320</v>
      </c>
      <c r="N21" s="42">
        <v>215699</v>
      </c>
      <c r="O21" s="16">
        <f t="shared" si="6"/>
        <v>3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v>3705</v>
      </c>
      <c r="U21" s="16">
        <f t="shared" si="9"/>
        <v>160</v>
      </c>
    </row>
    <row r="22" spans="1:23" ht="13.5" thickBot="1" x14ac:dyDescent="0.25">
      <c r="A22" s="10">
        <v>44397</v>
      </c>
      <c r="B22" s="42">
        <v>45596</v>
      </c>
      <c r="C22" s="16">
        <f t="shared" si="0"/>
        <v>800</v>
      </c>
      <c r="D22" s="42">
        <v>39693</v>
      </c>
      <c r="E22" s="16">
        <f t="shared" si="1"/>
        <v>320</v>
      </c>
      <c r="F22" s="42">
        <v>20587</v>
      </c>
      <c r="G22" s="16">
        <f t="shared" si="2"/>
        <v>60</v>
      </c>
      <c r="H22" s="42">
        <v>245716</v>
      </c>
      <c r="I22" s="16">
        <f t="shared" si="3"/>
        <v>70</v>
      </c>
      <c r="J22" s="42">
        <v>303517</v>
      </c>
      <c r="K22" s="16">
        <f t="shared" si="4"/>
        <v>0</v>
      </c>
      <c r="L22" s="42">
        <v>25168</v>
      </c>
      <c r="M22" s="16">
        <f t="shared" si="5"/>
        <v>320</v>
      </c>
      <c r="N22" s="42">
        <v>215702</v>
      </c>
      <c r="O22" s="16">
        <f t="shared" si="6"/>
        <v>3</v>
      </c>
      <c r="P22" s="42">
        <v>113398</v>
      </c>
      <c r="Q22" s="16">
        <f>P22-P21</f>
        <v>113398</v>
      </c>
      <c r="R22" s="1">
        <v>55047</v>
      </c>
      <c r="S22" s="16">
        <f t="shared" si="8"/>
        <v>0</v>
      </c>
      <c r="T22" s="42">
        <v>3706</v>
      </c>
      <c r="U22" s="16">
        <f t="shared" si="9"/>
        <v>160</v>
      </c>
    </row>
    <row r="23" spans="1:23" ht="13.5" thickBot="1" x14ac:dyDescent="0.25">
      <c r="A23" s="10">
        <v>44398</v>
      </c>
      <c r="B23" s="42">
        <v>45601</v>
      </c>
      <c r="C23" s="16">
        <f t="shared" si="0"/>
        <v>800</v>
      </c>
      <c r="D23" s="42">
        <v>39696</v>
      </c>
      <c r="E23" s="16">
        <f t="shared" si="1"/>
        <v>480</v>
      </c>
      <c r="F23" s="42">
        <v>20591</v>
      </c>
      <c r="G23" s="16">
        <f t="shared" si="2"/>
        <v>80</v>
      </c>
      <c r="H23" s="42">
        <v>245784</v>
      </c>
      <c r="I23" s="16">
        <f t="shared" si="3"/>
        <v>68</v>
      </c>
      <c r="J23" s="42">
        <v>303517</v>
      </c>
      <c r="K23" s="16">
        <f t="shared" si="4"/>
        <v>0</v>
      </c>
      <c r="L23" s="42">
        <v>25171</v>
      </c>
      <c r="M23" s="16">
        <f t="shared" si="5"/>
        <v>480</v>
      </c>
      <c r="N23" s="42">
        <v>215705</v>
      </c>
      <c r="O23" s="16">
        <f t="shared" si="6"/>
        <v>3</v>
      </c>
      <c r="P23" s="42">
        <v>113501</v>
      </c>
      <c r="Q23" s="16">
        <f t="shared" si="7"/>
        <v>103</v>
      </c>
      <c r="R23" s="1">
        <v>55047</v>
      </c>
      <c r="S23" s="16">
        <f t="shared" si="8"/>
        <v>0</v>
      </c>
      <c r="T23" s="42">
        <f t="shared" ref="T23:T33" si="11">T22</f>
        <v>3706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ref="B23:B33" si="12">B23</f>
        <v>45601</v>
      </c>
      <c r="C24" s="16">
        <f t="shared" si="0"/>
        <v>0</v>
      </c>
      <c r="D24" s="42">
        <f t="shared" ref="D23:D33" si="13">D23</f>
        <v>39696</v>
      </c>
      <c r="E24" s="16">
        <f t="shared" si="1"/>
        <v>0</v>
      </c>
      <c r="F24" s="42">
        <f t="shared" ref="F23:F33" si="14">F23</f>
        <v>20591</v>
      </c>
      <c r="G24" s="16">
        <f t="shared" si="2"/>
        <v>0</v>
      </c>
      <c r="H24" s="42">
        <f t="shared" ref="H23:H33" si="15">H23</f>
        <v>245784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ref="L23:L33" si="16">L23</f>
        <v>25171</v>
      </c>
      <c r="M24" s="16">
        <f t="shared" si="5"/>
        <v>0</v>
      </c>
      <c r="N24" s="42">
        <f t="shared" ref="N23:N33" si="17">N23</f>
        <v>215705</v>
      </c>
      <c r="O24" s="16">
        <f t="shared" si="6"/>
        <v>0</v>
      </c>
      <c r="P24" s="42">
        <f t="shared" si="10"/>
        <v>113501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1"/>
        <v>3706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2"/>
        <v>45601</v>
      </c>
      <c r="C25" s="16">
        <f t="shared" si="0"/>
        <v>0</v>
      </c>
      <c r="D25" s="42">
        <f t="shared" si="13"/>
        <v>39696</v>
      </c>
      <c r="E25" s="16">
        <f t="shared" si="1"/>
        <v>0</v>
      </c>
      <c r="F25" s="42">
        <f t="shared" si="14"/>
        <v>20591</v>
      </c>
      <c r="G25" s="16">
        <f t="shared" si="2"/>
        <v>0</v>
      </c>
      <c r="H25" s="42">
        <f t="shared" si="15"/>
        <v>245784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6"/>
        <v>25171</v>
      </c>
      <c r="M25" s="16">
        <f t="shared" si="5"/>
        <v>0</v>
      </c>
      <c r="N25" s="42">
        <f t="shared" si="17"/>
        <v>215705</v>
      </c>
      <c r="O25" s="16">
        <f t="shared" si="6"/>
        <v>0</v>
      </c>
      <c r="P25" s="42">
        <f t="shared" si="10"/>
        <v>113501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1"/>
        <v>3706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2"/>
        <v>45601</v>
      </c>
      <c r="C26" s="16">
        <f t="shared" si="0"/>
        <v>0</v>
      </c>
      <c r="D26" s="42">
        <f t="shared" si="13"/>
        <v>39696</v>
      </c>
      <c r="E26" s="16">
        <f t="shared" si="1"/>
        <v>0</v>
      </c>
      <c r="F26" s="42">
        <f t="shared" si="14"/>
        <v>20591</v>
      </c>
      <c r="G26" s="16">
        <f t="shared" si="2"/>
        <v>0</v>
      </c>
      <c r="H26" s="42">
        <f t="shared" si="15"/>
        <v>245784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6"/>
        <v>25171</v>
      </c>
      <c r="M26" s="16">
        <f t="shared" si="5"/>
        <v>0</v>
      </c>
      <c r="N26" s="42">
        <f t="shared" si="17"/>
        <v>215705</v>
      </c>
      <c r="O26" s="16">
        <f t="shared" si="6"/>
        <v>0</v>
      </c>
      <c r="P26" s="42">
        <f t="shared" si="10"/>
        <v>113501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1"/>
        <v>3706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2"/>
        <v>45601</v>
      </c>
      <c r="C27" s="16">
        <f t="shared" si="0"/>
        <v>0</v>
      </c>
      <c r="D27" s="42">
        <f t="shared" si="13"/>
        <v>39696</v>
      </c>
      <c r="E27" s="16">
        <f t="shared" si="1"/>
        <v>0</v>
      </c>
      <c r="F27" s="42">
        <f t="shared" si="14"/>
        <v>20591</v>
      </c>
      <c r="G27" s="16">
        <f t="shared" si="2"/>
        <v>0</v>
      </c>
      <c r="H27" s="42">
        <f t="shared" si="15"/>
        <v>245784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6"/>
        <v>25171</v>
      </c>
      <c r="M27" s="16">
        <f t="shared" si="5"/>
        <v>0</v>
      </c>
      <c r="N27" s="42">
        <f t="shared" si="17"/>
        <v>215705</v>
      </c>
      <c r="O27" s="16">
        <f t="shared" si="6"/>
        <v>0</v>
      </c>
      <c r="P27" s="42">
        <f t="shared" si="10"/>
        <v>113501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1"/>
        <v>3706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2"/>
        <v>45601</v>
      </c>
      <c r="C28" s="16">
        <f t="shared" si="0"/>
        <v>0</v>
      </c>
      <c r="D28" s="42">
        <f t="shared" si="13"/>
        <v>39696</v>
      </c>
      <c r="E28" s="16">
        <f t="shared" si="1"/>
        <v>0</v>
      </c>
      <c r="F28" s="42">
        <f t="shared" si="14"/>
        <v>20591</v>
      </c>
      <c r="G28" s="16">
        <f t="shared" si="2"/>
        <v>0</v>
      </c>
      <c r="H28" s="42">
        <f t="shared" si="15"/>
        <v>245784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6"/>
        <v>25171</v>
      </c>
      <c r="M28" s="16">
        <f t="shared" si="5"/>
        <v>0</v>
      </c>
      <c r="N28" s="42">
        <f t="shared" si="17"/>
        <v>215705</v>
      </c>
      <c r="O28" s="16">
        <f t="shared" si="6"/>
        <v>0</v>
      </c>
      <c r="P28" s="42">
        <f t="shared" si="10"/>
        <v>113501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1"/>
        <v>3706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2"/>
        <v>45601</v>
      </c>
      <c r="C29" s="16">
        <f t="shared" si="0"/>
        <v>0</v>
      </c>
      <c r="D29" s="42">
        <f t="shared" si="13"/>
        <v>39696</v>
      </c>
      <c r="E29" s="16">
        <f t="shared" si="1"/>
        <v>0</v>
      </c>
      <c r="F29" s="42">
        <f t="shared" si="14"/>
        <v>20591</v>
      </c>
      <c r="G29" s="16">
        <f t="shared" si="2"/>
        <v>0</v>
      </c>
      <c r="H29" s="42">
        <f t="shared" si="15"/>
        <v>245784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6"/>
        <v>25171</v>
      </c>
      <c r="M29" s="16">
        <f t="shared" si="5"/>
        <v>0</v>
      </c>
      <c r="N29" s="42">
        <f t="shared" si="17"/>
        <v>215705</v>
      </c>
      <c r="O29" s="16">
        <f t="shared" si="6"/>
        <v>0</v>
      </c>
      <c r="P29" s="42">
        <f t="shared" si="10"/>
        <v>113501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1"/>
        <v>3706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2"/>
        <v>45601</v>
      </c>
      <c r="C30" s="16">
        <f t="shared" si="0"/>
        <v>0</v>
      </c>
      <c r="D30" s="42">
        <f t="shared" si="13"/>
        <v>39696</v>
      </c>
      <c r="E30" s="16">
        <f t="shared" si="1"/>
        <v>0</v>
      </c>
      <c r="F30" s="42">
        <f t="shared" si="14"/>
        <v>20591</v>
      </c>
      <c r="G30" s="16">
        <f t="shared" si="2"/>
        <v>0</v>
      </c>
      <c r="H30" s="42">
        <f t="shared" si="15"/>
        <v>245784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6"/>
        <v>25171</v>
      </c>
      <c r="M30" s="16">
        <f t="shared" si="5"/>
        <v>0</v>
      </c>
      <c r="N30" s="42">
        <f t="shared" si="17"/>
        <v>215705</v>
      </c>
      <c r="O30" s="16">
        <f t="shared" si="6"/>
        <v>0</v>
      </c>
      <c r="P30" s="42">
        <f t="shared" si="10"/>
        <v>113501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1"/>
        <v>3706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2"/>
        <v>45601</v>
      </c>
      <c r="C31" s="16">
        <f t="shared" si="0"/>
        <v>0</v>
      </c>
      <c r="D31" s="42">
        <f t="shared" si="13"/>
        <v>39696</v>
      </c>
      <c r="E31" s="16">
        <f t="shared" si="1"/>
        <v>0</v>
      </c>
      <c r="F31" s="42">
        <f t="shared" si="14"/>
        <v>20591</v>
      </c>
      <c r="G31" s="16">
        <f t="shared" si="2"/>
        <v>0</v>
      </c>
      <c r="H31" s="42">
        <f t="shared" si="15"/>
        <v>245784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6"/>
        <v>25171</v>
      </c>
      <c r="M31" s="16">
        <f t="shared" si="5"/>
        <v>0</v>
      </c>
      <c r="N31" s="42">
        <f t="shared" si="17"/>
        <v>215705</v>
      </c>
      <c r="O31" s="16">
        <f t="shared" si="6"/>
        <v>0</v>
      </c>
      <c r="P31" s="42">
        <f t="shared" si="10"/>
        <v>113501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1"/>
        <v>3706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2"/>
        <v>45601</v>
      </c>
      <c r="C32" s="16">
        <f t="shared" si="0"/>
        <v>0</v>
      </c>
      <c r="D32" s="42">
        <f t="shared" si="13"/>
        <v>39696</v>
      </c>
      <c r="E32" s="16">
        <f t="shared" si="1"/>
        <v>0</v>
      </c>
      <c r="F32" s="42">
        <f t="shared" si="14"/>
        <v>20591</v>
      </c>
      <c r="G32" s="16">
        <f t="shared" si="2"/>
        <v>0</v>
      </c>
      <c r="H32" s="42">
        <f t="shared" si="15"/>
        <v>245784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6"/>
        <v>25171</v>
      </c>
      <c r="M32" s="16">
        <f t="shared" si="5"/>
        <v>0</v>
      </c>
      <c r="N32" s="42">
        <f t="shared" si="17"/>
        <v>215705</v>
      </c>
      <c r="O32" s="16">
        <f t="shared" si="6"/>
        <v>0</v>
      </c>
      <c r="P32" s="42">
        <f t="shared" si="10"/>
        <v>113501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1"/>
        <v>3706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2"/>
        <v>45601</v>
      </c>
      <c r="C33" s="16">
        <f t="shared" si="0"/>
        <v>0</v>
      </c>
      <c r="D33" s="42">
        <f t="shared" si="13"/>
        <v>39696</v>
      </c>
      <c r="E33" s="16">
        <f t="shared" si="1"/>
        <v>0</v>
      </c>
      <c r="F33" s="42">
        <f t="shared" si="14"/>
        <v>20591</v>
      </c>
      <c r="G33" s="16">
        <f t="shared" si="2"/>
        <v>0</v>
      </c>
      <c r="H33" s="42">
        <f t="shared" si="15"/>
        <v>245784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6"/>
        <v>25171</v>
      </c>
      <c r="M33" s="16">
        <f t="shared" si="5"/>
        <v>0</v>
      </c>
      <c r="N33" s="42">
        <f t="shared" si="17"/>
        <v>215705</v>
      </c>
      <c r="O33" s="16">
        <f t="shared" si="6"/>
        <v>0</v>
      </c>
      <c r="P33" s="42">
        <f t="shared" si="10"/>
        <v>113501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1"/>
        <v>3706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18560</v>
      </c>
      <c r="D34" s="13"/>
      <c r="E34" s="11">
        <f>SUM(E3:E33)</f>
        <v>9280</v>
      </c>
      <c r="F34" s="13"/>
      <c r="G34" s="11">
        <f>SUM(G3:G33)</f>
        <v>1480</v>
      </c>
      <c r="H34" s="13"/>
      <c r="I34" s="11">
        <f>SUM(I3:I33)</f>
        <v>1212</v>
      </c>
      <c r="J34" s="13"/>
      <c r="K34" s="11">
        <f>SUM(K3:K33)</f>
        <v>0</v>
      </c>
      <c r="L34" s="13"/>
      <c r="M34" s="11">
        <f>SUM(M3:M33)</f>
        <v>11840</v>
      </c>
      <c r="N34" s="43"/>
      <c r="O34" s="11">
        <f>SUM(O3:O33)</f>
        <v>66</v>
      </c>
      <c r="P34" s="13"/>
      <c r="Q34" s="11">
        <f>SUM(Q3:Q33)</f>
        <v>3006</v>
      </c>
      <c r="R34" s="1"/>
      <c r="S34" s="11">
        <f>SUM(S3:S33)</f>
        <v>0</v>
      </c>
      <c r="T34" s="1"/>
      <c r="U34" s="11">
        <f>SUM(U3:U33)</f>
        <v>3520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pane ySplit="1" topLeftCell="A11" activePane="bottomLeft" state="frozen"/>
      <selection pane="bottomLeft" activeCell="A23" sqref="A23:XFD2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>
        <v>159</v>
      </c>
      <c r="C14" s="161">
        <f t="shared" si="25"/>
        <v>18436</v>
      </c>
      <c r="D14" s="49">
        <v>18441</v>
      </c>
      <c r="E14" s="137">
        <v>26769078</v>
      </c>
      <c r="F14" s="49">
        <f>IF((E14-E13)&lt;0,"0",(E14-E13))</f>
        <v>15906</v>
      </c>
      <c r="G14" s="141">
        <v>84964012</v>
      </c>
      <c r="H14" s="49">
        <f t="shared" si="13"/>
        <v>50141</v>
      </c>
      <c r="I14" s="138">
        <f t="shared" si="14"/>
        <v>66047</v>
      </c>
      <c r="J14" s="137">
        <v>8334314</v>
      </c>
      <c r="K14" s="49">
        <f t="shared" si="15"/>
        <v>5422</v>
      </c>
      <c r="L14" s="139">
        <v>8293104</v>
      </c>
      <c r="M14" s="49">
        <f t="shared" si="16"/>
        <v>5137</v>
      </c>
      <c r="N14" s="137">
        <v>5408719</v>
      </c>
      <c r="O14" s="49">
        <f t="shared" si="23"/>
        <v>10658</v>
      </c>
      <c r="P14" s="139">
        <v>4084299</v>
      </c>
      <c r="Q14" s="49">
        <f t="shared" si="17"/>
        <v>13307</v>
      </c>
      <c r="R14" s="137">
        <v>17977760</v>
      </c>
      <c r="S14" s="49">
        <f>IF((R14-R13)&lt;0,"0",(R14-R13))</f>
        <v>9393</v>
      </c>
      <c r="T14" s="137">
        <v>0</v>
      </c>
      <c r="U14" s="140"/>
      <c r="V14" s="137">
        <v>5695719</v>
      </c>
      <c r="W14" s="49">
        <f t="shared" si="19"/>
        <v>10354</v>
      </c>
      <c r="X14" s="28">
        <f t="shared" si="20"/>
        <v>54271</v>
      </c>
      <c r="Y14" s="35">
        <f t="shared" si="21"/>
        <v>11776</v>
      </c>
      <c r="Z14" s="27">
        <f t="shared" si="22"/>
        <v>8262.2621744000007</v>
      </c>
      <c r="AA14" s="27">
        <f t="shared" si="24"/>
        <v>128995.904752</v>
      </c>
    </row>
    <row r="15" spans="1:27" ht="16.5" thickBot="1" x14ac:dyDescent="0.25">
      <c r="A15" s="10">
        <v>44390</v>
      </c>
      <c r="B15" s="49">
        <v>200</v>
      </c>
      <c r="C15" s="161">
        <f t="shared" si="25"/>
        <v>18436</v>
      </c>
      <c r="D15" s="49">
        <v>18445</v>
      </c>
      <c r="E15" s="137">
        <v>26787816</v>
      </c>
      <c r="F15" s="49">
        <f>IF((E15-E14)&lt;0,"0",(E15-E14))</f>
        <v>18738</v>
      </c>
      <c r="G15" s="141">
        <v>85011174</v>
      </c>
      <c r="H15" s="49">
        <f t="shared" si="13"/>
        <v>47162</v>
      </c>
      <c r="I15" s="138">
        <f t="shared" si="14"/>
        <v>65900</v>
      </c>
      <c r="J15" s="137">
        <v>8339508</v>
      </c>
      <c r="K15" s="49">
        <f t="shared" si="15"/>
        <v>5194</v>
      </c>
      <c r="L15" s="139">
        <v>8299232</v>
      </c>
      <c r="M15" s="49">
        <f t="shared" si="16"/>
        <v>6128</v>
      </c>
      <c r="N15" s="137">
        <v>5414932</v>
      </c>
      <c r="O15" s="49">
        <f t="shared" si="23"/>
        <v>12426</v>
      </c>
      <c r="P15" s="139">
        <v>4096328</v>
      </c>
      <c r="Q15" s="49">
        <f t="shared" si="17"/>
        <v>12029</v>
      </c>
      <c r="R15" s="137">
        <v>17986612</v>
      </c>
      <c r="S15" s="49">
        <f>IF((R15-R14)&lt;0,"0",(R15-R14))</f>
        <v>8852</v>
      </c>
      <c r="T15" s="137">
        <v>0</v>
      </c>
      <c r="U15" s="140"/>
      <c r="V15" s="137">
        <v>5705434</v>
      </c>
      <c r="W15" s="49">
        <f t="shared" si="19"/>
        <v>9715</v>
      </c>
      <c r="X15" s="28">
        <f t="shared" si="20"/>
        <v>54344</v>
      </c>
      <c r="Y15" s="35">
        <f t="shared" si="21"/>
        <v>11556</v>
      </c>
      <c r="Z15" s="27">
        <f t="shared" si="22"/>
        <v>8046.7945584000008</v>
      </c>
      <c r="AA15" s="27">
        <f t="shared" si="24"/>
        <v>131064.6971088</v>
      </c>
    </row>
    <row r="16" spans="1:27" ht="16.5" thickBot="1" x14ac:dyDescent="0.25">
      <c r="A16" s="10">
        <v>44391</v>
      </c>
      <c r="B16" s="49">
        <v>192</v>
      </c>
      <c r="C16" s="161">
        <v>18450</v>
      </c>
      <c r="D16" s="49">
        <f t="shared" si="11"/>
        <v>2240</v>
      </c>
      <c r="E16" s="137">
        <v>26805249</v>
      </c>
      <c r="F16" s="49">
        <f>IF((E16-E15)&lt;0,"0",(E16-E15))</f>
        <v>17433</v>
      </c>
      <c r="G16" s="141">
        <v>85061666</v>
      </c>
      <c r="H16" s="49">
        <f t="shared" si="13"/>
        <v>50492</v>
      </c>
      <c r="I16" s="138">
        <f t="shared" si="14"/>
        <v>67925</v>
      </c>
      <c r="J16" s="137">
        <v>8345042</v>
      </c>
      <c r="K16" s="49">
        <f t="shared" si="15"/>
        <v>5534</v>
      </c>
      <c r="L16" s="139">
        <v>8304732</v>
      </c>
      <c r="M16" s="49">
        <f t="shared" si="16"/>
        <v>5500</v>
      </c>
      <c r="N16" s="137">
        <v>5420818</v>
      </c>
      <c r="O16" s="49">
        <f t="shared" si="23"/>
        <v>11772</v>
      </c>
      <c r="P16" s="139">
        <v>4108649</v>
      </c>
      <c r="Q16" s="49">
        <f t="shared" si="17"/>
        <v>12321</v>
      </c>
      <c r="R16" s="137">
        <v>17996568</v>
      </c>
      <c r="S16" s="49">
        <f t="shared" si="18"/>
        <v>9956</v>
      </c>
      <c r="T16" s="137">
        <v>0</v>
      </c>
      <c r="U16" s="140"/>
      <c r="V16" s="137">
        <v>5715967</v>
      </c>
      <c r="W16" s="49">
        <f t="shared" si="19"/>
        <v>10533</v>
      </c>
      <c r="X16" s="28">
        <f t="shared" si="20"/>
        <v>55616</v>
      </c>
      <c r="Y16" s="35">
        <f t="shared" si="21"/>
        <v>12309</v>
      </c>
      <c r="Z16" s="27">
        <f t="shared" si="22"/>
        <v>8460.8871567999995</v>
      </c>
      <c r="AA16" s="27">
        <f t="shared" si="24"/>
        <v>139525.58426559999</v>
      </c>
    </row>
    <row r="17" spans="1:27" s="151" customFormat="1" ht="16.5" thickBot="1" x14ac:dyDescent="0.25">
      <c r="A17" s="10">
        <v>44392</v>
      </c>
      <c r="B17" s="146">
        <v>234</v>
      </c>
      <c r="C17" s="161">
        <v>18456</v>
      </c>
      <c r="D17" s="49">
        <f t="shared" si="11"/>
        <v>960</v>
      </c>
      <c r="E17" s="137">
        <v>26824765</v>
      </c>
      <c r="F17" s="146">
        <f t="shared" si="12"/>
        <v>19516</v>
      </c>
      <c r="G17" s="141">
        <v>85125732</v>
      </c>
      <c r="H17" s="49">
        <f t="shared" si="13"/>
        <v>64066</v>
      </c>
      <c r="I17" s="148">
        <f t="shared" si="14"/>
        <v>83582</v>
      </c>
      <c r="J17" s="137">
        <v>8351706</v>
      </c>
      <c r="K17" s="146">
        <f t="shared" si="15"/>
        <v>6664</v>
      </c>
      <c r="L17" s="139">
        <v>8310798</v>
      </c>
      <c r="M17" s="146">
        <f t="shared" si="16"/>
        <v>6066</v>
      </c>
      <c r="N17" s="137">
        <v>5427444</v>
      </c>
      <c r="O17" s="146">
        <f t="shared" si="23"/>
        <v>13252</v>
      </c>
      <c r="P17" s="139">
        <v>4125010</v>
      </c>
      <c r="Q17" s="146">
        <f t="shared" si="17"/>
        <v>16361</v>
      </c>
      <c r="R17" s="137">
        <v>18008687</v>
      </c>
      <c r="S17" s="146">
        <f t="shared" si="18"/>
        <v>12119</v>
      </c>
      <c r="T17" s="147">
        <v>0</v>
      </c>
      <c r="U17" s="140"/>
      <c r="V17" s="137">
        <v>5729576</v>
      </c>
      <c r="W17" s="146">
        <f t="shared" si="19"/>
        <v>13609</v>
      </c>
      <c r="X17" s="28">
        <f t="shared" si="20"/>
        <v>68071</v>
      </c>
      <c r="Y17" s="149">
        <f t="shared" si="21"/>
        <v>15511</v>
      </c>
      <c r="Z17" s="150">
        <f t="shared" si="22"/>
        <v>10531.5914496</v>
      </c>
      <c r="AA17" s="150">
        <f t="shared" si="24"/>
        <v>35301.535339199996</v>
      </c>
    </row>
    <row r="18" spans="1:27" s="151" customFormat="1" ht="16.5" thickBot="1" x14ac:dyDescent="0.25">
      <c r="A18" s="10">
        <v>44393</v>
      </c>
      <c r="B18" s="146">
        <v>210</v>
      </c>
      <c r="C18" s="161">
        <v>18461</v>
      </c>
      <c r="D18" s="49">
        <f t="shared" si="11"/>
        <v>800</v>
      </c>
      <c r="E18" s="137">
        <v>26842487</v>
      </c>
      <c r="F18" s="146">
        <f t="shared" si="12"/>
        <v>17722</v>
      </c>
      <c r="G18" s="141">
        <v>85181515</v>
      </c>
      <c r="H18" s="49">
        <f t="shared" si="13"/>
        <v>55783</v>
      </c>
      <c r="I18" s="148">
        <f t="shared" si="14"/>
        <v>73505</v>
      </c>
      <c r="J18" s="137">
        <v>8357088</v>
      </c>
      <c r="K18" s="146">
        <f t="shared" si="15"/>
        <v>5382</v>
      </c>
      <c r="L18" s="139">
        <v>8315733</v>
      </c>
      <c r="M18" s="146">
        <f t="shared" si="16"/>
        <v>4935</v>
      </c>
      <c r="N18" s="137">
        <v>5433722</v>
      </c>
      <c r="O18" s="146">
        <f t="shared" si="23"/>
        <v>12556</v>
      </c>
      <c r="P18" s="139">
        <v>4140012</v>
      </c>
      <c r="Q18" s="146">
        <f t="shared" si="17"/>
        <v>15002</v>
      </c>
      <c r="R18" s="137">
        <v>18019168</v>
      </c>
      <c r="S18" s="146">
        <f t="shared" si="18"/>
        <v>10481</v>
      </c>
      <c r="T18" s="147">
        <v>0</v>
      </c>
      <c r="U18" s="140"/>
      <c r="V18" s="137">
        <v>5741353</v>
      </c>
      <c r="W18" s="146">
        <f t="shared" si="19"/>
        <v>11777</v>
      </c>
      <c r="X18" s="28">
        <f t="shared" si="20"/>
        <v>60133</v>
      </c>
      <c r="Y18" s="149">
        <f t="shared" si="21"/>
        <v>13372</v>
      </c>
      <c r="Z18" s="150">
        <f t="shared" si="22"/>
        <v>9391.8714655999993</v>
      </c>
      <c r="AA18" s="150">
        <f t="shared" si="24"/>
        <v>36431.144630399998</v>
      </c>
    </row>
    <row r="19" spans="1:27" s="151" customFormat="1" ht="16.5" thickBot="1" x14ac:dyDescent="0.25">
      <c r="A19" s="10">
        <v>44394</v>
      </c>
      <c r="B19" s="146">
        <v>237</v>
      </c>
      <c r="C19" s="161">
        <v>18467</v>
      </c>
      <c r="D19" s="49">
        <f>IF((C19-C18)&lt;0,"0",(C19-C18))*160</f>
        <v>960</v>
      </c>
      <c r="E19" s="137">
        <v>26857731</v>
      </c>
      <c r="F19" s="146">
        <f t="shared" si="12"/>
        <v>15244</v>
      </c>
      <c r="G19" s="141">
        <v>85229825</v>
      </c>
      <c r="H19" s="49">
        <f t="shared" si="13"/>
        <v>48310</v>
      </c>
      <c r="I19" s="148">
        <f t="shared" si="14"/>
        <v>63554</v>
      </c>
      <c r="J19" s="137">
        <v>8361952</v>
      </c>
      <c r="K19" s="146">
        <f t="shared" si="15"/>
        <v>4864</v>
      </c>
      <c r="L19" s="139">
        <v>8320305</v>
      </c>
      <c r="M19" s="146">
        <f t="shared" si="16"/>
        <v>4572</v>
      </c>
      <c r="N19" s="137">
        <v>5438988</v>
      </c>
      <c r="O19" s="146">
        <f t="shared" si="23"/>
        <v>10532</v>
      </c>
      <c r="P19" s="139">
        <v>4153064</v>
      </c>
      <c r="Q19" s="146">
        <f t="shared" si="17"/>
        <v>13052</v>
      </c>
      <c r="R19" s="137">
        <v>18028275</v>
      </c>
      <c r="S19" s="146">
        <f t="shared" si="18"/>
        <v>9107</v>
      </c>
      <c r="T19" s="147">
        <v>0</v>
      </c>
      <c r="U19" s="140"/>
      <c r="V19" s="137">
        <v>5751426</v>
      </c>
      <c r="W19" s="146">
        <f t="shared" si="19"/>
        <v>10073</v>
      </c>
      <c r="X19" s="28">
        <f t="shared" si="20"/>
        <v>52200</v>
      </c>
      <c r="Y19" s="149">
        <f t="shared" si="21"/>
        <v>11354</v>
      </c>
      <c r="Z19" s="150">
        <f t="shared" si="22"/>
        <v>8069.4860479999998</v>
      </c>
      <c r="AA19" s="150">
        <f t="shared" si="24"/>
        <v>36453.83612</v>
      </c>
    </row>
    <row r="20" spans="1:27" s="151" customFormat="1" ht="16.5" thickBot="1" x14ac:dyDescent="0.25">
      <c r="A20" s="10">
        <v>44395</v>
      </c>
      <c r="B20" s="146">
        <v>234</v>
      </c>
      <c r="C20" s="161">
        <v>18472</v>
      </c>
      <c r="D20" s="49">
        <f>IF((C20-C19)&lt;0,"0",(C20-C19))*160</f>
        <v>800</v>
      </c>
      <c r="E20" s="137">
        <v>26871505</v>
      </c>
      <c r="F20" s="146">
        <f t="shared" si="12"/>
        <v>13774</v>
      </c>
      <c r="G20" s="141">
        <v>85274128</v>
      </c>
      <c r="H20" s="49">
        <f t="shared" si="13"/>
        <v>44303</v>
      </c>
      <c r="I20" s="148">
        <f t="shared" si="14"/>
        <v>58077</v>
      </c>
      <c r="J20" s="137">
        <v>8366428</v>
      </c>
      <c r="K20" s="146">
        <f t="shared" si="15"/>
        <v>4476</v>
      </c>
      <c r="L20" s="139">
        <v>8324531</v>
      </c>
      <c r="M20" s="146">
        <f t="shared" si="16"/>
        <v>4226</v>
      </c>
      <c r="N20" s="137">
        <v>5443682</v>
      </c>
      <c r="O20" s="146">
        <f t="shared" si="23"/>
        <v>9388</v>
      </c>
      <c r="P20" s="139">
        <v>4164446</v>
      </c>
      <c r="Q20" s="146">
        <f t="shared" si="17"/>
        <v>11382</v>
      </c>
      <c r="R20" s="137">
        <v>18036549</v>
      </c>
      <c r="S20" s="146">
        <f t="shared" si="18"/>
        <v>8274</v>
      </c>
      <c r="T20" s="147">
        <v>0</v>
      </c>
      <c r="U20" s="140"/>
      <c r="V20" s="137">
        <v>5761035</v>
      </c>
      <c r="W20" s="146">
        <f t="shared" si="19"/>
        <v>9609</v>
      </c>
      <c r="X20" s="28">
        <f t="shared" si="20"/>
        <v>47355</v>
      </c>
      <c r="Y20" s="149">
        <f t="shared" si="21"/>
        <v>10722</v>
      </c>
      <c r="Z20" s="150">
        <f t="shared" si="22"/>
        <v>7347.3072816000004</v>
      </c>
      <c r="AA20" s="150">
        <f t="shared" si="24"/>
        <v>35340.256244799995</v>
      </c>
    </row>
    <row r="21" spans="1:27" s="151" customFormat="1" ht="16.5" thickBot="1" x14ac:dyDescent="0.25">
      <c r="A21" s="10">
        <v>44396</v>
      </c>
      <c r="B21" s="146">
        <v>244</v>
      </c>
      <c r="C21" s="161">
        <v>18477</v>
      </c>
      <c r="D21" s="49">
        <f>IF((C21-C20)&lt;0,"0",(C21-C20))*160</f>
        <v>800</v>
      </c>
      <c r="E21" s="137">
        <v>26890725</v>
      </c>
      <c r="F21" s="146">
        <f t="shared" si="12"/>
        <v>19220</v>
      </c>
      <c r="G21" s="141">
        <v>85333734</v>
      </c>
      <c r="H21" s="49">
        <f t="shared" si="13"/>
        <v>59606</v>
      </c>
      <c r="I21" s="148">
        <f t="shared" si="14"/>
        <v>78826</v>
      </c>
      <c r="J21" s="137">
        <v>8372242</v>
      </c>
      <c r="K21" s="146">
        <f t="shared" si="15"/>
        <v>5814</v>
      </c>
      <c r="L21" s="139">
        <v>8330800</v>
      </c>
      <c r="M21" s="146">
        <f t="shared" si="16"/>
        <v>6269</v>
      </c>
      <c r="N21" s="137">
        <v>5450062</v>
      </c>
      <c r="O21" s="146">
        <f t="shared" si="23"/>
        <v>12760</v>
      </c>
      <c r="P21" s="139">
        <v>4180148</v>
      </c>
      <c r="Q21" s="146">
        <f t="shared" si="17"/>
        <v>15702</v>
      </c>
      <c r="R21" s="137">
        <v>18047778</v>
      </c>
      <c r="S21" s="146">
        <f t="shared" si="18"/>
        <v>11229</v>
      </c>
      <c r="T21" s="147">
        <v>0</v>
      </c>
      <c r="U21" s="140"/>
      <c r="V21" s="137">
        <v>5773755</v>
      </c>
      <c r="W21" s="146">
        <f t="shared" si="19"/>
        <v>12720</v>
      </c>
      <c r="X21" s="28">
        <f t="shared" si="20"/>
        <v>64494</v>
      </c>
      <c r="Y21" s="149">
        <f t="shared" si="21"/>
        <v>14332</v>
      </c>
      <c r="Z21" s="150">
        <f t="shared" si="22"/>
        <v>9933.1731407999996</v>
      </c>
      <c r="AA21" s="150">
        <f t="shared" si="24"/>
        <v>34741.837935999996</v>
      </c>
    </row>
    <row r="22" spans="1:27" ht="16.5" thickBot="1" x14ac:dyDescent="0.25">
      <c r="A22" s="10">
        <v>44397</v>
      </c>
      <c r="B22" s="49">
        <v>232</v>
      </c>
      <c r="C22" s="161">
        <v>18482</v>
      </c>
      <c r="D22" s="49">
        <f t="shared" si="11"/>
        <v>800</v>
      </c>
      <c r="E22" s="137">
        <v>26914012</v>
      </c>
      <c r="F22" s="49">
        <f t="shared" si="12"/>
        <v>23287</v>
      </c>
      <c r="G22" s="141">
        <v>85387598</v>
      </c>
      <c r="H22" s="49">
        <f t="shared" si="13"/>
        <v>53864</v>
      </c>
      <c r="I22" s="138">
        <f t="shared" si="14"/>
        <v>77151</v>
      </c>
      <c r="J22" s="137">
        <v>8377487</v>
      </c>
      <c r="K22" s="49">
        <f t="shared" si="15"/>
        <v>5245</v>
      </c>
      <c r="L22" s="139">
        <v>8338388</v>
      </c>
      <c r="M22" s="49">
        <f t="shared" si="16"/>
        <v>7588</v>
      </c>
      <c r="N22" s="137">
        <v>5457772</v>
      </c>
      <c r="O22" s="49">
        <f t="shared" si="23"/>
        <v>15420</v>
      </c>
      <c r="P22" s="139">
        <v>4193773</v>
      </c>
      <c r="Q22" s="49">
        <f t="shared" si="17"/>
        <v>13625</v>
      </c>
      <c r="R22" s="137">
        <v>18067552</v>
      </c>
      <c r="S22" s="49">
        <f t="shared" si="18"/>
        <v>19774</v>
      </c>
      <c r="T22" s="137">
        <v>0</v>
      </c>
      <c r="U22" s="140"/>
      <c r="V22" s="137">
        <v>5785415</v>
      </c>
      <c r="W22" s="49">
        <f t="shared" si="19"/>
        <v>11660</v>
      </c>
      <c r="X22" s="28">
        <f t="shared" si="20"/>
        <v>73312</v>
      </c>
      <c r="Y22" s="35">
        <f t="shared" si="21"/>
        <v>3839</v>
      </c>
      <c r="Z22" s="27">
        <f t="shared" si="22"/>
        <v>11834.296156799999</v>
      </c>
      <c r="AA22" s="27">
        <f t="shared" si="24"/>
        <v>37184.262627200005</v>
      </c>
    </row>
    <row r="23" spans="1:27" ht="16.5" thickBot="1" x14ac:dyDescent="0.25">
      <c r="A23" s="10">
        <v>44398</v>
      </c>
      <c r="B23" s="49">
        <v>324</v>
      </c>
      <c r="C23" s="161">
        <v>18489</v>
      </c>
      <c r="D23" s="49">
        <f t="shared" si="11"/>
        <v>1120</v>
      </c>
      <c r="E23" s="137">
        <v>26935014</v>
      </c>
      <c r="F23" s="49">
        <f t="shared" si="12"/>
        <v>21002</v>
      </c>
      <c r="G23" s="141">
        <v>85438962</v>
      </c>
      <c r="H23" s="49">
        <f t="shared" si="13"/>
        <v>51364</v>
      </c>
      <c r="I23" s="138">
        <f t="shared" si="14"/>
        <v>72366</v>
      </c>
      <c r="J23" s="137">
        <v>8382518</v>
      </c>
      <c r="K23" s="49">
        <f t="shared" si="15"/>
        <v>5031</v>
      </c>
      <c r="L23" s="139">
        <v>8345427</v>
      </c>
      <c r="M23" s="49">
        <f t="shared" si="16"/>
        <v>7039</v>
      </c>
      <c r="N23" s="137">
        <v>5464867</v>
      </c>
      <c r="O23" s="49">
        <f t="shared" si="23"/>
        <v>14190</v>
      </c>
      <c r="P23" s="139">
        <v>4207102</v>
      </c>
      <c r="Q23" s="49">
        <f t="shared" si="17"/>
        <v>13329</v>
      </c>
      <c r="R23" s="137">
        <v>18080805</v>
      </c>
      <c r="S23" s="49">
        <f t="shared" si="18"/>
        <v>13253</v>
      </c>
      <c r="T23" s="137">
        <v>0</v>
      </c>
      <c r="U23" s="140"/>
      <c r="V23" s="137">
        <v>5796609</v>
      </c>
      <c r="W23" s="49">
        <f t="shared" si="19"/>
        <v>11194</v>
      </c>
      <c r="X23" s="28">
        <f t="shared" si="20"/>
        <v>64036</v>
      </c>
      <c r="Y23" s="35">
        <f t="shared" si="21"/>
        <v>8330</v>
      </c>
      <c r="Z23" s="27">
        <f t="shared" si="22"/>
        <v>9917.5290863999999</v>
      </c>
      <c r="AA23" s="27">
        <f t="shared" si="24"/>
        <v>39032.305665599997</v>
      </c>
    </row>
    <row r="24" spans="1:27" ht="16.5" thickBot="1" x14ac:dyDescent="0.25">
      <c r="A24" s="10">
        <v>44399</v>
      </c>
      <c r="B24" s="49"/>
      <c r="C24" s="161">
        <f t="shared" si="25"/>
        <v>18489</v>
      </c>
      <c r="D24" s="49">
        <f t="shared" si="11"/>
        <v>0</v>
      </c>
      <c r="E24" s="137">
        <f t="shared" si="26"/>
        <v>26935014</v>
      </c>
      <c r="F24" s="49">
        <f t="shared" si="12"/>
        <v>0</v>
      </c>
      <c r="G24" s="141">
        <f t="shared" si="27"/>
        <v>85438962</v>
      </c>
      <c r="H24" s="49">
        <f t="shared" si="13"/>
        <v>0</v>
      </c>
      <c r="I24" s="138">
        <f t="shared" si="14"/>
        <v>0</v>
      </c>
      <c r="J24" s="137">
        <f t="shared" si="28"/>
        <v>8382518</v>
      </c>
      <c r="K24" s="49">
        <f t="shared" si="15"/>
        <v>0</v>
      </c>
      <c r="L24" s="139">
        <f t="shared" si="29"/>
        <v>8345427</v>
      </c>
      <c r="M24" s="49">
        <f t="shared" si="16"/>
        <v>0</v>
      </c>
      <c r="N24" s="137">
        <f t="shared" si="30"/>
        <v>5464867</v>
      </c>
      <c r="O24" s="49">
        <f t="shared" si="23"/>
        <v>0</v>
      </c>
      <c r="P24" s="139">
        <f t="shared" si="31"/>
        <v>4207102</v>
      </c>
      <c r="Q24" s="49">
        <f t="shared" si="17"/>
        <v>0</v>
      </c>
      <c r="R24" s="137">
        <f t="shared" si="32"/>
        <v>18080805</v>
      </c>
      <c r="S24" s="49">
        <f t="shared" si="18"/>
        <v>0</v>
      </c>
      <c r="T24" s="137">
        <v>0</v>
      </c>
      <c r="U24" s="140"/>
      <c r="V24" s="137">
        <f t="shared" si="33"/>
        <v>5796609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31684.998383999999</v>
      </c>
    </row>
    <row r="25" spans="1:27" ht="16.5" thickBot="1" x14ac:dyDescent="0.25">
      <c r="A25" s="10">
        <v>44400</v>
      </c>
      <c r="B25" s="49"/>
      <c r="C25" s="161">
        <f t="shared" si="25"/>
        <v>18489</v>
      </c>
      <c r="D25" s="49">
        <f t="shared" si="11"/>
        <v>0</v>
      </c>
      <c r="E25" s="137">
        <f t="shared" si="26"/>
        <v>26935014</v>
      </c>
      <c r="F25" s="49">
        <f t="shared" si="12"/>
        <v>0</v>
      </c>
      <c r="G25" s="141">
        <f t="shared" si="27"/>
        <v>85438962</v>
      </c>
      <c r="H25" s="49">
        <f t="shared" si="13"/>
        <v>0</v>
      </c>
      <c r="I25" s="138">
        <f t="shared" si="14"/>
        <v>0</v>
      </c>
      <c r="J25" s="137">
        <f t="shared" si="28"/>
        <v>8382518</v>
      </c>
      <c r="K25" s="49">
        <f t="shared" si="15"/>
        <v>0</v>
      </c>
      <c r="L25" s="139">
        <f t="shared" si="29"/>
        <v>8345427</v>
      </c>
      <c r="M25" s="49">
        <f t="shared" si="16"/>
        <v>0</v>
      </c>
      <c r="N25" s="137">
        <f t="shared" si="30"/>
        <v>5464867</v>
      </c>
      <c r="O25" s="49">
        <f t="shared" si="23"/>
        <v>0</v>
      </c>
      <c r="P25" s="139">
        <f t="shared" si="31"/>
        <v>4207102</v>
      </c>
      <c r="Q25" s="49">
        <f t="shared" si="17"/>
        <v>0</v>
      </c>
      <c r="R25" s="137">
        <f t="shared" si="32"/>
        <v>18080805</v>
      </c>
      <c r="S25" s="49">
        <f t="shared" si="18"/>
        <v>0</v>
      </c>
      <c r="T25" s="137">
        <v>0</v>
      </c>
      <c r="U25" s="140"/>
      <c r="V25" s="137">
        <f t="shared" si="33"/>
        <v>5796609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21751.825243200001</v>
      </c>
    </row>
    <row r="26" spans="1:27" ht="16.5" thickBot="1" x14ac:dyDescent="0.25">
      <c r="A26" s="10">
        <v>44401</v>
      </c>
      <c r="B26" s="49"/>
      <c r="C26" s="161">
        <f t="shared" si="25"/>
        <v>18489</v>
      </c>
      <c r="D26" s="49">
        <f t="shared" si="11"/>
        <v>0</v>
      </c>
      <c r="E26" s="137">
        <f t="shared" si="26"/>
        <v>26935014</v>
      </c>
      <c r="F26" s="49">
        <f t="shared" si="12"/>
        <v>0</v>
      </c>
      <c r="G26" s="141">
        <f t="shared" si="27"/>
        <v>85438962</v>
      </c>
      <c r="H26" s="49">
        <f t="shared" si="13"/>
        <v>0</v>
      </c>
      <c r="I26" s="138">
        <f t="shared" si="14"/>
        <v>0</v>
      </c>
      <c r="J26" s="137">
        <f t="shared" si="28"/>
        <v>8382518</v>
      </c>
      <c r="K26" s="49">
        <f t="shared" si="15"/>
        <v>0</v>
      </c>
      <c r="L26" s="139">
        <f t="shared" si="29"/>
        <v>8345427</v>
      </c>
      <c r="M26" s="49">
        <f t="shared" si="16"/>
        <v>0</v>
      </c>
      <c r="N26" s="137">
        <f t="shared" si="30"/>
        <v>5464867</v>
      </c>
      <c r="O26" s="49">
        <f t="shared" si="23"/>
        <v>0</v>
      </c>
      <c r="P26" s="139">
        <f t="shared" si="31"/>
        <v>4207102</v>
      </c>
      <c r="Q26" s="49">
        <f t="shared" si="17"/>
        <v>0</v>
      </c>
      <c r="R26" s="137">
        <f t="shared" si="32"/>
        <v>18080805</v>
      </c>
      <c r="S26" s="49">
        <f t="shared" si="18"/>
        <v>0</v>
      </c>
      <c r="T26" s="137">
        <v>0</v>
      </c>
      <c r="U26" s="140"/>
      <c r="V26" s="137">
        <f t="shared" si="33"/>
        <v>5796609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9917.5290863999999</v>
      </c>
    </row>
    <row r="27" spans="1:27" ht="16.5" thickBot="1" x14ac:dyDescent="0.25">
      <c r="A27" s="10">
        <v>44402</v>
      </c>
      <c r="B27" s="49"/>
      <c r="C27" s="161">
        <f t="shared" si="25"/>
        <v>18489</v>
      </c>
      <c r="D27" s="49">
        <f t="shared" si="11"/>
        <v>0</v>
      </c>
      <c r="E27" s="137">
        <f t="shared" si="26"/>
        <v>26935014</v>
      </c>
      <c r="F27" s="49">
        <f t="shared" si="12"/>
        <v>0</v>
      </c>
      <c r="G27" s="141">
        <f t="shared" si="27"/>
        <v>85438962</v>
      </c>
      <c r="H27" s="49">
        <f t="shared" si="13"/>
        <v>0</v>
      </c>
      <c r="I27" s="138">
        <f t="shared" si="14"/>
        <v>0</v>
      </c>
      <c r="J27" s="137">
        <f t="shared" si="28"/>
        <v>8382518</v>
      </c>
      <c r="K27" s="49">
        <f t="shared" si="15"/>
        <v>0</v>
      </c>
      <c r="L27" s="139">
        <f t="shared" si="29"/>
        <v>8345427</v>
      </c>
      <c r="M27" s="49">
        <f t="shared" si="16"/>
        <v>0</v>
      </c>
      <c r="N27" s="137">
        <f t="shared" si="30"/>
        <v>5464867</v>
      </c>
      <c r="O27" s="49">
        <f t="shared" si="23"/>
        <v>0</v>
      </c>
      <c r="P27" s="139">
        <f t="shared" si="31"/>
        <v>4207102</v>
      </c>
      <c r="Q27" s="49">
        <f t="shared" si="17"/>
        <v>0</v>
      </c>
      <c r="R27" s="137">
        <f t="shared" si="32"/>
        <v>18080805</v>
      </c>
      <c r="S27" s="49">
        <f t="shared" si="18"/>
        <v>0</v>
      </c>
      <c r="T27" s="137">
        <v>0</v>
      </c>
      <c r="U27" s="140"/>
      <c r="V27" s="137">
        <f t="shared" si="33"/>
        <v>5796609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18489</v>
      </c>
      <c r="D28" s="49">
        <f t="shared" si="11"/>
        <v>0</v>
      </c>
      <c r="E28" s="137">
        <f t="shared" si="26"/>
        <v>26935014</v>
      </c>
      <c r="F28" s="49">
        <f t="shared" si="12"/>
        <v>0</v>
      </c>
      <c r="G28" s="141">
        <f t="shared" si="27"/>
        <v>85438962</v>
      </c>
      <c r="H28" s="49">
        <f t="shared" si="13"/>
        <v>0</v>
      </c>
      <c r="I28" s="138">
        <f t="shared" si="14"/>
        <v>0</v>
      </c>
      <c r="J28" s="137">
        <f t="shared" si="28"/>
        <v>8382518</v>
      </c>
      <c r="K28" s="49">
        <f t="shared" si="15"/>
        <v>0</v>
      </c>
      <c r="L28" s="139">
        <f t="shared" si="29"/>
        <v>8345427</v>
      </c>
      <c r="M28" s="49">
        <f t="shared" si="16"/>
        <v>0</v>
      </c>
      <c r="N28" s="137">
        <f t="shared" si="30"/>
        <v>5464867</v>
      </c>
      <c r="O28" s="49">
        <f t="shared" si="23"/>
        <v>0</v>
      </c>
      <c r="P28" s="139">
        <f t="shared" si="31"/>
        <v>4207102</v>
      </c>
      <c r="Q28" s="49">
        <f t="shared" si="17"/>
        <v>0</v>
      </c>
      <c r="R28" s="137">
        <f t="shared" si="32"/>
        <v>18080805</v>
      </c>
      <c r="S28" s="49">
        <f t="shared" si="18"/>
        <v>0</v>
      </c>
      <c r="T28" s="137">
        <v>0</v>
      </c>
      <c r="U28" s="140"/>
      <c r="V28" s="137">
        <f t="shared" si="33"/>
        <v>5796609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18489</v>
      </c>
      <c r="D29" s="49">
        <f t="shared" si="11"/>
        <v>0</v>
      </c>
      <c r="E29" s="137">
        <f t="shared" si="26"/>
        <v>26935014</v>
      </c>
      <c r="F29" s="49">
        <f t="shared" si="12"/>
        <v>0</v>
      </c>
      <c r="G29" s="141">
        <f t="shared" si="27"/>
        <v>85438962</v>
      </c>
      <c r="H29" s="49">
        <f t="shared" si="13"/>
        <v>0</v>
      </c>
      <c r="I29" s="138">
        <f t="shared" si="14"/>
        <v>0</v>
      </c>
      <c r="J29" s="137">
        <f t="shared" si="28"/>
        <v>8382518</v>
      </c>
      <c r="K29" s="49">
        <f t="shared" si="15"/>
        <v>0</v>
      </c>
      <c r="L29" s="139">
        <f t="shared" si="29"/>
        <v>8345427</v>
      </c>
      <c r="M29" s="49">
        <f t="shared" si="16"/>
        <v>0</v>
      </c>
      <c r="N29" s="137">
        <f t="shared" si="30"/>
        <v>5464867</v>
      </c>
      <c r="O29" s="49">
        <f t="shared" si="23"/>
        <v>0</v>
      </c>
      <c r="P29" s="139">
        <f t="shared" si="31"/>
        <v>4207102</v>
      </c>
      <c r="Q29" s="49">
        <f t="shared" si="17"/>
        <v>0</v>
      </c>
      <c r="R29" s="137">
        <f t="shared" si="32"/>
        <v>18080805</v>
      </c>
      <c r="S29" s="49">
        <f t="shared" si="18"/>
        <v>0</v>
      </c>
      <c r="T29" s="137">
        <v>0</v>
      </c>
      <c r="U29" s="140"/>
      <c r="V29" s="137">
        <f t="shared" si="33"/>
        <v>5796609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18489</v>
      </c>
      <c r="D30" s="49">
        <f t="shared" si="11"/>
        <v>0</v>
      </c>
      <c r="E30" s="137">
        <f t="shared" si="26"/>
        <v>26935014</v>
      </c>
      <c r="F30" s="49">
        <f t="shared" si="12"/>
        <v>0</v>
      </c>
      <c r="G30" s="141">
        <f t="shared" si="27"/>
        <v>85438962</v>
      </c>
      <c r="H30" s="49">
        <f t="shared" si="13"/>
        <v>0</v>
      </c>
      <c r="I30" s="138">
        <f t="shared" si="14"/>
        <v>0</v>
      </c>
      <c r="J30" s="137">
        <f t="shared" si="28"/>
        <v>8382518</v>
      </c>
      <c r="K30" s="49">
        <f t="shared" si="15"/>
        <v>0</v>
      </c>
      <c r="L30" s="139">
        <f t="shared" si="29"/>
        <v>8345427</v>
      </c>
      <c r="M30" s="49">
        <f t="shared" si="16"/>
        <v>0</v>
      </c>
      <c r="N30" s="137">
        <f t="shared" si="30"/>
        <v>5464867</v>
      </c>
      <c r="O30" s="49">
        <f t="shared" si="23"/>
        <v>0</v>
      </c>
      <c r="P30" s="139">
        <f t="shared" si="31"/>
        <v>4207102</v>
      </c>
      <c r="Q30" s="49">
        <f t="shared" si="17"/>
        <v>0</v>
      </c>
      <c r="R30" s="137">
        <f t="shared" si="32"/>
        <v>18080805</v>
      </c>
      <c r="S30" s="49">
        <f t="shared" si="18"/>
        <v>0</v>
      </c>
      <c r="T30" s="137">
        <v>0</v>
      </c>
      <c r="U30" s="140"/>
      <c r="V30" s="137">
        <f t="shared" si="33"/>
        <v>5796609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18489</v>
      </c>
      <c r="D31" s="49">
        <f t="shared" si="11"/>
        <v>0</v>
      </c>
      <c r="E31" s="137">
        <f t="shared" si="26"/>
        <v>26935014</v>
      </c>
      <c r="F31" s="49">
        <f t="shared" si="12"/>
        <v>0</v>
      </c>
      <c r="G31" s="141">
        <f t="shared" si="27"/>
        <v>85438962</v>
      </c>
      <c r="H31" s="49">
        <f t="shared" si="13"/>
        <v>0</v>
      </c>
      <c r="I31" s="28">
        <f>F31+H31</f>
        <v>0</v>
      </c>
      <c r="J31" s="137">
        <f t="shared" si="28"/>
        <v>8382518</v>
      </c>
      <c r="K31" s="49">
        <f t="shared" si="15"/>
        <v>0</v>
      </c>
      <c r="L31" s="139">
        <f t="shared" si="29"/>
        <v>8345427</v>
      </c>
      <c r="M31" s="49">
        <f t="shared" si="16"/>
        <v>0</v>
      </c>
      <c r="N31" s="137">
        <f t="shared" si="30"/>
        <v>5464867</v>
      </c>
      <c r="O31" s="49">
        <f t="shared" si="23"/>
        <v>0</v>
      </c>
      <c r="P31" s="139">
        <f t="shared" si="31"/>
        <v>4207102</v>
      </c>
      <c r="Q31" s="49">
        <f t="shared" si="17"/>
        <v>0</v>
      </c>
      <c r="R31" s="137">
        <f t="shared" si="32"/>
        <v>18080805</v>
      </c>
      <c r="S31" s="49">
        <f t="shared" si="18"/>
        <v>0</v>
      </c>
      <c r="T31" s="137">
        <v>0</v>
      </c>
      <c r="U31" s="29"/>
      <c r="V31" s="137">
        <f t="shared" si="33"/>
        <v>5796609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18489</v>
      </c>
      <c r="D32" s="49">
        <f t="shared" si="11"/>
        <v>0</v>
      </c>
      <c r="E32" s="137">
        <f t="shared" si="26"/>
        <v>26935014</v>
      </c>
      <c r="F32" s="49">
        <f t="shared" si="12"/>
        <v>0</v>
      </c>
      <c r="G32" s="141">
        <f t="shared" si="27"/>
        <v>85438962</v>
      </c>
      <c r="H32" s="49">
        <f t="shared" si="13"/>
        <v>0</v>
      </c>
      <c r="I32" s="28">
        <f>F32+H32</f>
        <v>0</v>
      </c>
      <c r="J32" s="137">
        <f t="shared" si="28"/>
        <v>8382518</v>
      </c>
      <c r="K32" s="49">
        <f t="shared" si="15"/>
        <v>0</v>
      </c>
      <c r="L32" s="139">
        <f t="shared" si="29"/>
        <v>8345427</v>
      </c>
      <c r="M32" s="49">
        <f t="shared" si="16"/>
        <v>0</v>
      </c>
      <c r="N32" s="137">
        <f t="shared" si="30"/>
        <v>5464867</v>
      </c>
      <c r="O32" s="49">
        <f t="shared" si="23"/>
        <v>0</v>
      </c>
      <c r="P32" s="139">
        <f t="shared" si="31"/>
        <v>4207102</v>
      </c>
      <c r="Q32" s="49">
        <f t="shared" si="17"/>
        <v>0</v>
      </c>
      <c r="R32" s="137">
        <f t="shared" si="32"/>
        <v>18080805</v>
      </c>
      <c r="S32" s="49">
        <f t="shared" si="18"/>
        <v>0</v>
      </c>
      <c r="T32" s="137">
        <v>0</v>
      </c>
      <c r="U32" s="29"/>
      <c r="V32" s="137">
        <f t="shared" si="33"/>
        <v>5796609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18489</v>
      </c>
      <c r="D33" s="49">
        <f t="shared" si="11"/>
        <v>0</v>
      </c>
      <c r="E33" s="137">
        <f t="shared" si="26"/>
        <v>26935014</v>
      </c>
      <c r="F33" s="49">
        <f t="shared" si="12"/>
        <v>0</v>
      </c>
      <c r="G33" s="141">
        <f t="shared" si="27"/>
        <v>85438962</v>
      </c>
      <c r="H33" s="49">
        <f t="shared" si="13"/>
        <v>0</v>
      </c>
      <c r="I33" s="28">
        <f>F33+H33</f>
        <v>0</v>
      </c>
      <c r="J33" s="137">
        <f t="shared" si="28"/>
        <v>8382518</v>
      </c>
      <c r="K33" s="49">
        <f t="shared" si="15"/>
        <v>0</v>
      </c>
      <c r="L33" s="139">
        <f t="shared" si="29"/>
        <v>8345427</v>
      </c>
      <c r="M33" s="49">
        <f t="shared" si="16"/>
        <v>0</v>
      </c>
      <c r="N33" s="137">
        <f t="shared" si="30"/>
        <v>5464867</v>
      </c>
      <c r="O33" s="49">
        <f t="shared" si="23"/>
        <v>0</v>
      </c>
      <c r="P33" s="139">
        <f t="shared" si="31"/>
        <v>4207102</v>
      </c>
      <c r="Q33" s="49">
        <f t="shared" si="17"/>
        <v>0</v>
      </c>
      <c r="R33" s="137">
        <f t="shared" si="32"/>
        <v>18080805</v>
      </c>
      <c r="S33" s="49">
        <f t="shared" si="18"/>
        <v>0</v>
      </c>
      <c r="T33" s="137">
        <v>0</v>
      </c>
      <c r="U33" s="29"/>
      <c r="V33" s="137">
        <f t="shared" si="33"/>
        <v>5796609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4216</v>
      </c>
      <c r="C34" s="159"/>
      <c r="D34" s="159">
        <f>SUM(D2:D33)</f>
        <v>53686</v>
      </c>
      <c r="E34" s="159">
        <v>0</v>
      </c>
      <c r="F34" s="159">
        <f>SUM(F2:F33)</f>
        <v>324401</v>
      </c>
      <c r="G34" s="159">
        <v>0</v>
      </c>
      <c r="H34" s="159">
        <f>SUM(H2:H33)</f>
        <v>1174387</v>
      </c>
      <c r="I34" s="159">
        <f>SUM(I5:I33)</f>
        <v>1344044</v>
      </c>
      <c r="J34" s="159">
        <v>0</v>
      </c>
      <c r="K34" s="159">
        <f>SUM(K2:K33)</f>
        <v>117459</v>
      </c>
      <c r="L34" s="159">
        <v>0</v>
      </c>
      <c r="M34" s="159">
        <f>SUM(M2:M33)</f>
        <v>111398</v>
      </c>
      <c r="N34" s="159">
        <v>0</v>
      </c>
      <c r="O34" s="159">
        <f>SUM(O2:O33)</f>
        <v>204752</v>
      </c>
      <c r="P34" s="159">
        <v>0</v>
      </c>
      <c r="Q34" s="159">
        <f>SUM(Q2:Q33)</f>
        <v>333817</v>
      </c>
      <c r="R34" s="159">
        <v>0</v>
      </c>
      <c r="S34" s="159">
        <f>SUM(S2:S33)</f>
        <v>618579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239371</v>
      </c>
      <c r="X34" s="159">
        <f>SUM(X5:X33)</f>
        <v>1504098</v>
      </c>
      <c r="Y34" s="159">
        <f>SUM(Y2:Y33)</f>
        <v>-126588</v>
      </c>
      <c r="Z34" s="159">
        <f>SUM(Z2:Z33)</f>
        <v>286205.06283199997</v>
      </c>
      <c r="AA34" s="159">
        <f>SUM(AA2:AA33)</f>
        <v>1133400.7937823997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5" activePane="bottomLeft" state="frozen"/>
      <selection pane="bottomLeft" activeCell="A23" sqref="A23:XFD2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v>417570</v>
      </c>
      <c r="C14" s="49">
        <f t="shared" si="12"/>
        <v>1690</v>
      </c>
      <c r="D14" s="3">
        <v>4377000</v>
      </c>
      <c r="E14" s="49">
        <f t="shared" si="6"/>
        <v>0</v>
      </c>
      <c r="F14" s="3">
        <v>4053100</v>
      </c>
      <c r="G14" s="49">
        <f t="shared" si="9"/>
        <v>486</v>
      </c>
      <c r="H14" s="3">
        <v>739611</v>
      </c>
      <c r="I14" s="54">
        <f t="shared" si="10"/>
        <v>2.8889999999999998</v>
      </c>
      <c r="J14" s="23">
        <f t="shared" si="7"/>
        <v>2178.8890000000001</v>
      </c>
      <c r="K14" s="24">
        <f t="shared" si="8"/>
        <v>12768.289540000002</v>
      </c>
    </row>
    <row r="15" spans="1:14" ht="16.5" thickBot="1" x14ac:dyDescent="0.3">
      <c r="A15" s="10">
        <v>44390</v>
      </c>
      <c r="B15" s="3">
        <v>417715</v>
      </c>
      <c r="C15" s="49">
        <f t="shared" si="12"/>
        <v>1450</v>
      </c>
      <c r="D15" s="3">
        <v>4377000</v>
      </c>
      <c r="E15" s="49">
        <f t="shared" si="6"/>
        <v>0</v>
      </c>
      <c r="F15" s="3">
        <v>4070900</v>
      </c>
      <c r="G15" s="49">
        <f t="shared" si="9"/>
        <v>480.6</v>
      </c>
      <c r="H15" s="3">
        <v>739708</v>
      </c>
      <c r="I15" s="54">
        <f t="shared" si="10"/>
        <v>2.6189999999999998</v>
      </c>
      <c r="J15" s="23">
        <f t="shared" si="7"/>
        <v>1933.2189999999998</v>
      </c>
      <c r="K15" s="24">
        <f t="shared" si="8"/>
        <v>11328.663339999999</v>
      </c>
    </row>
    <row r="16" spans="1:14" ht="16.5" thickBot="1" x14ac:dyDescent="0.3">
      <c r="A16" s="10">
        <v>44391</v>
      </c>
      <c r="B16" s="3">
        <v>417850</v>
      </c>
      <c r="C16" s="49">
        <f t="shared" si="12"/>
        <v>1350</v>
      </c>
      <c r="D16" s="3">
        <f t="shared" si="11"/>
        <v>4377000</v>
      </c>
      <c r="E16" s="49">
        <f t="shared" si="6"/>
        <v>0</v>
      </c>
      <c r="F16" s="3">
        <v>4090500</v>
      </c>
      <c r="G16" s="49">
        <f t="shared" si="9"/>
        <v>529.20000000000005</v>
      </c>
      <c r="H16" s="3">
        <v>739844</v>
      </c>
      <c r="I16" s="54">
        <f t="shared" si="10"/>
        <v>3.6720000000000002</v>
      </c>
      <c r="J16" s="23">
        <f t="shared" si="7"/>
        <v>1882.8720000000001</v>
      </c>
      <c r="K16" s="24">
        <f t="shared" si="8"/>
        <v>11033.629920000001</v>
      </c>
    </row>
    <row r="17" spans="1:25" ht="16.5" thickBot="1" x14ac:dyDescent="0.3">
      <c r="A17" s="10">
        <v>44392</v>
      </c>
      <c r="B17" s="3">
        <v>417943</v>
      </c>
      <c r="C17" s="49">
        <f t="shared" si="12"/>
        <v>930</v>
      </c>
      <c r="D17" s="3">
        <f t="shared" si="11"/>
        <v>4377000</v>
      </c>
      <c r="E17" s="49">
        <f t="shared" si="6"/>
        <v>0</v>
      </c>
      <c r="F17" s="3">
        <v>4108800</v>
      </c>
      <c r="G17" s="49">
        <f t="shared" si="9"/>
        <v>494.1</v>
      </c>
      <c r="H17" s="3">
        <v>739971</v>
      </c>
      <c r="I17" s="54">
        <f t="shared" si="10"/>
        <v>3.4289999999999998</v>
      </c>
      <c r="J17" s="23">
        <f t="shared" si="7"/>
        <v>1427.529</v>
      </c>
      <c r="K17" s="24">
        <f t="shared" si="8"/>
        <v>8365.3199400000012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v>418054</v>
      </c>
      <c r="C18" s="49">
        <f t="shared" si="12"/>
        <v>1110</v>
      </c>
      <c r="D18" s="3">
        <f t="shared" si="11"/>
        <v>4377000</v>
      </c>
      <c r="E18" s="49">
        <f t="shared" si="6"/>
        <v>0</v>
      </c>
      <c r="F18" s="3">
        <v>4130300</v>
      </c>
      <c r="G18" s="49">
        <f t="shared" si="9"/>
        <v>580.5</v>
      </c>
      <c r="H18" s="3">
        <v>740091</v>
      </c>
      <c r="I18" s="54">
        <f t="shared" si="10"/>
        <v>3.2399999999999998</v>
      </c>
      <c r="J18" s="23">
        <f t="shared" si="7"/>
        <v>1693.74</v>
      </c>
      <c r="K18" s="24">
        <f t="shared" si="8"/>
        <v>9925.3163999999997</v>
      </c>
      <c r="Q18" t="s">
        <v>43</v>
      </c>
    </row>
    <row r="19" spans="1:25" ht="16.5" thickBot="1" x14ac:dyDescent="0.3">
      <c r="A19" s="10">
        <v>44394</v>
      </c>
      <c r="B19" s="3">
        <v>418139</v>
      </c>
      <c r="C19" s="49">
        <f t="shared" si="12"/>
        <v>850</v>
      </c>
      <c r="D19" s="3">
        <v>4377000</v>
      </c>
      <c r="E19" s="49">
        <f t="shared" si="6"/>
        <v>0</v>
      </c>
      <c r="F19" s="3">
        <v>4147600</v>
      </c>
      <c r="G19" s="49">
        <f t="shared" si="9"/>
        <v>467.1</v>
      </c>
      <c r="H19" s="3">
        <v>740170</v>
      </c>
      <c r="I19" s="54">
        <f t="shared" si="10"/>
        <v>2.133</v>
      </c>
      <c r="J19" s="23">
        <f t="shared" si="7"/>
        <v>1319.2329999999999</v>
      </c>
      <c r="K19" s="24">
        <f t="shared" si="8"/>
        <v>7730.7053800000003</v>
      </c>
      <c r="Q19" t="s">
        <v>12</v>
      </c>
    </row>
    <row r="20" spans="1:25" ht="16.5" thickBot="1" x14ac:dyDescent="0.3">
      <c r="A20" s="10">
        <v>44395</v>
      </c>
      <c r="B20" s="3">
        <f t="shared" ref="B20:B33" si="13">B19</f>
        <v>418139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ref="F20:F33" si="14">F19</f>
        <v>4147600</v>
      </c>
      <c r="G20" s="49">
        <f t="shared" si="9"/>
        <v>0</v>
      </c>
      <c r="H20" s="3">
        <f t="shared" ref="H20:H33" si="15">H19</f>
        <v>740170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v>418348</v>
      </c>
      <c r="C21" s="49">
        <f t="shared" si="12"/>
        <v>2090</v>
      </c>
      <c r="D21" s="3">
        <v>4377000</v>
      </c>
      <c r="E21" s="49">
        <f t="shared" si="6"/>
        <v>0</v>
      </c>
      <c r="F21" s="3">
        <v>4187000</v>
      </c>
      <c r="G21" s="49">
        <f t="shared" si="9"/>
        <v>1063.8</v>
      </c>
      <c r="H21" s="3">
        <v>740386</v>
      </c>
      <c r="I21" s="54">
        <f t="shared" si="10"/>
        <v>5.8319999999999999</v>
      </c>
      <c r="J21" s="23">
        <f t="shared" si="7"/>
        <v>3159.6320000000001</v>
      </c>
      <c r="K21" s="24">
        <f t="shared" si="8"/>
        <v>18515.443520000001</v>
      </c>
    </row>
    <row r="22" spans="1:25" ht="16.5" thickBot="1" x14ac:dyDescent="0.3">
      <c r="A22" s="10">
        <v>44397</v>
      </c>
      <c r="B22" s="3">
        <v>418451</v>
      </c>
      <c r="C22" s="49">
        <f t="shared" si="12"/>
        <v>1030</v>
      </c>
      <c r="D22" s="3">
        <f t="shared" si="11"/>
        <v>4377000</v>
      </c>
      <c r="E22" s="49">
        <f t="shared" si="6"/>
        <v>0</v>
      </c>
      <c r="F22" s="3">
        <v>4207000</v>
      </c>
      <c r="G22" s="49">
        <f t="shared" si="9"/>
        <v>540</v>
      </c>
      <c r="H22" s="3">
        <v>740490</v>
      </c>
      <c r="I22" s="54">
        <f t="shared" si="10"/>
        <v>2.8079999999999998</v>
      </c>
      <c r="J22" s="23">
        <f t="shared" si="7"/>
        <v>1572.808</v>
      </c>
      <c r="K22" s="24">
        <f t="shared" si="8"/>
        <v>9216.65488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v>418569</v>
      </c>
      <c r="C23" s="49">
        <f t="shared" si="12"/>
        <v>1180</v>
      </c>
      <c r="D23" s="3">
        <f t="shared" si="11"/>
        <v>4377000</v>
      </c>
      <c r="E23" s="49">
        <f t="shared" si="6"/>
        <v>0</v>
      </c>
      <c r="F23" s="3">
        <v>4231800</v>
      </c>
      <c r="G23" s="49">
        <f t="shared" si="9"/>
        <v>669.6</v>
      </c>
      <c r="H23" s="3">
        <v>740584</v>
      </c>
      <c r="I23" s="54">
        <f t="shared" si="10"/>
        <v>2.5379999999999998</v>
      </c>
      <c r="J23" s="23">
        <f t="shared" si="7"/>
        <v>1852.1379999999999</v>
      </c>
      <c r="K23" s="24">
        <f t="shared" si="8"/>
        <v>10853.528679999999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418569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4231800</v>
      </c>
      <c r="G24" s="49">
        <f t="shared" si="9"/>
        <v>0</v>
      </c>
      <c r="H24" s="3">
        <f t="shared" si="15"/>
        <v>740584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418569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4231800</v>
      </c>
      <c r="G25" s="49">
        <f>F25-F24</f>
        <v>0</v>
      </c>
      <c r="H25" s="3">
        <f t="shared" si="15"/>
        <v>740584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418569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4231800</v>
      </c>
      <c r="G26" s="49">
        <f t="shared" si="9"/>
        <v>0</v>
      </c>
      <c r="H26" s="3">
        <f t="shared" si="15"/>
        <v>740584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418569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4231800</v>
      </c>
      <c r="G27" s="49">
        <f t="shared" si="9"/>
        <v>0</v>
      </c>
      <c r="H27" s="3">
        <f t="shared" si="15"/>
        <v>740584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418569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4231800</v>
      </c>
      <c r="G28" s="49">
        <f t="shared" si="9"/>
        <v>0</v>
      </c>
      <c r="H28" s="3">
        <f t="shared" si="15"/>
        <v>740584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418569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4231800</v>
      </c>
      <c r="G29" s="49">
        <f t="shared" si="9"/>
        <v>0</v>
      </c>
      <c r="H29" s="3">
        <f t="shared" si="15"/>
        <v>740584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418569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4231800</v>
      </c>
      <c r="G30" s="49">
        <f t="shared" si="9"/>
        <v>0</v>
      </c>
      <c r="H30" s="3">
        <f t="shared" si="15"/>
        <v>740584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418569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4231800</v>
      </c>
      <c r="G31" s="49">
        <f t="shared" si="9"/>
        <v>0</v>
      </c>
      <c r="H31" s="3">
        <f t="shared" si="15"/>
        <v>740584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418569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4231800</v>
      </c>
      <c r="G32" s="49">
        <f t="shared" si="9"/>
        <v>0</v>
      </c>
      <c r="H32" s="3">
        <f t="shared" si="15"/>
        <v>740584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418569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4231800</v>
      </c>
      <c r="G33" s="49">
        <f t="shared" si="9"/>
        <v>0</v>
      </c>
      <c r="H33" s="3">
        <f t="shared" si="15"/>
        <v>740584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28810</v>
      </c>
      <c r="D34" s="3"/>
      <c r="E34" s="66">
        <f>SUM(E3:E33)</f>
        <v>0</v>
      </c>
      <c r="F34" s="3"/>
      <c r="G34" s="66">
        <f>SUM(G3:G33)</f>
        <v>10943.1</v>
      </c>
      <c r="H34" s="3"/>
      <c r="I34" s="66">
        <f>SUM(I3:I33)</f>
        <v>57.671999999999997</v>
      </c>
      <c r="J34" s="66">
        <f>SUM(J3:J33)</f>
        <v>39810.77199999999</v>
      </c>
      <c r="K34" s="66">
        <f>SUM(K3:K33)</f>
        <v>233291.12392000001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A23" sqref="A23:XFD2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v>17460786</v>
      </c>
      <c r="C14" s="55">
        <f t="shared" si="0"/>
        <v>1991</v>
      </c>
    </row>
    <row r="15" spans="1:9" ht="24" thickBot="1" x14ac:dyDescent="0.4">
      <c r="A15" s="10">
        <v>44390</v>
      </c>
      <c r="B15" s="154">
        <v>17462620</v>
      </c>
      <c r="C15" s="55">
        <f t="shared" si="0"/>
        <v>1834</v>
      </c>
      <c r="I15" t="s">
        <v>12</v>
      </c>
    </row>
    <row r="16" spans="1:9" ht="26.25" customHeight="1" thickBot="1" x14ac:dyDescent="0.4">
      <c r="A16" s="10">
        <v>44391</v>
      </c>
      <c r="B16" s="154">
        <v>17464525</v>
      </c>
      <c r="C16" s="55">
        <f t="shared" si="0"/>
        <v>1905</v>
      </c>
    </row>
    <row r="17" spans="1:9" ht="25.5" customHeight="1" thickBot="1" x14ac:dyDescent="0.4">
      <c r="A17" s="10">
        <v>44392</v>
      </c>
      <c r="B17" s="154">
        <v>17466424</v>
      </c>
      <c r="C17" s="55">
        <f t="shared" si="0"/>
        <v>1899</v>
      </c>
      <c r="F17" s="152"/>
    </row>
    <row r="18" spans="1:9" ht="24" thickBot="1" x14ac:dyDescent="0.4">
      <c r="A18" s="10">
        <v>44393</v>
      </c>
      <c r="B18" s="154">
        <v>17468477</v>
      </c>
      <c r="C18" s="55">
        <f t="shared" si="0"/>
        <v>2053</v>
      </c>
    </row>
    <row r="19" spans="1:9" ht="24" thickBot="1" x14ac:dyDescent="0.4">
      <c r="A19" s="10">
        <v>44394</v>
      </c>
      <c r="B19" s="154">
        <v>17471254</v>
      </c>
      <c r="C19" s="55">
        <f t="shared" si="0"/>
        <v>2777</v>
      </c>
    </row>
    <row r="20" spans="1:9" ht="24" thickBot="1" x14ac:dyDescent="0.4">
      <c r="A20" s="10">
        <v>44395</v>
      </c>
      <c r="B20" s="154">
        <v>17473958</v>
      </c>
      <c r="C20" s="55">
        <f t="shared" si="0"/>
        <v>2704</v>
      </c>
    </row>
    <row r="21" spans="1:9" ht="24" thickBot="1" x14ac:dyDescent="0.4">
      <c r="A21" s="10">
        <v>44396</v>
      </c>
      <c r="B21" s="154">
        <v>17475735</v>
      </c>
      <c r="C21" s="55">
        <f t="shared" si="0"/>
        <v>1777</v>
      </c>
    </row>
    <row r="22" spans="1:9" ht="24" thickBot="1" x14ac:dyDescent="0.4">
      <c r="A22" s="10">
        <v>44397</v>
      </c>
      <c r="B22" s="154">
        <v>17477728</v>
      </c>
      <c r="C22" s="55">
        <f t="shared" si="0"/>
        <v>1993</v>
      </c>
    </row>
    <row r="23" spans="1:9" ht="24" thickBot="1" x14ac:dyDescent="0.4">
      <c r="A23" s="10">
        <v>44398</v>
      </c>
      <c r="B23" s="154">
        <v>17479884</v>
      </c>
      <c r="C23" s="55">
        <f t="shared" si="0"/>
        <v>2156</v>
      </c>
      <c r="F23" t="s">
        <v>12</v>
      </c>
    </row>
    <row r="24" spans="1:9" ht="24" thickBot="1" x14ac:dyDescent="0.4">
      <c r="A24" s="10">
        <v>44399</v>
      </c>
      <c r="B24" s="154">
        <f t="shared" ref="B23:B33" si="1">B23</f>
        <v>17479884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17479884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17479884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17479884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17479884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17479884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17479884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17479884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17479884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17479884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44445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v>21230.832999999999</v>
      </c>
      <c r="C14" s="54">
        <f t="shared" si="11"/>
        <v>15.342999999997119</v>
      </c>
      <c r="D14" s="38">
        <f t="shared" si="12"/>
        <v>29151.699999994522</v>
      </c>
      <c r="E14" s="1">
        <v>3728.5309999999999</v>
      </c>
      <c r="F14" s="54">
        <f t="shared" si="13"/>
        <v>3.7100000000000364</v>
      </c>
      <c r="G14" s="38">
        <f t="shared" si="14"/>
        <v>7049.0000000000691</v>
      </c>
      <c r="H14" s="1">
        <v>3501</v>
      </c>
      <c r="I14" s="54">
        <f t="shared" si="15"/>
        <v>10</v>
      </c>
      <c r="J14" s="38">
        <f t="shared" si="16"/>
        <v>19000</v>
      </c>
      <c r="K14" s="7">
        <v>13511.62</v>
      </c>
      <c r="L14" s="54">
        <f t="shared" si="17"/>
        <v>3.8400000000001455</v>
      </c>
      <c r="M14" s="38">
        <f t="shared" si="18"/>
        <v>7296.0000000002765</v>
      </c>
      <c r="N14" s="7">
        <v>3116.2379999999998</v>
      </c>
      <c r="O14" s="54">
        <f t="shared" si="19"/>
        <v>2.237999999999829</v>
      </c>
      <c r="P14" s="38">
        <f t="shared" si="20"/>
        <v>4252.1999999996751</v>
      </c>
      <c r="Q14" s="7">
        <v>4922.3999999999996</v>
      </c>
      <c r="R14" s="54">
        <f t="shared" si="21"/>
        <v>2.4600000000000364</v>
      </c>
      <c r="S14" s="38">
        <f t="shared" si="22"/>
        <v>4674.0000000000691</v>
      </c>
      <c r="T14" s="8">
        <f t="shared" si="24"/>
        <v>37.590999999997166</v>
      </c>
      <c r="U14" s="40">
        <f t="shared" si="23"/>
        <v>71422.89999999461</v>
      </c>
    </row>
    <row r="15" spans="1:25" ht="16.5" thickBot="1" x14ac:dyDescent="0.25">
      <c r="A15" s="10">
        <v>44390</v>
      </c>
      <c r="B15" s="1">
        <v>21245.489000000001</v>
      </c>
      <c r="C15" s="54">
        <f t="shared" si="11"/>
        <v>14.656000000002678</v>
      </c>
      <c r="D15" s="38">
        <f t="shared" si="12"/>
        <v>27846.400000005087</v>
      </c>
      <c r="E15" s="1">
        <v>3731.989</v>
      </c>
      <c r="F15" s="54">
        <f t="shared" si="13"/>
        <v>3.4580000000000837</v>
      </c>
      <c r="G15" s="38">
        <f t="shared" si="14"/>
        <v>6570.200000000159</v>
      </c>
      <c r="H15" s="1">
        <v>3511</v>
      </c>
      <c r="I15" s="54">
        <f t="shared" si="15"/>
        <v>10</v>
      </c>
      <c r="J15" s="38">
        <f t="shared" si="16"/>
        <v>19000</v>
      </c>
      <c r="K15" s="7">
        <v>13515.54</v>
      </c>
      <c r="L15" s="54">
        <f t="shared" si="17"/>
        <v>3.9200000000000728</v>
      </c>
      <c r="M15" s="38">
        <f t="shared" si="18"/>
        <v>7448.0000000001382</v>
      </c>
      <c r="N15" s="7">
        <v>3118.364</v>
      </c>
      <c r="O15" s="54">
        <f t="shared" si="19"/>
        <v>2.1260000000002037</v>
      </c>
      <c r="P15" s="38">
        <f t="shared" si="20"/>
        <v>4039.4000000003871</v>
      </c>
      <c r="Q15" s="7">
        <v>4927.95</v>
      </c>
      <c r="R15" s="54">
        <f t="shared" si="21"/>
        <v>5.5500000000001819</v>
      </c>
      <c r="S15" s="38">
        <f t="shared" si="22"/>
        <v>10545.000000000344</v>
      </c>
      <c r="T15" s="8">
        <f t="shared" si="24"/>
        <v>39.71000000000322</v>
      </c>
      <c r="U15" s="40">
        <f t="shared" si="23"/>
        <v>75449.000000006112</v>
      </c>
      <c r="W15" t="s">
        <v>12</v>
      </c>
    </row>
    <row r="16" spans="1:25" ht="16.5" thickBot="1" x14ac:dyDescent="0.25">
      <c r="A16" s="10">
        <v>44391</v>
      </c>
      <c r="B16" s="1">
        <v>21258.968000000001</v>
      </c>
      <c r="C16" s="54">
        <f t="shared" si="11"/>
        <v>13.47899999999936</v>
      </c>
      <c r="D16" s="38">
        <f t="shared" si="12"/>
        <v>25610.09999999878</v>
      </c>
      <c r="E16" s="1">
        <v>3735.4459999999999</v>
      </c>
      <c r="F16" s="54">
        <f t="shared" si="13"/>
        <v>3.4569999999998799</v>
      </c>
      <c r="G16" s="38">
        <f t="shared" si="14"/>
        <v>6568.2999999997719</v>
      </c>
      <c r="H16" s="1">
        <v>3520</v>
      </c>
      <c r="I16" s="54">
        <f t="shared" si="15"/>
        <v>9</v>
      </c>
      <c r="J16" s="38">
        <f t="shared" si="16"/>
        <v>17099.999999999996</v>
      </c>
      <c r="K16" s="7">
        <v>13518.43</v>
      </c>
      <c r="L16" s="54">
        <f t="shared" si="17"/>
        <v>2.8899999999994179</v>
      </c>
      <c r="M16" s="38">
        <f t="shared" si="18"/>
        <v>5490.9999999988941</v>
      </c>
      <c r="N16" s="7">
        <v>3120.346</v>
      </c>
      <c r="O16" s="54">
        <f t="shared" si="19"/>
        <v>1.9819999999999709</v>
      </c>
      <c r="P16" s="38">
        <f t="shared" si="20"/>
        <v>3765.7999999999447</v>
      </c>
      <c r="Q16" s="7">
        <v>4931.09</v>
      </c>
      <c r="R16" s="54">
        <f t="shared" si="21"/>
        <v>3.1400000000003274</v>
      </c>
      <c r="S16" s="38">
        <f t="shared" si="22"/>
        <v>5966.0000000006221</v>
      </c>
      <c r="T16" s="8">
        <f t="shared" si="24"/>
        <v>33.947999999998956</v>
      </c>
      <c r="U16" s="40">
        <f t="shared" si="23"/>
        <v>64501.199999998011</v>
      </c>
      <c r="Y16" t="s">
        <v>12</v>
      </c>
    </row>
    <row r="17" spans="1:24" ht="16.5" thickBot="1" x14ac:dyDescent="0.25">
      <c r="A17" s="10">
        <v>44392</v>
      </c>
      <c r="B17" s="1">
        <v>21272.886999999999</v>
      </c>
      <c r="C17" s="54">
        <f t="shared" si="11"/>
        <v>13.91899999999805</v>
      </c>
      <c r="D17" s="38">
        <f t="shared" si="12"/>
        <v>26446.099999996291</v>
      </c>
      <c r="E17" s="1">
        <v>3738.7089999999998</v>
      </c>
      <c r="F17" s="54">
        <f t="shared" si="13"/>
        <v>3.26299999999992</v>
      </c>
      <c r="G17" s="38">
        <f t="shared" si="14"/>
        <v>6199.699999999847</v>
      </c>
      <c r="H17" s="1">
        <v>3529</v>
      </c>
      <c r="I17" s="54">
        <f t="shared" si="15"/>
        <v>9</v>
      </c>
      <c r="J17" s="38">
        <f t="shared" si="16"/>
        <v>17099.999999999996</v>
      </c>
      <c r="K17" s="7">
        <v>13521.02</v>
      </c>
      <c r="L17" s="54">
        <f t="shared" si="17"/>
        <v>2.5900000000001455</v>
      </c>
      <c r="M17" s="38">
        <f t="shared" si="18"/>
        <v>4921.0000000002765</v>
      </c>
      <c r="N17" s="7">
        <v>3122.3580000000002</v>
      </c>
      <c r="O17" s="54">
        <f t="shared" si="19"/>
        <v>2.012000000000171</v>
      </c>
      <c r="P17" s="38">
        <f t="shared" si="20"/>
        <v>3822.8000000003244</v>
      </c>
      <c r="Q17" s="7">
        <v>4933.96</v>
      </c>
      <c r="R17" s="54">
        <f t="shared" si="21"/>
        <v>2.8699999999998909</v>
      </c>
      <c r="S17" s="38">
        <f t="shared" si="22"/>
        <v>5452.9999999997926</v>
      </c>
      <c r="T17" s="8">
        <f t="shared" si="24"/>
        <v>33.653999999998177</v>
      </c>
      <c r="U17" s="40">
        <f t="shared" si="23"/>
        <v>63942.599999996528</v>
      </c>
    </row>
    <row r="18" spans="1:24" ht="16.5" thickBot="1" x14ac:dyDescent="0.25">
      <c r="A18" s="10">
        <v>44393</v>
      </c>
      <c r="B18" s="1">
        <v>21287.471000000001</v>
      </c>
      <c r="C18" s="54">
        <f t="shared" si="11"/>
        <v>14.584000000002561</v>
      </c>
      <c r="D18" s="38">
        <f t="shared" si="12"/>
        <v>27709.600000004866</v>
      </c>
      <c r="E18" s="1">
        <v>3740.68</v>
      </c>
      <c r="F18" s="54">
        <f t="shared" si="13"/>
        <v>1.9710000000000036</v>
      </c>
      <c r="G18" s="38">
        <f t="shared" si="14"/>
        <v>3744.9000000000065</v>
      </c>
      <c r="H18" s="1">
        <v>3537</v>
      </c>
      <c r="I18" s="54">
        <f t="shared" si="15"/>
        <v>8</v>
      </c>
      <c r="J18" s="38">
        <f t="shared" si="16"/>
        <v>15200</v>
      </c>
      <c r="K18" s="7">
        <v>13523.61</v>
      </c>
      <c r="L18" s="54">
        <f t="shared" si="17"/>
        <v>2.5900000000001455</v>
      </c>
      <c r="M18" s="38">
        <f t="shared" si="18"/>
        <v>4921.0000000002765</v>
      </c>
      <c r="N18" s="7">
        <v>3124.1260000000002</v>
      </c>
      <c r="O18" s="54">
        <f t="shared" si="19"/>
        <v>1.7680000000000291</v>
      </c>
      <c r="P18" s="38">
        <f t="shared" si="20"/>
        <v>3359.2000000000548</v>
      </c>
      <c r="Q18" s="7">
        <v>4936.72</v>
      </c>
      <c r="R18" s="54">
        <f t="shared" si="21"/>
        <v>2.7600000000002183</v>
      </c>
      <c r="S18" s="38">
        <f t="shared" si="22"/>
        <v>5244.0000000004147</v>
      </c>
      <c r="T18" s="8">
        <f t="shared" si="24"/>
        <v>31.673000000002958</v>
      </c>
      <c r="U18" s="40">
        <f t="shared" si="23"/>
        <v>60178.700000005621</v>
      </c>
    </row>
    <row r="19" spans="1:24" ht="16.5" thickBot="1" x14ac:dyDescent="0.25">
      <c r="A19" s="10">
        <v>44394</v>
      </c>
      <c r="B19" s="1">
        <v>21301.815999999999</v>
      </c>
      <c r="C19" s="54">
        <f t="shared" si="11"/>
        <v>14.344999999997526</v>
      </c>
      <c r="D19" s="38">
        <f t="shared" si="12"/>
        <v>27255.499999995296</v>
      </c>
      <c r="E19" s="1">
        <v>3742.93</v>
      </c>
      <c r="F19" s="54">
        <f t="shared" si="13"/>
        <v>2.25</v>
      </c>
      <c r="G19" s="38">
        <f t="shared" si="14"/>
        <v>4274.9999999999991</v>
      </c>
      <c r="H19" s="1">
        <v>3544</v>
      </c>
      <c r="I19" s="54">
        <f t="shared" si="15"/>
        <v>7</v>
      </c>
      <c r="J19" s="38">
        <f t="shared" si="16"/>
        <v>13299.999999999998</v>
      </c>
      <c r="K19" s="7">
        <v>13527.44</v>
      </c>
      <c r="L19" s="54">
        <f t="shared" si="17"/>
        <v>3.8299999999999272</v>
      </c>
      <c r="M19" s="38">
        <f t="shared" si="18"/>
        <v>7276.9999999998618</v>
      </c>
      <c r="N19" s="7">
        <v>3125.6759999999999</v>
      </c>
      <c r="O19" s="54">
        <f t="shared" si="19"/>
        <v>1.5499999999997272</v>
      </c>
      <c r="P19" s="38">
        <f t="shared" si="20"/>
        <v>2944.9999999994816</v>
      </c>
      <c r="Q19" s="7">
        <v>4939.6000000000004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31.85499999999729</v>
      </c>
      <c r="U19" s="40">
        <f t="shared" si="23"/>
        <v>60524.499999994841</v>
      </c>
    </row>
    <row r="20" spans="1:24" ht="16.5" thickBot="1" x14ac:dyDescent="0.25">
      <c r="A20" s="10">
        <v>44395</v>
      </c>
      <c r="B20" s="1">
        <v>21312.548999999999</v>
      </c>
      <c r="C20" s="54">
        <f t="shared" si="11"/>
        <v>10.733000000000175</v>
      </c>
      <c r="D20" s="38">
        <f t="shared" si="12"/>
        <v>20392.700000000332</v>
      </c>
      <c r="E20" s="1">
        <v>3744.5230000000001</v>
      </c>
      <c r="F20" s="54">
        <f t="shared" si="13"/>
        <v>1.593000000000302</v>
      </c>
      <c r="G20" s="38">
        <f t="shared" si="14"/>
        <v>3026.7000000005737</v>
      </c>
      <c r="H20" s="1">
        <v>3550</v>
      </c>
      <c r="I20" s="54">
        <f t="shared" si="15"/>
        <v>6</v>
      </c>
      <c r="J20" s="38">
        <f t="shared" si="16"/>
        <v>11399.999999999998</v>
      </c>
      <c r="K20" s="7">
        <v>13530.38</v>
      </c>
      <c r="L20" s="54">
        <f t="shared" si="17"/>
        <v>2.9399999999986903</v>
      </c>
      <c r="M20" s="38">
        <f t="shared" si="18"/>
        <v>5585.9999999975116</v>
      </c>
      <c r="N20" s="7">
        <v>3126.7840000000001</v>
      </c>
      <c r="O20" s="54">
        <f t="shared" si="19"/>
        <v>1.1080000000001746</v>
      </c>
      <c r="P20" s="38">
        <f t="shared" si="20"/>
        <v>2105.2000000003318</v>
      </c>
      <c r="Q20" s="7">
        <v>4943.7</v>
      </c>
      <c r="R20" s="54">
        <f t="shared" si="21"/>
        <v>4.0999999999994543</v>
      </c>
      <c r="S20" s="38">
        <f t="shared" si="22"/>
        <v>7789.9999999989623</v>
      </c>
      <c r="T20" s="8">
        <f t="shared" si="24"/>
        <v>26.473999999998796</v>
      </c>
      <c r="U20" s="40">
        <f t="shared" si="23"/>
        <v>50300.599999997707</v>
      </c>
      <c r="X20" t="s">
        <v>12</v>
      </c>
    </row>
    <row r="21" spans="1:24" ht="16.5" thickBot="1" x14ac:dyDescent="0.25">
      <c r="A21" s="10">
        <v>44396</v>
      </c>
      <c r="B21" s="1">
        <v>21332.378000000001</v>
      </c>
      <c r="C21" s="54">
        <f t="shared" si="11"/>
        <v>19.829000000001543</v>
      </c>
      <c r="D21" s="38">
        <f t="shared" si="12"/>
        <v>37675.100000002931</v>
      </c>
      <c r="E21" s="1">
        <v>3747.0279999999998</v>
      </c>
      <c r="F21" s="54">
        <f t="shared" si="13"/>
        <v>2.5049999999996544</v>
      </c>
      <c r="G21" s="38">
        <f t="shared" si="14"/>
        <v>4759.4999999993424</v>
      </c>
      <c r="H21" s="1">
        <v>3560</v>
      </c>
      <c r="I21" s="54">
        <f t="shared" si="15"/>
        <v>10</v>
      </c>
      <c r="J21" s="38">
        <f t="shared" si="16"/>
        <v>19000</v>
      </c>
      <c r="K21" s="7">
        <v>13535.66</v>
      </c>
      <c r="L21" s="54">
        <f t="shared" si="17"/>
        <v>5.2800000000006548</v>
      </c>
      <c r="M21" s="38">
        <f t="shared" si="18"/>
        <v>10032.000000001244</v>
      </c>
      <c r="N21" s="7">
        <v>3129.0279999999998</v>
      </c>
      <c r="O21" s="54">
        <f t="shared" si="19"/>
        <v>2.2439999999996871</v>
      </c>
      <c r="P21" s="38">
        <f t="shared" si="20"/>
        <v>4263.5999999994056</v>
      </c>
      <c r="Q21" s="7">
        <v>4949.0600000000004</v>
      </c>
      <c r="R21" s="54">
        <f t="shared" si="21"/>
        <v>5.3600000000005821</v>
      </c>
      <c r="S21" s="38">
        <f t="shared" si="22"/>
        <v>10184.000000001106</v>
      </c>
      <c r="T21" s="8">
        <f t="shared" si="24"/>
        <v>45.218000000002121</v>
      </c>
      <c r="U21" s="40">
        <f t="shared" si="23"/>
        <v>85914.200000004028</v>
      </c>
    </row>
    <row r="22" spans="1:24" ht="16.5" thickBot="1" x14ac:dyDescent="0.25">
      <c r="A22" s="10">
        <v>44397</v>
      </c>
      <c r="B22" s="1">
        <v>21345.903999999999</v>
      </c>
      <c r="C22" s="54">
        <f t="shared" si="11"/>
        <v>13.525999999998021</v>
      </c>
      <c r="D22" s="38">
        <f t="shared" si="12"/>
        <v>25699.39999999624</v>
      </c>
      <c r="E22" s="1">
        <v>3748.835</v>
      </c>
      <c r="F22" s="54">
        <f t="shared" si="13"/>
        <v>1.8070000000002437</v>
      </c>
      <c r="G22" s="38">
        <f t="shared" si="14"/>
        <v>3433.3000000004627</v>
      </c>
      <c r="H22" s="1">
        <v>3567</v>
      </c>
      <c r="I22" s="54">
        <f t="shared" si="15"/>
        <v>7</v>
      </c>
      <c r="J22" s="38">
        <f t="shared" si="16"/>
        <v>13299.999999999998</v>
      </c>
      <c r="K22" s="7">
        <v>13539.3</v>
      </c>
      <c r="L22" s="54">
        <v>13</v>
      </c>
      <c r="M22" s="38">
        <f t="shared" si="18"/>
        <v>24700</v>
      </c>
      <c r="N22" s="7">
        <v>3130.4270000000001</v>
      </c>
      <c r="O22" s="54">
        <f t="shared" si="19"/>
        <v>1.399000000000342</v>
      </c>
      <c r="P22" s="38">
        <f t="shared" si="20"/>
        <v>2658.1000000006497</v>
      </c>
      <c r="Q22" s="7">
        <v>4952.7</v>
      </c>
      <c r="R22" s="54">
        <f t="shared" si="21"/>
        <v>3.6399999999994179</v>
      </c>
      <c r="S22" s="38">
        <f t="shared" si="22"/>
        <v>6915.9999999988941</v>
      </c>
      <c r="T22" s="8">
        <f t="shared" si="24"/>
        <v>40.371999999998025</v>
      </c>
      <c r="U22" s="40">
        <f t="shared" si="23"/>
        <v>76706.799999996249</v>
      </c>
    </row>
    <row r="23" spans="1:24" ht="16.5" thickBot="1" x14ac:dyDescent="0.25">
      <c r="A23" s="10">
        <v>44398</v>
      </c>
      <c r="B23" s="1">
        <v>21360.366000000002</v>
      </c>
      <c r="C23" s="54">
        <f t="shared" si="11"/>
        <v>14.462000000003172</v>
      </c>
      <c r="D23" s="38">
        <f t="shared" si="12"/>
        <v>27477.800000006027</v>
      </c>
      <c r="E23" s="1">
        <v>3750.297</v>
      </c>
      <c r="F23" s="54">
        <f t="shared" si="13"/>
        <v>1.4619999999999891</v>
      </c>
      <c r="G23" s="38">
        <f t="shared" si="14"/>
        <v>2777.7999999999793</v>
      </c>
      <c r="H23" s="1">
        <v>3574</v>
      </c>
      <c r="I23" s="54">
        <f t="shared" si="15"/>
        <v>7</v>
      </c>
      <c r="J23" s="38">
        <f t="shared" si="16"/>
        <v>13299.999999999998</v>
      </c>
      <c r="K23" s="7">
        <v>13543.22</v>
      </c>
      <c r="L23" s="54">
        <f t="shared" si="17"/>
        <v>3.9200000000000728</v>
      </c>
      <c r="M23" s="38">
        <f t="shared" si="18"/>
        <v>7448.0000000001382</v>
      </c>
      <c r="N23" s="7">
        <v>3131.9250000000002</v>
      </c>
      <c r="O23" s="54">
        <f t="shared" si="19"/>
        <v>1.4980000000000473</v>
      </c>
      <c r="P23" s="38">
        <f t="shared" si="20"/>
        <v>2846.2000000000899</v>
      </c>
      <c r="Q23" s="7">
        <v>4956.5</v>
      </c>
      <c r="R23" s="54">
        <f t="shared" si="21"/>
        <v>3.8000000000001819</v>
      </c>
      <c r="S23" s="38">
        <f t="shared" si="22"/>
        <v>7220.0000000003456</v>
      </c>
      <c r="T23" s="8">
        <f t="shared" si="24"/>
        <v>32.142000000003463</v>
      </c>
      <c r="U23" s="40">
        <f t="shared" si="23"/>
        <v>61069.80000000658</v>
      </c>
    </row>
    <row r="24" spans="1:24" ht="16.5" thickBot="1" x14ac:dyDescent="0.25">
      <c r="A24" s="10">
        <v>44399</v>
      </c>
      <c r="B24" s="1">
        <f t="shared" ref="B23:B33" si="25">B23</f>
        <v>21360.366000000002</v>
      </c>
      <c r="C24" s="54">
        <f t="shared" si="11"/>
        <v>0</v>
      </c>
      <c r="D24" s="38">
        <f t="shared" si="12"/>
        <v>0</v>
      </c>
      <c r="E24" s="1">
        <f t="shared" ref="E23:E33" si="26">E23</f>
        <v>3750.297</v>
      </c>
      <c r="F24" s="54">
        <f t="shared" si="13"/>
        <v>0</v>
      </c>
      <c r="G24" s="38">
        <f t="shared" si="14"/>
        <v>0</v>
      </c>
      <c r="H24" s="1">
        <f t="shared" ref="H23:H33" si="27">H23</f>
        <v>3574</v>
      </c>
      <c r="I24" s="54">
        <f t="shared" si="15"/>
        <v>0</v>
      </c>
      <c r="J24" s="38">
        <f t="shared" si="16"/>
        <v>0</v>
      </c>
      <c r="K24" s="7">
        <f t="shared" ref="K23:K33" si="28">K23</f>
        <v>13543.22</v>
      </c>
      <c r="L24" s="54">
        <f t="shared" si="17"/>
        <v>0</v>
      </c>
      <c r="M24" s="38">
        <f t="shared" si="18"/>
        <v>0</v>
      </c>
      <c r="N24" s="7">
        <f t="shared" ref="N23:N33" si="29">N23</f>
        <v>3131.9250000000002</v>
      </c>
      <c r="O24" s="54">
        <f t="shared" si="19"/>
        <v>0</v>
      </c>
      <c r="P24" s="38">
        <f t="shared" si="20"/>
        <v>0</v>
      </c>
      <c r="Q24" s="7">
        <f t="shared" ref="Q23:Q33" si="30">Q23</f>
        <v>4956.5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21360.366000000002</v>
      </c>
      <c r="C25" s="54">
        <f t="shared" si="11"/>
        <v>0</v>
      </c>
      <c r="D25" s="38">
        <f t="shared" si="12"/>
        <v>0</v>
      </c>
      <c r="E25" s="1">
        <f t="shared" si="26"/>
        <v>3750.297</v>
      </c>
      <c r="F25" s="54">
        <f t="shared" si="13"/>
        <v>0</v>
      </c>
      <c r="G25" s="38">
        <f t="shared" si="14"/>
        <v>0</v>
      </c>
      <c r="H25" s="1">
        <f t="shared" si="27"/>
        <v>3574</v>
      </c>
      <c r="I25" s="54">
        <f t="shared" si="15"/>
        <v>0</v>
      </c>
      <c r="J25" s="38">
        <f t="shared" si="16"/>
        <v>0</v>
      </c>
      <c r="K25" s="7">
        <f t="shared" si="28"/>
        <v>13543.22</v>
      </c>
      <c r="L25" s="54">
        <f t="shared" si="17"/>
        <v>0</v>
      </c>
      <c r="M25" s="38">
        <f t="shared" si="18"/>
        <v>0</v>
      </c>
      <c r="N25" s="7">
        <f t="shared" si="29"/>
        <v>3131.9250000000002</v>
      </c>
      <c r="O25" s="54">
        <f t="shared" si="19"/>
        <v>0</v>
      </c>
      <c r="P25" s="38">
        <f t="shared" si="20"/>
        <v>0</v>
      </c>
      <c r="Q25" s="7">
        <f t="shared" si="30"/>
        <v>4956.5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21360.366000000002</v>
      </c>
      <c r="C26" s="54">
        <f t="shared" si="11"/>
        <v>0</v>
      </c>
      <c r="D26" s="38">
        <f t="shared" si="12"/>
        <v>0</v>
      </c>
      <c r="E26" s="1">
        <f t="shared" si="26"/>
        <v>3750.297</v>
      </c>
      <c r="F26" s="54">
        <f t="shared" si="13"/>
        <v>0</v>
      </c>
      <c r="G26" s="38">
        <f t="shared" si="14"/>
        <v>0</v>
      </c>
      <c r="H26" s="1">
        <f t="shared" si="27"/>
        <v>3574</v>
      </c>
      <c r="I26" s="54">
        <f t="shared" si="15"/>
        <v>0</v>
      </c>
      <c r="J26" s="38">
        <f t="shared" si="16"/>
        <v>0</v>
      </c>
      <c r="K26" s="7">
        <f t="shared" si="28"/>
        <v>13543.22</v>
      </c>
      <c r="L26" s="54">
        <f t="shared" si="17"/>
        <v>0</v>
      </c>
      <c r="M26" s="38">
        <f t="shared" si="18"/>
        <v>0</v>
      </c>
      <c r="N26" s="7">
        <f t="shared" si="29"/>
        <v>3131.9250000000002</v>
      </c>
      <c r="O26" s="54">
        <f t="shared" si="19"/>
        <v>0</v>
      </c>
      <c r="P26" s="38">
        <f t="shared" si="20"/>
        <v>0</v>
      </c>
      <c r="Q26" s="7">
        <f t="shared" si="30"/>
        <v>4956.5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21360.366000000002</v>
      </c>
      <c r="C27" s="54">
        <f t="shared" si="11"/>
        <v>0</v>
      </c>
      <c r="D27" s="38">
        <f t="shared" si="12"/>
        <v>0</v>
      </c>
      <c r="E27" s="1">
        <f t="shared" si="26"/>
        <v>3750.297</v>
      </c>
      <c r="F27" s="54">
        <f t="shared" si="13"/>
        <v>0</v>
      </c>
      <c r="G27" s="38">
        <f t="shared" si="14"/>
        <v>0</v>
      </c>
      <c r="H27" s="1">
        <f t="shared" si="27"/>
        <v>3574</v>
      </c>
      <c r="I27" s="54">
        <f t="shared" si="15"/>
        <v>0</v>
      </c>
      <c r="J27" s="38">
        <f t="shared" si="16"/>
        <v>0</v>
      </c>
      <c r="K27" s="7">
        <f t="shared" si="28"/>
        <v>13543.22</v>
      </c>
      <c r="L27" s="54">
        <f t="shared" si="17"/>
        <v>0</v>
      </c>
      <c r="M27" s="38">
        <f t="shared" si="18"/>
        <v>0</v>
      </c>
      <c r="N27" s="7">
        <f t="shared" si="29"/>
        <v>3131.9250000000002</v>
      </c>
      <c r="O27" s="54">
        <f t="shared" si="19"/>
        <v>0</v>
      </c>
      <c r="P27" s="38">
        <f t="shared" si="20"/>
        <v>0</v>
      </c>
      <c r="Q27" s="7">
        <f t="shared" si="30"/>
        <v>4956.5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21360.366000000002</v>
      </c>
      <c r="C28" s="54">
        <f t="shared" si="11"/>
        <v>0</v>
      </c>
      <c r="D28" s="38">
        <f t="shared" si="12"/>
        <v>0</v>
      </c>
      <c r="E28" s="1">
        <f t="shared" si="26"/>
        <v>3750.297</v>
      </c>
      <c r="F28" s="54">
        <f t="shared" si="13"/>
        <v>0</v>
      </c>
      <c r="G28" s="38">
        <f t="shared" si="14"/>
        <v>0</v>
      </c>
      <c r="H28" s="1">
        <f t="shared" si="27"/>
        <v>3574</v>
      </c>
      <c r="I28" s="54">
        <f t="shared" si="15"/>
        <v>0</v>
      </c>
      <c r="J28" s="38">
        <f t="shared" si="16"/>
        <v>0</v>
      </c>
      <c r="K28" s="7">
        <f t="shared" si="28"/>
        <v>13543.22</v>
      </c>
      <c r="L28" s="54">
        <f t="shared" si="17"/>
        <v>0</v>
      </c>
      <c r="M28" s="38">
        <f t="shared" si="18"/>
        <v>0</v>
      </c>
      <c r="N28" s="7">
        <f t="shared" si="29"/>
        <v>3131.9250000000002</v>
      </c>
      <c r="O28" s="54">
        <f t="shared" si="19"/>
        <v>0</v>
      </c>
      <c r="P28" s="38">
        <f t="shared" si="20"/>
        <v>0</v>
      </c>
      <c r="Q28" s="7">
        <f t="shared" si="30"/>
        <v>4956.5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21360.366000000002</v>
      </c>
      <c r="C29" s="54">
        <f t="shared" si="11"/>
        <v>0</v>
      </c>
      <c r="D29" s="38">
        <f t="shared" si="12"/>
        <v>0</v>
      </c>
      <c r="E29" s="1">
        <f t="shared" si="26"/>
        <v>3750.297</v>
      </c>
      <c r="F29" s="54">
        <f t="shared" si="13"/>
        <v>0</v>
      </c>
      <c r="G29" s="38">
        <f t="shared" si="14"/>
        <v>0</v>
      </c>
      <c r="H29" s="1">
        <f t="shared" si="27"/>
        <v>3574</v>
      </c>
      <c r="I29" s="54">
        <f t="shared" si="15"/>
        <v>0</v>
      </c>
      <c r="J29" s="38">
        <f t="shared" si="16"/>
        <v>0</v>
      </c>
      <c r="K29" s="7">
        <f t="shared" si="28"/>
        <v>13543.22</v>
      </c>
      <c r="L29" s="54">
        <f t="shared" si="17"/>
        <v>0</v>
      </c>
      <c r="M29" s="38">
        <f t="shared" si="18"/>
        <v>0</v>
      </c>
      <c r="N29" s="7">
        <f t="shared" si="29"/>
        <v>3131.9250000000002</v>
      </c>
      <c r="O29" s="54">
        <f t="shared" si="19"/>
        <v>0</v>
      </c>
      <c r="P29" s="38">
        <f t="shared" si="20"/>
        <v>0</v>
      </c>
      <c r="Q29" s="7">
        <f t="shared" si="30"/>
        <v>4956.5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21360.366000000002</v>
      </c>
      <c r="C30" s="54">
        <f t="shared" si="11"/>
        <v>0</v>
      </c>
      <c r="D30" s="38">
        <f t="shared" si="12"/>
        <v>0</v>
      </c>
      <c r="E30" s="1">
        <f t="shared" si="26"/>
        <v>3750.297</v>
      </c>
      <c r="F30" s="54">
        <f t="shared" si="13"/>
        <v>0</v>
      </c>
      <c r="G30" s="38">
        <f t="shared" si="14"/>
        <v>0</v>
      </c>
      <c r="H30" s="1">
        <f t="shared" si="27"/>
        <v>3574</v>
      </c>
      <c r="I30" s="54">
        <f t="shared" si="15"/>
        <v>0</v>
      </c>
      <c r="J30" s="38">
        <f t="shared" si="16"/>
        <v>0</v>
      </c>
      <c r="K30" s="7">
        <f t="shared" si="28"/>
        <v>13543.22</v>
      </c>
      <c r="L30" s="54">
        <f t="shared" si="17"/>
        <v>0</v>
      </c>
      <c r="M30" s="38">
        <f t="shared" si="18"/>
        <v>0</v>
      </c>
      <c r="N30" s="7">
        <f t="shared" si="29"/>
        <v>3131.9250000000002</v>
      </c>
      <c r="O30" s="54">
        <f t="shared" si="19"/>
        <v>0</v>
      </c>
      <c r="P30" s="38">
        <f t="shared" si="20"/>
        <v>0</v>
      </c>
      <c r="Q30" s="7">
        <f t="shared" si="30"/>
        <v>4956.5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21360.366000000002</v>
      </c>
      <c r="C31" s="54">
        <f t="shared" si="11"/>
        <v>0</v>
      </c>
      <c r="D31" s="38">
        <f t="shared" si="12"/>
        <v>0</v>
      </c>
      <c r="E31" s="1">
        <f t="shared" si="26"/>
        <v>3750.297</v>
      </c>
      <c r="F31" s="54">
        <f t="shared" si="13"/>
        <v>0</v>
      </c>
      <c r="G31" s="38">
        <f t="shared" si="14"/>
        <v>0</v>
      </c>
      <c r="H31" s="1">
        <f t="shared" si="27"/>
        <v>3574</v>
      </c>
      <c r="I31" s="54">
        <f t="shared" si="15"/>
        <v>0</v>
      </c>
      <c r="J31" s="38">
        <f t="shared" si="16"/>
        <v>0</v>
      </c>
      <c r="K31" s="7">
        <f t="shared" si="28"/>
        <v>13543.22</v>
      </c>
      <c r="L31" s="54">
        <f t="shared" si="17"/>
        <v>0</v>
      </c>
      <c r="M31" s="38">
        <f t="shared" si="18"/>
        <v>0</v>
      </c>
      <c r="N31" s="7">
        <f t="shared" si="29"/>
        <v>3131.9250000000002</v>
      </c>
      <c r="O31" s="54">
        <f t="shared" si="19"/>
        <v>0</v>
      </c>
      <c r="P31" s="38">
        <f t="shared" si="20"/>
        <v>0</v>
      </c>
      <c r="Q31" s="7">
        <f t="shared" si="30"/>
        <v>4956.5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21360.366000000002</v>
      </c>
      <c r="C32" s="54">
        <f t="shared" si="11"/>
        <v>0</v>
      </c>
      <c r="D32" s="38">
        <f t="shared" si="12"/>
        <v>0</v>
      </c>
      <c r="E32" s="1">
        <f t="shared" si="26"/>
        <v>3750.297</v>
      </c>
      <c r="F32" s="54">
        <f t="shared" si="13"/>
        <v>0</v>
      </c>
      <c r="G32" s="38">
        <f t="shared" si="14"/>
        <v>0</v>
      </c>
      <c r="H32" s="1">
        <f t="shared" si="27"/>
        <v>3574</v>
      </c>
      <c r="I32" s="54">
        <f t="shared" si="15"/>
        <v>0</v>
      </c>
      <c r="J32" s="38">
        <f t="shared" si="16"/>
        <v>0</v>
      </c>
      <c r="K32" s="7">
        <f t="shared" si="28"/>
        <v>13543.22</v>
      </c>
      <c r="L32" s="54">
        <f t="shared" si="17"/>
        <v>0</v>
      </c>
      <c r="M32" s="38">
        <f t="shared" si="18"/>
        <v>0</v>
      </c>
      <c r="N32" s="7">
        <f t="shared" si="29"/>
        <v>3131.9250000000002</v>
      </c>
      <c r="O32" s="54">
        <f t="shared" si="19"/>
        <v>0</v>
      </c>
      <c r="P32" s="38">
        <f t="shared" si="20"/>
        <v>0</v>
      </c>
      <c r="Q32" s="7">
        <f t="shared" si="30"/>
        <v>4956.5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21360.366000000002</v>
      </c>
      <c r="C33" s="54">
        <f t="shared" si="11"/>
        <v>0</v>
      </c>
      <c r="D33" s="38">
        <f t="shared" si="12"/>
        <v>0</v>
      </c>
      <c r="E33" s="1">
        <f t="shared" si="26"/>
        <v>3750.297</v>
      </c>
      <c r="F33" s="54">
        <f t="shared" si="13"/>
        <v>0</v>
      </c>
      <c r="G33" s="38">
        <f t="shared" si="14"/>
        <v>0</v>
      </c>
      <c r="H33" s="1">
        <f t="shared" si="27"/>
        <v>3574</v>
      </c>
      <c r="I33" s="54">
        <f t="shared" si="15"/>
        <v>0</v>
      </c>
      <c r="J33" s="38">
        <f t="shared" si="16"/>
        <v>0</v>
      </c>
      <c r="K33" s="7">
        <f t="shared" si="28"/>
        <v>13543.22</v>
      </c>
      <c r="L33" s="54">
        <f t="shared" si="17"/>
        <v>0</v>
      </c>
      <c r="M33" s="38">
        <f t="shared" si="18"/>
        <v>0</v>
      </c>
      <c r="N33" s="7">
        <f t="shared" si="29"/>
        <v>3131.9250000000002</v>
      </c>
      <c r="O33" s="54">
        <f t="shared" si="19"/>
        <v>0</v>
      </c>
      <c r="P33" s="38">
        <f t="shared" si="20"/>
        <v>0</v>
      </c>
      <c r="Q33" s="7">
        <f t="shared" si="30"/>
        <v>4956.5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293.51100000000224</v>
      </c>
      <c r="D34" s="159">
        <f>SUM(D2:D33)</f>
        <v>557670.90000000421</v>
      </c>
      <c r="E34" s="159">
        <v>0</v>
      </c>
      <c r="F34" s="159">
        <f>SUM(F2:F33)</f>
        <v>59.132000000000062</v>
      </c>
      <c r="G34" s="159">
        <f>SUM(G2:G33)</f>
        <v>112350.80000000012</v>
      </c>
      <c r="H34" s="159"/>
      <c r="I34" s="159">
        <f>SUM(I2:I33)</f>
        <v>175</v>
      </c>
      <c r="J34" s="159">
        <f>SUM(J2:J33)</f>
        <v>332500</v>
      </c>
      <c r="K34" s="159"/>
      <c r="L34" s="159">
        <f>SUM(L2:L33)</f>
        <v>72.319999999999709</v>
      </c>
      <c r="M34" s="159">
        <f>SUM(M2:M33)</f>
        <v>137407.99999999945</v>
      </c>
      <c r="N34" s="159"/>
      <c r="O34" s="159">
        <f>SUM(O2:O33)</f>
        <v>36.548000000000229</v>
      </c>
      <c r="P34" s="159">
        <f>SUM(P2:P33)</f>
        <v>69441.200000000419</v>
      </c>
      <c r="Q34" s="159"/>
      <c r="R34" s="159">
        <f>SUM(R2:R33)</f>
        <v>68.550000000000182</v>
      </c>
      <c r="S34" s="159">
        <f>SUM(S2:S33)</f>
        <v>130245.00000000036</v>
      </c>
      <c r="T34" s="159">
        <f>SUM(T2:T33)</f>
        <v>705.06100000000242</v>
      </c>
      <c r="U34" s="159">
        <f>SUM(U2:U33)</f>
        <v>1339615.9000000046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1" sqref="F1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562467</v>
      </c>
      <c r="D2" s="107">
        <f>C2*1.27</f>
        <v>714333.09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26935014</v>
      </c>
      <c r="K3" s="102">
        <f>J3-I3</f>
        <v>324401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85438962</v>
      </c>
      <c r="K4" s="102">
        <f>J4-I4</f>
        <v>1174387</v>
      </c>
    </row>
    <row r="5" spans="1:11" ht="13.5" thickBot="1" x14ac:dyDescent="0.25">
      <c r="A5" s="105"/>
      <c r="B5" s="111" t="s">
        <v>27</v>
      </c>
      <c r="C5" s="115">
        <f>(K10+K12)*0.842284+K26</f>
        <v>612685.60777600005</v>
      </c>
      <c r="D5" s="115">
        <f t="shared" ref="D5:D11" si="0">C5*1.27</f>
        <v>778110.72187552007</v>
      </c>
      <c r="E5" s="116"/>
      <c r="F5" s="105"/>
      <c r="G5" s="105"/>
      <c r="H5" s="111" t="s">
        <v>23</v>
      </c>
      <c r="I5" s="117"/>
      <c r="J5" s="117"/>
      <c r="K5" s="142">
        <f>K3+K4</f>
        <v>1498788</v>
      </c>
    </row>
    <row r="6" spans="1:11" ht="13.5" thickBot="1" x14ac:dyDescent="0.25">
      <c r="A6" s="105"/>
      <c r="B6" s="111" t="s">
        <v>99</v>
      </c>
      <c r="C6" s="115">
        <f>(K10+K12+K26)*0.1488</f>
        <v>107770.48319999999</v>
      </c>
      <c r="D6" s="115">
        <f t="shared" si="0"/>
        <v>136868.513664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8382518</v>
      </c>
      <c r="K6" s="102">
        <f>J6-I6</f>
        <v>117459</v>
      </c>
    </row>
    <row r="7" spans="1:11" ht="13.5" thickBot="1" x14ac:dyDescent="0.25">
      <c r="A7" s="105"/>
      <c r="B7" s="111" t="s">
        <v>101</v>
      </c>
      <c r="C7" s="115">
        <f>(K6+K7)-(C8+C9+C10+C11+K26)</f>
        <v>167733</v>
      </c>
      <c r="D7" s="115">
        <f t="shared" si="0"/>
        <v>213020.91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8345427</v>
      </c>
      <c r="K7" s="102">
        <f>J7-I7</f>
        <v>111398</v>
      </c>
    </row>
    <row r="8" spans="1:11" ht="13.5" thickBot="1" x14ac:dyDescent="0.25">
      <c r="A8" s="105"/>
      <c r="B8" s="111" t="s">
        <v>103</v>
      </c>
      <c r="C8" s="115">
        <f>K21+K22+K23+K24</f>
        <v>25892</v>
      </c>
      <c r="D8" s="115">
        <f t="shared" si="0"/>
        <v>32882.840000000004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5464867</v>
      </c>
      <c r="K8" s="102">
        <f>(J8-I8)*2</f>
        <v>204752</v>
      </c>
    </row>
    <row r="9" spans="1:11" ht="13.5" thickBot="1" x14ac:dyDescent="0.25">
      <c r="A9" s="105"/>
      <c r="B9" s="111" t="s">
        <v>137</v>
      </c>
      <c r="C9" s="115">
        <f>K25+K16+K17</f>
        <v>3586</v>
      </c>
      <c r="D9" s="115">
        <f t="shared" si="0"/>
        <v>4554.22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4207102</v>
      </c>
      <c r="K9" s="102">
        <f>J9-I9</f>
        <v>333817</v>
      </c>
    </row>
    <row r="10" spans="1:11" ht="13.5" thickBot="1" x14ac:dyDescent="0.25">
      <c r="A10" s="105"/>
      <c r="B10" s="111" t="s">
        <v>106</v>
      </c>
      <c r="C10" s="115">
        <f>K18</f>
        <v>11840</v>
      </c>
      <c r="D10" s="115">
        <f t="shared" si="0"/>
        <v>15036.800000000001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18080805</v>
      </c>
      <c r="K10" s="102">
        <f>J10-I10</f>
        <v>228722</v>
      </c>
    </row>
    <row r="11" spans="1:11" ht="13.5" thickBot="1" x14ac:dyDescent="0.25">
      <c r="A11" s="105"/>
      <c r="B11" s="111" t="s">
        <v>108</v>
      </c>
      <c r="C11" s="115">
        <f>K19+K20</f>
        <v>3006</v>
      </c>
      <c r="D11" s="115">
        <f t="shared" si="0"/>
        <v>3817.62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5796609</v>
      </c>
      <c r="K12" s="102">
        <f>(J12-I12)*2</f>
        <v>478742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1474890</v>
      </c>
    </row>
    <row r="14" spans="1:11" ht="13.5" thickBot="1" x14ac:dyDescent="0.25">
      <c r="A14" s="105"/>
      <c r="B14" s="111" t="s">
        <v>42</v>
      </c>
      <c r="C14" s="115">
        <f>K29</f>
        <v>28810</v>
      </c>
      <c r="D14" s="123">
        <f t="shared" ref="D14:D22" si="1">C14*10.03</f>
        <v>288964.3</v>
      </c>
      <c r="E14" s="124"/>
      <c r="F14" s="105"/>
      <c r="G14" s="105"/>
      <c r="H14" s="111" t="s">
        <v>114</v>
      </c>
      <c r="I14" s="120"/>
      <c r="J14" s="121"/>
      <c r="K14" s="103">
        <f>K5-K13</f>
        <v>23898</v>
      </c>
    </row>
    <row r="15" spans="1:11" ht="13.5" thickBot="1" x14ac:dyDescent="0.25">
      <c r="A15" s="105"/>
      <c r="B15" s="111" t="s">
        <v>115</v>
      </c>
      <c r="C15" s="125">
        <f>K30</f>
        <v>57.671999999999997</v>
      </c>
      <c r="D15" s="123">
        <f t="shared" si="1"/>
        <v>578.45015999999998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3022.4808304000003</v>
      </c>
      <c r="D16" s="123">
        <f t="shared" si="1"/>
        <v>30315.482728912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3706</v>
      </c>
      <c r="K16" s="104">
        <f>(J16-I16)*160</f>
        <v>3520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25171</v>
      </c>
      <c r="K18" s="104">
        <f>(J18-I18)*160</f>
        <v>11840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113501</v>
      </c>
      <c r="K19" s="104">
        <f>J19-I19</f>
        <v>3006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45601</v>
      </c>
      <c r="K21" s="104">
        <f>(J21-I21)*120</f>
        <v>13920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19909.847169599998</v>
      </c>
      <c r="D22" s="123">
        <f t="shared" si="1"/>
        <v>199695.76711108797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39696</v>
      </c>
      <c r="K22" s="104">
        <f>(J22-I22)*160</f>
        <v>9280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20591</v>
      </c>
      <c r="K23" s="104">
        <f>(J23-I23)*20</f>
        <v>1480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245784</v>
      </c>
      <c r="K24" s="104">
        <f>J24-I24</f>
        <v>1212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215705</v>
      </c>
      <c r="K25" s="104">
        <f>J25-I25</f>
        <v>66</v>
      </c>
    </row>
    <row r="26" spans="1:11" ht="13.5" thickBot="1" x14ac:dyDescent="0.25">
      <c r="A26" s="105"/>
      <c r="B26" s="111" t="s">
        <v>42</v>
      </c>
      <c r="C26" s="129">
        <f>K35</f>
        <v>44445</v>
      </c>
      <c r="D26" s="115">
        <f>C26*3.65</f>
        <v>162224.25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18489</v>
      </c>
      <c r="K26" s="104">
        <f>(J26-I26)*160</f>
        <v>16800</v>
      </c>
    </row>
    <row r="27" spans="1:11" ht="13.5" thickBot="1" x14ac:dyDescent="0.25">
      <c r="A27" s="105"/>
      <c r="B27" s="106" t="s">
        <v>124</v>
      </c>
      <c r="C27" s="129">
        <f>C26</f>
        <v>44445</v>
      </c>
      <c r="D27" s="115">
        <f>C27*3.65</f>
        <v>162224.25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418569</v>
      </c>
      <c r="K29" s="104">
        <f>(J29-I29)*10</f>
        <v>28810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740584</v>
      </c>
      <c r="K30" s="104">
        <f>(J30-I30)*0.027</f>
        <v>57.671999999999997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4231800</v>
      </c>
      <c r="K32" s="104">
        <f>(J32-I32)*0.027</f>
        <v>10943.1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17479884</v>
      </c>
      <c r="K35" s="135">
        <f>J35-I35</f>
        <v>44445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2021-07-22T02:34:34Z</dcterms:modified>
</cp:coreProperties>
</file>