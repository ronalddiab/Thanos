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F8BCE947-C220-4720-B41A-0CD9EA0B0D25}" xr6:coauthVersionLast="47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<sst xmlns="http://schemas.openxmlformats.org/spreadsheetml/2006/main" count="66" uniqueCount="32">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</sst>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1\2021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148</v>
          </cell>
          <cell r="H23">
            <v>155</v>
          </cell>
          <cell r="I23">
            <v>160</v>
          </cell>
          <cell r="J23">
            <v>180</v>
          </cell>
          <cell r="K23">
            <v>165.2</v>
          </cell>
          <cell r="L23">
            <v>158</v>
          </cell>
          <cell r="M23">
            <v>134</v>
          </cell>
          <cell r="N23">
            <v>156</v>
          </cell>
          <cell r="O23">
            <v>156.19999999999999</v>
          </cell>
          <cell r="P23">
            <v>160</v>
          </cell>
          <cell r="Q23">
            <v>178</v>
          </cell>
          <cell r="R23">
            <v>175</v>
          </cell>
          <cell r="S23">
            <v>165</v>
          </cell>
          <cell r="T23">
            <v>142</v>
          </cell>
          <cell r="U23">
            <v>143.19999999999999</v>
          </cell>
          <cell r="V23">
            <v>164</v>
          </cell>
          <cell r="W23">
            <v>182</v>
          </cell>
          <cell r="X23">
            <v>182</v>
          </cell>
          <cell r="Y23">
            <v>173.1</v>
          </cell>
          <cell r="Z23">
            <v>174</v>
          </cell>
          <cell r="AA23">
            <v>139.19999999999999</v>
          </cell>
          <cell r="AB23">
            <v>148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125</v>
          </cell>
          <cell r="I41">
            <v>140</v>
          </cell>
          <cell r="J41">
            <v>146</v>
          </cell>
          <cell r="K41">
            <v>150</v>
          </cell>
          <cell r="L41">
            <v>128</v>
          </cell>
          <cell r="M41">
            <v>102</v>
          </cell>
          <cell r="N41">
            <v>138</v>
          </cell>
          <cell r="O41">
            <v>156</v>
          </cell>
          <cell r="P41">
            <v>144</v>
          </cell>
          <cell r="Q41">
            <v>161</v>
          </cell>
          <cell r="R41">
            <v>164</v>
          </cell>
          <cell r="S41">
            <v>129</v>
          </cell>
          <cell r="T41">
            <v>116</v>
          </cell>
          <cell r="U41">
            <v>115</v>
          </cell>
          <cell r="V41">
            <v>136</v>
          </cell>
          <cell r="W41">
            <v>151</v>
          </cell>
          <cell r="X41">
            <v>173</v>
          </cell>
          <cell r="Y41">
            <v>221</v>
          </cell>
          <cell r="Z41">
            <v>196</v>
          </cell>
          <cell r="AA41">
            <v>141</v>
          </cell>
          <cell r="AB41">
            <v>143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1558.7357999999999</v>
          </cell>
          <cell r="H91">
            <v>2039.0519999999999</v>
          </cell>
          <cell r="I91">
            <v>1990.4369999999999</v>
          </cell>
          <cell r="J91">
            <v>1936.2659999999998</v>
          </cell>
          <cell r="K91">
            <v>1936.5437999999999</v>
          </cell>
          <cell r="L91">
            <v>1884.5952</v>
          </cell>
          <cell r="M91">
            <v>1774.3085999999998</v>
          </cell>
          <cell r="N91">
            <v>1654.8545999999999</v>
          </cell>
          <cell r="O91">
            <v>1802.922</v>
          </cell>
          <cell r="P91">
            <v>943.40879999999993</v>
          </cell>
          <cell r="Q91">
            <v>995.07959999999991</v>
          </cell>
          <cell r="R91">
            <v>1098.4212</v>
          </cell>
          <cell r="S91">
            <v>781.72919999999999</v>
          </cell>
          <cell r="T91">
            <v>1268.4348</v>
          </cell>
          <cell r="U91">
            <v>1344.2742000000001</v>
          </cell>
          <cell r="V91">
            <v>1489.2857999999999</v>
          </cell>
          <cell r="W91">
            <v>1597.9056</v>
          </cell>
          <cell r="X91">
            <v>1346.2187999999999</v>
          </cell>
          <cell r="Y91">
            <v>1397.8896</v>
          </cell>
          <cell r="Z91">
            <v>1645.1315999999999</v>
          </cell>
          <cell r="AA91">
            <v>1430.9477999999999</v>
          </cell>
          <cell r="AB91">
            <v>982.57859999999994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12301.5396</v>
          </cell>
          <cell r="H115">
            <v>10354.717199999999</v>
          </cell>
          <cell r="I115">
            <v>10942.541999999999</v>
          </cell>
          <cell r="J115">
            <v>12846.860999999999</v>
          </cell>
          <cell r="K115">
            <v>11627.0412</v>
          </cell>
          <cell r="L115">
            <v>8497.0686000000005</v>
          </cell>
          <cell r="M115">
            <v>8061.4781999999996</v>
          </cell>
          <cell r="N115">
            <v>10361.662199999999</v>
          </cell>
          <cell r="O115">
            <v>11655.9324</v>
          </cell>
          <cell r="P115">
            <v>21515.054400000001</v>
          </cell>
          <cell r="Q115">
            <v>24785.871599999999</v>
          </cell>
          <cell r="R115">
            <v>24000.253199999999</v>
          </cell>
          <cell r="S115">
            <v>19566.287400000001</v>
          </cell>
          <cell r="T115">
            <v>15036.480599999999</v>
          </cell>
          <cell r="U115">
            <v>16430.7588</v>
          </cell>
          <cell r="V115">
            <v>13480.8006</v>
          </cell>
          <cell r="W115">
            <v>14276.142</v>
          </cell>
          <cell r="X115">
            <v>24011.3652</v>
          </cell>
          <cell r="Y115">
            <v>19684.3524</v>
          </cell>
          <cell r="Z115">
            <v>16105.1772</v>
          </cell>
          <cell r="AA115">
            <v>14436.1548</v>
          </cell>
          <cell r="AB115">
            <v>22794.879000000001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13777</v>
          </cell>
          <cell r="H147">
            <v>13704</v>
          </cell>
          <cell r="I147">
            <v>13923</v>
          </cell>
          <cell r="J147">
            <v>14431</v>
          </cell>
          <cell r="K147">
            <v>14211</v>
          </cell>
          <cell r="L147">
            <v>13967</v>
          </cell>
          <cell r="M147">
            <v>13703</v>
          </cell>
          <cell r="N147">
            <v>13854</v>
          </cell>
          <cell r="O147">
            <v>13921</v>
          </cell>
          <cell r="P147">
            <v>14897</v>
          </cell>
          <cell r="Q147">
            <v>15613</v>
          </cell>
          <cell r="R147">
            <v>15467</v>
          </cell>
          <cell r="S147">
            <v>14627</v>
          </cell>
          <cell r="T147">
            <v>14297</v>
          </cell>
          <cell r="U147">
            <v>14661</v>
          </cell>
          <cell r="V147">
            <v>14794</v>
          </cell>
          <cell r="W147">
            <v>15056</v>
          </cell>
          <cell r="X147">
            <v>15652</v>
          </cell>
          <cell r="Y147">
            <v>16082</v>
          </cell>
          <cell r="Z147">
            <v>15612</v>
          </cell>
          <cell r="AA147">
            <v>14738</v>
          </cell>
          <cell r="AB147">
            <v>14944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115.15997475903774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P1" sqref="P1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3" t="s">
        <v>28</v>
      </c>
      <c r="J1" s="34" t="s">
        <v>29</v>
      </c>
      <c r="K1" s="33" t="s">
        <v>30</v>
      </c>
      <c r="L1" s="34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 x14ac:dyDescent="0.25">
      <c r="A2" s="6" t="s">
        <v>22</v>
      </c>
      <c r="B2" s="7">
        <v>1</v>
      </c>
      <c r="C2" s="8">
        <v>9</v>
      </c>
      <c r="D2" s="7">
        <v>2021</v>
      </c>
      <c r="E2" s="9">
        <f>'Otemachi Daily'!D5</f>
        <v>13777</v>
      </c>
      <c r="F2" s="35">
        <f>[1]見込!$G$3</f>
        <v>24</v>
      </c>
      <c r="G2" s="9">
        <f>'Otemachi Daily'!F5</f>
        <v>148</v>
      </c>
      <c r="H2" s="35">
        <f>[1]見込!$M$23</f>
        <v>115.15997475903774</v>
      </c>
      <c r="I2" s="9">
        <f>'Otemachi Daily'!H5</f>
        <v>12301.5396</v>
      </c>
      <c r="J2" s="35">
        <v>10.79</v>
      </c>
      <c r="K2" s="9">
        <f>'Otemachi Daily'!J5</f>
        <v>1558.7357999999999</v>
      </c>
      <c r="L2" s="35">
        <v>7.22</v>
      </c>
      <c r="M2" s="9">
        <f>'Otemachi Daily'!L5</f>
        <v>110</v>
      </c>
      <c r="N2" s="35">
        <v>741</v>
      </c>
      <c r="O2" s="9">
        <f>'Otemachi Daily'!M5</f>
        <v>56</v>
      </c>
      <c r="P2" s="9">
        <f>'Otemachi Daily'!N5</f>
        <v>105</v>
      </c>
    </row>
    <row r="3" spans="1:16" ht="15" x14ac:dyDescent="0.25">
      <c r="A3" s="6" t="s">
        <v>22</v>
      </c>
      <c r="B3" s="7">
        <f>B2+1</f>
        <v>2</v>
      </c>
      <c r="C3" s="8">
        <v>9</v>
      </c>
      <c r="D3" s="7">
        <v>2021</v>
      </c>
      <c r="E3" s="9">
        <f>'Otemachi Daily'!D6</f>
        <v>13704</v>
      </c>
      <c r="F3" s="35">
        <f>[1]見込!$G$3</f>
        <v>24</v>
      </c>
      <c r="G3" s="9">
        <f>'Otemachi Daily'!F6</f>
        <v>155</v>
      </c>
      <c r="H3" s="35">
        <f>[1]見込!$M$23</f>
        <v>115.15997475903774</v>
      </c>
      <c r="I3" s="9">
        <f>'Otemachi Daily'!H6</f>
        <v>10354.717199999999</v>
      </c>
      <c r="J3" s="35">
        <v>10.79</v>
      </c>
      <c r="K3" s="9">
        <f>'Otemachi Daily'!J6</f>
        <v>2039.0519999999999</v>
      </c>
      <c r="L3" s="35">
        <v>7.22</v>
      </c>
      <c r="M3" s="9">
        <f>'Otemachi Daily'!L6</f>
        <v>125</v>
      </c>
      <c r="N3" s="35">
        <v>741</v>
      </c>
      <c r="O3" s="9">
        <f>'Otemachi Daily'!M6</f>
        <v>47</v>
      </c>
      <c r="P3" s="9">
        <f>'Otemachi Daily'!N6</f>
        <v>87</v>
      </c>
    </row>
    <row r="4" spans="1:16" ht="15" x14ac:dyDescent="0.25">
      <c r="A4" s="6" t="s">
        <v>22</v>
      </c>
      <c r="B4" s="7">
        <f t="shared" ref="B4:B32" si="0">B3+1</f>
        <v>3</v>
      </c>
      <c r="C4" s="8">
        <v>9</v>
      </c>
      <c r="D4" s="7">
        <v>2021</v>
      </c>
      <c r="E4" s="9">
        <f>'Otemachi Daily'!D7</f>
        <v>13923</v>
      </c>
      <c r="F4" s="35">
        <f>[1]見込!$G$3</f>
        <v>24</v>
      </c>
      <c r="G4" s="9">
        <f>'Otemachi Daily'!F7</f>
        <v>160</v>
      </c>
      <c r="H4" s="35">
        <f>[1]見込!$M$23</f>
        <v>115.15997475903774</v>
      </c>
      <c r="I4" s="9">
        <f>'Otemachi Daily'!H7</f>
        <v>10942.541999999999</v>
      </c>
      <c r="J4" s="35">
        <v>10.79</v>
      </c>
      <c r="K4" s="9">
        <f>'Otemachi Daily'!J7</f>
        <v>1990.4369999999999</v>
      </c>
      <c r="L4" s="35">
        <v>7.22</v>
      </c>
      <c r="M4" s="9">
        <f>'Otemachi Daily'!L7</f>
        <v>140</v>
      </c>
      <c r="N4" s="35">
        <v>741</v>
      </c>
      <c r="O4" s="9">
        <f>'Otemachi Daily'!M7</f>
        <v>67</v>
      </c>
      <c r="P4" s="9">
        <f>'Otemachi Daily'!N7</f>
        <v>164</v>
      </c>
    </row>
    <row r="5" spans="1:16" ht="15" x14ac:dyDescent="0.25">
      <c r="A5" s="6" t="s">
        <v>22</v>
      </c>
      <c r="B5" s="7">
        <f t="shared" si="0"/>
        <v>4</v>
      </c>
      <c r="C5" s="8">
        <v>9</v>
      </c>
      <c r="D5" s="7">
        <v>2021</v>
      </c>
      <c r="E5" s="9">
        <f>'Otemachi Daily'!D8</f>
        <v>14431</v>
      </c>
      <c r="F5" s="35">
        <f>[1]見込!$G$3</f>
        <v>24</v>
      </c>
      <c r="G5" s="9">
        <f>'Otemachi Daily'!F8</f>
        <v>180</v>
      </c>
      <c r="H5" s="35">
        <f>[1]見込!$M$23</f>
        <v>115.15997475903774</v>
      </c>
      <c r="I5" s="9">
        <f>'Otemachi Daily'!H8</f>
        <v>12846.860999999999</v>
      </c>
      <c r="J5" s="35">
        <v>10.79</v>
      </c>
      <c r="K5" s="9">
        <f>'Otemachi Daily'!J8</f>
        <v>1936.2659999999998</v>
      </c>
      <c r="L5" s="35">
        <v>7.22</v>
      </c>
      <c r="M5" s="9">
        <f>'Otemachi Daily'!L8</f>
        <v>146</v>
      </c>
      <c r="N5" s="35">
        <v>741</v>
      </c>
      <c r="O5" s="9">
        <f>'Otemachi Daily'!M8</f>
        <v>69</v>
      </c>
      <c r="P5" s="9">
        <f>'Otemachi Daily'!N8</f>
        <v>181</v>
      </c>
    </row>
    <row r="6" spans="1:16" ht="15" x14ac:dyDescent="0.25">
      <c r="A6" s="6" t="s">
        <v>22</v>
      </c>
      <c r="B6" s="7">
        <f t="shared" si="0"/>
        <v>5</v>
      </c>
      <c r="C6" s="8">
        <v>9</v>
      </c>
      <c r="D6" s="7">
        <v>2021</v>
      </c>
      <c r="E6" s="9">
        <f>'Otemachi Daily'!D9</f>
        <v>14211</v>
      </c>
      <c r="F6" s="35">
        <f>[1]見込!$G$3</f>
        <v>24</v>
      </c>
      <c r="G6" s="9">
        <f>'Otemachi Daily'!F9</f>
        <v>165.2</v>
      </c>
      <c r="H6" s="35">
        <f>[1]見込!$M$23</f>
        <v>115.15997475903774</v>
      </c>
      <c r="I6" s="9">
        <f>'Otemachi Daily'!H9</f>
        <v>11627.0412</v>
      </c>
      <c r="J6" s="35">
        <v>10.79</v>
      </c>
      <c r="K6" s="9">
        <f>'Otemachi Daily'!J9</f>
        <v>1936.5437999999999</v>
      </c>
      <c r="L6" s="35">
        <v>7.22</v>
      </c>
      <c r="M6" s="9">
        <f>'Otemachi Daily'!L9</f>
        <v>150</v>
      </c>
      <c r="N6" s="35">
        <v>741</v>
      </c>
      <c r="O6" s="9">
        <f>'Otemachi Daily'!M9</f>
        <v>47</v>
      </c>
      <c r="P6" s="9">
        <f>'Otemachi Daily'!N9</f>
        <v>95</v>
      </c>
    </row>
    <row r="7" spans="1:16" ht="15" x14ac:dyDescent="0.25">
      <c r="A7" s="6" t="s">
        <v>22</v>
      </c>
      <c r="B7" s="7">
        <f t="shared" si="0"/>
        <v>6</v>
      </c>
      <c r="C7" s="8">
        <v>9</v>
      </c>
      <c r="D7" s="7">
        <v>2021</v>
      </c>
      <c r="E7" s="9">
        <f>'Otemachi Daily'!D10</f>
        <v>13967</v>
      </c>
      <c r="F7" s="35">
        <f>[1]見込!$G$3</f>
        <v>24</v>
      </c>
      <c r="G7" s="9">
        <f>'Otemachi Daily'!F10</f>
        <v>158</v>
      </c>
      <c r="H7" s="35">
        <f>[1]見込!$M$23</f>
        <v>115.15997475903774</v>
      </c>
      <c r="I7" s="9">
        <f>'Otemachi Daily'!H10</f>
        <v>8497.0686000000005</v>
      </c>
      <c r="J7" s="35">
        <v>10.79</v>
      </c>
      <c r="K7" s="9">
        <f>'Otemachi Daily'!J10</f>
        <v>1884.5952</v>
      </c>
      <c r="L7" s="35">
        <v>7.22</v>
      </c>
      <c r="M7" s="9">
        <f>'Otemachi Daily'!L10</f>
        <v>128</v>
      </c>
      <c r="N7" s="35">
        <v>741</v>
      </c>
      <c r="O7" s="9">
        <f>'Otemachi Daily'!M10</f>
        <v>42</v>
      </c>
      <c r="P7" s="9">
        <f>'Otemachi Daily'!N10</f>
        <v>84</v>
      </c>
    </row>
    <row r="8" spans="1:16" ht="15" x14ac:dyDescent="0.25">
      <c r="A8" s="6" t="s">
        <v>22</v>
      </c>
      <c r="B8" s="7">
        <f t="shared" si="0"/>
        <v>7</v>
      </c>
      <c r="C8" s="8">
        <v>9</v>
      </c>
      <c r="D8" s="7">
        <v>2021</v>
      </c>
      <c r="E8" s="9">
        <f>'Otemachi Daily'!D11</f>
        <v>13703</v>
      </c>
      <c r="F8" s="35">
        <f>[1]見込!$G$3</f>
        <v>24</v>
      </c>
      <c r="G8" s="9">
        <f>'Otemachi Daily'!F11</f>
        <v>134</v>
      </c>
      <c r="H8" s="35">
        <f>[1]見込!$M$23</f>
        <v>115.15997475903774</v>
      </c>
      <c r="I8" s="9">
        <f>'Otemachi Daily'!H11</f>
        <v>8061.4781999999996</v>
      </c>
      <c r="J8" s="35">
        <v>10.79</v>
      </c>
      <c r="K8" s="9">
        <f>'Otemachi Daily'!J11</f>
        <v>1774.3085999999998</v>
      </c>
      <c r="L8" s="35">
        <v>7.22</v>
      </c>
      <c r="M8" s="9">
        <f>'Otemachi Daily'!L11</f>
        <v>102</v>
      </c>
      <c r="N8" s="35">
        <v>741</v>
      </c>
      <c r="O8" s="9">
        <f>'Otemachi Daily'!M11</f>
        <v>57</v>
      </c>
      <c r="P8" s="9">
        <f>'Otemachi Daily'!N11</f>
        <v>113</v>
      </c>
    </row>
    <row r="9" spans="1:16" ht="15" x14ac:dyDescent="0.25">
      <c r="A9" s="6" t="s">
        <v>22</v>
      </c>
      <c r="B9" s="7">
        <f t="shared" si="0"/>
        <v>8</v>
      </c>
      <c r="C9" s="8">
        <v>9</v>
      </c>
      <c r="D9" s="7">
        <v>2021</v>
      </c>
      <c r="E9" s="9">
        <f>'Otemachi Daily'!D12</f>
        <v>13854</v>
      </c>
      <c r="F9" s="35">
        <f>[1]見込!$G$3</f>
        <v>24</v>
      </c>
      <c r="G9" s="9">
        <f>'Otemachi Daily'!F12</f>
        <v>156</v>
      </c>
      <c r="H9" s="35">
        <f>[1]見込!$M$23</f>
        <v>115.15997475903774</v>
      </c>
      <c r="I9" s="9">
        <f>'Otemachi Daily'!H12</f>
        <v>10361.662199999999</v>
      </c>
      <c r="J9" s="35">
        <v>10.79</v>
      </c>
      <c r="K9" s="9">
        <f>'Otemachi Daily'!J12</f>
        <v>1654.8545999999999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67</v>
      </c>
      <c r="P9" s="9">
        <f>'Otemachi Daily'!N12</f>
        <v>134</v>
      </c>
    </row>
    <row r="10" spans="1:16" ht="15" x14ac:dyDescent="0.25">
      <c r="A10" s="6" t="s">
        <v>22</v>
      </c>
      <c r="B10" s="7">
        <f t="shared" si="0"/>
        <v>9</v>
      </c>
      <c r="C10" s="8">
        <v>9</v>
      </c>
      <c r="D10" s="7">
        <v>2021</v>
      </c>
      <c r="E10" s="9">
        <f>'Otemachi Daily'!D13</f>
        <v>13921</v>
      </c>
      <c r="F10" s="35">
        <f>[1]見込!$G$3</f>
        <v>24</v>
      </c>
      <c r="G10" s="9">
        <f>'Otemachi Daily'!F13</f>
        <v>156.19999999999999</v>
      </c>
      <c r="H10" s="35">
        <f>[1]見込!$M$23</f>
        <v>115.15997475903774</v>
      </c>
      <c r="I10" s="9">
        <f>'Otemachi Daily'!H13</f>
        <v>11655.9324</v>
      </c>
      <c r="J10" s="35">
        <v>10.79</v>
      </c>
      <c r="K10" s="9">
        <f>'Otemachi Daily'!J13</f>
        <v>1802.922</v>
      </c>
      <c r="L10" s="35">
        <v>7.22</v>
      </c>
      <c r="M10" s="9">
        <f>'Otemachi Daily'!L13</f>
        <v>156</v>
      </c>
      <c r="N10" s="35">
        <v>741</v>
      </c>
      <c r="O10" s="9">
        <f>'Otemachi Daily'!M13</f>
        <v>53</v>
      </c>
      <c r="P10" s="9">
        <f>'Otemachi Daily'!N13</f>
        <v>101</v>
      </c>
    </row>
    <row r="11" spans="1:16" ht="15" x14ac:dyDescent="0.25">
      <c r="A11" s="6" t="s">
        <v>22</v>
      </c>
      <c r="B11" s="7">
        <f t="shared" si="0"/>
        <v>10</v>
      </c>
      <c r="C11" s="8">
        <v>9</v>
      </c>
      <c r="D11" s="7">
        <v>2021</v>
      </c>
      <c r="E11" s="9">
        <f>'Otemachi Daily'!D14</f>
        <v>14897</v>
      </c>
      <c r="F11" s="35">
        <f>[1]見込!$G$3</f>
        <v>24</v>
      </c>
      <c r="G11" s="9">
        <f>'Otemachi Daily'!F14</f>
        <v>160</v>
      </c>
      <c r="H11" s="35">
        <f>[1]見込!$M$23</f>
        <v>115.15997475903774</v>
      </c>
      <c r="I11" s="9">
        <f>'Otemachi Daily'!H14</f>
        <v>21515.054400000001</v>
      </c>
      <c r="J11" s="35">
        <v>10.79</v>
      </c>
      <c r="K11" s="9">
        <f>'Otemachi Daily'!J14</f>
        <v>943.40879999999993</v>
      </c>
      <c r="L11" s="35">
        <v>7.22</v>
      </c>
      <c r="M11" s="9">
        <f>'Otemachi Daily'!L14</f>
        <v>144</v>
      </c>
      <c r="N11" s="35">
        <v>741</v>
      </c>
      <c r="O11" s="9">
        <f>'Otemachi Daily'!M14</f>
        <v>77</v>
      </c>
      <c r="P11" s="9">
        <f>'Otemachi Daily'!N14</f>
        <v>195</v>
      </c>
    </row>
    <row r="12" spans="1:16" ht="15" x14ac:dyDescent="0.25">
      <c r="A12" s="6" t="s">
        <v>22</v>
      </c>
      <c r="B12" s="7">
        <f t="shared" si="0"/>
        <v>11</v>
      </c>
      <c r="C12" s="8">
        <v>9</v>
      </c>
      <c r="D12" s="7">
        <v>2021</v>
      </c>
      <c r="E12" s="9">
        <f>'Otemachi Daily'!D15</f>
        <v>15613</v>
      </c>
      <c r="F12" s="35">
        <f>[1]見込!$G$3</f>
        <v>24</v>
      </c>
      <c r="G12" s="9">
        <f>'Otemachi Daily'!F15</f>
        <v>178</v>
      </c>
      <c r="H12" s="35">
        <f>[1]見込!$M$23</f>
        <v>115.15997475903774</v>
      </c>
      <c r="I12" s="9">
        <f>'Otemachi Daily'!H15</f>
        <v>24785.871599999999</v>
      </c>
      <c r="J12" s="35">
        <v>10.79</v>
      </c>
      <c r="K12" s="9">
        <f>'Otemachi Daily'!J15</f>
        <v>995.07959999999991</v>
      </c>
      <c r="L12" s="35">
        <v>7.22</v>
      </c>
      <c r="M12" s="9">
        <f>'Otemachi Daily'!L15</f>
        <v>161</v>
      </c>
      <c r="N12" s="35">
        <v>741</v>
      </c>
      <c r="O12" s="9">
        <f>'Otemachi Daily'!M15</f>
        <v>111</v>
      </c>
      <c r="P12" s="9">
        <f>'Otemachi Daily'!N15</f>
        <v>211</v>
      </c>
    </row>
    <row r="13" spans="1:16" ht="15" x14ac:dyDescent="0.25">
      <c r="A13" s="6" t="s">
        <v>22</v>
      </c>
      <c r="B13" s="7">
        <f t="shared" si="0"/>
        <v>12</v>
      </c>
      <c r="C13" s="8">
        <v>9</v>
      </c>
      <c r="D13" s="7">
        <v>2021</v>
      </c>
      <c r="E13" s="9">
        <f>'Otemachi Daily'!D16</f>
        <v>15467</v>
      </c>
      <c r="F13" s="35">
        <f>[1]見込!$G$3</f>
        <v>24</v>
      </c>
      <c r="G13" s="9">
        <f>'Otemachi Daily'!F16</f>
        <v>175</v>
      </c>
      <c r="H13" s="35">
        <f>[1]見込!$M$23</f>
        <v>115.15997475903774</v>
      </c>
      <c r="I13" s="9">
        <f>'Otemachi Daily'!H16</f>
        <v>24000.253199999999</v>
      </c>
      <c r="J13" s="35">
        <v>10.79</v>
      </c>
      <c r="K13" s="9">
        <f>'Otemachi Daily'!J16</f>
        <v>1098.4212</v>
      </c>
      <c r="L13" s="35">
        <v>7.22</v>
      </c>
      <c r="M13" s="9">
        <f>'Otemachi Daily'!L16</f>
        <v>164</v>
      </c>
      <c r="N13" s="35">
        <v>741</v>
      </c>
      <c r="O13" s="9">
        <f>'Otemachi Daily'!M16</f>
        <v>49</v>
      </c>
      <c r="P13" s="9">
        <f>'Otemachi Daily'!N16</f>
        <v>93</v>
      </c>
    </row>
    <row r="14" spans="1:16" ht="15" x14ac:dyDescent="0.25">
      <c r="A14" s="6" t="s">
        <v>22</v>
      </c>
      <c r="B14" s="7">
        <f t="shared" si="0"/>
        <v>13</v>
      </c>
      <c r="C14" s="8">
        <v>9</v>
      </c>
      <c r="D14" s="7">
        <v>2021</v>
      </c>
      <c r="E14" s="9">
        <f>'Otemachi Daily'!D17</f>
        <v>14627</v>
      </c>
      <c r="F14" s="35">
        <f>[1]見込!$G$3</f>
        <v>24</v>
      </c>
      <c r="G14" s="9">
        <f>'Otemachi Daily'!F17</f>
        <v>165</v>
      </c>
      <c r="H14" s="35">
        <f>[1]見込!$M$23</f>
        <v>115.15997475903774</v>
      </c>
      <c r="I14" s="9">
        <f>'Otemachi Daily'!H17</f>
        <v>19566.287400000001</v>
      </c>
      <c r="J14" s="35">
        <v>10.79</v>
      </c>
      <c r="K14" s="9">
        <f>'Otemachi Daily'!J17</f>
        <v>781.72919999999999</v>
      </c>
      <c r="L14" s="35">
        <v>7.22</v>
      </c>
      <c r="M14" s="9">
        <f>'Otemachi Daily'!L17</f>
        <v>129</v>
      </c>
      <c r="N14" s="35">
        <v>741</v>
      </c>
      <c r="O14" s="9">
        <f>'Otemachi Daily'!M17</f>
        <v>64</v>
      </c>
      <c r="P14" s="9">
        <f>'Otemachi Daily'!N17</f>
        <v>120</v>
      </c>
    </row>
    <row r="15" spans="1:16" ht="15" x14ac:dyDescent="0.25">
      <c r="A15" s="6" t="s">
        <v>22</v>
      </c>
      <c r="B15" s="7">
        <f t="shared" si="0"/>
        <v>14</v>
      </c>
      <c r="C15" s="8">
        <v>9</v>
      </c>
      <c r="D15" s="7">
        <v>2021</v>
      </c>
      <c r="E15" s="9">
        <f>'Otemachi Daily'!D18</f>
        <v>14297</v>
      </c>
      <c r="F15" s="35">
        <f>[1]見込!$G$3</f>
        <v>24</v>
      </c>
      <c r="G15" s="9">
        <f>'Otemachi Daily'!F18</f>
        <v>142</v>
      </c>
      <c r="H15" s="35">
        <f>[1]見込!$M$23</f>
        <v>115.15997475903774</v>
      </c>
      <c r="I15" s="9">
        <f>'Otemachi Daily'!H18</f>
        <v>15036.480599999999</v>
      </c>
      <c r="J15" s="35">
        <v>10.79</v>
      </c>
      <c r="K15" s="9">
        <f>'Otemachi Daily'!J18</f>
        <v>1268.4348</v>
      </c>
      <c r="L15" s="35">
        <v>7.22</v>
      </c>
      <c r="M15" s="9">
        <f>'Otemachi Daily'!L18</f>
        <v>116</v>
      </c>
      <c r="N15" s="35">
        <v>741</v>
      </c>
      <c r="O15" s="9">
        <f>'Otemachi Daily'!M18</f>
        <v>60</v>
      </c>
      <c r="P15" s="9">
        <f>'Otemachi Daily'!N18</f>
        <v>114</v>
      </c>
    </row>
    <row r="16" spans="1:16" ht="15" x14ac:dyDescent="0.25">
      <c r="A16" s="6" t="s">
        <v>22</v>
      </c>
      <c r="B16" s="7">
        <f t="shared" si="0"/>
        <v>15</v>
      </c>
      <c r="C16" s="8">
        <v>9</v>
      </c>
      <c r="D16" s="7">
        <v>2021</v>
      </c>
      <c r="E16" s="9">
        <f>'Otemachi Daily'!D19</f>
        <v>14661</v>
      </c>
      <c r="F16" s="35">
        <f>[1]見込!$G$3</f>
        <v>24</v>
      </c>
      <c r="G16" s="9">
        <f>'Otemachi Daily'!F19</f>
        <v>143.19999999999999</v>
      </c>
      <c r="H16" s="35">
        <f>[1]見込!$M$23</f>
        <v>115.15997475903774</v>
      </c>
      <c r="I16" s="9">
        <f>'Otemachi Daily'!H19</f>
        <v>16430.7588</v>
      </c>
      <c r="J16" s="35">
        <v>10.79</v>
      </c>
      <c r="K16" s="9">
        <f>'Otemachi Daily'!J19</f>
        <v>1344.2742000000001</v>
      </c>
      <c r="L16" s="35">
        <v>7.22</v>
      </c>
      <c r="M16" s="9">
        <f>'Otemachi Daily'!L19</f>
        <v>115</v>
      </c>
      <c r="N16" s="35">
        <v>741</v>
      </c>
      <c r="O16" s="9">
        <f>'Otemachi Daily'!M19</f>
        <v>57</v>
      </c>
      <c r="P16" s="9">
        <f>'Otemachi Daily'!N19</f>
        <v>107</v>
      </c>
    </row>
    <row r="17" spans="1:16" ht="15" x14ac:dyDescent="0.25">
      <c r="A17" s="6" t="s">
        <v>22</v>
      </c>
      <c r="B17" s="7">
        <f t="shared" si="0"/>
        <v>16</v>
      </c>
      <c r="C17" s="8">
        <v>9</v>
      </c>
      <c r="D17" s="7">
        <v>2021</v>
      </c>
      <c r="E17" s="9">
        <f>'Otemachi Daily'!D20</f>
        <v>14794</v>
      </c>
      <c r="F17" s="35">
        <f>[1]見込!$G$3</f>
        <v>24</v>
      </c>
      <c r="G17" s="9">
        <f>'Otemachi Daily'!F20</f>
        <v>164</v>
      </c>
      <c r="H17" s="35">
        <f>[1]見込!$M$23</f>
        <v>115.15997475903774</v>
      </c>
      <c r="I17" s="9">
        <f>'Otemachi Daily'!H20</f>
        <v>13480.8006</v>
      </c>
      <c r="J17" s="35">
        <v>10.79</v>
      </c>
      <c r="K17" s="9">
        <f>'Otemachi Daily'!J20</f>
        <v>1489.2857999999999</v>
      </c>
      <c r="L17" s="35">
        <v>7.22</v>
      </c>
      <c r="M17" s="9">
        <f>'Otemachi Daily'!L20</f>
        <v>136</v>
      </c>
      <c r="N17" s="35">
        <v>741</v>
      </c>
      <c r="O17" s="9">
        <f>'Otemachi Daily'!M20</f>
        <v>66</v>
      </c>
      <c r="P17" s="9">
        <f>'Otemachi Daily'!N20</f>
        <v>122</v>
      </c>
    </row>
    <row r="18" spans="1:16" ht="15" x14ac:dyDescent="0.25">
      <c r="A18" s="6" t="s">
        <v>22</v>
      </c>
      <c r="B18" s="7">
        <f t="shared" si="0"/>
        <v>17</v>
      </c>
      <c r="C18" s="8">
        <v>9</v>
      </c>
      <c r="D18" s="7">
        <v>2021</v>
      </c>
      <c r="E18" s="9">
        <f>'Otemachi Daily'!D21</f>
        <v>15056</v>
      </c>
      <c r="F18" s="35">
        <f>[1]見込!$G$3</f>
        <v>24</v>
      </c>
      <c r="G18" s="9">
        <f>'Otemachi Daily'!F21</f>
        <v>182</v>
      </c>
      <c r="H18" s="35">
        <f>[1]見込!$M$23</f>
        <v>115.15997475903774</v>
      </c>
      <c r="I18" s="9">
        <f>'Otemachi Daily'!H21</f>
        <v>14276.142</v>
      </c>
      <c r="J18" s="35">
        <v>10.79</v>
      </c>
      <c r="K18" s="9">
        <f>'Otemachi Daily'!J21</f>
        <v>1597.9056</v>
      </c>
      <c r="L18" s="35">
        <v>7.22</v>
      </c>
      <c r="M18" s="9">
        <f>'Otemachi Daily'!L21</f>
        <v>151</v>
      </c>
      <c r="N18" s="35">
        <v>741</v>
      </c>
      <c r="O18" s="9">
        <f>'Otemachi Daily'!M21</f>
        <v>98</v>
      </c>
      <c r="P18" s="9">
        <f>'Otemachi Daily'!N21</f>
        <v>200</v>
      </c>
    </row>
    <row r="19" spans="1:16" ht="15" x14ac:dyDescent="0.25">
      <c r="A19" s="6" t="s">
        <v>22</v>
      </c>
      <c r="B19" s="7">
        <f t="shared" si="0"/>
        <v>18</v>
      </c>
      <c r="C19" s="8">
        <v>9</v>
      </c>
      <c r="D19" s="7">
        <v>2021</v>
      </c>
      <c r="E19" s="9">
        <f>'Otemachi Daily'!D22</f>
        <v>15652</v>
      </c>
      <c r="F19" s="35">
        <f>[1]見込!$G$3</f>
        <v>24</v>
      </c>
      <c r="G19" s="9">
        <f>'Otemachi Daily'!F22</f>
        <v>182</v>
      </c>
      <c r="H19" s="35">
        <f>[1]見込!$M$23</f>
        <v>115.15997475903774</v>
      </c>
      <c r="I19" s="9">
        <f>'Otemachi Daily'!H22</f>
        <v>24011.3652</v>
      </c>
      <c r="J19" s="35">
        <v>10.79</v>
      </c>
      <c r="K19" s="9">
        <f>'Otemachi Daily'!J22</f>
        <v>1346.2187999999999</v>
      </c>
      <c r="L19" s="35">
        <v>7.22</v>
      </c>
      <c r="M19" s="9">
        <f>'Otemachi Daily'!L22</f>
        <v>173</v>
      </c>
      <c r="N19" s="35">
        <v>741</v>
      </c>
      <c r="O19" s="9">
        <f>'Otemachi Daily'!M22</f>
        <v>142</v>
      </c>
      <c r="P19" s="9">
        <f>'Otemachi Daily'!N22</f>
        <v>311</v>
      </c>
    </row>
    <row r="20" spans="1:16" ht="15" x14ac:dyDescent="0.25">
      <c r="A20" s="6" t="s">
        <v>22</v>
      </c>
      <c r="B20" s="7">
        <f t="shared" si="0"/>
        <v>19</v>
      </c>
      <c r="C20" s="8">
        <v>9</v>
      </c>
      <c r="D20" s="7">
        <v>2021</v>
      </c>
      <c r="E20" s="9">
        <f>'Otemachi Daily'!D23</f>
        <v>16082</v>
      </c>
      <c r="F20" s="35">
        <f>[1]見込!$G$3</f>
        <v>24</v>
      </c>
      <c r="G20" s="9">
        <f>'Otemachi Daily'!F23</f>
        <v>173.1</v>
      </c>
      <c r="H20" s="35">
        <f>[1]見込!$M$23</f>
        <v>115.15997475903774</v>
      </c>
      <c r="I20" s="9">
        <f>'Otemachi Daily'!H23</f>
        <v>19684.3524</v>
      </c>
      <c r="J20" s="35">
        <v>10.79</v>
      </c>
      <c r="K20" s="9">
        <f>'Otemachi Daily'!J23</f>
        <v>1397.8896</v>
      </c>
      <c r="L20" s="35">
        <v>7.22</v>
      </c>
      <c r="M20" s="9">
        <f>'Otemachi Daily'!L23</f>
        <v>221</v>
      </c>
      <c r="N20" s="35">
        <v>741</v>
      </c>
      <c r="O20" s="9">
        <f>'Otemachi Daily'!M23</f>
        <v>157</v>
      </c>
      <c r="P20" s="9">
        <f>'Otemachi Daily'!N23</f>
        <v>354</v>
      </c>
    </row>
    <row r="21" spans="1:16" ht="15" x14ac:dyDescent="0.25">
      <c r="A21" s="6" t="s">
        <v>22</v>
      </c>
      <c r="B21" s="7">
        <f t="shared" si="0"/>
        <v>20</v>
      </c>
      <c r="C21" s="8">
        <v>9</v>
      </c>
      <c r="D21" s="7">
        <v>2021</v>
      </c>
      <c r="E21" s="9">
        <f>'Otemachi Daily'!D24</f>
        <v>15612</v>
      </c>
      <c r="F21" s="35">
        <f>[1]見込!$G$3</f>
        <v>24</v>
      </c>
      <c r="G21" s="9">
        <f>'Otemachi Daily'!F24</f>
        <v>174</v>
      </c>
      <c r="H21" s="35">
        <f>[1]見込!$M$23</f>
        <v>115.15997475903774</v>
      </c>
      <c r="I21" s="9">
        <f>'Otemachi Daily'!H24</f>
        <v>16105.1772</v>
      </c>
      <c r="J21" s="35">
        <v>10.79</v>
      </c>
      <c r="K21" s="9">
        <f>'Otemachi Daily'!J24</f>
        <v>1645.1315999999999</v>
      </c>
      <c r="L21" s="35">
        <v>7.22</v>
      </c>
      <c r="M21" s="9">
        <f>'Otemachi Daily'!L24</f>
        <v>196</v>
      </c>
      <c r="N21" s="35">
        <v>741</v>
      </c>
      <c r="O21" s="9">
        <f>'Otemachi Daily'!M24</f>
        <v>69</v>
      </c>
      <c r="P21" s="9">
        <f>'Otemachi Daily'!N24</f>
        <v>116</v>
      </c>
    </row>
    <row r="22" spans="1:16" ht="15" x14ac:dyDescent="0.25">
      <c r="A22" s="6" t="s">
        <v>22</v>
      </c>
      <c r="B22" s="7">
        <f t="shared" si="0"/>
        <v>21</v>
      </c>
      <c r="C22" s="8">
        <v>9</v>
      </c>
      <c r="D22" s="7">
        <v>2021</v>
      </c>
      <c r="E22" s="9">
        <f>'Otemachi Daily'!D25</f>
        <v>14738</v>
      </c>
      <c r="F22" s="35">
        <f>[1]見込!$G$3</f>
        <v>24</v>
      </c>
      <c r="G22" s="9">
        <f>'Otemachi Daily'!F25</f>
        <v>139.19999999999999</v>
      </c>
      <c r="H22" s="35">
        <f>[1]見込!$M$23</f>
        <v>115.15997475903774</v>
      </c>
      <c r="I22" s="9">
        <f>'Otemachi Daily'!H25</f>
        <v>14436.1548</v>
      </c>
      <c r="J22" s="35">
        <v>10.79</v>
      </c>
      <c r="K22" s="9">
        <f>'Otemachi Daily'!J25</f>
        <v>1430.9477999999999</v>
      </c>
      <c r="L22" s="35">
        <v>7.22</v>
      </c>
      <c r="M22" s="9">
        <f>'Otemachi Daily'!L25</f>
        <v>141</v>
      </c>
      <c r="N22" s="35">
        <v>741</v>
      </c>
      <c r="O22" s="9">
        <f>'Otemachi Daily'!M25</f>
        <v>60</v>
      </c>
      <c r="P22" s="9">
        <f>'Otemachi Daily'!N25</f>
        <v>113</v>
      </c>
    </row>
    <row r="23" spans="1:16" ht="15" x14ac:dyDescent="0.25">
      <c r="A23" s="6" t="s">
        <v>22</v>
      </c>
      <c r="B23" s="7">
        <f t="shared" si="0"/>
        <v>22</v>
      </c>
      <c r="C23" s="8">
        <v>9</v>
      </c>
      <c r="D23" s="7">
        <v>2021</v>
      </c>
      <c r="E23" s="9">
        <f>'Otemachi Daily'!D26</f>
        <v>14944</v>
      </c>
      <c r="F23" s="35">
        <f>[1]見込!$G$3</f>
        <v>24</v>
      </c>
      <c r="G23" s="9">
        <f>'Otemachi Daily'!F26</f>
        <v>148</v>
      </c>
      <c r="H23" s="35">
        <f>[1]見込!$M$23</f>
        <v>115.15997475903774</v>
      </c>
      <c r="I23" s="9">
        <f>'Otemachi Daily'!H26</f>
        <v>22794.879000000001</v>
      </c>
      <c r="J23" s="35">
        <v>10.79</v>
      </c>
      <c r="K23" s="9">
        <f>'Otemachi Daily'!J26</f>
        <v>982.57859999999994</v>
      </c>
      <c r="L23" s="35">
        <v>7.22</v>
      </c>
      <c r="M23" s="9">
        <f>'Otemachi Daily'!L26</f>
        <v>143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 x14ac:dyDescent="0.25">
      <c r="A24" s="6" t="s">
        <v>22</v>
      </c>
      <c r="B24" s="7">
        <f t="shared" si="0"/>
        <v>23</v>
      </c>
      <c r="C24" s="8">
        <v>9</v>
      </c>
      <c r="D24" s="7">
        <v>2021</v>
      </c>
      <c r="E24" s="9">
        <f>'Otemachi Daily'!D27</f>
        <v>0</v>
      </c>
      <c r="F24" s="35">
        <f>[1]見込!$G$3</f>
        <v>24</v>
      </c>
      <c r="G24" s="9">
        <f>'Otemachi Daily'!F27</f>
        <v>0</v>
      </c>
      <c r="H24" s="35">
        <f>[1]見込!$M$23</f>
        <v>115.15997475903774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 x14ac:dyDescent="0.25">
      <c r="A25" s="6" t="s">
        <v>22</v>
      </c>
      <c r="B25" s="7">
        <f t="shared" si="0"/>
        <v>24</v>
      </c>
      <c r="C25" s="8">
        <v>9</v>
      </c>
      <c r="D25" s="7">
        <v>2021</v>
      </c>
      <c r="E25" s="9">
        <f>'Otemachi Daily'!D28</f>
        <v>0</v>
      </c>
      <c r="F25" s="35">
        <f>[1]見込!$G$3</f>
        <v>24</v>
      </c>
      <c r="G25" s="9">
        <f>'Otemachi Daily'!F28</f>
        <v>0</v>
      </c>
      <c r="H25" s="35">
        <f>[1]見込!$M$23</f>
        <v>115.15997475903774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 x14ac:dyDescent="0.25">
      <c r="A26" s="6" t="s">
        <v>22</v>
      </c>
      <c r="B26" s="7">
        <f>B25+1</f>
        <v>25</v>
      </c>
      <c r="C26" s="8">
        <v>9</v>
      </c>
      <c r="D26" s="7">
        <v>2021</v>
      </c>
      <c r="E26" s="9">
        <f>'Otemachi Daily'!D29</f>
        <v>0</v>
      </c>
      <c r="F26" s="35">
        <f>[1]見込!$G$3</f>
        <v>24</v>
      </c>
      <c r="G26" s="9">
        <f>'Otemachi Daily'!F29</f>
        <v>0</v>
      </c>
      <c r="H26" s="35">
        <f>[1]見込!$M$23</f>
        <v>115.15997475903774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 x14ac:dyDescent="0.25">
      <c r="A27" s="6" t="s">
        <v>22</v>
      </c>
      <c r="B27" s="7">
        <f t="shared" si="0"/>
        <v>26</v>
      </c>
      <c r="C27" s="8">
        <v>9</v>
      </c>
      <c r="D27" s="7">
        <v>2021</v>
      </c>
      <c r="E27" s="9">
        <f>'Otemachi Daily'!D30</f>
        <v>0</v>
      </c>
      <c r="F27" s="35">
        <f>[1]見込!$G$3</f>
        <v>24</v>
      </c>
      <c r="G27" s="9">
        <f>'Otemachi Daily'!F30</f>
        <v>0</v>
      </c>
      <c r="H27" s="35">
        <f>[1]見込!$M$23</f>
        <v>115.15997475903774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 x14ac:dyDescent="0.25">
      <c r="A28" s="6" t="s">
        <v>22</v>
      </c>
      <c r="B28" s="7">
        <f t="shared" si="0"/>
        <v>27</v>
      </c>
      <c r="C28" s="8">
        <v>9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115.15997475903774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 x14ac:dyDescent="0.25">
      <c r="A29" s="6" t="s">
        <v>22</v>
      </c>
      <c r="B29" s="7">
        <f t="shared" si="0"/>
        <v>28</v>
      </c>
      <c r="C29" s="8">
        <v>9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115.15997475903774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 x14ac:dyDescent="0.25">
      <c r="A30" s="6" t="s">
        <v>22</v>
      </c>
      <c r="B30" s="7">
        <f t="shared" si="0"/>
        <v>29</v>
      </c>
      <c r="C30" s="8">
        <v>9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115.15997475903774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 x14ac:dyDescent="0.25">
      <c r="A31" s="6" t="s">
        <v>22</v>
      </c>
      <c r="B31" s="7">
        <f t="shared" si="0"/>
        <v>30</v>
      </c>
      <c r="C31" s="8">
        <v>9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115.15997475903774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 x14ac:dyDescent="0.25">
      <c r="A32" s="6" t="s">
        <v>22</v>
      </c>
      <c r="B32" s="7">
        <f t="shared" si="0"/>
        <v>31</v>
      </c>
      <c r="C32" s="8">
        <v>9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115.15997475903774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6" zoomScale="60" zoomScaleNormal="60" workbookViewId="0">
      <pane xSplit="1" topLeftCell="B1" activePane="topRight" state="frozen"/>
      <selection pane="topRight" activeCell="S20" sqref="S20:S2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 x14ac:dyDescent="0.3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5" ht="44.25" customHeight="1" x14ac:dyDescent="0.25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 x14ac:dyDescent="0.25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 x14ac:dyDescent="0.25">
      <c r="A5" s="28">
        <v>44440</v>
      </c>
      <c r="B5" s="38"/>
      <c r="C5" s="36">
        <f>[1]コスト!$G$147</f>
        <v>13777</v>
      </c>
      <c r="D5" s="36">
        <f>C5</f>
        <v>13777</v>
      </c>
      <c r="E5" s="36">
        <f>[1]コスト!$G$23</f>
        <v>148</v>
      </c>
      <c r="F5" s="36">
        <f>E5</f>
        <v>148</v>
      </c>
      <c r="G5" s="36">
        <f>[1]コスト!$G$115</f>
        <v>12301.5396</v>
      </c>
      <c r="H5" s="36">
        <f>G5</f>
        <v>12301.5396</v>
      </c>
      <c r="I5" s="36">
        <f>[1]コスト!$G$91</f>
        <v>1558.7357999999999</v>
      </c>
      <c r="J5" s="36">
        <f>I5</f>
        <v>1558.7357999999999</v>
      </c>
      <c r="K5" s="36">
        <f>[1]コスト!$G$41</f>
        <v>110</v>
      </c>
      <c r="L5" s="36">
        <f>K5</f>
        <v>110</v>
      </c>
      <c r="M5" s="29">
        <v>56</v>
      </c>
      <c r="N5" s="29">
        <v>105</v>
      </c>
      <c r="O5" s="26"/>
    </row>
    <row r="6" spans="1:15" ht="45" customHeight="1" x14ac:dyDescent="0.25">
      <c r="A6" s="28">
        <v>44441</v>
      </c>
      <c r="B6" s="38"/>
      <c r="C6" s="36">
        <f>[1]コスト!$H$147</f>
        <v>13704</v>
      </c>
      <c r="D6" s="36">
        <f t="shared" ref="D6:F35" si="0">C6</f>
        <v>13704</v>
      </c>
      <c r="E6" s="36">
        <f>[1]コスト!$H$23</f>
        <v>155</v>
      </c>
      <c r="F6" s="36">
        <f t="shared" si="0"/>
        <v>155</v>
      </c>
      <c r="G6" s="36">
        <f>[1]コスト!$H$115</f>
        <v>10354.717199999999</v>
      </c>
      <c r="H6" s="36">
        <f t="shared" ref="H6" si="1">G6</f>
        <v>10354.717199999999</v>
      </c>
      <c r="I6" s="36">
        <f>[1]コスト!$H$91</f>
        <v>2039.0519999999999</v>
      </c>
      <c r="J6" s="36">
        <f t="shared" ref="J6" si="2">I6</f>
        <v>2039.0519999999999</v>
      </c>
      <c r="K6" s="36">
        <f>[1]コスト!$H$41</f>
        <v>125</v>
      </c>
      <c r="L6" s="36">
        <f t="shared" ref="L6" si="3">K6</f>
        <v>125</v>
      </c>
      <c r="M6" s="12">
        <v>47</v>
      </c>
      <c r="N6" s="12">
        <v>87</v>
      </c>
      <c r="O6" s="26"/>
    </row>
    <row r="7" spans="1:15" ht="45" customHeight="1" x14ac:dyDescent="0.25">
      <c r="A7" s="28">
        <v>44442</v>
      </c>
      <c r="B7" s="38"/>
      <c r="C7" s="36">
        <f>[1]コスト!$I$147</f>
        <v>13923</v>
      </c>
      <c r="D7" s="36">
        <f t="shared" si="0"/>
        <v>13923</v>
      </c>
      <c r="E7" s="36">
        <f>[1]コスト!$I$23</f>
        <v>160</v>
      </c>
      <c r="F7" s="36">
        <f t="shared" si="0"/>
        <v>160</v>
      </c>
      <c r="G7" s="36">
        <f>[1]コスト!$I$115</f>
        <v>10942.541999999999</v>
      </c>
      <c r="H7" s="36">
        <f t="shared" ref="H7" si="4">G7</f>
        <v>10942.541999999999</v>
      </c>
      <c r="I7" s="36">
        <f>[1]コスト!$I$91</f>
        <v>1990.4369999999999</v>
      </c>
      <c r="J7" s="36">
        <f t="shared" ref="J7" si="5">I7</f>
        <v>1990.4369999999999</v>
      </c>
      <c r="K7" s="36">
        <f>[1]コスト!$I$41</f>
        <v>140</v>
      </c>
      <c r="L7" s="36">
        <f t="shared" ref="L7" si="6">K7</f>
        <v>140</v>
      </c>
      <c r="M7" s="12">
        <v>67</v>
      </c>
      <c r="N7" s="12">
        <v>164</v>
      </c>
    </row>
    <row r="8" spans="1:15" ht="45" customHeight="1" x14ac:dyDescent="0.25">
      <c r="A8" s="28">
        <v>44443</v>
      </c>
      <c r="B8" s="38"/>
      <c r="C8" s="36">
        <f>[1]コスト!$J$147</f>
        <v>14431</v>
      </c>
      <c r="D8" s="36">
        <f t="shared" si="0"/>
        <v>14431</v>
      </c>
      <c r="E8" s="36">
        <f>[1]コスト!$J$23</f>
        <v>180</v>
      </c>
      <c r="F8" s="36">
        <f t="shared" si="0"/>
        <v>180</v>
      </c>
      <c r="G8" s="36">
        <f>[1]コスト!$J$115</f>
        <v>12846.860999999999</v>
      </c>
      <c r="H8" s="36">
        <f t="shared" ref="H8" si="7">G8</f>
        <v>12846.860999999999</v>
      </c>
      <c r="I8" s="36">
        <f>[1]コスト!$J$91</f>
        <v>1936.2659999999998</v>
      </c>
      <c r="J8" s="36">
        <f t="shared" ref="J8" si="8">I8</f>
        <v>1936.2659999999998</v>
      </c>
      <c r="K8" s="36">
        <f>[1]コスト!$J$41</f>
        <v>146</v>
      </c>
      <c r="L8" s="36">
        <f t="shared" ref="L8" si="9">K8</f>
        <v>146</v>
      </c>
      <c r="M8" s="12">
        <v>69</v>
      </c>
      <c r="N8" s="12">
        <v>181</v>
      </c>
    </row>
    <row r="9" spans="1:15" ht="45" customHeight="1" x14ac:dyDescent="0.25">
      <c r="A9" s="28">
        <v>44444</v>
      </c>
      <c r="B9" s="38"/>
      <c r="C9" s="36">
        <f>[1]コスト!$K$147</f>
        <v>14211</v>
      </c>
      <c r="D9" s="36">
        <f t="shared" si="0"/>
        <v>14211</v>
      </c>
      <c r="E9" s="36">
        <f>[1]コスト!$K$23</f>
        <v>165.2</v>
      </c>
      <c r="F9" s="36">
        <f t="shared" si="0"/>
        <v>165.2</v>
      </c>
      <c r="G9" s="36">
        <f>[1]コスト!$K$115</f>
        <v>11627.0412</v>
      </c>
      <c r="H9" s="36">
        <f t="shared" ref="H9" si="10">G9</f>
        <v>11627.0412</v>
      </c>
      <c r="I9" s="36">
        <f>[1]コスト!$K$91</f>
        <v>1936.5437999999999</v>
      </c>
      <c r="J9" s="36">
        <f t="shared" ref="J9" si="11">I9</f>
        <v>1936.5437999999999</v>
      </c>
      <c r="K9" s="36">
        <f>[1]コスト!$K$41</f>
        <v>150</v>
      </c>
      <c r="L9" s="36">
        <f t="shared" ref="L9" si="12">K9</f>
        <v>150</v>
      </c>
      <c r="M9" s="12">
        <v>47</v>
      </c>
      <c r="N9" s="12">
        <v>95</v>
      </c>
    </row>
    <row r="10" spans="1:15" ht="45" customHeight="1" x14ac:dyDescent="0.25">
      <c r="A10" s="28">
        <v>44445</v>
      </c>
      <c r="B10" s="38"/>
      <c r="C10" s="36">
        <f>[1]コスト!$L$147</f>
        <v>13967</v>
      </c>
      <c r="D10" s="36">
        <f t="shared" si="0"/>
        <v>13967</v>
      </c>
      <c r="E10" s="36">
        <f>[1]コスト!$L$23</f>
        <v>158</v>
      </c>
      <c r="F10" s="36">
        <f t="shared" si="0"/>
        <v>158</v>
      </c>
      <c r="G10" s="36">
        <f>[1]コスト!$L$115</f>
        <v>8497.0686000000005</v>
      </c>
      <c r="H10" s="36">
        <f t="shared" ref="H10" si="13">G10</f>
        <v>8497.0686000000005</v>
      </c>
      <c r="I10" s="36">
        <f>[1]コスト!$L$91</f>
        <v>1884.5952</v>
      </c>
      <c r="J10" s="36">
        <f t="shared" ref="J10" si="14">I10</f>
        <v>1884.5952</v>
      </c>
      <c r="K10" s="36">
        <f>[1]コスト!$L$41</f>
        <v>128</v>
      </c>
      <c r="L10" s="36">
        <f t="shared" ref="L10" si="15">K10</f>
        <v>128</v>
      </c>
      <c r="M10" s="12">
        <v>42</v>
      </c>
      <c r="N10" s="12">
        <v>84</v>
      </c>
    </row>
    <row r="11" spans="1:15" ht="45" customHeight="1" x14ac:dyDescent="0.25">
      <c r="A11" s="28">
        <v>44446</v>
      </c>
      <c r="B11" s="38"/>
      <c r="C11" s="36">
        <f>[1]コスト!$M$147</f>
        <v>13703</v>
      </c>
      <c r="D11" s="36">
        <f t="shared" si="0"/>
        <v>13703</v>
      </c>
      <c r="E11" s="36">
        <f>[1]コスト!$M$23</f>
        <v>134</v>
      </c>
      <c r="F11" s="36">
        <f t="shared" si="0"/>
        <v>134</v>
      </c>
      <c r="G11" s="36">
        <f>[1]コスト!$M$115</f>
        <v>8061.4781999999996</v>
      </c>
      <c r="H11" s="36">
        <f t="shared" ref="H11" si="16">G11</f>
        <v>8061.4781999999996</v>
      </c>
      <c r="I11" s="36">
        <f>[1]コスト!$M$91</f>
        <v>1774.3085999999998</v>
      </c>
      <c r="J11" s="36">
        <f t="shared" ref="J11" si="17">I11</f>
        <v>1774.3085999999998</v>
      </c>
      <c r="K11" s="36">
        <f>[1]コスト!$M$41</f>
        <v>102</v>
      </c>
      <c r="L11" s="36">
        <f t="shared" ref="L11" si="18">K11</f>
        <v>102</v>
      </c>
      <c r="M11" s="12">
        <v>57</v>
      </c>
      <c r="N11" s="12">
        <v>113</v>
      </c>
    </row>
    <row r="12" spans="1:15" ht="45" customHeight="1" x14ac:dyDescent="0.25">
      <c r="A12" s="28">
        <v>44447</v>
      </c>
      <c r="B12" s="38"/>
      <c r="C12" s="36">
        <f>[1]コスト!$N$147</f>
        <v>13854</v>
      </c>
      <c r="D12" s="36">
        <f t="shared" si="0"/>
        <v>13854</v>
      </c>
      <c r="E12" s="36">
        <f>[1]コスト!$N$23</f>
        <v>156</v>
      </c>
      <c r="F12" s="36">
        <f t="shared" si="0"/>
        <v>156</v>
      </c>
      <c r="G12" s="36">
        <f>[1]コスト!$N$115</f>
        <v>10361.662199999999</v>
      </c>
      <c r="H12" s="36">
        <f t="shared" ref="H12" si="19">G12</f>
        <v>10361.662199999999</v>
      </c>
      <c r="I12" s="36">
        <f>[1]コスト!$N$91</f>
        <v>1654.8545999999999</v>
      </c>
      <c r="J12" s="36">
        <f t="shared" ref="J12" si="20">I12</f>
        <v>1654.8545999999999</v>
      </c>
      <c r="K12" s="36">
        <f>[1]コスト!$N$41</f>
        <v>138</v>
      </c>
      <c r="L12" s="36">
        <f t="shared" ref="L12" si="21">K12</f>
        <v>138</v>
      </c>
      <c r="M12" s="12">
        <v>67</v>
      </c>
      <c r="N12" s="12">
        <v>134</v>
      </c>
    </row>
    <row r="13" spans="1:15" ht="45" customHeight="1" x14ac:dyDescent="0.25">
      <c r="A13" s="28">
        <v>44448</v>
      </c>
      <c r="B13" s="38"/>
      <c r="C13" s="36">
        <f>[1]コスト!$O$147</f>
        <v>13921</v>
      </c>
      <c r="D13" s="36">
        <f t="shared" si="0"/>
        <v>13921</v>
      </c>
      <c r="E13" s="36">
        <f>[1]コスト!$O$23</f>
        <v>156.19999999999999</v>
      </c>
      <c r="F13" s="36">
        <f t="shared" si="0"/>
        <v>156.19999999999999</v>
      </c>
      <c r="G13" s="36">
        <f>[1]コスト!$O$115</f>
        <v>11655.9324</v>
      </c>
      <c r="H13" s="36">
        <f t="shared" ref="H13" si="22">G13</f>
        <v>11655.9324</v>
      </c>
      <c r="I13" s="36">
        <f>[1]コスト!$O$91</f>
        <v>1802.922</v>
      </c>
      <c r="J13" s="36">
        <f t="shared" ref="J13" si="23">I13</f>
        <v>1802.922</v>
      </c>
      <c r="K13" s="36">
        <f>[1]コスト!$O$41</f>
        <v>156</v>
      </c>
      <c r="L13" s="36">
        <f t="shared" ref="L13" si="24">K13</f>
        <v>156</v>
      </c>
      <c r="M13" s="12">
        <v>53</v>
      </c>
      <c r="N13" s="12">
        <v>101</v>
      </c>
    </row>
    <row r="14" spans="1:15" ht="45" customHeight="1" x14ac:dyDescent="0.25">
      <c r="A14" s="28">
        <v>44449</v>
      </c>
      <c r="B14" s="38"/>
      <c r="C14" s="36">
        <f>[1]コスト!$P$147</f>
        <v>14897</v>
      </c>
      <c r="D14" s="36">
        <f t="shared" si="0"/>
        <v>14897</v>
      </c>
      <c r="E14" s="36">
        <f>[1]コスト!$P$23</f>
        <v>160</v>
      </c>
      <c r="F14" s="36">
        <f t="shared" si="0"/>
        <v>160</v>
      </c>
      <c r="G14" s="36">
        <f>[1]コスト!$P$115</f>
        <v>21515.054400000001</v>
      </c>
      <c r="H14" s="36">
        <f t="shared" ref="H14" si="25">G14</f>
        <v>21515.054400000001</v>
      </c>
      <c r="I14" s="36">
        <f>[1]コスト!$P$91</f>
        <v>943.40879999999993</v>
      </c>
      <c r="J14" s="36">
        <f t="shared" ref="J14" si="26">I14</f>
        <v>943.40879999999993</v>
      </c>
      <c r="K14" s="36">
        <f>[1]コスト!$P$41</f>
        <v>144</v>
      </c>
      <c r="L14" s="36">
        <f t="shared" ref="L14" si="27">K14</f>
        <v>144</v>
      </c>
      <c r="M14" s="12">
        <v>77</v>
      </c>
      <c r="N14" s="12">
        <v>195</v>
      </c>
    </row>
    <row r="15" spans="1:15" ht="45" customHeight="1" x14ac:dyDescent="0.25">
      <c r="A15" s="28">
        <v>44450</v>
      </c>
      <c r="B15" s="38"/>
      <c r="C15" s="36">
        <f>[1]コスト!$Q$147</f>
        <v>15613</v>
      </c>
      <c r="D15" s="36">
        <f t="shared" si="0"/>
        <v>15613</v>
      </c>
      <c r="E15" s="36">
        <f>[1]コスト!$Q$23</f>
        <v>178</v>
      </c>
      <c r="F15" s="36">
        <f t="shared" si="0"/>
        <v>178</v>
      </c>
      <c r="G15" s="36">
        <f>[1]コスト!$Q$115</f>
        <v>24785.871599999999</v>
      </c>
      <c r="H15" s="36">
        <f t="shared" ref="H15" si="28">G15</f>
        <v>24785.871599999999</v>
      </c>
      <c r="I15" s="36">
        <f>[1]コスト!$Q$91</f>
        <v>995.07959999999991</v>
      </c>
      <c r="J15" s="36">
        <f t="shared" ref="J15" si="29">I15</f>
        <v>995.07959999999991</v>
      </c>
      <c r="K15" s="36">
        <f>[1]コスト!$Q$41</f>
        <v>161</v>
      </c>
      <c r="L15" s="36">
        <f t="shared" ref="L15" si="30">K15</f>
        <v>161</v>
      </c>
      <c r="M15" s="12">
        <v>111</v>
      </c>
      <c r="N15" s="12">
        <v>211</v>
      </c>
    </row>
    <row r="16" spans="1:15" ht="45" customHeight="1" x14ac:dyDescent="0.25">
      <c r="A16" s="28">
        <v>44451</v>
      </c>
      <c r="B16" s="38"/>
      <c r="C16" s="36">
        <f>[1]コスト!$R$147</f>
        <v>15467</v>
      </c>
      <c r="D16" s="36">
        <f t="shared" si="0"/>
        <v>15467</v>
      </c>
      <c r="E16" s="36">
        <f>[1]コスト!$R$23</f>
        <v>175</v>
      </c>
      <c r="F16" s="36">
        <f t="shared" si="0"/>
        <v>175</v>
      </c>
      <c r="G16" s="36">
        <f>[1]コスト!$R$115</f>
        <v>24000.253199999999</v>
      </c>
      <c r="H16" s="36">
        <f t="shared" ref="H16" si="31">G16</f>
        <v>24000.253199999999</v>
      </c>
      <c r="I16" s="36">
        <f>[1]コスト!$R$91</f>
        <v>1098.4212</v>
      </c>
      <c r="J16" s="36">
        <f t="shared" ref="J16" si="32">I16</f>
        <v>1098.4212</v>
      </c>
      <c r="K16" s="36">
        <f>[1]コスト!$R$41</f>
        <v>164</v>
      </c>
      <c r="L16" s="36">
        <f t="shared" ref="L16" si="33">K16</f>
        <v>164</v>
      </c>
      <c r="M16" s="12">
        <v>49</v>
      </c>
      <c r="N16" s="12">
        <v>93</v>
      </c>
    </row>
    <row r="17" spans="1:26" ht="45" customHeight="1" x14ac:dyDescent="0.25">
      <c r="A17" s="28">
        <v>44452</v>
      </c>
      <c r="B17" s="38"/>
      <c r="C17" s="36">
        <f>[1]コスト!$S$147</f>
        <v>14627</v>
      </c>
      <c r="D17" s="36">
        <f t="shared" si="0"/>
        <v>14627</v>
      </c>
      <c r="E17" s="36">
        <f>[1]コスト!$S$23</f>
        <v>165</v>
      </c>
      <c r="F17" s="36">
        <f t="shared" si="0"/>
        <v>165</v>
      </c>
      <c r="G17" s="36">
        <f>[1]コスト!$S$115</f>
        <v>19566.287400000001</v>
      </c>
      <c r="H17" s="36">
        <f t="shared" ref="H17" si="34">G17</f>
        <v>19566.287400000001</v>
      </c>
      <c r="I17" s="36">
        <f>[1]コスト!$S$91</f>
        <v>781.72919999999999</v>
      </c>
      <c r="J17" s="36">
        <f t="shared" ref="J17" si="35">I17</f>
        <v>781.72919999999999</v>
      </c>
      <c r="K17" s="36">
        <f>[1]コスト!$S$41</f>
        <v>129</v>
      </c>
      <c r="L17" s="36">
        <f t="shared" ref="L17" si="36">K17</f>
        <v>129</v>
      </c>
      <c r="M17" s="12">
        <v>64</v>
      </c>
      <c r="N17" s="12">
        <v>120</v>
      </c>
    </row>
    <row r="18" spans="1:26" ht="45" customHeight="1" x14ac:dyDescent="0.25">
      <c r="A18" s="28">
        <v>44453</v>
      </c>
      <c r="B18" s="38"/>
      <c r="C18" s="36">
        <f>[1]コスト!$T$147</f>
        <v>14297</v>
      </c>
      <c r="D18" s="36">
        <f t="shared" si="0"/>
        <v>14297</v>
      </c>
      <c r="E18" s="36">
        <f>[1]コスト!$T$23</f>
        <v>142</v>
      </c>
      <c r="F18" s="36">
        <f t="shared" si="0"/>
        <v>142</v>
      </c>
      <c r="G18" s="36">
        <f>[1]コスト!$T$115</f>
        <v>15036.480599999999</v>
      </c>
      <c r="H18" s="36">
        <f t="shared" ref="H18" si="37">G18</f>
        <v>15036.480599999999</v>
      </c>
      <c r="I18" s="36">
        <f>[1]コスト!$T$91</f>
        <v>1268.4348</v>
      </c>
      <c r="J18" s="36">
        <f t="shared" ref="J18" si="38">I18</f>
        <v>1268.4348</v>
      </c>
      <c r="K18" s="36">
        <f>[1]コスト!$T$41</f>
        <v>116</v>
      </c>
      <c r="L18" s="36">
        <f t="shared" ref="L18" si="39">K18</f>
        <v>116</v>
      </c>
      <c r="M18" s="12">
        <v>60</v>
      </c>
      <c r="N18" s="12">
        <v>114</v>
      </c>
      <c r="Z18" s="37"/>
    </row>
    <row r="19" spans="1:26" ht="45" customHeight="1" x14ac:dyDescent="0.25">
      <c r="A19" s="28">
        <v>44454</v>
      </c>
      <c r="B19" s="38"/>
      <c r="C19" s="36">
        <f>[1]コスト!$U$147</f>
        <v>14661</v>
      </c>
      <c r="D19" s="36">
        <f t="shared" si="0"/>
        <v>14661</v>
      </c>
      <c r="E19" s="36">
        <f>[1]コスト!$U$23</f>
        <v>143.19999999999999</v>
      </c>
      <c r="F19" s="36">
        <f t="shared" si="0"/>
        <v>143.19999999999999</v>
      </c>
      <c r="G19" s="36">
        <f>[1]コスト!$U$115</f>
        <v>16430.7588</v>
      </c>
      <c r="H19" s="36">
        <f t="shared" ref="H19" si="40">G19</f>
        <v>16430.7588</v>
      </c>
      <c r="I19" s="36">
        <f>[1]コスト!$U$91</f>
        <v>1344.2742000000001</v>
      </c>
      <c r="J19" s="36">
        <f t="shared" ref="J19" si="41">I19</f>
        <v>1344.2742000000001</v>
      </c>
      <c r="K19" s="36">
        <f>[1]コスト!$U$41</f>
        <v>115</v>
      </c>
      <c r="L19" s="36">
        <f t="shared" ref="L19" si="42">K19</f>
        <v>115</v>
      </c>
      <c r="M19" s="12">
        <v>57</v>
      </c>
      <c r="N19" s="12">
        <v>107</v>
      </c>
    </row>
    <row r="20" spans="1:26" ht="45" customHeight="1" x14ac:dyDescent="0.25">
      <c r="A20" s="28">
        <v>44455</v>
      </c>
      <c r="B20" s="38"/>
      <c r="C20" s="36">
        <f>[1]コスト!$V$147</f>
        <v>14794</v>
      </c>
      <c r="D20" s="36">
        <f t="shared" si="0"/>
        <v>14794</v>
      </c>
      <c r="E20" s="36">
        <f>[1]コスト!$V$23</f>
        <v>164</v>
      </c>
      <c r="F20" s="36">
        <f t="shared" si="0"/>
        <v>164</v>
      </c>
      <c r="G20" s="36">
        <f>[1]コスト!$V$115</f>
        <v>13480.8006</v>
      </c>
      <c r="H20" s="36">
        <f t="shared" ref="H20" si="43">G20</f>
        <v>13480.8006</v>
      </c>
      <c r="I20" s="36">
        <f>[1]コスト!$V$91</f>
        <v>1489.2857999999999</v>
      </c>
      <c r="J20" s="36">
        <f t="shared" ref="J20" si="44">I20</f>
        <v>1489.2857999999999</v>
      </c>
      <c r="K20" s="36">
        <f>[1]コスト!$V$41</f>
        <v>136</v>
      </c>
      <c r="L20" s="36">
        <f t="shared" ref="L20" si="45">K20</f>
        <v>136</v>
      </c>
      <c r="M20" s="12">
        <v>66</v>
      </c>
      <c r="N20" s="12">
        <v>122</v>
      </c>
    </row>
    <row r="21" spans="1:26" ht="45" customHeight="1" x14ac:dyDescent="0.25">
      <c r="A21" s="28">
        <v>44456</v>
      </c>
      <c r="B21" s="38"/>
      <c r="C21" s="36">
        <f>[1]コスト!$W$147</f>
        <v>15056</v>
      </c>
      <c r="D21" s="36">
        <f t="shared" si="0"/>
        <v>15056</v>
      </c>
      <c r="E21" s="36">
        <f>[1]コスト!$W$23</f>
        <v>182</v>
      </c>
      <c r="F21" s="36">
        <f t="shared" si="0"/>
        <v>182</v>
      </c>
      <c r="G21" s="36">
        <f>[1]コスト!$W$115</f>
        <v>14276.142</v>
      </c>
      <c r="H21" s="36">
        <f t="shared" ref="H21" si="46">G21</f>
        <v>14276.142</v>
      </c>
      <c r="I21" s="36">
        <f>[1]コスト!$W$91</f>
        <v>1597.9056</v>
      </c>
      <c r="J21" s="36">
        <f t="shared" ref="J21" si="47">I21</f>
        <v>1597.9056</v>
      </c>
      <c r="K21" s="36">
        <f>[1]コスト!$W$41</f>
        <v>151</v>
      </c>
      <c r="L21" s="36">
        <f t="shared" ref="L21" si="48">K21</f>
        <v>151</v>
      </c>
      <c r="M21" s="12">
        <v>98</v>
      </c>
      <c r="N21" s="12">
        <v>200</v>
      </c>
    </row>
    <row r="22" spans="1:26" ht="45" customHeight="1" x14ac:dyDescent="0.25">
      <c r="A22" s="28">
        <v>44457</v>
      </c>
      <c r="B22" s="38"/>
      <c r="C22" s="36">
        <f>[1]コスト!$X$147</f>
        <v>15652</v>
      </c>
      <c r="D22" s="36">
        <f t="shared" si="0"/>
        <v>15652</v>
      </c>
      <c r="E22" s="36">
        <f>[1]コスト!$X$23</f>
        <v>182</v>
      </c>
      <c r="F22" s="36">
        <f t="shared" si="0"/>
        <v>182</v>
      </c>
      <c r="G22" s="36">
        <f>[1]コスト!$X$115</f>
        <v>24011.3652</v>
      </c>
      <c r="H22" s="36">
        <f t="shared" ref="H22" si="49">G22</f>
        <v>24011.3652</v>
      </c>
      <c r="I22" s="36">
        <f>[1]コスト!$X$91</f>
        <v>1346.2187999999999</v>
      </c>
      <c r="J22" s="36">
        <f t="shared" ref="J22" si="50">I22</f>
        <v>1346.2187999999999</v>
      </c>
      <c r="K22" s="36">
        <f>[1]コスト!$X$41</f>
        <v>173</v>
      </c>
      <c r="L22" s="36">
        <f t="shared" ref="L22" si="51">K22</f>
        <v>173</v>
      </c>
      <c r="M22" s="12">
        <v>142</v>
      </c>
      <c r="N22" s="12">
        <v>311</v>
      </c>
    </row>
    <row r="23" spans="1:26" ht="45" customHeight="1" x14ac:dyDescent="0.25">
      <c r="A23" s="28">
        <v>44458</v>
      </c>
      <c r="B23" s="38"/>
      <c r="C23" s="36">
        <f>[1]コスト!$Y$147</f>
        <v>16082</v>
      </c>
      <c r="D23" s="36">
        <f t="shared" si="0"/>
        <v>16082</v>
      </c>
      <c r="E23" s="36">
        <f>[1]コスト!$Y$23</f>
        <v>173.1</v>
      </c>
      <c r="F23" s="36">
        <f t="shared" si="0"/>
        <v>173.1</v>
      </c>
      <c r="G23" s="36">
        <f>[1]コスト!$Y$115</f>
        <v>19684.3524</v>
      </c>
      <c r="H23" s="36">
        <f t="shared" ref="H23" si="52">G23</f>
        <v>19684.3524</v>
      </c>
      <c r="I23" s="36">
        <f>[1]コスト!$Y$91</f>
        <v>1397.8896</v>
      </c>
      <c r="J23" s="36">
        <f t="shared" ref="J23" si="53">I23</f>
        <v>1397.8896</v>
      </c>
      <c r="K23" s="36">
        <f>[1]コスト!$Y$41</f>
        <v>221</v>
      </c>
      <c r="L23" s="36">
        <f t="shared" ref="L23" si="54">K23</f>
        <v>221</v>
      </c>
      <c r="M23" s="12">
        <v>157</v>
      </c>
      <c r="N23" s="12">
        <v>354</v>
      </c>
    </row>
    <row r="24" spans="1:26" ht="45" customHeight="1" x14ac:dyDescent="0.25">
      <c r="A24" s="28">
        <v>44459</v>
      </c>
      <c r="B24" s="38"/>
      <c r="C24" s="36">
        <f>[1]コスト!$Z$147</f>
        <v>15612</v>
      </c>
      <c r="D24" s="36">
        <f t="shared" si="0"/>
        <v>15612</v>
      </c>
      <c r="E24" s="36">
        <f>[1]コスト!$Z$23</f>
        <v>174</v>
      </c>
      <c r="F24" s="36">
        <f t="shared" si="0"/>
        <v>174</v>
      </c>
      <c r="G24" s="36">
        <f>[1]コスト!$Z$115</f>
        <v>16105.1772</v>
      </c>
      <c r="H24" s="36">
        <f t="shared" ref="H24" si="55">G24</f>
        <v>16105.1772</v>
      </c>
      <c r="I24" s="36">
        <f>[1]コスト!$Z$91</f>
        <v>1645.1315999999999</v>
      </c>
      <c r="J24" s="36">
        <f t="shared" ref="J24" si="56">I24</f>
        <v>1645.1315999999999</v>
      </c>
      <c r="K24" s="36">
        <f>[1]コスト!$Z$41</f>
        <v>196</v>
      </c>
      <c r="L24" s="36">
        <f t="shared" ref="L24" si="57">K24</f>
        <v>196</v>
      </c>
      <c r="M24" s="12">
        <v>69</v>
      </c>
      <c r="N24" s="12">
        <v>116</v>
      </c>
    </row>
    <row r="25" spans="1:26" ht="45" customHeight="1" x14ac:dyDescent="0.25">
      <c r="A25" s="28">
        <v>44460</v>
      </c>
      <c r="B25" s="38"/>
      <c r="C25" s="36">
        <f>[1]コスト!$AA$147</f>
        <v>14738</v>
      </c>
      <c r="D25" s="36">
        <f t="shared" si="0"/>
        <v>14738</v>
      </c>
      <c r="E25" s="36">
        <f>[1]コスト!$AA$23</f>
        <v>139.19999999999999</v>
      </c>
      <c r="F25" s="36">
        <f t="shared" si="0"/>
        <v>139.19999999999999</v>
      </c>
      <c r="G25" s="36">
        <f>[1]コスト!$AA$115</f>
        <v>14436.1548</v>
      </c>
      <c r="H25" s="36">
        <f t="shared" ref="H25" si="58">G25</f>
        <v>14436.1548</v>
      </c>
      <c r="I25" s="36">
        <f>[1]コスト!$AA$91</f>
        <v>1430.9477999999999</v>
      </c>
      <c r="J25" s="36">
        <f t="shared" ref="J25" si="59">I25</f>
        <v>1430.9477999999999</v>
      </c>
      <c r="K25" s="36">
        <f>[1]コスト!$AA$41</f>
        <v>141</v>
      </c>
      <c r="L25" s="36">
        <f t="shared" ref="L25" si="60">K25</f>
        <v>141</v>
      </c>
      <c r="M25" s="12">
        <v>60</v>
      </c>
      <c r="N25" s="12">
        <v>113</v>
      </c>
    </row>
    <row r="26" spans="1:26" ht="45" customHeight="1" x14ac:dyDescent="0.25">
      <c r="A26" s="28">
        <v>44461</v>
      </c>
      <c r="B26" s="38"/>
      <c r="C26" s="36">
        <f>[1]コスト!$AB$147</f>
        <v>14944</v>
      </c>
      <c r="D26" s="36">
        <f t="shared" si="0"/>
        <v>14944</v>
      </c>
      <c r="E26" s="36">
        <f>[1]コスト!$AB$23</f>
        <v>148</v>
      </c>
      <c r="F26" s="36">
        <f t="shared" si="0"/>
        <v>148</v>
      </c>
      <c r="G26" s="36">
        <f>[1]コスト!$AB$115</f>
        <v>22794.879000000001</v>
      </c>
      <c r="H26" s="36">
        <f t="shared" ref="H26" si="61">G26</f>
        <v>22794.879000000001</v>
      </c>
      <c r="I26" s="36">
        <f>[1]コスト!$AB$91</f>
        <v>982.57859999999994</v>
      </c>
      <c r="J26" s="36">
        <f t="shared" ref="J26" si="62">I26</f>
        <v>982.57859999999994</v>
      </c>
      <c r="K26" s="36">
        <f>[1]コスト!$AB$41</f>
        <v>143</v>
      </c>
      <c r="L26" s="36">
        <f t="shared" ref="L26" si="63">K26</f>
        <v>143</v>
      </c>
      <c r="M26" s="12"/>
      <c r="N26" s="12"/>
    </row>
    <row r="27" spans="1:26" ht="45" customHeight="1" x14ac:dyDescent="0.25">
      <c r="A27" s="28">
        <v>44462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 x14ac:dyDescent="0.25">
      <c r="A28" s="28">
        <v>44463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 x14ac:dyDescent="0.25">
      <c r="A29" s="28">
        <v>44464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 x14ac:dyDescent="0.25">
      <c r="A30" s="28">
        <v>44465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 x14ac:dyDescent="0.25">
      <c r="A31" s="28">
        <v>44466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 x14ac:dyDescent="0.25">
      <c r="A32" s="28">
        <v>44467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 x14ac:dyDescent="0.25">
      <c r="A33" s="28">
        <v>44468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 x14ac:dyDescent="0.25">
      <c r="A34" s="28">
        <v>44469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 x14ac:dyDescent="0.25">
      <c r="A35" s="28">
        <v>44470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 x14ac:dyDescent="0.25">
      <c r="D36" s="30"/>
    </row>
    <row r="37" spans="1:14" x14ac:dyDescent="0.25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El Khoury</cp:lastModifiedBy>
  <cp:lastPrinted>2020-10-01T03:34:29Z</cp:lastPrinted>
  <dcterms:created xsi:type="dcterms:W3CDTF">2009-02-11T09:03:59Z</dcterms:created>
  <dcterms:modified xsi:type="dcterms:W3CDTF">2021-09-23T07:07:49Z</dcterms:modified>
</cp:coreProperties>
</file>