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6" activeTab="7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7" i="15"/>
  <c r="G28"/>
  <c r="G29"/>
  <c r="G30"/>
  <c r="AU28" i="1"/>
  <c r="AJ37" i="13"/>
  <c r="AF37"/>
  <c r="AG37"/>
  <c r="AH37"/>
  <c r="Y37"/>
  <c r="Z37" s="1"/>
  <c r="AA37" s="1"/>
  <c r="U37"/>
  <c r="V37" s="1"/>
  <c r="M37"/>
  <c r="Q37"/>
  <c r="R37"/>
  <c r="A37" i="12"/>
  <c r="G62" i="22"/>
  <c r="I62" s="1"/>
  <c r="D62"/>
  <c r="F62" s="1"/>
  <c r="B62"/>
  <c r="I61"/>
  <c r="G61"/>
  <c r="B61"/>
  <c r="D61" s="1"/>
  <c r="F61" s="1"/>
  <c r="G60"/>
  <c r="I60" s="1"/>
  <c r="B60"/>
  <c r="D60" s="1"/>
  <c r="F60" s="1"/>
  <c r="G59"/>
  <c r="I59" s="1"/>
  <c r="F59"/>
  <c r="D59"/>
  <c r="B59"/>
  <c r="K58"/>
  <c r="I58"/>
  <c r="G58"/>
  <c r="B58"/>
  <c r="D58" s="1"/>
  <c r="F58" s="1"/>
  <c r="I57"/>
  <c r="L57" s="1"/>
  <c r="G57"/>
  <c r="B57"/>
  <c r="D57" s="1"/>
  <c r="F57" s="1"/>
  <c r="G56"/>
  <c r="I56" s="1"/>
  <c r="F56"/>
  <c r="D56"/>
  <c r="B56"/>
  <c r="K55"/>
  <c r="I55"/>
  <c r="G55"/>
  <c r="F55"/>
  <c r="D55"/>
  <c r="L55" s="1"/>
  <c r="B55"/>
  <c r="I54"/>
  <c r="L54" s="1"/>
  <c r="G54"/>
  <c r="D54"/>
  <c r="F54" s="1"/>
  <c r="B54"/>
  <c r="I53"/>
  <c r="G53"/>
  <c r="B53"/>
  <c r="D53" s="1"/>
  <c r="F53" s="1"/>
  <c r="G52"/>
  <c r="I52" s="1"/>
  <c r="F52"/>
  <c r="D52"/>
  <c r="B52"/>
  <c r="K51"/>
  <c r="I51"/>
  <c r="L51" s="1"/>
  <c r="G51"/>
  <c r="D51"/>
  <c r="F51" s="1"/>
  <c r="B51"/>
  <c r="G50"/>
  <c r="I50" s="1"/>
  <c r="D50"/>
  <c r="F50" s="1"/>
  <c r="B50"/>
  <c r="G49"/>
  <c r="I49" s="1"/>
  <c r="B49"/>
  <c r="D49" s="1"/>
  <c r="F49" s="1"/>
  <c r="G48"/>
  <c r="I48" s="1"/>
  <c r="D48"/>
  <c r="F48" s="1"/>
  <c r="B48"/>
  <c r="I47"/>
  <c r="K47" s="1"/>
  <c r="G47"/>
  <c r="B47"/>
  <c r="D47" s="1"/>
  <c r="F47" s="1"/>
  <c r="K46"/>
  <c r="I46"/>
  <c r="G46"/>
  <c r="D46"/>
  <c r="F46" s="1"/>
  <c r="B46"/>
  <c r="I45"/>
  <c r="G45"/>
  <c r="B45"/>
  <c r="D45" s="1"/>
  <c r="F45" s="1"/>
  <c r="G44"/>
  <c r="I44" s="1"/>
  <c r="B44"/>
  <c r="D44" s="1"/>
  <c r="F44" s="1"/>
  <c r="G43"/>
  <c r="I43" s="1"/>
  <c r="F43"/>
  <c r="D43"/>
  <c r="B43"/>
  <c r="K42"/>
  <c r="I42"/>
  <c r="G42"/>
  <c r="B42"/>
  <c r="D42" s="1"/>
  <c r="F42" s="1"/>
  <c r="I41"/>
  <c r="L41" s="1"/>
  <c r="G41"/>
  <c r="B41"/>
  <c r="D41" s="1"/>
  <c r="F41" s="1"/>
  <c r="G40"/>
  <c r="I40" s="1"/>
  <c r="F40"/>
  <c r="D40"/>
  <c r="B40"/>
  <c r="L39"/>
  <c r="K39"/>
  <c r="I39"/>
  <c r="G39"/>
  <c r="F39"/>
  <c r="D39"/>
  <c r="B39"/>
  <c r="I38"/>
  <c r="L38" s="1"/>
  <c r="G38"/>
  <c r="D38"/>
  <c r="F38" s="1"/>
  <c r="B38"/>
  <c r="I37"/>
  <c r="G37"/>
  <c r="B37"/>
  <c r="D37" s="1"/>
  <c r="F37" s="1"/>
  <c r="G36"/>
  <c r="I36" s="1"/>
  <c r="D36"/>
  <c r="F36" s="1"/>
  <c r="B36"/>
  <c r="K35"/>
  <c r="I35"/>
  <c r="L35" s="1"/>
  <c r="G35"/>
  <c r="D35"/>
  <c r="F35" s="1"/>
  <c r="B35"/>
  <c r="G34"/>
  <c r="I34" s="1"/>
  <c r="D34"/>
  <c r="F34" s="1"/>
  <c r="B34"/>
  <c r="G33"/>
  <c r="I33" s="1"/>
  <c r="B33"/>
  <c r="D33" s="1"/>
  <c r="F33" s="1"/>
  <c r="G32"/>
  <c r="I32" s="1"/>
  <c r="D32"/>
  <c r="F32" s="1"/>
  <c r="B32"/>
  <c r="G31"/>
  <c r="I31" s="1"/>
  <c r="F31"/>
  <c r="D31"/>
  <c r="B31"/>
  <c r="I30"/>
  <c r="K30" s="1"/>
  <c r="G30"/>
  <c r="B30"/>
  <c r="D30" s="1"/>
  <c r="F30" s="1"/>
  <c r="I29"/>
  <c r="L29" s="1"/>
  <c r="G29"/>
  <c r="B29"/>
  <c r="D29" s="1"/>
  <c r="F29" s="1"/>
  <c r="G28"/>
  <c r="I28" s="1"/>
  <c r="F28"/>
  <c r="D28"/>
  <c r="B28"/>
  <c r="K27"/>
  <c r="I27"/>
  <c r="G27"/>
  <c r="D27"/>
  <c r="L27" s="1"/>
  <c r="B27"/>
  <c r="G26"/>
  <c r="I26" s="1"/>
  <c r="D26"/>
  <c r="F26" s="1"/>
  <c r="B26"/>
  <c r="G25"/>
  <c r="I25" s="1"/>
  <c r="B25"/>
  <c r="D25" s="1"/>
  <c r="F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G21"/>
  <c r="I21" s="1"/>
  <c r="B21"/>
  <c r="D21" s="1"/>
  <c r="F21" s="1"/>
  <c r="G20"/>
  <c r="I20" s="1"/>
  <c r="B20"/>
  <c r="D20" s="1"/>
  <c r="F20" s="1"/>
  <c r="G19"/>
  <c r="I19" s="1"/>
  <c r="B19"/>
  <c r="D19" s="1"/>
  <c r="F19" s="1"/>
  <c r="K18"/>
  <c r="I18"/>
  <c r="G18"/>
  <c r="B18"/>
  <c r="D18" s="1"/>
  <c r="F18" s="1"/>
  <c r="I17"/>
  <c r="G17"/>
  <c r="B17"/>
  <c r="D17" s="1"/>
  <c r="F17" s="1"/>
  <c r="G16"/>
  <c r="I16" s="1"/>
  <c r="B16"/>
  <c r="D16" s="1"/>
  <c r="F16" s="1"/>
  <c r="G15"/>
  <c r="I15" s="1"/>
  <c r="F15"/>
  <c r="D15"/>
  <c r="B15"/>
  <c r="I14"/>
  <c r="K14" s="1"/>
  <c r="G14"/>
  <c r="B14"/>
  <c r="D14" s="1"/>
  <c r="F14" s="1"/>
  <c r="I13"/>
  <c r="L13" s="1"/>
  <c r="G13"/>
  <c r="B13"/>
  <c r="D13" s="1"/>
  <c r="F13" s="1"/>
  <c r="G12"/>
  <c r="I12" s="1"/>
  <c r="F12"/>
  <c r="D12"/>
  <c r="B12"/>
  <c r="K11"/>
  <c r="I11"/>
  <c r="G11"/>
  <c r="F11"/>
  <c r="D11"/>
  <c r="L11" s="1"/>
  <c r="B11"/>
  <c r="I10"/>
  <c r="L10" s="1"/>
  <c r="G10"/>
  <c r="D10"/>
  <c r="F10" s="1"/>
  <c r="B10"/>
  <c r="I9"/>
  <c r="G9"/>
  <c r="B9"/>
  <c r="D9" s="1"/>
  <c r="F9" s="1"/>
  <c r="G8"/>
  <c r="I8" s="1"/>
  <c r="F8"/>
  <c r="D8"/>
  <c r="B8"/>
  <c r="K7"/>
  <c r="I7"/>
  <c r="L7" s="1"/>
  <c r="G7"/>
  <c r="D7"/>
  <c r="F7" s="1"/>
  <c r="B7"/>
  <c r="G6"/>
  <c r="I6" s="1"/>
  <c r="D6"/>
  <c r="F6" s="1"/>
  <c r="B6"/>
  <c r="G5"/>
  <c r="I5" s="1"/>
  <c r="K5" s="1"/>
  <c r="B5"/>
  <c r="D5" s="1"/>
  <c r="F5" s="1"/>
  <c r="G4"/>
  <c r="I4" s="1"/>
  <c r="D4"/>
  <c r="F4" s="1"/>
  <c r="B4"/>
  <c r="E63" i="20"/>
  <c r="G63" s="1"/>
  <c r="B63"/>
  <c r="D63" s="1"/>
  <c r="E62"/>
  <c r="G62" s="1"/>
  <c r="B62"/>
  <c r="D62" s="1"/>
  <c r="E61"/>
  <c r="G61" s="1"/>
  <c r="D61"/>
  <c r="B6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D56"/>
  <c r="B56"/>
  <c r="E55"/>
  <c r="G55" s="1"/>
  <c r="B55"/>
  <c r="D55" s="1"/>
  <c r="E54"/>
  <c r="G54" s="1"/>
  <c r="B54"/>
  <c r="D54" s="1"/>
  <c r="E53"/>
  <c r="G53" s="1"/>
  <c r="D53"/>
  <c r="B53"/>
  <c r="E52"/>
  <c r="G52" s="1"/>
  <c r="D52"/>
  <c r="B52"/>
  <c r="E51"/>
  <c r="G51" s="1"/>
  <c r="B51"/>
  <c r="D51" s="1"/>
  <c r="E50"/>
  <c r="G50" s="1"/>
  <c r="B50"/>
  <c r="D50" s="1"/>
  <c r="E49"/>
  <c r="G49" s="1"/>
  <c r="D49"/>
  <c r="B49"/>
  <c r="E48"/>
  <c r="G48" s="1"/>
  <c r="D48"/>
  <c r="B48"/>
  <c r="E47"/>
  <c r="G47" s="1"/>
  <c r="B47"/>
  <c r="D47" s="1"/>
  <c r="E46"/>
  <c r="G46" s="1"/>
  <c r="B46"/>
  <c r="D46" s="1"/>
  <c r="E45"/>
  <c r="G45" s="1"/>
  <c r="D45"/>
  <c r="B45"/>
  <c r="E44"/>
  <c r="G44" s="1"/>
  <c r="D44"/>
  <c r="B44"/>
  <c r="E43"/>
  <c r="G43" s="1"/>
  <c r="B43"/>
  <c r="D43" s="1"/>
  <c r="E42"/>
  <c r="G42" s="1"/>
  <c r="B42"/>
  <c r="D42" s="1"/>
  <c r="E41"/>
  <c r="G41" s="1"/>
  <c r="D41"/>
  <c r="B41"/>
  <c r="E40"/>
  <c r="G40" s="1"/>
  <c r="D40"/>
  <c r="B40"/>
  <c r="E39"/>
  <c r="G39" s="1"/>
  <c r="B39"/>
  <c r="D39" s="1"/>
  <c r="E38"/>
  <c r="G38" s="1"/>
  <c r="B38"/>
  <c r="D38" s="1"/>
  <c r="E37"/>
  <c r="G37" s="1"/>
  <c r="D37"/>
  <c r="B37"/>
  <c r="E36"/>
  <c r="G36" s="1"/>
  <c r="D36"/>
  <c r="B36"/>
  <c r="E35"/>
  <c r="G35" s="1"/>
  <c r="B35"/>
  <c r="D35" s="1"/>
  <c r="E34"/>
  <c r="G34" s="1"/>
  <c r="B34"/>
  <c r="D34" s="1"/>
  <c r="E33"/>
  <c r="G33" s="1"/>
  <c r="D33"/>
  <c r="B33"/>
  <c r="E32"/>
  <c r="G32" s="1"/>
  <c r="D32"/>
  <c r="B32"/>
  <c r="E31"/>
  <c r="G31" s="1"/>
  <c r="B31"/>
  <c r="D31" s="1"/>
  <c r="E30"/>
  <c r="G30" s="1"/>
  <c r="B30"/>
  <c r="D30" s="1"/>
  <c r="E29"/>
  <c r="G29" s="1"/>
  <c r="D29"/>
  <c r="B29"/>
  <c r="E28"/>
  <c r="G28" s="1"/>
  <c r="D28"/>
  <c r="B28"/>
  <c r="E27"/>
  <c r="G27" s="1"/>
  <c r="B27"/>
  <c r="D27" s="1"/>
  <c r="E26"/>
  <c r="G26" s="1"/>
  <c r="B26"/>
  <c r="D26" s="1"/>
  <c r="E25"/>
  <c r="G25" s="1"/>
  <c r="D25"/>
  <c r="B25"/>
  <c r="E24"/>
  <c r="G24" s="1"/>
  <c r="D24"/>
  <c r="B24"/>
  <c r="E23"/>
  <c r="G23" s="1"/>
  <c r="B23"/>
  <c r="D23" s="1"/>
  <c r="E22"/>
  <c r="G22" s="1"/>
  <c r="B22"/>
  <c r="D22" s="1"/>
  <c r="E21"/>
  <c r="G21" s="1"/>
  <c r="D21"/>
  <c r="B21"/>
  <c r="E20"/>
  <c r="G20" s="1"/>
  <c r="D20"/>
  <c r="B20"/>
  <c r="E19"/>
  <c r="G19" s="1"/>
  <c r="B19"/>
  <c r="D19" s="1"/>
  <c r="E18"/>
  <c r="G18" s="1"/>
  <c r="B18"/>
  <c r="D18" s="1"/>
  <c r="E17"/>
  <c r="G17" s="1"/>
  <c r="D17"/>
  <c r="B17"/>
  <c r="E16"/>
  <c r="G16" s="1"/>
  <c r="D16"/>
  <c r="B16"/>
  <c r="E15"/>
  <c r="G15" s="1"/>
  <c r="B15"/>
  <c r="D15" s="1"/>
  <c r="E14"/>
  <c r="G14" s="1"/>
  <c r="B14"/>
  <c r="D14" s="1"/>
  <c r="E13"/>
  <c r="G13" s="1"/>
  <c r="D13"/>
  <c r="B13"/>
  <c r="E12"/>
  <c r="G12" s="1"/>
  <c r="D12"/>
  <c r="B12"/>
  <c r="E11"/>
  <c r="G11" s="1"/>
  <c r="B11"/>
  <c r="D11" s="1"/>
  <c r="E10"/>
  <c r="G10" s="1"/>
  <c r="B10"/>
  <c r="D10" s="1"/>
  <c r="E9"/>
  <c r="G9" s="1"/>
  <c r="D9"/>
  <c r="B9"/>
  <c r="E8"/>
  <c r="G8" s="1"/>
  <c r="D8"/>
  <c r="B8"/>
  <c r="E7"/>
  <c r="G7" s="1"/>
  <c r="B7"/>
  <c r="D7" s="1"/>
  <c r="E6"/>
  <c r="G6" s="1"/>
  <c r="B6"/>
  <c r="D6" s="1"/>
  <c r="E5"/>
  <c r="G5" s="1"/>
  <c r="D5"/>
  <c r="B5"/>
  <c r="E15" i="14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AC5" i="13"/>
  <c r="B32" i="26"/>
  <c r="F24" i="23"/>
  <c r="G24"/>
  <c r="H24"/>
  <c r="I24"/>
  <c r="J24"/>
  <c r="F25"/>
  <c r="G25"/>
  <c r="H25"/>
  <c r="I25"/>
  <c r="J25"/>
  <c r="F26"/>
  <c r="G26"/>
  <c r="H26"/>
  <c r="I26"/>
  <c r="J26"/>
  <c r="F27"/>
  <c r="G27"/>
  <c r="H27"/>
  <c r="I27"/>
  <c r="J27"/>
  <c r="F28"/>
  <c r="G28"/>
  <c r="H28"/>
  <c r="I28"/>
  <c r="J28"/>
  <c r="F29"/>
  <c r="G29"/>
  <c r="H29"/>
  <c r="I29"/>
  <c r="J29"/>
  <c r="F30"/>
  <c r="G30"/>
  <c r="H30"/>
  <c r="I30"/>
  <c r="J30"/>
  <c r="F31"/>
  <c r="G31"/>
  <c r="H31"/>
  <c r="I31"/>
  <c r="J31"/>
  <c r="F32"/>
  <c r="G32"/>
  <c r="H32"/>
  <c r="I32"/>
  <c r="J32"/>
  <c r="F33"/>
  <c r="G33"/>
  <c r="H33"/>
  <c r="I33"/>
  <c r="J33"/>
  <c r="F34"/>
  <c r="G34"/>
  <c r="H34"/>
  <c r="I34"/>
  <c r="J34"/>
  <c r="F35"/>
  <c r="G35"/>
  <c r="H35"/>
  <c r="I35"/>
  <c r="J35"/>
  <c r="F36"/>
  <c r="H36"/>
  <c r="J36"/>
  <c r="D35"/>
  <c r="D36"/>
  <c r="C19"/>
  <c r="C23"/>
  <c r="C24"/>
  <c r="C25"/>
  <c r="C26"/>
  <c r="C27"/>
  <c r="C28"/>
  <c r="C29"/>
  <c r="C30"/>
  <c r="C31"/>
  <c r="C32"/>
  <c r="C33"/>
  <c r="C34"/>
  <c r="C35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E32" i="26"/>
  <c r="F32"/>
  <c r="G32"/>
  <c r="I32"/>
  <c r="K32"/>
  <c r="D46" i="3"/>
  <c r="F46"/>
  <c r="H46"/>
  <c r="J46"/>
  <c r="B13" i="14"/>
  <c r="B14"/>
  <c r="B15"/>
  <c r="B16"/>
  <c r="L19" i="22" l="1"/>
  <c r="K19"/>
  <c r="L50"/>
  <c r="K50"/>
  <c r="L22"/>
  <c r="K22"/>
  <c r="L43"/>
  <c r="K43"/>
  <c r="L26"/>
  <c r="K26"/>
  <c r="L6"/>
  <c r="K6"/>
  <c r="K15"/>
  <c r="L15"/>
  <c r="K31"/>
  <c r="L31"/>
  <c r="L34"/>
  <c r="K34"/>
  <c r="L59"/>
  <c r="K59"/>
  <c r="L17"/>
  <c r="L46"/>
  <c r="L47"/>
  <c r="L61"/>
  <c r="K10"/>
  <c r="L23"/>
  <c r="K38"/>
  <c r="K54"/>
  <c r="F27"/>
  <c r="L14"/>
  <c r="L30"/>
  <c r="L42"/>
  <c r="L58"/>
  <c r="L18"/>
  <c r="L45"/>
  <c r="L8"/>
  <c r="K8"/>
  <c r="K24"/>
  <c r="L24"/>
  <c r="K36"/>
  <c r="L36"/>
  <c r="K52"/>
  <c r="L52"/>
  <c r="K62"/>
  <c r="L62"/>
  <c r="L21"/>
  <c r="L33"/>
  <c r="L49"/>
  <c r="L12"/>
  <c r="K12"/>
  <c r="K28"/>
  <c r="L28"/>
  <c r="K40"/>
  <c r="L40"/>
  <c r="K56"/>
  <c r="L56"/>
  <c r="L9"/>
  <c r="L25"/>
  <c r="L37"/>
  <c r="L53"/>
  <c r="K16"/>
  <c r="L16"/>
  <c r="K44"/>
  <c r="L44"/>
  <c r="K60"/>
  <c r="L60"/>
  <c r="L4"/>
  <c r="K4"/>
  <c r="K20"/>
  <c r="L20"/>
  <c r="K32"/>
  <c r="L32"/>
  <c r="K48"/>
  <c r="L48"/>
  <c r="L5"/>
  <c r="K9"/>
  <c r="K13"/>
  <c r="K17"/>
  <c r="K21"/>
  <c r="K25"/>
  <c r="K29"/>
  <c r="K33"/>
  <c r="K37"/>
  <c r="K41"/>
  <c r="K45"/>
  <c r="K49"/>
  <c r="K53"/>
  <c r="K57"/>
  <c r="K6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G74" i="22"/>
  <c r="I74" s="1"/>
  <c r="D74"/>
  <c r="F74" s="1"/>
  <c r="B74"/>
  <c r="G73"/>
  <c r="I73" s="1"/>
  <c r="K73" s="1"/>
  <c r="B73"/>
  <c r="D73" s="1"/>
  <c r="G72"/>
  <c r="I72" s="1"/>
  <c r="B72"/>
  <c r="D72" s="1"/>
  <c r="F72" s="1"/>
  <c r="I71"/>
  <c r="K71" s="1"/>
  <c r="G71"/>
  <c r="B71"/>
  <c r="D71" s="1"/>
  <c r="F71" s="1"/>
  <c r="G70"/>
  <c r="I70" s="1"/>
  <c r="D70"/>
  <c r="F70" s="1"/>
  <c r="B70"/>
  <c r="G69"/>
  <c r="I69" s="1"/>
  <c r="K69" s="1"/>
  <c r="B69"/>
  <c r="D69" s="1"/>
  <c r="G68"/>
  <c r="I68" s="1"/>
  <c r="B68"/>
  <c r="D68" s="1"/>
  <c r="F68" s="1"/>
  <c r="I67"/>
  <c r="K67" s="1"/>
  <c r="G67"/>
  <c r="B67"/>
  <c r="D67" s="1"/>
  <c r="F67" s="1"/>
  <c r="G66"/>
  <c r="I66" s="1"/>
  <c r="D66"/>
  <c r="F66" s="1"/>
  <c r="B66"/>
  <c r="G65"/>
  <c r="I65" s="1"/>
  <c r="K65" s="1"/>
  <c r="B65"/>
  <c r="D65" s="1"/>
  <c r="G64"/>
  <c r="I64" s="1"/>
  <c r="B64"/>
  <c r="D64" s="1"/>
  <c r="F64" s="1"/>
  <c r="G63"/>
  <c r="I63" s="1"/>
  <c r="K63" s="1"/>
  <c r="B63"/>
  <c r="D63" s="1"/>
  <c r="F63" s="1"/>
  <c r="L73" l="1"/>
  <c r="F73"/>
  <c r="K66"/>
  <c r="L66"/>
  <c r="K70"/>
  <c r="L70"/>
  <c r="K74"/>
  <c r="L74"/>
  <c r="L65"/>
  <c r="F65"/>
  <c r="L69"/>
  <c r="F69"/>
  <c r="L64"/>
  <c r="K64"/>
  <c r="L68"/>
  <c r="K68"/>
  <c r="L72"/>
  <c r="K72"/>
  <c r="L63"/>
  <c r="L67"/>
  <c r="L71"/>
  <c r="G10" i="15" l="1"/>
  <c r="G11"/>
  <c r="G12"/>
  <c r="G13"/>
  <c r="G14"/>
  <c r="AJ7" i="3" l="1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O4" i="18" l="1"/>
  <c r="O5"/>
  <c r="Q6" s="1"/>
  <c r="O6"/>
  <c r="Q7" s="1"/>
  <c r="O7"/>
  <c r="Q8" s="1"/>
  <c r="O8"/>
  <c r="O9"/>
  <c r="Q10" s="1"/>
  <c r="O10"/>
  <c r="Q11" s="1"/>
  <c r="O11"/>
  <c r="Q12" s="1"/>
  <c r="O12"/>
  <c r="O13"/>
  <c r="O14"/>
  <c r="Q15" s="1"/>
  <c r="O15"/>
  <c r="Q16" s="1"/>
  <c r="O16"/>
  <c r="O17"/>
  <c r="O18"/>
  <c r="Q19" s="1"/>
  <c r="O19"/>
  <c r="Q20" s="1"/>
  <c r="O20"/>
  <c r="O21"/>
  <c r="O22"/>
  <c r="O23"/>
  <c r="O24"/>
  <c r="O25"/>
  <c r="O26"/>
  <c r="O27"/>
  <c r="O28"/>
  <c r="O29"/>
  <c r="O30"/>
  <c r="O31"/>
  <c r="O32"/>
  <c r="O33"/>
  <c r="O34"/>
  <c r="O3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F23" i="10"/>
  <c r="F24"/>
  <c r="F25"/>
  <c r="F26"/>
  <c r="F27"/>
  <c r="F28"/>
  <c r="F29"/>
  <c r="F30"/>
  <c r="F31"/>
  <c r="F32"/>
  <c r="F33"/>
  <c r="F34"/>
  <c r="F3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24"/>
  <c r="K25"/>
  <c r="K26"/>
  <c r="K27"/>
  <c r="K28"/>
  <c r="K29"/>
  <c r="K30"/>
  <c r="K31"/>
  <c r="K32"/>
  <c r="K33"/>
  <c r="K34"/>
  <c r="K35"/>
  <c r="A3" i="18"/>
  <c r="Q5"/>
  <c r="Q9"/>
  <c r="Q13"/>
  <c r="Q14"/>
  <c r="Q17"/>
  <c r="Q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N6" l="1"/>
  <c r="F31"/>
  <c r="T12" i="1"/>
  <c r="G6" i="10" s="1"/>
  <c r="T13" i="1"/>
  <c r="G7" i="10" s="1"/>
  <c r="T14" i="1"/>
  <c r="G8" i="10" s="1"/>
  <c r="T15" i="1"/>
  <c r="G9" i="10" s="1"/>
  <c r="T16" i="1"/>
  <c r="G10" i="10" s="1"/>
  <c r="T17" i="1"/>
  <c r="G11" i="10" s="1"/>
  <c r="T18" i="1"/>
  <c r="G12" i="10" s="1"/>
  <c r="T19" i="1"/>
  <c r="G13" i="10" s="1"/>
  <c r="T20" i="1"/>
  <c r="G14" i="10" s="1"/>
  <c r="T21" i="1"/>
  <c r="T22"/>
  <c r="T23"/>
  <c r="T24"/>
  <c r="T25"/>
  <c r="T26"/>
  <c r="T27"/>
  <c r="T28"/>
  <c r="T29"/>
  <c r="T30"/>
  <c r="T31"/>
  <c r="T32"/>
  <c r="T33"/>
  <c r="T34"/>
  <c r="T35"/>
  <c r="T36"/>
  <c r="T37"/>
  <c r="T38"/>
  <c r="T39"/>
  <c r="T40"/>
  <c r="T41"/>
  <c r="G35" i="10" s="1"/>
  <c r="T42" i="1"/>
  <c r="T43"/>
  <c r="T44"/>
  <c r="G34" i="15"/>
  <c r="G35"/>
  <c r="U36" i="1"/>
  <c r="U35"/>
  <c r="F30" i="3"/>
  <c r="G32" i="15"/>
  <c r="F29" i="3"/>
  <c r="G33" i="10" l="1"/>
  <c r="D33" i="23"/>
  <c r="G29" i="10"/>
  <c r="D29" i="23"/>
  <c r="G25" i="10"/>
  <c r="D25" i="23"/>
  <c r="G21" i="10"/>
  <c r="D21" i="23"/>
  <c r="G17" i="10"/>
  <c r="D17" i="23"/>
  <c r="G34" i="10"/>
  <c r="D34" i="23"/>
  <c r="G30" i="10"/>
  <c r="D30" i="23"/>
  <c r="G26" i="10"/>
  <c r="D26" i="23"/>
  <c r="G22" i="10"/>
  <c r="D22" i="23"/>
  <c r="G18" i="10"/>
  <c r="D18" i="23"/>
  <c r="G31" i="10"/>
  <c r="D31" i="23"/>
  <c r="G27" i="10"/>
  <c r="D27" i="23"/>
  <c r="G23" i="10"/>
  <c r="D23" i="23"/>
  <c r="G19" i="10"/>
  <c r="D19" i="23"/>
  <c r="G32" i="10"/>
  <c r="D32" i="23"/>
  <c r="G28" i="10"/>
  <c r="D28" i="23"/>
  <c r="G24" i="10"/>
  <c r="D24" i="23"/>
  <c r="G20" i="10"/>
  <c r="D20" i="23"/>
  <c r="G16" i="10"/>
  <c r="D16" i="23"/>
  <c r="G15" i="10"/>
  <c r="D15" i="23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H27" l="1"/>
  <c r="AE13"/>
  <c r="AC4" i="18"/>
  <c r="Q21"/>
  <c r="Q22"/>
  <c r="Q23"/>
  <c r="Q24"/>
  <c r="Q25"/>
  <c r="Q26"/>
  <c r="Q27"/>
  <c r="Q28"/>
  <c r="Q29"/>
  <c r="Q30"/>
  <c r="Q31"/>
  <c r="Q32"/>
  <c r="Q33"/>
  <c r="Q34"/>
  <c r="Q35"/>
  <c r="Q4"/>
  <c r="AB6" i="3"/>
  <c r="AB7" l="1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C14" s="1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5" i="20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U22" i="13"/>
  <c r="U23"/>
  <c r="AK44" i="1"/>
  <c r="AS44" s="1"/>
  <c r="AT44" s="1"/>
  <c r="K18" i="14" l="1"/>
  <c r="K19"/>
  <c r="K20"/>
  <c r="D58" i="3"/>
  <c r="N17" i="12"/>
  <c r="P17" s="1"/>
  <c r="E16" i="3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6"/>
  <c r="D57"/>
  <c r="D59"/>
  <c r="D60"/>
  <c r="D61"/>
  <c r="D62"/>
  <c r="D63"/>
  <c r="D64"/>
  <c r="D65"/>
  <c r="D66"/>
  <c r="D67"/>
  <c r="D68"/>
  <c r="D69"/>
  <c r="D70"/>
  <c r="D71"/>
  <c r="D72"/>
  <c r="K15" i="10" l="1"/>
  <c r="F15" i="23"/>
  <c r="S14" i="18"/>
  <c r="S12"/>
  <c r="S9"/>
  <c r="S10"/>
  <c r="S8"/>
  <c r="S7"/>
  <c r="A6" i="14" l="1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S15" l="1"/>
  <c r="S34"/>
  <c r="K9" i="12"/>
  <c r="M9" s="1"/>
  <c r="AK15" i="1"/>
  <c r="AK16"/>
  <c r="AK13"/>
  <c r="AK14"/>
  <c r="C9" i="23" l="1"/>
  <c r="K10" i="13"/>
  <c r="E10" i="14"/>
  <c r="C10" i="23"/>
  <c r="K11" i="13"/>
  <c r="E11" i="14"/>
  <c r="C7" i="23"/>
  <c r="K8" i="13"/>
  <c r="E8" i="14"/>
  <c r="C8" i="23"/>
  <c r="K9" i="13"/>
  <c r="E9" i="14"/>
  <c r="S6" i="18"/>
  <c r="L6" i="10"/>
  <c r="S5" i="18"/>
  <c r="T11" i="1"/>
  <c r="G5" i="10" s="1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T46" i="1"/>
  <c r="E34" i="24"/>
  <c r="S35" i="18"/>
  <c r="I45" i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AK11"/>
  <c r="U12"/>
  <c r="AK12"/>
  <c r="U13"/>
  <c r="AS13"/>
  <c r="U14"/>
  <c r="U15"/>
  <c r="F9" i="10" s="1"/>
  <c r="U16" i="1"/>
  <c r="AS16"/>
  <c r="U17"/>
  <c r="F11" i="10" s="1"/>
  <c r="AK17" i="1"/>
  <c r="U18"/>
  <c r="F12" i="10" s="1"/>
  <c r="AK18" i="1"/>
  <c r="U19"/>
  <c r="AK19"/>
  <c r="U20"/>
  <c r="F14" i="10" s="1"/>
  <c r="AK20" i="1"/>
  <c r="C14" i="23" s="1"/>
  <c r="U21" i="1"/>
  <c r="F15" i="10" s="1"/>
  <c r="AK21" i="1"/>
  <c r="U22"/>
  <c r="F16" i="10" s="1"/>
  <c r="AK22" i="1"/>
  <c r="C16" i="23" s="1"/>
  <c r="U23" i="1"/>
  <c r="AK23"/>
  <c r="C17" i="23" s="1"/>
  <c r="U24" i="1"/>
  <c r="F18" i="10" s="1"/>
  <c r="AK24" i="1"/>
  <c r="C18" i="23" s="1"/>
  <c r="U25" i="1"/>
  <c r="F19" i="10" s="1"/>
  <c r="AK25" i="1"/>
  <c r="U26"/>
  <c r="F20" i="10" s="1"/>
  <c r="AK26" i="1"/>
  <c r="C20" i="23" s="1"/>
  <c r="U27" i="1"/>
  <c r="AK27"/>
  <c r="C21" i="23" s="1"/>
  <c r="U28" i="1"/>
  <c r="F22" i="10" s="1"/>
  <c r="AK28" i="1"/>
  <c r="C22" i="23" s="1"/>
  <c r="U29" i="1"/>
  <c r="V29" s="1"/>
  <c r="AK29"/>
  <c r="U30"/>
  <c r="V30" s="1"/>
  <c r="AK30"/>
  <c r="U31"/>
  <c r="V31" s="1"/>
  <c r="AK31"/>
  <c r="U32"/>
  <c r="V32" s="1"/>
  <c r="AK32"/>
  <c r="U33"/>
  <c r="V33" s="1"/>
  <c r="AK33"/>
  <c r="U34"/>
  <c r="V34" s="1"/>
  <c r="AK34"/>
  <c r="AK35"/>
  <c r="AK36"/>
  <c r="U37"/>
  <c r="V37" s="1"/>
  <c r="AK37"/>
  <c r="U38"/>
  <c r="V38" s="1"/>
  <c r="AK38"/>
  <c r="U39"/>
  <c r="AK39"/>
  <c r="U40"/>
  <c r="AK40"/>
  <c r="U41"/>
  <c r="AK41"/>
  <c r="U42"/>
  <c r="F34" i="24" s="1"/>
  <c r="AK42" i="1"/>
  <c r="I34" i="24" s="1"/>
  <c r="U43" i="1"/>
  <c r="AK43"/>
  <c r="W45"/>
  <c r="X45"/>
  <c r="Y45"/>
  <c r="Z45"/>
  <c r="AA45"/>
  <c r="AB45"/>
  <c r="AC45"/>
  <c r="AD45"/>
  <c r="AE45"/>
  <c r="AF45"/>
  <c r="AG45"/>
  <c r="AH45"/>
  <c r="AI45"/>
  <c r="AJ45"/>
  <c r="V27" l="1"/>
  <c r="F21" i="10"/>
  <c r="C15" i="23"/>
  <c r="E16" i="14"/>
  <c r="C13" i="23"/>
  <c r="E14" i="14"/>
  <c r="K7" i="13"/>
  <c r="E7" i="14"/>
  <c r="C12" i="23"/>
  <c r="K13" i="13"/>
  <c r="E13" i="14"/>
  <c r="AT16" i="1"/>
  <c r="F11" i="14"/>
  <c r="AT13" i="1"/>
  <c r="F8" i="14"/>
  <c r="K6" i="13"/>
  <c r="E6" i="14"/>
  <c r="E12"/>
  <c r="K12" i="13"/>
  <c r="V23" i="1"/>
  <c r="F17" i="10"/>
  <c r="V19" i="1"/>
  <c r="F13" i="10"/>
  <c r="V16" i="1"/>
  <c r="F10" i="10"/>
  <c r="V14" i="1"/>
  <c r="F8" i="10"/>
  <c r="V13" i="1"/>
  <c r="F7" i="10"/>
  <c r="V12" i="1"/>
  <c r="F6" i="10"/>
  <c r="V11" i="1"/>
  <c r="F5" i="10"/>
  <c r="AS40" i="1"/>
  <c r="AS21"/>
  <c r="AS36"/>
  <c r="AS29"/>
  <c r="AT29" s="1"/>
  <c r="AS17"/>
  <c r="C11" i="23"/>
  <c r="AS12" i="1"/>
  <c r="C6" i="23"/>
  <c r="U45" i="1"/>
  <c r="AS32"/>
  <c r="AT32" s="1"/>
  <c r="AS31"/>
  <c r="AT31" s="1"/>
  <c r="AS30"/>
  <c r="AT30" s="1"/>
  <c r="AS11"/>
  <c r="AS41"/>
  <c r="V40"/>
  <c r="AS33"/>
  <c r="AS35"/>
  <c r="AS25"/>
  <c r="AT25" s="1"/>
  <c r="AS42"/>
  <c r="AT42" s="1"/>
  <c r="AS38"/>
  <c r="V36"/>
  <c r="AS34"/>
  <c r="V28"/>
  <c r="AS26"/>
  <c r="AT26" s="1"/>
  <c r="V24"/>
  <c r="AS22"/>
  <c r="AT22" s="1"/>
  <c r="V20"/>
  <c r="AS18"/>
  <c r="AS14"/>
  <c r="V15"/>
  <c r="AS15"/>
  <c r="V39"/>
  <c r="AS39"/>
  <c r="AS43"/>
  <c r="AT43" s="1"/>
  <c r="V41"/>
  <c r="AS37"/>
  <c r="V35"/>
  <c r="AS20"/>
  <c r="AS19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AT21" l="1"/>
  <c r="F16" i="14"/>
  <c r="AT20" i="1"/>
  <c r="F15" i="14"/>
  <c r="AT15" i="1"/>
  <c r="F10" i="14"/>
  <c r="AT18" i="1"/>
  <c r="F13" i="14"/>
  <c r="AT19" i="1"/>
  <c r="F14" i="14"/>
  <c r="AT12" i="1"/>
  <c r="F7" i="14"/>
  <c r="AT14" i="1"/>
  <c r="F9" i="14"/>
  <c r="AT11" i="1"/>
  <c r="F6" i="14"/>
  <c r="AT17" i="1"/>
  <c r="F12" i="14"/>
  <c r="V45" i="1"/>
  <c r="AS45"/>
  <c r="AS47" s="1"/>
  <c r="AS48" s="1"/>
  <c r="E14" i="3"/>
  <c r="K13" i="10" s="1"/>
  <c r="E15" i="3"/>
  <c r="K14" i="10" s="1"/>
  <c r="J50" i="3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G16"/>
  <c r="G17"/>
  <c r="G18"/>
  <c r="G19"/>
  <c r="G20"/>
  <c r="G21"/>
  <c r="G22"/>
  <c r="G23"/>
  <c r="G24"/>
  <c r="G25"/>
  <c r="G26"/>
  <c r="L24" i="10"/>
  <c r="G31" i="15"/>
  <c r="G33"/>
  <c r="G36"/>
  <c r="G37"/>
  <c r="G38"/>
  <c r="G39"/>
  <c r="G40"/>
  <c r="J27" l="1"/>
  <c r="L22" i="10"/>
  <c r="J28" i="15"/>
  <c r="L23" i="10"/>
  <c r="J26" i="15"/>
  <c r="L21" i="10"/>
  <c r="J25" i="15"/>
  <c r="L20" i="10"/>
  <c r="J22" i="15"/>
  <c r="L17" i="10"/>
  <c r="J21" i="15"/>
  <c r="L16" i="10"/>
  <c r="J19" i="15"/>
  <c r="L14" i="10"/>
  <c r="J20" i="15"/>
  <c r="L15" i="10"/>
  <c r="J18" i="15"/>
  <c r="L13" i="10"/>
  <c r="J17" i="15"/>
  <c r="L12" i="10"/>
  <c r="J16" i="15"/>
  <c r="L11" i="10"/>
  <c r="J15" i="15"/>
  <c r="L10" i="10"/>
  <c r="J23" i="15"/>
  <c r="L18" i="10"/>
  <c r="J24" i="15"/>
  <c r="L19" i="10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F8" i="23" l="1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26" l="1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Q26"/>
  <c r="R26" s="1"/>
  <c r="U26"/>
  <c r="V26" s="1"/>
  <c r="Y26"/>
  <c r="Z26" s="1"/>
  <c r="AA26" s="1"/>
  <c r="AC26"/>
  <c r="Q27"/>
  <c r="R27" s="1"/>
  <c r="U27"/>
  <c r="V27" s="1"/>
  <c r="Y27"/>
  <c r="Z27" s="1"/>
  <c r="AA27" s="1"/>
  <c r="AC27"/>
  <c r="Q28"/>
  <c r="R28" s="1"/>
  <c r="U28"/>
  <c r="V28" s="1"/>
  <c r="Y28"/>
  <c r="Z28" s="1"/>
  <c r="AA28" s="1"/>
  <c r="AC28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23" l="1"/>
  <c r="K23" i="10"/>
  <c r="F22" i="23"/>
  <c r="K22" i="10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AN31"/>
  <c r="AN30"/>
  <c r="G34" i="24"/>
  <c r="C43" i="1"/>
  <c r="AC23" i="12" l="1"/>
  <c r="AC18"/>
  <c r="AC19"/>
  <c r="AC20"/>
  <c r="AC21"/>
  <c r="AC22"/>
  <c r="AC15"/>
  <c r="D14" i="23"/>
  <c r="AC13" i="12"/>
  <c r="D12" i="23"/>
  <c r="AC14" i="12"/>
  <c r="D13" i="23"/>
  <c r="AC16" i="12"/>
  <c r="AC17"/>
  <c r="AC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D35"/>
  <c r="B35"/>
  <c r="H35" s="1"/>
  <c r="M35" s="1"/>
  <c r="T35" s="1"/>
  <c r="Y35" s="1"/>
  <c r="A35"/>
  <c r="V34"/>
  <c r="D34"/>
  <c r="F34" s="1"/>
  <c r="H34"/>
  <c r="M34" s="1"/>
  <c r="T34" s="1"/>
  <c r="Y34" s="1"/>
  <c r="V33"/>
  <c r="D33"/>
  <c r="F33" s="1"/>
  <c r="V32"/>
  <c r="D32"/>
  <c r="F32" s="1"/>
  <c r="V31"/>
  <c r="D31"/>
  <c r="F31" s="1"/>
  <c r="V30"/>
  <c r="X30" s="1"/>
  <c r="D30"/>
  <c r="F30" s="1"/>
  <c r="V29"/>
  <c r="X29" s="1"/>
  <c r="D29"/>
  <c r="F29" s="1"/>
  <c r="V28"/>
  <c r="X28" s="1"/>
  <c r="D28"/>
  <c r="F28" s="1"/>
  <c r="V27"/>
  <c r="X27" s="1"/>
  <c r="D27"/>
  <c r="F27" s="1"/>
  <c r="V26"/>
  <c r="D26"/>
  <c r="F26" s="1"/>
  <c r="V25"/>
  <c r="D25"/>
  <c r="F25" s="1"/>
  <c r="Y24"/>
  <c r="V24"/>
  <c r="D24"/>
  <c r="F24" s="1"/>
  <c r="V23"/>
  <c r="D23"/>
  <c r="F23" s="1"/>
  <c r="H23"/>
  <c r="M23" s="1"/>
  <c r="T23" s="1"/>
  <c r="Y23" s="1"/>
  <c r="V22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D8"/>
  <c r="F8" s="1"/>
  <c r="V7"/>
  <c r="D7"/>
  <c r="F7" s="1"/>
  <c r="H7"/>
  <c r="M7" s="1"/>
  <c r="T7" s="1"/>
  <c r="Y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S36"/>
  <c r="N32" i="25"/>
  <c r="O36" i="3"/>
  <c r="L36"/>
  <c r="L32" i="25"/>
  <c r="I36" i="3"/>
  <c r="M32" i="25"/>
  <c r="F36" i="3"/>
  <c r="C36"/>
  <c r="AK35"/>
  <c r="AE35"/>
  <c r="Y35"/>
  <c r="V35"/>
  <c r="AN35"/>
  <c r="S35"/>
  <c r="N31" i="25"/>
  <c r="O35" i="3"/>
  <c r="L35"/>
  <c r="L31" i="25"/>
  <c r="I35" i="3"/>
  <c r="M31" i="25"/>
  <c r="F35" i="3"/>
  <c r="C35"/>
  <c r="AK34"/>
  <c r="AE34"/>
  <c r="Y34"/>
  <c r="V34"/>
  <c r="AN34"/>
  <c r="S34"/>
  <c r="N30" i="25"/>
  <c r="O34" i="3"/>
  <c r="L34"/>
  <c r="L30" i="25"/>
  <c r="I34" i="3"/>
  <c r="M30" i="25"/>
  <c r="F34" i="3"/>
  <c r="C34"/>
  <c r="AK33"/>
  <c r="AE33"/>
  <c r="Y33"/>
  <c r="V33"/>
  <c r="AN33"/>
  <c r="S33"/>
  <c r="N29" i="25"/>
  <c r="O33" i="3"/>
  <c r="L33"/>
  <c r="L29" i="25"/>
  <c r="I33" i="3"/>
  <c r="M29" i="25"/>
  <c r="F33" i="3"/>
  <c r="C33"/>
  <c r="AK32"/>
  <c r="AE32"/>
  <c r="Y32"/>
  <c r="V32"/>
  <c r="AN32"/>
  <c r="S32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S28"/>
  <c r="N24" i="25"/>
  <c r="O28" i="3"/>
  <c r="L28"/>
  <c r="L24" i="25"/>
  <c r="I28" i="3"/>
  <c r="M24" i="25"/>
  <c r="C28" i="3"/>
  <c r="AK27"/>
  <c r="AE27"/>
  <c r="Y27"/>
  <c r="V27"/>
  <c r="AN27"/>
  <c r="S27"/>
  <c r="N23" i="25"/>
  <c r="O27" i="3"/>
  <c r="L27"/>
  <c r="L23" i="25"/>
  <c r="I27" i="3"/>
  <c r="M23" i="25"/>
  <c r="C27" i="3"/>
  <c r="AK26"/>
  <c r="AE26"/>
  <c r="Y26"/>
  <c r="V26"/>
  <c r="AN26"/>
  <c r="S26"/>
  <c r="N22" i="25"/>
  <c r="O26" i="3"/>
  <c r="L26"/>
  <c r="L22" i="25"/>
  <c r="I26" i="3"/>
  <c r="M22" i="25"/>
  <c r="F26" i="3"/>
  <c r="C26"/>
  <c r="AK25"/>
  <c r="AE25"/>
  <c r="Y25"/>
  <c r="V25"/>
  <c r="AN25"/>
  <c r="S25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H45" i="1"/>
  <c r="G45"/>
  <c r="F45"/>
  <c r="E4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F14" i="11"/>
  <c r="D13" i="14"/>
  <c r="N13" s="1"/>
  <c r="F13" i="11"/>
  <c r="D12" i="14"/>
  <c r="N12" s="1"/>
  <c r="F11" i="11"/>
  <c r="D10" i="14"/>
  <c r="N10" s="1"/>
  <c r="F10" i="11"/>
  <c r="D9" i="14"/>
  <c r="N9" s="1"/>
  <c r="F9" i="11"/>
  <c r="D8" i="14"/>
  <c r="N8" s="1"/>
  <c r="F8" i="11"/>
  <c r="H5"/>
  <c r="C6" i="14"/>
  <c r="AC6" i="12"/>
  <c r="F6" i="11"/>
  <c r="G6"/>
  <c r="F5"/>
  <c r="A1" i="12" l="1"/>
  <c r="X32" i="18"/>
  <c r="X31"/>
  <c r="X5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X10"/>
  <c r="J11" i="23" s="1"/>
  <c r="X24" i="18"/>
  <c r="X25"/>
  <c r="X8"/>
  <c r="J9" i="23" s="1"/>
  <c r="X11" i="18"/>
  <c r="J12" i="23" s="1"/>
  <c r="X12" i="18"/>
  <c r="J13" i="23" s="1"/>
  <c r="X15" i="18"/>
  <c r="J16" i="23" s="1"/>
  <c r="X26" i="18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T45" i="1"/>
  <c r="U47" s="1"/>
  <c r="U48" s="1"/>
  <c r="I19" i="10"/>
  <c r="Q19" s="1"/>
  <c r="I26"/>
  <c r="Q26" s="1"/>
  <c r="AT33" i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AC35" i="12"/>
  <c r="I11" i="23"/>
  <c r="G32" i="14"/>
  <c r="G36"/>
  <c r="G31"/>
  <c r="G35"/>
  <c r="G30"/>
  <c r="G34"/>
  <c r="G37"/>
  <c r="G29"/>
  <c r="G33"/>
  <c r="I9" i="23"/>
  <c r="I8"/>
  <c r="O8" i="14"/>
  <c r="I7" i="23"/>
  <c r="AC7" i="12"/>
  <c r="D6" i="23"/>
  <c r="K77" i="3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F12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F7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C5" i="23"/>
  <c r="O6" i="14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J34" i="15"/>
  <c r="J37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J10" i="15"/>
  <c r="J29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J38" i="15"/>
  <c r="J30"/>
  <c r="J33"/>
  <c r="G42"/>
  <c r="R34" i="18"/>
  <c r="R32"/>
  <c r="E7" i="13"/>
  <c r="AI6"/>
  <c r="AJ9" l="1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AT34" i="1"/>
  <c r="G7" i="13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T35" i="1" l="1"/>
  <c r="F39" i="14"/>
  <c r="U9" i="10"/>
  <c r="X10"/>
  <c r="T9"/>
  <c r="S9"/>
  <c r="Z9" s="1"/>
  <c r="R9"/>
  <c r="V8"/>
  <c r="W8" s="1"/>
  <c r="F8" i="13"/>
  <c r="E9"/>
  <c r="G8"/>
  <c r="AT36" i="1" l="1"/>
  <c r="V9" i="10"/>
  <c r="W9" s="1"/>
  <c r="X11"/>
  <c r="S10"/>
  <c r="Z10" s="1"/>
  <c r="U10"/>
  <c r="R10"/>
  <c r="T10"/>
  <c r="F9" i="13"/>
  <c r="E10"/>
  <c r="G9"/>
  <c r="AT37" i="1" l="1"/>
  <c r="X12" i="10"/>
  <c r="T11"/>
  <c r="R11"/>
  <c r="U11"/>
  <c r="S11"/>
  <c r="Z11" s="1"/>
  <c r="V10"/>
  <c r="W10" s="1"/>
  <c r="F10" i="13"/>
  <c r="E11"/>
  <c r="G10"/>
  <c r="AT38" i="1" l="1"/>
  <c r="V11" i="10"/>
  <c r="W11" s="1"/>
  <c r="T12"/>
  <c r="U12"/>
  <c r="X13"/>
  <c r="R12"/>
  <c r="S12"/>
  <c r="Z12" s="1"/>
  <c r="F11" i="13"/>
  <c r="E12"/>
  <c r="G11"/>
  <c r="AT39" i="1" l="1"/>
  <c r="U13" i="10"/>
  <c r="X14"/>
  <c r="T13"/>
  <c r="S13"/>
  <c r="Z13" s="1"/>
  <c r="R13"/>
  <c r="V12"/>
  <c r="W12" s="1"/>
  <c r="F12" i="13"/>
  <c r="E13"/>
  <c r="G12"/>
  <c r="V13" i="10" l="1"/>
  <c r="W13" s="1"/>
  <c r="AT41" i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G21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F2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D11" i="1" l="1"/>
  <c r="D12" l="1"/>
  <c r="H6" i="13"/>
  <c r="AU11" i="1"/>
  <c r="E5" i="23"/>
  <c r="H3" i="13"/>
  <c r="J5" i="11"/>
  <c r="AU12" i="1" l="1"/>
  <c r="D13"/>
  <c r="E6" i="23"/>
  <c r="H7" i="13"/>
  <c r="J6" i="11"/>
  <c r="H8" i="13" l="1"/>
  <c r="AU13" i="1"/>
  <c r="D14"/>
  <c r="J7" i="11"/>
  <c r="E7" i="23"/>
  <c r="E8" l="1"/>
  <c r="D15" i="1"/>
  <c r="J8" i="11"/>
  <c r="H9" i="13"/>
  <c r="AU14" i="1"/>
  <c r="AU15" l="1"/>
  <c r="E9" i="23"/>
  <c r="J9" i="11"/>
  <c r="D16" i="1"/>
  <c r="H10" i="13"/>
  <c r="E10" i="23" l="1"/>
  <c r="H11" i="13"/>
  <c r="D17" i="1"/>
  <c r="AU16"/>
  <c r="J10" i="11"/>
  <c r="D18" i="1" l="1"/>
  <c r="E11" i="23"/>
  <c r="J11" i="11"/>
  <c r="AU17" i="1"/>
  <c r="H12" i="13"/>
  <c r="J12" i="11" l="1"/>
  <c r="H13" i="13"/>
  <c r="D19" i="1"/>
  <c r="AU18"/>
  <c r="E12" i="23"/>
  <c r="AU19" i="1" l="1"/>
  <c r="D20"/>
  <c r="E13" i="23"/>
  <c r="H14" i="13"/>
  <c r="J13" i="11"/>
  <c r="D21" i="1" l="1"/>
  <c r="E14" i="23"/>
  <c r="AU20" i="1"/>
  <c r="H15" i="13"/>
  <c r="J14" i="11"/>
  <c r="D22" i="1" l="1"/>
  <c r="AU21"/>
  <c r="H16" i="13"/>
  <c r="J15" i="11"/>
  <c r="E15" i="23"/>
  <c r="E16" l="1"/>
  <c r="J16" i="11"/>
  <c r="AU22" i="1"/>
  <c r="D23"/>
  <c r="H17" i="13"/>
  <c r="H18" l="1"/>
  <c r="J17" i="11"/>
  <c r="AU23" i="1"/>
  <c r="D24"/>
  <c r="E17" i="23"/>
  <c r="E18" l="1"/>
  <c r="H19" i="13"/>
  <c r="J18" i="11"/>
  <c r="AU24" i="1"/>
  <c r="D25"/>
  <c r="H20" i="13" l="1"/>
  <c r="E19" i="23"/>
  <c r="D26" i="1"/>
  <c r="J19" i="11"/>
  <c r="AU25" i="1"/>
  <c r="E20" i="23" l="1"/>
  <c r="H21" i="13"/>
  <c r="J20" i="11"/>
  <c r="AU26" i="1"/>
  <c r="D27"/>
  <c r="E21" i="23" l="1"/>
  <c r="J21" i="11"/>
  <c r="AU27" i="1"/>
  <c r="D28"/>
  <c r="H22" i="13"/>
  <c r="E22" i="23" l="1"/>
  <c r="H23" i="13"/>
  <c r="J22" i="11"/>
  <c r="D29" i="1"/>
  <c r="E23" i="23" l="1"/>
  <c r="H24" i="13"/>
  <c r="AU29" i="1"/>
  <c r="D30"/>
  <c r="J23" i="11"/>
  <c r="H25" i="13" l="1"/>
  <c r="AU30" i="1"/>
  <c r="J24" i="11"/>
  <c r="D31" i="1"/>
  <c r="E24" i="23"/>
  <c r="E25" l="1"/>
  <c r="H26" i="13"/>
  <c r="AU31" i="1"/>
  <c r="D32"/>
  <c r="J25" i="11"/>
  <c r="E26" i="23" l="1"/>
  <c r="J26" i="11"/>
  <c r="D33" i="1"/>
  <c r="H27" i="13"/>
  <c r="AU32" i="1"/>
  <c r="H28" i="13" l="1"/>
  <c r="AU33" i="1"/>
  <c r="E27" i="23"/>
  <c r="D34" i="1"/>
  <c r="J27" i="11"/>
  <c r="E28" i="23" l="1"/>
  <c r="J28" i="11"/>
  <c r="AU34" i="1"/>
  <c r="H29" i="13"/>
  <c r="D35" i="1"/>
  <c r="D36" l="1"/>
  <c r="J29" i="11"/>
  <c r="E29" i="23"/>
  <c r="AU35" i="1"/>
  <c r="H30" i="13"/>
  <c r="J30" i="11" l="1"/>
  <c r="AU36" i="1"/>
  <c r="E30" i="23"/>
  <c r="D37" i="1"/>
  <c r="H31" i="13"/>
  <c r="H32" l="1"/>
  <c r="J31" i="11"/>
  <c r="AU37" i="1"/>
  <c r="E31" i="23"/>
  <c r="D38" i="1"/>
  <c r="D39" l="1"/>
  <c r="E32" i="23"/>
  <c r="H33" i="13"/>
  <c r="J32" i="11"/>
  <c r="AU38" i="1"/>
  <c r="H34" i="13" l="1"/>
  <c r="J33" i="11"/>
  <c r="E33" i="23"/>
  <c r="AU39" i="1"/>
  <c r="D40"/>
  <c r="AU40" l="1"/>
  <c r="E34" i="23"/>
  <c r="J34" i="11"/>
  <c r="H35" i="13"/>
  <c r="D41" i="1"/>
  <c r="H36" i="13" l="1"/>
  <c r="J35" i="11"/>
  <c r="AU41" i="1"/>
  <c r="E35" i="23"/>
  <c r="D42" i="1"/>
  <c r="E36" i="23" l="1"/>
  <c r="AU42" i="1"/>
  <c r="J36" i="11"/>
  <c r="D43" i="1"/>
  <c r="AU43" s="1"/>
</calcChain>
</file>

<file path=xl/comments1.xml><?xml version="1.0" encoding="utf-8"?>
<comments xmlns="http://schemas.openxmlformats.org/spreadsheetml/2006/main">
  <authors>
    <author>john.japhet</author>
  </authors>
  <commentList>
    <comment ref="AJ21" authorId="0">
      <text>
        <r>
          <rPr>
            <b/>
            <sz val="9"/>
            <color indexed="81"/>
            <rFont val="Tahoma"/>
            <charset val="1"/>
          </rPr>
          <t>john.japhet:</t>
        </r>
        <r>
          <rPr>
            <sz val="9"/>
            <color indexed="81"/>
            <rFont val="Tahoma"/>
            <charset val="1"/>
          </rPr>
          <t xml:space="preserve">
Cash paid to FO</t>
        </r>
      </text>
    </comment>
  </commentList>
</comments>
</file>

<file path=xl/sharedStrings.xml><?xml version="1.0" encoding="utf-8"?>
<sst xmlns="http://schemas.openxmlformats.org/spreadsheetml/2006/main" count="543" uniqueCount="329">
  <si>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</si>
  <si>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</si>
  <si>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</si>
  <si>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</si>
  <si>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</si>
  <si>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</si>
  <si>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</si>
  <si>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</si>
  <si>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</si>
  <si>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</si>
  <si>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</si>
  <si>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</si>
  <si>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</si>
  <si>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</si>
  <si>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</si>
  <si>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</si>
  <si>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</si>
  <si>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</si>
  <si>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</si>
  <si>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</si>
  <si>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</si>
  <si>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</si>
  <si>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</si>
  <si>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</si>
  <si>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</si>
  <si>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</si>
  <si>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</si>
  <si>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</si>
  <si>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</si>
  <si>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</si>
  <si>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</si>
  <si>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</si>
  <si>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</si>
  <si>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</si>
  <si>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</si>
  <si>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</si>
  <si>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</si>
  <si>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</si>
  <si>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</si>
  <si>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</si>
  <si>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</si>
  <si>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</si>
  <si>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</si>
  <si>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</si>
  <si>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</si>
  <si>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</si>
  <si>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</si>
  <si>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</si>
  <si>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</si>
  <si>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</si>
  <si>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</si>
  <si>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</si>
  <si>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</si>
  <si>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</si>
  <si>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</si>
  <si>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</si>
  <si>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</si>
  <si>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</si>
  <si>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</si>
  <si>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</si>
  <si>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</si>
  <si>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</si>
  <si>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</si>
  <si>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</si>
  <si>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</si>
  <si>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</si>
  <si>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</si>
  <si>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</si>
  <si>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</si>
  <si>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</si>
  <si>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</si>
  <si>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</si>
  <si>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</si>
  <si>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</si>
  <si>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</si>
  <si>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</si>
  <si>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</si>
  <si>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</si>
  <si>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</si>
  <si>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</si>
  <si>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</si>
  <si>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</si>
  <si>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</si>
  <si>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</si>
  <si>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</si>
  <si>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</si>
  <si>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</si>
  <si>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</si>
  <si>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</si>
  <si>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</si>
  <si>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</si>
  <si>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</si>
  <si>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</si>
  <si>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</si>
  <si>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</si>
  <si>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</si>
  <si>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</si>
  <si>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</si>
  <si>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</si>
  <si>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</si>
  <si>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</si>
  <si>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</si>
  <si>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</si>
  <si>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</si>
  <si>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</si>
  <si>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</si>
  <si>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</si>
  <si>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</si>
  <si>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</si>
  <si>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</si>
  <si>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</si>
  <si>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</si>
  <si>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</si>
  <si>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</si>
  <si>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</si>
  <si>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</si>
  <si>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</si>
  <si>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</si>
  <si>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</si>
  <si>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</si>
  <si>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</si>
  <si>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</si>
  <si>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</si>
  <si>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</si>
  <si>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</si>
  <si>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</si>
  <si>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</si>
  <si>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</si>
  <si>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</si>
  <si>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</si>
  <si>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</si>
  <si>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</si>
  <si>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</si>
  <si>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</si>
  <si>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</si>
  <si>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</si>
  <si>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</si>
  <si>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</si>
  <si>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</si>
  <si>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</si>
  <si>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</si>
  <si>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</si>
  <si>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</si>
  <si>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</si>
  <si>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</si>
  <si>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</si>
  <si>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</si>
  <si>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</si>
  <si>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</si>
  <si>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</si>
  <si>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</si>
  <si>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</si>
  <si>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</si>
  <si>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</si>
  <si>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</si>
  <si>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</si>
  <si>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</si>
  <si>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</si>
  <si>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</si>
  <si>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</si>
  <si>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</si>
  <si>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</si>
  <si>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</si>
  <si>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</si>
  <si>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</si>
  <si>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</si>
  <si>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</si>
  <si>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</si>
  <si>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</si>
  <si>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</si>
  <si>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</si>
  <si>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</si>
  <si>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</si>
  <si>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</si>
  <si>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</si>
  <si>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</si>
  <si>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</si>
  <si>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</si>
  <si>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</si>
  <si>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</si>
  <si>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</si>
  <si>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</si>
  <si>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</si>
  <si>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</si>
  <si>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</si>
  <si>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</si>
  <si>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</si>
  <si>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</si>
  <si>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</si>
  <si>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</si>
  <si>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</si>
  <si>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</si>
  <si>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</si>
  <si>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</si>
  <si>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</si>
  <si>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</si>
  <si>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</si>
  <si>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</si>
  <si>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</si>
  <si>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</si>
  <si>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</si>
  <si>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</si>
  <si>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</si>
  <si>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</si>
  <si>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</si>
  <si>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</si>
  <si>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</si>
  <si>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</si>
  <si>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</si>
  <si>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</si>
  <si>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</si>
  <si>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</si>
  <si>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</si>
  <si>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</si>
  <si>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</si>
  <si>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</si>
  <si>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</si>
  <si>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</si>
  <si>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</si>
  <si>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</si>
  <si>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</si>
  <si>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</si>
  <si>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</si>
  <si>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</si>
  <si>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</si>
  <si>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</si>
  <si>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</si>
  <si>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</si>
  <si>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</si>
  <si>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</si>
  <si>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</si>
  <si>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</si>
  <si>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</si>
  <si>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</si>
  <si>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</si>
  <si>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</si>
  <si>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</si>
  <si>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</si>
  <si>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</si>
  <si>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</si>
  <si>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</si>
  <si>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</si>
  <si>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</si>
  <si>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</si>
  <si>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</si>
  <si>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</si>
  <si>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</si>
  <si>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</si>
  <si>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</si>
  <si>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</si>
  <si>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</si>
  <si>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</si>
  <si>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</si>
  <si>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</si>
  <si>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</si>
  <si>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</si>
  <si>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</si>
  <si>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</si>
  <si>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</si>
  <si>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</si>
  <si>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</si>
  <si>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</si>
  <si>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</si>
  <si>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</si>
  <si>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</si>
  <si>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</si>
  <si>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</si>
  <si>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</si>
  <si>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</si>
  <si>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</si>
  <si>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</si>
  <si>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</si>
  <si>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</si>
  <si>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</si>
  <si>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</si>
  <si>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</si>
  <si>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</si>
  <si>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</si>
  <si>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</si>
  <si>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</si>
  <si>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</si>
  <si>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</si>
  <si>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</si>
  <si>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</si>
  <si>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</si>
  <si>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</si>
  <si>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</si>
  <si>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</si>
  <si>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</si>
  <si>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</si>
  <si>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</si>
  <si>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</si>
  <si>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</si>
  <si>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</si>
  <si>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</si>
  <si>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</si>
  <si>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</si>
  <si>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</si>
  <si>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</si>
  <si>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</si>
  <si>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</si>
  <si>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</si>
  <si>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</si>
  <si>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</si>
  <si>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</si>
  <si>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</si>
  <si>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</si>
  <si>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</si>
  <si>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</si>
  <si>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</si>
  <si>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</si>
  <si>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</si>
  <si>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</si>
  <si>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</si>
  <si>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>DAILY UTILITY REPORT AUGUST 2020</t>
  </si>
  <si>
    <t xml:space="preserve"> UTILITY REPORT </t>
  </si>
  <si>
    <t xml:space="preserve">Four Seasons Safari Lodge Serengeti - Water Report </t>
  </si>
  <si>
    <t>Generator and Diseal Summry Report</t>
  </si>
  <si>
    <t>PRIME</t>
  </si>
  <si>
    <t>Generator and Diseal Summry Report  October 2020</t>
  </si>
  <si>
    <t>HLP REPORT OCTOBER 2020</t>
  </si>
  <si>
    <t>T 786 DTC</t>
  </si>
  <si>
    <t>Sitta</t>
  </si>
  <si>
    <t>Noel</t>
  </si>
  <si>
    <t>Cash paid</t>
  </si>
  <si>
    <t>T 880 DKQ</t>
  </si>
  <si>
    <t>Kswa</t>
  </si>
  <si>
    <t>T391DQR</t>
  </si>
  <si>
    <t>Hassan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</si>
</sst>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85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54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14" fontId="0" fillId="0" borderId="26" xfId="0" applyNumberFormat="1" applyFill="1" applyBorder="1"/>
    <xf numFmtId="0" fontId="4" fillId="0" borderId="0" xfId="0" applyFont="1" applyAlignment="1">
      <alignment horizontal="center"/>
    </xf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58" xfId="1" applyFont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16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9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166" fontId="16" fillId="34" borderId="55" xfId="1" applyNumberFormat="1" applyFont="1" applyFill="1" applyBorder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165" fontId="16" fillId="0" borderId="63" xfId="1" applyFont="1" applyBorder="1" applyAlignment="1">
      <alignment horizontal="center"/>
    </xf>
    <xf numFmtId="0" fontId="64" fillId="0" borderId="26" xfId="0" applyNumberFormat="1" applyFont="1" applyFill="1" applyBorder="1" applyAlignment="1">
      <alignment horizontal="right" vertic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166" fontId="16" fillId="20" borderId="55" xfId="1" applyNumberFormat="1" applyFont="1" applyFill="1" applyBorder="1" applyAlignment="1">
      <alignment horizontal="center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6" fillId="0" borderId="6" xfId="0" applyFont="1" applyBorder="1"/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26" fillId="0" borderId="33" xfId="0" applyFont="1" applyBorder="1" applyAlignment="1">
      <alignment horizontal="center"/>
    </xf>
    <xf numFmtId="0" fontId="0" fillId="0" borderId="33" xfId="0" applyBorder="1" applyAlignment="1">
      <alignment horizontal="center" vertical="center" wrapText="1"/>
    </xf>
    <xf numFmtId="0" fontId="26" fillId="0" borderId="33" xfId="0" applyFont="1" applyBorder="1"/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14" borderId="6" xfId="0" applyFill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7" xfId="0" applyBorder="1" applyAlignment="1">
      <alignment horizontal="center"/>
    </xf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64" fillId="0" borderId="6" xfId="0" applyNumberFormat="1" applyFont="1" applyFill="1" applyBorder="1" applyAlignment="1">
      <alignment horizontal="right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0" fontId="0" fillId="0" borderId="7" xfId="0" applyFill="1" applyBorder="1"/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9" fontId="23" fillId="0" borderId="98" xfId="0" applyNumberFormat="1" applyFont="1" applyFill="1" applyBorder="1" applyAlignment="1">
      <alignment horizontal="center" vertical="center"/>
    </xf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17" xfId="0" applyFill="1" applyBorder="1"/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5" fontId="0" fillId="29" borderId="100" xfId="0" applyNumberFormat="1" applyFill="1" applyBorder="1"/>
    <xf numFmtId="165" fontId="16" fillId="0" borderId="80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31" fillId="10" borderId="17" xfId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6" fontId="0" fillId="12" borderId="3" xfId="0" applyNumberFormat="1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3" xfId="0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2" fontId="41" fillId="16" borderId="7" xfId="1" applyNumberFormat="1" applyFont="1" applyFill="1" applyBorder="1"/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2" fontId="41" fillId="16" borderId="7" xfId="1" applyNumberFormat="1" applyFont="1" applyFill="1" applyBorder="1" applyAlignment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2" fontId="12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90" xfId="0" applyFont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7" xfId="0" applyNumberFormat="1" applyFont="1" applyBorder="1" applyAlignment="1">
      <alignment horizontal="center" vertical="center" wrapText="1"/>
    </xf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165" fontId="16" fillId="20" borderId="16" xfId="1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0" fontId="27" fillId="0" borderId="52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5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976.24</c:v>
                </c:pt>
                <c:pt idx="1">
                  <c:v>996.18</c:v>
                </c:pt>
                <c:pt idx="2">
                  <c:v>924.63</c:v>
                </c:pt>
                <c:pt idx="3">
                  <c:v>936.98</c:v>
                </c:pt>
                <c:pt idx="4">
                  <c:v>982.58999999999992</c:v>
                </c:pt>
                <c:pt idx="5">
                  <c:v>950.56999999999994</c:v>
                </c:pt>
                <c:pt idx="6">
                  <c:v>956.81999999999994</c:v>
                </c:pt>
                <c:pt idx="7">
                  <c:v>990.35</c:v>
                </c:pt>
                <c:pt idx="8">
                  <c:v>995.05000000000007</c:v>
                </c:pt>
                <c:pt idx="9">
                  <c:v>980.98</c:v>
                </c:pt>
                <c:pt idx="10">
                  <c:v>935.25</c:v>
                </c:pt>
                <c:pt idx="11">
                  <c:v>995.96</c:v>
                </c:pt>
                <c:pt idx="12">
                  <c:v>974.17000000000007</c:v>
                </c:pt>
                <c:pt idx="13">
                  <c:v>1042.8800000000001</c:v>
                </c:pt>
                <c:pt idx="14">
                  <c:v>1176.97</c:v>
                </c:pt>
                <c:pt idx="15">
                  <c:v>997.16000000000008</c:v>
                </c:pt>
                <c:pt idx="16">
                  <c:v>1208.03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78551296"/>
        <c:axId val="7855308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4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2</c:v>
                </c:pt>
                <c:pt idx="10">
                  <c:v>4</c:v>
                </c:pt>
                <c:pt idx="11">
                  <c:v>5</c:v>
                </c:pt>
                <c:pt idx="12">
                  <c:v>2</c:v>
                </c:pt>
                <c:pt idx="13">
                  <c:v>5</c:v>
                </c:pt>
                <c:pt idx="14">
                  <c:v>10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78554624"/>
        <c:axId val="78556160"/>
      </c:lineChart>
      <c:catAx>
        <c:axId val="78551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553088"/>
        <c:crosses val="autoZero"/>
        <c:auto val="1"/>
        <c:lblAlgn val="ctr"/>
        <c:lblOffset val="100"/>
      </c:catAx>
      <c:valAx>
        <c:axId val="78553088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551296"/>
        <c:crosses val="autoZero"/>
        <c:crossBetween val="between"/>
        <c:majorUnit val="200"/>
      </c:valAx>
      <c:catAx>
        <c:axId val="78554624"/>
        <c:scaling>
          <c:orientation val="minMax"/>
        </c:scaling>
        <c:delete val="1"/>
        <c:axPos val="b"/>
        <c:tickLblPos val="none"/>
        <c:crossAx val="78556160"/>
        <c:crosses val="autoZero"/>
        <c:auto val="1"/>
        <c:lblAlgn val="ctr"/>
        <c:lblOffset val="100"/>
      </c:catAx>
      <c:valAx>
        <c:axId val="7855616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5546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80241024"/>
        <c:axId val="8024256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80244096"/>
        <c:axId val="80249984"/>
      </c:lineChart>
      <c:catAx>
        <c:axId val="80241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242560"/>
        <c:crosses val="autoZero"/>
        <c:auto val="1"/>
        <c:lblAlgn val="ctr"/>
        <c:lblOffset val="100"/>
      </c:catAx>
      <c:valAx>
        <c:axId val="802425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241024"/>
        <c:crosses val="autoZero"/>
        <c:crossBetween val="between"/>
        <c:majorUnit val="200"/>
      </c:valAx>
      <c:catAx>
        <c:axId val="80244096"/>
        <c:scaling>
          <c:orientation val="minMax"/>
        </c:scaling>
        <c:delete val="1"/>
        <c:axPos val="b"/>
        <c:tickLblPos val="none"/>
        <c:crossAx val="80249984"/>
        <c:crosses val="autoZero"/>
        <c:auto val="1"/>
        <c:lblAlgn val="ctr"/>
        <c:lblOffset val="100"/>
      </c:catAx>
      <c:valAx>
        <c:axId val="8024998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2440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958.62</c:v>
                </c:pt>
                <c:pt idx="3">
                  <c:v>976.24</c:v>
                </c:pt>
                <c:pt idx="4">
                  <c:v>996.18</c:v>
                </c:pt>
                <c:pt idx="5">
                  <c:v>924.63</c:v>
                </c:pt>
                <c:pt idx="6">
                  <c:v>936.98</c:v>
                </c:pt>
                <c:pt idx="7">
                  <c:v>1073.5899999999999</c:v>
                </c:pt>
                <c:pt idx="8">
                  <c:v>1027.54</c:v>
                </c:pt>
                <c:pt idx="9">
                  <c:v>956.81999999999994</c:v>
                </c:pt>
                <c:pt idx="10">
                  <c:v>1056.8400000000001</c:v>
                </c:pt>
                <c:pt idx="11">
                  <c:v>1066.0500000000002</c:v>
                </c:pt>
                <c:pt idx="12">
                  <c:v>1052.07</c:v>
                </c:pt>
                <c:pt idx="13">
                  <c:v>994.12</c:v>
                </c:pt>
                <c:pt idx="14">
                  <c:v>995.96</c:v>
                </c:pt>
                <c:pt idx="15">
                  <c:v>1077.01</c:v>
                </c:pt>
                <c:pt idx="16">
                  <c:v>1205.8800000000001</c:v>
                </c:pt>
                <c:pt idx="17">
                  <c:v>1387.24</c:v>
                </c:pt>
                <c:pt idx="18">
                  <c:v>997.16000000000008</c:v>
                </c:pt>
                <c:pt idx="19">
                  <c:v>1208.03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83027456"/>
        <c:axId val="83028992"/>
      </c:lineChart>
      <c:catAx>
        <c:axId val="83027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028992"/>
        <c:crosses val="autoZero"/>
        <c:auto val="1"/>
        <c:lblAlgn val="ctr"/>
        <c:lblOffset val="200"/>
        <c:tickLblSkip val="1"/>
      </c:catAx>
      <c:valAx>
        <c:axId val="8302899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027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5.1900000000000002E-2</c:v>
                </c:pt>
                <c:pt idx="1">
                  <c:v>3.9E-2</c:v>
                </c:pt>
                <c:pt idx="2">
                  <c:v>2.5999999999999999E-2</c:v>
                </c:pt>
                <c:pt idx="3">
                  <c:v>1.2999999999999999E-2</c:v>
                </c:pt>
                <c:pt idx="4">
                  <c:v>2.3E-2</c:v>
                </c:pt>
                <c:pt idx="5">
                  <c:v>2.3E-2</c:v>
                </c:pt>
                <c:pt idx="6">
                  <c:v>3.9E-2</c:v>
                </c:pt>
                <c:pt idx="7">
                  <c:v>5.1900000000000002E-2</c:v>
                </c:pt>
                <c:pt idx="8">
                  <c:v>5.1900000000000002E-2</c:v>
                </c:pt>
                <c:pt idx="9">
                  <c:v>5.1900000000000002E-2</c:v>
                </c:pt>
                <c:pt idx="10">
                  <c:v>1.2999999999999999E-2</c:v>
                </c:pt>
                <c:pt idx="11">
                  <c:v>3.9E-2</c:v>
                </c:pt>
                <c:pt idx="12">
                  <c:v>5.1900000000000002E-2</c:v>
                </c:pt>
                <c:pt idx="13">
                  <c:v>1.2999999999999999E-2</c:v>
                </c:pt>
                <c:pt idx="14">
                  <c:v>5.1900000000000002E-2</c:v>
                </c:pt>
                <c:pt idx="15">
                  <c:v>0.1169</c:v>
                </c:pt>
                <c:pt idx="16">
                  <c:v>0.15790000000000001</c:v>
                </c:pt>
                <c:pt idx="17">
                  <c:v>0.15790000000000001</c:v>
                </c:pt>
                <c:pt idx="18">
                  <c:v>0.12989999999999999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80759808"/>
        <c:axId val="80798464"/>
      </c:lineChart>
      <c:catAx>
        <c:axId val="80759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798464"/>
        <c:crosses val="autoZero"/>
        <c:auto val="1"/>
        <c:lblAlgn val="ctr"/>
        <c:lblOffset val="100"/>
      </c:catAx>
      <c:valAx>
        <c:axId val="8079846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759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2214</c:v>
                </c:pt>
                <c:pt idx="3">
                  <c:v>2379</c:v>
                </c:pt>
                <c:pt idx="4">
                  <c:v>2370</c:v>
                </c:pt>
                <c:pt idx="5">
                  <c:v>2154</c:v>
                </c:pt>
                <c:pt idx="6">
                  <c:v>2268</c:v>
                </c:pt>
                <c:pt idx="7">
                  <c:v>2332</c:v>
                </c:pt>
                <c:pt idx="8">
                  <c:v>2229</c:v>
                </c:pt>
                <c:pt idx="9">
                  <c:v>2245</c:v>
                </c:pt>
                <c:pt idx="10">
                  <c:v>2375</c:v>
                </c:pt>
                <c:pt idx="11">
                  <c:v>2298</c:v>
                </c:pt>
                <c:pt idx="12">
                  <c:v>2245</c:v>
                </c:pt>
                <c:pt idx="13">
                  <c:v>2131</c:v>
                </c:pt>
                <c:pt idx="14">
                  <c:v>2325</c:v>
                </c:pt>
                <c:pt idx="15">
                  <c:v>2264</c:v>
                </c:pt>
                <c:pt idx="16">
                  <c:v>2360</c:v>
                </c:pt>
                <c:pt idx="17">
                  <c:v>2740</c:v>
                </c:pt>
                <c:pt idx="18">
                  <c:v>2624</c:v>
                </c:pt>
                <c:pt idx="19">
                  <c:v>2889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82879232"/>
        <c:axId val="82881152"/>
      </c:lineChart>
      <c:catAx>
        <c:axId val="828792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881152"/>
        <c:crosses val="autoZero"/>
        <c:auto val="1"/>
        <c:lblAlgn val="ctr"/>
        <c:lblOffset val="100"/>
      </c:catAx>
      <c:valAx>
        <c:axId val="8288115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87923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36</c:v>
                </c:pt>
                <c:pt idx="1">
                  <c:v>45</c:v>
                </c:pt>
                <c:pt idx="2">
                  <c:v>36</c:v>
                </c:pt>
                <c:pt idx="3">
                  <c:v>60</c:v>
                </c:pt>
                <c:pt idx="4">
                  <c:v>45</c:v>
                </c:pt>
                <c:pt idx="5">
                  <c:v>57</c:v>
                </c:pt>
                <c:pt idx="6">
                  <c:v>59</c:v>
                </c:pt>
                <c:pt idx="7">
                  <c:v>46</c:v>
                </c:pt>
                <c:pt idx="8">
                  <c:v>56</c:v>
                </c:pt>
                <c:pt idx="9">
                  <c:v>98</c:v>
                </c:pt>
                <c:pt idx="10">
                  <c:v>73</c:v>
                </c:pt>
                <c:pt idx="11">
                  <c:v>42</c:v>
                </c:pt>
                <c:pt idx="12">
                  <c:v>53</c:v>
                </c:pt>
                <c:pt idx="13">
                  <c:v>43</c:v>
                </c:pt>
                <c:pt idx="14">
                  <c:v>48</c:v>
                </c:pt>
                <c:pt idx="15">
                  <c:v>56</c:v>
                </c:pt>
                <c:pt idx="16">
                  <c:v>71</c:v>
                </c:pt>
                <c:pt idx="17">
                  <c:v>57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82955264"/>
        <c:axId val="84804736"/>
      </c:lineChart>
      <c:catAx>
        <c:axId val="829552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804736"/>
        <c:crosses val="autoZero"/>
        <c:auto val="1"/>
        <c:lblAlgn val="ctr"/>
        <c:lblOffset val="100"/>
      </c:catAx>
      <c:valAx>
        <c:axId val="8480473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95526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55.92400000002818</c:v>
                </c:pt>
                <c:pt idx="1">
                  <c:v>33.087999999953901</c:v>
                </c:pt>
                <c:pt idx="2">
                  <c:v>66.131999999994889</c:v>
                </c:pt>
                <c:pt idx="3">
                  <c:v>65.428000000043539</c:v>
                </c:pt>
                <c:pt idx="4">
                  <c:v>81.268000000005131</c:v>
                </c:pt>
                <c:pt idx="5">
                  <c:v>76.823999999964144</c:v>
                </c:pt>
                <c:pt idx="6">
                  <c:v>49.72000000001281</c:v>
                </c:pt>
                <c:pt idx="7">
                  <c:v>67.100000000000009</c:v>
                </c:pt>
                <c:pt idx="8">
                  <c:v>59.531999999994881</c:v>
                </c:pt>
                <c:pt idx="9">
                  <c:v>58.608000000030735</c:v>
                </c:pt>
                <c:pt idx="10">
                  <c:v>68.727999999979517</c:v>
                </c:pt>
                <c:pt idx="11">
                  <c:v>65.4720000000205</c:v>
                </c:pt>
                <c:pt idx="12">
                  <c:v>65.295999999984645</c:v>
                </c:pt>
                <c:pt idx="13">
                  <c:v>64.504000000015367</c:v>
                </c:pt>
                <c:pt idx="14">
                  <c:v>73.127999999979522</c:v>
                </c:pt>
                <c:pt idx="15">
                  <c:v>79.288000000017931</c:v>
                </c:pt>
                <c:pt idx="16">
                  <c:v>94.468000000005134</c:v>
                </c:pt>
                <c:pt idx="17">
                  <c:v>2881182.392</c:v>
                </c:pt>
                <c:pt idx="18">
                  <c:v>-2881089.6840000004</c:v>
                </c:pt>
                <c:pt idx="19">
                  <c:v>-320178.71600000001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84825600"/>
        <c:axId val="84827136"/>
      </c:lineChart>
      <c:catAx>
        <c:axId val="84825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827136"/>
        <c:crosses val="autoZero"/>
        <c:auto val="1"/>
        <c:lblAlgn val="ctr"/>
        <c:lblOffset val="100"/>
      </c:catAx>
      <c:valAx>
        <c:axId val="848271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825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85397504"/>
        <c:axId val="85399040"/>
      </c:lineChart>
      <c:catAx>
        <c:axId val="85397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399040"/>
        <c:crosses val="autoZero"/>
        <c:auto val="1"/>
        <c:lblAlgn val="ctr"/>
        <c:lblOffset val="100"/>
      </c:catAx>
      <c:valAx>
        <c:axId val="853990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397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911.04</c:v>
                </c:pt>
                <c:pt idx="3">
                  <c:v>976.24</c:v>
                </c:pt>
                <c:pt idx="4">
                  <c:v>996.18</c:v>
                </c:pt>
                <c:pt idx="5">
                  <c:v>924.63</c:v>
                </c:pt>
                <c:pt idx="6">
                  <c:v>936.98</c:v>
                </c:pt>
                <c:pt idx="7">
                  <c:v>982.58999999999992</c:v>
                </c:pt>
                <c:pt idx="8">
                  <c:v>950.56999999999994</c:v>
                </c:pt>
                <c:pt idx="9">
                  <c:v>956.81999999999994</c:v>
                </c:pt>
                <c:pt idx="10">
                  <c:v>990.35</c:v>
                </c:pt>
                <c:pt idx="11">
                  <c:v>995.05000000000007</c:v>
                </c:pt>
                <c:pt idx="12">
                  <c:v>980.98</c:v>
                </c:pt>
                <c:pt idx="13">
                  <c:v>935.25</c:v>
                </c:pt>
                <c:pt idx="14">
                  <c:v>995.96</c:v>
                </c:pt>
                <c:pt idx="15">
                  <c:v>974.17000000000007</c:v>
                </c:pt>
                <c:pt idx="16">
                  <c:v>1042.8800000000001</c:v>
                </c:pt>
                <c:pt idx="17">
                  <c:v>1176.97</c:v>
                </c:pt>
                <c:pt idx="18">
                  <c:v>997.16000000000008</c:v>
                </c:pt>
                <c:pt idx="19">
                  <c:v>1208.03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85431424"/>
        <c:axId val="85432960"/>
      </c:lineChart>
      <c:catAx>
        <c:axId val="85431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432960"/>
        <c:crosses val="autoZero"/>
        <c:auto val="1"/>
        <c:lblAlgn val="ctr"/>
        <c:lblOffset val="100"/>
      </c:catAx>
      <c:valAx>
        <c:axId val="854329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431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4728"/>
          <c:y val="7.4713247051113665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85457536"/>
        <c:axId val="86188416"/>
      </c:lineChart>
      <c:catAx>
        <c:axId val="85457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188416"/>
        <c:crosses val="autoZero"/>
        <c:auto val="1"/>
        <c:lblAlgn val="ctr"/>
        <c:lblOffset val="200"/>
        <c:tickLblSkip val="1"/>
      </c:catAx>
      <c:valAx>
        <c:axId val="8618841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457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86237952"/>
        <c:axId val="86239488"/>
      </c:lineChart>
      <c:catAx>
        <c:axId val="86237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39488"/>
        <c:crosses val="autoZero"/>
        <c:auto val="1"/>
        <c:lblAlgn val="ctr"/>
        <c:lblOffset val="100"/>
      </c:catAx>
      <c:valAx>
        <c:axId val="862394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37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85993728"/>
        <c:axId val="86040960"/>
      </c:lineChart>
      <c:catAx>
        <c:axId val="859937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040960"/>
        <c:crosses val="autoZero"/>
        <c:auto val="1"/>
        <c:lblAlgn val="ctr"/>
        <c:lblOffset val="100"/>
      </c:catAx>
      <c:valAx>
        <c:axId val="8604096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99372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50119168"/>
        <c:axId val="150121088"/>
      </c:lineChart>
      <c:catAx>
        <c:axId val="1501191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121088"/>
        <c:crosses val="autoZero"/>
        <c:auto val="1"/>
        <c:lblAlgn val="ctr"/>
        <c:lblOffset val="100"/>
      </c:catAx>
      <c:valAx>
        <c:axId val="15012108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11916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86383616"/>
        <c:axId val="86385408"/>
      </c:lineChart>
      <c:catAx>
        <c:axId val="86383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385408"/>
        <c:crosses val="autoZero"/>
        <c:auto val="1"/>
        <c:lblAlgn val="ctr"/>
        <c:lblOffset val="100"/>
      </c:catAx>
      <c:valAx>
        <c:axId val="863854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383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86406656"/>
        <c:axId val="86408192"/>
      </c:lineChart>
      <c:catAx>
        <c:axId val="86406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408192"/>
        <c:crosses val="autoZero"/>
        <c:auto val="1"/>
        <c:lblAlgn val="ctr"/>
        <c:lblOffset val="100"/>
      </c:catAx>
      <c:valAx>
        <c:axId val="864081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406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50440576"/>
        <c:axId val="150442368"/>
      </c:lineChart>
      <c:catAx>
        <c:axId val="150440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442368"/>
        <c:crosses val="autoZero"/>
        <c:auto val="1"/>
        <c:lblAlgn val="ctr"/>
        <c:lblOffset val="100"/>
      </c:catAx>
      <c:valAx>
        <c:axId val="1504423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440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4983"/>
          <c:y val="7.4713247051114082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51159552"/>
        <c:axId val="151161088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51175168"/>
        <c:axId val="151176704"/>
      </c:lineChart>
      <c:catAx>
        <c:axId val="15115955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161088"/>
        <c:crosses val="autoZero"/>
        <c:lblAlgn val="ctr"/>
        <c:lblOffset val="100"/>
        <c:tickMarkSkip val="1"/>
      </c:catAx>
      <c:valAx>
        <c:axId val="15116108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159552"/>
        <c:crosses val="autoZero"/>
        <c:crossBetween val="between"/>
      </c:valAx>
      <c:catAx>
        <c:axId val="151175168"/>
        <c:scaling>
          <c:orientation val="minMax"/>
        </c:scaling>
        <c:delete val="1"/>
        <c:axPos val="b"/>
        <c:numFmt formatCode="[$-409]d\-mmm\-yy;@" sourceLinked="1"/>
        <c:tickLblPos val="none"/>
        <c:crossAx val="151176704"/>
        <c:crosses val="autoZero"/>
        <c:lblAlgn val="ctr"/>
        <c:lblOffset val="100"/>
      </c:catAx>
      <c:valAx>
        <c:axId val="151176704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1751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50803968"/>
        <c:axId val="150805504"/>
      </c:lineChart>
      <c:catAx>
        <c:axId val="150803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805504"/>
        <c:crosses val="autoZero"/>
        <c:auto val="1"/>
        <c:lblAlgn val="ctr"/>
        <c:lblOffset val="100"/>
      </c:catAx>
      <c:valAx>
        <c:axId val="15080550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803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50842368"/>
        <c:axId val="150856448"/>
      </c:lineChart>
      <c:catAx>
        <c:axId val="150842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856448"/>
        <c:crosses val="autoZero"/>
        <c:auto val="1"/>
        <c:lblAlgn val="ctr"/>
        <c:lblOffset val="100"/>
      </c:catAx>
      <c:valAx>
        <c:axId val="150856448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842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51239680"/>
        <c:axId val="15124966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51251200"/>
        <c:axId val="153223168"/>
      </c:lineChart>
      <c:catAx>
        <c:axId val="15123968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49664"/>
        <c:crosses val="autoZero"/>
        <c:lblAlgn val="ctr"/>
        <c:lblOffset val="100"/>
        <c:tickMarkSkip val="1"/>
      </c:catAx>
      <c:valAx>
        <c:axId val="151249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39680"/>
        <c:crosses val="autoZero"/>
        <c:crossBetween val="between"/>
      </c:valAx>
      <c:catAx>
        <c:axId val="151251200"/>
        <c:scaling>
          <c:orientation val="minMax"/>
        </c:scaling>
        <c:delete val="1"/>
        <c:axPos val="b"/>
        <c:numFmt formatCode="General" sourceLinked="1"/>
        <c:tickLblPos val="none"/>
        <c:crossAx val="153223168"/>
        <c:crosses val="autoZero"/>
        <c:lblAlgn val="ctr"/>
        <c:lblOffset val="100"/>
      </c:catAx>
      <c:valAx>
        <c:axId val="15322316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5120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53264128"/>
        <c:axId val="153265664"/>
      </c:lineChart>
      <c:catAx>
        <c:axId val="153264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265664"/>
        <c:crosses val="autoZero"/>
        <c:auto val="1"/>
        <c:lblAlgn val="ctr"/>
        <c:lblOffset val="100"/>
      </c:catAx>
      <c:valAx>
        <c:axId val="153265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264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53634304"/>
        <c:axId val="153635840"/>
      </c:lineChart>
      <c:catAx>
        <c:axId val="153634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635840"/>
        <c:crosses val="autoZero"/>
        <c:auto val="1"/>
        <c:lblAlgn val="ctr"/>
        <c:lblOffset val="100"/>
      </c:catAx>
      <c:valAx>
        <c:axId val="1536358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634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79492224"/>
        <c:axId val="79493760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82784640"/>
        <c:axId val="82786176"/>
      </c:lineChart>
      <c:catAx>
        <c:axId val="7949222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493760"/>
        <c:crosses val="autoZero"/>
        <c:lblAlgn val="ctr"/>
        <c:lblOffset val="100"/>
        <c:tickMarkSkip val="1"/>
      </c:catAx>
      <c:valAx>
        <c:axId val="7949376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492224"/>
        <c:crosses val="autoZero"/>
        <c:crossBetween val="between"/>
      </c:valAx>
      <c:catAx>
        <c:axId val="82784640"/>
        <c:scaling>
          <c:orientation val="minMax"/>
        </c:scaling>
        <c:delete val="1"/>
        <c:axPos val="b"/>
        <c:numFmt formatCode="[$-409]d\-mmm\-yy;@" sourceLinked="1"/>
        <c:tickLblPos val="none"/>
        <c:crossAx val="82786176"/>
        <c:crosses val="autoZero"/>
        <c:lblAlgn val="ctr"/>
        <c:lblOffset val="100"/>
      </c:catAx>
      <c:valAx>
        <c:axId val="8278617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78464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82820096"/>
        <c:axId val="8282598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82827520"/>
        <c:axId val="82829312"/>
      </c:lineChart>
      <c:catAx>
        <c:axId val="8282009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825984"/>
        <c:crosses val="autoZero"/>
        <c:lblAlgn val="ctr"/>
        <c:lblOffset val="100"/>
        <c:tickMarkSkip val="1"/>
      </c:catAx>
      <c:valAx>
        <c:axId val="828259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820096"/>
        <c:crosses val="autoZero"/>
        <c:crossBetween val="between"/>
      </c:valAx>
      <c:catAx>
        <c:axId val="82827520"/>
        <c:scaling>
          <c:orientation val="minMax"/>
        </c:scaling>
        <c:delete val="1"/>
        <c:axPos val="b"/>
        <c:numFmt formatCode="General" sourceLinked="1"/>
        <c:tickLblPos val="none"/>
        <c:crossAx val="82829312"/>
        <c:crosses val="autoZero"/>
        <c:lblAlgn val="ctr"/>
        <c:lblOffset val="100"/>
      </c:catAx>
      <c:valAx>
        <c:axId val="8282931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82752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55343104"/>
        <c:axId val="155353088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55354624"/>
        <c:axId val="155356160"/>
      </c:lineChart>
      <c:catAx>
        <c:axId val="15534310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353088"/>
        <c:crosses val="autoZero"/>
        <c:lblAlgn val="ctr"/>
        <c:lblOffset val="100"/>
        <c:tickMarkSkip val="1"/>
      </c:catAx>
      <c:valAx>
        <c:axId val="15535308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343104"/>
        <c:crosses val="autoZero"/>
        <c:crossBetween val="between"/>
      </c:valAx>
      <c:catAx>
        <c:axId val="155354624"/>
        <c:scaling>
          <c:orientation val="minMax"/>
        </c:scaling>
        <c:delete val="1"/>
        <c:axPos val="b"/>
        <c:numFmt formatCode="[$-409]d\-mmm\-yy;@" sourceLinked="1"/>
        <c:tickLblPos val="none"/>
        <c:crossAx val="155356160"/>
        <c:crosses val="autoZero"/>
        <c:lblAlgn val="ctr"/>
        <c:lblOffset val="100"/>
      </c:catAx>
      <c:valAx>
        <c:axId val="15535616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3546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56451584"/>
        <c:axId val="15645312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56454912"/>
        <c:axId val="156456448"/>
      </c:lineChart>
      <c:catAx>
        <c:axId val="15645158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453120"/>
        <c:crosses val="autoZero"/>
        <c:lblAlgn val="ctr"/>
        <c:lblOffset val="100"/>
        <c:tickMarkSkip val="1"/>
      </c:catAx>
      <c:valAx>
        <c:axId val="1564531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451584"/>
        <c:crosses val="autoZero"/>
        <c:crossBetween val="between"/>
      </c:valAx>
      <c:catAx>
        <c:axId val="156454912"/>
        <c:scaling>
          <c:orientation val="minMax"/>
        </c:scaling>
        <c:delete val="1"/>
        <c:axPos val="b"/>
        <c:numFmt formatCode="General" sourceLinked="1"/>
        <c:tickLblPos val="none"/>
        <c:crossAx val="156456448"/>
        <c:crosses val="autoZero"/>
        <c:lblAlgn val="ctr"/>
        <c:lblOffset val="100"/>
      </c:catAx>
      <c:valAx>
        <c:axId val="15645644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45491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2214</c:v>
                </c:pt>
                <c:pt idx="3">
                  <c:v>2379</c:v>
                </c:pt>
                <c:pt idx="4">
                  <c:v>2370</c:v>
                </c:pt>
                <c:pt idx="5">
                  <c:v>2154</c:v>
                </c:pt>
                <c:pt idx="6">
                  <c:v>2268</c:v>
                </c:pt>
                <c:pt idx="7">
                  <c:v>2332</c:v>
                </c:pt>
                <c:pt idx="8">
                  <c:v>2229</c:v>
                </c:pt>
                <c:pt idx="9">
                  <c:v>2245</c:v>
                </c:pt>
                <c:pt idx="10">
                  <c:v>2375</c:v>
                </c:pt>
                <c:pt idx="11">
                  <c:v>2298</c:v>
                </c:pt>
                <c:pt idx="12">
                  <c:v>2245</c:v>
                </c:pt>
                <c:pt idx="13">
                  <c:v>2131</c:v>
                </c:pt>
                <c:pt idx="14">
                  <c:v>2325</c:v>
                </c:pt>
                <c:pt idx="15">
                  <c:v>2264</c:v>
                </c:pt>
                <c:pt idx="16">
                  <c:v>2360</c:v>
                </c:pt>
                <c:pt idx="17">
                  <c:v>2740</c:v>
                </c:pt>
                <c:pt idx="18">
                  <c:v>2624</c:v>
                </c:pt>
                <c:pt idx="19">
                  <c:v>2889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56694400"/>
        <c:axId val="155201536"/>
      </c:lineChart>
      <c:catAx>
        <c:axId val="1566944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201536"/>
        <c:crosses val="autoZero"/>
        <c:auto val="1"/>
        <c:lblAlgn val="ctr"/>
        <c:lblOffset val="100"/>
      </c:catAx>
      <c:valAx>
        <c:axId val="15520153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69440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36</c:v>
                </c:pt>
                <c:pt idx="1">
                  <c:v>45</c:v>
                </c:pt>
                <c:pt idx="2">
                  <c:v>36</c:v>
                </c:pt>
                <c:pt idx="3">
                  <c:v>60</c:v>
                </c:pt>
                <c:pt idx="4">
                  <c:v>45</c:v>
                </c:pt>
                <c:pt idx="5">
                  <c:v>57</c:v>
                </c:pt>
                <c:pt idx="6">
                  <c:v>59</c:v>
                </c:pt>
                <c:pt idx="7">
                  <c:v>46</c:v>
                </c:pt>
                <c:pt idx="8">
                  <c:v>56</c:v>
                </c:pt>
                <c:pt idx="9">
                  <c:v>98</c:v>
                </c:pt>
                <c:pt idx="10">
                  <c:v>73</c:v>
                </c:pt>
                <c:pt idx="11">
                  <c:v>42</c:v>
                </c:pt>
                <c:pt idx="12">
                  <c:v>53</c:v>
                </c:pt>
                <c:pt idx="13">
                  <c:v>43</c:v>
                </c:pt>
                <c:pt idx="14">
                  <c:v>48</c:v>
                </c:pt>
                <c:pt idx="15">
                  <c:v>56</c:v>
                </c:pt>
                <c:pt idx="16">
                  <c:v>71</c:v>
                </c:pt>
                <c:pt idx="17">
                  <c:v>57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55238784"/>
        <c:axId val="155240704"/>
      </c:lineChart>
      <c:catAx>
        <c:axId val="1552387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240704"/>
        <c:crosses val="autoZero"/>
        <c:auto val="1"/>
        <c:lblAlgn val="ctr"/>
        <c:lblOffset val="100"/>
      </c:catAx>
      <c:valAx>
        <c:axId val="15524070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23878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958.62</c:v>
                </c:pt>
                <c:pt idx="3">
                  <c:v>976.24</c:v>
                </c:pt>
                <c:pt idx="4">
                  <c:v>996.18</c:v>
                </c:pt>
                <c:pt idx="5">
                  <c:v>924.63</c:v>
                </c:pt>
                <c:pt idx="6">
                  <c:v>936.98</c:v>
                </c:pt>
                <c:pt idx="7">
                  <c:v>1073.5899999999999</c:v>
                </c:pt>
                <c:pt idx="8">
                  <c:v>1027.54</c:v>
                </c:pt>
                <c:pt idx="9">
                  <c:v>956.81999999999994</c:v>
                </c:pt>
                <c:pt idx="10">
                  <c:v>1056.8400000000001</c:v>
                </c:pt>
                <c:pt idx="11">
                  <c:v>1066.0500000000002</c:v>
                </c:pt>
                <c:pt idx="12">
                  <c:v>1052.07</c:v>
                </c:pt>
                <c:pt idx="13">
                  <c:v>994.12</c:v>
                </c:pt>
                <c:pt idx="14">
                  <c:v>995.96</c:v>
                </c:pt>
                <c:pt idx="15">
                  <c:v>1077.01</c:v>
                </c:pt>
                <c:pt idx="16">
                  <c:v>1205.8800000000001</c:v>
                </c:pt>
                <c:pt idx="17">
                  <c:v>1387.24</c:v>
                </c:pt>
                <c:pt idx="18">
                  <c:v>997.16000000000008</c:v>
                </c:pt>
                <c:pt idx="19">
                  <c:v>1208.03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57366912"/>
        <c:axId val="157372800"/>
      </c:lineChart>
      <c:catAx>
        <c:axId val="157366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372800"/>
        <c:crosses val="autoZero"/>
        <c:auto val="1"/>
        <c:lblAlgn val="ctr"/>
        <c:lblOffset val="200"/>
        <c:tickLblSkip val="1"/>
      </c:catAx>
      <c:valAx>
        <c:axId val="15737280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366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5.1900000000000002E-2</c:v>
                </c:pt>
                <c:pt idx="1">
                  <c:v>3.9E-2</c:v>
                </c:pt>
                <c:pt idx="2">
                  <c:v>2.5999999999999999E-2</c:v>
                </c:pt>
                <c:pt idx="3">
                  <c:v>1.2999999999999999E-2</c:v>
                </c:pt>
                <c:pt idx="4">
                  <c:v>2.3E-2</c:v>
                </c:pt>
                <c:pt idx="5">
                  <c:v>2.3E-2</c:v>
                </c:pt>
                <c:pt idx="6">
                  <c:v>3.9E-2</c:v>
                </c:pt>
                <c:pt idx="7">
                  <c:v>5.1900000000000002E-2</c:v>
                </c:pt>
                <c:pt idx="8">
                  <c:v>5.1900000000000002E-2</c:v>
                </c:pt>
                <c:pt idx="9">
                  <c:v>5.1900000000000002E-2</c:v>
                </c:pt>
                <c:pt idx="10">
                  <c:v>1.2999999999999999E-2</c:v>
                </c:pt>
                <c:pt idx="11">
                  <c:v>3.9E-2</c:v>
                </c:pt>
                <c:pt idx="12">
                  <c:v>5.1900000000000002E-2</c:v>
                </c:pt>
                <c:pt idx="13">
                  <c:v>1.2999999999999999E-2</c:v>
                </c:pt>
                <c:pt idx="14">
                  <c:v>5.1900000000000002E-2</c:v>
                </c:pt>
                <c:pt idx="15">
                  <c:v>0.1169</c:v>
                </c:pt>
                <c:pt idx="16">
                  <c:v>0.15790000000000001</c:v>
                </c:pt>
                <c:pt idx="17">
                  <c:v>0.15790000000000001</c:v>
                </c:pt>
                <c:pt idx="18">
                  <c:v>0.12989999999999999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57413760"/>
        <c:axId val="157415296"/>
      </c:lineChart>
      <c:catAx>
        <c:axId val="157413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415296"/>
        <c:crosses val="autoZero"/>
        <c:auto val="1"/>
        <c:lblAlgn val="ctr"/>
        <c:lblOffset val="100"/>
      </c:catAx>
      <c:valAx>
        <c:axId val="15741529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413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943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55.92400000002818</c:v>
                </c:pt>
                <c:pt idx="1">
                  <c:v>33.087999999953901</c:v>
                </c:pt>
                <c:pt idx="2">
                  <c:v>66.131999999994889</c:v>
                </c:pt>
                <c:pt idx="3">
                  <c:v>65.428000000043539</c:v>
                </c:pt>
                <c:pt idx="4">
                  <c:v>81.268000000005131</c:v>
                </c:pt>
                <c:pt idx="5">
                  <c:v>76.823999999964144</c:v>
                </c:pt>
                <c:pt idx="6">
                  <c:v>49.72000000001281</c:v>
                </c:pt>
                <c:pt idx="7">
                  <c:v>67.100000000000009</c:v>
                </c:pt>
                <c:pt idx="8">
                  <c:v>59.531999999994881</c:v>
                </c:pt>
                <c:pt idx="9">
                  <c:v>58.608000000030735</c:v>
                </c:pt>
                <c:pt idx="10">
                  <c:v>68.727999999979517</c:v>
                </c:pt>
                <c:pt idx="11">
                  <c:v>65.4720000000205</c:v>
                </c:pt>
                <c:pt idx="12">
                  <c:v>65.295999999984645</c:v>
                </c:pt>
                <c:pt idx="13">
                  <c:v>64.504000000015367</c:v>
                </c:pt>
                <c:pt idx="14">
                  <c:v>73.127999999979522</c:v>
                </c:pt>
                <c:pt idx="15">
                  <c:v>79.288000000017931</c:v>
                </c:pt>
                <c:pt idx="16">
                  <c:v>94.468000000005134</c:v>
                </c:pt>
                <c:pt idx="17">
                  <c:v>2881182.392</c:v>
                </c:pt>
                <c:pt idx="18">
                  <c:v>-2881089.6840000004</c:v>
                </c:pt>
                <c:pt idx="19">
                  <c:v>-320178.71600000001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56923776"/>
        <c:axId val="156925312"/>
      </c:lineChart>
      <c:catAx>
        <c:axId val="156923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25312"/>
        <c:crosses val="autoZero"/>
        <c:auto val="1"/>
        <c:lblAlgn val="ctr"/>
        <c:lblOffset val="100"/>
      </c:catAx>
      <c:valAx>
        <c:axId val="1569253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23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2214</c:v>
                </c:pt>
                <c:pt idx="3">
                  <c:v>2379</c:v>
                </c:pt>
                <c:pt idx="4">
                  <c:v>2370</c:v>
                </c:pt>
                <c:pt idx="5">
                  <c:v>2154</c:v>
                </c:pt>
                <c:pt idx="6">
                  <c:v>2268</c:v>
                </c:pt>
                <c:pt idx="7">
                  <c:v>2332</c:v>
                </c:pt>
                <c:pt idx="8">
                  <c:v>2229</c:v>
                </c:pt>
                <c:pt idx="9">
                  <c:v>2245</c:v>
                </c:pt>
                <c:pt idx="10">
                  <c:v>2375</c:v>
                </c:pt>
                <c:pt idx="11">
                  <c:v>2298</c:v>
                </c:pt>
                <c:pt idx="12">
                  <c:v>2245</c:v>
                </c:pt>
                <c:pt idx="13">
                  <c:v>2131</c:v>
                </c:pt>
                <c:pt idx="14">
                  <c:v>2325</c:v>
                </c:pt>
                <c:pt idx="15">
                  <c:v>2264</c:v>
                </c:pt>
                <c:pt idx="16">
                  <c:v>2360</c:v>
                </c:pt>
                <c:pt idx="17">
                  <c:v>2740</c:v>
                </c:pt>
                <c:pt idx="18">
                  <c:v>2624</c:v>
                </c:pt>
                <c:pt idx="19">
                  <c:v>2889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57400448"/>
        <c:axId val="158488064"/>
      </c:lineChart>
      <c:catAx>
        <c:axId val="1574004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488064"/>
        <c:crosses val="autoZero"/>
        <c:auto val="1"/>
        <c:lblAlgn val="ctr"/>
        <c:lblOffset val="100"/>
      </c:catAx>
      <c:valAx>
        <c:axId val="15848806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40044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36</c:v>
                </c:pt>
                <c:pt idx="1">
                  <c:v>45</c:v>
                </c:pt>
                <c:pt idx="2">
                  <c:v>36</c:v>
                </c:pt>
                <c:pt idx="3">
                  <c:v>60</c:v>
                </c:pt>
                <c:pt idx="4">
                  <c:v>45</c:v>
                </c:pt>
                <c:pt idx="5">
                  <c:v>57</c:v>
                </c:pt>
                <c:pt idx="6">
                  <c:v>59</c:v>
                </c:pt>
                <c:pt idx="7">
                  <c:v>46</c:v>
                </c:pt>
                <c:pt idx="8">
                  <c:v>56</c:v>
                </c:pt>
                <c:pt idx="9">
                  <c:v>98</c:v>
                </c:pt>
                <c:pt idx="10">
                  <c:v>73</c:v>
                </c:pt>
                <c:pt idx="11">
                  <c:v>42</c:v>
                </c:pt>
                <c:pt idx="12">
                  <c:v>53</c:v>
                </c:pt>
                <c:pt idx="13">
                  <c:v>43</c:v>
                </c:pt>
                <c:pt idx="14">
                  <c:v>48</c:v>
                </c:pt>
                <c:pt idx="15">
                  <c:v>56</c:v>
                </c:pt>
                <c:pt idx="16">
                  <c:v>71</c:v>
                </c:pt>
                <c:pt idx="17">
                  <c:v>57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58508928"/>
        <c:axId val="158674944"/>
      </c:lineChart>
      <c:catAx>
        <c:axId val="1585089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74944"/>
        <c:crosses val="autoZero"/>
        <c:auto val="1"/>
        <c:lblAlgn val="ctr"/>
        <c:lblOffset val="100"/>
      </c:catAx>
      <c:valAx>
        <c:axId val="15867494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50892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958.62</c:v>
                </c:pt>
                <c:pt idx="3">
                  <c:v>976.24</c:v>
                </c:pt>
                <c:pt idx="4">
                  <c:v>996.18</c:v>
                </c:pt>
                <c:pt idx="5">
                  <c:v>924.63</c:v>
                </c:pt>
                <c:pt idx="6">
                  <c:v>936.98</c:v>
                </c:pt>
                <c:pt idx="7">
                  <c:v>1073.5899999999999</c:v>
                </c:pt>
                <c:pt idx="8">
                  <c:v>1027.54</c:v>
                </c:pt>
                <c:pt idx="9">
                  <c:v>956.81999999999994</c:v>
                </c:pt>
                <c:pt idx="10">
                  <c:v>1056.8400000000001</c:v>
                </c:pt>
                <c:pt idx="11">
                  <c:v>1066.0500000000002</c:v>
                </c:pt>
                <c:pt idx="12">
                  <c:v>1052.07</c:v>
                </c:pt>
                <c:pt idx="13">
                  <c:v>994.12</c:v>
                </c:pt>
                <c:pt idx="14">
                  <c:v>995.96</c:v>
                </c:pt>
                <c:pt idx="15">
                  <c:v>1077.01</c:v>
                </c:pt>
                <c:pt idx="16">
                  <c:v>1205.8800000000001</c:v>
                </c:pt>
                <c:pt idx="17">
                  <c:v>1387.24</c:v>
                </c:pt>
                <c:pt idx="18">
                  <c:v>997.16000000000008</c:v>
                </c:pt>
                <c:pt idx="19">
                  <c:v>1208.03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58699904"/>
        <c:axId val="158701440"/>
      </c:lineChart>
      <c:catAx>
        <c:axId val="158699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701440"/>
        <c:crosses val="autoZero"/>
        <c:auto val="1"/>
        <c:lblAlgn val="ctr"/>
        <c:lblOffset val="200"/>
        <c:tickLblSkip val="1"/>
      </c:catAx>
      <c:valAx>
        <c:axId val="15870144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99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5.1900000000000002E-2</c:v>
                </c:pt>
                <c:pt idx="1">
                  <c:v>3.9E-2</c:v>
                </c:pt>
                <c:pt idx="2">
                  <c:v>2.5999999999999999E-2</c:v>
                </c:pt>
                <c:pt idx="3">
                  <c:v>1.2999999999999999E-2</c:v>
                </c:pt>
                <c:pt idx="4">
                  <c:v>2.3E-2</c:v>
                </c:pt>
                <c:pt idx="5">
                  <c:v>2.3E-2</c:v>
                </c:pt>
                <c:pt idx="6">
                  <c:v>3.9E-2</c:v>
                </c:pt>
                <c:pt idx="7">
                  <c:v>5.1900000000000002E-2</c:v>
                </c:pt>
                <c:pt idx="8">
                  <c:v>5.1900000000000002E-2</c:v>
                </c:pt>
                <c:pt idx="9">
                  <c:v>5.1900000000000002E-2</c:v>
                </c:pt>
                <c:pt idx="10">
                  <c:v>1.2999999999999999E-2</c:v>
                </c:pt>
                <c:pt idx="11">
                  <c:v>3.9E-2</c:v>
                </c:pt>
                <c:pt idx="12">
                  <c:v>5.1900000000000002E-2</c:v>
                </c:pt>
                <c:pt idx="13">
                  <c:v>1.2999999999999999E-2</c:v>
                </c:pt>
                <c:pt idx="14">
                  <c:v>5.1900000000000002E-2</c:v>
                </c:pt>
                <c:pt idx="15">
                  <c:v>0.1169</c:v>
                </c:pt>
                <c:pt idx="16">
                  <c:v>0.15790000000000001</c:v>
                </c:pt>
                <c:pt idx="17">
                  <c:v>0.15790000000000001</c:v>
                </c:pt>
                <c:pt idx="18">
                  <c:v>0.12989999999999999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59262592"/>
        <c:axId val="159264128"/>
      </c:lineChart>
      <c:catAx>
        <c:axId val="159262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264128"/>
        <c:crosses val="autoZero"/>
        <c:auto val="1"/>
        <c:lblAlgn val="ctr"/>
        <c:lblOffset val="100"/>
      </c:catAx>
      <c:valAx>
        <c:axId val="15926412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262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943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55.92400000002818</c:v>
                </c:pt>
                <c:pt idx="1">
                  <c:v>33.087999999953901</c:v>
                </c:pt>
                <c:pt idx="2">
                  <c:v>66.131999999994889</c:v>
                </c:pt>
                <c:pt idx="3">
                  <c:v>65.428000000043539</c:v>
                </c:pt>
                <c:pt idx="4">
                  <c:v>81.268000000005131</c:v>
                </c:pt>
                <c:pt idx="5">
                  <c:v>76.823999999964144</c:v>
                </c:pt>
                <c:pt idx="6">
                  <c:v>49.72000000001281</c:v>
                </c:pt>
                <c:pt idx="7">
                  <c:v>67.100000000000009</c:v>
                </c:pt>
                <c:pt idx="8">
                  <c:v>59.531999999994881</c:v>
                </c:pt>
                <c:pt idx="9">
                  <c:v>58.608000000030735</c:v>
                </c:pt>
                <c:pt idx="10">
                  <c:v>68.727999999979517</c:v>
                </c:pt>
                <c:pt idx="11">
                  <c:v>65.4720000000205</c:v>
                </c:pt>
                <c:pt idx="12">
                  <c:v>65.295999999984645</c:v>
                </c:pt>
                <c:pt idx="13">
                  <c:v>64.504000000015367</c:v>
                </c:pt>
                <c:pt idx="14">
                  <c:v>73.127999999979522</c:v>
                </c:pt>
                <c:pt idx="15">
                  <c:v>79.288000000017931</c:v>
                </c:pt>
                <c:pt idx="16">
                  <c:v>94.468000000005134</c:v>
                </c:pt>
                <c:pt idx="17">
                  <c:v>2881182.392</c:v>
                </c:pt>
                <c:pt idx="18">
                  <c:v>-2881089.6840000004</c:v>
                </c:pt>
                <c:pt idx="19">
                  <c:v>-320178.71600000001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56953984"/>
        <c:axId val="159298688"/>
      </c:lineChart>
      <c:catAx>
        <c:axId val="156953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298688"/>
        <c:crosses val="autoZero"/>
        <c:auto val="1"/>
        <c:lblAlgn val="ctr"/>
        <c:lblOffset val="100"/>
      </c:catAx>
      <c:valAx>
        <c:axId val="1592986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53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58463104"/>
        <c:axId val="158465024"/>
      </c:lineChart>
      <c:catAx>
        <c:axId val="1584631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465024"/>
        <c:crosses val="autoZero"/>
        <c:auto val="1"/>
        <c:lblAlgn val="ctr"/>
        <c:lblOffset val="100"/>
      </c:catAx>
      <c:valAx>
        <c:axId val="15846502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46310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60177536"/>
        <c:axId val="160204288"/>
      </c:lineChart>
      <c:catAx>
        <c:axId val="1601775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204288"/>
        <c:crosses val="autoZero"/>
        <c:auto val="1"/>
        <c:lblAlgn val="ctr"/>
        <c:lblOffset val="100"/>
      </c:catAx>
      <c:valAx>
        <c:axId val="16020428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17753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60233344"/>
        <c:axId val="160234880"/>
      </c:lineChart>
      <c:catAx>
        <c:axId val="160233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234880"/>
        <c:crosses val="autoZero"/>
        <c:auto val="1"/>
        <c:lblAlgn val="ctr"/>
        <c:lblOffset val="200"/>
        <c:tickLblSkip val="1"/>
      </c:catAx>
      <c:valAx>
        <c:axId val="16023488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233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60411008"/>
        <c:axId val="160416896"/>
      </c:lineChart>
      <c:catAx>
        <c:axId val="160411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416896"/>
        <c:crosses val="autoZero"/>
        <c:auto val="1"/>
        <c:lblAlgn val="ctr"/>
        <c:lblOffset val="100"/>
      </c:catAx>
      <c:valAx>
        <c:axId val="1604168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411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193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60900224"/>
        <c:axId val="160901760"/>
      </c:lineChart>
      <c:catAx>
        <c:axId val="160900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01760"/>
        <c:crosses val="autoZero"/>
        <c:auto val="1"/>
        <c:lblAlgn val="ctr"/>
        <c:lblOffset val="100"/>
      </c:catAx>
      <c:valAx>
        <c:axId val="1609017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00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60938624"/>
        <c:axId val="160699136"/>
      </c:lineChart>
      <c:catAx>
        <c:axId val="1609386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699136"/>
        <c:crosses val="autoZero"/>
        <c:auto val="1"/>
        <c:lblAlgn val="ctr"/>
        <c:lblOffset val="100"/>
      </c:catAx>
      <c:valAx>
        <c:axId val="16069913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3862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60752768"/>
        <c:axId val="160754688"/>
      </c:lineChart>
      <c:catAx>
        <c:axId val="1607527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754688"/>
        <c:crosses val="autoZero"/>
        <c:auto val="1"/>
        <c:lblAlgn val="ctr"/>
        <c:lblOffset val="100"/>
      </c:catAx>
      <c:valAx>
        <c:axId val="16075468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75276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61238400"/>
        <c:axId val="161248384"/>
      </c:lineChart>
      <c:catAx>
        <c:axId val="161238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48384"/>
        <c:crosses val="autoZero"/>
        <c:auto val="1"/>
        <c:lblAlgn val="ctr"/>
        <c:lblOffset val="200"/>
        <c:tickLblSkip val="1"/>
      </c:catAx>
      <c:valAx>
        <c:axId val="16124838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38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61617024"/>
        <c:axId val="161618560"/>
      </c:lineChart>
      <c:catAx>
        <c:axId val="161617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18560"/>
        <c:crosses val="autoZero"/>
        <c:auto val="1"/>
        <c:lblAlgn val="ctr"/>
        <c:lblOffset val="100"/>
      </c:catAx>
      <c:valAx>
        <c:axId val="1616185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17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193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61630848"/>
        <c:axId val="161644928"/>
      </c:lineChart>
      <c:catAx>
        <c:axId val="161630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44928"/>
        <c:crosses val="autoZero"/>
        <c:auto val="1"/>
        <c:lblAlgn val="ctr"/>
        <c:lblOffset val="100"/>
      </c:catAx>
      <c:valAx>
        <c:axId val="1616449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30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D36" sqref="D36"/>
    </sheetView>
  </sheetViews>
  <sheetFormatPr defaultColWidth="11.5703125" defaultRowHeight="12.75"/>
  <cols>
    <col min="1" max="1" width="12.42578125" style="12" customWidth="1"/>
    <col min="2" max="3" width="11.5703125" style="423"/>
    <col min="4" max="4" width="13.42578125" style="424" customWidth="1"/>
    <col min="5" max="5" width="12.5703125" style="425" customWidth="1"/>
    <col min="6" max="6" width="12.5703125" style="12" customWidth="1"/>
    <col min="7" max="7" width="11.5703125" style="12"/>
    <col min="8" max="8" width="11.5703125" style="433"/>
    <col min="9" max="9" width="11.5703125" style="12"/>
    <col min="10" max="10" width="11.5703125" style="433"/>
    <col min="11" max="11" width="11.5703125" style="425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21" customFormat="1" ht="60.75" thickBot="1">
      <c r="A1" s="415" t="s">
        <v>271</v>
      </c>
      <c r="B1" s="416" t="s">
        <v>272</v>
      </c>
      <c r="C1" s="416" t="s">
        <v>273</v>
      </c>
      <c r="D1" s="417" t="s">
        <v>274</v>
      </c>
      <c r="E1" s="418" t="s">
        <v>275</v>
      </c>
      <c r="F1" s="419" t="s">
        <v>276</v>
      </c>
      <c r="G1" s="419" t="s">
        <v>277</v>
      </c>
      <c r="H1" s="431" t="s">
        <v>278</v>
      </c>
      <c r="I1" s="419" t="s">
        <v>279</v>
      </c>
      <c r="J1" s="431" t="s">
        <v>280</v>
      </c>
      <c r="K1" s="418" t="s">
        <v>281</v>
      </c>
      <c r="L1" s="420" t="s">
        <v>282</v>
      </c>
    </row>
    <row r="2" spans="1:12">
      <c r="A2" s="422" t="s">
        <v>283</v>
      </c>
      <c r="B2" s="423">
        <v>1</v>
      </c>
      <c r="C2" s="423">
        <v>10</v>
      </c>
      <c r="D2" s="424">
        <v>2020</v>
      </c>
      <c r="E2" s="425">
        <f>'UTILITY REPORT 1'!F3</f>
        <v>2214</v>
      </c>
      <c r="F2" s="426">
        <f>('UTILITY REPORT 1'!E3*'UTILITY REPORT 1'!D3)/'UTILITY REPORT 1'!F3</f>
        <v>0.41149051490514904</v>
      </c>
      <c r="G2" s="426">
        <f>IF('Utility summery'!M6&lt;0,"0",'Utility summery'!M6)</f>
        <v>55.92400000002818</v>
      </c>
      <c r="H2" s="432">
        <v>0</v>
      </c>
      <c r="I2" s="426">
        <f>IF('UTILITY REPORT 1'!G3&lt;0,"0",'UTILITY REPORT 1'!G3)</f>
        <v>36</v>
      </c>
      <c r="J2" s="432">
        <v>0</v>
      </c>
      <c r="K2" s="425">
        <f>'UTILITY REPORT 1'!C3</f>
        <v>5</v>
      </c>
      <c r="L2" s="427" t="e">
        <f>E2*F2+G2*H2+#REF!*#REF!+I2*J2</f>
        <v>#REF!</v>
      </c>
    </row>
    <row r="3" spans="1:12">
      <c r="A3" s="422" t="s">
        <v>283</v>
      </c>
      <c r="B3" s="423">
        <f>B2+1</f>
        <v>2</v>
      </c>
      <c r="C3" s="423">
        <v>10</v>
      </c>
      <c r="D3" s="424">
        <v>2020</v>
      </c>
      <c r="E3" s="425">
        <f>'UTILITY REPORT 1'!F4</f>
        <v>2379</v>
      </c>
      <c r="F3" s="426">
        <f>('UTILITY REPORT 1'!E4*'UTILITY REPORT 1'!D4)/'UTILITY REPORT 1'!F4</f>
        <v>0.41035729298024382</v>
      </c>
      <c r="G3" s="426">
        <f>IF('Utility summery'!M7&lt;0,"0",'Utility summery'!M7)</f>
        <v>33.087999999953901</v>
      </c>
      <c r="H3" s="432">
        <v>0</v>
      </c>
      <c r="I3" s="426">
        <f>IF('UTILITY REPORT 1'!G4&lt;0,"0",'UTILITY REPORT 1'!G4)</f>
        <v>45</v>
      </c>
      <c r="J3" s="432">
        <v>0</v>
      </c>
      <c r="K3" s="425">
        <f>'UTILITY REPORT 1'!C4</f>
        <v>4</v>
      </c>
      <c r="L3" s="427" t="e">
        <f>E3*F3+G3*H3+#REF!*#REF!+I3*J3</f>
        <v>#REF!</v>
      </c>
    </row>
    <row r="4" spans="1:12">
      <c r="A4" s="422" t="s">
        <v>283</v>
      </c>
      <c r="B4" s="423">
        <f t="shared" ref="B4:B32" si="0">B3+1</f>
        <v>3</v>
      </c>
      <c r="C4" s="423">
        <v>10</v>
      </c>
      <c r="D4" s="424">
        <v>2020</v>
      </c>
      <c r="E4" s="425">
        <f>'UTILITY REPORT 1'!F5</f>
        <v>2370</v>
      </c>
      <c r="F4" s="426">
        <f>('UTILITY REPORT 1'!E5*'UTILITY REPORT 1'!D5)/'UTILITY REPORT 1'!F5</f>
        <v>0.42032911392405059</v>
      </c>
      <c r="G4" s="426">
        <f>IF('Utility summery'!M8&lt;0,"0",'Utility summery'!M8)</f>
        <v>66.131999999994889</v>
      </c>
      <c r="H4" s="432">
        <v>0</v>
      </c>
      <c r="I4" s="426">
        <f>IF('UTILITY REPORT 1'!G5&lt;0,"0",'UTILITY REPORT 1'!G5)</f>
        <v>36</v>
      </c>
      <c r="J4" s="432">
        <v>0</v>
      </c>
      <c r="K4" s="425">
        <f>'UTILITY REPORT 1'!C5</f>
        <v>2</v>
      </c>
      <c r="L4" s="427" t="e">
        <f>E4*F4+G4*H4+#REF!*#REF!+I4*J4</f>
        <v>#REF!</v>
      </c>
    </row>
    <row r="5" spans="1:12">
      <c r="A5" s="422" t="s">
        <v>283</v>
      </c>
      <c r="B5" s="423">
        <f t="shared" si="0"/>
        <v>4</v>
      </c>
      <c r="C5" s="423">
        <v>10</v>
      </c>
      <c r="D5" s="424">
        <v>2020</v>
      </c>
      <c r="E5" s="425">
        <f>'UTILITY REPORT 1'!F6</f>
        <v>2154</v>
      </c>
      <c r="F5" s="426">
        <f>('UTILITY REPORT 1'!E6*'UTILITY REPORT 1'!D6)/'UTILITY REPORT 1'!F6</f>
        <v>0.4292618384401114</v>
      </c>
      <c r="G5" s="426">
        <f>IF('Utility summery'!M9&lt;0,"0",'Utility summery'!M9)</f>
        <v>65.428000000043539</v>
      </c>
      <c r="H5" s="432">
        <v>0</v>
      </c>
      <c r="I5" s="426">
        <f>IF('UTILITY REPORT 1'!G6&lt;0,"0",'UTILITY REPORT 1'!G6)</f>
        <v>60</v>
      </c>
      <c r="J5" s="432">
        <v>0</v>
      </c>
      <c r="K5" s="425">
        <f>'UTILITY REPORT 1'!C6</f>
        <v>1</v>
      </c>
      <c r="L5" s="427" t="e">
        <f>E5*F5+G5*H5+#REF!*#REF!+I5*J5</f>
        <v>#REF!</v>
      </c>
    </row>
    <row r="6" spans="1:12">
      <c r="A6" s="422" t="s">
        <v>283</v>
      </c>
      <c r="B6" s="423">
        <f t="shared" si="0"/>
        <v>5</v>
      </c>
      <c r="C6" s="423">
        <v>10</v>
      </c>
      <c r="D6" s="424">
        <v>2020</v>
      </c>
      <c r="E6" s="425">
        <f>'UTILITY REPORT 1'!F7</f>
        <v>2268</v>
      </c>
      <c r="F6" s="426">
        <f>('UTILITY REPORT 1'!E7*'UTILITY REPORT 1'!D7)/'UTILITY REPORT 1'!F7</f>
        <v>0.41313051146384483</v>
      </c>
      <c r="G6" s="426">
        <f>IF('Utility summery'!M10&lt;0,"0",'Utility summery'!M10)</f>
        <v>81.268000000005131</v>
      </c>
      <c r="H6" s="432">
        <v>0</v>
      </c>
      <c r="I6" s="426">
        <f>IF('UTILITY REPORT 1'!G7&lt;0,"0",'UTILITY REPORT 1'!G7)</f>
        <v>45</v>
      </c>
      <c r="J6" s="432">
        <v>0</v>
      </c>
      <c r="K6" s="425">
        <f>'UTILITY REPORT 1'!C7</f>
        <v>2</v>
      </c>
      <c r="L6" s="427" t="e">
        <f>E6*F6+G6*H6+#REF!*#REF!+I6*J6</f>
        <v>#REF!</v>
      </c>
    </row>
    <row r="7" spans="1:12">
      <c r="A7" s="422" t="s">
        <v>283</v>
      </c>
      <c r="B7" s="423">
        <f t="shared" si="0"/>
        <v>6</v>
      </c>
      <c r="C7" s="423">
        <v>10</v>
      </c>
      <c r="D7" s="424">
        <v>2020</v>
      </c>
      <c r="E7" s="425">
        <f>'UTILITY REPORT 1'!F8</f>
        <v>2332</v>
      </c>
      <c r="F7" s="426">
        <f>('UTILITY REPORT 1'!E8*'UTILITY REPORT 1'!D8)/'UTILITY REPORT 1'!F8</f>
        <v>0.42135077186963976</v>
      </c>
      <c r="G7" s="426">
        <f>IF('Utility summery'!M11&lt;0,"0",'Utility summery'!M11)</f>
        <v>76.823999999964144</v>
      </c>
      <c r="H7" s="432">
        <v>0</v>
      </c>
      <c r="I7" s="426">
        <f>IF('UTILITY REPORT 1'!G8&lt;0,"0",'UTILITY REPORT 1'!G8)</f>
        <v>57</v>
      </c>
      <c r="J7" s="432">
        <v>0</v>
      </c>
      <c r="K7" s="425">
        <f>'UTILITY REPORT 1'!C8</f>
        <v>2</v>
      </c>
      <c r="L7" s="427" t="e">
        <f>E7*F7+G7*H7+#REF!*#REF!+I7*J7</f>
        <v>#REF!</v>
      </c>
    </row>
    <row r="8" spans="1:12">
      <c r="A8" s="422" t="s">
        <v>283</v>
      </c>
      <c r="B8" s="423">
        <f t="shared" si="0"/>
        <v>7</v>
      </c>
      <c r="C8" s="423">
        <v>10</v>
      </c>
      <c r="D8" s="424">
        <v>2020</v>
      </c>
      <c r="E8" s="425">
        <f>'UTILITY REPORT 1'!F9</f>
        <v>2229</v>
      </c>
      <c r="F8" s="426">
        <f>('UTILITY REPORT 1'!E9*'UTILITY REPORT 1'!D9)/'UTILITY REPORT 1'!F9</f>
        <v>0.42645580978017045</v>
      </c>
      <c r="G8" s="426">
        <f>IF('Utility summery'!M12&lt;0,"0",'Utility summery'!M12)</f>
        <v>49.72000000001281</v>
      </c>
      <c r="H8" s="432">
        <v>0</v>
      </c>
      <c r="I8" s="426">
        <f>IF('UTILITY REPORT 1'!G9&lt;0,"0",'UTILITY REPORT 1'!G9)</f>
        <v>59</v>
      </c>
      <c r="J8" s="432">
        <v>0</v>
      </c>
      <c r="K8" s="425">
        <f>'UTILITY REPORT 1'!C9</f>
        <v>4</v>
      </c>
      <c r="L8" s="427" t="e">
        <f>E8*F8+G8*H8+#REF!*#REF!+I8*J8</f>
        <v>#REF!</v>
      </c>
    </row>
    <row r="9" spans="1:12">
      <c r="A9" s="422" t="s">
        <v>283</v>
      </c>
      <c r="B9" s="423">
        <f t="shared" si="0"/>
        <v>8</v>
      </c>
      <c r="C9" s="423">
        <v>10</v>
      </c>
      <c r="D9" s="424">
        <v>2020</v>
      </c>
      <c r="E9" s="425">
        <f>'UTILITY REPORT 1'!F10</f>
        <v>2245</v>
      </c>
      <c r="F9" s="426">
        <f>('UTILITY REPORT 1'!E10*'UTILITY REPORT 1'!D10)/'UTILITY REPORT 1'!F10</f>
        <v>0.42620044543429841</v>
      </c>
      <c r="G9" s="426">
        <f>IF('Utility summery'!M13&lt;0,"0",'Utility summery'!M13)</f>
        <v>67.100000000000009</v>
      </c>
      <c r="H9" s="432">
        <v>0</v>
      </c>
      <c r="I9" s="426">
        <f>IF('UTILITY REPORT 1'!G10&lt;0,"0",'UTILITY REPORT 1'!G10)</f>
        <v>46</v>
      </c>
      <c r="J9" s="432">
        <v>0</v>
      </c>
      <c r="K9" s="425">
        <f>'UTILITY REPORT 1'!C10</f>
        <v>5</v>
      </c>
      <c r="L9" s="427" t="e">
        <f>E9*F9+G9*H9+#REF!*#REF!+I9*J9</f>
        <v>#REF!</v>
      </c>
    </row>
    <row r="10" spans="1:12">
      <c r="A10" s="422" t="s">
        <v>283</v>
      </c>
      <c r="B10" s="423">
        <f t="shared" si="0"/>
        <v>9</v>
      </c>
      <c r="C10" s="423">
        <v>10</v>
      </c>
      <c r="D10" s="424">
        <v>2020</v>
      </c>
      <c r="E10" s="425">
        <f>'UTILITY REPORT 1'!F11</f>
        <v>2375</v>
      </c>
      <c r="F10" s="426">
        <f>('UTILITY REPORT 1'!E11*'UTILITY REPORT 1'!D11)/'UTILITY REPORT 1'!F11</f>
        <v>0.41698947368421052</v>
      </c>
      <c r="G10" s="426">
        <f>IF('Utility summery'!M14&lt;0,"0",'Utility summery'!M14)</f>
        <v>59.531999999994881</v>
      </c>
      <c r="H10" s="432">
        <v>0</v>
      </c>
      <c r="I10" s="426">
        <f>IF('UTILITY REPORT 1'!G11&lt;0,"0",'UTILITY REPORT 1'!G11)</f>
        <v>56</v>
      </c>
      <c r="J10" s="432">
        <v>0</v>
      </c>
      <c r="K10" s="425">
        <f>'UTILITY REPORT 1'!C11</f>
        <v>5</v>
      </c>
      <c r="L10" s="427" t="e">
        <f>E10*F10+G10*H10+#REF!*#REF!+I10*J10</f>
        <v>#REF!</v>
      </c>
    </row>
    <row r="11" spans="1:12">
      <c r="A11" s="422" t="s">
        <v>283</v>
      </c>
      <c r="B11" s="423">
        <f t="shared" si="0"/>
        <v>10</v>
      </c>
      <c r="C11" s="423">
        <v>10</v>
      </c>
      <c r="D11" s="424">
        <v>2020</v>
      </c>
      <c r="E11" s="425">
        <f>'UTILITY REPORT 1'!F12</f>
        <v>2298</v>
      </c>
      <c r="F11" s="426">
        <f>('UTILITY REPORT 1'!E12*'UTILITY REPORT 1'!D12)/'UTILITY REPORT 1'!F12</f>
        <v>0.43300696257615323</v>
      </c>
      <c r="G11" s="426">
        <f>IF('Utility summery'!M15&lt;0,"0",'Utility summery'!M15)</f>
        <v>58.608000000030735</v>
      </c>
      <c r="H11" s="432">
        <v>0</v>
      </c>
      <c r="I11" s="426">
        <f>IF('UTILITY REPORT 1'!G12&lt;0,"0",'UTILITY REPORT 1'!G12)</f>
        <v>98</v>
      </c>
      <c r="J11" s="432">
        <v>0</v>
      </c>
      <c r="K11" s="425">
        <f>'UTILITY REPORT 1'!C12</f>
        <v>5</v>
      </c>
      <c r="L11" s="427" t="e">
        <f>E11*F11+G11*H11+#REF!*#REF!+I11*J11</f>
        <v>#REF!</v>
      </c>
    </row>
    <row r="12" spans="1:12">
      <c r="A12" s="422" t="s">
        <v>283</v>
      </c>
      <c r="B12" s="423">
        <f t="shared" si="0"/>
        <v>11</v>
      </c>
      <c r="C12" s="423">
        <v>10</v>
      </c>
      <c r="D12" s="424">
        <v>2020</v>
      </c>
      <c r="E12" s="425">
        <f>'UTILITY REPORT 1'!F13</f>
        <v>2245</v>
      </c>
      <c r="F12" s="426">
        <f>('UTILITY REPORT 1'!E13*'UTILITY REPORT 1'!D13)/'UTILITY REPORT 1'!F13</f>
        <v>0.43696213808463252</v>
      </c>
      <c r="G12" s="426">
        <f>IF('Utility summery'!M16&lt;0,"0",'Utility summery'!M16)</f>
        <v>68.727999999979517</v>
      </c>
      <c r="H12" s="432">
        <v>0</v>
      </c>
      <c r="I12" s="426">
        <f>IF('UTILITY REPORT 1'!G13&lt;0,"0",'UTILITY REPORT 1'!G13)</f>
        <v>73</v>
      </c>
      <c r="J12" s="432">
        <v>0</v>
      </c>
      <c r="K12" s="425">
        <f>'UTILITY REPORT 1'!C13</f>
        <v>2</v>
      </c>
      <c r="L12" s="427" t="e">
        <f>E12*F12+G12*H12+#REF!*#REF!+I12*J12</f>
        <v>#REF!</v>
      </c>
    </row>
    <row r="13" spans="1:12">
      <c r="A13" s="422" t="s">
        <v>283</v>
      </c>
      <c r="B13" s="423">
        <f t="shared" si="0"/>
        <v>12</v>
      </c>
      <c r="C13" s="423">
        <v>10</v>
      </c>
      <c r="D13" s="424">
        <v>2020</v>
      </c>
      <c r="E13" s="425">
        <f>'UTILITY REPORT 1'!F14</f>
        <v>2131</v>
      </c>
      <c r="F13" s="426">
        <f>('UTILITY REPORT 1'!E14*'UTILITY REPORT 1'!D14)/'UTILITY REPORT 1'!F14</f>
        <v>0.43887846081651805</v>
      </c>
      <c r="G13" s="426">
        <f>IF('Utility summery'!M17&lt;0,"0",'Utility summery'!M17)</f>
        <v>65.4720000000205</v>
      </c>
      <c r="H13" s="432">
        <v>0</v>
      </c>
      <c r="I13" s="426">
        <f>IF('UTILITY REPORT 1'!G14&lt;0,"0",'UTILITY REPORT 1'!G14)</f>
        <v>42</v>
      </c>
      <c r="J13" s="432">
        <v>0</v>
      </c>
      <c r="K13" s="425">
        <f>'UTILITY REPORT 1'!C14</f>
        <v>4</v>
      </c>
      <c r="L13" s="427" t="e">
        <f>E13*F13+G13*H13+#REF!*#REF!+I13*J13</f>
        <v>#REF!</v>
      </c>
    </row>
    <row r="14" spans="1:12">
      <c r="A14" s="422" t="s">
        <v>283</v>
      </c>
      <c r="B14" s="423">
        <f t="shared" si="0"/>
        <v>13</v>
      </c>
      <c r="C14" s="423">
        <v>10</v>
      </c>
      <c r="D14" s="424">
        <v>2020</v>
      </c>
      <c r="E14" s="425">
        <f>'UTILITY REPORT 1'!F15</f>
        <v>2325</v>
      </c>
      <c r="F14" s="426">
        <f>('UTILITY REPORT 1'!E15*'UTILITY REPORT 1'!D15)/'UTILITY REPORT 1'!F15</f>
        <v>0.4283698924731183</v>
      </c>
      <c r="G14" s="426">
        <f>IF('Utility summery'!M18&lt;0,"0",'Utility summery'!M18)</f>
        <v>65.295999999984645</v>
      </c>
      <c r="H14" s="432">
        <v>0</v>
      </c>
      <c r="I14" s="426">
        <f>IF('UTILITY REPORT 1'!G15&lt;0,"0",'UTILITY REPORT 1'!G15)</f>
        <v>53</v>
      </c>
      <c r="J14" s="432">
        <v>0</v>
      </c>
      <c r="K14" s="425">
        <f>'UTILITY REPORT 1'!C15</f>
        <v>5</v>
      </c>
      <c r="L14" s="427" t="e">
        <f>E14*F14+G14*H14+#REF!*#REF!+I14*J14</f>
        <v>#REF!</v>
      </c>
    </row>
    <row r="15" spans="1:12">
      <c r="A15" s="422" t="s">
        <v>283</v>
      </c>
      <c r="B15" s="423">
        <f t="shared" si="0"/>
        <v>14</v>
      </c>
      <c r="C15" s="423">
        <v>10</v>
      </c>
      <c r="D15" s="424">
        <v>2020</v>
      </c>
      <c r="E15" s="425">
        <f>'UTILITY REPORT 1'!F16</f>
        <v>2264</v>
      </c>
      <c r="F15" s="426">
        <f>('UTILITY REPORT 1'!E16*'UTILITY REPORT 1'!D16)/'UTILITY REPORT 1'!F16</f>
        <v>0.43028710247349827</v>
      </c>
      <c r="G15" s="426">
        <f>IF('Utility summery'!M19&lt;0,"0",'Utility summery'!M19)</f>
        <v>64.504000000015367</v>
      </c>
      <c r="H15" s="432">
        <v>0</v>
      </c>
      <c r="I15" s="426">
        <f>IF('UTILITY REPORT 1'!G16&lt;0,"0",'UTILITY REPORT 1'!G16)</f>
        <v>43</v>
      </c>
      <c r="J15" s="432">
        <v>0</v>
      </c>
      <c r="K15" s="425">
        <f>'UTILITY REPORT 1'!C16</f>
        <v>2</v>
      </c>
      <c r="L15" s="427" t="e">
        <f>E15*F15+G15*H15+#REF!*#REF!+I15*J15</f>
        <v>#REF!</v>
      </c>
    </row>
    <row r="16" spans="1:12">
      <c r="A16" s="422" t="s">
        <v>283</v>
      </c>
      <c r="B16" s="423">
        <f t="shared" si="0"/>
        <v>15</v>
      </c>
      <c r="C16" s="423">
        <v>10</v>
      </c>
      <c r="D16" s="424">
        <v>2020</v>
      </c>
      <c r="E16" s="425">
        <f>'UTILITY REPORT 1'!F17</f>
        <v>2360</v>
      </c>
      <c r="F16" s="426">
        <f>('UTILITY REPORT 1'!E17*'UTILITY REPORT 1'!D17)/'UTILITY REPORT 1'!F17</f>
        <v>0.44189830508474581</v>
      </c>
      <c r="G16" s="426">
        <f>IF('Utility summery'!M20&lt;0,"0",'Utility summery'!M20)</f>
        <v>73.127999999979522</v>
      </c>
      <c r="H16" s="432">
        <v>0</v>
      </c>
      <c r="I16" s="426">
        <f>IF('UTILITY REPORT 1'!G17&lt;0,"0",'UTILITY REPORT 1'!G17)</f>
        <v>48</v>
      </c>
      <c r="J16" s="432">
        <v>0</v>
      </c>
      <c r="K16" s="425">
        <f>'UTILITY REPORT 1'!C17</f>
        <v>5</v>
      </c>
      <c r="L16" s="427" t="e">
        <f>E16*F16+G16*H16+#REF!*#REF!+I16*J16</f>
        <v>#REF!</v>
      </c>
    </row>
    <row r="17" spans="1:12">
      <c r="A17" s="422" t="s">
        <v>283</v>
      </c>
      <c r="B17" s="423">
        <f t="shared" si="0"/>
        <v>16</v>
      </c>
      <c r="C17" s="423">
        <v>10</v>
      </c>
      <c r="D17" s="424">
        <v>2020</v>
      </c>
      <c r="E17" s="425">
        <f>'UTILITY REPORT 1'!F18</f>
        <v>2740</v>
      </c>
      <c r="F17" s="426">
        <f>('UTILITY REPORT 1'!E18*'UTILITY REPORT 1'!D18)/'UTILITY REPORT 1'!F18</f>
        <v>0.42955109489051096</v>
      </c>
      <c r="G17" s="426">
        <f>IF('Utility summery'!M21&lt;0,"0",'Utility summery'!M21)</f>
        <v>79.288000000017931</v>
      </c>
      <c r="H17" s="432">
        <v>0</v>
      </c>
      <c r="I17" s="426">
        <f>IF('UTILITY REPORT 1'!G18&lt;0,"0",'UTILITY REPORT 1'!G18)</f>
        <v>56</v>
      </c>
      <c r="J17" s="432">
        <v>0</v>
      </c>
      <c r="K17" s="425">
        <f>'UTILITY REPORT 1'!C18</f>
        <v>10</v>
      </c>
      <c r="L17" s="427" t="e">
        <f>E17*F17+G17*H17+#REF!*#REF!+I17*J17</f>
        <v>#REF!</v>
      </c>
    </row>
    <row r="18" spans="1:12">
      <c r="A18" s="422" t="s">
        <v>283</v>
      </c>
      <c r="B18" s="423">
        <f t="shared" si="0"/>
        <v>17</v>
      </c>
      <c r="C18" s="423">
        <v>10</v>
      </c>
      <c r="D18" s="424">
        <v>2020</v>
      </c>
      <c r="E18" s="425">
        <f>'UTILITY REPORT 1'!F19</f>
        <v>2624</v>
      </c>
      <c r="F18" s="426">
        <f>('UTILITY REPORT 1'!E19*'UTILITY REPORT 1'!D19)/'UTILITY REPORT 1'!F19</f>
        <v>0.38001524390243907</v>
      </c>
      <c r="G18" s="426">
        <f>IF('Utility summery'!M22&lt;0,"0",'Utility summery'!M22)</f>
        <v>94.468000000005134</v>
      </c>
      <c r="H18" s="432">
        <v>0</v>
      </c>
      <c r="I18" s="426">
        <f>IF('UTILITY REPORT 1'!G19&lt;0,"0",'UTILITY REPORT 1'!G19)</f>
        <v>71</v>
      </c>
      <c r="J18" s="432">
        <v>0</v>
      </c>
      <c r="K18" s="425">
        <f>'UTILITY REPORT 1'!C19</f>
        <v>12</v>
      </c>
      <c r="L18" s="427" t="e">
        <f>E18*F18+G18*H18+#REF!*#REF!+I18*J18</f>
        <v>#REF!</v>
      </c>
    </row>
    <row r="19" spans="1:12">
      <c r="A19" s="422" t="s">
        <v>283</v>
      </c>
      <c r="B19" s="423">
        <f t="shared" si="0"/>
        <v>18</v>
      </c>
      <c r="C19" s="423">
        <v>10</v>
      </c>
      <c r="D19" s="424">
        <v>2020</v>
      </c>
      <c r="E19" s="425">
        <f>'UTILITY REPORT 1'!F20</f>
        <v>2889</v>
      </c>
      <c r="F19" s="426">
        <f>('UTILITY REPORT 1'!E20*'UTILITY REPORT 1'!D20)/'UTILITY REPORT 1'!F20</f>
        <v>0.41814814814814816</v>
      </c>
      <c r="G19" s="426">
        <f>IF('Utility summery'!M23&lt;0,"0",'Utility summery'!M23)</f>
        <v>2881182.392</v>
      </c>
      <c r="H19" s="432">
        <v>0</v>
      </c>
      <c r="I19" s="426">
        <f>IF('UTILITY REPORT 1'!G20&lt;0,"0",'UTILITY REPORT 1'!G20)</f>
        <v>57</v>
      </c>
      <c r="J19" s="432">
        <v>0</v>
      </c>
      <c r="K19" s="425">
        <f>'UTILITY REPORT 1'!C20</f>
        <v>12</v>
      </c>
      <c r="L19" s="427" t="e">
        <f>E19*F19+G19*H19+#REF!*#REF!+I19*J19</f>
        <v>#REF!</v>
      </c>
    </row>
    <row r="20" spans="1:12">
      <c r="A20" s="422" t="s">
        <v>283</v>
      </c>
      <c r="B20" s="423">
        <f t="shared" si="0"/>
        <v>19</v>
      </c>
      <c r="C20" s="423">
        <v>10</v>
      </c>
      <c r="D20" s="424">
        <v>2020</v>
      </c>
      <c r="E20" s="425">
        <f>'UTILITY REPORT 1'!F21</f>
        <v>0</v>
      </c>
      <c r="F20" s="426" t="e">
        <f>('UTILITY REPORT 1'!E21*'UTILITY REPORT 1'!D21)/'UTILITY REPORT 1'!F21</f>
        <v>#DIV/0!</v>
      </c>
      <c r="G20" s="426" t="str">
        <f>IF('Utility summery'!M24&lt;0,"0",'Utility summery'!M24)</f>
        <v>0</v>
      </c>
      <c r="H20" s="432">
        <v>0</v>
      </c>
      <c r="I20" s="426" t="str">
        <f>IF('UTILITY REPORT 1'!G21&lt;0,"0",'UTILITY REPORT 1'!G21)</f>
        <v>0</v>
      </c>
      <c r="J20" s="432">
        <v>0</v>
      </c>
      <c r="K20" s="425">
        <f>'UTILITY REPORT 1'!C21</f>
        <v>12</v>
      </c>
      <c r="L20" s="427" t="e">
        <f>E20*F20+G20*H20+#REF!*#REF!+I20*J20</f>
        <v>#DIV/0!</v>
      </c>
    </row>
    <row r="21" spans="1:12">
      <c r="A21" s="422" t="s">
        <v>283</v>
      </c>
      <c r="B21" s="423">
        <f t="shared" si="0"/>
        <v>20</v>
      </c>
      <c r="C21" s="423">
        <v>10</v>
      </c>
      <c r="D21" s="424">
        <v>2020</v>
      </c>
      <c r="E21" s="425">
        <f>'UTILITY REPORT 1'!F22</f>
        <v>0</v>
      </c>
      <c r="F21" s="426" t="e">
        <f>('UTILITY REPORT 1'!E22*'UTILITY REPORT 1'!D22)/'UTILITY REPORT 1'!F22</f>
        <v>#DIV/0!</v>
      </c>
      <c r="G21" s="426" t="str">
        <f>IF('Utility summery'!M25&lt;0,"0",'Utility summery'!M25)</f>
        <v>0</v>
      </c>
      <c r="H21" s="432">
        <v>0</v>
      </c>
      <c r="I21" s="426">
        <f>IF('UTILITY REPORT 1'!G22&lt;0,"0",'UTILITY REPORT 1'!G22)</f>
        <v>0</v>
      </c>
      <c r="J21" s="432">
        <v>0</v>
      </c>
      <c r="K21" s="425">
        <f>'UTILITY REPORT 1'!C22</f>
        <v>10</v>
      </c>
      <c r="L21" s="427" t="e">
        <f>E21*F21+G21*H21+#REF!*#REF!+I21*J21</f>
        <v>#DIV/0!</v>
      </c>
    </row>
    <row r="22" spans="1:12">
      <c r="A22" s="422" t="s">
        <v>283</v>
      </c>
      <c r="B22" s="423">
        <f t="shared" si="0"/>
        <v>21</v>
      </c>
      <c r="C22" s="423">
        <v>10</v>
      </c>
      <c r="D22" s="424">
        <v>2020</v>
      </c>
      <c r="E22" s="425">
        <f>'UTILITY REPORT 1'!F23</f>
        <v>0</v>
      </c>
      <c r="F22" s="426" t="e">
        <f>('UTILITY REPORT 1'!E23*'UTILITY REPORT 1'!D23)/'UTILITY REPORT 1'!F23</f>
        <v>#DIV/0!</v>
      </c>
      <c r="G22" s="426">
        <f>IF('Utility summery'!M26&lt;0,"0",'Utility summery'!M26)</f>
        <v>0</v>
      </c>
      <c r="H22" s="432">
        <v>0</v>
      </c>
      <c r="I22" s="426">
        <f>IF('UTILITY REPORT 1'!G23&lt;0,"0",'UTILITY REPORT 1'!G23)</f>
        <v>0</v>
      </c>
      <c r="J22" s="432">
        <v>0</v>
      </c>
      <c r="K22" s="425">
        <f>'UTILITY REPORT 1'!C23</f>
        <v>0</v>
      </c>
      <c r="L22" s="427" t="e">
        <f>E22*F22+G22*H22+#REF!*#REF!+I22*J22</f>
        <v>#DIV/0!</v>
      </c>
    </row>
    <row r="23" spans="1:12">
      <c r="A23" s="422" t="s">
        <v>283</v>
      </c>
      <c r="B23" s="423">
        <f t="shared" si="0"/>
        <v>22</v>
      </c>
      <c r="C23" s="423">
        <v>10</v>
      </c>
      <c r="D23" s="424">
        <v>2020</v>
      </c>
      <c r="E23" s="425">
        <f>'UTILITY REPORT 1'!F24</f>
        <v>0</v>
      </c>
      <c r="F23" s="426" t="e">
        <f>('UTILITY REPORT 1'!E24*'UTILITY REPORT 1'!D24)/'UTILITY REPORT 1'!F24</f>
        <v>#DIV/0!</v>
      </c>
      <c r="G23" s="426">
        <f>IF('Utility summery'!M27&lt;0,"0",'Utility summery'!M27)</f>
        <v>0</v>
      </c>
      <c r="H23" s="432">
        <v>0</v>
      </c>
      <c r="I23" s="426">
        <f>IF('UTILITY REPORT 1'!G24&lt;0,"0",'UTILITY REPORT 1'!G24)</f>
        <v>0</v>
      </c>
      <c r="J23" s="432">
        <v>0</v>
      </c>
      <c r="K23" s="425">
        <f>'UTILITY REPORT 1'!C24</f>
        <v>0</v>
      </c>
      <c r="L23" s="427" t="e">
        <f>E23*F23+G23*H23+#REF!*#REF!+I23*J23</f>
        <v>#DIV/0!</v>
      </c>
    </row>
    <row r="24" spans="1:12">
      <c r="A24" s="422" t="s">
        <v>283</v>
      </c>
      <c r="B24" s="423">
        <f t="shared" si="0"/>
        <v>23</v>
      </c>
      <c r="C24" s="423">
        <v>10</v>
      </c>
      <c r="D24" s="424">
        <v>2020</v>
      </c>
      <c r="E24" s="425">
        <f>'UTILITY REPORT 1'!F25</f>
        <v>0</v>
      </c>
      <c r="F24" s="426" t="e">
        <f>('UTILITY REPORT 1'!E25*'UTILITY REPORT 1'!D25)/'UTILITY REPORT 1'!F25</f>
        <v>#DIV/0!</v>
      </c>
      <c r="G24" s="426">
        <f>IF('Utility summery'!M28&lt;0,"0",'Utility summery'!M28)</f>
        <v>0</v>
      </c>
      <c r="H24" s="432">
        <v>0</v>
      </c>
      <c r="I24" s="426">
        <f>IF('UTILITY REPORT 1'!G25&lt;0,"0",'UTILITY REPORT 1'!G25)</f>
        <v>0</v>
      </c>
      <c r="J24" s="432">
        <v>0</v>
      </c>
      <c r="K24" s="425">
        <f>'UTILITY REPORT 1'!C25</f>
        <v>0</v>
      </c>
      <c r="L24" s="427" t="e">
        <f>E24*F24+G24*H24+#REF!*#REF!+I24*J24</f>
        <v>#DIV/0!</v>
      </c>
    </row>
    <row r="25" spans="1:12">
      <c r="A25" s="422" t="s">
        <v>283</v>
      </c>
      <c r="B25" s="423">
        <f t="shared" si="0"/>
        <v>24</v>
      </c>
      <c r="C25" s="423">
        <v>10</v>
      </c>
      <c r="D25" s="424">
        <v>2020</v>
      </c>
      <c r="E25" s="425">
        <f>'UTILITY REPORT 1'!F26</f>
        <v>0</v>
      </c>
      <c r="F25" s="426" t="e">
        <f>('UTILITY REPORT 1'!E26*'UTILITY REPORT 1'!D26)/'UTILITY REPORT 1'!F26</f>
        <v>#DIV/0!</v>
      </c>
      <c r="G25" s="426">
        <f>IF('Utility summery'!M29&lt;0,"0",'Utility summery'!M29)</f>
        <v>0</v>
      </c>
      <c r="H25" s="432">
        <v>0</v>
      </c>
      <c r="I25" s="426">
        <f>IF('UTILITY REPORT 1'!G26&lt;0,"0",'UTILITY REPORT 1'!G26)</f>
        <v>0</v>
      </c>
      <c r="J25" s="432">
        <v>0</v>
      </c>
      <c r="K25" s="425">
        <f>'UTILITY REPORT 1'!C26</f>
        <v>0</v>
      </c>
      <c r="L25" s="427" t="e">
        <f>E25*F25+G25*H25+#REF!*#REF!+I25*J25</f>
        <v>#DIV/0!</v>
      </c>
    </row>
    <row r="26" spans="1:12">
      <c r="A26" s="422" t="s">
        <v>283</v>
      </c>
      <c r="B26" s="423">
        <f>B25+1</f>
        <v>25</v>
      </c>
      <c r="C26" s="423">
        <v>10</v>
      </c>
      <c r="D26" s="424">
        <v>2020</v>
      </c>
      <c r="E26" s="425">
        <f>'UTILITY REPORT 1'!F27</f>
        <v>0</v>
      </c>
      <c r="F26" s="426" t="e">
        <f>('UTILITY REPORT 1'!E27*'UTILITY REPORT 1'!D27)/'UTILITY REPORT 1'!F27</f>
        <v>#DIV/0!</v>
      </c>
      <c r="G26" s="426">
        <f>IF('Utility summery'!M30&lt;0,"0",'Utility summery'!M30)</f>
        <v>0</v>
      </c>
      <c r="H26" s="432">
        <v>0</v>
      </c>
      <c r="I26" s="426">
        <f>IF('UTILITY REPORT 1'!G27&lt;0,"0",'UTILITY REPORT 1'!G27)</f>
        <v>0</v>
      </c>
      <c r="J26" s="432">
        <v>0</v>
      </c>
      <c r="K26" s="425">
        <f>'UTILITY REPORT 1'!C27</f>
        <v>0</v>
      </c>
      <c r="L26" s="427" t="e">
        <f>E26*F26+G26*H26+#REF!*#REF!+I26*J26</f>
        <v>#DIV/0!</v>
      </c>
    </row>
    <row r="27" spans="1:12">
      <c r="A27" s="422" t="s">
        <v>283</v>
      </c>
      <c r="B27" s="423">
        <f t="shared" si="0"/>
        <v>26</v>
      </c>
      <c r="C27" s="423">
        <v>10</v>
      </c>
      <c r="D27" s="424">
        <v>2020</v>
      </c>
      <c r="E27" s="425">
        <f>'UTILITY REPORT 1'!F28</f>
        <v>0</v>
      </c>
      <c r="F27" s="426" t="e">
        <f>('UTILITY REPORT 1'!E28*'UTILITY REPORT 1'!D28)/'UTILITY REPORT 1'!F28</f>
        <v>#DIV/0!</v>
      </c>
      <c r="G27" s="426">
        <f>IF('Utility summery'!M31&lt;0,"0",'Utility summery'!M31)</f>
        <v>0</v>
      </c>
      <c r="H27" s="432">
        <v>0</v>
      </c>
      <c r="I27" s="426">
        <f>IF('UTILITY REPORT 1'!G28&lt;0,"0",'UTILITY REPORT 1'!G28)</f>
        <v>0</v>
      </c>
      <c r="J27" s="432">
        <v>0</v>
      </c>
      <c r="K27" s="425">
        <f>'UTILITY REPORT 1'!C28</f>
        <v>0</v>
      </c>
      <c r="L27" s="427" t="e">
        <f>E27*F27+G27*H27+#REF!*#REF!+I27*J27</f>
        <v>#DIV/0!</v>
      </c>
    </row>
    <row r="28" spans="1:12">
      <c r="A28" s="422" t="s">
        <v>283</v>
      </c>
      <c r="B28" s="423">
        <f t="shared" si="0"/>
        <v>27</v>
      </c>
      <c r="C28" s="423">
        <v>10</v>
      </c>
      <c r="D28" s="424">
        <v>2020</v>
      </c>
      <c r="E28" s="425">
        <f>'UTILITY REPORT 1'!F29</f>
        <v>0</v>
      </c>
      <c r="F28" s="426" t="e">
        <f>('UTILITY REPORT 1'!E29*'UTILITY REPORT 1'!D29)/'UTILITY REPORT 1'!F29</f>
        <v>#DIV/0!</v>
      </c>
      <c r="G28" s="426">
        <f>IF('Utility summery'!M32&lt;0,"0",'Utility summery'!M32)</f>
        <v>0</v>
      </c>
      <c r="H28" s="432">
        <v>0</v>
      </c>
      <c r="I28" s="426">
        <f>IF('UTILITY REPORT 1'!G29&lt;0,"0",'UTILITY REPORT 1'!G29)</f>
        <v>0</v>
      </c>
      <c r="J28" s="432">
        <v>0</v>
      </c>
      <c r="K28" s="425">
        <f>'UTILITY REPORT 1'!C29</f>
        <v>0</v>
      </c>
      <c r="L28" s="427" t="e">
        <f>E28*F28+G28*H28+#REF!*#REF!+I28*J28</f>
        <v>#DIV/0!</v>
      </c>
    </row>
    <row r="29" spans="1:12">
      <c r="A29" s="422" t="s">
        <v>283</v>
      </c>
      <c r="B29" s="423">
        <f t="shared" si="0"/>
        <v>28</v>
      </c>
      <c r="C29" s="423">
        <v>10</v>
      </c>
      <c r="D29" s="424">
        <v>2020</v>
      </c>
      <c r="E29" s="425">
        <f>'UTILITY REPORT 1'!F30</f>
        <v>0</v>
      </c>
      <c r="F29" s="426" t="e">
        <f>('UTILITY REPORT 1'!E30*'UTILITY REPORT 1'!D30)/'UTILITY REPORT 1'!F30</f>
        <v>#DIV/0!</v>
      </c>
      <c r="G29" s="426">
        <f>IF('Utility summery'!M33&lt;0,"0",'Utility summery'!M33)</f>
        <v>0</v>
      </c>
      <c r="H29" s="432">
        <v>0</v>
      </c>
      <c r="I29" s="426">
        <f>IF('UTILITY REPORT 1'!G30&lt;0,"0",'UTILITY REPORT 1'!G30)</f>
        <v>0</v>
      </c>
      <c r="J29" s="432">
        <v>0</v>
      </c>
      <c r="K29" s="425">
        <f>'UTILITY REPORT 1'!C30</f>
        <v>0</v>
      </c>
      <c r="L29" s="427" t="e">
        <f>E29*F29+G29*H29+#REF!*#REF!+I29*J29</f>
        <v>#DIV/0!</v>
      </c>
    </row>
    <row r="30" spans="1:12">
      <c r="A30" s="422" t="s">
        <v>283</v>
      </c>
      <c r="B30" s="423">
        <f t="shared" si="0"/>
        <v>29</v>
      </c>
      <c r="C30" s="423">
        <v>10</v>
      </c>
      <c r="D30" s="424">
        <v>2020</v>
      </c>
      <c r="E30" s="425">
        <f>'UTILITY REPORT 1'!F31</f>
        <v>0</v>
      </c>
      <c r="F30" s="426" t="e">
        <f>('UTILITY REPORT 1'!E31*'UTILITY REPORT 1'!D31)/'UTILITY REPORT 1'!F31</f>
        <v>#DIV/0!</v>
      </c>
      <c r="G30" s="426">
        <f>IF('Utility summery'!M34&lt;0,"0",'Utility summery'!M34)</f>
        <v>0</v>
      </c>
      <c r="H30" s="432">
        <v>0</v>
      </c>
      <c r="I30" s="426">
        <f>IF('UTILITY REPORT 1'!G31&lt;0,"0",'UTILITY REPORT 1'!G31)</f>
        <v>0</v>
      </c>
      <c r="J30" s="432">
        <v>0</v>
      </c>
      <c r="K30" s="425">
        <f>'UTILITY REPORT 1'!C31</f>
        <v>0</v>
      </c>
      <c r="L30" s="427" t="e">
        <f>E30*F30+G30*H30+#REF!*#REF!+I30*J30</f>
        <v>#DIV/0!</v>
      </c>
    </row>
    <row r="31" spans="1:12">
      <c r="A31" s="422" t="s">
        <v>283</v>
      </c>
      <c r="B31" s="423">
        <v>30</v>
      </c>
      <c r="C31" s="423">
        <v>10</v>
      </c>
      <c r="D31" s="424">
        <v>2020</v>
      </c>
      <c r="E31" s="425">
        <f>'UTILITY REPORT 1'!F32</f>
        <v>0</v>
      </c>
      <c r="F31" s="426" t="e">
        <f>('UTILITY REPORT 1'!E32*'UTILITY REPORT 1'!D32)/'UTILITY REPORT 1'!F32</f>
        <v>#DIV/0!</v>
      </c>
      <c r="G31" s="426">
        <f>IF('Utility summery'!M35&lt;0,"0",'Utility summery'!M35)</f>
        <v>0</v>
      </c>
      <c r="H31" s="432">
        <v>0</v>
      </c>
      <c r="I31" s="426">
        <f>IF('UTILITY REPORT 1'!G32&lt;0,"0",'UTILITY REPORT 1'!G32)</f>
        <v>0</v>
      </c>
      <c r="J31" s="432">
        <v>0</v>
      </c>
      <c r="K31" s="425">
        <f>'UTILITY REPORT 1'!C32</f>
        <v>0</v>
      </c>
      <c r="L31" s="427" t="e">
        <f>E31*F31+G31*H31+#REF!*#REF!+I31*J31</f>
        <v>#DIV/0!</v>
      </c>
    </row>
    <row r="32" spans="1:12">
      <c r="A32" s="422" t="s">
        <v>283</v>
      </c>
      <c r="B32" s="423">
        <f t="shared" si="0"/>
        <v>31</v>
      </c>
      <c r="C32" s="423">
        <v>10</v>
      </c>
      <c r="D32" s="424">
        <v>2020</v>
      </c>
      <c r="E32" s="425">
        <f>'UTILITY REPORT 1'!F33</f>
        <v>0</v>
      </c>
      <c r="F32" s="426" t="e">
        <f>('UTILITY REPORT 1'!E33*'UTILITY REPORT 1'!D33)/'UTILITY REPORT 1'!F33</f>
        <v>#DIV/0!</v>
      </c>
      <c r="G32" s="426">
        <f>IF('Utility summery'!M36&lt;0,"0",'Utility summery'!M36)</f>
        <v>0</v>
      </c>
      <c r="H32" s="432">
        <v>0</v>
      </c>
      <c r="I32" s="426">
        <f>IF('UTILITY REPORT 1'!G33&lt;0,"0",'UTILITY REPORT 1'!G33)</f>
        <v>0</v>
      </c>
      <c r="J32" s="432">
        <v>0</v>
      </c>
      <c r="K32" s="425">
        <f>'UTILITY REPORT 1'!C33</f>
        <v>0</v>
      </c>
    </row>
    <row r="33" spans="6:10">
      <c r="F33" s="426"/>
      <c r="G33" s="426"/>
      <c r="H33" s="432"/>
      <c r="I33" s="426" t="s">
        <v>253</v>
      </c>
      <c r="J33" s="432"/>
    </row>
    <row r="34" spans="6:10">
      <c r="F34" s="426"/>
      <c r="G34" s="426"/>
      <c r="H34" s="432"/>
      <c r="I34" s="426"/>
      <c r="J34" s="432"/>
    </row>
    <row r="35" spans="6:10">
      <c r="F35" s="426"/>
      <c r="G35" s="426"/>
      <c r="H35" s="432"/>
      <c r="I35" s="426"/>
      <c r="J35" s="432"/>
    </row>
    <row r="36" spans="6:10">
      <c r="F36" s="426"/>
      <c r="G36" s="426"/>
      <c r="H36" s="432"/>
      <c r="I36" s="426"/>
      <c r="J36" s="432"/>
    </row>
    <row r="37" spans="6:10">
      <c r="F37" s="426"/>
      <c r="G37" s="426"/>
      <c r="H37" s="432"/>
      <c r="I37" s="426"/>
      <c r="J37" s="432"/>
    </row>
    <row r="38" spans="6:10">
      <c r="F38" s="426"/>
      <c r="G38" s="426"/>
      <c r="H38" s="432"/>
      <c r="I38" s="426"/>
      <c r="J38" s="432"/>
    </row>
    <row r="39" spans="6:10">
      <c r="F39" s="426"/>
      <c r="G39" s="426"/>
      <c r="H39" s="432"/>
      <c r="I39" s="426"/>
      <c r="J39" s="43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C36" sqref="C35:C36"/>
    </sheetView>
  </sheetViews>
  <sheetFormatPr defaultColWidth="11.5703125" defaultRowHeight="12.75"/>
  <cols>
    <col min="1" max="1" width="12.42578125" style="12" customWidth="1"/>
    <col min="2" max="3" width="11.5703125" style="423"/>
    <col min="4" max="4" width="13.42578125" style="424" customWidth="1"/>
    <col min="5" max="6" width="12.5703125" style="12" customWidth="1"/>
    <col min="7" max="7" width="12.5703125" style="425" customWidth="1"/>
    <col min="8" max="10" width="11.5703125" style="12"/>
    <col min="11" max="11" width="12.5703125" style="425" customWidth="1"/>
    <col min="12" max="12" width="11.5703125" style="12"/>
    <col min="13" max="14" width="11.5703125" style="425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21" customFormat="1" ht="60.75" thickBot="1">
      <c r="A1" s="474" t="s">
        <v>271</v>
      </c>
      <c r="B1" s="475" t="s">
        <v>272</v>
      </c>
      <c r="C1" s="475" t="s">
        <v>273</v>
      </c>
      <c r="D1" s="476" t="s">
        <v>274</v>
      </c>
      <c r="E1" s="477" t="s">
        <v>287</v>
      </c>
      <c r="F1" s="477" t="s">
        <v>286</v>
      </c>
      <c r="G1" s="478" t="s">
        <v>275</v>
      </c>
      <c r="H1" s="477" t="s">
        <v>284</v>
      </c>
      <c r="I1" s="477" t="s">
        <v>285</v>
      </c>
      <c r="J1" s="477" t="s">
        <v>288</v>
      </c>
      <c r="K1" s="478" t="s">
        <v>266</v>
      </c>
      <c r="L1" s="477" t="s">
        <v>289</v>
      </c>
      <c r="M1" s="478" t="s">
        <v>290</v>
      </c>
      <c r="N1" s="478" t="s">
        <v>291</v>
      </c>
      <c r="O1" s="478" t="s">
        <v>291</v>
      </c>
      <c r="P1" s="478" t="s">
        <v>304</v>
      </c>
      <c r="Q1" s="478" t="s">
        <v>292</v>
      </c>
      <c r="R1" s="478" t="s">
        <v>293</v>
      </c>
      <c r="S1" s="478" t="s">
        <v>294</v>
      </c>
      <c r="T1" s="478" t="s">
        <v>295</v>
      </c>
      <c r="U1" s="478" t="s">
        <v>296</v>
      </c>
      <c r="V1" s="478" t="s">
        <v>297</v>
      </c>
      <c r="W1" s="481" t="s">
        <v>305</v>
      </c>
      <c r="X1" s="482" t="s">
        <v>281</v>
      </c>
    </row>
    <row r="2" spans="1:24">
      <c r="A2" s="469" t="s">
        <v>283</v>
      </c>
      <c r="B2" s="470">
        <v>1</v>
      </c>
      <c r="C2" s="470">
        <v>10</v>
      </c>
      <c r="D2" s="471">
        <v>2020</v>
      </c>
      <c r="E2" s="472">
        <f>'UTILITY REPORT 1'!I3</f>
        <v>0</v>
      </c>
      <c r="F2" s="472">
        <f>'UTILITY REPORT 1'!E3</f>
        <v>911.04</v>
      </c>
      <c r="G2" s="473">
        <f>'UTILITY REPORT 1'!F3</f>
        <v>2214</v>
      </c>
      <c r="H2" s="472">
        <f>IF('Kit report'!F4&lt;0,"0",'Kit report'!F4)</f>
        <v>192.00000000004366</v>
      </c>
      <c r="I2" s="472">
        <f>IF('Kit report'!X4&lt;0,"0",'Kit report'!X4)</f>
        <v>100</v>
      </c>
      <c r="J2" s="472">
        <f>IF('Utility summery'!H6&lt;0,"0",'Utility summery'!H6)</f>
        <v>28</v>
      </c>
      <c r="K2" s="473">
        <f>IF('UTILITY REPORT 1'!H3&lt;0,"0",'UTILITY REPORT 1'!H3)</f>
        <v>37</v>
      </c>
      <c r="L2" s="472">
        <f>'Water-Meter'!K6</f>
        <v>0</v>
      </c>
      <c r="M2" s="473">
        <f>'Water-Meter'!H6</f>
        <v>0</v>
      </c>
      <c r="N2" s="473">
        <f>'Water-Meter'!Q6</f>
        <v>1</v>
      </c>
      <c r="O2" s="472" t="e">
        <f>K2*E2+H2*I2+#REF!*#REF!+J2*L2</f>
        <v>#REF!</v>
      </c>
      <c r="P2" s="472">
        <f>'Water-Meter'!E6</f>
        <v>36</v>
      </c>
      <c r="Q2" s="413">
        <f>IF('Water-Meter'!U6&lt;0,"0",'Water-Meter'!U6)</f>
        <v>10</v>
      </c>
      <c r="R2" s="413">
        <f>IF('Water-Meter'!X6&lt;0,"0",'Water-Meter'!X6)</f>
        <v>0</v>
      </c>
      <c r="S2" s="413">
        <f>IF('Water-Meter'!AA6&lt;0,"0",'Water-Meter'!AA6)</f>
        <v>36</v>
      </c>
      <c r="T2" s="413">
        <f>IF('Water-Meter'!AD6&lt;0,"0",'Water-Meter'!AD6)</f>
        <v>19</v>
      </c>
      <c r="U2" s="413">
        <f>IF('Water-Meter'!AG6&lt;0,"0",'Water-Meter'!AG6)</f>
        <v>0</v>
      </c>
      <c r="V2" s="413">
        <f>IF('Water-Meter'!AJ6&lt;0,"0",'Water-Meter'!AJ6)</f>
        <v>22</v>
      </c>
      <c r="W2" s="31">
        <f>'Water-Meter'!AN6</f>
        <v>87</v>
      </c>
      <c r="X2" s="483">
        <f>Total!K2</f>
        <v>5</v>
      </c>
    </row>
    <row r="3" spans="1:24">
      <c r="A3" s="468" t="s">
        <v>283</v>
      </c>
      <c r="B3" s="465">
        <f>B2+1</f>
        <v>2</v>
      </c>
      <c r="C3" s="470">
        <v>10</v>
      </c>
      <c r="D3" s="471">
        <v>2020</v>
      </c>
      <c r="E3" s="466">
        <f>'UTILITY REPORT 1'!I4</f>
        <v>0</v>
      </c>
      <c r="F3" s="466">
        <f>'UTILITY REPORT 1'!E4</f>
        <v>976.24</v>
      </c>
      <c r="G3" s="467">
        <f>'UTILITY REPORT 1'!F4</f>
        <v>2379</v>
      </c>
      <c r="H3" s="466">
        <f>IF('Kit report'!F5&lt;0,"0",'Kit report'!F5)</f>
        <v>227.99999999995634</v>
      </c>
      <c r="I3" s="466">
        <f>IF('Kit report'!X5&lt;0,"0",'Kit report'!X5)</f>
        <v>80.000000000109139</v>
      </c>
      <c r="J3" s="466">
        <f>IF('Utility summery'!H7&lt;0,"0",'Utility summery'!H7)</f>
        <v>37</v>
      </c>
      <c r="K3" s="467">
        <f>IF('UTILITY REPORT 1'!H4&lt;0,"0",'UTILITY REPORT 1'!H4)</f>
        <v>55</v>
      </c>
      <c r="L3" s="466">
        <f>'Water-Meter'!K7</f>
        <v>1</v>
      </c>
      <c r="M3" s="467">
        <f>'Water-Meter'!H7</f>
        <v>0</v>
      </c>
      <c r="N3" s="467">
        <f>'Water-Meter'!Q7</f>
        <v>3</v>
      </c>
      <c r="O3" s="466" t="e">
        <f>K3*E3+H3*I3+#REF!*#REF!+J3*L3</f>
        <v>#REF!</v>
      </c>
      <c r="P3" s="472">
        <f>'Water-Meter'!E7</f>
        <v>45</v>
      </c>
      <c r="Q3" s="243">
        <f>IF('Water-Meter'!U7&lt;0,"0",'Water-Meter'!U7)</f>
        <v>0</v>
      </c>
      <c r="R3" s="243">
        <f>IF('Water-Meter'!X7&lt;0,"0",'Water-Meter'!X7)</f>
        <v>0</v>
      </c>
      <c r="S3" s="243">
        <f>IF('Water-Meter'!AA7&lt;0,"0",'Water-Meter'!AA7)</f>
        <v>35</v>
      </c>
      <c r="T3" s="243">
        <f>IF('Water-Meter'!AD7&lt;0,"0",'Water-Meter'!AD7)</f>
        <v>18</v>
      </c>
      <c r="U3" s="243">
        <f>IF('Water-Meter'!AG7&lt;0,"0",'Water-Meter'!AG7)</f>
        <v>0</v>
      </c>
      <c r="V3" s="243">
        <f>IF('Water-Meter'!AJ7&lt;0,"0",'Water-Meter'!AJ7)</f>
        <v>22</v>
      </c>
      <c r="W3" s="31">
        <f>'Water-Meter'!AN7</f>
        <v>75</v>
      </c>
      <c r="X3" s="483">
        <f>Total!K3</f>
        <v>4</v>
      </c>
    </row>
    <row r="4" spans="1:24">
      <c r="A4" s="468" t="s">
        <v>283</v>
      </c>
      <c r="B4" s="465">
        <f t="shared" ref="B4:B30" si="0">B3+1</f>
        <v>3</v>
      </c>
      <c r="C4" s="470">
        <v>10</v>
      </c>
      <c r="D4" s="471">
        <v>2020</v>
      </c>
      <c r="E4" s="466">
        <f>'UTILITY REPORT 1'!I5</f>
        <v>47.58</v>
      </c>
      <c r="F4" s="466">
        <f>'UTILITY REPORT 1'!E5</f>
        <v>996.18</v>
      </c>
      <c r="G4" s="467">
        <f>'UTILITY REPORT 1'!F5</f>
        <v>2370</v>
      </c>
      <c r="H4" s="466">
        <f>IF('Kit report'!F6&lt;0,"0",'Kit report'!F6)</f>
        <v>215.99999999991269</v>
      </c>
      <c r="I4" s="466">
        <f>IF('Kit report'!X6&lt;0,"0",'Kit report'!X6)</f>
        <v>119.99999999989086</v>
      </c>
      <c r="J4" s="466">
        <f>IF('Utility summery'!H8&lt;0,"0",'Utility summery'!H8)</f>
        <v>30</v>
      </c>
      <c r="K4" s="467">
        <f>IF('UTILITY REPORT 1'!H5&lt;0,"0",'UTILITY REPORT 1'!H5)</f>
        <v>83</v>
      </c>
      <c r="L4" s="466">
        <f>'Water-Meter'!K8</f>
        <v>1</v>
      </c>
      <c r="M4" s="467">
        <f>'Water-Meter'!H8</f>
        <v>0</v>
      </c>
      <c r="N4" s="467">
        <f>'Water-Meter'!Q8</f>
        <v>2</v>
      </c>
      <c r="O4" s="466" t="e">
        <f>K4*E4+H4*I4+#REF!*#REF!+J4*L4</f>
        <v>#REF!</v>
      </c>
      <c r="P4" s="472">
        <f>'Water-Meter'!E8</f>
        <v>36</v>
      </c>
      <c r="Q4" s="243">
        <f>IF('Water-Meter'!U8&lt;0,"0",'Water-Meter'!U8)</f>
        <v>27</v>
      </c>
      <c r="R4" s="243">
        <f>IF('Water-Meter'!X8&lt;0,"0",'Water-Meter'!X8)</f>
        <v>0</v>
      </c>
      <c r="S4" s="243">
        <f>IF('Water-Meter'!AA8&lt;0,"0",'Water-Meter'!AA8)</f>
        <v>36</v>
      </c>
      <c r="T4" s="243">
        <f>IF('Water-Meter'!AD8&lt;0,"0",'Water-Meter'!AD8)</f>
        <v>19</v>
      </c>
      <c r="U4" s="243">
        <f>IF('Water-Meter'!AG8&lt;0,"0",'Water-Meter'!AG8)</f>
        <v>0</v>
      </c>
      <c r="V4" s="243">
        <f>IF('Water-Meter'!AJ8&lt;0,"0",'Water-Meter'!AJ8)</f>
        <v>22</v>
      </c>
      <c r="W4" s="31">
        <f>'Water-Meter'!AN8</f>
        <v>104</v>
      </c>
      <c r="X4" s="483">
        <f>Total!K4</f>
        <v>2</v>
      </c>
    </row>
    <row r="5" spans="1:24">
      <c r="A5" s="468" t="s">
        <v>283</v>
      </c>
      <c r="B5" s="465">
        <f t="shared" si="0"/>
        <v>4</v>
      </c>
      <c r="C5" s="470">
        <v>10</v>
      </c>
      <c r="D5" s="471">
        <v>2020</v>
      </c>
      <c r="E5" s="466">
        <f>'UTILITY REPORT 1'!I6</f>
        <v>0</v>
      </c>
      <c r="F5" s="466">
        <f>'UTILITY REPORT 1'!E6</f>
        <v>924.63</v>
      </c>
      <c r="G5" s="467">
        <f>'UTILITY REPORT 1'!F6</f>
        <v>2154</v>
      </c>
      <c r="H5" s="466">
        <f>IF('Kit report'!F7&lt;0,"0",'Kit report'!F7)</f>
        <v>192.00000000004366</v>
      </c>
      <c r="I5" s="466">
        <f>IF('Kit report'!X7&lt;0,"0",'Kit report'!X7)</f>
        <v>39.99999999996362</v>
      </c>
      <c r="J5" s="466">
        <f>IF('Utility summery'!H9&lt;0,"0",'Utility summery'!H9)</f>
        <v>45</v>
      </c>
      <c r="K5" s="467">
        <f>IF('UTILITY REPORT 1'!H6&lt;0,"0",'UTILITY REPORT 1'!H6)</f>
        <v>12</v>
      </c>
      <c r="L5" s="466">
        <f>'Water-Meter'!K9</f>
        <v>5</v>
      </c>
      <c r="M5" s="467">
        <f>'Water-Meter'!H9</f>
        <v>0</v>
      </c>
      <c r="N5" s="467">
        <f>'Water-Meter'!Q9</f>
        <v>1</v>
      </c>
      <c r="O5" s="466" t="e">
        <f>K5*E5+H5*I5+#REF!*#REF!+J5*L5</f>
        <v>#REF!</v>
      </c>
      <c r="P5" s="472">
        <f>'Water-Meter'!E9</f>
        <v>60</v>
      </c>
      <c r="Q5" s="243">
        <f>IF('Water-Meter'!U9&lt;0,"0",'Water-Meter'!U9)</f>
        <v>49</v>
      </c>
      <c r="R5" s="243">
        <f>IF('Water-Meter'!X9&lt;0,"0",'Water-Meter'!X9)</f>
        <v>0</v>
      </c>
      <c r="S5" s="243">
        <f>IF('Water-Meter'!AA9&lt;0,"0",'Water-Meter'!AA9)</f>
        <v>36</v>
      </c>
      <c r="T5" s="243">
        <f>IF('Water-Meter'!AD9&lt;0,"0",'Water-Meter'!AD9)</f>
        <v>18</v>
      </c>
      <c r="U5" s="243">
        <f>IF('Water-Meter'!AG9&lt;0,"0",'Water-Meter'!AG9)</f>
        <v>0</v>
      </c>
      <c r="V5" s="243">
        <f>IF('Water-Meter'!AJ9&lt;0,"0",'Water-Meter'!AJ9)</f>
        <v>23</v>
      </c>
      <c r="W5" s="31">
        <f>'Water-Meter'!AN9</f>
        <v>126</v>
      </c>
      <c r="X5" s="483">
        <f>Total!K5</f>
        <v>1</v>
      </c>
    </row>
    <row r="6" spans="1:24">
      <c r="A6" s="468" t="s">
        <v>283</v>
      </c>
      <c r="B6" s="465">
        <f t="shared" si="0"/>
        <v>5</v>
      </c>
      <c r="C6" s="470">
        <v>10</v>
      </c>
      <c r="D6" s="471">
        <v>2020</v>
      </c>
      <c r="E6" s="466">
        <f>'UTILITY REPORT 1'!I7</f>
        <v>0</v>
      </c>
      <c r="F6" s="466">
        <f>'UTILITY REPORT 1'!E7</f>
        <v>936.98</v>
      </c>
      <c r="G6" s="467">
        <f>'UTILITY REPORT 1'!F7</f>
        <v>2268</v>
      </c>
      <c r="H6" s="466">
        <f>IF('Kit report'!F8&lt;0,"0",'Kit report'!F8)</f>
        <v>240</v>
      </c>
      <c r="I6" s="466">
        <f>IF('Kit report'!X8&lt;0,"0",'Kit report'!X8)</f>
        <v>40.000000000145519</v>
      </c>
      <c r="J6" s="466">
        <f>IF('Utility summery'!H10&lt;0,"0",'Utility summery'!H10)</f>
        <v>35</v>
      </c>
      <c r="K6" s="467">
        <f>IF('UTILITY REPORT 1'!H7&lt;0,"0",'UTILITY REPORT 1'!H7)</f>
        <v>58</v>
      </c>
      <c r="L6" s="466">
        <f>'Water-Meter'!K10</f>
        <v>1</v>
      </c>
      <c r="M6" s="467">
        <f>'Water-Meter'!H10</f>
        <v>0</v>
      </c>
      <c r="N6" s="467">
        <f>'Water-Meter'!Q10</f>
        <v>2</v>
      </c>
      <c r="O6" s="466" t="e">
        <f>K6*E6+H6*I6+#REF!*#REF!+J6*L6</f>
        <v>#REF!</v>
      </c>
      <c r="P6" s="472">
        <f>'Water-Meter'!E10</f>
        <v>45</v>
      </c>
      <c r="Q6" s="243">
        <f>IF('Water-Meter'!U10&lt;0,"0",'Water-Meter'!U10)</f>
        <v>14</v>
      </c>
      <c r="R6" s="243">
        <f>IF('Water-Meter'!X10&lt;0,"0",'Water-Meter'!X10)</f>
        <v>0</v>
      </c>
      <c r="S6" s="243">
        <f>IF('Water-Meter'!AA10&lt;0,"0",'Water-Meter'!AA10)</f>
        <v>35</v>
      </c>
      <c r="T6" s="243">
        <f>IF('Water-Meter'!AD10&lt;0,"0",'Water-Meter'!AD10)</f>
        <v>18</v>
      </c>
      <c r="U6" s="243">
        <f>IF('Water-Meter'!AG10&lt;0,"0",'Water-Meter'!AG10)</f>
        <v>0</v>
      </c>
      <c r="V6" s="243">
        <f>IF('Water-Meter'!AJ10&lt;0,"0",'Water-Meter'!AJ10)</f>
        <v>21</v>
      </c>
      <c r="W6" s="31">
        <f>'Water-Meter'!AN10</f>
        <v>88</v>
      </c>
      <c r="X6" s="483">
        <f>Total!K6</f>
        <v>2</v>
      </c>
    </row>
    <row r="7" spans="1:24">
      <c r="A7" s="468" t="s">
        <v>283</v>
      </c>
      <c r="B7" s="465">
        <f t="shared" si="0"/>
        <v>6</v>
      </c>
      <c r="C7" s="470">
        <v>10</v>
      </c>
      <c r="D7" s="471">
        <v>2020</v>
      </c>
      <c r="E7" s="466">
        <f>'UTILITY REPORT 1'!I8</f>
        <v>0</v>
      </c>
      <c r="F7" s="466">
        <f>'UTILITY REPORT 1'!E8</f>
        <v>982.58999999999992</v>
      </c>
      <c r="G7" s="467">
        <f>'UTILITY REPORT 1'!F8</f>
        <v>2332</v>
      </c>
      <c r="H7" s="466">
        <f>IF('Kit report'!F9&lt;0,"0",'Kit report'!F9)</f>
        <v>227.99999999995634</v>
      </c>
      <c r="I7" s="466">
        <f>IF('Kit report'!X9&lt;0,"0",'Kit report'!X9)</f>
        <v>59.999999999854481</v>
      </c>
      <c r="J7" s="466">
        <f>IF('Utility summery'!H11&lt;0,"0",'Utility summery'!H11)</f>
        <v>38</v>
      </c>
      <c r="K7" s="467">
        <f>IF('UTILITY REPORT 1'!H8&lt;0,"0",'UTILITY REPORT 1'!H8)</f>
        <v>64</v>
      </c>
      <c r="L7" s="466">
        <f>'Water-Meter'!K11</f>
        <v>1</v>
      </c>
      <c r="M7" s="467">
        <f>'Water-Meter'!H11</f>
        <v>0</v>
      </c>
      <c r="N7" s="467">
        <f>'Water-Meter'!Q11</f>
        <v>3</v>
      </c>
      <c r="O7" s="466" t="e">
        <f>K7*E7+H7*I7+#REF!*#REF!+J7*L7</f>
        <v>#REF!</v>
      </c>
      <c r="P7" s="472">
        <f>'Water-Meter'!E11</f>
        <v>57</v>
      </c>
      <c r="Q7" s="243">
        <f>IF('Water-Meter'!U11&lt;0,"0",'Water-Meter'!U11)</f>
        <v>37</v>
      </c>
      <c r="R7" s="243">
        <f>IF('Water-Meter'!X11&lt;0,"0",'Water-Meter'!X11)</f>
        <v>0</v>
      </c>
      <c r="S7" s="243">
        <f>IF('Water-Meter'!AA11&lt;0,"0",'Water-Meter'!AA11)</f>
        <v>35</v>
      </c>
      <c r="T7" s="243">
        <f>IF('Water-Meter'!AD11&lt;0,"0",'Water-Meter'!AD11)</f>
        <v>18</v>
      </c>
      <c r="U7" s="243">
        <f>IF('Water-Meter'!AG11&lt;0,"0",'Water-Meter'!AG11)</f>
        <v>0</v>
      </c>
      <c r="V7" s="243">
        <f>IF('Water-Meter'!AJ11&lt;0,"0",'Water-Meter'!AJ11)</f>
        <v>22</v>
      </c>
      <c r="W7" s="31">
        <f>'Water-Meter'!AN11</f>
        <v>112</v>
      </c>
      <c r="X7" s="483">
        <f>Total!K7</f>
        <v>2</v>
      </c>
    </row>
    <row r="8" spans="1:24">
      <c r="A8" s="468" t="s">
        <v>283</v>
      </c>
      <c r="B8" s="465">
        <f t="shared" si="0"/>
        <v>7</v>
      </c>
      <c r="C8" s="470">
        <v>10</v>
      </c>
      <c r="D8" s="471">
        <v>2020</v>
      </c>
      <c r="E8" s="466">
        <f>'UTILITY REPORT 1'!I9</f>
        <v>0</v>
      </c>
      <c r="F8" s="466">
        <f>'UTILITY REPORT 1'!E9</f>
        <v>950.56999999999994</v>
      </c>
      <c r="G8" s="467">
        <f>'UTILITY REPORT 1'!F9</f>
        <v>2229</v>
      </c>
      <c r="H8" s="466">
        <f>IF('Kit report'!F10&lt;0,"0",'Kit report'!F10)</f>
        <v>216.00000000013097</v>
      </c>
      <c r="I8" s="466">
        <f>IF('Kit report'!X10&lt;0,"0",'Kit report'!X10)</f>
        <v>40.000000000145519</v>
      </c>
      <c r="J8" s="466">
        <f>IF('Utility summery'!H12&lt;0,"0",'Utility summery'!H12)</f>
        <v>38</v>
      </c>
      <c r="K8" s="467">
        <f>IF('UTILITY REPORT 1'!H9&lt;0,"0",'UTILITY REPORT 1'!H9)</f>
        <v>43</v>
      </c>
      <c r="L8" s="466">
        <f>'Water-Meter'!K12</f>
        <v>1</v>
      </c>
      <c r="M8" s="467">
        <f>'Water-Meter'!H12</f>
        <v>0</v>
      </c>
      <c r="N8" s="467">
        <f>'Water-Meter'!Q12</f>
        <v>3</v>
      </c>
      <c r="O8" s="466" t="e">
        <f>K8*E8+H8*I8+#REF!*#REF!+J8*L8</f>
        <v>#REF!</v>
      </c>
      <c r="P8" s="472">
        <f>'Water-Meter'!E12</f>
        <v>59</v>
      </c>
      <c r="Q8" s="243">
        <f>IF('Water-Meter'!U12&lt;0,"0",'Water-Meter'!U12)</f>
        <v>31</v>
      </c>
      <c r="R8" s="243">
        <f>IF('Water-Meter'!X12&lt;0,"0",'Water-Meter'!X12)</f>
        <v>0</v>
      </c>
      <c r="S8" s="243">
        <f>IF('Water-Meter'!AA12&lt;0,"0",'Water-Meter'!AA12)</f>
        <v>35</v>
      </c>
      <c r="T8" s="243">
        <f>IF('Water-Meter'!AD12&lt;0,"0",'Water-Meter'!AD12)</f>
        <v>22</v>
      </c>
      <c r="U8" s="243">
        <f>IF('Water-Meter'!AG12&lt;0,"0",'Water-Meter'!AG12)</f>
        <v>0</v>
      </c>
      <c r="V8" s="243">
        <f>IF('Water-Meter'!AJ12&lt;0,"0",'Water-Meter'!AJ12)</f>
        <v>22</v>
      </c>
      <c r="W8" s="31">
        <f>'Water-Meter'!AN12</f>
        <v>110</v>
      </c>
      <c r="X8" s="483">
        <f>Total!K8</f>
        <v>4</v>
      </c>
    </row>
    <row r="9" spans="1:24">
      <c r="A9" s="468" t="s">
        <v>283</v>
      </c>
      <c r="B9" s="465">
        <f t="shared" si="0"/>
        <v>8</v>
      </c>
      <c r="C9" s="470">
        <v>10</v>
      </c>
      <c r="D9" s="471">
        <v>2020</v>
      </c>
      <c r="E9" s="466">
        <f>'UTILITY REPORT 1'!I10</f>
        <v>91</v>
      </c>
      <c r="F9" s="466">
        <f>'UTILITY REPORT 1'!E10</f>
        <v>956.81999999999994</v>
      </c>
      <c r="G9" s="467">
        <f>'UTILITY REPORT 1'!F10</f>
        <v>2245</v>
      </c>
      <c r="H9" s="466">
        <f>IF('Kit report'!F11&lt;0,"0",'Kit report'!F11)</f>
        <v>227.99999999995634</v>
      </c>
      <c r="I9" s="466">
        <f>IF('Kit report'!X11&lt;0,"0",'Kit report'!X11)</f>
        <v>59.999999999854481</v>
      </c>
      <c r="J9" s="466">
        <f>IF('Utility summery'!H13&lt;0,"0",'Utility summery'!H13)</f>
        <v>34</v>
      </c>
      <c r="K9" s="467">
        <f>IF('UTILITY REPORT 1'!H10&lt;0,"0",'UTILITY REPORT 1'!H10)</f>
        <v>54</v>
      </c>
      <c r="L9" s="466">
        <f>'Water-Meter'!K13</f>
        <v>1</v>
      </c>
      <c r="M9" s="467">
        <f>'Water-Meter'!H13</f>
        <v>0</v>
      </c>
      <c r="N9" s="467">
        <f>'Water-Meter'!Q13</f>
        <v>3</v>
      </c>
      <c r="O9" s="466" t="e">
        <f>K9*E9+H9*I9+#REF!*#REF!+J9*L9</f>
        <v>#REF!</v>
      </c>
      <c r="P9" s="472">
        <f>'Water-Meter'!E13</f>
        <v>46</v>
      </c>
      <c r="Q9" s="243">
        <f>IF('Water-Meter'!U13&lt;0,"0",'Water-Meter'!U13)</f>
        <v>11</v>
      </c>
      <c r="R9" s="243">
        <f>IF('Water-Meter'!X13&lt;0,"0",'Water-Meter'!X13)</f>
        <v>0</v>
      </c>
      <c r="S9" s="243">
        <f>IF('Water-Meter'!AA13&lt;0,"0",'Water-Meter'!AA13)</f>
        <v>37</v>
      </c>
      <c r="T9" s="243">
        <f>IF('Water-Meter'!AD13&lt;0,"0",'Water-Meter'!AD13)</f>
        <v>14</v>
      </c>
      <c r="U9" s="243">
        <f>IF('Water-Meter'!AG13&lt;0,"0",'Water-Meter'!AG13)</f>
        <v>0</v>
      </c>
      <c r="V9" s="243">
        <f>IF('Water-Meter'!AJ13&lt;0,"0",'Water-Meter'!AJ13)</f>
        <v>22</v>
      </c>
      <c r="W9" s="31">
        <f>'Water-Meter'!AN13</f>
        <v>84</v>
      </c>
      <c r="X9" s="483">
        <f>Total!K9</f>
        <v>5</v>
      </c>
    </row>
    <row r="10" spans="1:24">
      <c r="A10" s="468" t="s">
        <v>283</v>
      </c>
      <c r="B10" s="465">
        <f t="shared" si="0"/>
        <v>9</v>
      </c>
      <c r="C10" s="470">
        <v>10</v>
      </c>
      <c r="D10" s="471">
        <v>2020</v>
      </c>
      <c r="E10" s="466">
        <f>'UTILITY REPORT 1'!I11</f>
        <v>76.97</v>
      </c>
      <c r="F10" s="466">
        <f>'UTILITY REPORT 1'!E11</f>
        <v>990.35</v>
      </c>
      <c r="G10" s="467">
        <f>'UTILITY REPORT 1'!F11</f>
        <v>2375</v>
      </c>
      <c r="H10" s="466">
        <f>IF('Kit report'!F12&lt;0,"0",'Kit report'!F12)</f>
        <v>240</v>
      </c>
      <c r="I10" s="466">
        <f>IF('Kit report'!X12&lt;0,"0",'Kit report'!X12)</f>
        <v>100</v>
      </c>
      <c r="J10" s="466">
        <f>IF('Utility summery'!H14&lt;0,"0",'Utility summery'!H14)</f>
        <v>41</v>
      </c>
      <c r="K10" s="467">
        <f>IF('UTILITY REPORT 1'!H11&lt;0,"0",'UTILITY REPORT 1'!H11)</f>
        <v>98</v>
      </c>
      <c r="L10" s="466">
        <f>'Water-Meter'!K14</f>
        <v>1</v>
      </c>
      <c r="M10" s="467">
        <f>'Water-Meter'!H14</f>
        <v>0</v>
      </c>
      <c r="N10" s="467">
        <f>'Water-Meter'!Q14</f>
        <v>2</v>
      </c>
      <c r="O10" s="466" t="e">
        <f>K10*E10+H10*I10+#REF!*#REF!+J10*L10</f>
        <v>#REF!</v>
      </c>
      <c r="P10" s="472">
        <f>'Water-Meter'!E14</f>
        <v>56</v>
      </c>
      <c r="Q10" s="243">
        <f>IF('Water-Meter'!U14&lt;0,"0",'Water-Meter'!U14)</f>
        <v>52</v>
      </c>
      <c r="R10" s="243">
        <f>IF('Water-Meter'!X14&lt;0,"0",'Water-Meter'!X14)</f>
        <v>0</v>
      </c>
      <c r="S10" s="243">
        <f>IF('Water-Meter'!AA14&lt;0,"0",'Water-Meter'!AA14)</f>
        <v>35</v>
      </c>
      <c r="T10" s="243">
        <f>IF('Water-Meter'!AD14&lt;0,"0",'Water-Meter'!AD14)</f>
        <v>18</v>
      </c>
      <c r="U10" s="243">
        <f>IF('Water-Meter'!AG14&lt;0,"0",'Water-Meter'!AG14)</f>
        <v>0</v>
      </c>
      <c r="V10" s="243">
        <f>IF('Water-Meter'!AJ14&lt;0,"0",'Water-Meter'!AJ14)</f>
        <v>22</v>
      </c>
      <c r="W10" s="31">
        <f>'Water-Meter'!AN14</f>
        <v>127</v>
      </c>
      <c r="X10" s="483">
        <f>Total!K10</f>
        <v>5</v>
      </c>
    </row>
    <row r="11" spans="1:24">
      <c r="A11" s="468" t="s">
        <v>283</v>
      </c>
      <c r="B11" s="465">
        <f t="shared" si="0"/>
        <v>10</v>
      </c>
      <c r="C11" s="470">
        <v>10</v>
      </c>
      <c r="D11" s="471">
        <v>2020</v>
      </c>
      <c r="E11" s="466">
        <f>'UTILITY REPORT 1'!I12</f>
        <v>0</v>
      </c>
      <c r="F11" s="466">
        <f>'UTILITY REPORT 1'!E12</f>
        <v>995.05000000000007</v>
      </c>
      <c r="G11" s="467">
        <f>'UTILITY REPORT 1'!F12</f>
        <v>2298</v>
      </c>
      <c r="H11" s="466">
        <f>IF('Kit report'!F13&lt;0,"0",'Kit report'!F13)</f>
        <v>203.99999999986903</v>
      </c>
      <c r="I11" s="466">
        <f>IF('Kit report'!X13&lt;0,"0",'Kit report'!X13)</f>
        <v>40.000000000145519</v>
      </c>
      <c r="J11" s="466">
        <f>IF('Utility summery'!H15&lt;0,"0",'Utility summery'!H15)</f>
        <v>34</v>
      </c>
      <c r="K11" s="467">
        <f>IF('UTILITY REPORT 1'!H12&lt;0,"0",'UTILITY REPORT 1'!H12)</f>
        <v>49</v>
      </c>
      <c r="L11" s="466">
        <f>'Water-Meter'!K15</f>
        <v>1</v>
      </c>
      <c r="M11" s="467">
        <f>'Water-Meter'!H15</f>
        <v>0</v>
      </c>
      <c r="N11" s="467">
        <f>'Water-Meter'!Q15</f>
        <v>2</v>
      </c>
      <c r="O11" s="466" t="e">
        <f>K11*E11+H11*I11+#REF!*#REF!+J11*L11</f>
        <v>#REF!</v>
      </c>
      <c r="P11" s="472">
        <f>'Water-Meter'!E15</f>
        <v>98</v>
      </c>
      <c r="Q11" s="243">
        <f>IF('Water-Meter'!U15&lt;0,"0",'Water-Meter'!U15)</f>
        <v>86</v>
      </c>
      <c r="R11" s="243">
        <f>IF('Water-Meter'!X15&lt;0,"0",'Water-Meter'!X15)</f>
        <v>0</v>
      </c>
      <c r="S11" s="243">
        <f>IF('Water-Meter'!AA15&lt;0,"0",'Water-Meter'!AA15)</f>
        <v>42</v>
      </c>
      <c r="T11" s="243">
        <f>IF('Water-Meter'!AD15&lt;0,"0",'Water-Meter'!AD15)</f>
        <v>18</v>
      </c>
      <c r="U11" s="243">
        <f>IF('Water-Meter'!AG15&lt;0,"0",'Water-Meter'!AG15)</f>
        <v>0</v>
      </c>
      <c r="V11" s="243">
        <f>IF('Water-Meter'!AJ15&lt;0,"0",'Water-Meter'!AJ15)</f>
        <v>12</v>
      </c>
      <c r="W11" s="31">
        <f>'Water-Meter'!AN15</f>
        <v>158</v>
      </c>
      <c r="X11" s="483">
        <f>Total!K11</f>
        <v>5</v>
      </c>
    </row>
    <row r="12" spans="1:24">
      <c r="A12" s="468" t="s">
        <v>283</v>
      </c>
      <c r="B12" s="465">
        <f t="shared" si="0"/>
        <v>11</v>
      </c>
      <c r="C12" s="470">
        <v>10</v>
      </c>
      <c r="D12" s="471">
        <v>2020</v>
      </c>
      <c r="E12" s="466">
        <f>'UTILITY REPORT 1'!I13</f>
        <v>66.490000000000009</v>
      </c>
      <c r="F12" s="466">
        <f>'UTILITY REPORT 1'!E13</f>
        <v>980.98</v>
      </c>
      <c r="G12" s="467">
        <f>'UTILITY REPORT 1'!F13</f>
        <v>2245</v>
      </c>
      <c r="H12" s="466">
        <f>IF('Kit report'!F14&lt;0,"0",'Kit report'!F14)</f>
        <v>216.00000000013097</v>
      </c>
      <c r="I12" s="466">
        <f>IF('Kit report'!X14&lt;0,"0",'Kit report'!X14)</f>
        <v>59.999999999854481</v>
      </c>
      <c r="J12" s="466">
        <f>IF('Utility summery'!H16&lt;0,"0",'Utility summery'!H16)</f>
        <v>34</v>
      </c>
      <c r="K12" s="467">
        <f>IF('UTILITY REPORT 1'!H13&lt;0,"0",'UTILITY REPORT 1'!H13)</f>
        <v>116</v>
      </c>
      <c r="L12" s="466">
        <f>'Water-Meter'!K16</f>
        <v>1</v>
      </c>
      <c r="M12" s="467">
        <f>'Water-Meter'!H16</f>
        <v>0</v>
      </c>
      <c r="N12" s="467">
        <f>'Water-Meter'!Q16</f>
        <v>2</v>
      </c>
      <c r="O12" s="466" t="e">
        <f>K12*E12+H12*I12+#REF!*#REF!+J12*L12</f>
        <v>#REF!</v>
      </c>
      <c r="P12" s="472">
        <f>'Water-Meter'!E16</f>
        <v>73</v>
      </c>
      <c r="Q12" s="243">
        <f>IF('Water-Meter'!U16&lt;0,"0",'Water-Meter'!U16)</f>
        <v>84</v>
      </c>
      <c r="R12" s="243">
        <f>IF('Water-Meter'!X16&lt;0,"0",'Water-Meter'!X16)</f>
        <v>0</v>
      </c>
      <c r="S12" s="243">
        <f>IF('Water-Meter'!AA16&lt;0,"0",'Water-Meter'!AA16)</f>
        <v>38</v>
      </c>
      <c r="T12" s="243">
        <f>IF('Water-Meter'!AD16&lt;0,"0",'Water-Meter'!AD16)</f>
        <v>20</v>
      </c>
      <c r="U12" s="243">
        <f>IF('Water-Meter'!AG16&lt;0,"0",'Water-Meter'!AG16)</f>
        <v>0</v>
      </c>
      <c r="V12" s="243">
        <f>IF('Water-Meter'!AJ16&lt;0,"0",'Water-Meter'!AJ16)</f>
        <v>0</v>
      </c>
      <c r="W12" s="31">
        <f>'Water-Meter'!AN16</f>
        <v>142</v>
      </c>
      <c r="X12" s="483">
        <f>Total!K12</f>
        <v>2</v>
      </c>
    </row>
    <row r="13" spans="1:24">
      <c r="A13" s="468" t="s">
        <v>283</v>
      </c>
      <c r="B13" s="465">
        <f t="shared" si="0"/>
        <v>12</v>
      </c>
      <c r="C13" s="470">
        <v>10</v>
      </c>
      <c r="D13" s="471">
        <v>2020</v>
      </c>
      <c r="E13" s="466">
        <f>'UTILITY REPORT 1'!I14</f>
        <v>71</v>
      </c>
      <c r="F13" s="466">
        <f>'UTILITY REPORT 1'!E14</f>
        <v>935.25</v>
      </c>
      <c r="G13" s="467">
        <f>'UTILITY REPORT 1'!F14</f>
        <v>2131</v>
      </c>
      <c r="H13" s="466">
        <f>IF('Kit report'!F15&lt;0,"0",'Kit report'!F15)</f>
        <v>215.99999999991269</v>
      </c>
      <c r="I13" s="466">
        <f>IF('Kit report'!X15&lt;0,"0",'Kit report'!X15)</f>
        <v>40.000000000145519</v>
      </c>
      <c r="J13" s="466">
        <f>IF('Utility summery'!H17&lt;0,"0",'Utility summery'!H17)</f>
        <v>34</v>
      </c>
      <c r="K13" s="467">
        <f>IF('UTILITY REPORT 1'!H14&lt;0,"0",'UTILITY REPORT 1'!H14)</f>
        <v>0</v>
      </c>
      <c r="L13" s="466">
        <f>'Water-Meter'!K17</f>
        <v>1</v>
      </c>
      <c r="M13" s="467">
        <f>'Water-Meter'!H17</f>
        <v>0</v>
      </c>
      <c r="N13" s="467">
        <f>'Water-Meter'!Q17</f>
        <v>4</v>
      </c>
      <c r="O13" s="466" t="e">
        <f>K13*E13+H13*I13+#REF!*#REF!+J13*L13</f>
        <v>#REF!</v>
      </c>
      <c r="P13" s="472">
        <f>'Water-Meter'!E17</f>
        <v>42</v>
      </c>
      <c r="Q13" s="243">
        <f>IF('Water-Meter'!U17&lt;0,"0",'Water-Meter'!U17)</f>
        <v>84</v>
      </c>
      <c r="R13" s="243">
        <f>IF('Water-Meter'!X17&lt;0,"0",'Water-Meter'!X17)</f>
        <v>0</v>
      </c>
      <c r="S13" s="243">
        <f>IF('Water-Meter'!AA17&lt;0,"0",'Water-Meter'!AA17)</f>
        <v>37</v>
      </c>
      <c r="T13" s="243">
        <f>IF('Water-Meter'!AD17&lt;0,"0",'Water-Meter'!AD17)</f>
        <v>19</v>
      </c>
      <c r="U13" s="243">
        <f>IF('Water-Meter'!AG17&lt;0,"0",'Water-Meter'!AG17)</f>
        <v>0</v>
      </c>
      <c r="V13" s="243">
        <f>IF('Water-Meter'!AJ17&lt;0,"0",'Water-Meter'!AJ17)</f>
        <v>0</v>
      </c>
      <c r="W13" s="31">
        <f>'Water-Meter'!AN17</f>
        <v>140</v>
      </c>
      <c r="X13" s="483">
        <f>Total!K13</f>
        <v>4</v>
      </c>
    </row>
    <row r="14" spans="1:24">
      <c r="A14" s="468" t="s">
        <v>283</v>
      </c>
      <c r="B14" s="465">
        <f t="shared" si="0"/>
        <v>13</v>
      </c>
      <c r="C14" s="470">
        <v>10</v>
      </c>
      <c r="D14" s="471">
        <v>2020</v>
      </c>
      <c r="E14" s="466">
        <f>'UTILITY REPORT 1'!I15</f>
        <v>71.09</v>
      </c>
      <c r="F14" s="466">
        <f>'UTILITY REPORT 1'!E15</f>
        <v>995.96</v>
      </c>
      <c r="G14" s="467">
        <f>'UTILITY REPORT 1'!F15</f>
        <v>2325</v>
      </c>
      <c r="H14" s="466">
        <f>IF('Kit report'!F16&lt;0,"0",'Kit report'!F16)</f>
        <v>204.00000000008731</v>
      </c>
      <c r="I14" s="466">
        <f>IF('Kit report'!X16&lt;0,"0",'Kit report'!X16)</f>
        <v>59.999999999854481</v>
      </c>
      <c r="J14" s="466">
        <f>IF('Utility summery'!H18&lt;0,"0",'Utility summery'!H18)</f>
        <v>30</v>
      </c>
      <c r="K14" s="467">
        <f>IF('UTILITY REPORT 1'!H15&lt;0,"0",'UTILITY REPORT 1'!H15)</f>
        <v>119</v>
      </c>
      <c r="L14" s="466">
        <f>'Water-Meter'!K18</f>
        <v>1</v>
      </c>
      <c r="M14" s="467">
        <f>'Water-Meter'!H18</f>
        <v>0</v>
      </c>
      <c r="N14" s="467">
        <f>'Water-Meter'!Q18</f>
        <v>2</v>
      </c>
      <c r="O14" s="466" t="e">
        <f>K14*E14+H14*I14+#REF!*#REF!+J14*L14</f>
        <v>#REF!</v>
      </c>
      <c r="P14" s="472">
        <f>'Water-Meter'!E18</f>
        <v>53</v>
      </c>
      <c r="Q14" s="243">
        <f>IF('Water-Meter'!U18&lt;0,"0",'Water-Meter'!U18)</f>
        <v>84</v>
      </c>
      <c r="R14" s="243">
        <f>IF('Water-Meter'!X18&lt;0,"0",'Water-Meter'!X18)</f>
        <v>0</v>
      </c>
      <c r="S14" s="243">
        <f>IF('Water-Meter'!AA18&lt;0,"0",'Water-Meter'!AA18)</f>
        <v>37</v>
      </c>
      <c r="T14" s="243">
        <f>IF('Water-Meter'!AD18&lt;0,"0",'Water-Meter'!AD18)</f>
        <v>19</v>
      </c>
      <c r="U14" s="243">
        <f>IF('Water-Meter'!AG18&lt;0,"0",'Water-Meter'!AG18)</f>
        <v>0</v>
      </c>
      <c r="V14" s="243">
        <f>IF('Water-Meter'!AJ18&lt;0,"0",'Water-Meter'!AJ18)</f>
        <v>22</v>
      </c>
      <c r="W14" s="31">
        <f>'Water-Meter'!AN18</f>
        <v>162</v>
      </c>
      <c r="X14" s="483">
        <f>Total!K14</f>
        <v>5</v>
      </c>
    </row>
    <row r="15" spans="1:24">
      <c r="A15" s="468" t="s">
        <v>283</v>
      </c>
      <c r="B15" s="465">
        <f t="shared" si="0"/>
        <v>14</v>
      </c>
      <c r="C15" s="470">
        <v>10</v>
      </c>
      <c r="D15" s="471">
        <v>2020</v>
      </c>
      <c r="E15" s="466">
        <f>'UTILITY REPORT 1'!I16</f>
        <v>58.87</v>
      </c>
      <c r="F15" s="466">
        <f>'UTILITY REPORT 1'!E16</f>
        <v>974.17000000000007</v>
      </c>
      <c r="G15" s="467">
        <f>'UTILITY REPORT 1'!F16</f>
        <v>2264</v>
      </c>
      <c r="H15" s="466">
        <f>IF('Kit report'!F17&lt;0,"0",'Kit report'!F17)</f>
        <v>203.99999999986903</v>
      </c>
      <c r="I15" s="466">
        <f>IF('Kit report'!X17&lt;0,"0",'Kit report'!X17)</f>
        <v>60.00000000003638</v>
      </c>
      <c r="J15" s="466">
        <f>IF('Utility summery'!H19&lt;0,"0",'Utility summery'!H19)</f>
        <v>29</v>
      </c>
      <c r="K15" s="467">
        <f>IF('UTILITY REPORT 1'!H16&lt;0,"0",'UTILITY REPORT 1'!H16)</f>
        <v>20</v>
      </c>
      <c r="L15" s="466">
        <f>'Water-Meter'!K19</f>
        <v>0</v>
      </c>
      <c r="M15" s="467">
        <f>'Water-Meter'!H19</f>
        <v>0</v>
      </c>
      <c r="N15" s="467">
        <f>'Water-Meter'!Q19</f>
        <v>2</v>
      </c>
      <c r="O15" s="466" t="e">
        <f>K15*E15+H15*I15+#REF!*#REF!+J15*L15</f>
        <v>#REF!</v>
      </c>
      <c r="P15" s="472">
        <f>'Water-Meter'!E19</f>
        <v>43</v>
      </c>
      <c r="Q15" s="243">
        <f>IF('Water-Meter'!U19&lt;0,"0",'Water-Meter'!U19)</f>
        <v>47</v>
      </c>
      <c r="R15" s="243">
        <f>IF('Water-Meter'!X19&lt;0,"0",'Water-Meter'!X19)</f>
        <v>0</v>
      </c>
      <c r="S15" s="243">
        <f>IF('Water-Meter'!AA19&lt;0,"0",'Water-Meter'!AA19)</f>
        <v>37</v>
      </c>
      <c r="T15" s="243">
        <f>IF('Water-Meter'!AD19&lt;0,"0",'Water-Meter'!AD19)</f>
        <v>20</v>
      </c>
      <c r="U15" s="243">
        <f>IF('Water-Meter'!AG19&lt;0,"0",'Water-Meter'!AG19)</f>
        <v>0</v>
      </c>
      <c r="V15" s="243">
        <f>IF('Water-Meter'!AJ19&lt;0,"0",'Water-Meter'!AJ19)</f>
        <v>20</v>
      </c>
      <c r="W15" s="31">
        <f>'Water-Meter'!AN19</f>
        <v>124</v>
      </c>
      <c r="X15" s="483">
        <f>Total!K15</f>
        <v>2</v>
      </c>
    </row>
    <row r="16" spans="1:24">
      <c r="A16" s="468" t="s">
        <v>283</v>
      </c>
      <c r="B16" s="465">
        <f t="shared" si="0"/>
        <v>15</v>
      </c>
      <c r="C16" s="470">
        <v>10</v>
      </c>
      <c r="D16" s="471">
        <v>2020</v>
      </c>
      <c r="E16" s="466">
        <f>'UTILITY REPORT 1'!I17</f>
        <v>0</v>
      </c>
      <c r="F16" s="466">
        <f>'UTILITY REPORT 1'!E17</f>
        <v>1042.8800000000001</v>
      </c>
      <c r="G16" s="467">
        <f>'UTILITY REPORT 1'!F17</f>
        <v>2360</v>
      </c>
      <c r="H16" s="466">
        <f>IF('Kit report'!F18&lt;0,"0",'Kit report'!F18)</f>
        <v>204.00000000008731</v>
      </c>
      <c r="I16" s="466">
        <f>IF('Kit report'!X18&lt;0,"0",'Kit report'!X18)</f>
        <v>160.00000000003638</v>
      </c>
      <c r="J16" s="466">
        <f>IF('Utility summery'!H20&lt;0,"0",'Utility summery'!H20)</f>
        <v>34</v>
      </c>
      <c r="K16" s="467">
        <f>IF('UTILITY REPORT 1'!H17&lt;0,"0",'UTILITY REPORT 1'!H17)</f>
        <v>45</v>
      </c>
      <c r="L16" s="466">
        <f>'Water-Meter'!K20</f>
        <v>1</v>
      </c>
      <c r="M16" s="467">
        <f>'Water-Meter'!H20</f>
        <v>0</v>
      </c>
      <c r="N16" s="467">
        <f>'Water-Meter'!Q20</f>
        <v>2</v>
      </c>
      <c r="O16" s="466" t="e">
        <f>K16*E16+H16*I16+#REF!*#REF!+J16*L16</f>
        <v>#REF!</v>
      </c>
      <c r="P16" s="472">
        <f>'Water-Meter'!E20</f>
        <v>48</v>
      </c>
      <c r="Q16" s="243">
        <f>IF('Water-Meter'!U20&lt;0,"0",'Water-Meter'!U20)</f>
        <v>31</v>
      </c>
      <c r="R16" s="243">
        <f>IF('Water-Meter'!X20&lt;0,"0",'Water-Meter'!X20)</f>
        <v>0</v>
      </c>
      <c r="S16" s="243">
        <f>IF('Water-Meter'!AA20&lt;0,"0",'Water-Meter'!AA20)</f>
        <v>36</v>
      </c>
      <c r="T16" s="243">
        <f>IF('Water-Meter'!AD20&lt;0,"0",'Water-Meter'!AD20)</f>
        <v>19</v>
      </c>
      <c r="U16" s="243">
        <f>IF('Water-Meter'!AG20&lt;0,"0",'Water-Meter'!AG20)</f>
        <v>0</v>
      </c>
      <c r="V16" s="243">
        <f>IF('Water-Meter'!AJ20&lt;0,"0",'Water-Meter'!AJ20)</f>
        <v>22</v>
      </c>
      <c r="W16" s="31">
        <f>'Water-Meter'!AN20</f>
        <v>108</v>
      </c>
      <c r="X16" s="483">
        <f>Total!K16</f>
        <v>5</v>
      </c>
    </row>
    <row r="17" spans="1:24">
      <c r="A17" s="468" t="s">
        <v>283</v>
      </c>
      <c r="B17" s="465">
        <f t="shared" si="0"/>
        <v>16</v>
      </c>
      <c r="C17" s="470">
        <v>10</v>
      </c>
      <c r="D17" s="471">
        <v>2020</v>
      </c>
      <c r="E17" s="466">
        <f>'UTILITY REPORT 1'!I18</f>
        <v>102.83999999999999</v>
      </c>
      <c r="F17" s="466">
        <f>'UTILITY REPORT 1'!E18</f>
        <v>1176.97</v>
      </c>
      <c r="G17" s="467">
        <f>'UTILITY REPORT 1'!F18</f>
        <v>2740</v>
      </c>
      <c r="H17" s="466">
        <f>IF('Kit report'!F19&lt;0,"0",'Kit report'!F19)</f>
        <v>227.99999999995634</v>
      </c>
      <c r="I17" s="466">
        <f>IF('Kit report'!X19&lt;0,"0",'Kit report'!X19)</f>
        <v>60.00000000003638</v>
      </c>
      <c r="J17" s="466">
        <f>IF('Utility summery'!H21&lt;0,"0",'Utility summery'!H21)</f>
        <v>43</v>
      </c>
      <c r="K17" s="467">
        <f>IF('UTILITY REPORT 1'!H18&lt;0,"0",'UTILITY REPORT 1'!H18)</f>
        <v>60</v>
      </c>
      <c r="L17" s="466">
        <f>'Water-Meter'!K21</f>
        <v>1</v>
      </c>
      <c r="M17" s="467">
        <f>'Water-Meter'!H21</f>
        <v>0</v>
      </c>
      <c r="N17" s="467">
        <f>'Water-Meter'!Q21</f>
        <v>3</v>
      </c>
      <c r="O17" s="466" t="e">
        <f>K17*E17+H17*I17+#REF!*#REF!+J17*L17</f>
        <v>#REF!</v>
      </c>
      <c r="P17" s="472">
        <f>'Water-Meter'!E21</f>
        <v>56</v>
      </c>
      <c r="Q17" s="243">
        <f>IF('Water-Meter'!U21&lt;0,"0",'Water-Meter'!U21)</f>
        <v>30</v>
      </c>
      <c r="R17" s="243">
        <f>IF('Water-Meter'!X21&lt;0,"0",'Water-Meter'!X21)</f>
        <v>0</v>
      </c>
      <c r="S17" s="243">
        <f>IF('Water-Meter'!AA21&lt;0,"0",'Water-Meter'!AA21)</f>
        <v>35</v>
      </c>
      <c r="T17" s="243">
        <f>IF('Water-Meter'!AD21&lt;0,"0",'Water-Meter'!AD21)</f>
        <v>18</v>
      </c>
      <c r="U17" s="243">
        <f>IF('Water-Meter'!AG21&lt;0,"0",'Water-Meter'!AG21)</f>
        <v>0</v>
      </c>
      <c r="V17" s="243">
        <f>IF('Water-Meter'!AJ21&lt;0,"0",'Water-Meter'!AJ21)</f>
        <v>23</v>
      </c>
      <c r="W17" s="31">
        <f>'Water-Meter'!AN21</f>
        <v>106</v>
      </c>
      <c r="X17" s="483">
        <f>Total!K17</f>
        <v>10</v>
      </c>
    </row>
    <row r="18" spans="1:24">
      <c r="A18" s="468" t="s">
        <v>283</v>
      </c>
      <c r="B18" s="465">
        <f t="shared" si="0"/>
        <v>17</v>
      </c>
      <c r="C18" s="470">
        <v>10</v>
      </c>
      <c r="D18" s="471">
        <v>2020</v>
      </c>
      <c r="E18" s="466">
        <f>'UTILITY REPORT 1'!I19</f>
        <v>163</v>
      </c>
      <c r="F18" s="466">
        <f>'UTILITY REPORT 1'!E19</f>
        <v>997.16000000000008</v>
      </c>
      <c r="G18" s="467">
        <f>'UTILITY REPORT 1'!F19</f>
        <v>2624</v>
      </c>
      <c r="H18" s="466">
        <f>IF('Kit report'!F20&lt;0,"0",'Kit report'!F20)</f>
        <v>252.00000000004366</v>
      </c>
      <c r="I18" s="466">
        <f>IF('Kit report'!X20&lt;0,"0",'Kit report'!X20)</f>
        <v>79.99999999992724</v>
      </c>
      <c r="J18" s="466">
        <f>IF('Utility summery'!H22&lt;0,"0",'Utility summery'!H22)</f>
        <v>47</v>
      </c>
      <c r="K18" s="467">
        <f>IF('UTILITY REPORT 1'!H19&lt;0,"0",'UTILITY REPORT 1'!H19)</f>
        <v>84</v>
      </c>
      <c r="L18" s="466">
        <f>'Water-Meter'!K22</f>
        <v>0</v>
      </c>
      <c r="M18" s="467">
        <f>'Water-Meter'!H22</f>
        <v>0</v>
      </c>
      <c r="N18" s="467">
        <f>'Water-Meter'!Q22</f>
        <v>4</v>
      </c>
      <c r="O18" s="466" t="e">
        <f>K18*E18+H18*I18+#REF!*#REF!+J18*L18</f>
        <v>#REF!</v>
      </c>
      <c r="P18" s="472">
        <f>'Water-Meter'!E22</f>
        <v>71</v>
      </c>
      <c r="Q18" s="243">
        <f>IF('Water-Meter'!U22&lt;0,"0",'Water-Meter'!U22)</f>
        <v>0</v>
      </c>
      <c r="R18" s="243">
        <f>IF('Water-Meter'!X22&lt;0,"0",'Water-Meter'!X22)</f>
        <v>1</v>
      </c>
      <c r="S18" s="243">
        <f>IF('Water-Meter'!AA22&lt;0,"0",'Water-Meter'!AA22)</f>
        <v>35</v>
      </c>
      <c r="T18" s="243">
        <f>IF('Water-Meter'!AD22&lt;0,"0",'Water-Meter'!AD22)</f>
        <v>18</v>
      </c>
      <c r="U18" s="243">
        <f>IF('Water-Meter'!AG22&lt;0,"0",'Water-Meter'!AG22)</f>
        <v>0</v>
      </c>
      <c r="V18" s="243">
        <f>IF('Water-Meter'!AJ22&lt;0,"0",'Water-Meter'!AJ22)</f>
        <v>23</v>
      </c>
      <c r="W18" s="31">
        <f>'Water-Meter'!AN22</f>
        <v>77</v>
      </c>
      <c r="X18" s="483">
        <f>Total!K18</f>
        <v>12</v>
      </c>
    </row>
    <row r="19" spans="1:24">
      <c r="A19" s="468" t="s">
        <v>283</v>
      </c>
      <c r="B19" s="465">
        <f t="shared" si="0"/>
        <v>18</v>
      </c>
      <c r="C19" s="470">
        <v>10</v>
      </c>
      <c r="D19" s="471">
        <v>2020</v>
      </c>
      <c r="E19" s="466">
        <f>'UTILITY REPORT 1'!I20</f>
        <v>210.26999999999998</v>
      </c>
      <c r="F19" s="466">
        <f>'UTILITY REPORT 1'!E20</f>
        <v>1208.03</v>
      </c>
      <c r="G19" s="467">
        <f>'UTILITY REPORT 1'!F20</f>
        <v>2889</v>
      </c>
      <c r="H19" s="466">
        <f>IF('Kit report'!F21&lt;0,"0",'Kit report'!F21)</f>
        <v>240</v>
      </c>
      <c r="I19" s="466">
        <f>IF('Kit report'!X21&lt;0,"0",'Kit report'!X21)</f>
        <v>180.00000000010914</v>
      </c>
      <c r="J19" s="466">
        <f>IF('Utility summery'!H23&lt;0,"0",'Utility summery'!H23)</f>
        <v>48</v>
      </c>
      <c r="K19" s="467">
        <f>IF('UTILITY REPORT 1'!H20&lt;0,"0",'UTILITY REPORT 1'!H20)</f>
        <v>44</v>
      </c>
      <c r="L19" s="466">
        <f>'Water-Meter'!K23</f>
        <v>2</v>
      </c>
      <c r="M19" s="467">
        <f>'Water-Meter'!H23</f>
        <v>0</v>
      </c>
      <c r="N19" s="467">
        <f>'Water-Meter'!Q23</f>
        <v>3</v>
      </c>
      <c r="O19" s="466" t="e">
        <f>K19*E19+H19*I19+#REF!*#REF!+J19*L19</f>
        <v>#REF!</v>
      </c>
      <c r="P19" s="472">
        <f>'Water-Meter'!E23</f>
        <v>57</v>
      </c>
      <c r="Q19" s="243">
        <f>IF('Water-Meter'!U23&lt;0,"0",'Water-Meter'!U23)</f>
        <v>0</v>
      </c>
      <c r="R19" s="243">
        <f>IF('Water-Meter'!X23&lt;0,"0",'Water-Meter'!X23)</f>
        <v>0</v>
      </c>
      <c r="S19" s="243">
        <f>IF('Water-Meter'!AA23&lt;0,"0",'Water-Meter'!AA23)</f>
        <v>36</v>
      </c>
      <c r="T19" s="243">
        <f>IF('Water-Meter'!AD23&lt;0,"0",'Water-Meter'!AD23)</f>
        <v>18</v>
      </c>
      <c r="U19" s="243">
        <f>IF('Water-Meter'!AG23&lt;0,"0",'Water-Meter'!AG23)</f>
        <v>0</v>
      </c>
      <c r="V19" s="243">
        <f>IF('Water-Meter'!AJ23&lt;0,"0",'Water-Meter'!AJ23)</f>
        <v>22</v>
      </c>
      <c r="W19" s="31">
        <f>'Water-Meter'!AN23</f>
        <v>76</v>
      </c>
      <c r="X19" s="483">
        <f>Total!K19</f>
        <v>12</v>
      </c>
    </row>
    <row r="20" spans="1:24">
      <c r="A20" s="468" t="s">
        <v>283</v>
      </c>
      <c r="B20" s="465">
        <f t="shared" si="0"/>
        <v>19</v>
      </c>
      <c r="C20" s="470">
        <v>10</v>
      </c>
      <c r="D20" s="471">
        <v>2020</v>
      </c>
      <c r="E20" s="466">
        <f>'UTILITY REPORT 1'!I21</f>
        <v>0</v>
      </c>
      <c r="F20" s="466">
        <f>'UTILITY REPORT 1'!E21</f>
        <v>0</v>
      </c>
      <c r="G20" s="467">
        <f>'UTILITY REPORT 1'!F21</f>
        <v>0</v>
      </c>
      <c r="H20" s="466" t="str">
        <f>IF('Kit report'!F22&lt;0,"0",'Kit report'!F22)</f>
        <v>0</v>
      </c>
      <c r="I20" s="466" t="str">
        <f>IF('Kit report'!X22&lt;0,"0",'Kit report'!X22)</f>
        <v>0</v>
      </c>
      <c r="J20" s="466" t="str">
        <f>IF('Utility summery'!H24&lt;0,"0",'Utility summery'!H24)</f>
        <v>0</v>
      </c>
      <c r="K20" s="467" t="str">
        <f>IF('UTILITY REPORT 1'!H21&lt;0,"0",'UTILITY REPORT 1'!H21)</f>
        <v>0</v>
      </c>
      <c r="L20" s="466" t="str">
        <f>'Water-Meter'!K24</f>
        <v>0</v>
      </c>
      <c r="M20" s="467" t="str">
        <f>'Water-Meter'!H24</f>
        <v>0</v>
      </c>
      <c r="N20" s="467" t="str">
        <f>'Water-Meter'!Q24</f>
        <v>0</v>
      </c>
      <c r="O20" s="466" t="e">
        <f>K20*E20+H20*I20+#REF!*#REF!+J20*L20</f>
        <v>#REF!</v>
      </c>
      <c r="P20" s="472" t="str">
        <f>'Water-Meter'!E24</f>
        <v>0</v>
      </c>
      <c r="Q20" s="243" t="str">
        <f>IF('Water-Meter'!U24&lt;0,"0",'Water-Meter'!U24)</f>
        <v>0</v>
      </c>
      <c r="R20" s="243" t="str">
        <f>IF('Water-Meter'!X24&lt;0,"0",'Water-Meter'!X24)</f>
        <v>0</v>
      </c>
      <c r="S20" s="243" t="str">
        <f>IF('Water-Meter'!AA24&lt;0,"0",'Water-Meter'!AA24)</f>
        <v>0</v>
      </c>
      <c r="T20" s="243" t="str">
        <f>IF('Water-Meter'!AD24&lt;0,"0",'Water-Meter'!AD24)</f>
        <v>0</v>
      </c>
      <c r="U20" s="243" t="str">
        <f>IF('Water-Meter'!AG24&lt;0,"0",'Water-Meter'!AG24)</f>
        <v>0</v>
      </c>
      <c r="V20" s="243" t="str">
        <f>IF('Water-Meter'!AJ24&lt;0,"0",'Water-Meter'!AJ24)</f>
        <v>0</v>
      </c>
      <c r="W20" s="31">
        <f>'Water-Meter'!AN24</f>
        <v>0</v>
      </c>
      <c r="X20" s="483">
        <f>Total!K20</f>
        <v>12</v>
      </c>
    </row>
    <row r="21" spans="1:24">
      <c r="A21" s="468" t="s">
        <v>283</v>
      </c>
      <c r="B21" s="465">
        <f t="shared" si="0"/>
        <v>20</v>
      </c>
      <c r="C21" s="470">
        <v>10</v>
      </c>
      <c r="D21" s="471">
        <v>2020</v>
      </c>
      <c r="E21" s="466">
        <f>'UTILITY REPORT 1'!I22</f>
        <v>0</v>
      </c>
      <c r="F21" s="466">
        <f>'UTILITY REPORT 1'!E22</f>
        <v>0</v>
      </c>
      <c r="G21" s="467">
        <f>'UTILITY REPORT 1'!F22</f>
        <v>0</v>
      </c>
      <c r="H21" s="466">
        <f>IF('Kit report'!F23&lt;0,"0",'Kit report'!F23)</f>
        <v>0</v>
      </c>
      <c r="I21" s="466">
        <f>IF('Kit report'!X23&lt;0,"0",'Kit report'!X23)</f>
        <v>0</v>
      </c>
      <c r="J21" s="466">
        <f>IF('Utility summery'!H25&lt;0,"0",'Utility summery'!H25)</f>
        <v>0</v>
      </c>
      <c r="K21" s="467">
        <f>IF('UTILITY REPORT 1'!H22&lt;0,"0",'UTILITY REPORT 1'!H22)</f>
        <v>0</v>
      </c>
      <c r="L21" s="466">
        <f>'Water-Meter'!K25</f>
        <v>0</v>
      </c>
      <c r="M21" s="467">
        <f>'Water-Meter'!H25</f>
        <v>0</v>
      </c>
      <c r="N21" s="467">
        <f>'Water-Meter'!Q25</f>
        <v>0</v>
      </c>
      <c r="O21" s="466" t="e">
        <f>K21*E21+H21*I21+#REF!*#REF!+J21*L21</f>
        <v>#REF!</v>
      </c>
      <c r="P21" s="472">
        <f>'Water-Meter'!E25</f>
        <v>0</v>
      </c>
      <c r="Q21" s="243">
        <f>IF('Water-Meter'!U25&lt;0,"0",'Water-Meter'!U25)</f>
        <v>0</v>
      </c>
      <c r="R21" s="243">
        <f>IF('Water-Meter'!X25&lt;0,"0",'Water-Meter'!X25)</f>
        <v>0</v>
      </c>
      <c r="S21" s="243">
        <f>IF('Water-Meter'!AA25&lt;0,"0",'Water-Meter'!AA25)</f>
        <v>0</v>
      </c>
      <c r="T21" s="243">
        <f>IF('Water-Meter'!AD25&lt;0,"0",'Water-Meter'!AD25)</f>
        <v>0</v>
      </c>
      <c r="U21" s="243">
        <f>IF('Water-Meter'!AG25&lt;0,"0",'Water-Meter'!AG25)</f>
        <v>0</v>
      </c>
      <c r="V21" s="243">
        <f>IF('Water-Meter'!AJ25&lt;0,"0",'Water-Meter'!AJ25)</f>
        <v>0</v>
      </c>
      <c r="W21" s="31">
        <f>'Water-Meter'!AN25</f>
        <v>0</v>
      </c>
      <c r="X21" s="483">
        <f>Total!K21</f>
        <v>10</v>
      </c>
    </row>
    <row r="22" spans="1:24">
      <c r="A22" s="468" t="s">
        <v>283</v>
      </c>
      <c r="B22" s="465">
        <f t="shared" si="0"/>
        <v>21</v>
      </c>
      <c r="C22" s="470">
        <v>10</v>
      </c>
      <c r="D22" s="471">
        <v>2020</v>
      </c>
      <c r="E22" s="466">
        <f>'UTILITY REPORT 1'!I23</f>
        <v>0</v>
      </c>
      <c r="F22" s="466">
        <f>'UTILITY REPORT 1'!E23</f>
        <v>0</v>
      </c>
      <c r="G22" s="467">
        <f>'UTILITY REPORT 1'!F23</f>
        <v>0</v>
      </c>
      <c r="H22" s="466">
        <f>IF('Kit report'!F24&lt;0,"0",'Kit report'!F24)</f>
        <v>0</v>
      </c>
      <c r="I22" s="466">
        <f>IF('Kit report'!X24&lt;0,"0",'Kit report'!X24)</f>
        <v>0</v>
      </c>
      <c r="J22" s="466">
        <f>IF('Utility summery'!H26&lt;0,"0",'Utility summery'!H26)</f>
        <v>0</v>
      </c>
      <c r="K22" s="467">
        <f>IF('UTILITY REPORT 1'!H23&lt;0,"0",'UTILITY REPORT 1'!H23)</f>
        <v>0</v>
      </c>
      <c r="L22" s="466">
        <f>'Water-Meter'!K26</f>
        <v>0</v>
      </c>
      <c r="M22" s="467">
        <f>'Water-Meter'!H26</f>
        <v>0</v>
      </c>
      <c r="N22" s="467">
        <f>'Water-Meter'!Q26</f>
        <v>0</v>
      </c>
      <c r="O22" s="466" t="e">
        <f>K22*E22+H22*I22+#REF!*#REF!+J22*L22</f>
        <v>#REF!</v>
      </c>
      <c r="P22" s="472">
        <f>'Water-Meter'!E26</f>
        <v>0</v>
      </c>
      <c r="Q22" s="243">
        <f>IF('Water-Meter'!U26&lt;0,"0",'Water-Meter'!U26)</f>
        <v>0</v>
      </c>
      <c r="R22" s="243">
        <f>IF('Water-Meter'!X26&lt;0,"0",'Water-Meter'!X26)</f>
        <v>0</v>
      </c>
      <c r="S22" s="243">
        <f>IF('Water-Meter'!AA26&lt;0,"0",'Water-Meter'!AA26)</f>
        <v>0</v>
      </c>
      <c r="T22" s="243">
        <f>IF('Water-Meter'!AD26&lt;0,"0",'Water-Meter'!AD26)</f>
        <v>0</v>
      </c>
      <c r="U22" s="243">
        <f>IF('Water-Meter'!AG26&lt;0,"0",'Water-Meter'!AG26)</f>
        <v>0</v>
      </c>
      <c r="V22" s="243">
        <f>IF('Water-Meter'!AJ26&lt;0,"0",'Water-Meter'!AJ26)</f>
        <v>0</v>
      </c>
      <c r="W22" s="31">
        <f>'Water-Meter'!AN26</f>
        <v>0</v>
      </c>
      <c r="X22" s="483">
        <f>Total!K22</f>
        <v>0</v>
      </c>
    </row>
    <row r="23" spans="1:24">
      <c r="A23" s="468" t="s">
        <v>283</v>
      </c>
      <c r="B23" s="465">
        <f t="shared" si="0"/>
        <v>22</v>
      </c>
      <c r="C23" s="470">
        <v>10</v>
      </c>
      <c r="D23" s="471">
        <v>2020</v>
      </c>
      <c r="E23" s="466">
        <f>'UTILITY REPORT 1'!I24</f>
        <v>0</v>
      </c>
      <c r="F23" s="466">
        <f>'UTILITY REPORT 1'!E24</f>
        <v>0</v>
      </c>
      <c r="G23" s="467">
        <f>'UTILITY REPORT 1'!F24</f>
        <v>0</v>
      </c>
      <c r="H23" s="466">
        <f>IF('Kit report'!F25&lt;0,"0",'Kit report'!F25)</f>
        <v>0</v>
      </c>
      <c r="I23" s="466">
        <f>IF('Kit report'!X25&lt;0,"0",'Kit report'!X25)</f>
        <v>0</v>
      </c>
      <c r="J23" s="466">
        <f>IF('Utility summery'!H27&lt;0,"0",'Utility summery'!H27)</f>
        <v>0</v>
      </c>
      <c r="K23" s="467">
        <f>IF('UTILITY REPORT 1'!H24&lt;0,"0",'UTILITY REPORT 1'!H24)</f>
        <v>0</v>
      </c>
      <c r="L23" s="466">
        <f>'Water-Meter'!K27</f>
        <v>0</v>
      </c>
      <c r="M23" s="467">
        <f>'Water-Meter'!H27</f>
        <v>0</v>
      </c>
      <c r="N23" s="467">
        <f>'Water-Meter'!Q27</f>
        <v>0</v>
      </c>
      <c r="O23" s="466" t="e">
        <f>K23*E23+H23*I23+#REF!*#REF!+J23*L23</f>
        <v>#REF!</v>
      </c>
      <c r="P23" s="472">
        <f>'Water-Meter'!E27</f>
        <v>0</v>
      </c>
      <c r="Q23" s="243">
        <f>IF('Water-Meter'!U27&lt;0,"0",'Water-Meter'!U27)</f>
        <v>0</v>
      </c>
      <c r="R23" s="243">
        <f>IF('Water-Meter'!X27&lt;0,"0",'Water-Meter'!X27)</f>
        <v>0</v>
      </c>
      <c r="S23" s="243">
        <f>IF('Water-Meter'!AA27&lt;0,"0",'Water-Meter'!AA27)</f>
        <v>0</v>
      </c>
      <c r="T23" s="243">
        <f>IF('Water-Meter'!AD27&lt;0,"0",'Water-Meter'!AD27)</f>
        <v>0</v>
      </c>
      <c r="U23" s="243">
        <f>IF('Water-Meter'!AG27&lt;0,"0",'Water-Meter'!AG27)</f>
        <v>0</v>
      </c>
      <c r="V23" s="243">
        <f>IF('Water-Meter'!AJ27&lt;0,"0",'Water-Meter'!AJ27)</f>
        <v>0</v>
      </c>
      <c r="W23" s="31">
        <f>'Water-Meter'!AN27</f>
        <v>0</v>
      </c>
      <c r="X23" s="483">
        <f>Total!K23</f>
        <v>0</v>
      </c>
    </row>
    <row r="24" spans="1:24">
      <c r="A24" s="468" t="s">
        <v>283</v>
      </c>
      <c r="B24" s="465">
        <f t="shared" si="0"/>
        <v>23</v>
      </c>
      <c r="C24" s="470">
        <v>10</v>
      </c>
      <c r="D24" s="471">
        <v>2020</v>
      </c>
      <c r="E24" s="466">
        <f>'UTILITY REPORT 1'!I25</f>
        <v>0</v>
      </c>
      <c r="F24" s="466">
        <f>'UTILITY REPORT 1'!E25</f>
        <v>0</v>
      </c>
      <c r="G24" s="467">
        <f>'UTILITY REPORT 1'!F25</f>
        <v>0</v>
      </c>
      <c r="H24" s="466">
        <f>IF('Kit report'!F26&lt;0,"0",'Kit report'!F26)</f>
        <v>0</v>
      </c>
      <c r="I24" s="466">
        <f>IF('Kit report'!X26&lt;0,"0",'Kit report'!X26)</f>
        <v>0</v>
      </c>
      <c r="J24" s="466">
        <f>IF('Utility summery'!H28&lt;0,"0",'Utility summery'!H28)</f>
        <v>0</v>
      </c>
      <c r="K24" s="467">
        <f>IF('UTILITY REPORT 1'!H25&lt;0,"0",'UTILITY REPORT 1'!H25)</f>
        <v>0</v>
      </c>
      <c r="L24" s="466">
        <f>'Water-Meter'!K28</f>
        <v>0</v>
      </c>
      <c r="M24" s="467">
        <f>'Water-Meter'!H28</f>
        <v>0</v>
      </c>
      <c r="N24" s="467">
        <f>'Water-Meter'!Q28</f>
        <v>0</v>
      </c>
      <c r="O24" s="466" t="e">
        <f>K24*E24+H24*I24+#REF!*#REF!+J24*L24</f>
        <v>#REF!</v>
      </c>
      <c r="P24" s="472">
        <f>'Water-Meter'!E28</f>
        <v>0</v>
      </c>
      <c r="Q24" s="243">
        <f>IF('Water-Meter'!U28&lt;0,"0",'Water-Meter'!U28)</f>
        <v>0</v>
      </c>
      <c r="R24" s="243">
        <f>IF('Water-Meter'!X28&lt;0,"0",'Water-Meter'!X28)</f>
        <v>0</v>
      </c>
      <c r="S24" s="243">
        <f>IF('Water-Meter'!AA28&lt;0,"0",'Water-Meter'!AA28)</f>
        <v>0</v>
      </c>
      <c r="T24" s="243">
        <f>IF('Water-Meter'!AD28&lt;0,"0",'Water-Meter'!AD28)</f>
        <v>0</v>
      </c>
      <c r="U24" s="243">
        <f>IF('Water-Meter'!AG28&lt;0,"0",'Water-Meter'!AG28)</f>
        <v>0</v>
      </c>
      <c r="V24" s="243">
        <f>IF('Water-Meter'!AJ28&lt;0,"0",'Water-Meter'!AJ28)</f>
        <v>0</v>
      </c>
      <c r="W24" s="31">
        <f>'Water-Meter'!AN28</f>
        <v>0</v>
      </c>
      <c r="X24" s="483">
        <f>Total!K24</f>
        <v>0</v>
      </c>
    </row>
    <row r="25" spans="1:24">
      <c r="A25" s="468" t="s">
        <v>283</v>
      </c>
      <c r="B25" s="465">
        <f t="shared" si="0"/>
        <v>24</v>
      </c>
      <c r="C25" s="470">
        <v>10</v>
      </c>
      <c r="D25" s="471">
        <v>2020</v>
      </c>
      <c r="E25" s="466">
        <f>'UTILITY REPORT 1'!I26</f>
        <v>0</v>
      </c>
      <c r="F25" s="466">
        <f>'UTILITY REPORT 1'!E26</f>
        <v>0</v>
      </c>
      <c r="G25" s="467">
        <f>'UTILITY REPORT 1'!F26</f>
        <v>0</v>
      </c>
      <c r="H25" s="466">
        <f>IF('Kit report'!F27&lt;0,"0",'Kit report'!F27)</f>
        <v>0</v>
      </c>
      <c r="I25" s="466">
        <f>IF('Kit report'!X27&lt;0,"0",'Kit report'!X27)</f>
        <v>0</v>
      </c>
      <c r="J25" s="466">
        <f>IF('Utility summery'!H29&lt;0,"0",'Utility summery'!H29)</f>
        <v>0</v>
      </c>
      <c r="K25" s="467">
        <f>IF('UTILITY REPORT 1'!H26&lt;0,"0",'UTILITY REPORT 1'!H26)</f>
        <v>0</v>
      </c>
      <c r="L25" s="466">
        <f>'Water-Meter'!K29</f>
        <v>0</v>
      </c>
      <c r="M25" s="467">
        <f>'Water-Meter'!H29</f>
        <v>0</v>
      </c>
      <c r="N25" s="467">
        <f>'Water-Meter'!Q29</f>
        <v>0</v>
      </c>
      <c r="O25" s="466" t="e">
        <f>K25*E25+H25*I25+#REF!*#REF!+J25*L25</f>
        <v>#REF!</v>
      </c>
      <c r="P25" s="472">
        <f>'Water-Meter'!E29</f>
        <v>0</v>
      </c>
      <c r="Q25" s="243">
        <f>IF('Water-Meter'!U29&lt;0,"0",'Water-Meter'!U29)</f>
        <v>0</v>
      </c>
      <c r="R25" s="243">
        <f>IF('Water-Meter'!X29&lt;0,"0",'Water-Meter'!X29)</f>
        <v>0</v>
      </c>
      <c r="S25" s="243">
        <f>IF('Water-Meter'!AA29&lt;0,"0",'Water-Meter'!AA29)</f>
        <v>0</v>
      </c>
      <c r="T25" s="243">
        <f>IF('Water-Meter'!AD29&lt;0,"0",'Water-Meter'!AD29)</f>
        <v>0</v>
      </c>
      <c r="U25" s="243">
        <f>IF('Water-Meter'!AG29&lt;0,"0",'Water-Meter'!AG29)</f>
        <v>0</v>
      </c>
      <c r="V25" s="243">
        <f>IF('Water-Meter'!AJ29&lt;0,"0",'Water-Meter'!AJ29)</f>
        <v>0</v>
      </c>
      <c r="W25" s="31">
        <f>'Water-Meter'!AN29</f>
        <v>0</v>
      </c>
      <c r="X25" s="483">
        <f>Total!K25</f>
        <v>0</v>
      </c>
    </row>
    <row r="26" spans="1:24">
      <c r="A26" s="468" t="s">
        <v>283</v>
      </c>
      <c r="B26" s="465">
        <f>B25+1</f>
        <v>25</v>
      </c>
      <c r="C26" s="470">
        <v>10</v>
      </c>
      <c r="D26" s="471">
        <v>2020</v>
      </c>
      <c r="E26" s="466">
        <f>'UTILITY REPORT 1'!I27</f>
        <v>0</v>
      </c>
      <c r="F26" s="466">
        <f>'UTILITY REPORT 1'!E27</f>
        <v>0</v>
      </c>
      <c r="G26" s="467">
        <f>'UTILITY REPORT 1'!F27</f>
        <v>0</v>
      </c>
      <c r="H26" s="466">
        <f>IF('Kit report'!F28&lt;0,"0",'Kit report'!F28)</f>
        <v>0</v>
      </c>
      <c r="I26" s="466">
        <f>IF('Kit report'!X28&lt;0,"0",'Kit report'!X28)</f>
        <v>0</v>
      </c>
      <c r="J26" s="466">
        <f>IF('Utility summery'!H30&lt;0,"0",'Utility summery'!H30)</f>
        <v>0</v>
      </c>
      <c r="K26" s="467">
        <f>IF('UTILITY REPORT 1'!H27&lt;0,"0",'UTILITY REPORT 1'!H27)</f>
        <v>0</v>
      </c>
      <c r="L26" s="466">
        <f>'Water-Meter'!K30</f>
        <v>0</v>
      </c>
      <c r="M26" s="467">
        <f>'Water-Meter'!H30</f>
        <v>0</v>
      </c>
      <c r="N26" s="467">
        <f>'Water-Meter'!Q30</f>
        <v>0</v>
      </c>
      <c r="O26" s="466" t="e">
        <f>K26*E26+H26*I26+#REF!*#REF!+J26*L26</f>
        <v>#REF!</v>
      </c>
      <c r="P26" s="472">
        <f>'Water-Meter'!E30</f>
        <v>0</v>
      </c>
      <c r="Q26" s="243">
        <f>IF('Water-Meter'!U30&lt;0,"0",'Water-Meter'!U30)</f>
        <v>0</v>
      </c>
      <c r="R26" s="243">
        <f>IF('Water-Meter'!X30&lt;0,"0",'Water-Meter'!X30)</f>
        <v>0</v>
      </c>
      <c r="S26" s="243">
        <f>IF('Water-Meter'!AA30&lt;0,"0",'Water-Meter'!AA30)</f>
        <v>0</v>
      </c>
      <c r="T26" s="243">
        <f>IF('Water-Meter'!AD30&lt;0,"0",'Water-Meter'!AD30)</f>
        <v>0</v>
      </c>
      <c r="U26" s="243">
        <f>IF('Water-Meter'!AG30&lt;0,"0",'Water-Meter'!AG30)</f>
        <v>0</v>
      </c>
      <c r="V26" s="243">
        <f>IF('Water-Meter'!AJ30&lt;0,"0",'Water-Meter'!AJ30)</f>
        <v>0</v>
      </c>
      <c r="W26" s="31">
        <f>'Water-Meter'!AN30</f>
        <v>0</v>
      </c>
      <c r="X26" s="483">
        <f>Total!K26</f>
        <v>0</v>
      </c>
    </row>
    <row r="27" spans="1:24">
      <c r="A27" s="468" t="s">
        <v>283</v>
      </c>
      <c r="B27" s="465">
        <f t="shared" si="0"/>
        <v>26</v>
      </c>
      <c r="C27" s="470">
        <v>10</v>
      </c>
      <c r="D27" s="471">
        <v>2020</v>
      </c>
      <c r="E27" s="466">
        <f>'UTILITY REPORT 1'!I28</f>
        <v>0</v>
      </c>
      <c r="F27" s="466">
        <f>'UTILITY REPORT 1'!E28</f>
        <v>0</v>
      </c>
      <c r="G27" s="467">
        <f>'UTILITY REPORT 1'!F28</f>
        <v>0</v>
      </c>
      <c r="H27" s="466">
        <f>IF('Kit report'!F29&lt;0,"0",'Kit report'!F29)</f>
        <v>0</v>
      </c>
      <c r="I27" s="466">
        <f>IF('Kit report'!X29&lt;0,"0",'Kit report'!X29)</f>
        <v>0</v>
      </c>
      <c r="J27" s="466">
        <f>IF('Utility summery'!H31&lt;0,"0",'Utility summery'!H31)</f>
        <v>0</v>
      </c>
      <c r="K27" s="467">
        <f>IF('UTILITY REPORT 1'!H28&lt;0,"0",'UTILITY REPORT 1'!H28)</f>
        <v>0</v>
      </c>
      <c r="L27" s="466">
        <f>'Water-Meter'!K31</f>
        <v>0</v>
      </c>
      <c r="M27" s="467">
        <f>'Water-Meter'!H31</f>
        <v>0</v>
      </c>
      <c r="N27" s="467">
        <f>'Water-Meter'!Q31</f>
        <v>0</v>
      </c>
      <c r="O27" s="466" t="e">
        <f>K27*E27+H27*I27+#REF!*#REF!+J27*L27</f>
        <v>#REF!</v>
      </c>
      <c r="P27" s="472">
        <f>'Water-Meter'!E31</f>
        <v>0</v>
      </c>
      <c r="Q27" s="243">
        <f>IF('Water-Meter'!U31&lt;0,"0",'Water-Meter'!U31)</f>
        <v>0</v>
      </c>
      <c r="R27" s="243">
        <f>IF('Water-Meter'!X31&lt;0,"0",'Water-Meter'!X31)</f>
        <v>0</v>
      </c>
      <c r="S27" s="243">
        <f>IF('Water-Meter'!AA31&lt;0,"0",'Water-Meter'!AA31)</f>
        <v>0</v>
      </c>
      <c r="T27" s="243">
        <f>IF('Water-Meter'!AD31&lt;0,"0",'Water-Meter'!AD31)</f>
        <v>0</v>
      </c>
      <c r="U27" s="243">
        <f>IF('Water-Meter'!AG31&lt;0,"0",'Water-Meter'!AG31)</f>
        <v>0</v>
      </c>
      <c r="V27" s="243">
        <f>IF('Water-Meter'!AJ31&lt;0,"0",'Water-Meter'!AJ31)</f>
        <v>0</v>
      </c>
      <c r="W27" s="31">
        <f>'Water-Meter'!AN31</f>
        <v>0</v>
      </c>
      <c r="X27" s="483">
        <f>Total!K27</f>
        <v>0</v>
      </c>
    </row>
    <row r="28" spans="1:24">
      <c r="A28" s="468" t="s">
        <v>283</v>
      </c>
      <c r="B28" s="465">
        <f t="shared" si="0"/>
        <v>27</v>
      </c>
      <c r="C28" s="470">
        <v>10</v>
      </c>
      <c r="D28" s="471">
        <v>2020</v>
      </c>
      <c r="E28" s="466">
        <f>'UTILITY REPORT 1'!I29</f>
        <v>0</v>
      </c>
      <c r="F28" s="466">
        <f>'UTILITY REPORT 1'!E29</f>
        <v>0</v>
      </c>
      <c r="G28" s="467">
        <f>'UTILITY REPORT 1'!F29</f>
        <v>0</v>
      </c>
      <c r="H28" s="466">
        <f>IF('Kit report'!F30&lt;0,"0",'Kit report'!F30)</f>
        <v>0</v>
      </c>
      <c r="I28" s="466">
        <f>IF('Kit report'!X30&lt;0,"0",'Kit report'!X30)</f>
        <v>0</v>
      </c>
      <c r="J28" s="466">
        <f>IF('Utility summery'!H32&lt;0,"0",'Utility summery'!H32)</f>
        <v>0</v>
      </c>
      <c r="K28" s="467">
        <f>IF('UTILITY REPORT 1'!H29&lt;0,"0",'UTILITY REPORT 1'!H29)</f>
        <v>0</v>
      </c>
      <c r="L28" s="466">
        <f>'Water-Meter'!K32</f>
        <v>0</v>
      </c>
      <c r="M28" s="467">
        <f>'Water-Meter'!H32</f>
        <v>0</v>
      </c>
      <c r="N28" s="467">
        <f>'Water-Meter'!Q32</f>
        <v>0</v>
      </c>
      <c r="O28" s="466" t="e">
        <f>K28*E28+H28*I28+#REF!*#REF!+J28*L28</f>
        <v>#REF!</v>
      </c>
      <c r="P28" s="472">
        <f>'Water-Meter'!E32</f>
        <v>0</v>
      </c>
      <c r="Q28" s="243">
        <f>IF('Water-Meter'!U32&lt;0,"0",'Water-Meter'!U32)</f>
        <v>0</v>
      </c>
      <c r="R28" s="243">
        <f>IF('Water-Meter'!X32&lt;0,"0",'Water-Meter'!X32)</f>
        <v>0</v>
      </c>
      <c r="S28" s="243">
        <f>IF('Water-Meter'!AA32&lt;0,"0",'Water-Meter'!AA32)</f>
        <v>0</v>
      </c>
      <c r="T28" s="243">
        <f>IF('Water-Meter'!AD32&lt;0,"0",'Water-Meter'!AD32)</f>
        <v>0</v>
      </c>
      <c r="U28" s="243">
        <f>IF('Water-Meter'!AG32&lt;0,"0",'Water-Meter'!AG32)</f>
        <v>0</v>
      </c>
      <c r="V28" s="243">
        <f>IF('Water-Meter'!AJ32&lt;0,"0",'Water-Meter'!AJ32)</f>
        <v>0</v>
      </c>
      <c r="W28" s="31">
        <f>'Water-Meter'!AN32</f>
        <v>0</v>
      </c>
      <c r="X28" s="483">
        <f>Total!K28</f>
        <v>0</v>
      </c>
    </row>
    <row r="29" spans="1:24">
      <c r="A29" s="468" t="s">
        <v>283</v>
      </c>
      <c r="B29" s="465">
        <f t="shared" si="0"/>
        <v>28</v>
      </c>
      <c r="C29" s="470">
        <v>10</v>
      </c>
      <c r="D29" s="471">
        <v>2020</v>
      </c>
      <c r="E29" s="466">
        <f>'UTILITY REPORT 1'!I30</f>
        <v>0</v>
      </c>
      <c r="F29" s="466">
        <f>'UTILITY REPORT 1'!E30</f>
        <v>0</v>
      </c>
      <c r="G29" s="467">
        <f>'UTILITY REPORT 1'!F30</f>
        <v>0</v>
      </c>
      <c r="H29" s="466">
        <f>IF('Kit report'!F31&lt;0,"0",'Kit report'!F31)</f>
        <v>0</v>
      </c>
      <c r="I29" s="466">
        <f>IF('Kit report'!X31&lt;0,"0",'Kit report'!X31)</f>
        <v>0</v>
      </c>
      <c r="J29" s="466">
        <f>IF('Utility summery'!H33&lt;0,"0",'Utility summery'!H33)</f>
        <v>0</v>
      </c>
      <c r="K29" s="467">
        <f>IF('UTILITY REPORT 1'!H30&lt;0,"0",'UTILITY REPORT 1'!H30)</f>
        <v>0</v>
      </c>
      <c r="L29" s="466">
        <f>'Water-Meter'!K33</f>
        <v>0</v>
      </c>
      <c r="M29" s="467">
        <f>'Water-Meter'!H33</f>
        <v>0</v>
      </c>
      <c r="N29" s="467">
        <f>'Water-Meter'!Q33</f>
        <v>0</v>
      </c>
      <c r="O29" s="466" t="e">
        <f>K29*E29+H29*I29+#REF!*#REF!+J29*L29</f>
        <v>#REF!</v>
      </c>
      <c r="P29" s="472">
        <f>'Water-Meter'!E33</f>
        <v>0</v>
      </c>
      <c r="Q29" s="243">
        <f>IF('Water-Meter'!U33&lt;0,"0",'Water-Meter'!U33)</f>
        <v>0</v>
      </c>
      <c r="R29" s="243">
        <f>IF('Water-Meter'!X33&lt;0,"0",'Water-Meter'!X33)</f>
        <v>0</v>
      </c>
      <c r="S29" s="243">
        <f>IF('Water-Meter'!AA33&lt;0,"0",'Water-Meter'!AA33)</f>
        <v>0</v>
      </c>
      <c r="T29" s="243">
        <f>IF('Water-Meter'!AD33&lt;0,"0",'Water-Meter'!AD33)</f>
        <v>0</v>
      </c>
      <c r="U29" s="243">
        <f>IF('Water-Meter'!AG33&lt;0,"0",'Water-Meter'!AG33)</f>
        <v>0</v>
      </c>
      <c r="V29" s="243">
        <f>IF('Water-Meter'!AJ33&lt;0,"0",'Water-Meter'!AJ33)</f>
        <v>0</v>
      </c>
      <c r="W29" s="31">
        <f>'Water-Meter'!AN33</f>
        <v>0</v>
      </c>
      <c r="X29" s="483">
        <f>Total!K29</f>
        <v>0</v>
      </c>
    </row>
    <row r="30" spans="1:24">
      <c r="A30" s="468" t="s">
        <v>283</v>
      </c>
      <c r="B30" s="465">
        <f t="shared" si="0"/>
        <v>29</v>
      </c>
      <c r="C30" s="470">
        <v>10</v>
      </c>
      <c r="D30" s="471">
        <v>2020</v>
      </c>
      <c r="E30" s="466">
        <f>'UTILITY REPORT 1'!I31</f>
        <v>0</v>
      </c>
      <c r="F30" s="466">
        <f>'UTILITY REPORT 1'!E31</f>
        <v>0</v>
      </c>
      <c r="G30" s="467">
        <f>'UTILITY REPORT 1'!F31</f>
        <v>0</v>
      </c>
      <c r="H30" s="466">
        <f>IF('Kit report'!F32&lt;0,"0",'Kit report'!F32)</f>
        <v>0</v>
      </c>
      <c r="I30" s="466">
        <f>IF('Kit report'!X32&lt;0,"0",'Kit report'!X32)</f>
        <v>0</v>
      </c>
      <c r="J30" s="466">
        <f>IF('Utility summery'!H34&lt;0,"0",'Utility summery'!H34)</f>
        <v>0</v>
      </c>
      <c r="K30" s="467">
        <f>IF('UTILITY REPORT 1'!H31&lt;0,"0",'UTILITY REPORT 1'!H31)</f>
        <v>0</v>
      </c>
      <c r="L30" s="466">
        <f>'Water-Meter'!K34</f>
        <v>0</v>
      </c>
      <c r="M30" s="467">
        <f>'Water-Meter'!H34</f>
        <v>0</v>
      </c>
      <c r="N30" s="467">
        <f>'Water-Meter'!Q34</f>
        <v>0</v>
      </c>
      <c r="O30" s="466" t="e">
        <f>K30*E30+H30*I30+#REF!*#REF!+J30*L30</f>
        <v>#REF!</v>
      </c>
      <c r="P30" s="472">
        <f>'Water-Meter'!E34</f>
        <v>0</v>
      </c>
      <c r="Q30" s="243">
        <f>IF('Water-Meter'!U34&lt;0,"0",'Water-Meter'!U34)</f>
        <v>0</v>
      </c>
      <c r="R30" s="243">
        <f>IF('Water-Meter'!X34&lt;0,"0",'Water-Meter'!X34)</f>
        <v>0</v>
      </c>
      <c r="S30" s="243">
        <f>IF('Water-Meter'!AA34&lt;0,"0",'Water-Meter'!AA34)</f>
        <v>0</v>
      </c>
      <c r="T30" s="243">
        <f>IF('Water-Meter'!AD34&lt;0,"0",'Water-Meter'!AD34)</f>
        <v>0</v>
      </c>
      <c r="U30" s="243">
        <f>IF('Water-Meter'!AG34&lt;0,"0",'Water-Meter'!AG34)</f>
        <v>0</v>
      </c>
      <c r="V30" s="243">
        <f>IF('Water-Meter'!AJ34&lt;0,"0",'Water-Meter'!AJ34)</f>
        <v>0</v>
      </c>
      <c r="W30" s="31">
        <f>'Water-Meter'!AN34</f>
        <v>0</v>
      </c>
      <c r="X30" s="483">
        <f>Total!K30</f>
        <v>0</v>
      </c>
    </row>
    <row r="31" spans="1:24">
      <c r="A31" s="468" t="s">
        <v>283</v>
      </c>
      <c r="B31" s="465">
        <v>30</v>
      </c>
      <c r="C31" s="470">
        <v>10</v>
      </c>
      <c r="D31" s="471">
        <v>2020</v>
      </c>
      <c r="E31" s="466">
        <f>'UTILITY REPORT 1'!I32</f>
        <v>0</v>
      </c>
      <c r="F31" s="466">
        <f>'UTILITY REPORT 1'!E32</f>
        <v>0</v>
      </c>
      <c r="G31" s="467">
        <f>'UTILITY REPORT 1'!F32</f>
        <v>0</v>
      </c>
      <c r="H31" s="466">
        <f>IF('Kit report'!F33&lt;0,"0",'Kit report'!F33)</f>
        <v>0</v>
      </c>
      <c r="I31" s="466">
        <f>IF('Kit report'!X33&lt;0,"0",'Kit report'!X33)</f>
        <v>0</v>
      </c>
      <c r="J31" s="466">
        <f>IF('Utility summery'!H35&lt;0,"0",'Utility summery'!H35)</f>
        <v>0</v>
      </c>
      <c r="K31" s="467">
        <f>IF('UTILITY REPORT 1'!H32&lt;0,"0",'UTILITY REPORT 1'!H32)</f>
        <v>0</v>
      </c>
      <c r="L31" s="466">
        <f>'Water-Meter'!K35</f>
        <v>0</v>
      </c>
      <c r="M31" s="467">
        <f>'Water-Meter'!H35</f>
        <v>0</v>
      </c>
      <c r="N31" s="467">
        <f>'Water-Meter'!Q35</f>
        <v>0</v>
      </c>
      <c r="O31" s="466" t="e">
        <f>K31*E31+H31*I31+#REF!*#REF!+J31*L31</f>
        <v>#REF!</v>
      </c>
      <c r="P31" s="472">
        <f>'Water-Meter'!E35</f>
        <v>0</v>
      </c>
      <c r="Q31" s="243">
        <f>IF('Water-Meter'!U35&lt;0,"0",'Water-Meter'!U35)</f>
        <v>0</v>
      </c>
      <c r="R31" s="243">
        <f>IF('Water-Meter'!X35&lt;0,"0",'Water-Meter'!X35)</f>
        <v>0</v>
      </c>
      <c r="S31" s="243">
        <f>IF('Water-Meter'!AA35&lt;0,"0",'Water-Meter'!AA35)</f>
        <v>0</v>
      </c>
      <c r="T31" s="243">
        <f>IF('Water-Meter'!AD35&lt;0,"0",'Water-Meter'!AD35)</f>
        <v>0</v>
      </c>
      <c r="U31" s="243">
        <f>IF('Water-Meter'!AG35&lt;0,"0",'Water-Meter'!AG35)</f>
        <v>0</v>
      </c>
      <c r="V31" s="243">
        <f>IF('Water-Meter'!AJ35&lt;0,"0",'Water-Meter'!AJ35)</f>
        <v>0</v>
      </c>
      <c r="W31" s="31">
        <f>'Water-Meter'!AN35</f>
        <v>0</v>
      </c>
      <c r="X31" s="483">
        <f>Total!K31</f>
        <v>0</v>
      </c>
    </row>
    <row r="32" spans="1:24">
      <c r="A32" s="468" t="s">
        <v>283</v>
      </c>
      <c r="B32" s="465">
        <v>31</v>
      </c>
      <c r="C32" s="470">
        <v>10</v>
      </c>
      <c r="D32" s="471">
        <v>2020</v>
      </c>
      <c r="E32" s="466">
        <f>'UTILITY REPORT 1'!I33</f>
        <v>0</v>
      </c>
      <c r="F32" s="466">
        <f>'UTILITY REPORT 1'!E33</f>
        <v>0</v>
      </c>
      <c r="G32" s="467">
        <f>'UTILITY REPORT 1'!F33</f>
        <v>0</v>
      </c>
      <c r="H32" s="466">
        <f>IF('Kit report'!F34&lt;0,"0",'Kit report'!F34)</f>
        <v>0</v>
      </c>
      <c r="I32" s="466">
        <f>IF('Kit report'!X34&lt;0,"0",'Kit report'!X34)</f>
        <v>0</v>
      </c>
      <c r="J32" s="466">
        <f>IF('Utility summery'!H36&lt;0,"0",'Utility summery'!H36)</f>
        <v>0</v>
      </c>
      <c r="K32" s="467">
        <f>IF('UTILITY REPORT 1'!H33&lt;0,"0",'UTILITY REPORT 1'!H33)</f>
        <v>0</v>
      </c>
      <c r="L32" s="466">
        <f>'Water-Meter'!K36</f>
        <v>0</v>
      </c>
      <c r="M32" s="467">
        <f>'Water-Meter'!H36</f>
        <v>0</v>
      </c>
      <c r="N32" s="467">
        <f>'Water-Meter'!Q36</f>
        <v>0</v>
      </c>
      <c r="O32" s="243"/>
      <c r="P32" s="472">
        <f>'Water-Meter'!E36</f>
        <v>0</v>
      </c>
      <c r="Q32" s="243">
        <f>IF('Water-Meter'!U36&lt;0,"0",'Water-Meter'!U36)</f>
        <v>0</v>
      </c>
      <c r="R32" s="243">
        <f>IF('Water-Meter'!X36&lt;0,"0",'Water-Meter'!X36)</f>
        <v>0</v>
      </c>
      <c r="S32" s="243">
        <f>IF('Water-Meter'!AA36&lt;0,"0",'Water-Meter'!AA36)</f>
        <v>0</v>
      </c>
      <c r="T32" s="243">
        <f>IF('Water-Meter'!AD36&lt;0,"0",'Water-Meter'!AD36)</f>
        <v>0</v>
      </c>
      <c r="U32" s="243">
        <f>IF('Water-Meter'!AG36&lt;0,"0",'Water-Meter'!AG36)</f>
        <v>0</v>
      </c>
      <c r="V32" s="243">
        <f>IF('Water-Meter'!AJ36&lt;0,"0",'Water-Meter'!AJ36)</f>
        <v>0</v>
      </c>
      <c r="W32" s="31">
        <f>'Water-Meter'!AN36</f>
        <v>0</v>
      </c>
      <c r="X32" s="483">
        <f>Total!K32</f>
        <v>0</v>
      </c>
    </row>
    <row r="33" spans="5:12">
      <c r="E33" s="426"/>
      <c r="F33" s="426"/>
      <c r="H33" s="426"/>
      <c r="I33" s="426"/>
      <c r="J33" s="426"/>
      <c r="L33" s="426"/>
    </row>
    <row r="34" spans="5:12">
      <c r="E34" s="426"/>
      <c r="F34" s="426"/>
      <c r="H34" s="426"/>
      <c r="I34" s="426"/>
      <c r="J34" s="426"/>
      <c r="L34" s="426"/>
    </row>
    <row r="35" spans="5:12">
      <c r="E35" s="426"/>
      <c r="F35" s="426"/>
      <c r="H35" s="426"/>
      <c r="I35" s="426"/>
      <c r="J35" s="426"/>
      <c r="L35" s="426"/>
    </row>
    <row r="36" spans="5:12">
      <c r="E36" s="426"/>
      <c r="F36" s="426"/>
      <c r="H36" s="426"/>
      <c r="I36" s="426"/>
      <c r="J36" s="426"/>
      <c r="L36" s="426"/>
    </row>
    <row r="37" spans="5:12">
      <c r="E37" s="426"/>
      <c r="F37" s="426"/>
      <c r="H37" s="426"/>
      <c r="I37" s="426"/>
      <c r="J37" s="426"/>
      <c r="L37" s="426"/>
    </row>
    <row r="38" spans="5:12">
      <c r="E38" s="426"/>
      <c r="F38" s="426"/>
      <c r="H38" s="426"/>
      <c r="I38" s="426"/>
      <c r="J38" s="426"/>
      <c r="L38" s="4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H16" sqref="H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48" t="s">
        <v>315</v>
      </c>
      <c r="B1" s="848"/>
      <c r="C1" s="848"/>
      <c r="D1" s="848"/>
      <c r="E1" s="848"/>
      <c r="F1" s="848"/>
      <c r="G1" s="848"/>
      <c r="H1" s="848"/>
    </row>
    <row r="2" spans="1:9" ht="48" customHeight="1" thickBot="1">
      <c r="A2" s="242" t="s">
        <v>0</v>
      </c>
      <c r="B2" s="132" t="s">
        <v>1</v>
      </c>
      <c r="C2" s="411" t="s">
        <v>268</v>
      </c>
      <c r="D2" s="286" t="s">
        <v>269</v>
      </c>
      <c r="E2" s="409" t="s">
        <v>267</v>
      </c>
      <c r="F2" s="286" t="s">
        <v>264</v>
      </c>
      <c r="G2" s="286" t="s">
        <v>265</v>
      </c>
      <c r="H2" s="411" t="s">
        <v>266</v>
      </c>
      <c r="I2" s="286" t="s">
        <v>270</v>
      </c>
    </row>
    <row r="3" spans="1:9" ht="13.5">
      <c r="A3" s="410">
        <f>Gen!B11</f>
        <v>44105</v>
      </c>
      <c r="B3" s="412">
        <f>Gen!C11</f>
        <v>5.1900000000000002E-2</v>
      </c>
      <c r="C3" s="413">
        <f>'Summery Report'!E5</f>
        <v>5</v>
      </c>
      <c r="D3" s="414">
        <v>1</v>
      </c>
      <c r="E3" s="413">
        <f>Gen!T11</f>
        <v>911.04</v>
      </c>
      <c r="F3" s="413">
        <f>Gen!U11</f>
        <v>2214</v>
      </c>
      <c r="G3" s="413">
        <f>'Water-Meter'!E6</f>
        <v>36</v>
      </c>
      <c r="H3" s="413">
        <f>'Utility report '!AC6</f>
        <v>37</v>
      </c>
      <c r="I3" s="413">
        <f>Gen!AK11</f>
        <v>0</v>
      </c>
    </row>
    <row r="4" spans="1:9" ht="13.5">
      <c r="A4" s="410">
        <f>Gen!B12</f>
        <v>44106</v>
      </c>
      <c r="B4" s="412">
        <f>Gen!C12</f>
        <v>3.9E-2</v>
      </c>
      <c r="C4" s="413">
        <f>'Summery Report'!E6</f>
        <v>4</v>
      </c>
      <c r="D4" s="414">
        <v>1</v>
      </c>
      <c r="E4" s="413">
        <f>Gen!T12</f>
        <v>976.24</v>
      </c>
      <c r="F4" s="413">
        <f>Gen!U12</f>
        <v>2379</v>
      </c>
      <c r="G4" s="413">
        <f>'Water-Meter'!E7</f>
        <v>45</v>
      </c>
      <c r="H4" s="413">
        <f>'Utility report '!AC7</f>
        <v>55</v>
      </c>
      <c r="I4" s="413">
        <f>Gen!AK12</f>
        <v>0</v>
      </c>
    </row>
    <row r="5" spans="1:9" ht="13.5">
      <c r="A5" s="410">
        <f>Gen!B13</f>
        <v>44107</v>
      </c>
      <c r="B5" s="412">
        <f>Gen!C13</f>
        <v>2.5999999999999999E-2</v>
      </c>
      <c r="C5" s="413">
        <f>'Summery Report'!E7</f>
        <v>2</v>
      </c>
      <c r="D5" s="414">
        <v>1</v>
      </c>
      <c r="E5" s="413">
        <f>Gen!T13</f>
        <v>996.18</v>
      </c>
      <c r="F5" s="413">
        <f>Gen!U13</f>
        <v>2370</v>
      </c>
      <c r="G5" s="413">
        <f>'Water-Meter'!E8</f>
        <v>36</v>
      </c>
      <c r="H5" s="413">
        <f>'Utility report '!AC8</f>
        <v>83</v>
      </c>
      <c r="I5" s="413">
        <f>Gen!AK13</f>
        <v>47.58</v>
      </c>
    </row>
    <row r="6" spans="1:9" ht="13.5">
      <c r="A6" s="410">
        <f>Gen!B14</f>
        <v>44108</v>
      </c>
      <c r="B6" s="412">
        <f>Gen!C14</f>
        <v>1.2999999999999999E-2</v>
      </c>
      <c r="C6" s="413">
        <f>'Summery Report'!E8</f>
        <v>1</v>
      </c>
      <c r="D6" s="414">
        <v>1</v>
      </c>
      <c r="E6" s="413">
        <f>Gen!T14</f>
        <v>924.63</v>
      </c>
      <c r="F6" s="413">
        <f>Gen!U14</f>
        <v>2154</v>
      </c>
      <c r="G6" s="413">
        <f>'Water-Meter'!E9</f>
        <v>60</v>
      </c>
      <c r="H6" s="413">
        <f>'Utility report '!AC9</f>
        <v>12</v>
      </c>
      <c r="I6" s="413">
        <f>Gen!AK14</f>
        <v>0</v>
      </c>
    </row>
    <row r="7" spans="1:9" ht="13.5">
      <c r="A7" s="410">
        <f>Gen!B15</f>
        <v>44109</v>
      </c>
      <c r="B7" s="412">
        <f>Gen!C15</f>
        <v>2.3E-2</v>
      </c>
      <c r="C7" s="413">
        <f>'Summery Report'!E9</f>
        <v>2</v>
      </c>
      <c r="D7" s="414">
        <v>1</v>
      </c>
      <c r="E7" s="413">
        <f>Gen!T15</f>
        <v>936.98</v>
      </c>
      <c r="F7" s="413">
        <f>Gen!U15</f>
        <v>2268</v>
      </c>
      <c r="G7" s="413">
        <f>'Water-Meter'!E10</f>
        <v>45</v>
      </c>
      <c r="H7" s="413">
        <f>'Utility report '!AC10</f>
        <v>58</v>
      </c>
      <c r="I7" s="413">
        <f>Gen!AK15</f>
        <v>0</v>
      </c>
    </row>
    <row r="8" spans="1:9" ht="13.5">
      <c r="A8" s="410">
        <f>Gen!B16</f>
        <v>44110</v>
      </c>
      <c r="B8" s="412">
        <f>Gen!C16</f>
        <v>2.3E-2</v>
      </c>
      <c r="C8" s="413">
        <f>'Summery Report'!E10</f>
        <v>2</v>
      </c>
      <c r="D8" s="414">
        <v>1</v>
      </c>
      <c r="E8" s="413">
        <f>Gen!T16</f>
        <v>982.58999999999992</v>
      </c>
      <c r="F8" s="413">
        <f>Gen!U16</f>
        <v>2332</v>
      </c>
      <c r="G8" s="413">
        <f>'Water-Meter'!E11</f>
        <v>57</v>
      </c>
      <c r="H8" s="413">
        <f>'Utility report '!AC11</f>
        <v>64</v>
      </c>
      <c r="I8" s="413">
        <f>Gen!AK16</f>
        <v>0</v>
      </c>
    </row>
    <row r="9" spans="1:9" ht="13.5">
      <c r="A9" s="410">
        <f>Gen!B17</f>
        <v>44111</v>
      </c>
      <c r="B9" s="412">
        <f>Gen!C17</f>
        <v>3.9E-2</v>
      </c>
      <c r="C9" s="413">
        <f>'Summery Report'!E11</f>
        <v>4</v>
      </c>
      <c r="D9" s="414">
        <v>1</v>
      </c>
      <c r="E9" s="413">
        <f>Gen!T17</f>
        <v>950.56999999999994</v>
      </c>
      <c r="F9" s="413">
        <f>Gen!U17</f>
        <v>2229</v>
      </c>
      <c r="G9" s="413">
        <f>'Water-Meter'!E12</f>
        <v>59</v>
      </c>
      <c r="H9" s="413">
        <f>'Utility report '!AC12</f>
        <v>43</v>
      </c>
      <c r="I9" s="413">
        <f>Gen!AK17</f>
        <v>0</v>
      </c>
    </row>
    <row r="10" spans="1:9" ht="13.5">
      <c r="A10" s="410">
        <f>Gen!B18</f>
        <v>44112</v>
      </c>
      <c r="B10" s="412">
        <f>Gen!C18</f>
        <v>5.1900000000000002E-2</v>
      </c>
      <c r="C10" s="413">
        <f>'Summery Report'!E12</f>
        <v>5</v>
      </c>
      <c r="D10" s="414">
        <v>1</v>
      </c>
      <c r="E10" s="413">
        <f>Gen!T18</f>
        <v>956.81999999999994</v>
      </c>
      <c r="F10" s="413">
        <f>Gen!U18</f>
        <v>2245</v>
      </c>
      <c r="G10" s="413">
        <f>'Water-Meter'!E13</f>
        <v>46</v>
      </c>
      <c r="H10" s="413">
        <f>'Utility report '!AC13</f>
        <v>54</v>
      </c>
      <c r="I10" s="413">
        <f>Gen!AK18</f>
        <v>91</v>
      </c>
    </row>
    <row r="11" spans="1:9" ht="13.5">
      <c r="A11" s="410">
        <f>Gen!B19</f>
        <v>44113</v>
      </c>
      <c r="B11" s="412">
        <f>Gen!C19</f>
        <v>5.1900000000000002E-2</v>
      </c>
      <c r="C11" s="413">
        <f>'Summery Report'!E13</f>
        <v>5</v>
      </c>
      <c r="D11" s="414">
        <v>1</v>
      </c>
      <c r="E11" s="413">
        <f>Gen!T19</f>
        <v>990.35</v>
      </c>
      <c r="F11" s="413">
        <f>Gen!U19</f>
        <v>2375</v>
      </c>
      <c r="G11" s="413">
        <f>'Water-Meter'!E14</f>
        <v>56</v>
      </c>
      <c r="H11" s="413">
        <f>'Utility report '!AC14</f>
        <v>98</v>
      </c>
      <c r="I11" s="413">
        <f>Gen!AK19</f>
        <v>76.97</v>
      </c>
    </row>
    <row r="12" spans="1:9" ht="13.5">
      <c r="A12" s="410">
        <f>Gen!B20</f>
        <v>44114</v>
      </c>
      <c r="B12" s="412">
        <f>Gen!C20</f>
        <v>5.1900000000000002E-2</v>
      </c>
      <c r="C12" s="413">
        <f>'Summery Report'!E14</f>
        <v>5</v>
      </c>
      <c r="D12" s="414">
        <v>1</v>
      </c>
      <c r="E12" s="413">
        <f>Gen!T20</f>
        <v>995.05000000000007</v>
      </c>
      <c r="F12" s="413">
        <f>Gen!U20</f>
        <v>2298</v>
      </c>
      <c r="G12" s="413">
        <f>'Water-Meter'!E15</f>
        <v>98</v>
      </c>
      <c r="H12" s="413">
        <f>'Utility report '!AC15</f>
        <v>49</v>
      </c>
      <c r="I12" s="413">
        <f>Gen!AK20</f>
        <v>0</v>
      </c>
    </row>
    <row r="13" spans="1:9" ht="13.5">
      <c r="A13" s="410">
        <f>Gen!B21</f>
        <v>44115</v>
      </c>
      <c r="B13" s="412">
        <f>Gen!C21</f>
        <v>1.2999999999999999E-2</v>
      </c>
      <c r="C13" s="413">
        <f>'Summery Report'!E15</f>
        <v>2</v>
      </c>
      <c r="D13" s="414">
        <v>1</v>
      </c>
      <c r="E13" s="413">
        <f>Gen!T21</f>
        <v>980.98</v>
      </c>
      <c r="F13" s="413">
        <f>Gen!U21</f>
        <v>2245</v>
      </c>
      <c r="G13" s="413">
        <f>'Water-Meter'!E16</f>
        <v>73</v>
      </c>
      <c r="H13" s="413">
        <f>'Utility report '!AC16</f>
        <v>116</v>
      </c>
      <c r="I13" s="413">
        <f>Gen!AK21</f>
        <v>66.490000000000009</v>
      </c>
    </row>
    <row r="14" spans="1:9" ht="13.5">
      <c r="A14" s="410">
        <f>Gen!B22</f>
        <v>44116</v>
      </c>
      <c r="B14" s="412">
        <f>Gen!C22</f>
        <v>3.9E-2</v>
      </c>
      <c r="C14" s="413">
        <f>'Summery Report'!E16</f>
        <v>4</v>
      </c>
      <c r="D14" s="414">
        <v>1</v>
      </c>
      <c r="E14" s="413">
        <f>Gen!T22</f>
        <v>935.25</v>
      </c>
      <c r="F14" s="413">
        <f>Gen!U22</f>
        <v>2131</v>
      </c>
      <c r="G14" s="413">
        <f>'Water-Meter'!E17</f>
        <v>42</v>
      </c>
      <c r="H14" s="413">
        <f>'Utility report '!AC17</f>
        <v>0</v>
      </c>
      <c r="I14" s="413">
        <f>Gen!AK22</f>
        <v>71</v>
      </c>
    </row>
    <row r="15" spans="1:9" ht="13.5">
      <c r="A15" s="410">
        <f>Gen!B23</f>
        <v>44117</v>
      </c>
      <c r="B15" s="412">
        <f>Gen!C23</f>
        <v>5.1900000000000002E-2</v>
      </c>
      <c r="C15" s="413">
        <f>'Summery Report'!E17</f>
        <v>5</v>
      </c>
      <c r="D15" s="414">
        <v>1</v>
      </c>
      <c r="E15" s="413">
        <f>Gen!T23</f>
        <v>995.96</v>
      </c>
      <c r="F15" s="413">
        <f>Gen!U23</f>
        <v>2325</v>
      </c>
      <c r="G15" s="413">
        <f>'Water-Meter'!E18</f>
        <v>53</v>
      </c>
      <c r="H15" s="413">
        <f>'Utility report '!AC18</f>
        <v>119</v>
      </c>
      <c r="I15" s="413">
        <f>Gen!AK23</f>
        <v>71.09</v>
      </c>
    </row>
    <row r="16" spans="1:9" ht="13.5">
      <c r="A16" s="410">
        <f>Gen!B24</f>
        <v>44118</v>
      </c>
      <c r="B16" s="412">
        <f>Gen!C24</f>
        <v>1.2999999999999999E-2</v>
      </c>
      <c r="C16" s="413">
        <f>'Summery Report'!E18</f>
        <v>2</v>
      </c>
      <c r="D16" s="414">
        <v>1</v>
      </c>
      <c r="E16" s="413">
        <f>Gen!T24</f>
        <v>974.17000000000007</v>
      </c>
      <c r="F16" s="413">
        <f>Gen!U24</f>
        <v>2264</v>
      </c>
      <c r="G16" s="413">
        <f>'Water-Meter'!E19</f>
        <v>43</v>
      </c>
      <c r="H16" s="413">
        <f>'Utility report '!AC19</f>
        <v>20</v>
      </c>
      <c r="I16" s="413">
        <f>Gen!AK24</f>
        <v>58.87</v>
      </c>
    </row>
    <row r="17" spans="1:9" ht="13.5">
      <c r="A17" s="410">
        <f>Gen!B25</f>
        <v>44119</v>
      </c>
      <c r="B17" s="412">
        <f>Gen!C25</f>
        <v>5.1900000000000002E-2</v>
      </c>
      <c r="C17" s="413">
        <f>'Summery Report'!E19</f>
        <v>5</v>
      </c>
      <c r="D17" s="414">
        <v>1</v>
      </c>
      <c r="E17" s="413">
        <f>Gen!T25</f>
        <v>1042.8800000000001</v>
      </c>
      <c r="F17" s="413">
        <f>Gen!U25</f>
        <v>2360</v>
      </c>
      <c r="G17" s="413">
        <f>'Water-Meter'!E20</f>
        <v>48</v>
      </c>
      <c r="H17" s="413">
        <f>'Utility report '!AC20</f>
        <v>45</v>
      </c>
      <c r="I17" s="413">
        <f>Gen!AK25</f>
        <v>0</v>
      </c>
    </row>
    <row r="18" spans="1:9" ht="13.5">
      <c r="A18" s="410">
        <f>Gen!B26</f>
        <v>44120</v>
      </c>
      <c r="B18" s="412">
        <f>Gen!C26</f>
        <v>0.1169</v>
      </c>
      <c r="C18" s="413">
        <f>'Summery Report'!E20</f>
        <v>10</v>
      </c>
      <c r="D18" s="414">
        <v>1</v>
      </c>
      <c r="E18" s="413">
        <f>Gen!T26</f>
        <v>1176.97</v>
      </c>
      <c r="F18" s="413">
        <f>Gen!U26</f>
        <v>2740</v>
      </c>
      <c r="G18" s="413">
        <f>'Water-Meter'!E21</f>
        <v>56</v>
      </c>
      <c r="H18" s="413">
        <f>'Utility report '!AC21</f>
        <v>60</v>
      </c>
      <c r="I18" s="413">
        <f>Gen!AK26</f>
        <v>102.83999999999999</v>
      </c>
    </row>
    <row r="19" spans="1:9" ht="13.5">
      <c r="A19" s="410">
        <f>Gen!B27</f>
        <v>44121</v>
      </c>
      <c r="B19" s="412">
        <f>Gen!C27</f>
        <v>0.15790000000000001</v>
      </c>
      <c r="C19" s="413">
        <f>'Summery Report'!E21</f>
        <v>12</v>
      </c>
      <c r="D19" s="414">
        <v>1</v>
      </c>
      <c r="E19" s="413">
        <f>Gen!T27</f>
        <v>997.16000000000008</v>
      </c>
      <c r="F19" s="413">
        <f>Gen!U27</f>
        <v>2624</v>
      </c>
      <c r="G19" s="413">
        <f>'Water-Meter'!E22</f>
        <v>71</v>
      </c>
      <c r="H19" s="413">
        <f>'Utility report '!AC22</f>
        <v>84</v>
      </c>
      <c r="I19" s="413">
        <f>Gen!AK27</f>
        <v>163</v>
      </c>
    </row>
    <row r="20" spans="1:9" ht="13.5">
      <c r="A20" s="410">
        <f>Gen!B28</f>
        <v>44122</v>
      </c>
      <c r="B20" s="412">
        <f>Gen!C28</f>
        <v>0.15790000000000001</v>
      </c>
      <c r="C20" s="413">
        <f>'Summery Report'!E22</f>
        <v>12</v>
      </c>
      <c r="D20" s="414">
        <v>1</v>
      </c>
      <c r="E20" s="413">
        <f>Gen!T28</f>
        <v>1208.03</v>
      </c>
      <c r="F20" s="413">
        <f>Gen!U28</f>
        <v>2889</v>
      </c>
      <c r="G20" s="413">
        <f>'Water-Meter'!E23</f>
        <v>57</v>
      </c>
      <c r="H20" s="413">
        <f>'Utility report '!AC23</f>
        <v>44</v>
      </c>
      <c r="I20" s="413">
        <f>Gen!AK28</f>
        <v>210.26999999999998</v>
      </c>
    </row>
    <row r="21" spans="1:9" ht="13.5">
      <c r="A21" s="410">
        <f>Gen!B29</f>
        <v>44123</v>
      </c>
      <c r="B21" s="412">
        <f>Gen!C29</f>
        <v>0.12989999999999999</v>
      </c>
      <c r="C21" s="413">
        <f>'Summery Report'!E23</f>
        <v>12</v>
      </c>
      <c r="D21" s="414">
        <v>1</v>
      </c>
      <c r="E21" s="413">
        <f>Gen!T29</f>
        <v>0</v>
      </c>
      <c r="F21" s="413">
        <f>Gen!U29</f>
        <v>0</v>
      </c>
      <c r="G21" s="413" t="str">
        <f>'Water-Meter'!E24</f>
        <v>0</v>
      </c>
      <c r="H21" s="413">
        <f>'Utility report '!AC24</f>
        <v>-40219</v>
      </c>
      <c r="I21" s="413">
        <f>Gen!AK29</f>
        <v>0</v>
      </c>
    </row>
    <row r="22" spans="1:9" ht="13.5">
      <c r="A22" s="410">
        <f>Gen!B30</f>
        <v>44124</v>
      </c>
      <c r="B22" s="412">
        <f>Gen!C30</f>
        <v>0</v>
      </c>
      <c r="C22" s="413">
        <f>'Summery Report'!E24</f>
        <v>10</v>
      </c>
      <c r="D22" s="414">
        <v>1</v>
      </c>
      <c r="E22" s="413">
        <f>Gen!T30</f>
        <v>0</v>
      </c>
      <c r="F22" s="413">
        <f>Gen!U30</f>
        <v>0</v>
      </c>
      <c r="G22" s="413">
        <f>'Water-Meter'!E25</f>
        <v>0</v>
      </c>
      <c r="H22" s="413">
        <f>'Utility report '!AC25</f>
        <v>0</v>
      </c>
      <c r="I22" s="413">
        <f>Gen!AK30</f>
        <v>0</v>
      </c>
    </row>
    <row r="23" spans="1:9" ht="13.5">
      <c r="A23" s="410">
        <f>Gen!B31</f>
        <v>44125</v>
      </c>
      <c r="B23" s="412">
        <f>Gen!C31</f>
        <v>0</v>
      </c>
      <c r="C23" s="413">
        <f>'Summery Report'!E25</f>
        <v>0</v>
      </c>
      <c r="D23" s="414">
        <v>1</v>
      </c>
      <c r="E23" s="413">
        <f>Gen!T31</f>
        <v>0</v>
      </c>
      <c r="F23" s="413">
        <f>Gen!U31</f>
        <v>0</v>
      </c>
      <c r="G23" s="413">
        <f>'Water-Meter'!E26</f>
        <v>0</v>
      </c>
      <c r="H23" s="413">
        <f>'Utility report '!AC26</f>
        <v>0</v>
      </c>
      <c r="I23" s="413">
        <f>Gen!AK31</f>
        <v>0</v>
      </c>
    </row>
    <row r="24" spans="1:9" ht="13.5">
      <c r="A24" s="410">
        <f>Gen!B32</f>
        <v>44126</v>
      </c>
      <c r="B24" s="412">
        <f>Gen!C32</f>
        <v>0</v>
      </c>
      <c r="C24" s="413">
        <f>'Summery Report'!E26</f>
        <v>0</v>
      </c>
      <c r="D24" s="414">
        <v>1</v>
      </c>
      <c r="E24" s="413">
        <f>Gen!T32</f>
        <v>0</v>
      </c>
      <c r="F24" s="413">
        <f>Gen!U32</f>
        <v>0</v>
      </c>
      <c r="G24" s="413">
        <f>'Water-Meter'!E27</f>
        <v>0</v>
      </c>
      <c r="H24" s="413">
        <f>'Utility report '!AC27</f>
        <v>0</v>
      </c>
      <c r="I24" s="413">
        <f>Gen!AK32</f>
        <v>0</v>
      </c>
    </row>
    <row r="25" spans="1:9" ht="13.5">
      <c r="A25" s="410">
        <f>Gen!B33</f>
        <v>44127</v>
      </c>
      <c r="B25" s="412">
        <f>Gen!C33</f>
        <v>0</v>
      </c>
      <c r="C25" s="413">
        <f>'Summery Report'!E27</f>
        <v>0</v>
      </c>
      <c r="D25" s="414">
        <v>1</v>
      </c>
      <c r="E25" s="413">
        <f>Gen!T33</f>
        <v>0</v>
      </c>
      <c r="F25" s="413">
        <f>Gen!U33</f>
        <v>0</v>
      </c>
      <c r="G25" s="413">
        <f>'Water-Meter'!E28</f>
        <v>0</v>
      </c>
      <c r="H25" s="413">
        <f>'Utility report '!AC28</f>
        <v>0</v>
      </c>
      <c r="I25" s="413">
        <f>Gen!AK33</f>
        <v>0</v>
      </c>
    </row>
    <row r="26" spans="1:9" ht="13.5">
      <c r="A26" s="410">
        <f>Gen!B34</f>
        <v>44128</v>
      </c>
      <c r="B26" s="412">
        <f>Gen!C34</f>
        <v>0</v>
      </c>
      <c r="C26" s="413">
        <f>'Summery Report'!E28</f>
        <v>0</v>
      </c>
      <c r="D26" s="414">
        <v>1</v>
      </c>
      <c r="E26" s="413">
        <f>Gen!T34</f>
        <v>0</v>
      </c>
      <c r="F26" s="413">
        <f>Gen!U34</f>
        <v>0</v>
      </c>
      <c r="G26" s="413">
        <f>'Water-Meter'!E29</f>
        <v>0</v>
      </c>
      <c r="H26" s="413">
        <f>'Utility report '!AC29</f>
        <v>0</v>
      </c>
      <c r="I26" s="413">
        <f>Gen!AK34</f>
        <v>0</v>
      </c>
    </row>
    <row r="27" spans="1:9" ht="13.5">
      <c r="A27" s="410">
        <f>Gen!B35</f>
        <v>44129</v>
      </c>
      <c r="B27" s="412">
        <f>Gen!C35</f>
        <v>0</v>
      </c>
      <c r="C27" s="413">
        <f>'Summery Report'!E29</f>
        <v>0</v>
      </c>
      <c r="D27" s="414">
        <v>1</v>
      </c>
      <c r="E27" s="413">
        <f>Gen!T35</f>
        <v>0</v>
      </c>
      <c r="F27" s="413">
        <f>Gen!U35</f>
        <v>0</v>
      </c>
      <c r="G27" s="413">
        <f>'Water-Meter'!E30</f>
        <v>0</v>
      </c>
      <c r="H27" s="413">
        <f>'Utility report '!AC30</f>
        <v>0</v>
      </c>
      <c r="I27" s="413">
        <f>Gen!AK35</f>
        <v>0</v>
      </c>
    </row>
    <row r="28" spans="1:9" ht="13.5">
      <c r="A28" s="410">
        <f>Gen!B36</f>
        <v>44130</v>
      </c>
      <c r="B28" s="412">
        <f>Gen!C36</f>
        <v>0</v>
      </c>
      <c r="C28" s="413">
        <f>'Summery Report'!E30</f>
        <v>0</v>
      </c>
      <c r="D28" s="414">
        <v>1</v>
      </c>
      <c r="E28" s="413">
        <f>Gen!T36</f>
        <v>0</v>
      </c>
      <c r="F28" s="413">
        <f>Gen!U36</f>
        <v>0</v>
      </c>
      <c r="G28" s="413">
        <f>'Water-Meter'!E31</f>
        <v>0</v>
      </c>
      <c r="H28" s="413">
        <f>'Utility report '!AC31</f>
        <v>0</v>
      </c>
      <c r="I28" s="413">
        <f>Gen!AK36</f>
        <v>0</v>
      </c>
    </row>
    <row r="29" spans="1:9" ht="13.5">
      <c r="A29" s="410">
        <f>Gen!B37</f>
        <v>44131</v>
      </c>
      <c r="B29" s="412">
        <f>Gen!C37</f>
        <v>0</v>
      </c>
      <c r="C29" s="413">
        <f>'Summery Report'!E31</f>
        <v>0</v>
      </c>
      <c r="D29" s="414">
        <v>1</v>
      </c>
      <c r="E29" s="413">
        <f>Gen!T37</f>
        <v>0</v>
      </c>
      <c r="F29" s="413">
        <f>Gen!U37</f>
        <v>0</v>
      </c>
      <c r="G29" s="413">
        <f>'Water-Meter'!E32</f>
        <v>0</v>
      </c>
      <c r="H29" s="413">
        <f>'Utility report '!AC32</f>
        <v>0</v>
      </c>
      <c r="I29" s="413">
        <f>Gen!AK37</f>
        <v>0</v>
      </c>
    </row>
    <row r="30" spans="1:9" ht="13.5">
      <c r="A30" s="410">
        <f>Gen!B38</f>
        <v>44132</v>
      </c>
      <c r="B30" s="412">
        <f>Gen!C38</f>
        <v>0</v>
      </c>
      <c r="C30" s="413">
        <f>'Summery Report'!E32</f>
        <v>0</v>
      </c>
      <c r="D30" s="414">
        <v>1</v>
      </c>
      <c r="E30" s="413">
        <f>Gen!T38</f>
        <v>0</v>
      </c>
      <c r="F30" s="413">
        <f>Gen!U38</f>
        <v>0</v>
      </c>
      <c r="G30" s="413">
        <f>'Water-Meter'!E33</f>
        <v>0</v>
      </c>
      <c r="H30" s="413">
        <f>'Utility report '!AC33</f>
        <v>0</v>
      </c>
      <c r="I30" s="413">
        <f>Gen!AK38</f>
        <v>0</v>
      </c>
    </row>
    <row r="31" spans="1:9" ht="13.5">
      <c r="A31" s="410">
        <f>Gen!B39</f>
        <v>44133</v>
      </c>
      <c r="B31" s="412">
        <f>Gen!C39</f>
        <v>0</v>
      </c>
      <c r="C31" s="413">
        <f>'Summery Report'!E33</f>
        <v>0</v>
      </c>
      <c r="D31" s="414">
        <v>1</v>
      </c>
      <c r="E31" s="413">
        <f>Gen!T39</f>
        <v>0</v>
      </c>
      <c r="F31" s="413">
        <f>Gen!U39</f>
        <v>0</v>
      </c>
      <c r="G31" s="413">
        <f>'Water-Meter'!E34</f>
        <v>0</v>
      </c>
      <c r="H31" s="413">
        <f>'Utility report '!AC34</f>
        <v>0</v>
      </c>
      <c r="I31" s="413">
        <f>Gen!AK39</f>
        <v>0</v>
      </c>
    </row>
    <row r="32" spans="1:9" ht="13.5">
      <c r="A32" s="410">
        <f>Gen!B40</f>
        <v>44134</v>
      </c>
      <c r="B32" s="412">
        <f>Gen!C40</f>
        <v>0</v>
      </c>
      <c r="C32" s="413">
        <f>'Summery Report'!E34</f>
        <v>0</v>
      </c>
      <c r="D32" s="414">
        <v>1</v>
      </c>
      <c r="E32" s="413">
        <f>Gen!T40</f>
        <v>0</v>
      </c>
      <c r="F32" s="413">
        <f>Gen!U40</f>
        <v>0</v>
      </c>
      <c r="G32" s="413">
        <f>'Water-Meter'!E35</f>
        <v>0</v>
      </c>
      <c r="H32" s="413">
        <f>'Utility report '!AC35</f>
        <v>0</v>
      </c>
      <c r="I32" s="413">
        <f>Gen!AK40</f>
        <v>0</v>
      </c>
    </row>
    <row r="33" spans="1:9" ht="13.5">
      <c r="A33" s="410">
        <f>Gen!B41</f>
        <v>44135</v>
      </c>
      <c r="B33" s="412">
        <f>Gen!C41</f>
        <v>0</v>
      </c>
      <c r="C33" s="413">
        <f>'Summery Report'!E35</f>
        <v>0</v>
      </c>
      <c r="D33" s="414">
        <v>1</v>
      </c>
      <c r="E33" s="413">
        <f>Gen!T41</f>
        <v>0</v>
      </c>
      <c r="F33" s="413">
        <f>Gen!U41</f>
        <v>0</v>
      </c>
      <c r="G33" s="413">
        <f>'Water-Meter'!E36</f>
        <v>0</v>
      </c>
      <c r="H33" s="413">
        <f>'Utility report '!AC36</f>
        <v>0</v>
      </c>
      <c r="I33" s="413">
        <f>Gen!AK41</f>
        <v>0</v>
      </c>
    </row>
    <row r="34" spans="1:9" ht="13.5">
      <c r="A34" s="410"/>
      <c r="B34" s="412">
        <f>Gen!C42</f>
        <v>0</v>
      </c>
      <c r="C34" s="413">
        <f>'Summery Report'!E36</f>
        <v>0</v>
      </c>
      <c r="D34" s="414">
        <v>2</v>
      </c>
      <c r="E34" s="413">
        <f>Gen!T42</f>
        <v>0</v>
      </c>
      <c r="F34" s="413">
        <f>Gen!U42</f>
        <v>0</v>
      </c>
      <c r="G34" s="413">
        <f>'Water-Meter'!E37</f>
        <v>0</v>
      </c>
      <c r="H34" s="413">
        <f>'Utility report '!AC37</f>
        <v>0</v>
      </c>
      <c r="I34" s="413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829" t="s">
        <v>0</v>
      </c>
      <c r="B4" s="830" t="s">
        <v>141</v>
      </c>
      <c r="C4" s="831" t="s">
        <v>248</v>
      </c>
      <c r="D4" s="849" t="s">
        <v>135</v>
      </c>
      <c r="E4" s="849"/>
      <c r="F4" s="849"/>
      <c r="G4" s="850" t="s">
        <v>20</v>
      </c>
      <c r="H4" s="850"/>
      <c r="I4" s="850"/>
      <c r="J4" s="851" t="s">
        <v>54</v>
      </c>
      <c r="K4" s="851"/>
      <c r="L4" s="851"/>
      <c r="M4" s="851"/>
      <c r="N4" s="852" t="s">
        <v>143</v>
      </c>
      <c r="O4" s="852"/>
      <c r="P4" s="852"/>
      <c r="Q4" s="832"/>
      <c r="R4" s="832"/>
      <c r="S4" s="833"/>
    </row>
    <row r="5" spans="1:19" ht="25.5">
      <c r="A5" s="834"/>
      <c r="B5" s="835"/>
      <c r="C5" s="836"/>
      <c r="D5" s="837" t="s">
        <v>136</v>
      </c>
      <c r="E5" s="837" t="s">
        <v>137</v>
      </c>
      <c r="F5" s="837" t="s">
        <v>121</v>
      </c>
      <c r="G5" s="838" t="s">
        <v>138</v>
      </c>
      <c r="H5" s="838" t="s">
        <v>19</v>
      </c>
      <c r="I5" s="839" t="s">
        <v>139</v>
      </c>
      <c r="J5" s="840" t="s">
        <v>142</v>
      </c>
      <c r="K5" s="840" t="s">
        <v>140</v>
      </c>
      <c r="L5" s="840" t="s">
        <v>140</v>
      </c>
      <c r="M5" s="841" t="s">
        <v>18</v>
      </c>
      <c r="N5" s="842" t="s">
        <v>144</v>
      </c>
      <c r="O5" s="842" t="s">
        <v>146</v>
      </c>
      <c r="P5" s="843" t="s">
        <v>145</v>
      </c>
      <c r="Q5" s="844" t="s">
        <v>148</v>
      </c>
      <c r="R5" s="844" t="s">
        <v>147</v>
      </c>
      <c r="S5" s="845" t="s">
        <v>149</v>
      </c>
    </row>
    <row r="6" spans="1:19" ht="14.25">
      <c r="A6" s="460">
        <f>Gen!B11</f>
        <v>44105</v>
      </c>
      <c r="B6" s="6">
        <f>'Summery Report'!E5</f>
        <v>5</v>
      </c>
      <c r="C6" s="6">
        <f>Gen!U11</f>
        <v>2214</v>
      </c>
      <c r="D6" s="153">
        <f>Gen!T11</f>
        <v>911.04</v>
      </c>
      <c r="E6" s="153">
        <f>Gen!AK11</f>
        <v>0</v>
      </c>
      <c r="F6" s="153">
        <f>Gen!AS11</f>
        <v>911.04</v>
      </c>
      <c r="G6" s="154">
        <f>'Utility report '!AC6</f>
        <v>37</v>
      </c>
      <c r="H6" s="154">
        <f>'Utility report '!AE6</f>
        <v>28</v>
      </c>
      <c r="I6" s="297">
        <f>'Water-Meter'!E6</f>
        <v>36</v>
      </c>
      <c r="J6" s="155">
        <f>'Lpg (2)'!B10</f>
        <v>85</v>
      </c>
      <c r="K6" s="155">
        <f>'Lpg (2)'!C10</f>
        <v>0</v>
      </c>
      <c r="L6" s="155">
        <f>'Lpg (2)'!D10</f>
        <v>0</v>
      </c>
      <c r="M6" s="459">
        <f>'Lpg (2)'!G10</f>
        <v>55.92400000002818</v>
      </c>
      <c r="N6" s="6"/>
      <c r="O6" s="152">
        <f>E6</f>
        <v>0</v>
      </c>
      <c r="P6" s="151" t="e">
        <f>'[1]Lpg (2)'!#REF!</f>
        <v>#REF!</v>
      </c>
      <c r="Q6" s="152" t="e">
        <f>'[1]Summery Report'!#REF!</f>
        <v>#REF!</v>
      </c>
      <c r="R6" s="152">
        <f t="shared" ref="R6:R37" si="0">N6/B6</f>
        <v>0</v>
      </c>
      <c r="S6" s="461" t="e">
        <f t="shared" ref="S6:S37" si="1">Q6/B6</f>
        <v>#REF!</v>
      </c>
    </row>
    <row r="7" spans="1:19" ht="14.25">
      <c r="A7" s="460">
        <f>Gen!B12</f>
        <v>44106</v>
      </c>
      <c r="B7" s="6">
        <f>'Summery Report'!E6</f>
        <v>4</v>
      </c>
      <c r="C7" s="6">
        <f>Gen!U12</f>
        <v>2379</v>
      </c>
      <c r="D7" s="153">
        <f>Gen!T12</f>
        <v>976.24</v>
      </c>
      <c r="E7" s="153">
        <f>Gen!AK12</f>
        <v>0</v>
      </c>
      <c r="F7" s="153">
        <f>Gen!AS12</f>
        <v>976.24</v>
      </c>
      <c r="G7" s="154">
        <f>'Utility report '!AC7</f>
        <v>55</v>
      </c>
      <c r="H7" s="154">
        <f>'Utility report '!AE7</f>
        <v>37</v>
      </c>
      <c r="I7" s="297">
        <f>'Water-Meter'!E7</f>
        <v>45</v>
      </c>
      <c r="J7" s="155">
        <f>'Lpg (2)'!B11</f>
        <v>85</v>
      </c>
      <c r="K7" s="155">
        <f>'Lpg (2)'!C11</f>
        <v>0</v>
      </c>
      <c r="L7" s="155">
        <f>'Lpg (2)'!D11</f>
        <v>0</v>
      </c>
      <c r="M7" s="459">
        <f>'Lpg (2)'!G11</f>
        <v>33.087999999953901</v>
      </c>
      <c r="N7" s="152">
        <f>D7*1.4</f>
        <v>1366.7359999999999</v>
      </c>
      <c r="O7" s="152">
        <f>E7*1.4</f>
        <v>0</v>
      </c>
      <c r="P7" s="151" t="e">
        <f>'[1]Lpg (2)'!#REF!</f>
        <v>#REF!</v>
      </c>
      <c r="Q7" s="152" t="e">
        <f>'[1]Summery Report'!#REF!</f>
        <v>#REF!</v>
      </c>
      <c r="R7" s="152">
        <f t="shared" si="0"/>
        <v>341.68399999999997</v>
      </c>
      <c r="S7" s="461" t="e">
        <f t="shared" si="1"/>
        <v>#REF!</v>
      </c>
    </row>
    <row r="8" spans="1:19" ht="14.25">
      <c r="A8" s="460">
        <f>Gen!B13</f>
        <v>44107</v>
      </c>
      <c r="B8" s="6">
        <f>'Summery Report'!E7</f>
        <v>2</v>
      </c>
      <c r="C8" s="6">
        <f>Gen!U13</f>
        <v>2370</v>
      </c>
      <c r="D8" s="153">
        <f>Gen!T13</f>
        <v>996.18</v>
      </c>
      <c r="E8" s="153">
        <f>Gen!AK13</f>
        <v>47.58</v>
      </c>
      <c r="F8" s="153">
        <f>Gen!AS13</f>
        <v>1043.76</v>
      </c>
      <c r="G8" s="154">
        <f>'Utility report '!AC8</f>
        <v>83</v>
      </c>
      <c r="H8" s="154">
        <f>'Utility report '!AE8</f>
        <v>30</v>
      </c>
      <c r="I8" s="297">
        <f>'Water-Meter'!E8</f>
        <v>36</v>
      </c>
      <c r="J8" s="155">
        <f>'Lpg (2)'!B12</f>
        <v>85</v>
      </c>
      <c r="K8" s="155">
        <f>'Lpg (2)'!C12</f>
        <v>0</v>
      </c>
      <c r="L8" s="155">
        <f>'Lpg (2)'!D12</f>
        <v>0</v>
      </c>
      <c r="M8" s="459">
        <f>'Lpg (2)'!G12</f>
        <v>66.131999999994889</v>
      </c>
      <c r="N8" s="152">
        <f t="shared" ref="N8:O36" si="2">D8*1.4</f>
        <v>1394.6519999999998</v>
      </c>
      <c r="O8" s="152">
        <f t="shared" si="2"/>
        <v>66.611999999999995</v>
      </c>
      <c r="P8" s="151" t="e">
        <f>'[1]Lpg (2)'!#REF!</f>
        <v>#REF!</v>
      </c>
      <c r="Q8" s="152" t="e">
        <f>'[1]Summery Report'!#REF!</f>
        <v>#REF!</v>
      </c>
      <c r="R8" s="152">
        <f t="shared" si="0"/>
        <v>697.32599999999991</v>
      </c>
      <c r="S8" s="461" t="e">
        <f t="shared" si="1"/>
        <v>#REF!</v>
      </c>
    </row>
    <row r="9" spans="1:19" ht="14.25">
      <c r="A9" s="460">
        <f>Gen!B14</f>
        <v>44108</v>
      </c>
      <c r="B9" s="6">
        <f>'Summery Report'!E8</f>
        <v>1</v>
      </c>
      <c r="C9" s="6">
        <f>Gen!U14</f>
        <v>2154</v>
      </c>
      <c r="D9" s="153">
        <f>Gen!T14</f>
        <v>924.63</v>
      </c>
      <c r="E9" s="153">
        <f>Gen!AK14</f>
        <v>0</v>
      </c>
      <c r="F9" s="153">
        <f>Gen!AS14</f>
        <v>924.63</v>
      </c>
      <c r="G9" s="154">
        <f>'Utility report '!AC9</f>
        <v>12</v>
      </c>
      <c r="H9" s="154">
        <f>'Utility report '!AE9</f>
        <v>45</v>
      </c>
      <c r="I9" s="297">
        <f>'Water-Meter'!E9</f>
        <v>60</v>
      </c>
      <c r="J9" s="155">
        <f>'Lpg (2)'!B13</f>
        <v>85</v>
      </c>
      <c r="K9" s="155">
        <f>'Lpg (2)'!C13</f>
        <v>0</v>
      </c>
      <c r="L9" s="155">
        <f>'Lpg (2)'!D13</f>
        <v>0</v>
      </c>
      <c r="M9" s="459">
        <f>'Lpg (2)'!G13</f>
        <v>65.428000000043539</v>
      </c>
      <c r="N9" s="152">
        <f t="shared" si="2"/>
        <v>1294.482</v>
      </c>
      <c r="O9" s="152">
        <f t="shared" si="2"/>
        <v>0</v>
      </c>
      <c r="P9" s="151" t="e">
        <f>'[1]Lpg (2)'!#REF!</f>
        <v>#REF!</v>
      </c>
      <c r="Q9" s="152" t="e">
        <f>'[1]Summery Report'!#REF!</f>
        <v>#REF!</v>
      </c>
      <c r="R9" s="152">
        <f t="shared" si="0"/>
        <v>1294.482</v>
      </c>
      <c r="S9" s="461" t="e">
        <f t="shared" si="1"/>
        <v>#REF!</v>
      </c>
    </row>
    <row r="10" spans="1:19" ht="14.25">
      <c r="A10" s="460">
        <f>Gen!B15</f>
        <v>44109</v>
      </c>
      <c r="B10" s="6">
        <f>'Summery Report'!E9</f>
        <v>2</v>
      </c>
      <c r="C10" s="6">
        <f>Gen!U15</f>
        <v>2268</v>
      </c>
      <c r="D10" s="153">
        <f>Gen!T15</f>
        <v>936.98</v>
      </c>
      <c r="E10" s="153">
        <f>Gen!AK15</f>
        <v>0</v>
      </c>
      <c r="F10" s="153">
        <f>Gen!AS15</f>
        <v>936.98</v>
      </c>
      <c r="G10" s="154">
        <f>'Utility report '!AC10</f>
        <v>58</v>
      </c>
      <c r="H10" s="154">
        <f>'Utility report '!AE10</f>
        <v>35</v>
      </c>
      <c r="I10" s="297">
        <f>'Water-Meter'!E10</f>
        <v>45</v>
      </c>
      <c r="J10" s="155">
        <f>'Lpg (2)'!B14</f>
        <v>84</v>
      </c>
      <c r="K10" s="155">
        <f>'Lpg (2)'!C14</f>
        <v>85</v>
      </c>
      <c r="L10" s="155">
        <f>'Lpg (2)'!D14</f>
        <v>85</v>
      </c>
      <c r="M10" s="459">
        <f>'Lpg (2)'!G14</f>
        <v>81.268000000005131</v>
      </c>
      <c r="N10" s="152">
        <f t="shared" si="2"/>
        <v>1311.7719999999999</v>
      </c>
      <c r="O10" s="152">
        <f t="shared" si="2"/>
        <v>0</v>
      </c>
      <c r="P10" s="151" t="e">
        <f>'[1]Lpg (2)'!#REF!</f>
        <v>#REF!</v>
      </c>
      <c r="Q10" s="152" t="e">
        <f>'[1]Summery Report'!#REF!</f>
        <v>#REF!</v>
      </c>
      <c r="R10" s="152">
        <f t="shared" si="0"/>
        <v>655.88599999999997</v>
      </c>
      <c r="S10" s="461" t="e">
        <f t="shared" si="1"/>
        <v>#REF!</v>
      </c>
    </row>
    <row r="11" spans="1:19" ht="14.25">
      <c r="A11" s="460">
        <f>Gen!B16</f>
        <v>44110</v>
      </c>
      <c r="B11" s="6">
        <f>'Summery Report'!E10</f>
        <v>2</v>
      </c>
      <c r="C11" s="6">
        <f>Gen!U16</f>
        <v>2332</v>
      </c>
      <c r="D11" s="153">
        <f>Gen!T16</f>
        <v>982.58999999999992</v>
      </c>
      <c r="E11" s="153">
        <f>Gen!AK16</f>
        <v>0</v>
      </c>
      <c r="F11" s="153">
        <f>Gen!AS16</f>
        <v>982.58999999999992</v>
      </c>
      <c r="G11" s="154">
        <f>'Utility report '!AC11</f>
        <v>64</v>
      </c>
      <c r="H11" s="154">
        <f>'Utility report '!AE11</f>
        <v>38</v>
      </c>
      <c r="I11" s="297">
        <f>'Water-Meter'!E11</f>
        <v>57</v>
      </c>
      <c r="J11" s="155">
        <f>'Lpg (2)'!B15</f>
        <v>82</v>
      </c>
      <c r="K11" s="155">
        <f>'Lpg (2)'!C15</f>
        <v>85</v>
      </c>
      <c r="L11" s="155">
        <f>'Lpg (2)'!D15</f>
        <v>85</v>
      </c>
      <c r="M11" s="459">
        <f>'Lpg (2)'!G15</f>
        <v>76.823999999964144</v>
      </c>
      <c r="N11" s="152">
        <f t="shared" si="2"/>
        <v>1375.6259999999997</v>
      </c>
      <c r="O11" s="152">
        <f t="shared" si="2"/>
        <v>0</v>
      </c>
      <c r="P11" s="151" t="e">
        <f>'[1]Lpg (2)'!#REF!</f>
        <v>#REF!</v>
      </c>
      <c r="Q11" s="152" t="e">
        <f>'[1]Summery Report'!#REF!</f>
        <v>#REF!</v>
      </c>
      <c r="R11" s="152">
        <f t="shared" si="0"/>
        <v>687.81299999999987</v>
      </c>
      <c r="S11" s="461" t="e">
        <f t="shared" si="1"/>
        <v>#REF!</v>
      </c>
    </row>
    <row r="12" spans="1:19" ht="14.25">
      <c r="A12" s="460">
        <f>Gen!B17</f>
        <v>44111</v>
      </c>
      <c r="B12" s="6">
        <f>'Summery Report'!E11</f>
        <v>4</v>
      </c>
      <c r="C12" s="6">
        <f>Gen!U17</f>
        <v>2229</v>
      </c>
      <c r="D12" s="153">
        <f>Gen!T17</f>
        <v>950.56999999999994</v>
      </c>
      <c r="E12" s="153">
        <f>Gen!AK17</f>
        <v>0</v>
      </c>
      <c r="F12" s="153">
        <f>Gen!AS17</f>
        <v>950.56999999999994</v>
      </c>
      <c r="G12" s="154">
        <f>'Utility report '!AC12</f>
        <v>43</v>
      </c>
      <c r="H12" s="154">
        <f>'Utility report '!AE12</f>
        <v>38</v>
      </c>
      <c r="I12" s="297">
        <f>'Water-Meter'!E12</f>
        <v>59</v>
      </c>
      <c r="J12" s="155">
        <f>'Lpg (2)'!B16</f>
        <v>81</v>
      </c>
      <c r="K12" s="155">
        <f>'Lpg (2)'!C16</f>
        <v>85</v>
      </c>
      <c r="L12" s="155">
        <f>'Lpg (2)'!D16</f>
        <v>85</v>
      </c>
      <c r="M12" s="459">
        <f>'Lpg (2)'!G16</f>
        <v>49.72000000001281</v>
      </c>
      <c r="N12" s="152">
        <f t="shared" si="2"/>
        <v>1330.7979999999998</v>
      </c>
      <c r="O12" s="152">
        <f t="shared" si="2"/>
        <v>0</v>
      </c>
      <c r="P12" s="151" t="e">
        <f>'[1]Lpg (2)'!#REF!</f>
        <v>#REF!</v>
      </c>
      <c r="Q12" s="152" t="e">
        <f>'[1]Summery Report'!#REF!</f>
        <v>#REF!</v>
      </c>
      <c r="R12" s="152">
        <f t="shared" si="0"/>
        <v>332.69949999999994</v>
      </c>
      <c r="S12" s="461" t="e">
        <f t="shared" si="1"/>
        <v>#REF!</v>
      </c>
    </row>
    <row r="13" spans="1:19" ht="14.25">
      <c r="A13" s="460">
        <f>Gen!B18</f>
        <v>44112</v>
      </c>
      <c r="B13" s="6">
        <f>'Summery Report'!E12</f>
        <v>5</v>
      </c>
      <c r="C13" s="6">
        <f>Gen!U18</f>
        <v>2245</v>
      </c>
      <c r="D13" s="153">
        <f>Gen!T18</f>
        <v>956.81999999999994</v>
      </c>
      <c r="E13" s="153">
        <f>Gen!AK18</f>
        <v>91</v>
      </c>
      <c r="F13" s="153">
        <f>Gen!AS18</f>
        <v>1047.82</v>
      </c>
      <c r="G13" s="154">
        <f>'Utility report '!AC13</f>
        <v>54</v>
      </c>
      <c r="H13" s="154">
        <f>'Utility report '!AE13</f>
        <v>34</v>
      </c>
      <c r="I13" s="297">
        <f>'Water-Meter'!E13</f>
        <v>46</v>
      </c>
      <c r="J13" s="155">
        <f>'Lpg (2)'!B17</f>
        <v>80</v>
      </c>
      <c r="K13" s="155">
        <f>'Lpg (2)'!C17</f>
        <v>85</v>
      </c>
      <c r="L13" s="155">
        <f>'Lpg (2)'!D17</f>
        <v>85</v>
      </c>
      <c r="M13" s="459">
        <f>'Lpg (2)'!G17</f>
        <v>67.100000000000009</v>
      </c>
      <c r="N13" s="152">
        <f t="shared" si="2"/>
        <v>1339.5479999999998</v>
      </c>
      <c r="O13" s="152">
        <f t="shared" si="2"/>
        <v>127.39999999999999</v>
      </c>
      <c r="P13" s="151" t="e">
        <f>'[1]Lpg (2)'!#REF!</f>
        <v>#REF!</v>
      </c>
      <c r="Q13" s="152" t="e">
        <f>'[1]Summery Report'!#REF!</f>
        <v>#REF!</v>
      </c>
      <c r="R13" s="152">
        <f t="shared" si="0"/>
        <v>267.90959999999995</v>
      </c>
      <c r="S13" s="461" t="e">
        <f t="shared" si="1"/>
        <v>#REF!</v>
      </c>
    </row>
    <row r="14" spans="1:19" ht="14.25">
      <c r="A14" s="460">
        <f>Gen!B19</f>
        <v>44113</v>
      </c>
      <c r="B14" s="6">
        <f>'Summery Report'!E13</f>
        <v>5</v>
      </c>
      <c r="C14" s="6">
        <f>Gen!U19</f>
        <v>2375</v>
      </c>
      <c r="D14" s="153">
        <f>Gen!T19</f>
        <v>990.35</v>
      </c>
      <c r="E14" s="153">
        <f>Gen!AK19</f>
        <v>76.97</v>
      </c>
      <c r="F14" s="153">
        <f>Gen!AS19</f>
        <v>1067.32</v>
      </c>
      <c r="G14" s="154">
        <f>'Utility report '!AC14</f>
        <v>98</v>
      </c>
      <c r="H14" s="154">
        <f>'Utility report '!AE14</f>
        <v>41</v>
      </c>
      <c r="I14" s="297">
        <f>'Water-Meter'!E14</f>
        <v>56</v>
      </c>
      <c r="J14" s="155">
        <f>'Lpg (2)'!B18</f>
        <v>79</v>
      </c>
      <c r="K14" s="155">
        <f>'Lpg (2)'!C18</f>
        <v>85</v>
      </c>
      <c r="L14" s="155">
        <f>'Lpg (2)'!D18</f>
        <v>85</v>
      </c>
      <c r="M14" s="459">
        <f>'Lpg (2)'!G18</f>
        <v>59.531999999994881</v>
      </c>
      <c r="N14" s="152">
        <f t="shared" si="2"/>
        <v>1386.49</v>
      </c>
      <c r="O14" s="152">
        <f t="shared" si="2"/>
        <v>107.758</v>
      </c>
      <c r="P14" s="151" t="e">
        <f>'[1]Lpg (2)'!#REF!</f>
        <v>#REF!</v>
      </c>
      <c r="Q14" s="152" t="e">
        <f>'[1]Summery Report'!#REF!</f>
        <v>#REF!</v>
      </c>
      <c r="R14" s="152">
        <f t="shared" si="0"/>
        <v>277.298</v>
      </c>
      <c r="S14" s="461" t="e">
        <f t="shared" si="1"/>
        <v>#REF!</v>
      </c>
    </row>
    <row r="15" spans="1:19" ht="14.25">
      <c r="A15" s="460">
        <f>Gen!B20</f>
        <v>44114</v>
      </c>
      <c r="B15" s="6">
        <f>'Summery Report'!E14</f>
        <v>5</v>
      </c>
      <c r="C15" s="6">
        <f>Gen!U20</f>
        <v>2298</v>
      </c>
      <c r="D15" s="153">
        <f>Gen!T20</f>
        <v>995.05000000000007</v>
      </c>
      <c r="E15" s="153">
        <f>Gen!AK20</f>
        <v>0</v>
      </c>
      <c r="F15" s="153">
        <f>Gen!AS20</f>
        <v>995.05000000000007</v>
      </c>
      <c r="G15" s="154">
        <f>'Utility report '!AC15</f>
        <v>49</v>
      </c>
      <c r="H15" s="154">
        <f>'Utility report '!AE15</f>
        <v>34</v>
      </c>
      <c r="I15" s="297">
        <f>'Water-Meter'!E15</f>
        <v>98</v>
      </c>
      <c r="J15" s="155">
        <f>'Lpg (2)'!B19</f>
        <v>77</v>
      </c>
      <c r="K15" s="155">
        <f>'Lpg (2)'!C19</f>
        <v>85</v>
      </c>
      <c r="L15" s="155">
        <f>'Lpg (2)'!D19</f>
        <v>85</v>
      </c>
      <c r="M15" s="459">
        <f>'Lpg (2)'!G19</f>
        <v>58.608000000030735</v>
      </c>
      <c r="N15" s="152">
        <f t="shared" si="2"/>
        <v>1393.07</v>
      </c>
      <c r="O15" s="152">
        <f t="shared" si="2"/>
        <v>0</v>
      </c>
      <c r="P15" s="151" t="e">
        <f>'[1]Lpg (2)'!#REF!</f>
        <v>#REF!</v>
      </c>
      <c r="Q15" s="152" t="e">
        <f>'[1]Summery Report'!#REF!</f>
        <v>#REF!</v>
      </c>
      <c r="R15" s="152">
        <f t="shared" si="0"/>
        <v>278.61399999999998</v>
      </c>
      <c r="S15" s="461" t="e">
        <f t="shared" si="1"/>
        <v>#REF!</v>
      </c>
    </row>
    <row r="16" spans="1:19" ht="14.25">
      <c r="A16" s="460">
        <f>Gen!B21</f>
        <v>44115</v>
      </c>
      <c r="B16" s="6">
        <f>'Summery Report'!E15</f>
        <v>2</v>
      </c>
      <c r="C16" s="6">
        <f>Gen!U21</f>
        <v>2245</v>
      </c>
      <c r="D16" s="153">
        <f>Gen!T21</f>
        <v>980.98</v>
      </c>
      <c r="E16" s="153">
        <f>Gen!AK21</f>
        <v>66.490000000000009</v>
      </c>
      <c r="F16" s="153">
        <f>Gen!AS21</f>
        <v>1047.47</v>
      </c>
      <c r="G16" s="154">
        <f>'Utility report '!AC16</f>
        <v>116</v>
      </c>
      <c r="H16" s="154">
        <f>'Utility report '!AE16</f>
        <v>34</v>
      </c>
      <c r="I16" s="297">
        <f>'Water-Meter'!E16</f>
        <v>73</v>
      </c>
      <c r="J16" s="155">
        <f>'Lpg (2)'!B20</f>
        <v>75</v>
      </c>
      <c r="K16" s="155">
        <f>'Lpg (2)'!C20</f>
        <v>85</v>
      </c>
      <c r="L16" s="155">
        <f>'Lpg (2)'!D20</f>
        <v>85</v>
      </c>
      <c r="M16" s="459">
        <f>'Lpg (2)'!G20</f>
        <v>68.727999999979517</v>
      </c>
      <c r="N16" s="152">
        <f t="shared" si="2"/>
        <v>1373.3719999999998</v>
      </c>
      <c r="O16" s="152">
        <f t="shared" si="2"/>
        <v>93.086000000000013</v>
      </c>
      <c r="P16" s="151" t="e">
        <f>'[1]Lpg (2)'!#REF!</f>
        <v>#REF!</v>
      </c>
      <c r="Q16" s="152" t="e">
        <f>'[1]Summery Report'!#REF!</f>
        <v>#REF!</v>
      </c>
      <c r="R16" s="152">
        <f t="shared" si="0"/>
        <v>686.68599999999992</v>
      </c>
      <c r="S16" s="461" t="e">
        <f t="shared" si="1"/>
        <v>#REF!</v>
      </c>
    </row>
    <row r="17" spans="1:19" ht="14.25">
      <c r="A17" s="460">
        <f>Gen!B22</f>
        <v>44116</v>
      </c>
      <c r="B17" s="6">
        <f>'Summery Report'!E16</f>
        <v>4</v>
      </c>
      <c r="C17" s="6">
        <f>Gen!U22</f>
        <v>2131</v>
      </c>
      <c r="D17" s="153">
        <f>Gen!T22</f>
        <v>935.25</v>
      </c>
      <c r="E17" s="153">
        <f>Gen!AK22</f>
        <v>71</v>
      </c>
      <c r="F17" s="153">
        <f>Gen!AS22</f>
        <v>1006.25</v>
      </c>
      <c r="G17" s="154">
        <f>'Utility report '!AC17</f>
        <v>0</v>
      </c>
      <c r="H17" s="154">
        <f>'Utility report '!AE17</f>
        <v>34</v>
      </c>
      <c r="I17" s="297">
        <f>'Water-Meter'!E17</f>
        <v>42</v>
      </c>
      <c r="J17" s="155">
        <f>'Lpg (2)'!B21</f>
        <v>73</v>
      </c>
      <c r="K17" s="155">
        <f>'Lpg (2)'!C22</f>
        <v>85</v>
      </c>
      <c r="L17" s="155">
        <f>'Lpg (2)'!D21</f>
        <v>85</v>
      </c>
      <c r="M17" s="459">
        <f>'Lpg (2)'!G21</f>
        <v>65.4720000000205</v>
      </c>
      <c r="N17" s="152">
        <f t="shared" si="2"/>
        <v>1309.3499999999999</v>
      </c>
      <c r="O17" s="152">
        <f t="shared" si="2"/>
        <v>99.399999999999991</v>
      </c>
      <c r="P17" s="151" t="e">
        <f>'[1]Lpg (2)'!#REF!</f>
        <v>#REF!</v>
      </c>
      <c r="Q17" s="152" t="e">
        <f>'[1]Summery Report'!#REF!</f>
        <v>#REF!</v>
      </c>
      <c r="R17" s="152">
        <f t="shared" si="0"/>
        <v>327.33749999999998</v>
      </c>
      <c r="S17" s="461" t="e">
        <f t="shared" si="1"/>
        <v>#REF!</v>
      </c>
    </row>
    <row r="18" spans="1:19" ht="14.25">
      <c r="A18" s="460">
        <f>Gen!B23</f>
        <v>44117</v>
      </c>
      <c r="B18" s="6">
        <f>'Summery Report'!E17</f>
        <v>5</v>
      </c>
      <c r="C18" s="6">
        <f>Gen!U23</f>
        <v>2325</v>
      </c>
      <c r="D18" s="153">
        <f>Gen!T23</f>
        <v>995.96</v>
      </c>
      <c r="E18" s="153">
        <f>Gen!AK23</f>
        <v>71.09</v>
      </c>
      <c r="F18" s="153">
        <f>Gen!AS23</f>
        <v>1067.05</v>
      </c>
      <c r="G18" s="154">
        <f>'Utility report '!AC18</f>
        <v>119</v>
      </c>
      <c r="H18" s="154">
        <f>'Utility report '!AE18</f>
        <v>30</v>
      </c>
      <c r="I18" s="297">
        <f>'Water-Meter'!E18</f>
        <v>53</v>
      </c>
      <c r="J18" s="155">
        <f>'Lpg (2)'!B22</f>
        <v>70</v>
      </c>
      <c r="K18" s="155">
        <f>'Lpg (2)'!C23</f>
        <v>85</v>
      </c>
      <c r="L18" s="155">
        <f>'Lpg (2)'!D22</f>
        <v>85</v>
      </c>
      <c r="M18" s="459">
        <f>'Lpg (2)'!G22</f>
        <v>65.295999999984645</v>
      </c>
      <c r="N18" s="152">
        <f t="shared" si="2"/>
        <v>1394.3440000000001</v>
      </c>
      <c r="O18" s="152">
        <f t="shared" si="2"/>
        <v>99.525999999999996</v>
      </c>
      <c r="P18" s="151" t="e">
        <f>'[1]Lpg (2)'!#REF!</f>
        <v>#REF!</v>
      </c>
      <c r="Q18" s="152" t="e">
        <f>'[1]Summery Report'!#REF!</f>
        <v>#REF!</v>
      </c>
      <c r="R18" s="152">
        <f t="shared" si="0"/>
        <v>278.86880000000002</v>
      </c>
      <c r="S18" s="461" t="e">
        <f t="shared" si="1"/>
        <v>#REF!</v>
      </c>
    </row>
    <row r="19" spans="1:19" ht="14.25">
      <c r="A19" s="460">
        <f>Gen!B24</f>
        <v>44118</v>
      </c>
      <c r="B19" s="6">
        <f>'Summery Report'!E18</f>
        <v>2</v>
      </c>
      <c r="C19" s="6">
        <f>Gen!U24</f>
        <v>2264</v>
      </c>
      <c r="D19" s="153">
        <f>Gen!T24</f>
        <v>974.17000000000007</v>
      </c>
      <c r="E19" s="153">
        <f>Gen!AK24</f>
        <v>58.87</v>
      </c>
      <c r="F19" s="153">
        <f>Gen!AS24</f>
        <v>1033.04</v>
      </c>
      <c r="G19" s="154">
        <f>'Utility report '!AC19</f>
        <v>20</v>
      </c>
      <c r="H19" s="154">
        <f>'Utility report '!AE19</f>
        <v>29</v>
      </c>
      <c r="I19" s="297">
        <f>'Water-Meter'!E19</f>
        <v>43</v>
      </c>
      <c r="J19" s="155">
        <f>'Lpg (2)'!B23</f>
        <v>69</v>
      </c>
      <c r="K19" s="155">
        <f>'Lpg (2)'!C24</f>
        <v>85</v>
      </c>
      <c r="L19" s="155">
        <f>'Lpg (2)'!D23</f>
        <v>85</v>
      </c>
      <c r="M19" s="459">
        <f>'Lpg (2)'!G23</f>
        <v>64.504000000015367</v>
      </c>
      <c r="N19" s="152">
        <f t="shared" si="2"/>
        <v>1363.838</v>
      </c>
      <c r="O19" s="152">
        <f t="shared" si="2"/>
        <v>82.417999999999992</v>
      </c>
      <c r="P19" s="151" t="e">
        <f>'[1]Lpg (2)'!#REF!</f>
        <v>#REF!</v>
      </c>
      <c r="Q19" s="152" t="e">
        <f>'[1]Summery Report'!#REF!</f>
        <v>#REF!</v>
      </c>
      <c r="R19" s="152">
        <f t="shared" si="0"/>
        <v>681.91899999999998</v>
      </c>
      <c r="S19" s="461" t="e">
        <f t="shared" si="1"/>
        <v>#REF!</v>
      </c>
    </row>
    <row r="20" spans="1:19" ht="14.25">
      <c r="A20" s="460">
        <f>Gen!B25</f>
        <v>44119</v>
      </c>
      <c r="B20" s="6">
        <f>'Summery Report'!E19</f>
        <v>5</v>
      </c>
      <c r="C20" s="6">
        <f>Gen!U25</f>
        <v>2360</v>
      </c>
      <c r="D20" s="153">
        <f>Gen!T25</f>
        <v>1042.8800000000001</v>
      </c>
      <c r="E20" s="153">
        <f>Gen!AK25</f>
        <v>0</v>
      </c>
      <c r="F20" s="153">
        <f>Gen!AS25</f>
        <v>1042.8800000000001</v>
      </c>
      <c r="G20" s="154">
        <f>'Utility report '!AC20</f>
        <v>45</v>
      </c>
      <c r="H20" s="154">
        <f>'Utility report '!AE20</f>
        <v>34</v>
      </c>
      <c r="I20" s="297">
        <f>'Water-Meter'!E20</f>
        <v>48</v>
      </c>
      <c r="J20" s="155">
        <f>'Lpg (2)'!B24</f>
        <v>68</v>
      </c>
      <c r="K20" s="155">
        <f>'Lpg (2)'!C25</f>
        <v>85</v>
      </c>
      <c r="L20" s="155">
        <f>'Lpg (2)'!D24</f>
        <v>85</v>
      </c>
      <c r="M20" s="459">
        <f>'Lpg (2)'!G24</f>
        <v>73.127999999979522</v>
      </c>
      <c r="N20" s="152">
        <f t="shared" si="2"/>
        <v>1460.0320000000002</v>
      </c>
      <c r="O20" s="152">
        <f t="shared" si="2"/>
        <v>0</v>
      </c>
      <c r="P20" s="151" t="e">
        <f>'[1]Lpg (2)'!#REF!</f>
        <v>#REF!</v>
      </c>
      <c r="Q20" s="152" t="e">
        <f>'[1]Summery Report'!#REF!</f>
        <v>#REF!</v>
      </c>
      <c r="R20" s="152">
        <f t="shared" si="0"/>
        <v>292.00640000000004</v>
      </c>
      <c r="S20" s="461" t="e">
        <f t="shared" si="1"/>
        <v>#REF!</v>
      </c>
    </row>
    <row r="21" spans="1:19" ht="14.25">
      <c r="A21" s="460">
        <f>Gen!B26</f>
        <v>44120</v>
      </c>
      <c r="B21" s="6">
        <f>'Summery Report'!E20</f>
        <v>10</v>
      </c>
      <c r="C21" s="6">
        <f>Gen!U26</f>
        <v>2740</v>
      </c>
      <c r="D21" s="153">
        <f>Gen!T26</f>
        <v>1176.97</v>
      </c>
      <c r="E21" s="153">
        <f>Gen!AK26</f>
        <v>102.83999999999999</v>
      </c>
      <c r="F21" s="153">
        <f>Gen!AS26</f>
        <v>1279.81</v>
      </c>
      <c r="G21" s="154">
        <f>'Utility report '!AC21</f>
        <v>60</v>
      </c>
      <c r="H21" s="154">
        <f>'Utility report '!AE21</f>
        <v>43</v>
      </c>
      <c r="I21" s="297">
        <f>'Water-Meter'!E21</f>
        <v>56</v>
      </c>
      <c r="J21" s="155">
        <f>'Lpg (2)'!B25</f>
        <v>67</v>
      </c>
      <c r="K21" s="155">
        <f>'Lpg (2)'!C25</f>
        <v>85</v>
      </c>
      <c r="L21" s="155">
        <f>'Lpg (2)'!D25</f>
        <v>85</v>
      </c>
      <c r="M21" s="459">
        <f>'Lpg (2)'!G25</f>
        <v>79.288000000017931</v>
      </c>
      <c r="N21" s="152">
        <f t="shared" si="2"/>
        <v>1647.758</v>
      </c>
      <c r="O21" s="152">
        <f t="shared" si="2"/>
        <v>143.97599999999997</v>
      </c>
      <c r="P21" s="151" t="e">
        <f>'[1]Lpg (2)'!#REF!</f>
        <v>#REF!</v>
      </c>
      <c r="Q21" s="152" t="e">
        <f>'[1]Summery Report'!#REF!</f>
        <v>#REF!</v>
      </c>
      <c r="R21" s="152">
        <f t="shared" si="0"/>
        <v>164.7758</v>
      </c>
      <c r="S21" s="461" t="e">
        <f t="shared" si="1"/>
        <v>#REF!</v>
      </c>
    </row>
    <row r="22" spans="1:19" ht="14.25">
      <c r="A22" s="460">
        <f>Gen!B27</f>
        <v>44121</v>
      </c>
      <c r="B22" s="6">
        <f>'Summery Report'!E21</f>
        <v>12</v>
      </c>
      <c r="C22" s="6">
        <f>Gen!U27</f>
        <v>2624</v>
      </c>
      <c r="D22" s="153">
        <f>Gen!T27</f>
        <v>997.16000000000008</v>
      </c>
      <c r="E22" s="153">
        <f>Gen!AK27</f>
        <v>163</v>
      </c>
      <c r="F22" s="153">
        <f>Gen!AS27</f>
        <v>1160.1600000000001</v>
      </c>
      <c r="G22" s="154">
        <f>'Utility report '!AC22</f>
        <v>84</v>
      </c>
      <c r="H22" s="154">
        <f>'Utility report '!AE22</f>
        <v>47</v>
      </c>
      <c r="I22" s="297">
        <f>'Water-Meter'!E22</f>
        <v>71</v>
      </c>
      <c r="J22" s="155">
        <f>'Lpg (2)'!B26</f>
        <v>65</v>
      </c>
      <c r="K22" s="155">
        <f>'Lpg (2)'!C26</f>
        <v>85</v>
      </c>
      <c r="L22" s="155">
        <f>'Lpg (2)'!D26</f>
        <v>85</v>
      </c>
      <c r="M22" s="459">
        <f>'Lpg (2)'!G26</f>
        <v>94.468000000005134</v>
      </c>
      <c r="N22" s="152">
        <f t="shared" si="2"/>
        <v>1396.0240000000001</v>
      </c>
      <c r="O22" s="152">
        <f t="shared" si="2"/>
        <v>228.2</v>
      </c>
      <c r="P22" s="151" t="e">
        <f>'[1]Lpg (2)'!#REF!</f>
        <v>#REF!</v>
      </c>
      <c r="Q22" s="152" t="e">
        <f>'[1]Summery Report'!#REF!</f>
        <v>#REF!</v>
      </c>
      <c r="R22" s="152">
        <f t="shared" si="0"/>
        <v>116.33533333333334</v>
      </c>
      <c r="S22" s="461" t="e">
        <f t="shared" si="1"/>
        <v>#REF!</v>
      </c>
    </row>
    <row r="23" spans="1:19" ht="14.25">
      <c r="A23" s="460">
        <f>Gen!B28</f>
        <v>44122</v>
      </c>
      <c r="B23" s="6">
        <f>'Summery Report'!E22</f>
        <v>12</v>
      </c>
      <c r="C23" s="6">
        <f>Gen!U28</f>
        <v>2889</v>
      </c>
      <c r="D23" s="153">
        <f>Gen!T28</f>
        <v>1208.03</v>
      </c>
      <c r="E23" s="153">
        <f>Gen!AK28</f>
        <v>210.26999999999998</v>
      </c>
      <c r="F23" s="153">
        <f>Gen!AS28</f>
        <v>1418.3</v>
      </c>
      <c r="G23" s="154">
        <f>'Utility report '!AC23</f>
        <v>44</v>
      </c>
      <c r="H23" s="154">
        <f>'Utility report '!AE23</f>
        <v>48</v>
      </c>
      <c r="I23" s="297">
        <f>'Water-Meter'!E23</f>
        <v>57</v>
      </c>
      <c r="J23" s="155">
        <f>'Lpg (2)'!B27</f>
        <v>63</v>
      </c>
      <c r="K23" s="155">
        <f>'Lpg (2)'!C27</f>
        <v>85</v>
      </c>
      <c r="L23" s="155">
        <f>'Lpg (2)'!D27</f>
        <v>85</v>
      </c>
      <c r="M23" s="459">
        <f>'Lpg (2)'!G27</f>
        <v>2881182.392</v>
      </c>
      <c r="N23" s="152">
        <f t="shared" si="2"/>
        <v>1691.242</v>
      </c>
      <c r="O23" s="152">
        <f t="shared" si="2"/>
        <v>294.37799999999993</v>
      </c>
      <c r="P23" s="151" t="e">
        <f>'[1]Lpg (2)'!#REF!</f>
        <v>#REF!</v>
      </c>
      <c r="Q23" s="152" t="e">
        <f>'[1]Summery Report'!#REF!</f>
        <v>#REF!</v>
      </c>
      <c r="R23" s="152">
        <f t="shared" si="0"/>
        <v>140.93683333333334</v>
      </c>
      <c r="S23" s="461" t="e">
        <f t="shared" si="1"/>
        <v>#REF!</v>
      </c>
    </row>
    <row r="24" spans="1:19" ht="14.25">
      <c r="A24" s="460">
        <f>Gen!B29</f>
        <v>44123</v>
      </c>
      <c r="B24" s="6">
        <f>'Summery Report'!E23</f>
        <v>12</v>
      </c>
      <c r="C24" s="6">
        <f>Gen!U29</f>
        <v>0</v>
      </c>
      <c r="D24" s="153">
        <f>Gen!T29</f>
        <v>0</v>
      </c>
      <c r="E24" s="153">
        <f>Gen!AK29</f>
        <v>0</v>
      </c>
      <c r="F24" s="153">
        <f>Gen!AS29</f>
        <v>0</v>
      </c>
      <c r="G24" s="154">
        <f>'Utility report '!AC24</f>
        <v>-40219</v>
      </c>
      <c r="H24" s="154">
        <f>'Utility report '!AE24</f>
        <v>-206337</v>
      </c>
      <c r="I24" s="297" t="str">
        <f>'Water-Meter'!E24</f>
        <v>0</v>
      </c>
      <c r="J24" s="155">
        <f>'Lpg (2)'!B28</f>
        <v>60</v>
      </c>
      <c r="K24" s="155">
        <f>'Lpg (2)'!C28</f>
        <v>85</v>
      </c>
      <c r="L24" s="155">
        <f>'Lpg (2)'!D28</f>
        <v>85</v>
      </c>
      <c r="M24" s="459">
        <f>'Lpg (2)'!G28</f>
        <v>-2881089.6840000004</v>
      </c>
      <c r="N24" s="152">
        <f t="shared" si="2"/>
        <v>0</v>
      </c>
      <c r="O24" s="152">
        <f t="shared" si="2"/>
        <v>0</v>
      </c>
      <c r="P24" s="151" t="e">
        <f>'[1]Lpg (2)'!#REF!</f>
        <v>#REF!</v>
      </c>
      <c r="Q24" s="152" t="e">
        <f>'[1]Summery Report'!#REF!</f>
        <v>#REF!</v>
      </c>
      <c r="R24" s="152">
        <f t="shared" si="0"/>
        <v>0</v>
      </c>
      <c r="S24" s="461" t="e">
        <f t="shared" si="1"/>
        <v>#REF!</v>
      </c>
    </row>
    <row r="25" spans="1:19" ht="14.25">
      <c r="A25" s="460">
        <f>Gen!B30</f>
        <v>44124</v>
      </c>
      <c r="B25" s="6">
        <f>'Summery Report'!E24</f>
        <v>10</v>
      </c>
      <c r="C25" s="6">
        <f>Gen!U30</f>
        <v>0</v>
      </c>
      <c r="D25" s="153">
        <f>Gen!T30</f>
        <v>0</v>
      </c>
      <c r="E25" s="153">
        <f>Gen!AK30</f>
        <v>0</v>
      </c>
      <c r="F25" s="153">
        <f>Gen!AS30</f>
        <v>0</v>
      </c>
      <c r="G25" s="154">
        <f>'Utility report '!AC25</f>
        <v>0</v>
      </c>
      <c r="H25" s="154">
        <f>'Utility report '!AE25</f>
        <v>0</v>
      </c>
      <c r="I25" s="297">
        <f>'Water-Meter'!E25</f>
        <v>0</v>
      </c>
      <c r="J25" s="155">
        <f>'Lpg (2)'!B29</f>
        <v>0</v>
      </c>
      <c r="K25" s="155">
        <f>'Lpg (2)'!C29</f>
        <v>0</v>
      </c>
      <c r="L25" s="155">
        <f>'Lpg (2)'!D29</f>
        <v>0</v>
      </c>
      <c r="M25" s="459">
        <f>'Lpg (2)'!G29</f>
        <v>-320178.71600000001</v>
      </c>
      <c r="N25" s="152">
        <f t="shared" si="2"/>
        <v>0</v>
      </c>
      <c r="O25" s="152">
        <f t="shared" si="2"/>
        <v>0</v>
      </c>
      <c r="P25" s="151" t="e">
        <f>'[1]Lpg (2)'!#REF!</f>
        <v>#REF!</v>
      </c>
      <c r="Q25" s="152" t="e">
        <f>'[1]Summery Report'!#REF!</f>
        <v>#REF!</v>
      </c>
      <c r="R25" s="152">
        <f t="shared" si="0"/>
        <v>0</v>
      </c>
      <c r="S25" s="461" t="e">
        <f t="shared" si="1"/>
        <v>#REF!</v>
      </c>
    </row>
    <row r="26" spans="1:19" ht="14.25">
      <c r="A26" s="460">
        <f>Gen!B31</f>
        <v>44125</v>
      </c>
      <c r="B26" s="6">
        <f>'Summery Report'!E25</f>
        <v>0</v>
      </c>
      <c r="C26" s="6">
        <f>Gen!U31</f>
        <v>0</v>
      </c>
      <c r="D26" s="153">
        <f>Gen!T31</f>
        <v>0</v>
      </c>
      <c r="E26" s="153">
        <f>Gen!AK31</f>
        <v>0</v>
      </c>
      <c r="F26" s="153">
        <f>Gen!AS31</f>
        <v>0</v>
      </c>
      <c r="G26" s="154">
        <f>'Utility report '!AC26</f>
        <v>0</v>
      </c>
      <c r="H26" s="154">
        <f>'Utility report '!AE26</f>
        <v>0</v>
      </c>
      <c r="I26" s="297">
        <f>'Water-Meter'!E26</f>
        <v>0</v>
      </c>
      <c r="J26" s="155">
        <f>'Lpg (2)'!B30</f>
        <v>0</v>
      </c>
      <c r="K26" s="155">
        <f>'Lpg (2)'!C30</f>
        <v>0</v>
      </c>
      <c r="L26" s="155">
        <f>'Lpg (2)'!D30</f>
        <v>0</v>
      </c>
      <c r="M26" s="459">
        <f>'Lpg (2)'!G30</f>
        <v>0</v>
      </c>
      <c r="N26" s="152">
        <f t="shared" si="2"/>
        <v>0</v>
      </c>
      <c r="O26" s="152">
        <f t="shared" si="2"/>
        <v>0</v>
      </c>
      <c r="P26" s="151" t="e">
        <f>'[1]Lpg (2)'!#REF!</f>
        <v>#REF!</v>
      </c>
      <c r="Q26" s="152" t="e">
        <f>'[1]Summery Report'!#REF!</f>
        <v>#REF!</v>
      </c>
      <c r="R26" s="152" t="e">
        <f t="shared" si="0"/>
        <v>#DIV/0!</v>
      </c>
      <c r="S26" s="461" t="e">
        <f t="shared" si="1"/>
        <v>#REF!</v>
      </c>
    </row>
    <row r="27" spans="1:19" ht="14.25">
      <c r="A27" s="460">
        <f>Gen!B32</f>
        <v>44126</v>
      </c>
      <c r="B27" s="6">
        <f>'Summery Report'!E26</f>
        <v>0</v>
      </c>
      <c r="C27" s="6">
        <f>Gen!U32</f>
        <v>0</v>
      </c>
      <c r="D27" s="153">
        <f>Gen!T32</f>
        <v>0</v>
      </c>
      <c r="E27" s="153">
        <f>Gen!AK32</f>
        <v>0</v>
      </c>
      <c r="F27" s="153">
        <f>Gen!AS32</f>
        <v>0</v>
      </c>
      <c r="G27" s="154">
        <f>'Utility report '!AC27</f>
        <v>0</v>
      </c>
      <c r="H27" s="154">
        <f>'Utility report '!AE27</f>
        <v>0</v>
      </c>
      <c r="I27" s="297">
        <f>'Water-Meter'!E27</f>
        <v>0</v>
      </c>
      <c r="J27" s="155">
        <f>'Lpg (2)'!B31</f>
        <v>0</v>
      </c>
      <c r="K27" s="155">
        <f>'Lpg (2)'!C31</f>
        <v>0</v>
      </c>
      <c r="L27" s="155">
        <f>'Lpg (2)'!D31</f>
        <v>0</v>
      </c>
      <c r="M27" s="459">
        <f>'Lpg (2)'!G31</f>
        <v>0</v>
      </c>
      <c r="N27" s="152">
        <f t="shared" si="2"/>
        <v>0</v>
      </c>
      <c r="O27" s="152">
        <f t="shared" si="2"/>
        <v>0</v>
      </c>
      <c r="P27" s="151" t="e">
        <f>'[1]Lpg (2)'!#REF!</f>
        <v>#REF!</v>
      </c>
      <c r="Q27" s="152" t="e">
        <f>'[1]Summery Report'!#REF!</f>
        <v>#REF!</v>
      </c>
      <c r="R27" s="152" t="e">
        <f t="shared" si="0"/>
        <v>#DIV/0!</v>
      </c>
      <c r="S27" s="461" t="e">
        <f t="shared" si="1"/>
        <v>#REF!</v>
      </c>
    </row>
    <row r="28" spans="1:19" ht="14.25">
      <c r="A28" s="460">
        <f>Gen!B33</f>
        <v>44127</v>
      </c>
      <c r="B28" s="6">
        <f>'Summery Report'!E27</f>
        <v>0</v>
      </c>
      <c r="C28" s="6">
        <f>Gen!U33</f>
        <v>0</v>
      </c>
      <c r="D28" s="153">
        <f>Gen!T33</f>
        <v>0</v>
      </c>
      <c r="E28" s="153">
        <f>Gen!AK33</f>
        <v>0</v>
      </c>
      <c r="F28" s="153">
        <f>Gen!AS33</f>
        <v>0</v>
      </c>
      <c r="G28" s="154">
        <f>'Utility report '!AC28</f>
        <v>0</v>
      </c>
      <c r="H28" s="154">
        <f>'Utility report '!AE28</f>
        <v>0</v>
      </c>
      <c r="I28" s="297">
        <f>'Water-Meter'!E28</f>
        <v>0</v>
      </c>
      <c r="J28" s="155">
        <f>'Lpg (2)'!B32</f>
        <v>0</v>
      </c>
      <c r="K28" s="155">
        <f>'Lpg (2)'!C32</f>
        <v>0</v>
      </c>
      <c r="L28" s="155">
        <f>'Lpg (2)'!D32</f>
        <v>0</v>
      </c>
      <c r="M28" s="459">
        <f>'Lpg (2)'!G32</f>
        <v>0</v>
      </c>
      <c r="N28" s="152">
        <f t="shared" si="2"/>
        <v>0</v>
      </c>
      <c r="O28" s="152">
        <f t="shared" si="2"/>
        <v>0</v>
      </c>
      <c r="P28" s="151" t="e">
        <f>'[1]Lpg (2)'!#REF!</f>
        <v>#REF!</v>
      </c>
      <c r="Q28" s="152" t="e">
        <f>'[1]Summery Report'!#REF!</f>
        <v>#REF!</v>
      </c>
      <c r="R28" s="152" t="e">
        <f t="shared" si="0"/>
        <v>#DIV/0!</v>
      </c>
      <c r="S28" s="461" t="e">
        <f t="shared" si="1"/>
        <v>#REF!</v>
      </c>
    </row>
    <row r="29" spans="1:19" ht="14.25">
      <c r="A29" s="460">
        <f>Gen!B34</f>
        <v>44128</v>
      </c>
      <c r="B29" s="6">
        <f>'Summery Report'!E28</f>
        <v>0</v>
      </c>
      <c r="C29" s="6">
        <f>Gen!U34</f>
        <v>0</v>
      </c>
      <c r="D29" s="153">
        <f>Gen!T34</f>
        <v>0</v>
      </c>
      <c r="E29" s="153">
        <f>Gen!AK34</f>
        <v>0</v>
      </c>
      <c r="F29" s="153">
        <f>Gen!AS34</f>
        <v>0</v>
      </c>
      <c r="G29" s="154">
        <f>'Utility report '!AC29</f>
        <v>0</v>
      </c>
      <c r="H29" s="154">
        <f>'Utility report '!AE29</f>
        <v>0</v>
      </c>
      <c r="I29" s="297">
        <f>'Water-Meter'!E29</f>
        <v>0</v>
      </c>
      <c r="J29" s="155">
        <f>'Lpg (2)'!B33</f>
        <v>0</v>
      </c>
      <c r="K29" s="155">
        <f>'Lpg (2)'!C33</f>
        <v>0</v>
      </c>
      <c r="L29" s="155">
        <f>'Lpg (2)'!D33</f>
        <v>0</v>
      </c>
      <c r="M29" s="459">
        <f>'Lpg (2)'!G33</f>
        <v>0</v>
      </c>
      <c r="N29" s="152">
        <f t="shared" si="2"/>
        <v>0</v>
      </c>
      <c r="O29" s="152">
        <f t="shared" si="2"/>
        <v>0</v>
      </c>
      <c r="P29" s="151" t="e">
        <f>'[1]Lpg (2)'!#REF!</f>
        <v>#REF!</v>
      </c>
      <c r="Q29" s="152" t="e">
        <f>'[1]Summery Report'!#REF!</f>
        <v>#REF!</v>
      </c>
      <c r="R29" s="152" t="e">
        <f t="shared" si="0"/>
        <v>#DIV/0!</v>
      </c>
      <c r="S29" s="461" t="e">
        <f t="shared" si="1"/>
        <v>#REF!</v>
      </c>
    </row>
    <row r="30" spans="1:19" ht="14.25">
      <c r="A30" s="460">
        <f>Gen!B35</f>
        <v>44129</v>
      </c>
      <c r="B30" s="6">
        <f>'Summery Report'!E29</f>
        <v>0</v>
      </c>
      <c r="C30" s="6">
        <f>Gen!U35</f>
        <v>0</v>
      </c>
      <c r="D30" s="153">
        <f>Gen!T35</f>
        <v>0</v>
      </c>
      <c r="E30" s="153">
        <f>Gen!AK35</f>
        <v>0</v>
      </c>
      <c r="F30" s="153">
        <f>Gen!AS35</f>
        <v>0</v>
      </c>
      <c r="G30" s="154">
        <f>'Utility report '!AC30</f>
        <v>0</v>
      </c>
      <c r="H30" s="154">
        <f>'Utility report '!AE30</f>
        <v>0</v>
      </c>
      <c r="I30" s="297">
        <f>'Water-Meter'!E30</f>
        <v>0</v>
      </c>
      <c r="J30" s="155">
        <f>'Lpg (2)'!B34</f>
        <v>0</v>
      </c>
      <c r="K30" s="155">
        <f>'Lpg (2)'!C34</f>
        <v>0</v>
      </c>
      <c r="L30" s="155">
        <f>'Lpg (2)'!D34</f>
        <v>0</v>
      </c>
      <c r="M30" s="459">
        <f>'Lpg (2)'!G34</f>
        <v>0</v>
      </c>
      <c r="N30" s="152">
        <f t="shared" si="2"/>
        <v>0</v>
      </c>
      <c r="O30" s="152">
        <f t="shared" si="2"/>
        <v>0</v>
      </c>
      <c r="P30" s="151" t="e">
        <f>'[1]Lpg (2)'!#REF!</f>
        <v>#REF!</v>
      </c>
      <c r="Q30" s="152" t="e">
        <f>'[1]Summery Report'!#REF!</f>
        <v>#REF!</v>
      </c>
      <c r="R30" s="152" t="e">
        <f t="shared" si="0"/>
        <v>#DIV/0!</v>
      </c>
      <c r="S30" s="461" t="e">
        <f t="shared" si="1"/>
        <v>#REF!</v>
      </c>
    </row>
    <row r="31" spans="1:19" ht="14.25">
      <c r="A31" s="460">
        <f>Gen!B36</f>
        <v>44130</v>
      </c>
      <c r="B31" s="6">
        <f>'Summery Report'!E30</f>
        <v>0</v>
      </c>
      <c r="C31" s="6">
        <f>Gen!U36</f>
        <v>0</v>
      </c>
      <c r="D31" s="153">
        <f>Gen!T36</f>
        <v>0</v>
      </c>
      <c r="E31" s="153">
        <f>Gen!AK36</f>
        <v>0</v>
      </c>
      <c r="F31" s="153">
        <f>Gen!AS36</f>
        <v>0</v>
      </c>
      <c r="G31" s="154">
        <f>'Utility report '!AC31</f>
        <v>0</v>
      </c>
      <c r="H31" s="154">
        <f>'Utility report '!AE31</f>
        <v>0</v>
      </c>
      <c r="I31" s="297">
        <f>'Water-Meter'!E31</f>
        <v>0</v>
      </c>
      <c r="J31" s="155">
        <f>'Lpg (2)'!B35</f>
        <v>0</v>
      </c>
      <c r="K31" s="155">
        <f>'Lpg (2)'!C35</f>
        <v>0</v>
      </c>
      <c r="L31" s="155">
        <f>'Lpg (2)'!D35</f>
        <v>0</v>
      </c>
      <c r="M31" s="459">
        <f>'Lpg (2)'!G35</f>
        <v>0</v>
      </c>
      <c r="N31" s="152">
        <f t="shared" si="2"/>
        <v>0</v>
      </c>
      <c r="O31" s="152">
        <f t="shared" si="2"/>
        <v>0</v>
      </c>
      <c r="P31" s="151" t="e">
        <f>'[1]Lpg (2)'!#REF!</f>
        <v>#REF!</v>
      </c>
      <c r="Q31" s="152" t="e">
        <f>'[1]Summery Report'!#REF!</f>
        <v>#REF!</v>
      </c>
      <c r="R31" s="152" t="e">
        <f t="shared" si="0"/>
        <v>#DIV/0!</v>
      </c>
      <c r="S31" s="461" t="e">
        <f t="shared" si="1"/>
        <v>#REF!</v>
      </c>
    </row>
    <row r="32" spans="1:19" ht="14.25">
      <c r="A32" s="460">
        <f>Gen!B37</f>
        <v>44131</v>
      </c>
      <c r="B32" s="6">
        <f>'Summery Report'!E31</f>
        <v>0</v>
      </c>
      <c r="C32" s="6">
        <f>Gen!U37</f>
        <v>0</v>
      </c>
      <c r="D32" s="153">
        <f>Gen!T37</f>
        <v>0</v>
      </c>
      <c r="E32" s="153">
        <f>Gen!AK37</f>
        <v>0</v>
      </c>
      <c r="F32" s="153">
        <f>Gen!AS37</f>
        <v>0</v>
      </c>
      <c r="G32" s="154">
        <f>'Utility report '!AC32</f>
        <v>0</v>
      </c>
      <c r="H32" s="154">
        <f>'Utility report '!AE32</f>
        <v>0</v>
      </c>
      <c r="I32" s="297">
        <f>'Water-Meter'!E32</f>
        <v>0</v>
      </c>
      <c r="J32" s="155">
        <f>'Lpg (2)'!B36</f>
        <v>0</v>
      </c>
      <c r="K32" s="155">
        <f>'Lpg (2)'!C36</f>
        <v>0</v>
      </c>
      <c r="L32" s="155">
        <f>'Lpg (2)'!D36</f>
        <v>0</v>
      </c>
      <c r="M32" s="459">
        <f>'Lpg (2)'!G36</f>
        <v>0</v>
      </c>
      <c r="N32" s="152">
        <f t="shared" si="2"/>
        <v>0</v>
      </c>
      <c r="O32" s="152">
        <f t="shared" si="2"/>
        <v>0</v>
      </c>
      <c r="P32" s="151" t="e">
        <f>'[1]Lpg (2)'!#REF!</f>
        <v>#REF!</v>
      </c>
      <c r="Q32" s="152" t="e">
        <f>'[1]Summery Report'!#REF!</f>
        <v>#REF!</v>
      </c>
      <c r="R32" s="152" t="e">
        <f t="shared" si="0"/>
        <v>#DIV/0!</v>
      </c>
      <c r="S32" s="461" t="e">
        <f t="shared" si="1"/>
        <v>#REF!</v>
      </c>
    </row>
    <row r="33" spans="1:19" ht="14.25">
      <c r="A33" s="460">
        <f>Gen!B38</f>
        <v>44132</v>
      </c>
      <c r="B33" s="6">
        <f>'Summery Report'!E32</f>
        <v>0</v>
      </c>
      <c r="C33" s="6">
        <f>Gen!U38</f>
        <v>0</v>
      </c>
      <c r="D33" s="153">
        <f>Gen!T38</f>
        <v>0</v>
      </c>
      <c r="E33" s="153">
        <f>Gen!AK38</f>
        <v>0</v>
      </c>
      <c r="F33" s="153">
        <f>Gen!AS38</f>
        <v>0</v>
      </c>
      <c r="G33" s="154">
        <f>'Utility report '!AC33</f>
        <v>0</v>
      </c>
      <c r="H33" s="154">
        <f>'Utility report '!AE33</f>
        <v>0</v>
      </c>
      <c r="I33" s="297">
        <f>'Water-Meter'!E33</f>
        <v>0</v>
      </c>
      <c r="J33" s="155">
        <f>'Lpg (2)'!B37</f>
        <v>0</v>
      </c>
      <c r="K33" s="155">
        <f>'Lpg (2)'!C37</f>
        <v>0</v>
      </c>
      <c r="L33" s="155">
        <f>'Lpg (2)'!D37</f>
        <v>0</v>
      </c>
      <c r="M33" s="459">
        <f>'Lpg (2)'!G37</f>
        <v>0</v>
      </c>
      <c r="N33" s="152">
        <f t="shared" si="2"/>
        <v>0</v>
      </c>
      <c r="O33" s="152">
        <f t="shared" si="2"/>
        <v>0</v>
      </c>
      <c r="P33" s="151" t="e">
        <f>'[1]Lpg (2)'!#REF!</f>
        <v>#REF!</v>
      </c>
      <c r="Q33" s="152" t="e">
        <f>'[1]Summery Report'!#REF!</f>
        <v>#REF!</v>
      </c>
      <c r="R33" s="152" t="e">
        <f t="shared" si="0"/>
        <v>#DIV/0!</v>
      </c>
      <c r="S33" s="461" t="e">
        <f t="shared" si="1"/>
        <v>#REF!</v>
      </c>
    </row>
    <row r="34" spans="1:19" ht="14.25">
      <c r="A34" s="460">
        <f>Gen!B39</f>
        <v>44133</v>
      </c>
      <c r="B34" s="6">
        <f>'Summery Report'!E33</f>
        <v>0</v>
      </c>
      <c r="C34" s="6">
        <f>Gen!U39</f>
        <v>0</v>
      </c>
      <c r="D34" s="153">
        <f>Gen!T39</f>
        <v>0</v>
      </c>
      <c r="E34" s="153">
        <f>Gen!AK39</f>
        <v>0</v>
      </c>
      <c r="F34" s="153">
        <f>Gen!AS39</f>
        <v>0</v>
      </c>
      <c r="G34" s="154">
        <f>'Utility report '!AC34</f>
        <v>0</v>
      </c>
      <c r="H34" s="154">
        <f>'Utility report '!AE34</f>
        <v>0</v>
      </c>
      <c r="I34" s="297">
        <f>'Water-Meter'!E34</f>
        <v>0</v>
      </c>
      <c r="J34" s="155">
        <f>'Lpg (2)'!B38</f>
        <v>0</v>
      </c>
      <c r="K34" s="155">
        <f>'Lpg (2)'!C38</f>
        <v>0</v>
      </c>
      <c r="L34" s="155">
        <f>'Lpg (2)'!D38</f>
        <v>0</v>
      </c>
      <c r="M34" s="459">
        <f>'Lpg (2)'!G38</f>
        <v>0</v>
      </c>
      <c r="N34" s="152">
        <f t="shared" si="2"/>
        <v>0</v>
      </c>
      <c r="O34" s="152">
        <f t="shared" si="2"/>
        <v>0</v>
      </c>
      <c r="P34" s="151" t="e">
        <f>'[1]Lpg (2)'!#REF!</f>
        <v>#REF!</v>
      </c>
      <c r="Q34" s="152" t="e">
        <f>'[1]Summery Report'!#REF!</f>
        <v>#REF!</v>
      </c>
      <c r="R34" s="152" t="e">
        <f t="shared" si="0"/>
        <v>#DIV/0!</v>
      </c>
      <c r="S34" s="461" t="e">
        <f t="shared" si="1"/>
        <v>#REF!</v>
      </c>
    </row>
    <row r="35" spans="1:19" ht="14.25">
      <c r="A35" s="460">
        <f>Gen!B40</f>
        <v>44134</v>
      </c>
      <c r="B35" s="6">
        <f>'Summery Report'!E34</f>
        <v>0</v>
      </c>
      <c r="C35" s="6">
        <f>Gen!U40</f>
        <v>0</v>
      </c>
      <c r="D35" s="153">
        <f>Gen!T40</f>
        <v>0</v>
      </c>
      <c r="E35" s="153">
        <f>Gen!AK40</f>
        <v>0</v>
      </c>
      <c r="F35" s="153">
        <f>Gen!AS40</f>
        <v>0</v>
      </c>
      <c r="G35" s="154">
        <f>'Utility report '!AC35</f>
        <v>0</v>
      </c>
      <c r="H35" s="154">
        <f>'Utility report '!AE35</f>
        <v>0</v>
      </c>
      <c r="I35" s="297">
        <f>'Water-Meter'!E35</f>
        <v>0</v>
      </c>
      <c r="J35" s="155">
        <f>'Lpg (2)'!B39</f>
        <v>0</v>
      </c>
      <c r="K35" s="155">
        <f>'Lpg (2)'!C39</f>
        <v>0</v>
      </c>
      <c r="L35" s="155">
        <f>'Lpg (2)'!D39</f>
        <v>0</v>
      </c>
      <c r="M35" s="459">
        <f>'Lpg (2)'!G39</f>
        <v>0</v>
      </c>
      <c r="N35" s="152">
        <f t="shared" si="2"/>
        <v>0</v>
      </c>
      <c r="O35" s="152">
        <f t="shared" si="2"/>
        <v>0</v>
      </c>
      <c r="P35" s="151" t="e">
        <f>'[1]Lpg (2)'!#REF!</f>
        <v>#REF!</v>
      </c>
      <c r="Q35" s="152" t="e">
        <f>'[1]Summery Report'!#REF!</f>
        <v>#REF!</v>
      </c>
      <c r="R35" s="152" t="e">
        <f t="shared" si="0"/>
        <v>#DIV/0!</v>
      </c>
      <c r="S35" s="461" t="e">
        <f t="shared" si="1"/>
        <v>#REF!</v>
      </c>
    </row>
    <row r="36" spans="1:19" ht="14.25">
      <c r="A36" s="460">
        <f>Gen!B41</f>
        <v>44135</v>
      </c>
      <c r="B36" s="6">
        <f>'Summery Report'!E35</f>
        <v>0</v>
      </c>
      <c r="C36" s="6">
        <f>Gen!U41</f>
        <v>0</v>
      </c>
      <c r="D36" s="153">
        <f>Gen!T41</f>
        <v>0</v>
      </c>
      <c r="E36" s="153">
        <f>Gen!AK41</f>
        <v>0</v>
      </c>
      <c r="F36" s="153">
        <f>Gen!AS41</f>
        <v>0</v>
      </c>
      <c r="G36" s="154">
        <f>'Utility report '!AC36</f>
        <v>0</v>
      </c>
      <c r="H36" s="154">
        <f>'Utility report '!AE36</f>
        <v>0</v>
      </c>
      <c r="I36" s="297">
        <f>'Water-Meter'!E36</f>
        <v>0</v>
      </c>
      <c r="J36" s="155">
        <f>'Lpg (2)'!B40</f>
        <v>0</v>
      </c>
      <c r="K36" s="155">
        <f>'Lpg (2)'!C40</f>
        <v>0</v>
      </c>
      <c r="L36" s="155">
        <f>'Lpg (2)'!D40</f>
        <v>0</v>
      </c>
      <c r="M36" s="459">
        <f>'Lpg (2)'!G40</f>
        <v>0</v>
      </c>
      <c r="N36" s="152">
        <f t="shared" si="2"/>
        <v>0</v>
      </c>
      <c r="O36" s="152">
        <f t="shared" si="2"/>
        <v>0</v>
      </c>
      <c r="P36" s="151" t="e">
        <f>'[1]Lpg (2)'!#REF!</f>
        <v>#REF!</v>
      </c>
      <c r="Q36" s="152" t="e">
        <f>'[1]Summery Report'!#REF!</f>
        <v>#REF!</v>
      </c>
      <c r="R36" s="152" t="e">
        <f t="shared" si="0"/>
        <v>#DIV/0!</v>
      </c>
      <c r="S36" s="461" t="e">
        <f t="shared" si="1"/>
        <v>#REF!</v>
      </c>
    </row>
    <row r="37" spans="1:19" ht="14.25">
      <c r="A37" s="460">
        <f>Gen!B42</f>
        <v>44136</v>
      </c>
      <c r="B37" s="6">
        <f>'Summery Report'!E36</f>
        <v>0</v>
      </c>
      <c r="C37" s="6">
        <f>Gen!U42</f>
        <v>0</v>
      </c>
      <c r="D37" s="153">
        <f>Gen!T42</f>
        <v>0</v>
      </c>
      <c r="E37" s="153">
        <f>Gen!AK42</f>
        <v>0</v>
      </c>
      <c r="F37" s="153">
        <f>Gen!AS42</f>
        <v>0</v>
      </c>
      <c r="G37" s="154">
        <f>'Utility report '!AC37</f>
        <v>0</v>
      </c>
      <c r="H37" s="154">
        <f>'Utility report '!AE37</f>
        <v>0</v>
      </c>
      <c r="I37" s="297">
        <f>'Water-Meter'!E37</f>
        <v>0</v>
      </c>
      <c r="J37" s="155">
        <f>'Lpg (2)'!B41</f>
        <v>0</v>
      </c>
      <c r="K37" s="155">
        <f>'Lpg (2)'!C41</f>
        <v>0</v>
      </c>
      <c r="L37" s="155">
        <f>'Lpg (2)'!D41</f>
        <v>0</v>
      </c>
      <c r="M37" s="459">
        <f>'Lpg (2)'!G41</f>
        <v>0</v>
      </c>
      <c r="N37" s="6"/>
      <c r="O37" s="6"/>
      <c r="P37" s="6"/>
      <c r="Q37" s="152" t="e">
        <f>'[1]Summery Report'!#REF!</f>
        <v>#REF!</v>
      </c>
      <c r="R37" s="152" t="e">
        <f t="shared" si="0"/>
        <v>#DIV/0!</v>
      </c>
      <c r="S37" s="461" t="e">
        <f t="shared" si="1"/>
        <v>#REF!</v>
      </c>
    </row>
    <row r="38" spans="1:19" ht="14.25">
      <c r="A38" s="46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62"/>
    </row>
    <row r="39" spans="1:19" ht="13.5" thickBot="1">
      <c r="A39" s="55" t="s">
        <v>13</v>
      </c>
      <c r="B39" s="463">
        <f>SUM(B7:B37)</f>
        <v>104</v>
      </c>
      <c r="C39" s="463">
        <f>SUM(C7:C35)</f>
        <v>40228</v>
      </c>
      <c r="D39" s="463">
        <f>SUM(D7:D35)</f>
        <v>17020.809999999998</v>
      </c>
      <c r="E39" s="463">
        <f t="shared" ref="E39:S39" si="3">SUM(E7:E35)</f>
        <v>959.11</v>
      </c>
      <c r="F39" s="463">
        <f t="shared" si="3"/>
        <v>17979.919999999998</v>
      </c>
      <c r="G39" s="463">
        <f t="shared" si="3"/>
        <v>-39215</v>
      </c>
      <c r="H39" s="463">
        <f t="shared" si="3"/>
        <v>-205706</v>
      </c>
      <c r="I39" s="463">
        <f t="shared" si="3"/>
        <v>945</v>
      </c>
      <c r="J39" s="463">
        <f t="shared" si="3"/>
        <v>1348</v>
      </c>
      <c r="K39" s="463">
        <f t="shared" si="3"/>
        <v>1275</v>
      </c>
      <c r="L39" s="463">
        <f t="shared" si="3"/>
        <v>1275</v>
      </c>
      <c r="M39" s="463">
        <f t="shared" si="3"/>
        <v>-319017.42400000058</v>
      </c>
      <c r="N39" s="463">
        <f t="shared" si="3"/>
        <v>23829.133999999998</v>
      </c>
      <c r="O39" s="463">
        <f t="shared" si="3"/>
        <v>1342.7539999999999</v>
      </c>
      <c r="P39" s="463" t="e">
        <f t="shared" si="3"/>
        <v>#REF!</v>
      </c>
      <c r="Q39" s="463" t="e">
        <f t="shared" si="3"/>
        <v>#REF!</v>
      </c>
      <c r="R39" s="463" t="e">
        <f t="shared" si="3"/>
        <v>#DIV/0!</v>
      </c>
      <c r="S39" s="464" t="e">
        <f t="shared" si="3"/>
        <v>#REF!</v>
      </c>
    </row>
    <row r="42" spans="1:19">
      <c r="I42" s="532"/>
    </row>
    <row r="43" spans="1:19">
      <c r="I43" s="532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opLeftCell="A7" zoomScalePageLayoutView="85" workbookViewId="0">
      <pane xSplit="1" topLeftCell="K1" activePane="topRight" state="frozen"/>
      <selection pane="topRight" activeCell="AD26" sqref="AD26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860" t="s">
        <v>314</v>
      </c>
      <c r="B1" s="861"/>
      <c r="C1" s="861"/>
      <c r="D1" s="861"/>
      <c r="E1" s="861"/>
      <c r="F1" s="861"/>
      <c r="G1" s="861"/>
      <c r="H1" s="861"/>
      <c r="I1" s="861"/>
      <c r="J1" s="862"/>
      <c r="K1" s="862"/>
      <c r="L1" s="862"/>
      <c r="M1" s="862"/>
      <c r="N1" s="862"/>
      <c r="O1" s="861"/>
      <c r="P1" s="861"/>
      <c r="Q1" s="861"/>
      <c r="R1" s="861"/>
      <c r="S1" s="861"/>
      <c r="T1" s="861"/>
      <c r="U1" s="861"/>
      <c r="V1" s="861"/>
      <c r="W1" s="861"/>
      <c r="X1" s="861"/>
      <c r="Y1" s="861"/>
      <c r="Z1" s="861"/>
      <c r="AA1" s="861"/>
      <c r="AB1" s="861"/>
      <c r="AC1" s="861"/>
      <c r="AD1" s="861"/>
      <c r="AE1" s="861"/>
      <c r="AF1" s="861"/>
      <c r="AG1" s="861"/>
      <c r="AH1" s="861"/>
      <c r="AI1" s="861"/>
      <c r="AJ1" s="861"/>
      <c r="AK1" s="863"/>
    </row>
    <row r="2" spans="1:37" ht="61.5" customHeight="1" thickBot="1">
      <c r="A2" s="138" t="s">
        <v>98</v>
      </c>
      <c r="B2" s="864" t="s">
        <v>99</v>
      </c>
      <c r="C2" s="865"/>
      <c r="D2" s="866"/>
      <c r="E2" s="139"/>
      <c r="F2" s="139"/>
      <c r="G2" s="139"/>
      <c r="H2" s="136" t="s">
        <v>124</v>
      </c>
      <c r="I2" s="800" t="s">
        <v>100</v>
      </c>
      <c r="J2" s="802" t="s">
        <v>122</v>
      </c>
      <c r="K2" s="803"/>
      <c r="L2" s="804" t="s">
        <v>123</v>
      </c>
      <c r="M2" s="646" t="s">
        <v>101</v>
      </c>
      <c r="N2" s="285" t="s">
        <v>102</v>
      </c>
      <c r="O2" s="853" t="s">
        <v>103</v>
      </c>
      <c r="P2" s="853"/>
      <c r="Q2" s="853"/>
      <c r="R2" s="853"/>
      <c r="S2" s="853"/>
      <c r="T2" s="853"/>
      <c r="U2" s="853"/>
      <c r="V2" s="853"/>
      <c r="W2" s="853"/>
      <c r="X2" s="853"/>
      <c r="Y2" s="853"/>
      <c r="Z2" s="853"/>
      <c r="AA2" s="285" t="s">
        <v>104</v>
      </c>
      <c r="AB2" s="864" t="s">
        <v>164</v>
      </c>
      <c r="AC2" s="866"/>
      <c r="AD2" s="135">
        <v>0</v>
      </c>
      <c r="AE2" s="408" t="s">
        <v>19</v>
      </c>
      <c r="AF2" s="140" t="s">
        <v>105</v>
      </c>
      <c r="AG2" s="136" t="s">
        <v>106</v>
      </c>
      <c r="AH2" s="140" t="s">
        <v>107</v>
      </c>
      <c r="AI2" s="136" t="s">
        <v>108</v>
      </c>
      <c r="AJ2" s="137" t="s">
        <v>109</v>
      </c>
      <c r="AK2" s="136" t="s">
        <v>110</v>
      </c>
    </row>
    <row r="3" spans="1:37" ht="44.25" customHeight="1" thickBot="1">
      <c r="A3" s="143" t="s">
        <v>125</v>
      </c>
      <c r="B3" s="144">
        <v>1640</v>
      </c>
      <c r="C3" s="142" t="s">
        <v>126</v>
      </c>
      <c r="D3" s="144">
        <v>2175</v>
      </c>
      <c r="E3" s="145"/>
      <c r="F3" s="867">
        <f>SUM(D3/B3)</f>
        <v>1.3262195121951219</v>
      </c>
      <c r="G3" s="868"/>
      <c r="H3" s="128">
        <f>Gen!D11</f>
        <v>38003.53</v>
      </c>
      <c r="I3" s="647"/>
      <c r="J3" s="805"/>
      <c r="K3" s="806" t="s">
        <v>165</v>
      </c>
      <c r="L3" s="805"/>
      <c r="M3" s="649" t="s">
        <v>111</v>
      </c>
      <c r="N3" s="805"/>
      <c r="O3" s="853" t="s">
        <v>112</v>
      </c>
      <c r="P3" s="853"/>
      <c r="Q3" s="853"/>
      <c r="R3" s="853"/>
      <c r="S3" s="854" t="s">
        <v>113</v>
      </c>
      <c r="T3" s="855"/>
      <c r="U3" s="855"/>
      <c r="V3" s="856"/>
      <c r="W3" s="857" t="s">
        <v>114</v>
      </c>
      <c r="X3" s="858"/>
      <c r="Y3" s="858"/>
      <c r="Z3" s="859"/>
      <c r="AA3" s="287" t="s">
        <v>115</v>
      </c>
      <c r="AB3" s="127" t="s">
        <v>111</v>
      </c>
      <c r="AD3" s="127">
        <v>0</v>
      </c>
      <c r="AE3" s="127" t="s">
        <v>116</v>
      </c>
      <c r="AF3" s="794" t="s">
        <v>117</v>
      </c>
      <c r="AG3" s="795" t="s">
        <v>117</v>
      </c>
      <c r="AH3" s="408" t="s">
        <v>117</v>
      </c>
      <c r="AI3" s="135" t="s">
        <v>118</v>
      </c>
      <c r="AJ3" s="796" t="s">
        <v>115</v>
      </c>
      <c r="AK3" s="797" t="s">
        <v>115</v>
      </c>
    </row>
    <row r="4" spans="1:37" ht="60.75" thickBot="1">
      <c r="A4" s="172"/>
      <c r="B4" s="173" t="s">
        <v>130</v>
      </c>
      <c r="C4" s="174" t="s">
        <v>1</v>
      </c>
      <c r="D4" s="175" t="s">
        <v>127</v>
      </c>
      <c r="E4" s="176"/>
      <c r="F4" s="176" t="s">
        <v>128</v>
      </c>
      <c r="G4" s="176" t="s">
        <v>129</v>
      </c>
      <c r="H4" s="177"/>
      <c r="I4" s="801"/>
      <c r="J4" s="815"/>
      <c r="K4" s="290"/>
      <c r="L4" s="804"/>
      <c r="M4" s="807"/>
      <c r="N4" s="285"/>
      <c r="O4" s="808" t="s">
        <v>173</v>
      </c>
      <c r="P4" s="289" t="s">
        <v>171</v>
      </c>
      <c r="Q4" s="289" t="s">
        <v>120</v>
      </c>
      <c r="R4" s="175" t="s">
        <v>172</v>
      </c>
      <c r="S4" s="288" t="s">
        <v>173</v>
      </c>
      <c r="T4" s="289" t="s">
        <v>171</v>
      </c>
      <c r="U4" s="289" t="s">
        <v>120</v>
      </c>
      <c r="V4" s="175" t="s">
        <v>172</v>
      </c>
      <c r="W4" s="288" t="s">
        <v>173</v>
      </c>
      <c r="X4" s="290" t="s">
        <v>307</v>
      </c>
      <c r="Y4" s="290" t="s">
        <v>120</v>
      </c>
      <c r="Z4" s="289" t="s">
        <v>172</v>
      </c>
      <c r="AA4" s="291" t="s">
        <v>119</v>
      </c>
      <c r="AB4" s="180"/>
      <c r="AC4" s="178" t="s">
        <v>119</v>
      </c>
      <c r="AD4" s="180"/>
      <c r="AE4" s="178" t="s">
        <v>119</v>
      </c>
      <c r="AF4" s="798">
        <v>2000</v>
      </c>
      <c r="AG4" s="799">
        <v>1000</v>
      </c>
      <c r="AH4" s="646">
        <v>1000</v>
      </c>
      <c r="AI4" s="127">
        <f>SUM([2]Sheet1!$AA$36)</f>
        <v>950</v>
      </c>
      <c r="AJ4" s="648" t="s">
        <v>10</v>
      </c>
      <c r="AK4" s="127" t="s">
        <v>119</v>
      </c>
    </row>
    <row r="5" spans="1:37" ht="18.75">
      <c r="A5" s="810"/>
      <c r="B5" s="818"/>
      <c r="C5" s="819"/>
      <c r="D5" s="820"/>
      <c r="E5" s="820"/>
      <c r="F5" s="820"/>
      <c r="G5" s="820"/>
      <c r="H5" s="821"/>
      <c r="I5" s="821"/>
      <c r="J5" s="749"/>
      <c r="K5" s="772"/>
      <c r="L5" s="129"/>
      <c r="M5" s="480"/>
      <c r="N5" s="809"/>
      <c r="O5" s="748"/>
      <c r="P5" s="770">
        <v>19032</v>
      </c>
      <c r="Q5" s="782"/>
      <c r="R5" s="772"/>
      <c r="S5" s="748"/>
      <c r="T5" s="754">
        <v>16993</v>
      </c>
      <c r="U5" s="748"/>
      <c r="V5" s="772"/>
      <c r="W5" s="748"/>
      <c r="X5" s="760">
        <v>25177</v>
      </c>
      <c r="Y5" s="748"/>
      <c r="Z5" s="753"/>
      <c r="AA5" s="767"/>
      <c r="AB5" s="765">
        <v>39178</v>
      </c>
      <c r="AC5" s="741">
        <f>AB5-AB4</f>
        <v>39178</v>
      </c>
      <c r="AD5" s="744">
        <v>205678</v>
      </c>
      <c r="AE5" s="750"/>
      <c r="AF5" s="775">
        <v>0.85</v>
      </c>
      <c r="AG5" s="776">
        <v>0.85</v>
      </c>
      <c r="AH5" s="789">
        <v>0.85</v>
      </c>
      <c r="AI5" s="779"/>
      <c r="AJ5" s="767"/>
      <c r="AK5" s="767"/>
    </row>
    <row r="6" spans="1:37" ht="18.75">
      <c r="A6" s="811">
        <f>Gen!B11</f>
        <v>44105</v>
      </c>
      <c r="B6" s="434">
        <f>'Summery Report'!E5</f>
        <v>5</v>
      </c>
      <c r="C6" s="816">
        <f>Gen!C11</f>
        <v>5.1900000000000002E-2</v>
      </c>
      <c r="D6" s="778">
        <f>'Summery Report'!E5</f>
        <v>5</v>
      </c>
      <c r="E6" s="778">
        <f>SUM(F3)</f>
        <v>1.3262195121951219</v>
      </c>
      <c r="F6" s="447">
        <f>SUM(J6*E6)/D6</f>
        <v>241.64780487804879</v>
      </c>
      <c r="G6" s="447">
        <f t="shared" ref="G6:G36" si="0">SUM(L6*E6)/D6</f>
        <v>241.64780487804879</v>
      </c>
      <c r="H6" s="778">
        <f>Gen!D11</f>
        <v>38003.53</v>
      </c>
      <c r="I6" s="778">
        <f>Gen!F11</f>
        <v>0</v>
      </c>
      <c r="J6" s="817">
        <f>Gen!T11</f>
        <v>911.04</v>
      </c>
      <c r="K6" s="822">
        <f>Gen!AK11</f>
        <v>0</v>
      </c>
      <c r="L6" s="813">
        <f t="shared" ref="L6:L13" si="1">SUM(J6:K6)</f>
        <v>911.04</v>
      </c>
      <c r="M6" s="458">
        <f>'Water-Meter'!K46</f>
        <v>591.46243908255417</v>
      </c>
      <c r="N6" s="773">
        <f>'Water-Meter'!E6</f>
        <v>36</v>
      </c>
      <c r="O6" s="761"/>
      <c r="P6" s="771">
        <v>19032</v>
      </c>
      <c r="Q6" s="783">
        <f t="shared" ref="Q6:Q36" si="2">SUM(P6-P5)</f>
        <v>0</v>
      </c>
      <c r="R6" s="435">
        <f>SUM(Q6*O6)</f>
        <v>0</v>
      </c>
      <c r="S6" s="755">
        <v>2.2000000000000002</v>
      </c>
      <c r="T6" s="756">
        <v>16993</v>
      </c>
      <c r="U6" s="783">
        <f>T6-T5</f>
        <v>0</v>
      </c>
      <c r="V6" s="436" t="s">
        <v>246</v>
      </c>
      <c r="W6" s="761"/>
      <c r="X6" s="762">
        <v>25177</v>
      </c>
      <c r="Y6" s="783">
        <f>X6-X5</f>
        <v>0</v>
      </c>
      <c r="Z6" s="764">
        <f t="shared" ref="Z6:AA6" si="3">Y6-Y5</f>
        <v>0</v>
      </c>
      <c r="AA6" s="768">
        <f t="shared" si="3"/>
        <v>0</v>
      </c>
      <c r="AB6" s="766">
        <v>39215</v>
      </c>
      <c r="AC6" s="742">
        <f>AB6-AB5</f>
        <v>37</v>
      </c>
      <c r="AD6" s="745">
        <v>205706</v>
      </c>
      <c r="AE6" s="179">
        <f>AD6-AD5</f>
        <v>28</v>
      </c>
      <c r="AF6" s="777">
        <f>'Lpg (2)'!B10*2000/85</f>
        <v>2000</v>
      </c>
      <c r="AG6" s="267">
        <f>'Lpg (2)'!C10*1000/85</f>
        <v>0</v>
      </c>
      <c r="AH6" s="790">
        <f>'Lpg (2)'!D10*1000/85</f>
        <v>0</v>
      </c>
      <c r="AI6" s="780">
        <f>SUM(AF6*2000)+(AG6*1000)+(AH6*1000)</f>
        <v>4000000</v>
      </c>
      <c r="AJ6" s="437">
        <f t="shared" ref="AJ6:AJ36" si="4">SUM(AI5-AI6)</f>
        <v>-4000000</v>
      </c>
      <c r="AK6" s="133"/>
    </row>
    <row r="7" spans="1:37" ht="18.75">
      <c r="A7" s="811">
        <f>Gen!B12</f>
        <v>44106</v>
      </c>
      <c r="B7" s="434">
        <f>'Summery Report'!E6</f>
        <v>4</v>
      </c>
      <c r="C7" s="816">
        <f>Gen!C12</f>
        <v>3.9E-2</v>
      </c>
      <c r="D7" s="778">
        <f>'Summery Report'!E6</f>
        <v>4</v>
      </c>
      <c r="E7" s="778">
        <f>SUM(E6)</f>
        <v>1.3262195121951219</v>
      </c>
      <c r="F7" s="447">
        <f>SUM(J7*E7)/D7</f>
        <v>323.67713414634147</v>
      </c>
      <c r="G7" s="447">
        <f t="shared" si="0"/>
        <v>323.67713414634147</v>
      </c>
      <c r="H7" s="778">
        <f>Gen!D12</f>
        <v>37092.49</v>
      </c>
      <c r="I7" s="778">
        <f>Gen!F12</f>
        <v>0</v>
      </c>
      <c r="J7" s="817">
        <f>Gen!T12</f>
        <v>976.24</v>
      </c>
      <c r="K7" s="822">
        <f>Gen!AK12</f>
        <v>0</v>
      </c>
      <c r="L7" s="813">
        <f t="shared" si="1"/>
        <v>976.24</v>
      </c>
      <c r="M7" s="458">
        <f>'Water-Meter'!K47</f>
        <v>591.95157136019827</v>
      </c>
      <c r="N7" s="773">
        <f>'Water-Meter'!E7</f>
        <v>45</v>
      </c>
      <c r="O7" s="761"/>
      <c r="P7" s="771">
        <v>19032</v>
      </c>
      <c r="Q7" s="783">
        <f t="shared" si="2"/>
        <v>0</v>
      </c>
      <c r="R7" s="435">
        <f t="shared" ref="R7:R36" si="5">SUM(Q7*O7)</f>
        <v>0</v>
      </c>
      <c r="S7" s="755">
        <v>2.2000000000000002</v>
      </c>
      <c r="T7" s="756">
        <v>16993</v>
      </c>
      <c r="U7" s="783">
        <f t="shared" ref="U7:U36" si="6">T7-T6</f>
        <v>0</v>
      </c>
      <c r="V7" s="436">
        <f t="shared" ref="V7:V9" si="7">SUM(U7*S7)</f>
        <v>0</v>
      </c>
      <c r="W7" s="761"/>
      <c r="X7" s="762">
        <v>25177</v>
      </c>
      <c r="Y7" s="783">
        <f t="shared" ref="Y7:Y36" si="8">X7-X6</f>
        <v>0</v>
      </c>
      <c r="Z7" s="759">
        <f t="shared" ref="Z7:Z36" si="9">SUM(Y7*W7)</f>
        <v>0</v>
      </c>
      <c r="AA7" s="769">
        <f t="shared" ref="AA7:AA36" si="10">SUM(Z7*X9)</f>
        <v>0</v>
      </c>
      <c r="AB7" s="766">
        <v>39270</v>
      </c>
      <c r="AC7" s="742">
        <f t="shared" ref="AC7:AC27" si="11">AB7-AB6</f>
        <v>55</v>
      </c>
      <c r="AD7" s="745">
        <v>205743</v>
      </c>
      <c r="AE7" s="179">
        <f>AD7-AD6</f>
        <v>37</v>
      </c>
      <c r="AF7" s="777">
        <f>'Lpg (2)'!B11*2000/85</f>
        <v>2000</v>
      </c>
      <c r="AG7" s="267">
        <f>'Lpg (2)'!C11*1000/85</f>
        <v>0</v>
      </c>
      <c r="AH7" s="790">
        <f>'Lpg (2)'!D11*1000/85</f>
        <v>0</v>
      </c>
      <c r="AI7" s="780">
        <f t="shared" ref="AI7:AI14" si="12">SUM(AF6*2000)+(AG7*1000)+(AH7*1000)</f>
        <v>4000000</v>
      </c>
      <c r="AJ7" s="437">
        <f t="shared" si="4"/>
        <v>0</v>
      </c>
      <c r="AK7" s="133"/>
    </row>
    <row r="8" spans="1:37" ht="18.75">
      <c r="A8" s="811">
        <f>Gen!B13</f>
        <v>44107</v>
      </c>
      <c r="B8" s="434">
        <f>'Summery Report'!E7</f>
        <v>2</v>
      </c>
      <c r="C8" s="816">
        <f>Gen!C13</f>
        <v>2.5999999999999999E-2</v>
      </c>
      <c r="D8" s="778">
        <f>'Summery Report'!E7</f>
        <v>2</v>
      </c>
      <c r="E8" s="778">
        <f t="shared" ref="E8:E36" si="13">SUM(E7)</f>
        <v>1.3262195121951219</v>
      </c>
      <c r="F8" s="447">
        <f t="shared" ref="F8:F36" si="14">SUM(J8*E8)/D8</f>
        <v>660.57667682926819</v>
      </c>
      <c r="G8" s="447">
        <f t="shared" si="0"/>
        <v>692.12743902439024</v>
      </c>
      <c r="H8" s="778">
        <f>Gen!D13</f>
        <v>36116.25</v>
      </c>
      <c r="I8" s="778">
        <f>Gen!F13</f>
        <v>0</v>
      </c>
      <c r="J8" s="817">
        <f>Gen!T13</f>
        <v>996.18</v>
      </c>
      <c r="K8" s="822">
        <f>Gen!AK13</f>
        <v>47.58</v>
      </c>
      <c r="L8" s="813">
        <f t="shared" si="1"/>
        <v>1043.76</v>
      </c>
      <c r="M8" s="458">
        <f>'Water-Meter'!K48</f>
        <v>586.8225647242939</v>
      </c>
      <c r="N8" s="773">
        <f>'Water-Meter'!E8</f>
        <v>36</v>
      </c>
      <c r="O8" s="761"/>
      <c r="P8" s="771">
        <v>19032</v>
      </c>
      <c r="Q8" s="783">
        <f t="shared" si="2"/>
        <v>0</v>
      </c>
      <c r="R8" s="435">
        <f t="shared" si="5"/>
        <v>0</v>
      </c>
      <c r="S8" s="755">
        <v>2.2000000000000002</v>
      </c>
      <c r="T8" s="756">
        <v>17017</v>
      </c>
      <c r="U8" s="783">
        <f t="shared" si="6"/>
        <v>24</v>
      </c>
      <c r="V8" s="436">
        <f t="shared" si="7"/>
        <v>52.800000000000004</v>
      </c>
      <c r="W8" s="761"/>
      <c r="X8" s="762">
        <v>25177</v>
      </c>
      <c r="Y8" s="783">
        <f t="shared" si="8"/>
        <v>0</v>
      </c>
      <c r="Z8" s="759">
        <f t="shared" si="9"/>
        <v>0</v>
      </c>
      <c r="AA8" s="769">
        <f t="shared" si="10"/>
        <v>0</v>
      </c>
      <c r="AB8" s="766">
        <v>39353</v>
      </c>
      <c r="AC8" s="742">
        <f t="shared" si="11"/>
        <v>83</v>
      </c>
      <c r="AD8" s="745">
        <v>205773</v>
      </c>
      <c r="AE8" s="179">
        <f t="shared" ref="AE8:AE37" si="15">AD8-AD7</f>
        <v>30</v>
      </c>
      <c r="AF8" s="777">
        <f>'Lpg (2)'!B12*2000/85</f>
        <v>2000</v>
      </c>
      <c r="AG8" s="267">
        <f>'Lpg (2)'!C12*1000/85</f>
        <v>0</v>
      </c>
      <c r="AH8" s="790">
        <f>'Lpg (2)'!D12*1000/85</f>
        <v>0</v>
      </c>
      <c r="AI8" s="780">
        <f t="shared" si="12"/>
        <v>4000000</v>
      </c>
      <c r="AJ8" s="437">
        <f t="shared" si="4"/>
        <v>0</v>
      </c>
      <c r="AK8" s="133"/>
    </row>
    <row r="9" spans="1:37" ht="18.75">
      <c r="A9" s="811">
        <f>Gen!B14</f>
        <v>44108</v>
      </c>
      <c r="B9" s="434">
        <f>'Summery Report'!E8</f>
        <v>1</v>
      </c>
      <c r="C9" s="816">
        <f>Gen!C14</f>
        <v>1.2999999999999999E-2</v>
      </c>
      <c r="D9" s="778">
        <f>'Summery Report'!E8</f>
        <v>1</v>
      </c>
      <c r="E9" s="778">
        <f t="shared" si="13"/>
        <v>1.3262195121951219</v>
      </c>
      <c r="F9" s="447">
        <f t="shared" si="14"/>
        <v>1226.2623475609755</v>
      </c>
      <c r="G9" s="447">
        <f t="shared" si="0"/>
        <v>1226.2623475609755</v>
      </c>
      <c r="H9" s="778">
        <f>Gen!D14</f>
        <v>35072.49</v>
      </c>
      <c r="I9" s="778">
        <f>Gen!F14</f>
        <v>0</v>
      </c>
      <c r="J9" s="817">
        <f>Gen!T14</f>
        <v>924.63</v>
      </c>
      <c r="K9" s="822">
        <f>Gen!AK14</f>
        <v>0</v>
      </c>
      <c r="L9" s="813">
        <f t="shared" si="1"/>
        <v>924.63</v>
      </c>
      <c r="M9" s="458">
        <f>'Water-Meter'!K49</f>
        <v>498.21689553152549</v>
      </c>
      <c r="N9" s="773">
        <f>'Water-Meter'!E9</f>
        <v>60</v>
      </c>
      <c r="O9" s="761"/>
      <c r="P9" s="771">
        <v>19032</v>
      </c>
      <c r="Q9" s="783">
        <f t="shared" si="2"/>
        <v>0</v>
      </c>
      <c r="R9" s="435">
        <f t="shared" si="5"/>
        <v>0</v>
      </c>
      <c r="S9" s="755">
        <v>2.2000000000000002</v>
      </c>
      <c r="T9" s="756">
        <v>17019</v>
      </c>
      <c r="U9" s="783">
        <f t="shared" si="6"/>
        <v>2</v>
      </c>
      <c r="V9" s="436">
        <f t="shared" si="7"/>
        <v>4.4000000000000004</v>
      </c>
      <c r="W9" s="761"/>
      <c r="X9" s="762">
        <v>25177</v>
      </c>
      <c r="Y9" s="783">
        <f t="shared" si="8"/>
        <v>0</v>
      </c>
      <c r="Z9" s="759">
        <f t="shared" si="9"/>
        <v>0</v>
      </c>
      <c r="AA9" s="769">
        <f t="shared" si="10"/>
        <v>0</v>
      </c>
      <c r="AB9" s="766">
        <v>39365</v>
      </c>
      <c r="AC9" s="742">
        <f t="shared" si="11"/>
        <v>12</v>
      </c>
      <c r="AD9" s="745">
        <v>205818</v>
      </c>
      <c r="AE9" s="179">
        <f t="shared" si="15"/>
        <v>45</v>
      </c>
      <c r="AF9" s="777">
        <f>'Lpg (2)'!B13*2000/85</f>
        <v>2000</v>
      </c>
      <c r="AG9" s="267">
        <f>'Lpg (2)'!C13*1000/85</f>
        <v>0</v>
      </c>
      <c r="AH9" s="790">
        <f>'Lpg (2)'!D13*1000/85</f>
        <v>0</v>
      </c>
      <c r="AI9" s="780">
        <f t="shared" si="12"/>
        <v>4000000</v>
      </c>
      <c r="AJ9" s="437">
        <f t="shared" si="4"/>
        <v>0</v>
      </c>
      <c r="AK9" s="133"/>
    </row>
    <row r="10" spans="1:37" ht="18.75">
      <c r="A10" s="811">
        <f>Gen!B15</f>
        <v>44109</v>
      </c>
      <c r="B10" s="434">
        <f>'Summery Report'!E9</f>
        <v>2</v>
      </c>
      <c r="C10" s="816">
        <f>Gen!C15</f>
        <v>2.3E-2</v>
      </c>
      <c r="D10" s="778">
        <f>'Summery Report'!E9</f>
        <v>2</v>
      </c>
      <c r="E10" s="778">
        <f t="shared" si="13"/>
        <v>1.3262195121951219</v>
      </c>
      <c r="F10" s="447">
        <f t="shared" si="14"/>
        <v>621.3205792682927</v>
      </c>
      <c r="G10" s="447">
        <f t="shared" si="0"/>
        <v>621.3205792682927</v>
      </c>
      <c r="H10" s="778">
        <f>Gen!D15</f>
        <v>34147.86</v>
      </c>
      <c r="I10" s="778">
        <f>Gen!F15</f>
        <v>0</v>
      </c>
      <c r="J10" s="817">
        <f>Gen!T15</f>
        <v>936.98</v>
      </c>
      <c r="K10" s="822">
        <f>Gen!AK15</f>
        <v>0</v>
      </c>
      <c r="L10" s="813">
        <f t="shared" si="1"/>
        <v>936.98</v>
      </c>
      <c r="M10" s="458">
        <f>'Water-Meter'!K50</f>
        <v>580.82616800012897</v>
      </c>
      <c r="N10" s="773">
        <f>'Water-Meter'!E10</f>
        <v>45</v>
      </c>
      <c r="O10" s="761"/>
      <c r="P10" s="771">
        <v>19032</v>
      </c>
      <c r="Q10" s="783">
        <f t="shared" si="2"/>
        <v>0</v>
      </c>
      <c r="R10" s="435">
        <f t="shared" si="5"/>
        <v>0</v>
      </c>
      <c r="S10" s="755">
        <v>2.2000000000000002</v>
      </c>
      <c r="T10" s="756">
        <v>17026</v>
      </c>
      <c r="U10" s="783">
        <f t="shared" si="6"/>
        <v>7</v>
      </c>
      <c r="V10" s="436">
        <f t="shared" ref="V10:V16" si="16">SUM(U10*S10)</f>
        <v>15.400000000000002</v>
      </c>
      <c r="W10" s="755">
        <v>2.2999999999999998</v>
      </c>
      <c r="X10" s="762">
        <v>25177</v>
      </c>
      <c r="Y10" s="783">
        <f t="shared" si="8"/>
        <v>0</v>
      </c>
      <c r="Z10" s="759">
        <f t="shared" si="9"/>
        <v>0</v>
      </c>
      <c r="AA10" s="769">
        <f t="shared" si="10"/>
        <v>0</v>
      </c>
      <c r="AB10" s="766">
        <v>39423</v>
      </c>
      <c r="AC10" s="742">
        <f t="shared" si="11"/>
        <v>58</v>
      </c>
      <c r="AD10" s="745">
        <v>205853</v>
      </c>
      <c r="AE10" s="179">
        <f t="shared" si="15"/>
        <v>35</v>
      </c>
      <c r="AF10" s="777">
        <f>'Lpg (2)'!B14*2000/85</f>
        <v>1976.4705882352941</v>
      </c>
      <c r="AG10" s="267">
        <f>'Lpg (2)'!C14*1000/85</f>
        <v>1000</v>
      </c>
      <c r="AH10" s="790">
        <f>'Lpg (2)'!D14*1000/85</f>
        <v>1000</v>
      </c>
      <c r="AI10" s="780">
        <f t="shared" si="12"/>
        <v>6000000</v>
      </c>
      <c r="AJ10" s="437">
        <f t="shared" si="4"/>
        <v>-2000000</v>
      </c>
      <c r="AK10" s="133"/>
    </row>
    <row r="11" spans="1:37" ht="18.75">
      <c r="A11" s="811">
        <f>Gen!B16</f>
        <v>44110</v>
      </c>
      <c r="B11" s="434">
        <f>'Summery Report'!E10</f>
        <v>2</v>
      </c>
      <c r="C11" s="816">
        <f>Gen!C16</f>
        <v>2.3E-2</v>
      </c>
      <c r="D11" s="778">
        <f>'Summery Report'!E10</f>
        <v>2</v>
      </c>
      <c r="E11" s="778">
        <f t="shared" si="13"/>
        <v>1.3262195121951219</v>
      </c>
      <c r="F11" s="447">
        <f t="shared" si="14"/>
        <v>651.56501524390239</v>
      </c>
      <c r="G11" s="447">
        <f t="shared" si="0"/>
        <v>651.56501524390239</v>
      </c>
      <c r="H11" s="778">
        <f>Gen!D16</f>
        <v>33210.879999999997</v>
      </c>
      <c r="I11" s="778">
        <f>Gen!F16</f>
        <v>0</v>
      </c>
      <c r="J11" s="817">
        <f>Gen!T16</f>
        <v>982.58999999999992</v>
      </c>
      <c r="K11" s="822">
        <f>Gen!AK16</f>
        <v>0</v>
      </c>
      <c r="L11" s="813">
        <f t="shared" si="1"/>
        <v>982.58999999999992</v>
      </c>
      <c r="M11" s="458">
        <f>'Water-Meter'!K51</f>
        <v>573.80249949368635</v>
      </c>
      <c r="N11" s="773">
        <f>'Water-Meter'!E11</f>
        <v>57</v>
      </c>
      <c r="O11" s="761"/>
      <c r="P11" s="771">
        <v>19032</v>
      </c>
      <c r="Q11" s="783">
        <f t="shared" si="2"/>
        <v>0</v>
      </c>
      <c r="R11" s="435">
        <f t="shared" si="5"/>
        <v>0</v>
      </c>
      <c r="S11" s="755"/>
      <c r="T11" s="756">
        <v>17039</v>
      </c>
      <c r="U11" s="783">
        <f t="shared" si="6"/>
        <v>13</v>
      </c>
      <c r="V11" s="436">
        <f t="shared" si="16"/>
        <v>0</v>
      </c>
      <c r="W11" s="755">
        <v>2.2999999999999998</v>
      </c>
      <c r="X11" s="762">
        <v>25182</v>
      </c>
      <c r="Y11" s="783">
        <f t="shared" si="8"/>
        <v>5</v>
      </c>
      <c r="Z11" s="759">
        <f t="shared" si="9"/>
        <v>11.5</v>
      </c>
      <c r="AA11" s="769">
        <f t="shared" si="10"/>
        <v>289869</v>
      </c>
      <c r="AB11" s="766">
        <v>39487</v>
      </c>
      <c r="AC11" s="742">
        <f t="shared" si="11"/>
        <v>64</v>
      </c>
      <c r="AD11" s="745">
        <v>205891</v>
      </c>
      <c r="AE11" s="179">
        <f t="shared" si="15"/>
        <v>38</v>
      </c>
      <c r="AF11" s="777">
        <f>'Lpg (2)'!B15*2000/85</f>
        <v>1929.4117647058824</v>
      </c>
      <c r="AG11" s="267">
        <f>'Lpg (2)'!C15*1000/85</f>
        <v>1000</v>
      </c>
      <c r="AH11" s="790">
        <f>'Lpg (2)'!D15*1000/85</f>
        <v>1000</v>
      </c>
      <c r="AI11" s="780">
        <f t="shared" si="12"/>
        <v>5952941.1764705889</v>
      </c>
      <c r="AJ11" s="437">
        <f t="shared" si="4"/>
        <v>47058.823529411107</v>
      </c>
      <c r="AK11" s="133"/>
    </row>
    <row r="12" spans="1:37" ht="18.75">
      <c r="A12" s="811">
        <f>Gen!B17</f>
        <v>44111</v>
      </c>
      <c r="B12" s="434">
        <f>'Summery Report'!E11</f>
        <v>4</v>
      </c>
      <c r="C12" s="816">
        <f>Gen!C17</f>
        <v>3.9E-2</v>
      </c>
      <c r="D12" s="778">
        <f>'Summery Report'!E11</f>
        <v>4</v>
      </c>
      <c r="E12" s="778">
        <f t="shared" si="13"/>
        <v>1.3262195121951219</v>
      </c>
      <c r="F12" s="447">
        <f t="shared" si="14"/>
        <v>315.16612042682925</v>
      </c>
      <c r="G12" s="447">
        <f t="shared" si="0"/>
        <v>315.16612042682925</v>
      </c>
      <c r="H12" s="778">
        <f>Gen!D17</f>
        <v>32228.289999999997</v>
      </c>
      <c r="I12" s="778">
        <f>Gen!F17</f>
        <v>0</v>
      </c>
      <c r="J12" s="817">
        <f>Gen!T17</f>
        <v>950.56999999999994</v>
      </c>
      <c r="K12" s="822">
        <f>Gen!AK17</f>
        <v>0</v>
      </c>
      <c r="L12" s="813">
        <f t="shared" si="1"/>
        <v>950.56999999999994</v>
      </c>
      <c r="M12" s="458">
        <f>'Water-Meter'!K52</f>
        <v>601.43386395738401</v>
      </c>
      <c r="N12" s="773">
        <f>'Water-Meter'!E12</f>
        <v>59</v>
      </c>
      <c r="O12" s="761"/>
      <c r="P12" s="771">
        <v>19032</v>
      </c>
      <c r="Q12" s="783">
        <f t="shared" si="2"/>
        <v>0</v>
      </c>
      <c r="R12" s="435">
        <f t="shared" si="5"/>
        <v>0</v>
      </c>
      <c r="S12" s="755"/>
      <c r="T12" s="756">
        <v>17039</v>
      </c>
      <c r="U12" s="783">
        <f t="shared" si="6"/>
        <v>0</v>
      </c>
      <c r="V12" s="436">
        <f t="shared" si="16"/>
        <v>0</v>
      </c>
      <c r="W12" s="755">
        <v>2.2999999999999998</v>
      </c>
      <c r="X12" s="762">
        <v>25206</v>
      </c>
      <c r="Y12" s="783">
        <f t="shared" si="8"/>
        <v>24</v>
      </c>
      <c r="Z12" s="759">
        <f t="shared" si="9"/>
        <v>55.199999999999996</v>
      </c>
      <c r="AA12" s="769">
        <f t="shared" si="10"/>
        <v>1392254.4</v>
      </c>
      <c r="AB12" s="766">
        <v>39530</v>
      </c>
      <c r="AC12" s="742">
        <f t="shared" si="11"/>
        <v>43</v>
      </c>
      <c r="AD12" s="745">
        <v>205929</v>
      </c>
      <c r="AE12" s="179">
        <f t="shared" si="15"/>
        <v>38</v>
      </c>
      <c r="AF12" s="777">
        <f>'Lpg (2)'!B16*2000/85</f>
        <v>1905.8823529411766</v>
      </c>
      <c r="AG12" s="267">
        <f>'Lpg (2)'!C16*1000/85</f>
        <v>1000</v>
      </c>
      <c r="AH12" s="790">
        <f>'Lpg (2)'!D16*1000/85</f>
        <v>1000</v>
      </c>
      <c r="AI12" s="780">
        <f t="shared" si="12"/>
        <v>5858823.5294117648</v>
      </c>
      <c r="AJ12" s="437">
        <f t="shared" si="4"/>
        <v>94117.647058824077</v>
      </c>
      <c r="AK12" s="133"/>
    </row>
    <row r="13" spans="1:37" ht="18.75">
      <c r="A13" s="811">
        <f>Gen!B18</f>
        <v>44112</v>
      </c>
      <c r="B13" s="434">
        <f>'Summery Report'!E12</f>
        <v>5</v>
      </c>
      <c r="C13" s="816">
        <f>Gen!C18</f>
        <v>5.1900000000000002E-2</v>
      </c>
      <c r="D13" s="778">
        <f>'Summery Report'!E12</f>
        <v>5</v>
      </c>
      <c r="E13" s="778">
        <f t="shared" si="13"/>
        <v>1.3262195121951219</v>
      </c>
      <c r="F13" s="447">
        <f t="shared" si="14"/>
        <v>253.79067073170731</v>
      </c>
      <c r="G13" s="447">
        <f t="shared" si="0"/>
        <v>277.92786585365855</v>
      </c>
      <c r="H13" s="778">
        <f>Gen!D18</f>
        <v>31277.719999999998</v>
      </c>
      <c r="I13" s="778">
        <f>Gen!F18</f>
        <v>0</v>
      </c>
      <c r="J13" s="817">
        <f>Gen!T18</f>
        <v>956.81999999999994</v>
      </c>
      <c r="K13" s="822">
        <f>Gen!AK18</f>
        <v>91</v>
      </c>
      <c r="L13" s="813">
        <f t="shared" si="1"/>
        <v>1047.82</v>
      </c>
      <c r="M13" s="458">
        <f>'Water-Meter'!K53</f>
        <v>548.05867595430152</v>
      </c>
      <c r="N13" s="773">
        <f>'Water-Meter'!E13</f>
        <v>46</v>
      </c>
      <c r="O13" s="761"/>
      <c r="P13" s="771">
        <v>19032</v>
      </c>
      <c r="Q13" s="783">
        <f t="shared" si="2"/>
        <v>0</v>
      </c>
      <c r="R13" s="435">
        <f t="shared" si="5"/>
        <v>0</v>
      </c>
      <c r="S13" s="755"/>
      <c r="T13" s="756">
        <v>17039</v>
      </c>
      <c r="U13" s="783">
        <f t="shared" si="6"/>
        <v>0</v>
      </c>
      <c r="V13" s="436">
        <f t="shared" si="16"/>
        <v>0</v>
      </c>
      <c r="W13" s="755">
        <v>2.2999999999999998</v>
      </c>
      <c r="X13" s="762">
        <v>25206</v>
      </c>
      <c r="Y13" s="783">
        <f t="shared" si="8"/>
        <v>0</v>
      </c>
      <c r="Z13" s="759">
        <f t="shared" si="9"/>
        <v>0</v>
      </c>
      <c r="AA13" s="769">
        <f t="shared" si="10"/>
        <v>0</v>
      </c>
      <c r="AB13" s="766">
        <v>39584</v>
      </c>
      <c r="AC13" s="742">
        <f t="shared" si="11"/>
        <v>54</v>
      </c>
      <c r="AD13" s="745">
        <v>205963</v>
      </c>
      <c r="AE13" s="179">
        <f t="shared" si="15"/>
        <v>34</v>
      </c>
      <c r="AF13" s="777">
        <f>'Lpg (2)'!B17*2000/85</f>
        <v>1882.3529411764705</v>
      </c>
      <c r="AG13" s="267">
        <f>'Lpg (2)'!C17*1000/85</f>
        <v>1000</v>
      </c>
      <c r="AH13" s="790">
        <f>'Lpg (2)'!D17*1000/85</f>
        <v>1000</v>
      </c>
      <c r="AI13" s="780">
        <f t="shared" si="12"/>
        <v>5811764.7058823537</v>
      </c>
      <c r="AJ13" s="437">
        <f t="shared" si="4"/>
        <v>47058.823529411107</v>
      </c>
      <c r="AK13" s="133"/>
    </row>
    <row r="14" spans="1:37" ht="18.75">
      <c r="A14" s="811">
        <f>Gen!B19</f>
        <v>44113</v>
      </c>
      <c r="B14" s="434">
        <f>'Summery Report'!E13</f>
        <v>5</v>
      </c>
      <c r="C14" s="816">
        <f>Gen!C19</f>
        <v>5.1900000000000002E-2</v>
      </c>
      <c r="D14" s="778">
        <f>'Summery Report'!E13</f>
        <v>5</v>
      </c>
      <c r="E14" s="778">
        <f t="shared" si="13"/>
        <v>1.3262195121951219</v>
      </c>
      <c r="F14" s="447">
        <f t="shared" si="14"/>
        <v>262.68429878048784</v>
      </c>
      <c r="G14" s="447">
        <f t="shared" si="0"/>
        <v>283.10012195121948</v>
      </c>
      <c r="H14" s="778">
        <f>Gen!D19</f>
        <v>30229.899999999998</v>
      </c>
      <c r="I14" s="778">
        <f>Gen!F19</f>
        <v>0</v>
      </c>
      <c r="J14" s="817">
        <f>Gen!T19</f>
        <v>990.35</v>
      </c>
      <c r="K14" s="822">
        <f>Gen!AK19</f>
        <v>76.97</v>
      </c>
      <c r="L14" s="813">
        <f t="shared" ref="L14:L37" si="17">SUM(J14:K14)</f>
        <v>1067.32</v>
      </c>
      <c r="M14" s="458">
        <f>'Water-Meter'!K54</f>
        <v>466.4801122431906</v>
      </c>
      <c r="N14" s="773">
        <f>'Water-Meter'!E14</f>
        <v>56</v>
      </c>
      <c r="O14" s="761"/>
      <c r="P14" s="771">
        <v>19032</v>
      </c>
      <c r="Q14" s="783">
        <f t="shared" si="2"/>
        <v>0</v>
      </c>
      <c r="R14" s="435">
        <f t="shared" si="5"/>
        <v>0</v>
      </c>
      <c r="S14" s="755">
        <v>2.2000000000000002</v>
      </c>
      <c r="T14" s="756">
        <v>17053</v>
      </c>
      <c r="U14" s="783">
        <f t="shared" si="6"/>
        <v>14</v>
      </c>
      <c r="V14" s="436">
        <f t="shared" si="16"/>
        <v>30.800000000000004</v>
      </c>
      <c r="W14" s="755"/>
      <c r="X14" s="762">
        <v>25222</v>
      </c>
      <c r="Y14" s="783">
        <f t="shared" si="8"/>
        <v>16</v>
      </c>
      <c r="Z14" s="759">
        <f t="shared" si="9"/>
        <v>0</v>
      </c>
      <c r="AA14" s="769">
        <f t="shared" si="10"/>
        <v>0</v>
      </c>
      <c r="AB14" s="766">
        <v>39682</v>
      </c>
      <c r="AC14" s="742">
        <f t="shared" si="11"/>
        <v>98</v>
      </c>
      <c r="AD14" s="745">
        <v>206004</v>
      </c>
      <c r="AE14" s="179">
        <f t="shared" si="15"/>
        <v>41</v>
      </c>
      <c r="AF14" s="777">
        <f>'Lpg (2)'!B18*2000/85</f>
        <v>1858.8235294117646</v>
      </c>
      <c r="AG14" s="267">
        <f>'Lpg (2)'!C18*1000/85</f>
        <v>1000</v>
      </c>
      <c r="AH14" s="790">
        <f>'Lpg (2)'!D18*1000/85</f>
        <v>1000</v>
      </c>
      <c r="AI14" s="780">
        <f t="shared" si="12"/>
        <v>5764705.8823529407</v>
      </c>
      <c r="AJ14" s="437">
        <f t="shared" si="4"/>
        <v>47058.82352941297</v>
      </c>
      <c r="AK14" s="133"/>
    </row>
    <row r="15" spans="1:37" ht="18.75">
      <c r="A15" s="811">
        <f>Gen!B20</f>
        <v>44114</v>
      </c>
      <c r="B15" s="434">
        <f>'Summery Report'!E14</f>
        <v>5</v>
      </c>
      <c r="C15" s="816">
        <f>Gen!C20</f>
        <v>5.1900000000000002E-2</v>
      </c>
      <c r="D15" s="778">
        <f>'Summery Report'!E14</f>
        <v>5</v>
      </c>
      <c r="E15" s="778">
        <f t="shared" si="13"/>
        <v>1.3262195121951219</v>
      </c>
      <c r="F15" s="447">
        <f t="shared" si="14"/>
        <v>263.9309451219512</v>
      </c>
      <c r="G15" s="447">
        <f t="shared" si="0"/>
        <v>263.9309451219512</v>
      </c>
      <c r="H15" s="778">
        <f>Gen!D20</f>
        <v>44162.58</v>
      </c>
      <c r="I15" s="778">
        <f>Gen!F20</f>
        <v>15000</v>
      </c>
      <c r="J15" s="817">
        <f>Gen!T20</f>
        <v>995.05000000000007</v>
      </c>
      <c r="K15" s="822">
        <f>Gen!AK20</f>
        <v>0</v>
      </c>
      <c r="L15" s="813">
        <f t="shared" si="17"/>
        <v>995.05000000000007</v>
      </c>
      <c r="M15" s="458">
        <f>'Water-Meter'!K55</f>
        <v>502.5927098811103</v>
      </c>
      <c r="N15" s="773">
        <f>'Water-Meter'!E15</f>
        <v>98</v>
      </c>
      <c r="O15" s="761"/>
      <c r="P15" s="771">
        <v>19032</v>
      </c>
      <c r="Q15" s="783">
        <f t="shared" si="2"/>
        <v>0</v>
      </c>
      <c r="R15" s="435">
        <f t="shared" si="5"/>
        <v>0</v>
      </c>
      <c r="S15" s="755"/>
      <c r="T15" s="756">
        <v>17053</v>
      </c>
      <c r="U15" s="783">
        <f t="shared" si="6"/>
        <v>0</v>
      </c>
      <c r="V15" s="436">
        <f t="shared" si="16"/>
        <v>0</v>
      </c>
      <c r="W15" s="755">
        <v>2.2999999999999998</v>
      </c>
      <c r="X15" s="762">
        <v>25235</v>
      </c>
      <c r="Y15" s="783">
        <f t="shared" si="8"/>
        <v>13</v>
      </c>
      <c r="Z15" s="759">
        <f t="shared" si="9"/>
        <v>29.9</v>
      </c>
      <c r="AA15" s="769">
        <f t="shared" si="10"/>
        <v>755094.6</v>
      </c>
      <c r="AB15" s="766">
        <v>39731</v>
      </c>
      <c r="AC15" s="742">
        <f t="shared" si="11"/>
        <v>49</v>
      </c>
      <c r="AD15" s="745">
        <v>206038</v>
      </c>
      <c r="AE15" s="179">
        <f>AD15-AD14</f>
        <v>34</v>
      </c>
      <c r="AF15" s="777">
        <f>'Lpg (2)'!B19*2000/85</f>
        <v>1811.7647058823529</v>
      </c>
      <c r="AG15" s="267">
        <f>'Lpg (2)'!C19*1000/85</f>
        <v>1000</v>
      </c>
      <c r="AH15" s="790">
        <f>'Lpg (2)'!D19*1000/85</f>
        <v>1000</v>
      </c>
      <c r="AI15" s="780">
        <f t="shared" ref="AI15:AI35" si="18">SUM(AF15*2000)+(AG15*1000)+(AH15*1000)</f>
        <v>5623529.4117647056</v>
      </c>
      <c r="AJ15" s="437">
        <f t="shared" si="4"/>
        <v>141176.47058823518</v>
      </c>
      <c r="AK15" s="133"/>
    </row>
    <row r="16" spans="1:37" ht="18.75">
      <c r="A16" s="811">
        <f>Gen!B21</f>
        <v>44115</v>
      </c>
      <c r="B16" s="434">
        <f>'Summery Report'!E15</f>
        <v>2</v>
      </c>
      <c r="C16" s="816">
        <f>Gen!C21</f>
        <v>1.2999999999999999E-2</v>
      </c>
      <c r="D16" s="778">
        <f>'Summery Report'!E15</f>
        <v>2</v>
      </c>
      <c r="E16" s="778">
        <f t="shared" si="13"/>
        <v>1.3262195121951219</v>
      </c>
      <c r="F16" s="447">
        <f t="shared" si="14"/>
        <v>650.49740853658534</v>
      </c>
      <c r="G16" s="447">
        <f t="shared" si="0"/>
        <v>694.58757621951224</v>
      </c>
      <c r="H16" s="778">
        <f>Gen!D21</f>
        <v>43167.53</v>
      </c>
      <c r="I16" s="778">
        <f>Gen!F21</f>
        <v>0</v>
      </c>
      <c r="J16" s="817">
        <f>Gen!T21</f>
        <v>980.98</v>
      </c>
      <c r="K16" s="822">
        <f>Gen!AK21</f>
        <v>66.490000000000009</v>
      </c>
      <c r="L16" s="813">
        <f t="shared" si="17"/>
        <v>1047.47</v>
      </c>
      <c r="M16" s="458">
        <f>'Water-Meter'!K56</f>
        <v>544.69932846975826</v>
      </c>
      <c r="N16" s="773">
        <f>'Water-Meter'!E16</f>
        <v>73</v>
      </c>
      <c r="O16" s="761"/>
      <c r="P16" s="771">
        <v>19032</v>
      </c>
      <c r="Q16" s="783">
        <f t="shared" si="2"/>
        <v>0</v>
      </c>
      <c r="R16" s="435">
        <f t="shared" si="5"/>
        <v>0</v>
      </c>
      <c r="S16" s="755">
        <v>2.2000000000000002</v>
      </c>
      <c r="T16" s="756">
        <v>17058</v>
      </c>
      <c r="U16" s="783">
        <f t="shared" si="6"/>
        <v>5</v>
      </c>
      <c r="V16" s="436">
        <f t="shared" si="16"/>
        <v>11</v>
      </c>
      <c r="W16" s="755">
        <v>2.2999999999999998</v>
      </c>
      <c r="X16" s="762">
        <v>25254</v>
      </c>
      <c r="Y16" s="783">
        <f t="shared" si="8"/>
        <v>19</v>
      </c>
      <c r="Z16" s="759">
        <f t="shared" si="9"/>
        <v>43.699999999999996</v>
      </c>
      <c r="AA16" s="769">
        <f t="shared" si="10"/>
        <v>1103599.7999999998</v>
      </c>
      <c r="AB16" s="766">
        <v>39847</v>
      </c>
      <c r="AC16" s="742">
        <f t="shared" si="11"/>
        <v>116</v>
      </c>
      <c r="AD16" s="745">
        <v>206072</v>
      </c>
      <c r="AE16" s="179">
        <f t="shared" si="15"/>
        <v>34</v>
      </c>
      <c r="AF16" s="777">
        <f>'Lpg (2)'!B20*2000/85</f>
        <v>1764.7058823529412</v>
      </c>
      <c r="AG16" s="267">
        <f>'Lpg (2)'!C20*1000/85</f>
        <v>1000</v>
      </c>
      <c r="AH16" s="790">
        <f>'Lpg (2)'!D20*1000/85</f>
        <v>1000</v>
      </c>
      <c r="AI16" s="780">
        <f t="shared" si="18"/>
        <v>5529411.7647058824</v>
      </c>
      <c r="AJ16" s="437">
        <f t="shared" si="4"/>
        <v>94117.647058823146</v>
      </c>
      <c r="AK16" s="133"/>
    </row>
    <row r="17" spans="1:37" ht="18.75">
      <c r="A17" s="811">
        <f>Gen!B22</f>
        <v>44116</v>
      </c>
      <c r="B17" s="434">
        <f>'Summery Report'!E16</f>
        <v>4</v>
      </c>
      <c r="C17" s="816">
        <f>Gen!C22</f>
        <v>3.9E-2</v>
      </c>
      <c r="D17" s="778">
        <f>'Summery Report'!E16</f>
        <v>4</v>
      </c>
      <c r="E17" s="778">
        <f t="shared" si="13"/>
        <v>1.3262195121951219</v>
      </c>
      <c r="F17" s="447">
        <f t="shared" si="14"/>
        <v>310.08669969512192</v>
      </c>
      <c r="G17" s="447">
        <f t="shared" si="0"/>
        <v>333.62709603658533</v>
      </c>
      <c r="H17" s="778">
        <f>Gen!D22</f>
        <v>42120.06</v>
      </c>
      <c r="I17" s="778">
        <f>Gen!F22</f>
        <v>0</v>
      </c>
      <c r="J17" s="817">
        <f>Gen!T22</f>
        <v>935.25</v>
      </c>
      <c r="K17" s="822">
        <f>Gen!AK22</f>
        <v>71</v>
      </c>
      <c r="L17" s="813">
        <f t="shared" si="17"/>
        <v>1006.25</v>
      </c>
      <c r="M17" s="458">
        <f>'Water-Meter'!K57</f>
        <v>528.49955112729583</v>
      </c>
      <c r="N17" s="773">
        <f>'Water-Meter'!E17</f>
        <v>42</v>
      </c>
      <c r="O17" s="761"/>
      <c r="P17" s="771">
        <v>19032</v>
      </c>
      <c r="Q17" s="783">
        <f>SUM(P18-P16)</f>
        <v>0</v>
      </c>
      <c r="R17" s="435">
        <f t="shared" si="5"/>
        <v>0</v>
      </c>
      <c r="S17" s="755"/>
      <c r="T17" s="756">
        <v>17058</v>
      </c>
      <c r="U17" s="783">
        <f t="shared" si="6"/>
        <v>0</v>
      </c>
      <c r="V17" s="436">
        <f t="shared" ref="V17:V36" si="19">SUM(U17*S17)</f>
        <v>0</v>
      </c>
      <c r="W17" s="755">
        <v>2.2999999999999998</v>
      </c>
      <c r="X17" s="762">
        <v>25254</v>
      </c>
      <c r="Y17" s="783">
        <f t="shared" si="8"/>
        <v>0</v>
      </c>
      <c r="Z17" s="759">
        <f t="shared" si="9"/>
        <v>0</v>
      </c>
      <c r="AA17" s="769">
        <f t="shared" si="10"/>
        <v>0</v>
      </c>
      <c r="AB17" s="766">
        <v>39847</v>
      </c>
      <c r="AC17" s="742">
        <f t="shared" si="11"/>
        <v>0</v>
      </c>
      <c r="AD17" s="745">
        <v>206106</v>
      </c>
      <c r="AE17" s="179">
        <f t="shared" si="15"/>
        <v>34</v>
      </c>
      <c r="AF17" s="777">
        <f>'Lpg (2)'!B21*2000/85</f>
        <v>1717.6470588235295</v>
      </c>
      <c r="AG17" s="267">
        <f>'Lpg (2)'!C21*1000/85</f>
        <v>1000</v>
      </c>
      <c r="AH17" s="790">
        <f>'Lpg (2)'!D21*1000/85</f>
        <v>1000</v>
      </c>
      <c r="AI17" s="780">
        <f t="shared" si="18"/>
        <v>5435294.1176470593</v>
      </c>
      <c r="AJ17" s="437">
        <f t="shared" si="4"/>
        <v>94117.647058823146</v>
      </c>
      <c r="AK17" s="133"/>
    </row>
    <row r="18" spans="1:37" ht="18.75">
      <c r="A18" s="811">
        <f>Gen!B23</f>
        <v>44117</v>
      </c>
      <c r="B18" s="434">
        <f>'Summery Report'!E17</f>
        <v>5</v>
      </c>
      <c r="C18" s="816">
        <f>Gen!C23</f>
        <v>5.1900000000000002E-2</v>
      </c>
      <c r="D18" s="778">
        <f>'Summery Report'!E17</f>
        <v>5</v>
      </c>
      <c r="E18" s="778">
        <f t="shared" si="13"/>
        <v>1.3262195121951219</v>
      </c>
      <c r="F18" s="447">
        <f t="shared" si="14"/>
        <v>264.17231707317075</v>
      </c>
      <c r="G18" s="447">
        <f t="shared" si="0"/>
        <v>283.02850609756098</v>
      </c>
      <c r="H18" s="778">
        <f>Gen!D23</f>
        <v>41113.81</v>
      </c>
      <c r="I18" s="778">
        <f>Gen!F23</f>
        <v>0</v>
      </c>
      <c r="J18" s="817">
        <f>Gen!T23</f>
        <v>995.96</v>
      </c>
      <c r="K18" s="822">
        <f>Gen!AK23</f>
        <v>71.09</v>
      </c>
      <c r="L18" s="813">
        <f t="shared" si="17"/>
        <v>1067.05</v>
      </c>
      <c r="M18" s="458">
        <f>'Water-Meter'!K58</f>
        <v>517.78614801070182</v>
      </c>
      <c r="N18" s="773">
        <f>'Water-Meter'!E18</f>
        <v>53</v>
      </c>
      <c r="O18" s="761"/>
      <c r="P18" s="771">
        <v>19032</v>
      </c>
      <c r="Q18" s="783"/>
      <c r="R18" s="435">
        <f t="shared" si="5"/>
        <v>0</v>
      </c>
      <c r="S18" s="755"/>
      <c r="T18" s="756">
        <v>17058</v>
      </c>
      <c r="U18" s="783">
        <f t="shared" si="6"/>
        <v>0</v>
      </c>
      <c r="V18" s="436">
        <f t="shared" si="19"/>
        <v>0</v>
      </c>
      <c r="W18" s="755">
        <v>2.2999999999999998</v>
      </c>
      <c r="X18" s="762">
        <v>25254</v>
      </c>
      <c r="Y18" s="783">
        <f t="shared" si="8"/>
        <v>0</v>
      </c>
      <c r="Z18" s="759">
        <f t="shared" si="9"/>
        <v>0</v>
      </c>
      <c r="AA18" s="769">
        <f t="shared" si="10"/>
        <v>0</v>
      </c>
      <c r="AB18" s="766">
        <v>39966</v>
      </c>
      <c r="AC18" s="742">
        <f t="shared" si="11"/>
        <v>119</v>
      </c>
      <c r="AD18" s="745">
        <v>206136</v>
      </c>
      <c r="AE18" s="179">
        <f t="shared" si="15"/>
        <v>30</v>
      </c>
      <c r="AF18" s="777">
        <f>'Lpg (2)'!B22*2000/85</f>
        <v>1647.0588235294117</v>
      </c>
      <c r="AG18" s="267">
        <f>'Lpg (2)'!C22*1000/85</f>
        <v>1000</v>
      </c>
      <c r="AH18" s="790">
        <f>'Lpg (2)'!D22*1000/85</f>
        <v>1000</v>
      </c>
      <c r="AI18" s="780">
        <f t="shared" si="18"/>
        <v>5294117.6470588241</v>
      </c>
      <c r="AJ18" s="437">
        <f t="shared" si="4"/>
        <v>141176.47058823518</v>
      </c>
      <c r="AK18" s="133"/>
    </row>
    <row r="19" spans="1:37" ht="18.75">
      <c r="A19" s="811">
        <f>Gen!B24</f>
        <v>44118</v>
      </c>
      <c r="B19" s="434">
        <f>'Summery Report'!E18</f>
        <v>2</v>
      </c>
      <c r="C19" s="816">
        <f>Gen!C24</f>
        <v>1.2999999999999999E-2</v>
      </c>
      <c r="D19" s="778">
        <f>'Summery Report'!E18</f>
        <v>2</v>
      </c>
      <c r="E19" s="778">
        <f t="shared" si="13"/>
        <v>1.3262195121951219</v>
      </c>
      <c r="F19" s="447">
        <f t="shared" si="14"/>
        <v>645.98163109756103</v>
      </c>
      <c r="G19" s="447">
        <f t="shared" si="0"/>
        <v>685.01890243902437</v>
      </c>
      <c r="H19" s="778">
        <f>Gen!D24</f>
        <v>40046.759999999995</v>
      </c>
      <c r="I19" s="778">
        <f>Gen!F24</f>
        <v>0</v>
      </c>
      <c r="J19" s="817">
        <f>Gen!T24</f>
        <v>974.17000000000007</v>
      </c>
      <c r="K19" s="822">
        <f>Gen!AK24</f>
        <v>58.87</v>
      </c>
      <c r="L19" s="813">
        <f t="shared" si="17"/>
        <v>1033.04</v>
      </c>
      <c r="M19" s="458">
        <f>'Water-Meter'!K59</f>
        <v>579.4304360893284</v>
      </c>
      <c r="N19" s="773">
        <f>'Water-Meter'!E19</f>
        <v>43</v>
      </c>
      <c r="O19" s="761"/>
      <c r="P19" s="771">
        <v>19032</v>
      </c>
      <c r="Q19" s="783"/>
      <c r="R19" s="435">
        <f t="shared" si="5"/>
        <v>0</v>
      </c>
      <c r="S19" s="755"/>
      <c r="T19" s="756">
        <v>17058</v>
      </c>
      <c r="U19" s="783">
        <f t="shared" si="6"/>
        <v>0</v>
      </c>
      <c r="V19" s="436">
        <f t="shared" si="19"/>
        <v>0</v>
      </c>
      <c r="W19" s="755">
        <v>2.2999999999999998</v>
      </c>
      <c r="X19" s="762">
        <v>25254</v>
      </c>
      <c r="Y19" s="783">
        <f t="shared" si="8"/>
        <v>0</v>
      </c>
      <c r="Z19" s="759">
        <f t="shared" si="9"/>
        <v>0</v>
      </c>
      <c r="AA19" s="769">
        <f t="shared" si="10"/>
        <v>0</v>
      </c>
      <c r="AB19" s="766">
        <v>39986</v>
      </c>
      <c r="AC19" s="742">
        <f t="shared" si="11"/>
        <v>20</v>
      </c>
      <c r="AD19" s="745">
        <v>206165</v>
      </c>
      <c r="AE19" s="179">
        <f t="shared" si="15"/>
        <v>29</v>
      </c>
      <c r="AF19" s="777">
        <f>'Lpg (2)'!B23*2000/85</f>
        <v>1623.5294117647059</v>
      </c>
      <c r="AG19" s="267">
        <f>'Lpg (2)'!C23*1000/85</f>
        <v>1000</v>
      </c>
      <c r="AH19" s="790">
        <f>'Lpg (2)'!D23*1000/85</f>
        <v>1000</v>
      </c>
      <c r="AI19" s="780">
        <f t="shared" si="18"/>
        <v>5247058.8235294111</v>
      </c>
      <c r="AJ19" s="437">
        <f t="shared" si="4"/>
        <v>47058.82352941297</v>
      </c>
      <c r="AK19" s="133"/>
    </row>
    <row r="20" spans="1:37" ht="18.75">
      <c r="A20" s="811">
        <f>Gen!B25</f>
        <v>44119</v>
      </c>
      <c r="B20" s="434">
        <f>'Summery Report'!E19</f>
        <v>5</v>
      </c>
      <c r="C20" s="816">
        <f>Gen!C25</f>
        <v>5.1900000000000002E-2</v>
      </c>
      <c r="D20" s="778">
        <f>'Summery Report'!E19</f>
        <v>5</v>
      </c>
      <c r="E20" s="778">
        <f t="shared" si="13"/>
        <v>1.3262195121951219</v>
      </c>
      <c r="F20" s="447">
        <f t="shared" si="14"/>
        <v>276.61756097560976</v>
      </c>
      <c r="G20" s="447">
        <f t="shared" si="0"/>
        <v>276.61756097560976</v>
      </c>
      <c r="H20" s="778">
        <f>Gen!D25</f>
        <v>39013.719999999994</v>
      </c>
      <c r="I20" s="778">
        <f>Gen!F25</f>
        <v>0</v>
      </c>
      <c r="J20" s="817">
        <f>Gen!T25</f>
        <v>1042.8800000000001</v>
      </c>
      <c r="K20" s="822">
        <f>Gen!AK25</f>
        <v>0</v>
      </c>
      <c r="L20" s="813">
        <f t="shared" si="17"/>
        <v>1042.8800000000001</v>
      </c>
      <c r="M20" s="458">
        <f>'Water-Meter'!K60</f>
        <v>611.01162357951932</v>
      </c>
      <c r="N20" s="773">
        <f>'Water-Meter'!E20</f>
        <v>48</v>
      </c>
      <c r="O20" s="761"/>
      <c r="P20" s="771">
        <v>19032</v>
      </c>
      <c r="Q20" s="783">
        <f t="shared" si="2"/>
        <v>0</v>
      </c>
      <c r="R20" s="435">
        <f t="shared" si="5"/>
        <v>0</v>
      </c>
      <c r="S20" s="755"/>
      <c r="T20" s="756">
        <v>17058</v>
      </c>
      <c r="U20" s="783">
        <f t="shared" si="6"/>
        <v>0</v>
      </c>
      <c r="V20" s="436">
        <f t="shared" si="19"/>
        <v>0</v>
      </c>
      <c r="W20" s="755">
        <v>2.2999999999999998</v>
      </c>
      <c r="X20" s="762">
        <v>25254</v>
      </c>
      <c r="Y20" s="783">
        <f t="shared" si="8"/>
        <v>0</v>
      </c>
      <c r="Z20" s="759">
        <f t="shared" si="9"/>
        <v>0</v>
      </c>
      <c r="AA20" s="769">
        <f t="shared" si="10"/>
        <v>0</v>
      </c>
      <c r="AB20" s="766">
        <v>40031</v>
      </c>
      <c r="AC20" s="742">
        <f t="shared" si="11"/>
        <v>45</v>
      </c>
      <c r="AD20" s="745">
        <v>206199</v>
      </c>
      <c r="AE20" s="179">
        <f t="shared" si="15"/>
        <v>34</v>
      </c>
      <c r="AF20" s="777">
        <f>'Lpg (2)'!B24*2000/85</f>
        <v>1600</v>
      </c>
      <c r="AG20" s="267">
        <f>'Lpg (2)'!C24*1000/85</f>
        <v>1000</v>
      </c>
      <c r="AH20" s="790">
        <f>'Lpg (2)'!D24*1000/85</f>
        <v>1000</v>
      </c>
      <c r="AI20" s="780">
        <f t="shared" si="18"/>
        <v>5200000</v>
      </c>
      <c r="AJ20" s="437">
        <f t="shared" si="4"/>
        <v>47058.823529411107</v>
      </c>
      <c r="AK20" s="133"/>
    </row>
    <row r="21" spans="1:37" ht="18.75">
      <c r="A21" s="811">
        <f>Gen!B26</f>
        <v>44120</v>
      </c>
      <c r="B21" s="434">
        <f>'Summery Report'!E20</f>
        <v>10</v>
      </c>
      <c r="C21" s="816">
        <f>Gen!C26</f>
        <v>0.1169</v>
      </c>
      <c r="D21" s="778">
        <f>'Summery Report'!E20</f>
        <v>10</v>
      </c>
      <c r="E21" s="778">
        <f t="shared" si="13"/>
        <v>1.3262195121951219</v>
      </c>
      <c r="F21" s="447">
        <f t="shared" si="14"/>
        <v>156.09205792682926</v>
      </c>
      <c r="G21" s="447">
        <f t="shared" si="0"/>
        <v>169.73089939024391</v>
      </c>
      <c r="H21" s="778">
        <f>Gen!D26</f>
        <v>37970.839999999997</v>
      </c>
      <c r="I21" s="778">
        <f>Gen!F26</f>
        <v>0</v>
      </c>
      <c r="J21" s="817">
        <f>Gen!T26</f>
        <v>1176.97</v>
      </c>
      <c r="K21" s="822">
        <f>Gen!AK26</f>
        <v>102.83999999999999</v>
      </c>
      <c r="L21" s="813">
        <f t="shared" si="17"/>
        <v>1279.81</v>
      </c>
      <c r="M21" s="458">
        <f>'Water-Meter'!K61</f>
        <v>609.10561835758722</v>
      </c>
      <c r="N21" s="773">
        <f>'Water-Meter'!E21</f>
        <v>56</v>
      </c>
      <c r="O21" s="761"/>
      <c r="P21" s="771">
        <v>19032</v>
      </c>
      <c r="Q21" s="783">
        <f t="shared" si="2"/>
        <v>0</v>
      </c>
      <c r="R21" s="435">
        <f t="shared" si="5"/>
        <v>0</v>
      </c>
      <c r="S21" s="755"/>
      <c r="T21" s="756">
        <v>17058</v>
      </c>
      <c r="U21" s="783">
        <f>T22-T20</f>
        <v>59</v>
      </c>
      <c r="V21" s="436">
        <f t="shared" si="19"/>
        <v>0</v>
      </c>
      <c r="W21" s="755">
        <v>2.2999999999999998</v>
      </c>
      <c r="X21" s="762">
        <v>25254</v>
      </c>
      <c r="Y21" s="783">
        <f t="shared" si="8"/>
        <v>0</v>
      </c>
      <c r="Z21" s="759">
        <f t="shared" si="9"/>
        <v>0</v>
      </c>
      <c r="AA21" s="769">
        <f t="shared" si="10"/>
        <v>0</v>
      </c>
      <c r="AB21" s="766">
        <v>40091</v>
      </c>
      <c r="AC21" s="742">
        <f t="shared" si="11"/>
        <v>60</v>
      </c>
      <c r="AD21" s="745">
        <v>206242</v>
      </c>
      <c r="AE21" s="179">
        <f t="shared" si="15"/>
        <v>43</v>
      </c>
      <c r="AF21" s="777">
        <f>'Lpg (2)'!B25*2000/85</f>
        <v>1576.4705882352941</v>
      </c>
      <c r="AG21" s="267">
        <f>'Lpg (2)'!C25*1000/85</f>
        <v>1000</v>
      </c>
      <c r="AH21" s="790">
        <f>'Lpg (2)'!D25*1000/85</f>
        <v>1000</v>
      </c>
      <c r="AI21" s="780">
        <f t="shared" si="18"/>
        <v>5152941.1764705889</v>
      </c>
      <c r="AJ21" s="437">
        <f t="shared" si="4"/>
        <v>47058.823529411107</v>
      </c>
      <c r="AK21" s="133"/>
    </row>
    <row r="22" spans="1:37" ht="18.75">
      <c r="A22" s="811">
        <f>Gen!B27</f>
        <v>44121</v>
      </c>
      <c r="B22" s="434">
        <f>'Summery Report'!E21</f>
        <v>12</v>
      </c>
      <c r="C22" s="816">
        <f>Gen!C27</f>
        <v>0.15790000000000001</v>
      </c>
      <c r="D22" s="778">
        <f>'Summery Report'!E21</f>
        <v>12</v>
      </c>
      <c r="E22" s="778">
        <f t="shared" si="13"/>
        <v>1.3262195121951219</v>
      </c>
      <c r="F22" s="447">
        <f t="shared" si="14"/>
        <v>110.20442073170733</v>
      </c>
      <c r="G22" s="447">
        <f t="shared" si="0"/>
        <v>128.21890243902439</v>
      </c>
      <c r="H22" s="778">
        <f>Gen!D27</f>
        <v>36691.03</v>
      </c>
      <c r="I22" s="778">
        <f>Gen!F27</f>
        <v>0</v>
      </c>
      <c r="J22" s="817">
        <f>Gen!T27</f>
        <v>997.16000000000008</v>
      </c>
      <c r="K22" s="822">
        <f>Gen!AK27</f>
        <v>163</v>
      </c>
      <c r="L22" s="813">
        <f t="shared" si="17"/>
        <v>1160.1600000000001</v>
      </c>
      <c r="M22" s="458">
        <f>'Water-Meter'!K62</f>
        <v>611.72006005166338</v>
      </c>
      <c r="N22" s="773">
        <f>'Water-Meter'!E22</f>
        <v>71</v>
      </c>
      <c r="O22" s="761"/>
      <c r="P22" s="771">
        <v>19032</v>
      </c>
      <c r="Q22" s="783">
        <f t="shared" si="2"/>
        <v>0</v>
      </c>
      <c r="R22" s="435">
        <f t="shared" si="5"/>
        <v>0</v>
      </c>
      <c r="S22" s="755">
        <v>6.6</v>
      </c>
      <c r="T22" s="756">
        <v>17117</v>
      </c>
      <c r="U22" s="783">
        <f t="shared" ref="U22:U23" si="20">T23-T21</f>
        <v>61</v>
      </c>
      <c r="V22" s="436">
        <f t="shared" si="19"/>
        <v>402.59999999999997</v>
      </c>
      <c r="W22" s="755">
        <v>2.2999999999999998</v>
      </c>
      <c r="X22" s="762">
        <v>25254</v>
      </c>
      <c r="Y22" s="783">
        <f t="shared" si="8"/>
        <v>0</v>
      </c>
      <c r="Z22" s="759">
        <f t="shared" si="9"/>
        <v>0</v>
      </c>
      <c r="AA22" s="769">
        <f t="shared" si="10"/>
        <v>0</v>
      </c>
      <c r="AB22" s="766">
        <v>40175</v>
      </c>
      <c r="AC22" s="742">
        <f t="shared" si="11"/>
        <v>84</v>
      </c>
      <c r="AD22" s="745">
        <v>206289</v>
      </c>
      <c r="AE22" s="179">
        <f t="shared" si="15"/>
        <v>47</v>
      </c>
      <c r="AF22" s="777">
        <f>'Lpg (2)'!B26*2000/85</f>
        <v>1529.4117647058824</v>
      </c>
      <c r="AG22" s="267">
        <f>'Lpg (2)'!C26*1000/85</f>
        <v>1000</v>
      </c>
      <c r="AH22" s="790">
        <f>'Lpg (2)'!D26*1000/85</f>
        <v>1000</v>
      </c>
      <c r="AI22" s="780">
        <f t="shared" si="18"/>
        <v>5058823.5294117648</v>
      </c>
      <c r="AJ22" s="437">
        <f t="shared" si="4"/>
        <v>94117.647058824077</v>
      </c>
      <c r="AK22" s="133"/>
    </row>
    <row r="23" spans="1:37" ht="18.75">
      <c r="A23" s="811">
        <f>Gen!B28</f>
        <v>44122</v>
      </c>
      <c r="B23" s="434">
        <f>'Summery Report'!E22</f>
        <v>12</v>
      </c>
      <c r="C23" s="816">
        <f>Gen!C28</f>
        <v>0.15790000000000001</v>
      </c>
      <c r="D23" s="778">
        <f>'Summery Report'!E22</f>
        <v>12</v>
      </c>
      <c r="E23" s="778">
        <f t="shared" si="13"/>
        <v>1.3262195121951219</v>
      </c>
      <c r="F23" s="447">
        <f t="shared" si="14"/>
        <v>133.50941310975608</v>
      </c>
      <c r="G23" s="447">
        <f t="shared" si="0"/>
        <v>156.74809451219511</v>
      </c>
      <c r="H23" s="778">
        <f>Gen!D28</f>
        <v>35530.869999999995</v>
      </c>
      <c r="I23" s="778">
        <f>Gen!F28</f>
        <v>0</v>
      </c>
      <c r="J23" s="817">
        <f>Gen!T28</f>
        <v>1208.03</v>
      </c>
      <c r="K23" s="822">
        <f>Gen!AK28</f>
        <v>210.26999999999998</v>
      </c>
      <c r="L23" s="813">
        <f t="shared" si="17"/>
        <v>1418.3</v>
      </c>
      <c r="M23" s="458">
        <f>'Water-Meter'!K63</f>
        <v>544.2797257068147</v>
      </c>
      <c r="N23" s="773">
        <f>'Water-Meter'!E23</f>
        <v>57</v>
      </c>
      <c r="O23" s="761"/>
      <c r="P23" s="771">
        <v>19032</v>
      </c>
      <c r="Q23" s="783">
        <f t="shared" si="2"/>
        <v>0</v>
      </c>
      <c r="R23" s="435">
        <f t="shared" si="5"/>
        <v>0</v>
      </c>
      <c r="S23" s="755">
        <v>6.6</v>
      </c>
      <c r="T23" s="756">
        <v>17119</v>
      </c>
      <c r="U23" s="783">
        <f t="shared" si="20"/>
        <v>-17117</v>
      </c>
      <c r="V23" s="436">
        <f t="shared" si="19"/>
        <v>-112972.2</v>
      </c>
      <c r="W23" s="755">
        <v>2.4</v>
      </c>
      <c r="X23" s="762">
        <v>25264</v>
      </c>
      <c r="Y23" s="783">
        <f t="shared" si="8"/>
        <v>10</v>
      </c>
      <c r="Z23" s="759">
        <f t="shared" si="9"/>
        <v>24</v>
      </c>
      <c r="AA23" s="769">
        <f t="shared" si="10"/>
        <v>0</v>
      </c>
      <c r="AB23" s="766">
        <v>40219</v>
      </c>
      <c r="AC23" s="742">
        <f t="shared" si="11"/>
        <v>44</v>
      </c>
      <c r="AD23" s="746">
        <v>206337</v>
      </c>
      <c r="AE23" s="179">
        <f t="shared" si="15"/>
        <v>48</v>
      </c>
      <c r="AF23" s="777">
        <f>'Lpg (2)'!B27*2000/85</f>
        <v>1482.3529411764705</v>
      </c>
      <c r="AG23" s="267">
        <f>'Lpg (2)'!C27*1000/85</f>
        <v>1000</v>
      </c>
      <c r="AH23" s="790">
        <f>'Lpg (2)'!D27*1000/85</f>
        <v>1000</v>
      </c>
      <c r="AI23" s="780">
        <f t="shared" si="18"/>
        <v>4964705.8823529407</v>
      </c>
      <c r="AJ23" s="437">
        <f t="shared" si="4"/>
        <v>94117.647058824077</v>
      </c>
      <c r="AK23" s="133"/>
    </row>
    <row r="24" spans="1:37" ht="18.75">
      <c r="A24" s="811">
        <f>Gen!B29</f>
        <v>44123</v>
      </c>
      <c r="B24" s="434">
        <f>'Summery Report'!E23</f>
        <v>12</v>
      </c>
      <c r="C24" s="816">
        <f>Gen!C29</f>
        <v>0.12989999999999999</v>
      </c>
      <c r="D24" s="778">
        <f>'Summery Report'!E23</f>
        <v>12</v>
      </c>
      <c r="E24" s="778">
        <f t="shared" si="13"/>
        <v>1.3262195121951219</v>
      </c>
      <c r="F24" s="447">
        <f t="shared" si="14"/>
        <v>0</v>
      </c>
      <c r="G24" s="447">
        <f t="shared" si="0"/>
        <v>0</v>
      </c>
      <c r="H24" s="778">
        <f>Gen!D29</f>
        <v>34112.569999999992</v>
      </c>
      <c r="I24" s="778">
        <f>Gen!F29</f>
        <v>0</v>
      </c>
      <c r="J24" s="817">
        <f>Gen!T29</f>
        <v>0</v>
      </c>
      <c r="K24" s="822">
        <f>Gen!AK29</f>
        <v>0</v>
      </c>
      <c r="L24" s="813">
        <f t="shared" si="17"/>
        <v>0</v>
      </c>
      <c r="M24" s="458">
        <f>'Water-Meter'!K64</f>
        <v>509.6764132208159</v>
      </c>
      <c r="N24" s="773" t="str">
        <f>'Water-Meter'!E24</f>
        <v>0</v>
      </c>
      <c r="O24" s="761"/>
      <c r="P24" s="771"/>
      <c r="Q24" s="783">
        <f t="shared" si="2"/>
        <v>-19032</v>
      </c>
      <c r="R24" s="435">
        <f t="shared" si="5"/>
        <v>0</v>
      </c>
      <c r="S24" s="755"/>
      <c r="T24" s="756"/>
      <c r="U24" s="783">
        <f t="shared" si="6"/>
        <v>-17119</v>
      </c>
      <c r="V24" s="436">
        <f t="shared" si="19"/>
        <v>0</v>
      </c>
      <c r="W24" s="755"/>
      <c r="X24" s="762"/>
      <c r="Y24" s="783">
        <f t="shared" si="8"/>
        <v>-25264</v>
      </c>
      <c r="Z24" s="759">
        <f t="shared" si="9"/>
        <v>0</v>
      </c>
      <c r="AA24" s="769">
        <f t="shared" si="10"/>
        <v>0</v>
      </c>
      <c r="AB24" s="766"/>
      <c r="AC24" s="742">
        <f t="shared" si="11"/>
        <v>-40219</v>
      </c>
      <c r="AD24" s="746"/>
      <c r="AE24" s="179">
        <f t="shared" si="15"/>
        <v>-206337</v>
      </c>
      <c r="AF24" s="777">
        <f>'Lpg (2)'!B28*2000/85</f>
        <v>1411.7647058823529</v>
      </c>
      <c r="AG24" s="267">
        <f>'Lpg (2)'!C28*1000/85</f>
        <v>1000</v>
      </c>
      <c r="AH24" s="790">
        <f>'Lpg (2)'!D28*1000/85</f>
        <v>1000</v>
      </c>
      <c r="AI24" s="780">
        <f t="shared" si="18"/>
        <v>4823529.4117647056</v>
      </c>
      <c r="AJ24" s="437">
        <f t="shared" si="4"/>
        <v>141176.47058823518</v>
      </c>
      <c r="AK24" s="133"/>
    </row>
    <row r="25" spans="1:37" ht="18.75">
      <c r="A25" s="811">
        <f>Gen!B30</f>
        <v>44124</v>
      </c>
      <c r="B25" s="434">
        <f>'Summery Report'!E24</f>
        <v>10</v>
      </c>
      <c r="C25" s="816">
        <f>Gen!C30</f>
        <v>0</v>
      </c>
      <c r="D25" s="778">
        <f>'Summery Report'!E24</f>
        <v>10</v>
      </c>
      <c r="E25" s="778">
        <f t="shared" si="13"/>
        <v>1.3262195121951219</v>
      </c>
      <c r="F25" s="447">
        <f t="shared" si="14"/>
        <v>0</v>
      </c>
      <c r="G25" s="447">
        <f t="shared" si="0"/>
        <v>0</v>
      </c>
      <c r="H25" s="778">
        <f>Gen!D30</f>
        <v>34112.569999999992</v>
      </c>
      <c r="I25" s="778">
        <f>Gen!F30</f>
        <v>0</v>
      </c>
      <c r="J25" s="817">
        <f>Gen!T30</f>
        <v>0</v>
      </c>
      <c r="K25" s="822">
        <f>Gen!AK30</f>
        <v>0</v>
      </c>
      <c r="L25" s="813">
        <f t="shared" si="17"/>
        <v>0</v>
      </c>
      <c r="M25" s="458">
        <f>'Water-Meter'!K65</f>
        <v>0</v>
      </c>
      <c r="N25" s="773">
        <f>'Water-Meter'!E25</f>
        <v>0</v>
      </c>
      <c r="O25" s="761"/>
      <c r="P25" s="771"/>
      <c r="Q25" s="783">
        <f t="shared" si="2"/>
        <v>0</v>
      </c>
      <c r="R25" s="435">
        <f t="shared" si="5"/>
        <v>0</v>
      </c>
      <c r="S25" s="755"/>
      <c r="T25" s="756"/>
      <c r="U25" s="783">
        <f t="shared" si="6"/>
        <v>0</v>
      </c>
      <c r="V25" s="436">
        <f t="shared" si="19"/>
        <v>0</v>
      </c>
      <c r="W25" s="755"/>
      <c r="X25" s="762"/>
      <c r="Y25" s="783">
        <f t="shared" si="8"/>
        <v>0</v>
      </c>
      <c r="Z25" s="759">
        <f t="shared" si="9"/>
        <v>0</v>
      </c>
      <c r="AA25" s="769">
        <f t="shared" si="10"/>
        <v>0</v>
      </c>
      <c r="AB25" s="766"/>
      <c r="AC25" s="742">
        <f t="shared" si="11"/>
        <v>0</v>
      </c>
      <c r="AD25" s="746"/>
      <c r="AE25" s="179">
        <f t="shared" si="15"/>
        <v>0</v>
      </c>
      <c r="AF25" s="777">
        <f>'Lpg (2)'!B29*2000/85</f>
        <v>0</v>
      </c>
      <c r="AG25" s="267">
        <f>'Lpg (2)'!C29*1000/85</f>
        <v>0</v>
      </c>
      <c r="AH25" s="790">
        <f>'Lpg (2)'!D29*1000/85</f>
        <v>0</v>
      </c>
      <c r="AI25" s="780">
        <f t="shared" si="18"/>
        <v>0</v>
      </c>
      <c r="AJ25" s="437">
        <f t="shared" si="4"/>
        <v>4823529.4117647056</v>
      </c>
      <c r="AK25" s="133"/>
    </row>
    <row r="26" spans="1:37" ht="18.75">
      <c r="A26" s="811">
        <f>Gen!B31</f>
        <v>44125</v>
      </c>
      <c r="B26" s="434">
        <f>'Summery Report'!E25</f>
        <v>0</v>
      </c>
      <c r="C26" s="816">
        <f>Gen!C31</f>
        <v>0</v>
      </c>
      <c r="D26" s="778">
        <f>'Summery Report'!E25</f>
        <v>0</v>
      </c>
      <c r="E26" s="778">
        <f t="shared" si="13"/>
        <v>1.3262195121951219</v>
      </c>
      <c r="F26" s="447" t="e">
        <f>SUM(J26*E26)/D26</f>
        <v>#DIV/0!</v>
      </c>
      <c r="G26" s="447" t="e">
        <f t="shared" si="0"/>
        <v>#DIV/0!</v>
      </c>
      <c r="H26" s="778">
        <f>Gen!D31</f>
        <v>34112.569999999992</v>
      </c>
      <c r="I26" s="778">
        <f>Gen!F31</f>
        <v>0</v>
      </c>
      <c r="J26" s="817">
        <f>Gen!T31</f>
        <v>0</v>
      </c>
      <c r="K26" s="822">
        <f>Gen!AK31</f>
        <v>0</v>
      </c>
      <c r="L26" s="813">
        <f t="shared" si="17"/>
        <v>0</v>
      </c>
      <c r="M26" s="458">
        <f>'Water-Meter'!K66</f>
        <v>0</v>
      </c>
      <c r="N26" s="773">
        <f>'Water-Meter'!E26</f>
        <v>0</v>
      </c>
      <c r="O26" s="761"/>
      <c r="P26" s="771"/>
      <c r="Q26" s="783">
        <f t="shared" si="2"/>
        <v>0</v>
      </c>
      <c r="R26" s="435">
        <f t="shared" si="5"/>
        <v>0</v>
      </c>
      <c r="S26" s="755"/>
      <c r="T26" s="756"/>
      <c r="U26" s="783">
        <f t="shared" si="6"/>
        <v>0</v>
      </c>
      <c r="V26" s="436">
        <f t="shared" si="19"/>
        <v>0</v>
      </c>
      <c r="W26" s="755"/>
      <c r="X26" s="762"/>
      <c r="Y26" s="783">
        <f t="shared" si="8"/>
        <v>0</v>
      </c>
      <c r="Z26" s="759">
        <f t="shared" si="9"/>
        <v>0</v>
      </c>
      <c r="AA26" s="769">
        <f t="shared" si="10"/>
        <v>0</v>
      </c>
      <c r="AB26" s="766"/>
      <c r="AC26" s="742">
        <f t="shared" si="11"/>
        <v>0</v>
      </c>
      <c r="AD26" s="746"/>
      <c r="AE26" s="179">
        <f t="shared" si="15"/>
        <v>0</v>
      </c>
      <c r="AF26" s="777">
        <f>'Lpg (2)'!B30*2000/85</f>
        <v>0</v>
      </c>
      <c r="AG26" s="267">
        <f>'Lpg (2)'!C30*1000/85</f>
        <v>0</v>
      </c>
      <c r="AH26" s="790">
        <f>'Lpg (2)'!D30*1000/85</f>
        <v>0</v>
      </c>
      <c r="AI26" s="780">
        <f t="shared" si="18"/>
        <v>0</v>
      </c>
      <c r="AJ26" s="437">
        <f t="shared" si="4"/>
        <v>0</v>
      </c>
      <c r="AK26" s="133"/>
    </row>
    <row r="27" spans="1:37" ht="18.75">
      <c r="A27" s="811">
        <f>Gen!B32</f>
        <v>44126</v>
      </c>
      <c r="B27" s="434">
        <f>'Summery Report'!E26</f>
        <v>0</v>
      </c>
      <c r="C27" s="816">
        <f>Gen!C32</f>
        <v>0</v>
      </c>
      <c r="D27" s="778">
        <f>'Summery Report'!E26</f>
        <v>0</v>
      </c>
      <c r="E27" s="778">
        <f t="shared" si="13"/>
        <v>1.3262195121951219</v>
      </c>
      <c r="F27" s="447" t="e">
        <f t="shared" si="14"/>
        <v>#DIV/0!</v>
      </c>
      <c r="G27" s="447" t="e">
        <f t="shared" si="0"/>
        <v>#DIV/0!</v>
      </c>
      <c r="H27" s="778">
        <f>Gen!D32</f>
        <v>34112.569999999992</v>
      </c>
      <c r="I27" s="778">
        <f>Gen!F32</f>
        <v>0</v>
      </c>
      <c r="J27" s="817">
        <f>Gen!T32</f>
        <v>0</v>
      </c>
      <c r="K27" s="822">
        <f>Gen!AK32</f>
        <v>0</v>
      </c>
      <c r="L27" s="813">
        <f t="shared" si="17"/>
        <v>0</v>
      </c>
      <c r="M27" s="458">
        <f>'Water-Meter'!K67</f>
        <v>0</v>
      </c>
      <c r="N27" s="773">
        <f>'Water-Meter'!E27</f>
        <v>0</v>
      </c>
      <c r="O27" s="761"/>
      <c r="P27" s="771"/>
      <c r="Q27" s="783">
        <f t="shared" si="2"/>
        <v>0</v>
      </c>
      <c r="R27" s="435">
        <f t="shared" si="5"/>
        <v>0</v>
      </c>
      <c r="S27" s="755"/>
      <c r="T27" s="756"/>
      <c r="U27" s="783">
        <f t="shared" si="6"/>
        <v>0</v>
      </c>
      <c r="V27" s="436">
        <f t="shared" si="19"/>
        <v>0</v>
      </c>
      <c r="W27" s="755"/>
      <c r="X27" s="762"/>
      <c r="Y27" s="783">
        <f t="shared" si="8"/>
        <v>0</v>
      </c>
      <c r="Z27" s="759">
        <f t="shared" si="9"/>
        <v>0</v>
      </c>
      <c r="AA27" s="769">
        <f t="shared" si="10"/>
        <v>0</v>
      </c>
      <c r="AB27" s="766"/>
      <c r="AC27" s="742">
        <f t="shared" si="11"/>
        <v>0</v>
      </c>
      <c r="AD27" s="746"/>
      <c r="AE27" s="179">
        <f t="shared" si="15"/>
        <v>0</v>
      </c>
      <c r="AF27" s="777">
        <f>'Lpg (2)'!B31*2000/85</f>
        <v>0</v>
      </c>
      <c r="AG27" s="267">
        <f>'Lpg (2)'!C31*1000/85</f>
        <v>0</v>
      </c>
      <c r="AH27" s="790">
        <f>'Lpg (2)'!D31*1000/85</f>
        <v>0</v>
      </c>
      <c r="AI27" s="780">
        <f t="shared" si="18"/>
        <v>0</v>
      </c>
      <c r="AJ27" s="437">
        <f t="shared" si="4"/>
        <v>0</v>
      </c>
      <c r="AK27" s="133"/>
    </row>
    <row r="28" spans="1:37" ht="18.75">
      <c r="A28" s="811">
        <f>Gen!B33</f>
        <v>44127</v>
      </c>
      <c r="B28" s="434">
        <f>'Summery Report'!E27</f>
        <v>0</v>
      </c>
      <c r="C28" s="816">
        <f>Gen!C33</f>
        <v>0</v>
      </c>
      <c r="D28" s="778">
        <f>'Summery Report'!E27</f>
        <v>0</v>
      </c>
      <c r="E28" s="778">
        <f t="shared" si="13"/>
        <v>1.3262195121951219</v>
      </c>
      <c r="F28" s="447" t="e">
        <f t="shared" si="14"/>
        <v>#DIV/0!</v>
      </c>
      <c r="G28" s="447" t="e">
        <f t="shared" si="0"/>
        <v>#DIV/0!</v>
      </c>
      <c r="H28" s="778">
        <f>Gen!D33</f>
        <v>34112.569999999992</v>
      </c>
      <c r="I28" s="778">
        <f>Gen!F33</f>
        <v>0</v>
      </c>
      <c r="J28" s="817">
        <f>Gen!T33</f>
        <v>0</v>
      </c>
      <c r="K28" s="822">
        <f>Gen!AK33</f>
        <v>0</v>
      </c>
      <c r="L28" s="813">
        <f t="shared" si="17"/>
        <v>0</v>
      </c>
      <c r="M28" s="458">
        <f>'Water-Meter'!K68</f>
        <v>0</v>
      </c>
      <c r="N28" s="773">
        <f>'Water-Meter'!E28</f>
        <v>0</v>
      </c>
      <c r="O28" s="761"/>
      <c r="P28" s="771"/>
      <c r="Q28" s="783">
        <f t="shared" si="2"/>
        <v>0</v>
      </c>
      <c r="R28" s="435">
        <f t="shared" si="5"/>
        <v>0</v>
      </c>
      <c r="S28" s="755"/>
      <c r="T28" s="756"/>
      <c r="U28" s="783">
        <f t="shared" si="6"/>
        <v>0</v>
      </c>
      <c r="V28" s="436">
        <f t="shared" si="19"/>
        <v>0</v>
      </c>
      <c r="W28" s="755"/>
      <c r="X28" s="762"/>
      <c r="Y28" s="783">
        <f t="shared" si="8"/>
        <v>0</v>
      </c>
      <c r="Z28" s="759">
        <f t="shared" si="9"/>
        <v>0</v>
      </c>
      <c r="AA28" s="769">
        <f t="shared" si="10"/>
        <v>0</v>
      </c>
      <c r="AB28" s="766"/>
      <c r="AC28" s="742">
        <f t="shared" ref="AC28:AC37" si="21">SUM(AB28-AB27)</f>
        <v>0</v>
      </c>
      <c r="AD28" s="746"/>
      <c r="AE28" s="179">
        <f t="shared" si="15"/>
        <v>0</v>
      </c>
      <c r="AF28" s="777">
        <f>'Lpg (2)'!B32*2000/85</f>
        <v>0</v>
      </c>
      <c r="AG28" s="267">
        <f>'Lpg (2)'!C32*1000/85</f>
        <v>0</v>
      </c>
      <c r="AH28" s="790">
        <f>'Lpg (2)'!D32*1000/85</f>
        <v>0</v>
      </c>
      <c r="AI28" s="780">
        <f t="shared" si="18"/>
        <v>0</v>
      </c>
      <c r="AJ28" s="437">
        <f t="shared" si="4"/>
        <v>0</v>
      </c>
      <c r="AK28" s="133"/>
    </row>
    <row r="29" spans="1:37" ht="18.75">
      <c r="A29" s="811">
        <f>Gen!B34</f>
        <v>44128</v>
      </c>
      <c r="B29" s="434">
        <f>'Summery Report'!E28</f>
        <v>0</v>
      </c>
      <c r="C29" s="816">
        <f>Gen!C34</f>
        <v>0</v>
      </c>
      <c r="D29" s="778">
        <f>'Summery Report'!E28</f>
        <v>0</v>
      </c>
      <c r="E29" s="778">
        <f t="shared" si="13"/>
        <v>1.3262195121951219</v>
      </c>
      <c r="F29" s="447" t="e">
        <f t="shared" si="14"/>
        <v>#DIV/0!</v>
      </c>
      <c r="G29" s="447" t="e">
        <f t="shared" si="0"/>
        <v>#DIV/0!</v>
      </c>
      <c r="H29" s="778">
        <f>Gen!D34</f>
        <v>34112.569999999992</v>
      </c>
      <c r="I29" s="778">
        <f>Gen!F34</f>
        <v>0</v>
      </c>
      <c r="J29" s="817">
        <f>Gen!T34</f>
        <v>0</v>
      </c>
      <c r="K29" s="822">
        <f>Gen!AK34</f>
        <v>0</v>
      </c>
      <c r="L29" s="813">
        <f t="shared" si="17"/>
        <v>0</v>
      </c>
      <c r="M29" s="458">
        <f>'Water-Meter'!K69</f>
        <v>0</v>
      </c>
      <c r="N29" s="773">
        <f>'Water-Meter'!E29</f>
        <v>0</v>
      </c>
      <c r="O29" s="761"/>
      <c r="P29" s="771"/>
      <c r="Q29" s="783">
        <f t="shared" si="2"/>
        <v>0</v>
      </c>
      <c r="R29" s="435">
        <f t="shared" si="5"/>
        <v>0</v>
      </c>
      <c r="S29" s="755"/>
      <c r="T29" s="756"/>
      <c r="U29" s="783">
        <f t="shared" si="6"/>
        <v>0</v>
      </c>
      <c r="V29" s="436">
        <f t="shared" si="19"/>
        <v>0</v>
      </c>
      <c r="W29" s="755"/>
      <c r="X29" s="762"/>
      <c r="Y29" s="783">
        <f t="shared" si="8"/>
        <v>0</v>
      </c>
      <c r="Z29" s="759">
        <f t="shared" si="9"/>
        <v>0</v>
      </c>
      <c r="AA29" s="769">
        <f t="shared" si="10"/>
        <v>0</v>
      </c>
      <c r="AB29" s="766"/>
      <c r="AC29" s="742">
        <f t="shared" si="21"/>
        <v>0</v>
      </c>
      <c r="AD29" s="746"/>
      <c r="AE29" s="179">
        <f t="shared" si="15"/>
        <v>0</v>
      </c>
      <c r="AF29" s="777">
        <f>'Lpg (2)'!B33*2000/85</f>
        <v>0</v>
      </c>
      <c r="AG29" s="267">
        <f>'Lpg (2)'!C33*1000/85</f>
        <v>0</v>
      </c>
      <c r="AH29" s="790">
        <f>'Lpg (2)'!D33*1000/85</f>
        <v>0</v>
      </c>
      <c r="AI29" s="780">
        <f t="shared" si="18"/>
        <v>0</v>
      </c>
      <c r="AJ29" s="437">
        <f t="shared" si="4"/>
        <v>0</v>
      </c>
      <c r="AK29" s="133"/>
    </row>
    <row r="30" spans="1:37" ht="18.75">
      <c r="A30" s="811">
        <f>Gen!B35</f>
        <v>44129</v>
      </c>
      <c r="B30" s="434">
        <f>'Summery Report'!E29</f>
        <v>0</v>
      </c>
      <c r="C30" s="816">
        <f>Gen!C35</f>
        <v>0</v>
      </c>
      <c r="D30" s="778">
        <f>'Summery Report'!E29</f>
        <v>0</v>
      </c>
      <c r="E30" s="778">
        <f t="shared" si="13"/>
        <v>1.3262195121951219</v>
      </c>
      <c r="F30" s="447" t="e">
        <f t="shared" si="14"/>
        <v>#DIV/0!</v>
      </c>
      <c r="G30" s="447" t="e">
        <f t="shared" si="0"/>
        <v>#DIV/0!</v>
      </c>
      <c r="H30" s="778">
        <f>Gen!D35</f>
        <v>34112.569999999992</v>
      </c>
      <c r="I30" s="778">
        <f>Gen!F35</f>
        <v>12000</v>
      </c>
      <c r="J30" s="817">
        <f>Gen!T35</f>
        <v>0</v>
      </c>
      <c r="K30" s="822">
        <f>Gen!AK35</f>
        <v>0</v>
      </c>
      <c r="L30" s="813">
        <f t="shared" si="17"/>
        <v>0</v>
      </c>
      <c r="M30" s="458">
        <f>'Water-Meter'!K70</f>
        <v>0</v>
      </c>
      <c r="N30" s="773">
        <f>'Water-Meter'!E30</f>
        <v>0</v>
      </c>
      <c r="O30" s="761"/>
      <c r="P30" s="771"/>
      <c r="Q30" s="783">
        <f t="shared" si="2"/>
        <v>0</v>
      </c>
      <c r="R30" s="435">
        <f t="shared" si="5"/>
        <v>0</v>
      </c>
      <c r="S30" s="755"/>
      <c r="T30" s="756"/>
      <c r="U30" s="783">
        <f t="shared" si="6"/>
        <v>0</v>
      </c>
      <c r="V30" s="436">
        <f t="shared" si="19"/>
        <v>0</v>
      </c>
      <c r="W30" s="755"/>
      <c r="X30" s="762"/>
      <c r="Y30" s="783">
        <f t="shared" si="8"/>
        <v>0</v>
      </c>
      <c r="Z30" s="759">
        <f t="shared" si="9"/>
        <v>0</v>
      </c>
      <c r="AA30" s="769">
        <f t="shared" si="10"/>
        <v>0</v>
      </c>
      <c r="AB30" s="766"/>
      <c r="AC30" s="742">
        <f t="shared" si="21"/>
        <v>0</v>
      </c>
      <c r="AD30" s="746"/>
      <c r="AE30" s="179">
        <f t="shared" si="15"/>
        <v>0</v>
      </c>
      <c r="AF30" s="777">
        <f>'Lpg (2)'!B34*2000/85</f>
        <v>0</v>
      </c>
      <c r="AG30" s="267">
        <f>'Lpg (2)'!C34*1000/85</f>
        <v>0</v>
      </c>
      <c r="AH30" s="790">
        <f>'Lpg (2)'!D34*1000/85</f>
        <v>0</v>
      </c>
      <c r="AI30" s="780">
        <f t="shared" si="18"/>
        <v>0</v>
      </c>
      <c r="AJ30" s="437">
        <f t="shared" si="4"/>
        <v>0</v>
      </c>
      <c r="AK30" s="133"/>
    </row>
    <row r="31" spans="1:37" ht="18.75">
      <c r="A31" s="811">
        <f>Gen!B36</f>
        <v>44130</v>
      </c>
      <c r="B31" s="434">
        <f>'Summery Report'!E30</f>
        <v>0</v>
      </c>
      <c r="C31" s="816">
        <f>Gen!C36</f>
        <v>0</v>
      </c>
      <c r="D31" s="778">
        <f>'Summery Report'!E30</f>
        <v>0</v>
      </c>
      <c r="E31" s="778">
        <f t="shared" si="13"/>
        <v>1.3262195121951219</v>
      </c>
      <c r="F31" s="447" t="e">
        <f t="shared" si="14"/>
        <v>#DIV/0!</v>
      </c>
      <c r="G31" s="447" t="e">
        <f t="shared" si="0"/>
        <v>#DIV/0!</v>
      </c>
      <c r="H31" s="778">
        <f>Gen!D36</f>
        <v>34112.569999999992</v>
      </c>
      <c r="I31" s="778">
        <f>Gen!F36</f>
        <v>0</v>
      </c>
      <c r="J31" s="817">
        <f>Gen!T36</f>
        <v>0</v>
      </c>
      <c r="K31" s="822">
        <f>Gen!AK36</f>
        <v>0</v>
      </c>
      <c r="L31" s="813">
        <f t="shared" si="17"/>
        <v>0</v>
      </c>
      <c r="M31" s="458">
        <f>'Water-Meter'!K71</f>
        <v>0</v>
      </c>
      <c r="N31" s="773">
        <f>'Water-Meter'!E31</f>
        <v>0</v>
      </c>
      <c r="O31" s="761"/>
      <c r="P31" s="771"/>
      <c r="Q31" s="783">
        <f t="shared" si="2"/>
        <v>0</v>
      </c>
      <c r="R31" s="435">
        <f t="shared" si="5"/>
        <v>0</v>
      </c>
      <c r="S31" s="755"/>
      <c r="T31" s="756"/>
      <c r="U31" s="783">
        <f t="shared" si="6"/>
        <v>0</v>
      </c>
      <c r="V31" s="436">
        <f t="shared" si="19"/>
        <v>0</v>
      </c>
      <c r="W31" s="755"/>
      <c r="X31" s="763"/>
      <c r="Y31" s="783">
        <f t="shared" si="8"/>
        <v>0</v>
      </c>
      <c r="Z31" s="759">
        <f t="shared" si="9"/>
        <v>0</v>
      </c>
      <c r="AA31" s="769">
        <f t="shared" si="10"/>
        <v>0</v>
      </c>
      <c r="AB31" s="766"/>
      <c r="AC31" s="742">
        <f t="shared" si="21"/>
        <v>0</v>
      </c>
      <c r="AD31" s="746"/>
      <c r="AE31" s="179">
        <f t="shared" si="15"/>
        <v>0</v>
      </c>
      <c r="AF31" s="777">
        <f>'Lpg (2)'!B35*2000/85</f>
        <v>0</v>
      </c>
      <c r="AG31" s="267">
        <f>'Lpg (2)'!C35*1000/85</f>
        <v>0</v>
      </c>
      <c r="AH31" s="790">
        <f>'Lpg (2)'!D35*1000/85</f>
        <v>0</v>
      </c>
      <c r="AI31" s="780">
        <f t="shared" si="18"/>
        <v>0</v>
      </c>
      <c r="AJ31" s="437">
        <f t="shared" si="4"/>
        <v>0</v>
      </c>
      <c r="AK31" s="133"/>
    </row>
    <row r="32" spans="1:37" ht="18.75">
      <c r="A32" s="811">
        <f>Gen!B37</f>
        <v>44131</v>
      </c>
      <c r="B32" s="434">
        <f>'Summery Report'!E31</f>
        <v>0</v>
      </c>
      <c r="C32" s="816">
        <f>Gen!C37</f>
        <v>0</v>
      </c>
      <c r="D32" s="778">
        <f>'Summery Report'!E31</f>
        <v>0</v>
      </c>
      <c r="E32" s="778">
        <f t="shared" si="13"/>
        <v>1.3262195121951219</v>
      </c>
      <c r="F32" s="447" t="e">
        <f t="shared" si="14"/>
        <v>#DIV/0!</v>
      </c>
      <c r="G32" s="447" t="e">
        <f t="shared" si="0"/>
        <v>#DIV/0!</v>
      </c>
      <c r="H32" s="778">
        <f>Gen!D37</f>
        <v>34112.569999999992</v>
      </c>
      <c r="I32" s="778">
        <f>Gen!F37</f>
        <v>0</v>
      </c>
      <c r="J32" s="817">
        <f>Gen!T37</f>
        <v>0</v>
      </c>
      <c r="K32" s="822">
        <f>Gen!AK37</f>
        <v>0</v>
      </c>
      <c r="L32" s="813">
        <f t="shared" si="17"/>
        <v>0</v>
      </c>
      <c r="M32" s="458">
        <f>'Water-Meter'!K72</f>
        <v>0</v>
      </c>
      <c r="N32" s="773">
        <f>'Water-Meter'!E32</f>
        <v>0</v>
      </c>
      <c r="O32" s="761"/>
      <c r="P32" s="771"/>
      <c r="Q32" s="783">
        <f t="shared" si="2"/>
        <v>0</v>
      </c>
      <c r="R32" s="435">
        <f t="shared" si="5"/>
        <v>0</v>
      </c>
      <c r="S32" s="755"/>
      <c r="T32" s="756"/>
      <c r="U32" s="783">
        <f t="shared" si="6"/>
        <v>0</v>
      </c>
      <c r="V32" s="436">
        <f t="shared" si="19"/>
        <v>0</v>
      </c>
      <c r="W32" s="755"/>
      <c r="X32" s="762"/>
      <c r="Y32" s="783">
        <f t="shared" si="8"/>
        <v>0</v>
      </c>
      <c r="Z32" s="759">
        <f t="shared" si="9"/>
        <v>0</v>
      </c>
      <c r="AA32" s="769">
        <f t="shared" si="10"/>
        <v>0</v>
      </c>
      <c r="AB32" s="766"/>
      <c r="AC32" s="742">
        <f t="shared" si="21"/>
        <v>0</v>
      </c>
      <c r="AD32" s="746"/>
      <c r="AE32" s="179">
        <f t="shared" si="15"/>
        <v>0</v>
      </c>
      <c r="AF32" s="777">
        <f>'Lpg (2)'!B36*2000/85</f>
        <v>0</v>
      </c>
      <c r="AG32" s="267">
        <f>'Lpg (2)'!C36*1000/85</f>
        <v>0</v>
      </c>
      <c r="AH32" s="790">
        <f>'Lpg (2)'!D36*1000/85</f>
        <v>0</v>
      </c>
      <c r="AI32" s="780">
        <f t="shared" si="18"/>
        <v>0</v>
      </c>
      <c r="AJ32" s="437">
        <f t="shared" si="4"/>
        <v>0</v>
      </c>
      <c r="AK32" s="133"/>
    </row>
    <row r="33" spans="1:37" ht="18.75">
      <c r="A33" s="811">
        <f>Gen!B38</f>
        <v>44132</v>
      </c>
      <c r="B33" s="434">
        <f>'Summery Report'!E32</f>
        <v>0</v>
      </c>
      <c r="C33" s="816">
        <f>Gen!C38</f>
        <v>0</v>
      </c>
      <c r="D33" s="778">
        <f>'Summery Report'!E32</f>
        <v>0</v>
      </c>
      <c r="E33" s="778">
        <f t="shared" si="13"/>
        <v>1.3262195121951219</v>
      </c>
      <c r="F33" s="447" t="e">
        <f t="shared" si="14"/>
        <v>#DIV/0!</v>
      </c>
      <c r="G33" s="447" t="e">
        <f t="shared" si="0"/>
        <v>#DIV/0!</v>
      </c>
      <c r="H33" s="778">
        <f>Gen!D38</f>
        <v>34112.569999999992</v>
      </c>
      <c r="I33" s="778">
        <f>Gen!F38</f>
        <v>0</v>
      </c>
      <c r="J33" s="817">
        <f>Gen!T38</f>
        <v>0</v>
      </c>
      <c r="K33" s="822">
        <f>Gen!AK38</f>
        <v>0</v>
      </c>
      <c r="L33" s="813">
        <f t="shared" si="17"/>
        <v>0</v>
      </c>
      <c r="M33" s="458">
        <f>'Water-Meter'!K73</f>
        <v>0</v>
      </c>
      <c r="N33" s="773">
        <f>'Water-Meter'!E33</f>
        <v>0</v>
      </c>
      <c r="O33" s="761"/>
      <c r="P33" s="771"/>
      <c r="Q33" s="783">
        <f t="shared" si="2"/>
        <v>0</v>
      </c>
      <c r="R33" s="435">
        <f t="shared" si="5"/>
        <v>0</v>
      </c>
      <c r="S33" s="755"/>
      <c r="T33" s="756"/>
      <c r="U33" s="783">
        <f t="shared" si="6"/>
        <v>0</v>
      </c>
      <c r="V33" s="436">
        <f t="shared" si="19"/>
        <v>0</v>
      </c>
      <c r="W33" s="755"/>
      <c r="X33" s="762"/>
      <c r="Y33" s="783">
        <f t="shared" si="8"/>
        <v>0</v>
      </c>
      <c r="Z33" s="759">
        <f t="shared" si="9"/>
        <v>0</v>
      </c>
      <c r="AA33" s="769">
        <f t="shared" si="10"/>
        <v>0</v>
      </c>
      <c r="AB33" s="766"/>
      <c r="AC33" s="742">
        <f t="shared" si="21"/>
        <v>0</v>
      </c>
      <c r="AD33" s="746"/>
      <c r="AE33" s="179">
        <f t="shared" si="15"/>
        <v>0</v>
      </c>
      <c r="AF33" s="777">
        <f>'Lpg (2)'!B37*2000/85</f>
        <v>0</v>
      </c>
      <c r="AG33" s="267">
        <f>'Lpg (2)'!C37*1000/85</f>
        <v>0</v>
      </c>
      <c r="AH33" s="790">
        <f>'Lpg (2)'!D37*1000/85</f>
        <v>0</v>
      </c>
      <c r="AI33" s="780">
        <f t="shared" si="18"/>
        <v>0</v>
      </c>
      <c r="AJ33" s="437">
        <f t="shared" si="4"/>
        <v>0</v>
      </c>
      <c r="AK33" s="133"/>
    </row>
    <row r="34" spans="1:37" ht="18.75">
      <c r="A34" s="811">
        <f>Gen!B39</f>
        <v>44133</v>
      </c>
      <c r="B34" s="434">
        <f>'Summery Report'!E33</f>
        <v>0</v>
      </c>
      <c r="C34" s="816">
        <f>Gen!C39</f>
        <v>0</v>
      </c>
      <c r="D34" s="778">
        <f>'Summery Report'!E33</f>
        <v>0</v>
      </c>
      <c r="E34" s="778">
        <f t="shared" si="13"/>
        <v>1.3262195121951219</v>
      </c>
      <c r="F34" s="447" t="e">
        <f t="shared" si="14"/>
        <v>#DIV/0!</v>
      </c>
      <c r="G34" s="447" t="e">
        <f t="shared" si="0"/>
        <v>#DIV/0!</v>
      </c>
      <c r="H34" s="778">
        <f>Gen!D39</f>
        <v>34112.569999999992</v>
      </c>
      <c r="I34" s="778">
        <f>Gen!F39</f>
        <v>0</v>
      </c>
      <c r="J34" s="817">
        <f>Gen!T39</f>
        <v>0</v>
      </c>
      <c r="K34" s="822">
        <f>Gen!AK39</f>
        <v>0</v>
      </c>
      <c r="L34" s="813">
        <f t="shared" si="17"/>
        <v>0</v>
      </c>
      <c r="M34" s="458">
        <f>'Water-Meter'!K74</f>
        <v>0</v>
      </c>
      <c r="N34" s="773">
        <f>'Water-Meter'!E34</f>
        <v>0</v>
      </c>
      <c r="O34" s="761"/>
      <c r="P34" s="771"/>
      <c r="Q34" s="783">
        <f t="shared" si="2"/>
        <v>0</v>
      </c>
      <c r="R34" s="435">
        <f t="shared" si="5"/>
        <v>0</v>
      </c>
      <c r="S34" s="755"/>
      <c r="T34" s="756"/>
      <c r="U34" s="783">
        <f t="shared" si="6"/>
        <v>0</v>
      </c>
      <c r="V34" s="436">
        <f t="shared" si="19"/>
        <v>0</v>
      </c>
      <c r="W34" s="755"/>
      <c r="X34" s="762"/>
      <c r="Y34" s="783">
        <f t="shared" si="8"/>
        <v>0</v>
      </c>
      <c r="Z34" s="759">
        <f t="shared" si="9"/>
        <v>0</v>
      </c>
      <c r="AA34" s="769">
        <f t="shared" si="10"/>
        <v>0</v>
      </c>
      <c r="AB34" s="766"/>
      <c r="AC34" s="742">
        <f t="shared" si="21"/>
        <v>0</v>
      </c>
      <c r="AD34" s="746"/>
      <c r="AE34" s="179">
        <f t="shared" si="15"/>
        <v>0</v>
      </c>
      <c r="AF34" s="777">
        <f>'Lpg (2)'!B38*2000/85</f>
        <v>0</v>
      </c>
      <c r="AG34" s="267">
        <f>'Lpg (2)'!C38*1000/85</f>
        <v>0</v>
      </c>
      <c r="AH34" s="790">
        <f>'Lpg (2)'!D38*1000/85</f>
        <v>0</v>
      </c>
      <c r="AI34" s="780">
        <f t="shared" si="18"/>
        <v>0</v>
      </c>
      <c r="AJ34" s="437">
        <f t="shared" si="4"/>
        <v>0</v>
      </c>
      <c r="AK34" s="133"/>
    </row>
    <row r="35" spans="1:37" ht="18.75">
      <c r="A35" s="811">
        <f>Gen!B40</f>
        <v>44134</v>
      </c>
      <c r="B35" s="434">
        <f>'Summery Report'!E34</f>
        <v>0</v>
      </c>
      <c r="C35" s="816">
        <f>Gen!C40</f>
        <v>0</v>
      </c>
      <c r="D35" s="778">
        <f>'Summery Report'!E34</f>
        <v>0</v>
      </c>
      <c r="E35" s="778">
        <f t="shared" si="13"/>
        <v>1.3262195121951219</v>
      </c>
      <c r="F35" s="447" t="e">
        <f t="shared" si="14"/>
        <v>#DIV/0!</v>
      </c>
      <c r="G35" s="447" t="e">
        <f t="shared" si="0"/>
        <v>#DIV/0!</v>
      </c>
      <c r="H35" s="778">
        <f>Gen!D40</f>
        <v>34112.569999999992</v>
      </c>
      <c r="I35" s="778">
        <f>Gen!F40</f>
        <v>0</v>
      </c>
      <c r="J35" s="817">
        <f>Gen!T40</f>
        <v>0</v>
      </c>
      <c r="K35" s="822">
        <f>Gen!AK40</f>
        <v>0</v>
      </c>
      <c r="L35" s="813">
        <f t="shared" si="17"/>
        <v>0</v>
      </c>
      <c r="M35" s="458">
        <f>'Water-Meter'!K75</f>
        <v>0</v>
      </c>
      <c r="N35" s="773">
        <f>'Water-Meter'!E35</f>
        <v>0</v>
      </c>
      <c r="O35" s="761"/>
      <c r="P35" s="771"/>
      <c r="Q35" s="783">
        <f t="shared" si="2"/>
        <v>0</v>
      </c>
      <c r="R35" s="435">
        <f t="shared" si="5"/>
        <v>0</v>
      </c>
      <c r="S35" s="755"/>
      <c r="T35" s="756"/>
      <c r="U35" s="783">
        <f t="shared" si="6"/>
        <v>0</v>
      </c>
      <c r="V35" s="436">
        <f t="shared" si="19"/>
        <v>0</v>
      </c>
      <c r="W35" s="755"/>
      <c r="X35" s="762"/>
      <c r="Y35" s="783">
        <f t="shared" si="8"/>
        <v>0</v>
      </c>
      <c r="Z35" s="759">
        <f t="shared" si="9"/>
        <v>0</v>
      </c>
      <c r="AA35" s="769">
        <f t="shared" si="10"/>
        <v>0</v>
      </c>
      <c r="AB35" s="766"/>
      <c r="AC35" s="742">
        <f t="shared" si="21"/>
        <v>0</v>
      </c>
      <c r="AD35" s="746"/>
      <c r="AE35" s="179">
        <f t="shared" si="15"/>
        <v>0</v>
      </c>
      <c r="AF35" s="777">
        <f>'Lpg (2)'!B39*2000/85</f>
        <v>0</v>
      </c>
      <c r="AG35" s="267">
        <f>'Lpg (2)'!C39*1000/85</f>
        <v>0</v>
      </c>
      <c r="AH35" s="790">
        <f>'Lpg (2)'!D39*1000/85</f>
        <v>0</v>
      </c>
      <c r="AI35" s="780">
        <f t="shared" si="18"/>
        <v>0</v>
      </c>
      <c r="AJ35" s="437">
        <f t="shared" si="4"/>
        <v>0</v>
      </c>
      <c r="AK35" s="133"/>
    </row>
    <row r="36" spans="1:37" ht="18.75">
      <c r="A36" s="811">
        <f>Gen!B41</f>
        <v>44135</v>
      </c>
      <c r="B36" s="434">
        <f>'Summery Report'!E35</f>
        <v>0</v>
      </c>
      <c r="C36" s="816">
        <f>Gen!C41</f>
        <v>0</v>
      </c>
      <c r="D36" s="778">
        <f>'Summery Report'!E35</f>
        <v>0</v>
      </c>
      <c r="E36" s="778">
        <f t="shared" si="13"/>
        <v>1.3262195121951219</v>
      </c>
      <c r="F36" s="447" t="e">
        <f t="shared" si="14"/>
        <v>#DIV/0!</v>
      </c>
      <c r="G36" s="447" t="e">
        <f t="shared" si="0"/>
        <v>#DIV/0!</v>
      </c>
      <c r="H36" s="778">
        <f>Gen!D41</f>
        <v>34112.569999999992</v>
      </c>
      <c r="I36" s="778">
        <f>Gen!F41</f>
        <v>0</v>
      </c>
      <c r="J36" s="817">
        <f>Gen!T41</f>
        <v>0</v>
      </c>
      <c r="K36" s="822">
        <f>Gen!AK41</f>
        <v>0</v>
      </c>
      <c r="L36" s="813">
        <f t="shared" si="17"/>
        <v>0</v>
      </c>
      <c r="M36" s="458">
        <f>'Water-Meter'!K76</f>
        <v>0</v>
      </c>
      <c r="N36" s="773">
        <f>'Water-Meter'!E36</f>
        <v>0</v>
      </c>
      <c r="O36" s="761"/>
      <c r="P36" s="771"/>
      <c r="Q36" s="783">
        <f t="shared" si="2"/>
        <v>0</v>
      </c>
      <c r="R36" s="435">
        <f t="shared" si="5"/>
        <v>0</v>
      </c>
      <c r="S36" s="755"/>
      <c r="T36" s="756"/>
      <c r="U36" s="783">
        <f t="shared" si="6"/>
        <v>0</v>
      </c>
      <c r="V36" s="436">
        <f t="shared" si="19"/>
        <v>0</v>
      </c>
      <c r="W36" s="755"/>
      <c r="X36" s="762"/>
      <c r="Y36" s="783">
        <f t="shared" si="8"/>
        <v>0</v>
      </c>
      <c r="Z36" s="759">
        <f t="shared" si="9"/>
        <v>0</v>
      </c>
      <c r="AA36" s="769">
        <f t="shared" si="10"/>
        <v>0</v>
      </c>
      <c r="AB36" s="766"/>
      <c r="AC36" s="742">
        <f t="shared" si="21"/>
        <v>0</v>
      </c>
      <c r="AD36" s="746"/>
      <c r="AE36" s="179">
        <f t="shared" si="15"/>
        <v>0</v>
      </c>
      <c r="AF36" s="777">
        <f>'Lpg (2)'!B40*2000/85</f>
        <v>0</v>
      </c>
      <c r="AG36" s="267">
        <f>'Lpg (2)'!C40*1000/85</f>
        <v>0</v>
      </c>
      <c r="AH36" s="790">
        <f>'Lpg (2)'!D40*1000/85</f>
        <v>0</v>
      </c>
      <c r="AI36" s="780">
        <f>SUM(AF36*1000)+(AG36*1000)+(AH36*2000)</f>
        <v>0</v>
      </c>
      <c r="AJ36" s="437">
        <f t="shared" si="4"/>
        <v>0</v>
      </c>
      <c r="AK36" s="133"/>
    </row>
    <row r="37" spans="1:37" s="9" customFormat="1" ht="18" thickBot="1">
      <c r="A37" s="812">
        <f>Gen!B42</f>
        <v>44136</v>
      </c>
      <c r="B37" s="823">
        <v>0</v>
      </c>
      <c r="C37" s="824"/>
      <c r="D37" s="824"/>
      <c r="E37" s="824"/>
      <c r="F37" s="824"/>
      <c r="G37" s="824"/>
      <c r="H37" s="825"/>
      <c r="I37" s="826"/>
      <c r="J37" s="827">
        <f>SUM(J6:J36)</f>
        <v>17931.849999999999</v>
      </c>
      <c r="K37" s="828"/>
      <c r="L37" s="814">
        <f t="shared" si="17"/>
        <v>17931.849999999999</v>
      </c>
      <c r="M37" s="458">
        <f>'Water-Meter'!K77</f>
        <v>0</v>
      </c>
      <c r="N37" s="774">
        <f>'Water-Meter'!E37</f>
        <v>0</v>
      </c>
      <c r="O37" s="757"/>
      <c r="P37" s="758"/>
      <c r="Q37" s="784">
        <f t="shared" ref="Q37" si="22">SUM(P37-P36)</f>
        <v>0</v>
      </c>
      <c r="R37" s="785">
        <f t="shared" ref="R37" si="23">SUM(Q37*O37)</f>
        <v>0</v>
      </c>
      <c r="S37" s="757"/>
      <c r="T37" s="758"/>
      <c r="U37" s="784">
        <f t="shared" ref="U37" si="24">T37-T36</f>
        <v>0</v>
      </c>
      <c r="V37" s="786">
        <f t="shared" ref="V37" si="25">SUM(U37*S37)</f>
        <v>0</v>
      </c>
      <c r="W37" s="757"/>
      <c r="X37" s="758"/>
      <c r="Y37" s="784">
        <f t="shared" ref="Y37" si="26">X37-X36</f>
        <v>0</v>
      </c>
      <c r="Z37" s="787">
        <f t="shared" ref="Z37" si="27">SUM(Y37*W37)</f>
        <v>0</v>
      </c>
      <c r="AA37" s="788">
        <f t="shared" ref="AA37" si="28">SUM(Z37*X39)</f>
        <v>0</v>
      </c>
      <c r="AB37" s="751"/>
      <c r="AC37" s="743">
        <f t="shared" si="21"/>
        <v>0</v>
      </c>
      <c r="AD37" s="747"/>
      <c r="AE37" s="752">
        <f t="shared" si="15"/>
        <v>0</v>
      </c>
      <c r="AF37" s="791">
        <f>'Lpg (2)'!B41*2000/85</f>
        <v>0</v>
      </c>
      <c r="AG37" s="792">
        <f>'Lpg (2)'!C41*1000/85</f>
        <v>0</v>
      </c>
      <c r="AH37" s="793">
        <f>'Lpg (2)'!D41*1000/85</f>
        <v>0</v>
      </c>
      <c r="AI37" s="781"/>
      <c r="AJ37" s="438">
        <f t="shared" ref="AJ37" si="29">SUM(AI36-AI37)</f>
        <v>0</v>
      </c>
      <c r="AK37" s="134"/>
    </row>
    <row r="38" spans="1:37" s="74" customFormat="1">
      <c r="A38" s="279"/>
      <c r="B38" s="280"/>
      <c r="C38" s="281"/>
      <c r="D38" s="281"/>
      <c r="E38" s="281"/>
      <c r="F38" s="281"/>
      <c r="G38" s="281"/>
      <c r="H38" s="280"/>
      <c r="I38" s="280"/>
      <c r="J38" s="282"/>
      <c r="K38" s="282"/>
      <c r="L38" s="282"/>
      <c r="M38" s="283"/>
      <c r="N38" s="283"/>
      <c r="O38" s="283"/>
      <c r="P38" s="283"/>
      <c r="Q38" s="283"/>
      <c r="R38" s="283"/>
      <c r="S38" s="283"/>
      <c r="T38" s="283"/>
      <c r="U38" s="283"/>
      <c r="V38" s="283"/>
      <c r="W38" s="283"/>
      <c r="X38" s="146"/>
      <c r="Y38" s="146"/>
      <c r="Z38" s="146"/>
      <c r="AA38" s="130"/>
      <c r="AB38" s="130"/>
      <c r="AC38" s="147"/>
      <c r="AD38" s="130"/>
      <c r="AE38" s="147"/>
      <c r="AF38" s="146"/>
      <c r="AG38" s="146"/>
      <c r="AH38" s="146"/>
      <c r="AI38" s="130"/>
      <c r="AJ38" s="130"/>
      <c r="AK38" s="146"/>
    </row>
    <row r="39" spans="1:37">
      <c r="C39" s="131"/>
      <c r="J39" s="131"/>
      <c r="X39" s="131"/>
      <c r="AF39" s="131"/>
      <c r="AH39" s="130"/>
    </row>
    <row r="40" spans="1:37" ht="30.75" customHeight="1">
      <c r="C40" s="131"/>
      <c r="J40" s="131"/>
      <c r="X40" s="131"/>
    </row>
    <row r="41" spans="1:37">
      <c r="C41" s="131"/>
      <c r="J41" s="131"/>
    </row>
    <row r="42" spans="1:37">
      <c r="C42" s="131"/>
      <c r="J42" s="131"/>
    </row>
    <row r="43" spans="1:37" ht="15">
      <c r="C43" s="131"/>
      <c r="J43" s="131"/>
      <c r="X43" s="439"/>
    </row>
    <row r="44" spans="1:37" ht="15">
      <c r="C44" s="131"/>
      <c r="J44" s="131"/>
      <c r="X44" s="440"/>
    </row>
    <row r="45" spans="1:37" ht="15">
      <c r="C45" s="131"/>
      <c r="J45" s="131"/>
      <c r="X45" s="439"/>
    </row>
    <row r="46" spans="1:37" ht="15">
      <c r="C46" s="131"/>
      <c r="J46" s="131"/>
      <c r="X46" s="440"/>
    </row>
    <row r="47" spans="1:37">
      <c r="C47" s="131"/>
      <c r="J47" s="131"/>
    </row>
    <row r="48" spans="1:37">
      <c r="C48" s="131"/>
      <c r="J48" s="131"/>
    </row>
    <row r="49" spans="3:10">
      <c r="C49" s="131"/>
      <c r="J49" s="131"/>
    </row>
    <row r="50" spans="3:10">
      <c r="C50" s="131"/>
      <c r="J50" s="131"/>
    </row>
    <row r="51" spans="3:10">
      <c r="C51" s="131"/>
      <c r="J51" s="131"/>
    </row>
    <row r="52" spans="3:10">
      <c r="C52" s="131"/>
      <c r="J52" s="131"/>
    </row>
    <row r="53" spans="3:10">
      <c r="C53" s="131"/>
      <c r="J53" s="131"/>
    </row>
    <row r="54" spans="3:10">
      <c r="C54" s="131"/>
      <c r="J54" s="131"/>
    </row>
    <row r="55" spans="3:10">
      <c r="C55" s="131"/>
      <c r="J55" s="131"/>
    </row>
    <row r="56" spans="3:10">
      <c r="C56" s="131"/>
      <c r="J56" s="131"/>
    </row>
    <row r="57" spans="3:10">
      <c r="C57" s="131"/>
      <c r="J57" s="131"/>
    </row>
    <row r="58" spans="3:10">
      <c r="C58" s="131"/>
      <c r="J58" s="131"/>
    </row>
    <row r="59" spans="3:10">
      <c r="C59" s="131"/>
      <c r="J59" s="131"/>
    </row>
    <row r="60" spans="3:10">
      <c r="C60" s="131"/>
      <c r="J60" s="131"/>
    </row>
    <row r="61" spans="3:10">
      <c r="C61" s="131"/>
      <c r="J61" s="131"/>
    </row>
    <row r="62" spans="3:10">
      <c r="C62" s="131"/>
      <c r="J62" s="131"/>
    </row>
    <row r="63" spans="3:10">
      <c r="C63" s="131"/>
      <c r="J63" s="131"/>
    </row>
    <row r="64" spans="3:10">
      <c r="C64" s="131"/>
      <c r="J64" s="131"/>
    </row>
    <row r="65" spans="3:24">
      <c r="C65" s="131"/>
      <c r="J65" s="131"/>
    </row>
    <row r="66" spans="3:24" ht="15">
      <c r="C66" s="131"/>
      <c r="J66" s="131"/>
      <c r="X66" s="441"/>
    </row>
    <row r="67" spans="3:24" ht="15">
      <c r="C67" s="131"/>
      <c r="J67" s="131"/>
      <c r="X67" s="442"/>
    </row>
    <row r="68" spans="3:24" ht="15">
      <c r="C68" s="131"/>
      <c r="J68" s="131"/>
      <c r="X68" s="442"/>
    </row>
    <row r="69" spans="3:24" ht="15">
      <c r="C69" s="131"/>
      <c r="J69" s="131"/>
      <c r="X69" s="442"/>
    </row>
    <row r="70" spans="3:24" ht="15">
      <c r="C70" s="131"/>
      <c r="J70" s="131"/>
      <c r="X70" s="442"/>
    </row>
    <row r="71" spans="3:24" ht="15">
      <c r="C71" s="131"/>
      <c r="J71" s="131"/>
      <c r="X71" s="442"/>
    </row>
    <row r="72" spans="3:24">
      <c r="C72" s="131"/>
      <c r="J72" s="131"/>
      <c r="X72" s="20"/>
    </row>
    <row r="73" spans="3:24">
      <c r="C73" s="131"/>
      <c r="J73" s="131"/>
      <c r="X73" s="20"/>
    </row>
    <row r="74" spans="3:24">
      <c r="C74" s="131"/>
      <c r="J74" s="131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24" sqref="W24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69" t="s">
        <v>150</v>
      </c>
      <c r="C1" s="870"/>
      <c r="D1" s="870"/>
      <c r="E1" s="870"/>
      <c r="F1" s="871"/>
      <c r="G1" s="158"/>
      <c r="H1" s="869" t="s">
        <v>151</v>
      </c>
      <c r="I1" s="870"/>
      <c r="J1" s="870"/>
      <c r="K1" s="870"/>
      <c r="L1" s="871"/>
      <c r="M1" s="869" t="s">
        <v>170</v>
      </c>
      <c r="N1" s="870"/>
      <c r="O1" s="870"/>
      <c r="P1" s="870"/>
      <c r="Q1" s="871"/>
      <c r="R1" s="158"/>
      <c r="T1" s="869" t="s">
        <v>166</v>
      </c>
      <c r="U1" s="870"/>
      <c r="V1" s="870"/>
      <c r="W1" s="870"/>
      <c r="X1" s="871"/>
      <c r="Y1" s="869" t="s">
        <v>169</v>
      </c>
      <c r="Z1" s="870"/>
      <c r="AA1" s="870"/>
      <c r="AB1" s="870"/>
      <c r="AC1" s="871"/>
    </row>
    <row r="2" spans="1:29" ht="45.75" thickBot="1">
      <c r="A2" s="605" t="s">
        <v>24</v>
      </c>
      <c r="B2" s="159" t="s">
        <v>152</v>
      </c>
      <c r="C2" s="160" t="s">
        <v>153</v>
      </c>
      <c r="D2" s="161" t="s">
        <v>154</v>
      </c>
      <c r="E2" s="161" t="s">
        <v>155</v>
      </c>
      <c r="F2" s="162" t="s">
        <v>159</v>
      </c>
      <c r="G2" s="163"/>
      <c r="H2" s="159" t="s">
        <v>152</v>
      </c>
      <c r="I2" s="160" t="s">
        <v>153</v>
      </c>
      <c r="J2" s="161" t="s">
        <v>163</v>
      </c>
      <c r="K2" s="161" t="s">
        <v>162</v>
      </c>
      <c r="L2" s="168" t="s">
        <v>160</v>
      </c>
      <c r="M2" s="159" t="s">
        <v>152</v>
      </c>
      <c r="N2" s="160" t="s">
        <v>153</v>
      </c>
      <c r="O2" s="161" t="s">
        <v>163</v>
      </c>
      <c r="P2" s="161" t="s">
        <v>162</v>
      </c>
      <c r="Q2" s="168" t="s">
        <v>160</v>
      </c>
      <c r="R2" s="343" t="s">
        <v>161</v>
      </c>
      <c r="S2" s="668" t="s">
        <v>158</v>
      </c>
      <c r="T2" s="159" t="s">
        <v>152</v>
      </c>
      <c r="U2" s="160" t="s">
        <v>153</v>
      </c>
      <c r="V2" s="161" t="s">
        <v>168</v>
      </c>
      <c r="W2" s="161" t="s">
        <v>167</v>
      </c>
      <c r="X2" s="162" t="s">
        <v>159</v>
      </c>
      <c r="Y2" s="159" t="s">
        <v>152</v>
      </c>
      <c r="Z2" s="160" t="s">
        <v>153</v>
      </c>
      <c r="AA2" s="161" t="s">
        <v>163</v>
      </c>
      <c r="AB2" s="161" t="s">
        <v>162</v>
      </c>
      <c r="AC2" s="162" t="s">
        <v>160</v>
      </c>
    </row>
    <row r="3" spans="1:29" ht="31.5" customHeight="1" thickBot="1">
      <c r="A3" s="606">
        <f>Gen!B11</f>
        <v>44105</v>
      </c>
      <c r="B3" s="872" t="s">
        <v>156</v>
      </c>
      <c r="C3" s="873"/>
      <c r="D3" s="167"/>
      <c r="E3" s="669">
        <v>8844.6</v>
      </c>
      <c r="F3" s="607" t="s">
        <v>157</v>
      </c>
      <c r="G3" s="608"/>
      <c r="H3" s="872" t="s">
        <v>156</v>
      </c>
      <c r="I3" s="873"/>
      <c r="J3" s="635">
        <f>'Water-Meter'!G5</f>
        <v>38000</v>
      </c>
      <c r="K3" s="609">
        <f>'Water-Meter'!G5</f>
        <v>38000</v>
      </c>
      <c r="L3" s="242"/>
      <c r="M3" s="872" t="s">
        <v>156</v>
      </c>
      <c r="N3" s="873"/>
      <c r="O3" s="167">
        <f>'Water-Meter'!J5</f>
        <v>8050</v>
      </c>
      <c r="P3" s="610">
        <f>'Water-Meter'!J5</f>
        <v>8050</v>
      </c>
      <c r="Q3" s="166"/>
      <c r="R3" s="242"/>
      <c r="S3" s="670"/>
      <c r="T3" s="872" t="s">
        <v>156</v>
      </c>
      <c r="U3" s="873"/>
      <c r="V3" s="167"/>
      <c r="W3" s="671">
        <v>7829.2</v>
      </c>
      <c r="X3" s="611">
        <f t="shared" ref="X3:X35" si="0">(W3-V3)*200</f>
        <v>1565840</v>
      </c>
      <c r="Y3" s="872" t="s">
        <v>156</v>
      </c>
      <c r="Z3" s="873"/>
      <c r="AA3" s="167"/>
      <c r="AB3" s="170"/>
      <c r="AC3" s="171"/>
    </row>
    <row r="4" spans="1:29" ht="18.75">
      <c r="A4" s="672">
        <f>Gen!C11</f>
        <v>5.1900000000000002E-2</v>
      </c>
      <c r="B4" s="612">
        <f>Gen!B11</f>
        <v>44105</v>
      </c>
      <c r="C4" s="613"/>
      <c r="D4" s="614">
        <f t="shared" ref="D4:D23" si="1">E3</f>
        <v>8844.6</v>
      </c>
      <c r="E4" s="655">
        <v>8846.2000000000007</v>
      </c>
      <c r="F4" s="614">
        <f t="shared" ref="F4:F15" si="2">SUM(E4-D4)*120</f>
        <v>192.00000000004366</v>
      </c>
      <c r="G4" s="613"/>
      <c r="H4" s="656">
        <f>B4</f>
        <v>44105</v>
      </c>
      <c r="I4" s="613"/>
      <c r="J4" s="657">
        <f>'Water-Meter'!G6</f>
        <v>38000</v>
      </c>
      <c r="K4" s="658">
        <f>'Water-Meter'!G6</f>
        <v>38000</v>
      </c>
      <c r="L4" s="613">
        <f t="shared" ref="L4:L34" si="3">SUM(K4-J4)</f>
        <v>0</v>
      </c>
      <c r="M4" s="656">
        <f>H4</f>
        <v>44105</v>
      </c>
      <c r="N4" s="613"/>
      <c r="O4" s="61">
        <f>'Water-Meter'!J6</f>
        <v>8050</v>
      </c>
      <c r="P4" s="620">
        <f>'Water-Meter'!J6</f>
        <v>8050</v>
      </c>
      <c r="Q4" s="613">
        <f>N4-O3</f>
        <v>-8050</v>
      </c>
      <c r="R4" s="659">
        <f t="shared" ref="R4:R20" si="4">SUM(Q4/1615)</f>
        <v>-4.9845201238390091</v>
      </c>
      <c r="S4" s="660">
        <f>Gen!T11</f>
        <v>911.04</v>
      </c>
      <c r="T4" s="656">
        <f>M4</f>
        <v>44105</v>
      </c>
      <c r="U4" s="613"/>
      <c r="V4" s="614">
        <f t="shared" ref="V4:V33" si="5">W3</f>
        <v>7829.2</v>
      </c>
      <c r="W4" s="661">
        <v>7829.7</v>
      </c>
      <c r="X4" s="614">
        <f t="shared" si="0"/>
        <v>100</v>
      </c>
      <c r="Y4" s="656">
        <f>T4</f>
        <v>44105</v>
      </c>
      <c r="Z4" s="613"/>
      <c r="AA4" s="613"/>
      <c r="AB4" s="620">
        <f>'Water-Meter'!P6</f>
        <v>20317</v>
      </c>
      <c r="AC4" s="621">
        <f>AA4-AB3</f>
        <v>0</v>
      </c>
    </row>
    <row r="5" spans="1:29" ht="18.75">
      <c r="A5" s="673">
        <f>Gen!C12</f>
        <v>3.9E-2</v>
      </c>
      <c r="B5" s="615">
        <f>Gen!B12</f>
        <v>44106</v>
      </c>
      <c r="C5" s="599"/>
      <c r="D5" s="604">
        <f t="shared" si="1"/>
        <v>8846.2000000000007</v>
      </c>
      <c r="E5" s="600">
        <v>8848.1</v>
      </c>
      <c r="F5" s="604">
        <f t="shared" si="2"/>
        <v>227.99999999995634</v>
      </c>
      <c r="G5" s="599"/>
      <c r="H5" s="650">
        <f t="shared" ref="H5:H35" si="6">B5</f>
        <v>44106</v>
      </c>
      <c r="I5" s="599"/>
      <c r="J5" s="651">
        <f>'Water-Meter'!G7</f>
        <v>38000</v>
      </c>
      <c r="K5" s="652">
        <f>'Water-Meter'!G7</f>
        <v>38000</v>
      </c>
      <c r="L5" s="599">
        <f t="shared" si="3"/>
        <v>0</v>
      </c>
      <c r="M5" s="650">
        <f t="shared" ref="M5:M35" si="7">H5</f>
        <v>44106</v>
      </c>
      <c r="N5" s="599"/>
      <c r="O5" s="6">
        <f>'Water-Meter'!J7</f>
        <v>8051</v>
      </c>
      <c r="P5" s="603">
        <f>'Water-Meter'!J7</f>
        <v>8051</v>
      </c>
      <c r="Q5" s="599">
        <f t="shared" ref="Q5:Q20" si="8">N5-O4</f>
        <v>-8050</v>
      </c>
      <c r="R5" s="653">
        <f t="shared" si="4"/>
        <v>-4.9845201238390091</v>
      </c>
      <c r="S5" s="654">
        <f>Gen!T12</f>
        <v>976.24</v>
      </c>
      <c r="T5" s="650">
        <f t="shared" ref="T5:T30" si="9">M5</f>
        <v>44106</v>
      </c>
      <c r="U5" s="599"/>
      <c r="V5" s="604">
        <f t="shared" si="5"/>
        <v>7829.7</v>
      </c>
      <c r="W5" s="601">
        <v>7830.1</v>
      </c>
      <c r="X5" s="604">
        <f t="shared" si="0"/>
        <v>80.000000000109139</v>
      </c>
      <c r="Y5" s="650">
        <f t="shared" ref="Y5:Y30" si="10">T5</f>
        <v>44106</v>
      </c>
      <c r="Z5" s="599"/>
      <c r="AA5" s="599"/>
      <c r="AB5" s="603">
        <f>'Water-Meter'!P7</f>
        <v>20320</v>
      </c>
      <c r="AC5" s="662">
        <f t="shared" ref="AC5:AC35" si="11">AA5-AB4</f>
        <v>-20317</v>
      </c>
    </row>
    <row r="6" spans="1:29" ht="18.75">
      <c r="A6" s="673">
        <f>Gen!C13</f>
        <v>2.5999999999999999E-2</v>
      </c>
      <c r="B6" s="615">
        <f>Gen!B13</f>
        <v>44107</v>
      </c>
      <c r="C6" s="599"/>
      <c r="D6" s="604">
        <f t="shared" si="1"/>
        <v>8848.1</v>
      </c>
      <c r="E6" s="600">
        <v>8849.9</v>
      </c>
      <c r="F6" s="604">
        <f t="shared" si="2"/>
        <v>215.99999999991269</v>
      </c>
      <c r="G6" s="599"/>
      <c r="H6" s="650">
        <f t="shared" si="6"/>
        <v>44107</v>
      </c>
      <c r="I6" s="599"/>
      <c r="J6" s="651">
        <f>'Water-Meter'!G8</f>
        <v>38000</v>
      </c>
      <c r="K6" s="652">
        <f>'Water-Meter'!G8</f>
        <v>38000</v>
      </c>
      <c r="L6" s="599">
        <f t="shared" si="3"/>
        <v>0</v>
      </c>
      <c r="M6" s="650">
        <f t="shared" si="7"/>
        <v>44107</v>
      </c>
      <c r="N6" s="599"/>
      <c r="O6" s="6">
        <f>'Water-Meter'!J8</f>
        <v>8052</v>
      </c>
      <c r="P6" s="603">
        <f>'Water-Meter'!J8</f>
        <v>8052</v>
      </c>
      <c r="Q6" s="599">
        <f t="shared" si="8"/>
        <v>-8051</v>
      </c>
      <c r="R6" s="653">
        <f t="shared" si="4"/>
        <v>-4.9851393188854489</v>
      </c>
      <c r="S6" s="654">
        <f>Gen!T13</f>
        <v>996.18</v>
      </c>
      <c r="T6" s="650">
        <f t="shared" si="9"/>
        <v>44107</v>
      </c>
      <c r="U6" s="599"/>
      <c r="V6" s="604">
        <f t="shared" si="5"/>
        <v>7830.1</v>
      </c>
      <c r="W6" s="601">
        <v>7830.7</v>
      </c>
      <c r="X6" s="604">
        <f t="shared" si="0"/>
        <v>119.99999999989086</v>
      </c>
      <c r="Y6" s="650">
        <f t="shared" si="10"/>
        <v>44107</v>
      </c>
      <c r="Z6" s="599"/>
      <c r="AA6" s="599"/>
      <c r="AB6" s="603">
        <f>'Water-Meter'!P8</f>
        <v>20322</v>
      </c>
      <c r="AC6" s="662">
        <f t="shared" si="11"/>
        <v>-20320</v>
      </c>
    </row>
    <row r="7" spans="1:29" ht="18.75">
      <c r="A7" s="673">
        <f>Gen!C14</f>
        <v>1.2999999999999999E-2</v>
      </c>
      <c r="B7" s="615">
        <f>Gen!B14</f>
        <v>44108</v>
      </c>
      <c r="C7" s="599"/>
      <c r="D7" s="604">
        <f t="shared" si="1"/>
        <v>8849.9</v>
      </c>
      <c r="E7" s="600">
        <v>8851.5</v>
      </c>
      <c r="F7" s="604">
        <f t="shared" si="2"/>
        <v>192.00000000004366</v>
      </c>
      <c r="G7" s="599"/>
      <c r="H7" s="650">
        <f t="shared" si="6"/>
        <v>44108</v>
      </c>
      <c r="I7" s="599"/>
      <c r="J7" s="651">
        <f>'Water-Meter'!G9</f>
        <v>38000</v>
      </c>
      <c r="K7" s="652">
        <f>'Water-Meter'!G9</f>
        <v>38000</v>
      </c>
      <c r="L7" s="599">
        <f t="shared" si="3"/>
        <v>0</v>
      </c>
      <c r="M7" s="650">
        <f t="shared" si="7"/>
        <v>44108</v>
      </c>
      <c r="N7" s="599"/>
      <c r="O7" s="6">
        <f>'Water-Meter'!J9</f>
        <v>8057</v>
      </c>
      <c r="P7" s="603">
        <f>'Water-Meter'!J9</f>
        <v>8057</v>
      </c>
      <c r="Q7" s="599">
        <f t="shared" si="8"/>
        <v>-8052</v>
      </c>
      <c r="R7" s="653">
        <f t="shared" si="4"/>
        <v>-4.9857585139318887</v>
      </c>
      <c r="S7" s="654">
        <f>Gen!T14</f>
        <v>924.63</v>
      </c>
      <c r="T7" s="650">
        <f t="shared" si="9"/>
        <v>44108</v>
      </c>
      <c r="U7" s="599"/>
      <c r="V7" s="604">
        <f t="shared" si="5"/>
        <v>7830.7</v>
      </c>
      <c r="W7" s="601">
        <v>7830.9</v>
      </c>
      <c r="X7" s="604">
        <f t="shared" si="0"/>
        <v>39.99999999996362</v>
      </c>
      <c r="Y7" s="650">
        <f t="shared" si="10"/>
        <v>44108</v>
      </c>
      <c r="Z7" s="599"/>
      <c r="AA7" s="599"/>
      <c r="AB7" s="603">
        <f>'Water-Meter'!P9</f>
        <v>20323</v>
      </c>
      <c r="AC7" s="662">
        <f t="shared" si="11"/>
        <v>-20322</v>
      </c>
    </row>
    <row r="8" spans="1:29" ht="18.75">
      <c r="A8" s="673">
        <f>Gen!C15</f>
        <v>2.3E-2</v>
      </c>
      <c r="B8" s="615">
        <f>Gen!B15</f>
        <v>44109</v>
      </c>
      <c r="C8" s="599"/>
      <c r="D8" s="604">
        <f t="shared" si="1"/>
        <v>8851.5</v>
      </c>
      <c r="E8" s="600">
        <v>8853.5</v>
      </c>
      <c r="F8" s="604">
        <f t="shared" si="2"/>
        <v>240</v>
      </c>
      <c r="G8" s="599"/>
      <c r="H8" s="650">
        <f t="shared" si="6"/>
        <v>44109</v>
      </c>
      <c r="I8" s="599"/>
      <c r="J8" s="651">
        <f>'Water-Meter'!G10</f>
        <v>38000</v>
      </c>
      <c r="K8" s="652">
        <f>'Water-Meter'!G10</f>
        <v>38000</v>
      </c>
      <c r="L8" s="599">
        <f t="shared" si="3"/>
        <v>0</v>
      </c>
      <c r="M8" s="650">
        <f t="shared" si="7"/>
        <v>44109</v>
      </c>
      <c r="N8" s="599"/>
      <c r="O8" s="6">
        <f>'Water-Meter'!J10</f>
        <v>8058</v>
      </c>
      <c r="P8" s="603">
        <f>'Water-Meter'!J10</f>
        <v>8058</v>
      </c>
      <c r="Q8" s="599">
        <f t="shared" si="8"/>
        <v>-8057</v>
      </c>
      <c r="R8" s="653">
        <f t="shared" si="4"/>
        <v>-4.9888544891640869</v>
      </c>
      <c r="S8" s="654">
        <f>Gen!T15</f>
        <v>936.98</v>
      </c>
      <c r="T8" s="650">
        <f t="shared" si="9"/>
        <v>44109</v>
      </c>
      <c r="U8" s="599"/>
      <c r="V8" s="604">
        <f t="shared" si="5"/>
        <v>7830.9</v>
      </c>
      <c r="W8" s="601">
        <v>7831.1</v>
      </c>
      <c r="X8" s="604">
        <f t="shared" si="0"/>
        <v>40.000000000145519</v>
      </c>
      <c r="Y8" s="650">
        <f t="shared" si="10"/>
        <v>44109</v>
      </c>
      <c r="Z8" s="599"/>
      <c r="AA8" s="599"/>
      <c r="AB8" s="603">
        <f>'Water-Meter'!P10</f>
        <v>20325</v>
      </c>
      <c r="AC8" s="662">
        <f t="shared" si="11"/>
        <v>-20323</v>
      </c>
    </row>
    <row r="9" spans="1:29" ht="18.75">
      <c r="A9" s="673">
        <f>Gen!C16</f>
        <v>2.3E-2</v>
      </c>
      <c r="B9" s="615">
        <f>Gen!B16</f>
        <v>44110</v>
      </c>
      <c r="C9" s="599"/>
      <c r="D9" s="604">
        <f t="shared" si="1"/>
        <v>8853.5</v>
      </c>
      <c r="E9" s="600">
        <v>8855.4</v>
      </c>
      <c r="F9" s="604">
        <f t="shared" si="2"/>
        <v>227.99999999995634</v>
      </c>
      <c r="G9" s="599"/>
      <c r="H9" s="650">
        <f t="shared" si="6"/>
        <v>44110</v>
      </c>
      <c r="I9" s="599"/>
      <c r="J9" s="651">
        <f>'Water-Meter'!G11</f>
        <v>38000</v>
      </c>
      <c r="K9" s="652">
        <f>'Water-Meter'!G11</f>
        <v>38000</v>
      </c>
      <c r="L9" s="599">
        <f t="shared" si="3"/>
        <v>0</v>
      </c>
      <c r="M9" s="650">
        <f t="shared" si="7"/>
        <v>44110</v>
      </c>
      <c r="N9" s="599"/>
      <c r="O9" s="6">
        <f>'Water-Meter'!J11</f>
        <v>8059</v>
      </c>
      <c r="P9" s="603">
        <f>'Water-Meter'!J11</f>
        <v>8059</v>
      </c>
      <c r="Q9" s="599">
        <f t="shared" si="8"/>
        <v>-8058</v>
      </c>
      <c r="R9" s="653">
        <f t="shared" si="4"/>
        <v>-4.9894736842105267</v>
      </c>
      <c r="S9" s="654">
        <f>Gen!T16</f>
        <v>982.58999999999992</v>
      </c>
      <c r="T9" s="650">
        <f t="shared" si="9"/>
        <v>44110</v>
      </c>
      <c r="U9" s="599"/>
      <c r="V9" s="604">
        <f t="shared" si="5"/>
        <v>7831.1</v>
      </c>
      <c r="W9" s="601">
        <v>7831.4</v>
      </c>
      <c r="X9" s="604">
        <f t="shared" si="0"/>
        <v>59.999999999854481</v>
      </c>
      <c r="Y9" s="650">
        <f t="shared" si="10"/>
        <v>44110</v>
      </c>
      <c r="Z9" s="599"/>
      <c r="AA9" s="599"/>
      <c r="AB9" s="603">
        <f>'Water-Meter'!P11</f>
        <v>20328</v>
      </c>
      <c r="AC9" s="662">
        <f t="shared" si="11"/>
        <v>-20325</v>
      </c>
    </row>
    <row r="10" spans="1:29" ht="18.75">
      <c r="A10" s="673">
        <f>Gen!C17</f>
        <v>3.9E-2</v>
      </c>
      <c r="B10" s="615">
        <f>Gen!B17</f>
        <v>44111</v>
      </c>
      <c r="C10" s="599"/>
      <c r="D10" s="604">
        <f t="shared" si="1"/>
        <v>8855.4</v>
      </c>
      <c r="E10" s="600">
        <v>8857.2000000000007</v>
      </c>
      <c r="F10" s="604">
        <f t="shared" si="2"/>
        <v>216.00000000013097</v>
      </c>
      <c r="G10" s="599"/>
      <c r="H10" s="650">
        <f t="shared" si="6"/>
        <v>44111</v>
      </c>
      <c r="I10" s="599"/>
      <c r="J10" s="651">
        <f>'Water-Meter'!G12</f>
        <v>38000</v>
      </c>
      <c r="K10" s="652">
        <f>'Water-Meter'!G12</f>
        <v>38000</v>
      </c>
      <c r="L10" s="599">
        <f t="shared" si="3"/>
        <v>0</v>
      </c>
      <c r="M10" s="650">
        <f t="shared" si="7"/>
        <v>44111</v>
      </c>
      <c r="N10" s="599"/>
      <c r="O10" s="6">
        <f>'Water-Meter'!J12</f>
        <v>8060</v>
      </c>
      <c r="P10" s="603">
        <f>'Water-Meter'!J12</f>
        <v>8060</v>
      </c>
      <c r="Q10" s="599">
        <f t="shared" si="8"/>
        <v>-8059</v>
      </c>
      <c r="R10" s="653">
        <f t="shared" si="4"/>
        <v>-4.9900928792569657</v>
      </c>
      <c r="S10" s="654">
        <f>Gen!T17</f>
        <v>950.56999999999994</v>
      </c>
      <c r="T10" s="650">
        <f t="shared" si="9"/>
        <v>44111</v>
      </c>
      <c r="U10" s="599"/>
      <c r="V10" s="604">
        <f t="shared" si="5"/>
        <v>7831.4</v>
      </c>
      <c r="W10" s="601">
        <v>7831.6</v>
      </c>
      <c r="X10" s="604">
        <f t="shared" si="0"/>
        <v>40.000000000145519</v>
      </c>
      <c r="Y10" s="650">
        <f t="shared" si="10"/>
        <v>44111</v>
      </c>
      <c r="Z10" s="599"/>
      <c r="AA10" s="599"/>
      <c r="AB10" s="603">
        <f>'Water-Meter'!P12</f>
        <v>20331</v>
      </c>
      <c r="AC10" s="662">
        <f t="shared" si="11"/>
        <v>-20328</v>
      </c>
    </row>
    <row r="11" spans="1:29" ht="18.75">
      <c r="A11" s="673">
        <f>Gen!C18</f>
        <v>5.1900000000000002E-2</v>
      </c>
      <c r="B11" s="615">
        <f>Gen!B18</f>
        <v>44112</v>
      </c>
      <c r="C11" s="599"/>
      <c r="D11" s="604">
        <f t="shared" si="1"/>
        <v>8857.2000000000007</v>
      </c>
      <c r="E11" s="600">
        <v>8859.1</v>
      </c>
      <c r="F11" s="604">
        <f t="shared" si="2"/>
        <v>227.99999999995634</v>
      </c>
      <c r="G11" s="599"/>
      <c r="H11" s="650">
        <f t="shared" si="6"/>
        <v>44112</v>
      </c>
      <c r="I11" s="599"/>
      <c r="J11" s="651">
        <f>'Water-Meter'!G13</f>
        <v>38000</v>
      </c>
      <c r="K11" s="652">
        <f>'Water-Meter'!G13</f>
        <v>38000</v>
      </c>
      <c r="L11" s="599">
        <f t="shared" si="3"/>
        <v>0</v>
      </c>
      <c r="M11" s="650">
        <f t="shared" si="7"/>
        <v>44112</v>
      </c>
      <c r="N11" s="599"/>
      <c r="O11" s="6">
        <f>'Water-Meter'!J13</f>
        <v>8061</v>
      </c>
      <c r="P11" s="603">
        <f>'Water-Meter'!J13</f>
        <v>8061</v>
      </c>
      <c r="Q11" s="599">
        <f t="shared" si="8"/>
        <v>-8060</v>
      </c>
      <c r="R11" s="653">
        <f t="shared" si="4"/>
        <v>-4.9907120743034055</v>
      </c>
      <c r="S11" s="654">
        <f>Gen!T18</f>
        <v>956.81999999999994</v>
      </c>
      <c r="T11" s="650">
        <f t="shared" si="9"/>
        <v>44112</v>
      </c>
      <c r="U11" s="599"/>
      <c r="V11" s="604">
        <f t="shared" si="5"/>
        <v>7831.6</v>
      </c>
      <c r="W11" s="601">
        <v>7831.9</v>
      </c>
      <c r="X11" s="604">
        <f t="shared" si="0"/>
        <v>59.999999999854481</v>
      </c>
      <c r="Y11" s="650">
        <f t="shared" si="10"/>
        <v>44112</v>
      </c>
      <c r="Z11" s="599"/>
      <c r="AA11" s="599"/>
      <c r="AB11" s="603">
        <f>'Water-Meter'!P13</f>
        <v>20334</v>
      </c>
      <c r="AC11" s="662">
        <f t="shared" si="11"/>
        <v>-20331</v>
      </c>
    </row>
    <row r="12" spans="1:29" ht="18.75">
      <c r="A12" s="673">
        <f>Gen!C19</f>
        <v>5.1900000000000002E-2</v>
      </c>
      <c r="B12" s="615">
        <f>Gen!B19</f>
        <v>44113</v>
      </c>
      <c r="C12" s="599"/>
      <c r="D12" s="604">
        <f t="shared" si="1"/>
        <v>8859.1</v>
      </c>
      <c r="E12" s="600">
        <v>8861.1</v>
      </c>
      <c r="F12" s="604">
        <f t="shared" si="2"/>
        <v>240</v>
      </c>
      <c r="G12" s="599"/>
      <c r="H12" s="650">
        <f t="shared" si="6"/>
        <v>44113</v>
      </c>
      <c r="I12" s="599"/>
      <c r="J12" s="651">
        <f>'Water-Meter'!G14</f>
        <v>38000</v>
      </c>
      <c r="K12" s="652">
        <f>'Water-Meter'!G14</f>
        <v>38000</v>
      </c>
      <c r="L12" s="599">
        <f t="shared" si="3"/>
        <v>0</v>
      </c>
      <c r="M12" s="650">
        <f t="shared" si="7"/>
        <v>44113</v>
      </c>
      <c r="N12" s="599"/>
      <c r="O12" s="6">
        <f>'Water-Meter'!J14</f>
        <v>8062</v>
      </c>
      <c r="P12" s="603">
        <f>'Water-Meter'!J14</f>
        <v>8062</v>
      </c>
      <c r="Q12" s="599">
        <f t="shared" si="8"/>
        <v>-8061</v>
      </c>
      <c r="R12" s="653">
        <f t="shared" si="4"/>
        <v>-4.9913312693498453</v>
      </c>
      <c r="S12" s="654">
        <f>Gen!T19</f>
        <v>990.35</v>
      </c>
      <c r="T12" s="650">
        <f t="shared" si="9"/>
        <v>44113</v>
      </c>
      <c r="U12" s="599"/>
      <c r="V12" s="604">
        <f t="shared" si="5"/>
        <v>7831.9</v>
      </c>
      <c r="W12" s="601">
        <v>7832.4</v>
      </c>
      <c r="X12" s="604">
        <f t="shared" si="0"/>
        <v>100</v>
      </c>
      <c r="Y12" s="650">
        <f t="shared" si="10"/>
        <v>44113</v>
      </c>
      <c r="Z12" s="599"/>
      <c r="AA12" s="599"/>
      <c r="AB12" s="603">
        <f>'Water-Meter'!P14</f>
        <v>20336</v>
      </c>
      <c r="AC12" s="662">
        <f t="shared" si="11"/>
        <v>-20334</v>
      </c>
    </row>
    <row r="13" spans="1:29" ht="18.75">
      <c r="A13" s="673">
        <f>Gen!C20</f>
        <v>5.1900000000000002E-2</v>
      </c>
      <c r="B13" s="615">
        <f>Gen!B20</f>
        <v>44114</v>
      </c>
      <c r="C13" s="599"/>
      <c r="D13" s="604">
        <f t="shared" si="1"/>
        <v>8861.1</v>
      </c>
      <c r="E13" s="600">
        <v>8862.7999999999993</v>
      </c>
      <c r="F13" s="604">
        <f t="shared" si="2"/>
        <v>203.99999999986903</v>
      </c>
      <c r="G13" s="599"/>
      <c r="H13" s="650">
        <f t="shared" si="6"/>
        <v>44114</v>
      </c>
      <c r="I13" s="599"/>
      <c r="J13" s="651">
        <f>'Water-Meter'!G15</f>
        <v>38000</v>
      </c>
      <c r="K13" s="652">
        <f>'Water-Meter'!G15</f>
        <v>38000</v>
      </c>
      <c r="L13" s="599">
        <f t="shared" si="3"/>
        <v>0</v>
      </c>
      <c r="M13" s="650">
        <f t="shared" si="7"/>
        <v>44114</v>
      </c>
      <c r="N13" s="599"/>
      <c r="O13" s="6">
        <f>'Water-Meter'!J15</f>
        <v>8063</v>
      </c>
      <c r="P13" s="603">
        <f>'Water-Meter'!J15</f>
        <v>8063</v>
      </c>
      <c r="Q13" s="599">
        <f t="shared" si="8"/>
        <v>-8062</v>
      </c>
      <c r="R13" s="653">
        <f t="shared" si="4"/>
        <v>-4.9919504643962851</v>
      </c>
      <c r="S13" s="654">
        <f>Gen!T20</f>
        <v>995.05000000000007</v>
      </c>
      <c r="T13" s="650">
        <f t="shared" si="9"/>
        <v>44114</v>
      </c>
      <c r="U13" s="599"/>
      <c r="V13" s="604">
        <f t="shared" si="5"/>
        <v>7832.4</v>
      </c>
      <c r="W13" s="601">
        <v>7832.6</v>
      </c>
      <c r="X13" s="604">
        <f t="shared" si="0"/>
        <v>40.000000000145519</v>
      </c>
      <c r="Y13" s="650">
        <f t="shared" si="10"/>
        <v>44114</v>
      </c>
      <c r="Z13" s="599"/>
      <c r="AA13" s="599"/>
      <c r="AB13" s="603">
        <f>'Water-Meter'!P15</f>
        <v>20338</v>
      </c>
      <c r="AC13" s="662">
        <f t="shared" si="11"/>
        <v>-20336</v>
      </c>
    </row>
    <row r="14" spans="1:29" ht="18.75">
      <c r="A14" s="673">
        <f>Gen!C21</f>
        <v>1.2999999999999999E-2</v>
      </c>
      <c r="B14" s="615">
        <f>Gen!B21</f>
        <v>44115</v>
      </c>
      <c r="C14" s="599"/>
      <c r="D14" s="604">
        <f t="shared" si="1"/>
        <v>8862.7999999999993</v>
      </c>
      <c r="E14" s="600">
        <v>8864.6</v>
      </c>
      <c r="F14" s="604">
        <f t="shared" si="2"/>
        <v>216.00000000013097</v>
      </c>
      <c r="G14" s="599"/>
      <c r="H14" s="650">
        <f t="shared" si="6"/>
        <v>44115</v>
      </c>
      <c r="I14" s="599"/>
      <c r="J14" s="651">
        <f>'Water-Meter'!G16</f>
        <v>38000</v>
      </c>
      <c r="K14" s="652">
        <f>'Water-Meter'!G16</f>
        <v>38000</v>
      </c>
      <c r="L14" s="599">
        <f t="shared" si="3"/>
        <v>0</v>
      </c>
      <c r="M14" s="650">
        <f t="shared" si="7"/>
        <v>44115</v>
      </c>
      <c r="N14" s="599"/>
      <c r="O14" s="6">
        <f>'Water-Meter'!J16</f>
        <v>8064</v>
      </c>
      <c r="P14" s="603">
        <f>'Water-Meter'!J16</f>
        <v>8064</v>
      </c>
      <c r="Q14" s="599">
        <f t="shared" si="8"/>
        <v>-8063</v>
      </c>
      <c r="R14" s="653">
        <f t="shared" si="4"/>
        <v>-4.992569659442724</v>
      </c>
      <c r="S14" s="654">
        <f>Gen!T21</f>
        <v>980.98</v>
      </c>
      <c r="T14" s="650">
        <f t="shared" si="9"/>
        <v>44115</v>
      </c>
      <c r="U14" s="599"/>
      <c r="V14" s="604">
        <f t="shared" si="5"/>
        <v>7832.6</v>
      </c>
      <c r="W14" s="601">
        <v>7832.9</v>
      </c>
      <c r="X14" s="604">
        <f t="shared" si="0"/>
        <v>59.999999999854481</v>
      </c>
      <c r="Y14" s="650">
        <f t="shared" si="10"/>
        <v>44115</v>
      </c>
      <c r="Z14" s="599"/>
      <c r="AA14" s="599"/>
      <c r="AB14" s="603">
        <f>'Water-Meter'!P16</f>
        <v>20340</v>
      </c>
      <c r="AC14" s="662">
        <f t="shared" si="11"/>
        <v>-20338</v>
      </c>
    </row>
    <row r="15" spans="1:29" ht="18.75">
      <c r="A15" s="673">
        <f>Gen!C22</f>
        <v>3.9E-2</v>
      </c>
      <c r="B15" s="615">
        <f>Gen!B22</f>
        <v>44116</v>
      </c>
      <c r="C15" s="599"/>
      <c r="D15" s="604">
        <f t="shared" si="1"/>
        <v>8864.6</v>
      </c>
      <c r="E15" s="600">
        <v>8866.4</v>
      </c>
      <c r="F15" s="604">
        <f t="shared" si="2"/>
        <v>215.99999999991269</v>
      </c>
      <c r="G15" s="599"/>
      <c r="H15" s="650">
        <f t="shared" si="6"/>
        <v>44116</v>
      </c>
      <c r="I15" s="599"/>
      <c r="J15" s="651">
        <f>'Water-Meter'!G17</f>
        <v>38000</v>
      </c>
      <c r="K15" s="652">
        <f>'Water-Meter'!G17</f>
        <v>38000</v>
      </c>
      <c r="L15" s="599">
        <f t="shared" si="3"/>
        <v>0</v>
      </c>
      <c r="M15" s="650">
        <f t="shared" si="7"/>
        <v>44116</v>
      </c>
      <c r="N15" s="599"/>
      <c r="O15" s="6">
        <f>'Water-Meter'!J17</f>
        <v>8065</v>
      </c>
      <c r="P15" s="603">
        <f>'Water-Meter'!J17</f>
        <v>8065</v>
      </c>
      <c r="Q15" s="599">
        <f t="shared" si="8"/>
        <v>-8064</v>
      </c>
      <c r="R15" s="653">
        <f t="shared" si="4"/>
        <v>-4.9931888544891638</v>
      </c>
      <c r="S15" s="654">
        <f>Gen!T22</f>
        <v>935.25</v>
      </c>
      <c r="T15" s="650">
        <f t="shared" si="9"/>
        <v>44116</v>
      </c>
      <c r="U15" s="599"/>
      <c r="V15" s="604">
        <f t="shared" si="5"/>
        <v>7832.9</v>
      </c>
      <c r="W15" s="601">
        <v>7833.1</v>
      </c>
      <c r="X15" s="604">
        <f t="shared" si="0"/>
        <v>40.000000000145519</v>
      </c>
      <c r="Y15" s="650">
        <f t="shared" si="10"/>
        <v>44116</v>
      </c>
      <c r="Z15" s="599"/>
      <c r="AA15" s="599"/>
      <c r="AB15" s="603">
        <f>'Water-Meter'!P17</f>
        <v>20344</v>
      </c>
      <c r="AC15" s="662">
        <f t="shared" si="11"/>
        <v>-20340</v>
      </c>
    </row>
    <row r="16" spans="1:29" ht="18.75">
      <c r="A16" s="673">
        <f>Gen!C23</f>
        <v>5.1900000000000002E-2</v>
      </c>
      <c r="B16" s="615">
        <f>Gen!B23</f>
        <v>44117</v>
      </c>
      <c r="C16" s="599"/>
      <c r="D16" s="604">
        <f t="shared" si="1"/>
        <v>8866.4</v>
      </c>
      <c r="E16" s="600">
        <v>8868.1</v>
      </c>
      <c r="F16" s="604">
        <f>SUM(E16-D16)*120</f>
        <v>204.00000000008731</v>
      </c>
      <c r="G16" s="599"/>
      <c r="H16" s="650">
        <f t="shared" si="6"/>
        <v>44117</v>
      </c>
      <c r="I16" s="599"/>
      <c r="J16" s="651">
        <f>'Water-Meter'!G18</f>
        <v>38000</v>
      </c>
      <c r="K16" s="652">
        <f>'Water-Meter'!G18</f>
        <v>38000</v>
      </c>
      <c r="L16" s="599">
        <f t="shared" si="3"/>
        <v>0</v>
      </c>
      <c r="M16" s="650">
        <f t="shared" si="7"/>
        <v>44117</v>
      </c>
      <c r="N16" s="599"/>
      <c r="O16" s="6">
        <f>'Water-Meter'!J18</f>
        <v>8066</v>
      </c>
      <c r="P16" s="603">
        <f>'Water-Meter'!J18</f>
        <v>8066</v>
      </c>
      <c r="Q16" s="599">
        <f t="shared" si="8"/>
        <v>-8065</v>
      </c>
      <c r="R16" s="653">
        <f t="shared" si="4"/>
        <v>-4.9938080495356036</v>
      </c>
      <c r="S16" s="654">
        <f>Gen!T23</f>
        <v>995.96</v>
      </c>
      <c r="T16" s="650">
        <f t="shared" si="9"/>
        <v>44117</v>
      </c>
      <c r="U16" s="599"/>
      <c r="V16" s="604">
        <f t="shared" si="5"/>
        <v>7833.1</v>
      </c>
      <c r="W16" s="601">
        <v>7833.4</v>
      </c>
      <c r="X16" s="604">
        <f t="shared" si="0"/>
        <v>59.999999999854481</v>
      </c>
      <c r="Y16" s="650">
        <f t="shared" si="10"/>
        <v>44117</v>
      </c>
      <c r="Z16" s="599"/>
      <c r="AA16" s="599"/>
      <c r="AB16" s="603">
        <f>'Water-Meter'!P18</f>
        <v>20346</v>
      </c>
      <c r="AC16" s="662">
        <f t="shared" si="11"/>
        <v>-20344</v>
      </c>
    </row>
    <row r="17" spans="1:29" ht="18.75">
      <c r="A17" s="673">
        <f>Gen!C24</f>
        <v>1.2999999999999999E-2</v>
      </c>
      <c r="B17" s="615">
        <f>Gen!B24</f>
        <v>44118</v>
      </c>
      <c r="C17" s="599"/>
      <c r="D17" s="604">
        <f t="shared" si="1"/>
        <v>8868.1</v>
      </c>
      <c r="E17" s="600">
        <v>8869.7999999999993</v>
      </c>
      <c r="F17" s="604">
        <f>SUM(E17-D17)*120</f>
        <v>203.99999999986903</v>
      </c>
      <c r="G17" s="599"/>
      <c r="H17" s="650">
        <f t="shared" si="6"/>
        <v>44118</v>
      </c>
      <c r="I17" s="599"/>
      <c r="J17" s="651">
        <f>'Water-Meter'!G19</f>
        <v>38000</v>
      </c>
      <c r="K17" s="652">
        <f>'Water-Meter'!G19</f>
        <v>38000</v>
      </c>
      <c r="L17" s="599">
        <f t="shared" si="3"/>
        <v>0</v>
      </c>
      <c r="M17" s="650">
        <f t="shared" si="7"/>
        <v>44118</v>
      </c>
      <c r="N17" s="599"/>
      <c r="O17" s="6">
        <f>'Water-Meter'!J19</f>
        <v>8066</v>
      </c>
      <c r="P17" s="603">
        <f>'Water-Meter'!J19</f>
        <v>8066</v>
      </c>
      <c r="Q17" s="599">
        <f t="shared" si="8"/>
        <v>-8066</v>
      </c>
      <c r="R17" s="653">
        <f t="shared" si="4"/>
        <v>-4.9944272445820435</v>
      </c>
      <c r="S17" s="654">
        <f>Gen!T24</f>
        <v>974.17000000000007</v>
      </c>
      <c r="T17" s="650">
        <f t="shared" si="9"/>
        <v>44118</v>
      </c>
      <c r="U17" s="599"/>
      <c r="V17" s="604">
        <f t="shared" si="5"/>
        <v>7833.4</v>
      </c>
      <c r="W17" s="601">
        <v>7833.7</v>
      </c>
      <c r="X17" s="604">
        <f t="shared" si="0"/>
        <v>60.00000000003638</v>
      </c>
      <c r="Y17" s="650">
        <f t="shared" si="10"/>
        <v>44118</v>
      </c>
      <c r="Z17" s="599"/>
      <c r="AA17" s="599"/>
      <c r="AB17" s="603">
        <f>'Water-Meter'!P19</f>
        <v>20348</v>
      </c>
      <c r="AC17" s="662">
        <f t="shared" si="11"/>
        <v>-20346</v>
      </c>
    </row>
    <row r="18" spans="1:29" ht="18.75">
      <c r="A18" s="673">
        <f>Gen!C25</f>
        <v>5.1900000000000002E-2</v>
      </c>
      <c r="B18" s="615">
        <f>Gen!B25</f>
        <v>44119</v>
      </c>
      <c r="C18" s="599"/>
      <c r="D18" s="604">
        <f t="shared" si="1"/>
        <v>8869.7999999999993</v>
      </c>
      <c r="E18" s="600">
        <v>8871.5</v>
      </c>
      <c r="F18" s="604">
        <f t="shared" ref="F18:F22" si="12">SUM(E18-D18)*120</f>
        <v>204.00000000008731</v>
      </c>
      <c r="G18" s="599"/>
      <c r="H18" s="650">
        <f t="shared" si="6"/>
        <v>44119</v>
      </c>
      <c r="I18" s="599"/>
      <c r="J18" s="651">
        <f>'Water-Meter'!G20</f>
        <v>38000</v>
      </c>
      <c r="K18" s="652">
        <f>'Water-Meter'!G20</f>
        <v>38000</v>
      </c>
      <c r="L18" s="599">
        <f t="shared" si="3"/>
        <v>0</v>
      </c>
      <c r="M18" s="650">
        <f t="shared" si="7"/>
        <v>44119</v>
      </c>
      <c r="N18" s="599"/>
      <c r="O18" s="6">
        <f>'Water-Meter'!J20</f>
        <v>8067</v>
      </c>
      <c r="P18" s="603">
        <f>'Water-Meter'!J20</f>
        <v>8067</v>
      </c>
      <c r="Q18" s="599">
        <f t="shared" si="8"/>
        <v>-8066</v>
      </c>
      <c r="R18" s="653">
        <f t="shared" si="4"/>
        <v>-4.9944272445820435</v>
      </c>
      <c r="S18" s="654">
        <f>Gen!T25</f>
        <v>1042.8800000000001</v>
      </c>
      <c r="T18" s="650">
        <f t="shared" si="9"/>
        <v>44119</v>
      </c>
      <c r="U18" s="599"/>
      <c r="V18" s="604">
        <f t="shared" si="5"/>
        <v>7833.7</v>
      </c>
      <c r="W18" s="601">
        <v>7834.5</v>
      </c>
      <c r="X18" s="604">
        <f t="shared" si="0"/>
        <v>160.00000000003638</v>
      </c>
      <c r="Y18" s="650">
        <f t="shared" si="10"/>
        <v>44119</v>
      </c>
      <c r="Z18" s="599"/>
      <c r="AA18" s="599"/>
      <c r="AB18" s="603">
        <f>'Water-Meter'!P20</f>
        <v>20350</v>
      </c>
      <c r="AC18" s="662">
        <f t="shared" si="11"/>
        <v>-20348</v>
      </c>
    </row>
    <row r="19" spans="1:29" ht="18.75">
      <c r="A19" s="673">
        <f>Gen!C26</f>
        <v>0.1169</v>
      </c>
      <c r="B19" s="615">
        <f>Gen!B26</f>
        <v>44120</v>
      </c>
      <c r="C19" s="602"/>
      <c r="D19" s="604">
        <f t="shared" si="1"/>
        <v>8871.5</v>
      </c>
      <c r="E19" s="600">
        <v>8873.4</v>
      </c>
      <c r="F19" s="604">
        <f t="shared" si="12"/>
        <v>227.99999999995634</v>
      </c>
      <c r="G19" s="599"/>
      <c r="H19" s="650">
        <f t="shared" si="6"/>
        <v>44120</v>
      </c>
      <c r="I19" s="602"/>
      <c r="J19" s="651">
        <f>'Water-Meter'!G21</f>
        <v>38000</v>
      </c>
      <c r="K19" s="652">
        <f>'Water-Meter'!G21</f>
        <v>38000</v>
      </c>
      <c r="L19" s="599">
        <f t="shared" si="3"/>
        <v>0</v>
      </c>
      <c r="M19" s="650">
        <f t="shared" si="7"/>
        <v>44120</v>
      </c>
      <c r="N19" s="602"/>
      <c r="O19" s="6">
        <f>'Water-Meter'!J21</f>
        <v>8068</v>
      </c>
      <c r="P19" s="603">
        <f>'Water-Meter'!J21</f>
        <v>8068</v>
      </c>
      <c r="Q19" s="599">
        <f t="shared" si="8"/>
        <v>-8067</v>
      </c>
      <c r="R19" s="653">
        <f t="shared" si="4"/>
        <v>-4.9950464396284833</v>
      </c>
      <c r="S19" s="654">
        <f>Gen!T26</f>
        <v>1176.97</v>
      </c>
      <c r="T19" s="650">
        <f t="shared" si="9"/>
        <v>44120</v>
      </c>
      <c r="U19" s="602"/>
      <c r="V19" s="604">
        <f t="shared" si="5"/>
        <v>7834.5</v>
      </c>
      <c r="W19" s="601">
        <v>7834.8</v>
      </c>
      <c r="X19" s="604">
        <f t="shared" si="0"/>
        <v>60.00000000003638</v>
      </c>
      <c r="Y19" s="650">
        <f t="shared" si="10"/>
        <v>44120</v>
      </c>
      <c r="Z19" s="602"/>
      <c r="AA19" s="599"/>
      <c r="AB19" s="603">
        <f>'Water-Meter'!P21</f>
        <v>20353</v>
      </c>
      <c r="AC19" s="662">
        <f t="shared" si="11"/>
        <v>-20350</v>
      </c>
    </row>
    <row r="20" spans="1:29" ht="18.75">
      <c r="A20" s="673">
        <f>Gen!C27</f>
        <v>0.15790000000000001</v>
      </c>
      <c r="B20" s="615">
        <f>Gen!B27</f>
        <v>44121</v>
      </c>
      <c r="C20" s="602"/>
      <c r="D20" s="604">
        <f t="shared" si="1"/>
        <v>8873.4</v>
      </c>
      <c r="E20" s="600">
        <v>8875.5</v>
      </c>
      <c r="F20" s="604">
        <f t="shared" si="12"/>
        <v>252.00000000004366</v>
      </c>
      <c r="G20" s="599"/>
      <c r="H20" s="650">
        <f t="shared" si="6"/>
        <v>44121</v>
      </c>
      <c r="I20" s="602"/>
      <c r="J20" s="651">
        <f>'Water-Meter'!G22</f>
        <v>38000</v>
      </c>
      <c r="K20" s="652">
        <f>'Water-Meter'!G22</f>
        <v>38000</v>
      </c>
      <c r="L20" s="599">
        <f t="shared" si="3"/>
        <v>0</v>
      </c>
      <c r="M20" s="650">
        <f t="shared" si="7"/>
        <v>44121</v>
      </c>
      <c r="N20" s="602"/>
      <c r="O20" s="6">
        <f>'Water-Meter'!J22</f>
        <v>8068</v>
      </c>
      <c r="P20" s="603">
        <f>'Water-Meter'!J22</f>
        <v>8068</v>
      </c>
      <c r="Q20" s="599">
        <f t="shared" si="8"/>
        <v>-8068</v>
      </c>
      <c r="R20" s="653">
        <f t="shared" si="4"/>
        <v>-4.9956656346749222</v>
      </c>
      <c r="S20" s="654">
        <f>Gen!T27</f>
        <v>997.16000000000008</v>
      </c>
      <c r="T20" s="650">
        <f t="shared" si="9"/>
        <v>44121</v>
      </c>
      <c r="U20" s="602"/>
      <c r="V20" s="604">
        <f t="shared" si="5"/>
        <v>7834.8</v>
      </c>
      <c r="W20" s="601">
        <v>7835.2</v>
      </c>
      <c r="X20" s="604">
        <f t="shared" si="0"/>
        <v>79.99999999992724</v>
      </c>
      <c r="Y20" s="650">
        <f t="shared" si="10"/>
        <v>44121</v>
      </c>
      <c r="Z20" s="602"/>
      <c r="AA20" s="599"/>
      <c r="AB20" s="603">
        <f>'Water-Meter'!P22</f>
        <v>20357</v>
      </c>
      <c r="AC20" s="662">
        <f t="shared" si="11"/>
        <v>-20353</v>
      </c>
    </row>
    <row r="21" spans="1:29" ht="18.75">
      <c r="A21" s="673">
        <f>Gen!C28</f>
        <v>0.15790000000000001</v>
      </c>
      <c r="B21" s="615">
        <f>Gen!B28</f>
        <v>44122</v>
      </c>
      <c r="C21" s="602"/>
      <c r="D21" s="604">
        <f t="shared" si="1"/>
        <v>8875.5</v>
      </c>
      <c r="E21" s="600">
        <v>8877.5</v>
      </c>
      <c r="F21" s="604">
        <f t="shared" si="12"/>
        <v>240</v>
      </c>
      <c r="G21" s="599"/>
      <c r="H21" s="650">
        <f t="shared" si="6"/>
        <v>44122</v>
      </c>
      <c r="I21" s="602"/>
      <c r="J21" s="651">
        <f>'Water-Meter'!G23</f>
        <v>38000</v>
      </c>
      <c r="K21" s="652">
        <f>'Water-Meter'!G23</f>
        <v>38000</v>
      </c>
      <c r="L21" s="599">
        <f t="shared" si="3"/>
        <v>0</v>
      </c>
      <c r="M21" s="650">
        <f t="shared" si="7"/>
        <v>44122</v>
      </c>
      <c r="N21" s="602"/>
      <c r="O21" s="6">
        <f>'Water-Meter'!J23</f>
        <v>8070</v>
      </c>
      <c r="P21" s="603">
        <f>'Water-Meter'!J23</f>
        <v>8070</v>
      </c>
      <c r="Q21" s="599">
        <f t="shared" ref="Q21:Q35" si="13">N21-O20</f>
        <v>-8068</v>
      </c>
      <c r="R21" s="653">
        <f t="shared" ref="R21:R35" si="14">SUM(Q21/1615)</f>
        <v>-4.9956656346749222</v>
      </c>
      <c r="S21" s="654">
        <f>Gen!T28</f>
        <v>1208.03</v>
      </c>
      <c r="T21" s="650">
        <f t="shared" si="9"/>
        <v>44122</v>
      </c>
      <c r="U21" s="602"/>
      <c r="V21" s="604">
        <f t="shared" si="5"/>
        <v>7835.2</v>
      </c>
      <c r="W21" s="601">
        <v>7836.1</v>
      </c>
      <c r="X21" s="604">
        <f t="shared" si="0"/>
        <v>180.00000000010914</v>
      </c>
      <c r="Y21" s="650">
        <f t="shared" si="10"/>
        <v>44122</v>
      </c>
      <c r="Z21" s="602"/>
      <c r="AA21" s="599"/>
      <c r="AB21" s="603">
        <f>'Water-Meter'!P23</f>
        <v>20360</v>
      </c>
      <c r="AC21" s="662">
        <f t="shared" si="11"/>
        <v>-20357</v>
      </c>
    </row>
    <row r="22" spans="1:29" ht="18.75">
      <c r="A22" s="673">
        <f>Gen!C29</f>
        <v>0.12989999999999999</v>
      </c>
      <c r="B22" s="615">
        <f>Gen!B29</f>
        <v>44123</v>
      </c>
      <c r="C22" s="599"/>
      <c r="D22" s="604">
        <f t="shared" si="1"/>
        <v>8877.5</v>
      </c>
      <c r="E22" s="600"/>
      <c r="F22" s="604">
        <f t="shared" si="12"/>
        <v>-1065300</v>
      </c>
      <c r="G22" s="599"/>
      <c r="H22" s="650">
        <f t="shared" si="6"/>
        <v>44123</v>
      </c>
      <c r="I22" s="599"/>
      <c r="J22" s="651">
        <f>'Water-Meter'!G24</f>
        <v>0</v>
      </c>
      <c r="K22" s="652">
        <f>'Water-Meter'!G24</f>
        <v>0</v>
      </c>
      <c r="L22" s="599">
        <f t="shared" si="3"/>
        <v>0</v>
      </c>
      <c r="M22" s="650">
        <f t="shared" si="7"/>
        <v>44123</v>
      </c>
      <c r="N22" s="599"/>
      <c r="O22" s="6">
        <f>'Water-Meter'!J24</f>
        <v>0</v>
      </c>
      <c r="P22" s="603">
        <f>'Water-Meter'!J24</f>
        <v>0</v>
      </c>
      <c r="Q22" s="599">
        <f t="shared" si="13"/>
        <v>-8070</v>
      </c>
      <c r="R22" s="653">
        <f t="shared" si="14"/>
        <v>-4.9969040247678018</v>
      </c>
      <c r="S22" s="654">
        <f>Gen!T29</f>
        <v>0</v>
      </c>
      <c r="T22" s="650">
        <f t="shared" si="9"/>
        <v>44123</v>
      </c>
      <c r="U22" s="599"/>
      <c r="V22" s="604">
        <f t="shared" si="5"/>
        <v>7836.1</v>
      </c>
      <c r="W22" s="601"/>
      <c r="X22" s="604">
        <f t="shared" si="0"/>
        <v>-1567220</v>
      </c>
      <c r="Y22" s="650">
        <f t="shared" si="10"/>
        <v>44123</v>
      </c>
      <c r="Z22" s="599"/>
      <c r="AA22" s="599"/>
      <c r="AB22" s="603">
        <f>'Water-Meter'!P24</f>
        <v>0</v>
      </c>
      <c r="AC22" s="662">
        <f t="shared" si="11"/>
        <v>-20360</v>
      </c>
    </row>
    <row r="23" spans="1:29" ht="18.75">
      <c r="A23" s="673">
        <f>Gen!C30</f>
        <v>0</v>
      </c>
      <c r="B23" s="615">
        <f>Gen!B30</f>
        <v>44124</v>
      </c>
      <c r="C23" s="602"/>
      <c r="D23" s="604">
        <f t="shared" si="1"/>
        <v>0</v>
      </c>
      <c r="E23" s="600"/>
      <c r="F23" s="604">
        <f t="shared" ref="F23:F34" si="15">SUM(E23-D23)*120</f>
        <v>0</v>
      </c>
      <c r="G23" s="599"/>
      <c r="H23" s="650">
        <f t="shared" si="6"/>
        <v>44124</v>
      </c>
      <c r="I23" s="602"/>
      <c r="J23" s="651">
        <f>'Water-Meter'!G25</f>
        <v>0</v>
      </c>
      <c r="K23" s="652">
        <f>'Water-Meter'!G26</f>
        <v>0</v>
      </c>
      <c r="L23" s="599">
        <f t="shared" si="3"/>
        <v>0</v>
      </c>
      <c r="M23" s="650">
        <f t="shared" si="7"/>
        <v>44124</v>
      </c>
      <c r="N23" s="602"/>
      <c r="O23" s="6">
        <f>'Water-Meter'!J25</f>
        <v>0</v>
      </c>
      <c r="P23" s="603">
        <f>'Water-Meter'!J25</f>
        <v>0</v>
      </c>
      <c r="Q23" s="599">
        <f t="shared" si="13"/>
        <v>0</v>
      </c>
      <c r="R23" s="653">
        <f t="shared" si="14"/>
        <v>0</v>
      </c>
      <c r="S23" s="654">
        <f>Gen!T30</f>
        <v>0</v>
      </c>
      <c r="T23" s="650">
        <f t="shared" si="9"/>
        <v>44124</v>
      </c>
      <c r="U23" s="602"/>
      <c r="V23" s="604">
        <f t="shared" si="5"/>
        <v>0</v>
      </c>
      <c r="W23" s="601"/>
      <c r="X23" s="604">
        <f t="shared" si="0"/>
        <v>0</v>
      </c>
      <c r="Y23" s="650">
        <f t="shared" si="10"/>
        <v>44124</v>
      </c>
      <c r="Z23" s="602"/>
      <c r="AA23" s="599"/>
      <c r="AB23" s="603">
        <f>'Water-Meter'!P25</f>
        <v>0</v>
      </c>
      <c r="AC23" s="662">
        <f t="shared" si="11"/>
        <v>0</v>
      </c>
    </row>
    <row r="24" spans="1:29" ht="18.75">
      <c r="A24" s="673">
        <f>Gen!C31</f>
        <v>0</v>
      </c>
      <c r="B24" s="615">
        <f>Gen!B31</f>
        <v>44125</v>
      </c>
      <c r="C24" s="602"/>
      <c r="D24" s="604">
        <f t="shared" ref="D24:D35" si="16">SUM(E23)</f>
        <v>0</v>
      </c>
      <c r="E24" s="600"/>
      <c r="F24" s="604">
        <f t="shared" si="15"/>
        <v>0</v>
      </c>
      <c r="G24" s="599"/>
      <c r="H24" s="650">
        <f t="shared" si="6"/>
        <v>44125</v>
      </c>
      <c r="I24" s="602"/>
      <c r="J24" s="651">
        <f>'Water-Meter'!G26</f>
        <v>0</v>
      </c>
      <c r="K24" s="652">
        <f>'Water-Meter'!G27</f>
        <v>0</v>
      </c>
      <c r="L24" s="599">
        <f t="shared" si="3"/>
        <v>0</v>
      </c>
      <c r="M24" s="650">
        <f t="shared" si="7"/>
        <v>44125</v>
      </c>
      <c r="N24" s="602"/>
      <c r="O24" s="6">
        <f>'Water-Meter'!J26</f>
        <v>0</v>
      </c>
      <c r="P24" s="603">
        <f>'Water-Meter'!J26</f>
        <v>0</v>
      </c>
      <c r="Q24" s="599">
        <f t="shared" si="13"/>
        <v>0</v>
      </c>
      <c r="R24" s="653">
        <f t="shared" si="14"/>
        <v>0</v>
      </c>
      <c r="S24" s="654">
        <f>Gen!T31</f>
        <v>0</v>
      </c>
      <c r="T24" s="650">
        <v>5835.7</v>
      </c>
      <c r="U24" s="602"/>
      <c r="V24" s="604">
        <f t="shared" si="5"/>
        <v>0</v>
      </c>
      <c r="W24" s="601"/>
      <c r="X24" s="604">
        <f t="shared" si="0"/>
        <v>0</v>
      </c>
      <c r="Y24" s="650">
        <f t="shared" si="10"/>
        <v>5835.7</v>
      </c>
      <c r="Z24" s="602"/>
      <c r="AA24" s="599"/>
      <c r="AB24" s="603">
        <f>'Water-Meter'!P26</f>
        <v>0</v>
      </c>
      <c r="AC24" s="662">
        <f t="shared" si="11"/>
        <v>0</v>
      </c>
    </row>
    <row r="25" spans="1:29" ht="18.75">
      <c r="A25" s="673">
        <f>Gen!C32</f>
        <v>0</v>
      </c>
      <c r="B25" s="615">
        <f>Gen!B32</f>
        <v>44126</v>
      </c>
      <c r="C25" s="602"/>
      <c r="D25" s="604">
        <f t="shared" si="16"/>
        <v>0</v>
      </c>
      <c r="E25" s="600"/>
      <c r="F25" s="604">
        <f t="shared" si="15"/>
        <v>0</v>
      </c>
      <c r="G25" s="599"/>
      <c r="H25" s="650">
        <f t="shared" si="6"/>
        <v>44126</v>
      </c>
      <c r="I25" s="602"/>
      <c r="J25" s="651">
        <f>'Water-Meter'!G27</f>
        <v>0</v>
      </c>
      <c r="K25" s="652">
        <f>'Water-Meter'!G28</f>
        <v>0</v>
      </c>
      <c r="L25" s="599">
        <f t="shared" si="3"/>
        <v>0</v>
      </c>
      <c r="M25" s="650">
        <f t="shared" si="7"/>
        <v>44126</v>
      </c>
      <c r="N25" s="602"/>
      <c r="O25" s="6">
        <f>'Water-Meter'!J27</f>
        <v>0</v>
      </c>
      <c r="P25" s="603">
        <f>'Water-Meter'!J27</f>
        <v>0</v>
      </c>
      <c r="Q25" s="599">
        <f t="shared" si="13"/>
        <v>0</v>
      </c>
      <c r="R25" s="653">
        <f t="shared" si="14"/>
        <v>0</v>
      </c>
      <c r="S25" s="654">
        <f>Gen!T32</f>
        <v>0</v>
      </c>
      <c r="T25" s="650">
        <f t="shared" si="9"/>
        <v>44126</v>
      </c>
      <c r="U25" s="602"/>
      <c r="V25" s="604">
        <f t="shared" si="5"/>
        <v>0</v>
      </c>
      <c r="W25" s="601"/>
      <c r="X25" s="604">
        <f t="shared" si="0"/>
        <v>0</v>
      </c>
      <c r="Y25" s="650">
        <f t="shared" si="10"/>
        <v>44126</v>
      </c>
      <c r="Z25" s="602"/>
      <c r="AA25" s="599"/>
      <c r="AB25" s="603">
        <f>'Water-Meter'!P27</f>
        <v>0</v>
      </c>
      <c r="AC25" s="662">
        <f t="shared" si="11"/>
        <v>0</v>
      </c>
    </row>
    <row r="26" spans="1:29" ht="18.75">
      <c r="A26" s="673">
        <f>Gen!C33</f>
        <v>0</v>
      </c>
      <c r="B26" s="615">
        <f>Gen!B33</f>
        <v>44127</v>
      </c>
      <c r="C26" s="602"/>
      <c r="D26" s="604">
        <f t="shared" si="16"/>
        <v>0</v>
      </c>
      <c r="E26" s="600"/>
      <c r="F26" s="604">
        <f t="shared" si="15"/>
        <v>0</v>
      </c>
      <c r="G26" s="599"/>
      <c r="H26" s="650">
        <f t="shared" si="6"/>
        <v>44127</v>
      </c>
      <c r="I26" s="602"/>
      <c r="J26" s="651">
        <f>'Water-Meter'!G28</f>
        <v>0</v>
      </c>
      <c r="K26" s="652">
        <f>'Water-Meter'!G29</f>
        <v>0</v>
      </c>
      <c r="L26" s="599">
        <f t="shared" si="3"/>
        <v>0</v>
      </c>
      <c r="M26" s="650">
        <f t="shared" si="7"/>
        <v>44127</v>
      </c>
      <c r="N26" s="602"/>
      <c r="O26" s="6">
        <f>'Water-Meter'!J28</f>
        <v>0</v>
      </c>
      <c r="P26" s="603">
        <f>'Water-Meter'!J28</f>
        <v>0</v>
      </c>
      <c r="Q26" s="599">
        <f t="shared" si="13"/>
        <v>0</v>
      </c>
      <c r="R26" s="653">
        <f t="shared" si="14"/>
        <v>0</v>
      </c>
      <c r="S26" s="654">
        <f>Gen!T33</f>
        <v>0</v>
      </c>
      <c r="T26" s="650">
        <f t="shared" si="9"/>
        <v>44127</v>
      </c>
      <c r="U26" s="602"/>
      <c r="V26" s="604">
        <f t="shared" si="5"/>
        <v>0</v>
      </c>
      <c r="W26" s="601"/>
      <c r="X26" s="604">
        <f t="shared" si="0"/>
        <v>0</v>
      </c>
      <c r="Y26" s="650">
        <f t="shared" si="10"/>
        <v>44127</v>
      </c>
      <c r="Z26" s="602"/>
      <c r="AA26" s="599"/>
      <c r="AB26" s="603">
        <f>'Water-Meter'!P28</f>
        <v>0</v>
      </c>
      <c r="AC26" s="662">
        <f t="shared" si="11"/>
        <v>0</v>
      </c>
    </row>
    <row r="27" spans="1:29" ht="18.75">
      <c r="A27" s="673">
        <f>Gen!C34</f>
        <v>0</v>
      </c>
      <c r="B27" s="615">
        <f>Gen!B34</f>
        <v>44128</v>
      </c>
      <c r="C27" s="602"/>
      <c r="D27" s="604">
        <f t="shared" si="16"/>
        <v>0</v>
      </c>
      <c r="E27" s="600"/>
      <c r="F27" s="604">
        <f t="shared" si="15"/>
        <v>0</v>
      </c>
      <c r="G27" s="599"/>
      <c r="H27" s="650">
        <f t="shared" si="6"/>
        <v>44128</v>
      </c>
      <c r="I27" s="602"/>
      <c r="J27" s="651">
        <f>'Water-Meter'!G29</f>
        <v>0</v>
      </c>
      <c r="K27" s="652">
        <f>'Water-Meter'!G30</f>
        <v>0</v>
      </c>
      <c r="L27" s="599">
        <f t="shared" si="3"/>
        <v>0</v>
      </c>
      <c r="M27" s="650">
        <f t="shared" si="7"/>
        <v>44128</v>
      </c>
      <c r="N27" s="602"/>
      <c r="O27" s="6">
        <f>'Water-Meter'!J29</f>
        <v>0</v>
      </c>
      <c r="P27" s="603">
        <f>'Water-Meter'!J29</f>
        <v>0</v>
      </c>
      <c r="Q27" s="599">
        <f t="shared" si="13"/>
        <v>0</v>
      </c>
      <c r="R27" s="653">
        <f t="shared" si="14"/>
        <v>0</v>
      </c>
      <c r="S27" s="654">
        <f>Gen!T34</f>
        <v>0</v>
      </c>
      <c r="T27" s="650">
        <f t="shared" si="9"/>
        <v>44128</v>
      </c>
      <c r="U27" s="602"/>
      <c r="V27" s="604">
        <f t="shared" si="5"/>
        <v>0</v>
      </c>
      <c r="W27" s="601"/>
      <c r="X27" s="604">
        <f t="shared" si="0"/>
        <v>0</v>
      </c>
      <c r="Y27" s="650">
        <f t="shared" si="10"/>
        <v>44128</v>
      </c>
      <c r="Z27" s="602"/>
      <c r="AA27" s="599"/>
      <c r="AB27" s="603">
        <f>'Water-Meter'!P29</f>
        <v>0</v>
      </c>
      <c r="AC27" s="662">
        <f t="shared" si="11"/>
        <v>0</v>
      </c>
    </row>
    <row r="28" spans="1:29" ht="18.75">
      <c r="A28" s="673">
        <f>Gen!C35</f>
        <v>0</v>
      </c>
      <c r="B28" s="615">
        <f>Gen!B35</f>
        <v>44129</v>
      </c>
      <c r="C28" s="602"/>
      <c r="D28" s="604">
        <f t="shared" si="16"/>
        <v>0</v>
      </c>
      <c r="E28" s="600"/>
      <c r="F28" s="604">
        <f t="shared" si="15"/>
        <v>0</v>
      </c>
      <c r="G28" s="599"/>
      <c r="H28" s="650">
        <f t="shared" si="6"/>
        <v>44129</v>
      </c>
      <c r="I28" s="602"/>
      <c r="J28" s="651">
        <f>'Water-Meter'!G30</f>
        <v>0</v>
      </c>
      <c r="K28" s="652">
        <f>'Water-Meter'!G31</f>
        <v>0</v>
      </c>
      <c r="L28" s="599">
        <f t="shared" si="3"/>
        <v>0</v>
      </c>
      <c r="M28" s="650">
        <f t="shared" si="7"/>
        <v>44129</v>
      </c>
      <c r="N28" s="602"/>
      <c r="O28" s="6">
        <f>'Water-Meter'!J30</f>
        <v>0</v>
      </c>
      <c r="P28" s="603">
        <f>'Water-Meter'!J30</f>
        <v>0</v>
      </c>
      <c r="Q28" s="599">
        <f t="shared" si="13"/>
        <v>0</v>
      </c>
      <c r="R28" s="653">
        <f t="shared" si="14"/>
        <v>0</v>
      </c>
      <c r="S28" s="654">
        <f>Gen!T35</f>
        <v>0</v>
      </c>
      <c r="T28" s="650">
        <f t="shared" si="9"/>
        <v>44129</v>
      </c>
      <c r="U28" s="602"/>
      <c r="V28" s="604">
        <f t="shared" si="5"/>
        <v>0</v>
      </c>
      <c r="W28" s="601"/>
      <c r="X28" s="604">
        <f t="shared" si="0"/>
        <v>0</v>
      </c>
      <c r="Y28" s="650">
        <f t="shared" si="10"/>
        <v>44129</v>
      </c>
      <c r="Z28" s="602"/>
      <c r="AA28" s="599"/>
      <c r="AB28" s="603">
        <f>'Water-Meter'!P30</f>
        <v>0</v>
      </c>
      <c r="AC28" s="662">
        <f t="shared" si="11"/>
        <v>0</v>
      </c>
    </row>
    <row r="29" spans="1:29" ht="18.75">
      <c r="A29" s="673">
        <f>Gen!C36</f>
        <v>0</v>
      </c>
      <c r="B29" s="615">
        <f>Gen!B36</f>
        <v>44130</v>
      </c>
      <c r="C29" s="602"/>
      <c r="D29" s="604">
        <f t="shared" si="16"/>
        <v>0</v>
      </c>
      <c r="E29" s="600"/>
      <c r="F29" s="604">
        <f t="shared" si="15"/>
        <v>0</v>
      </c>
      <c r="G29" s="599"/>
      <c r="H29" s="650">
        <f t="shared" si="6"/>
        <v>44130</v>
      </c>
      <c r="I29" s="602"/>
      <c r="J29" s="651">
        <f>'Water-Meter'!G31</f>
        <v>0</v>
      </c>
      <c r="K29" s="652">
        <f>'Water-Meter'!G32</f>
        <v>0</v>
      </c>
      <c r="L29" s="599">
        <f t="shared" si="3"/>
        <v>0</v>
      </c>
      <c r="M29" s="650">
        <f t="shared" si="7"/>
        <v>44130</v>
      </c>
      <c r="N29" s="602"/>
      <c r="O29" s="6">
        <f>'Water-Meter'!J31</f>
        <v>0</v>
      </c>
      <c r="P29" s="603">
        <f>'Water-Meter'!J31</f>
        <v>0</v>
      </c>
      <c r="Q29" s="599">
        <f t="shared" si="13"/>
        <v>0</v>
      </c>
      <c r="R29" s="653">
        <f t="shared" si="14"/>
        <v>0</v>
      </c>
      <c r="S29" s="654">
        <f>Gen!T36</f>
        <v>0</v>
      </c>
      <c r="T29" s="650">
        <f t="shared" si="9"/>
        <v>44130</v>
      </c>
      <c r="U29" s="602"/>
      <c r="V29" s="604">
        <f t="shared" si="5"/>
        <v>0</v>
      </c>
      <c r="W29" s="601"/>
      <c r="X29" s="604">
        <f t="shared" si="0"/>
        <v>0</v>
      </c>
      <c r="Y29" s="650">
        <f t="shared" si="10"/>
        <v>44130</v>
      </c>
      <c r="Z29" s="602"/>
      <c r="AA29" s="599"/>
      <c r="AB29" s="603">
        <f>'Water-Meter'!P31</f>
        <v>0</v>
      </c>
      <c r="AC29" s="662">
        <f t="shared" si="11"/>
        <v>0</v>
      </c>
    </row>
    <row r="30" spans="1:29" ht="18.75">
      <c r="A30" s="673">
        <f>Gen!C37</f>
        <v>0</v>
      </c>
      <c r="B30" s="615">
        <f>Gen!B37</f>
        <v>44131</v>
      </c>
      <c r="C30" s="602"/>
      <c r="D30" s="604">
        <f t="shared" si="16"/>
        <v>0</v>
      </c>
      <c r="E30" s="600"/>
      <c r="F30" s="604">
        <f t="shared" si="15"/>
        <v>0</v>
      </c>
      <c r="G30" s="599"/>
      <c r="H30" s="650">
        <f t="shared" si="6"/>
        <v>44131</v>
      </c>
      <c r="I30" s="602"/>
      <c r="J30" s="651">
        <f>'Water-Meter'!G32</f>
        <v>0</v>
      </c>
      <c r="K30" s="652">
        <f>'Water-Meter'!G33</f>
        <v>0</v>
      </c>
      <c r="L30" s="599">
        <f t="shared" si="3"/>
        <v>0</v>
      </c>
      <c r="M30" s="650">
        <f t="shared" si="7"/>
        <v>44131</v>
      </c>
      <c r="N30" s="602"/>
      <c r="O30" s="6">
        <f>'Water-Meter'!J32</f>
        <v>0</v>
      </c>
      <c r="P30" s="603">
        <f>'Water-Meter'!J32</f>
        <v>0</v>
      </c>
      <c r="Q30" s="599">
        <f t="shared" si="13"/>
        <v>0</v>
      </c>
      <c r="R30" s="653">
        <f t="shared" si="14"/>
        <v>0</v>
      </c>
      <c r="S30" s="654">
        <f>Gen!T37</f>
        <v>0</v>
      </c>
      <c r="T30" s="650">
        <f t="shared" si="9"/>
        <v>44131</v>
      </c>
      <c r="U30" s="602"/>
      <c r="V30" s="604">
        <f t="shared" si="5"/>
        <v>0</v>
      </c>
      <c r="W30" s="601"/>
      <c r="X30" s="604">
        <f t="shared" si="0"/>
        <v>0</v>
      </c>
      <c r="Y30" s="650">
        <f t="shared" si="10"/>
        <v>44131</v>
      </c>
      <c r="Z30" s="602"/>
      <c r="AA30" s="599"/>
      <c r="AB30" s="603">
        <f>'Water-Meter'!P32</f>
        <v>0</v>
      </c>
      <c r="AC30" s="662">
        <f t="shared" si="11"/>
        <v>0</v>
      </c>
    </row>
    <row r="31" spans="1:29" ht="18.75">
      <c r="A31" s="673">
        <f>Gen!C38</f>
        <v>0</v>
      </c>
      <c r="B31" s="615">
        <f>Gen!B38</f>
        <v>44132</v>
      </c>
      <c r="C31" s="602"/>
      <c r="D31" s="604">
        <f t="shared" si="16"/>
        <v>0</v>
      </c>
      <c r="E31" s="600"/>
      <c r="F31" s="604">
        <f t="shared" si="15"/>
        <v>0</v>
      </c>
      <c r="G31" s="599"/>
      <c r="H31" s="650">
        <f t="shared" si="6"/>
        <v>44132</v>
      </c>
      <c r="I31" s="602"/>
      <c r="J31" s="651">
        <f>'Water-Meter'!G33</f>
        <v>0</v>
      </c>
      <c r="K31" s="652">
        <f>'Water-Meter'!G34</f>
        <v>0</v>
      </c>
      <c r="L31" s="599">
        <f t="shared" si="3"/>
        <v>0</v>
      </c>
      <c r="M31" s="650">
        <f t="shared" si="7"/>
        <v>44132</v>
      </c>
      <c r="N31" s="602"/>
      <c r="O31" s="6">
        <f>'Water-Meter'!J33</f>
        <v>0</v>
      </c>
      <c r="P31" s="603">
        <f>'Water-Meter'!J33</f>
        <v>0</v>
      </c>
      <c r="Q31" s="599">
        <f t="shared" si="13"/>
        <v>0</v>
      </c>
      <c r="R31" s="653">
        <f t="shared" si="14"/>
        <v>0</v>
      </c>
      <c r="S31" s="654">
        <f>Gen!T38</f>
        <v>0</v>
      </c>
      <c r="T31" s="650">
        <f>M31</f>
        <v>44132</v>
      </c>
      <c r="U31" s="602"/>
      <c r="V31" s="604">
        <f t="shared" si="5"/>
        <v>0</v>
      </c>
      <c r="W31" s="601"/>
      <c r="X31" s="604">
        <f t="shared" si="0"/>
        <v>0</v>
      </c>
      <c r="Y31" s="650">
        <f>T31</f>
        <v>44132</v>
      </c>
      <c r="Z31" s="602"/>
      <c r="AA31" s="599"/>
      <c r="AB31" s="603">
        <f>'Water-Meter'!P33</f>
        <v>0</v>
      </c>
      <c r="AC31" s="662">
        <f t="shared" si="11"/>
        <v>0</v>
      </c>
    </row>
    <row r="32" spans="1:29" ht="18.75">
      <c r="A32" s="673">
        <f>Gen!C39</f>
        <v>0</v>
      </c>
      <c r="B32" s="615">
        <f>Gen!B39</f>
        <v>44133</v>
      </c>
      <c r="C32" s="602"/>
      <c r="D32" s="604">
        <f t="shared" si="16"/>
        <v>0</v>
      </c>
      <c r="E32" s="600"/>
      <c r="F32" s="604">
        <f t="shared" si="15"/>
        <v>0</v>
      </c>
      <c r="G32" s="599"/>
      <c r="H32" s="650">
        <f t="shared" si="6"/>
        <v>44133</v>
      </c>
      <c r="I32" s="602"/>
      <c r="J32" s="651">
        <f>'Water-Meter'!G34</f>
        <v>0</v>
      </c>
      <c r="K32" s="652">
        <f>'Water-Meter'!G34</f>
        <v>0</v>
      </c>
      <c r="L32" s="599">
        <f t="shared" si="3"/>
        <v>0</v>
      </c>
      <c r="M32" s="650">
        <f t="shared" si="7"/>
        <v>44133</v>
      </c>
      <c r="N32" s="602"/>
      <c r="O32" s="6">
        <f>'Water-Meter'!J34</f>
        <v>0</v>
      </c>
      <c r="P32" s="603">
        <f>'Water-Meter'!J34</f>
        <v>0</v>
      </c>
      <c r="Q32" s="599">
        <f t="shared" si="13"/>
        <v>0</v>
      </c>
      <c r="R32" s="653">
        <f t="shared" si="14"/>
        <v>0</v>
      </c>
      <c r="S32" s="654">
        <f>Gen!T39</f>
        <v>0</v>
      </c>
      <c r="T32" s="650">
        <f t="shared" ref="T32:T35" si="17">M32</f>
        <v>44133</v>
      </c>
      <c r="U32" s="602"/>
      <c r="V32" s="604">
        <f t="shared" si="5"/>
        <v>0</v>
      </c>
      <c r="W32" s="601"/>
      <c r="X32" s="604">
        <f t="shared" si="0"/>
        <v>0</v>
      </c>
      <c r="Y32" s="650">
        <f t="shared" ref="Y32:Y35" si="18">T32</f>
        <v>44133</v>
      </c>
      <c r="Z32" s="602"/>
      <c r="AA32" s="599"/>
      <c r="AB32" s="603">
        <f>'Water-Meter'!P34</f>
        <v>0</v>
      </c>
      <c r="AC32" s="662">
        <f t="shared" si="11"/>
        <v>0</v>
      </c>
    </row>
    <row r="33" spans="1:29" ht="18.75">
      <c r="A33" s="673">
        <f>Gen!C40</f>
        <v>0</v>
      </c>
      <c r="B33" s="615">
        <f>Gen!B40</f>
        <v>44134</v>
      </c>
      <c r="C33" s="602"/>
      <c r="D33" s="604">
        <f t="shared" si="16"/>
        <v>0</v>
      </c>
      <c r="E33" s="600"/>
      <c r="F33" s="604">
        <f t="shared" si="15"/>
        <v>0</v>
      </c>
      <c r="G33" s="599"/>
      <c r="H33" s="650">
        <f t="shared" si="6"/>
        <v>44134</v>
      </c>
      <c r="I33" s="602"/>
      <c r="J33" s="651">
        <f>'Water-Meter'!G35</f>
        <v>0</v>
      </c>
      <c r="K33" s="652">
        <f>'Water-Meter'!G35</f>
        <v>0</v>
      </c>
      <c r="L33" s="599">
        <f t="shared" si="3"/>
        <v>0</v>
      </c>
      <c r="M33" s="650">
        <f t="shared" si="7"/>
        <v>44134</v>
      </c>
      <c r="N33" s="602"/>
      <c r="O33" s="6">
        <f>'Water-Meter'!J35</f>
        <v>0</v>
      </c>
      <c r="P33" s="603">
        <f>'Water-Meter'!J35</f>
        <v>0</v>
      </c>
      <c r="Q33" s="599">
        <f t="shared" si="13"/>
        <v>0</v>
      </c>
      <c r="R33" s="653">
        <f t="shared" si="14"/>
        <v>0</v>
      </c>
      <c r="S33" s="654">
        <f>Gen!T40</f>
        <v>0</v>
      </c>
      <c r="T33" s="650">
        <f t="shared" si="17"/>
        <v>44134</v>
      </c>
      <c r="U33" s="602"/>
      <c r="V33" s="604">
        <f t="shared" si="5"/>
        <v>0</v>
      </c>
      <c r="W33" s="601"/>
      <c r="X33" s="604">
        <f t="shared" si="0"/>
        <v>0</v>
      </c>
      <c r="Y33" s="650">
        <f t="shared" si="18"/>
        <v>44134</v>
      </c>
      <c r="Z33" s="602"/>
      <c r="AA33" s="599"/>
      <c r="AB33" s="603">
        <f>'Water-Meter'!P35</f>
        <v>0</v>
      </c>
      <c r="AC33" s="662">
        <f t="shared" si="11"/>
        <v>0</v>
      </c>
    </row>
    <row r="34" spans="1:29" ht="18.75">
      <c r="A34" s="673">
        <f>Gen!C41</f>
        <v>0</v>
      </c>
      <c r="B34" s="615">
        <f>Gen!B41</f>
        <v>44135</v>
      </c>
      <c r="C34" s="6"/>
      <c r="D34" s="604">
        <f t="shared" si="16"/>
        <v>0</v>
      </c>
      <c r="E34" s="600"/>
      <c r="F34" s="604">
        <f t="shared" si="15"/>
        <v>0</v>
      </c>
      <c r="G34" s="6"/>
      <c r="H34" s="650">
        <f t="shared" si="6"/>
        <v>44135</v>
      </c>
      <c r="I34" s="6"/>
      <c r="J34" s="651">
        <f>'Water-Meter'!G36</f>
        <v>0</v>
      </c>
      <c r="K34" s="652">
        <f>'Water-Meter'!G36</f>
        <v>0</v>
      </c>
      <c r="L34" s="599">
        <f t="shared" si="3"/>
        <v>0</v>
      </c>
      <c r="M34" s="650">
        <f t="shared" si="7"/>
        <v>44135</v>
      </c>
      <c r="N34" s="6"/>
      <c r="O34" s="6">
        <f>'Water-Meter'!J36</f>
        <v>0</v>
      </c>
      <c r="P34" s="603">
        <f>'Water-Meter'!J36</f>
        <v>0</v>
      </c>
      <c r="Q34" s="599">
        <f t="shared" si="13"/>
        <v>0</v>
      </c>
      <c r="R34" s="653">
        <f t="shared" si="14"/>
        <v>0</v>
      </c>
      <c r="S34" s="654">
        <f>Gen!T41</f>
        <v>0</v>
      </c>
      <c r="T34" s="650">
        <f t="shared" si="17"/>
        <v>44135</v>
      </c>
      <c r="U34" s="6"/>
      <c r="V34" s="604">
        <f t="shared" ref="V34:V35" si="19">SUM(W33)</f>
        <v>0</v>
      </c>
      <c r="W34" s="601"/>
      <c r="X34" s="604">
        <f t="shared" si="0"/>
        <v>0</v>
      </c>
      <c r="Y34" s="650">
        <f t="shared" si="18"/>
        <v>44135</v>
      </c>
      <c r="Z34" s="6"/>
      <c r="AA34" s="599"/>
      <c r="AB34" s="603">
        <f>'Water-Meter'!P36</f>
        <v>0</v>
      </c>
      <c r="AC34" s="662">
        <f t="shared" si="11"/>
        <v>0</v>
      </c>
    </row>
    <row r="35" spans="1:29" ht="20.25" customHeight="1" thickBot="1">
      <c r="A35" s="674" t="e">
        <f>[1]Gen!B42</f>
        <v>#REF!</v>
      </c>
      <c r="B35" s="616" t="e">
        <f>[1]Gen!A42</f>
        <v>#REF!</v>
      </c>
      <c r="C35" s="8"/>
      <c r="D35" s="617">
        <f t="shared" si="16"/>
        <v>0</v>
      </c>
      <c r="E35" s="618"/>
      <c r="F35" s="619">
        <f>SUM(F4:F6)</f>
        <v>635.99999999991269</v>
      </c>
      <c r="G35" s="8"/>
      <c r="H35" s="663" t="e">
        <f t="shared" si="6"/>
        <v>#REF!</v>
      </c>
      <c r="I35" s="8"/>
      <c r="J35" s="622">
        <f t="shared" ref="J35" si="20">SUM(K34)</f>
        <v>0</v>
      </c>
      <c r="K35" s="664">
        <f>'Water-Meter'!G37</f>
        <v>0</v>
      </c>
      <c r="L35" s="8">
        <f>SUM(L5:L34)</f>
        <v>0</v>
      </c>
      <c r="M35" s="663" t="e">
        <f t="shared" si="7"/>
        <v>#REF!</v>
      </c>
      <c r="N35" s="8"/>
      <c r="O35" s="622"/>
      <c r="P35" s="623">
        <f>'Water-Meter'!J37</f>
        <v>0</v>
      </c>
      <c r="Q35" s="622">
        <f t="shared" si="13"/>
        <v>0</v>
      </c>
      <c r="R35" s="665">
        <f t="shared" si="14"/>
        <v>0</v>
      </c>
      <c r="S35" s="666">
        <f>Gen!T42</f>
        <v>0</v>
      </c>
      <c r="T35" s="663" t="e">
        <f t="shared" si="17"/>
        <v>#REF!</v>
      </c>
      <c r="U35" s="8"/>
      <c r="V35" s="617">
        <f t="shared" si="19"/>
        <v>0</v>
      </c>
      <c r="W35" s="624"/>
      <c r="X35" s="617">
        <f t="shared" si="0"/>
        <v>0</v>
      </c>
      <c r="Y35" s="663" t="e">
        <f t="shared" si="18"/>
        <v>#REF!</v>
      </c>
      <c r="Z35" s="8"/>
      <c r="AA35" s="622"/>
      <c r="AB35" s="623">
        <f>'Water-Meter'!P37</f>
        <v>0</v>
      </c>
      <c r="AC35" s="667">
        <f t="shared" si="11"/>
        <v>0</v>
      </c>
    </row>
    <row r="36" spans="1:29" ht="24.75" customHeight="1">
      <c r="D36" s="20"/>
      <c r="E36" s="397"/>
      <c r="L36" s="141"/>
      <c r="Q36" s="141"/>
      <c r="R36" s="169"/>
      <c r="X36" s="395">
        <f>SUM(X4:X6)</f>
        <v>300</v>
      </c>
      <c r="AC36" s="141"/>
    </row>
    <row r="37" spans="1:29" ht="12.75" customHeight="1">
      <c r="D37" s="20"/>
      <c r="E37" s="397"/>
      <c r="G37" s="20"/>
    </row>
    <row r="38" spans="1:29" ht="12.75" customHeight="1">
      <c r="E38" s="164"/>
      <c r="G38" s="20"/>
      <c r="K38" s="164"/>
      <c r="W38" s="164"/>
      <c r="AB38" s="164"/>
    </row>
    <row r="39" spans="1:29" ht="12.75" customHeight="1">
      <c r="E39" s="397"/>
      <c r="G39" s="20"/>
    </row>
    <row r="40" spans="1:29" ht="12.75" customHeight="1">
      <c r="D40" s="141"/>
      <c r="E40" s="164"/>
      <c r="G40" s="20"/>
      <c r="V40" s="141"/>
      <c r="W40" s="164"/>
    </row>
    <row r="41" spans="1:29" ht="12.75" customHeight="1">
      <c r="E41" s="397"/>
      <c r="G41" s="20"/>
    </row>
    <row r="42" spans="1:29" ht="12.75" customHeight="1">
      <c r="C42" s="165"/>
      <c r="E42" s="398"/>
      <c r="G42" s="20"/>
      <c r="U42" s="165"/>
    </row>
    <row r="43" spans="1:29" ht="18.75">
      <c r="E43" s="397"/>
    </row>
    <row r="44" spans="1:29">
      <c r="E44" s="398"/>
    </row>
    <row r="45" spans="1:29" ht="18.75">
      <c r="E45" s="397"/>
    </row>
    <row r="46" spans="1:29">
      <c r="E46" s="398"/>
    </row>
    <row r="47" spans="1:29" ht="18.75">
      <c r="E47" s="397"/>
    </row>
    <row r="48" spans="1:29">
      <c r="E48" s="398"/>
    </row>
    <row r="49" spans="5:5" ht="18.75">
      <c r="E49" s="397"/>
    </row>
    <row r="50" spans="5:5">
      <c r="E50" s="398"/>
    </row>
    <row r="51" spans="5:5" ht="18.75">
      <c r="E51" s="397"/>
    </row>
    <row r="52" spans="5:5">
      <c r="E52" s="398"/>
    </row>
    <row r="53" spans="5:5" ht="18.75">
      <c r="E53" s="397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27" sqref="E27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874" t="s">
        <v>319</v>
      </c>
      <c r="B2" s="875"/>
      <c r="C2" s="875"/>
      <c r="D2" s="875"/>
      <c r="E2" s="876"/>
      <c r="F2" s="119"/>
      <c r="G2" s="119"/>
      <c r="H2" s="119"/>
      <c r="I2" s="119"/>
      <c r="J2" s="119"/>
      <c r="K2" s="119"/>
      <c r="L2" s="696"/>
    </row>
    <row r="3" spans="1:13" ht="50.25" customHeight="1" thickBot="1">
      <c r="A3" s="697"/>
      <c r="B3" s="698"/>
      <c r="C3" s="76"/>
      <c r="D3" s="76"/>
      <c r="E3" s="76"/>
      <c r="F3" s="76"/>
      <c r="G3" s="76"/>
      <c r="H3" s="76"/>
      <c r="I3" s="76"/>
      <c r="J3" s="76"/>
      <c r="K3" s="76"/>
      <c r="L3" s="699"/>
    </row>
    <row r="4" spans="1:13" s="51" customFormat="1" ht="50.25" customHeight="1" thickBot="1">
      <c r="A4" s="700" t="s">
        <v>0</v>
      </c>
      <c r="B4" s="701" t="s">
        <v>66</v>
      </c>
      <c r="C4" s="702" t="s">
        <v>50</v>
      </c>
      <c r="D4" s="703" t="s">
        <v>64</v>
      </c>
      <c r="E4" s="703" t="s">
        <v>65</v>
      </c>
      <c r="F4" s="704" t="s">
        <v>42</v>
      </c>
      <c r="G4" s="703" t="s">
        <v>203</v>
      </c>
      <c r="H4" s="703" t="s">
        <v>206</v>
      </c>
      <c r="I4" s="703" t="s">
        <v>204</v>
      </c>
      <c r="J4" s="703" t="s">
        <v>205</v>
      </c>
      <c r="K4" s="704" t="s">
        <v>51</v>
      </c>
      <c r="L4" s="705" t="s">
        <v>76</v>
      </c>
    </row>
    <row r="5" spans="1:13">
      <c r="A5" s="693">
        <f>Gen!B11</f>
        <v>44105</v>
      </c>
      <c r="B5" s="675">
        <f>'Daily report Gen'!Z6</f>
        <v>25</v>
      </c>
      <c r="C5" s="676">
        <f>Gen!C11</f>
        <v>5.1900000000000002E-2</v>
      </c>
      <c r="D5" s="677">
        <f t="shared" ref="D5:D36" si="0">E5</f>
        <v>5</v>
      </c>
      <c r="E5" s="678">
        <v>5</v>
      </c>
      <c r="F5" s="679">
        <f>Gen!U9</f>
        <v>0</v>
      </c>
      <c r="G5" s="680">
        <f>Gen!T9</f>
        <v>0</v>
      </c>
      <c r="H5" s="680">
        <f>Gen!AK11</f>
        <v>0</v>
      </c>
      <c r="I5" s="680">
        <f t="shared" ref="I5:I36" si="1">SUM(G5:H5)</f>
        <v>0</v>
      </c>
      <c r="J5" s="681">
        <f>Gen!D11</f>
        <v>38003.53</v>
      </c>
      <c r="K5" s="682">
        <f>'Water-Meter'!E6</f>
        <v>36</v>
      </c>
      <c r="L5" s="683">
        <f>'Lpg (2)'!G10</f>
        <v>55.92400000002818</v>
      </c>
      <c r="M5" s="80" t="e">
        <f>SUM(#REF!-#REF!)</f>
        <v>#REF!</v>
      </c>
    </row>
    <row r="6" spans="1:13">
      <c r="A6" s="694">
        <f>Gen!B12</f>
        <v>44106</v>
      </c>
      <c r="B6" s="684">
        <f>'Daily report Gen'!Z7</f>
        <v>24</v>
      </c>
      <c r="C6" s="88">
        <f>Gen!C12</f>
        <v>3.9E-2</v>
      </c>
      <c r="D6" s="443">
        <f t="shared" si="0"/>
        <v>4</v>
      </c>
      <c r="E6" s="75">
        <v>4</v>
      </c>
      <c r="F6" s="71">
        <f>Gen!U10</f>
        <v>0</v>
      </c>
      <c r="G6" s="86">
        <f>Gen!T10</f>
        <v>0</v>
      </c>
      <c r="H6" s="86">
        <f>Gen!AK12</f>
        <v>0</v>
      </c>
      <c r="I6" s="86">
        <f t="shared" si="1"/>
        <v>0</v>
      </c>
      <c r="J6" s="456">
        <f>Gen!D12</f>
        <v>37092.49</v>
      </c>
      <c r="K6" s="296">
        <f>'Water-Meter'!E7</f>
        <v>45</v>
      </c>
      <c r="L6" s="685">
        <f>'Lpg (2)'!G11</f>
        <v>33.087999999953901</v>
      </c>
      <c r="M6" s="80" t="e">
        <f>SUM(#REF!-#REF!)</f>
        <v>#REF!</v>
      </c>
    </row>
    <row r="7" spans="1:13">
      <c r="A7" s="694">
        <f>Gen!B13</f>
        <v>44107</v>
      </c>
      <c r="B7" s="684">
        <f>'Daily report Gen'!Z8</f>
        <v>25</v>
      </c>
      <c r="C7" s="88">
        <f>Gen!C13</f>
        <v>2.5999999999999999E-2</v>
      </c>
      <c r="D7" s="443">
        <f t="shared" si="0"/>
        <v>2</v>
      </c>
      <c r="E7" s="75">
        <v>2</v>
      </c>
      <c r="F7" s="71">
        <f>Gen!U11</f>
        <v>2214</v>
      </c>
      <c r="G7" s="86">
        <f>Gen!T11</f>
        <v>911.04</v>
      </c>
      <c r="H7" s="86">
        <f>Gen!AK13</f>
        <v>47.58</v>
      </c>
      <c r="I7" s="86">
        <f t="shared" si="1"/>
        <v>958.62</v>
      </c>
      <c r="J7" s="456">
        <f>Gen!D13</f>
        <v>36116.25</v>
      </c>
      <c r="K7" s="296">
        <f>'Water-Meter'!E8</f>
        <v>36</v>
      </c>
      <c r="L7" s="685">
        <f>'Lpg (2)'!G12</f>
        <v>66.131999999994889</v>
      </c>
      <c r="M7" s="80" t="e">
        <f>SUM(#REF!-#REF!)</f>
        <v>#REF!</v>
      </c>
    </row>
    <row r="8" spans="1:13">
      <c r="A8" s="694">
        <f>Gen!B14</f>
        <v>44108</v>
      </c>
      <c r="B8" s="684">
        <f>'Daily report Gen'!Z9</f>
        <v>26</v>
      </c>
      <c r="C8" s="88">
        <f>Gen!C14</f>
        <v>1.2999999999999999E-2</v>
      </c>
      <c r="D8" s="443">
        <f>E8</f>
        <v>1</v>
      </c>
      <c r="E8" s="75">
        <v>1</v>
      </c>
      <c r="F8" s="71">
        <f>Gen!U12</f>
        <v>2379</v>
      </c>
      <c r="G8" s="86">
        <f>Gen!T12</f>
        <v>976.24</v>
      </c>
      <c r="H8" s="86">
        <f>Gen!AK14</f>
        <v>0</v>
      </c>
      <c r="I8" s="86">
        <f t="shared" si="1"/>
        <v>976.24</v>
      </c>
      <c r="J8" s="456">
        <f>Gen!D14</f>
        <v>35072.49</v>
      </c>
      <c r="K8" s="296">
        <f>'Water-Meter'!E9</f>
        <v>60</v>
      </c>
      <c r="L8" s="685">
        <f>'Lpg (2)'!G13</f>
        <v>65.428000000043539</v>
      </c>
      <c r="M8" s="80" t="e">
        <f>SUM(#REF!-#REF!)</f>
        <v>#REF!</v>
      </c>
    </row>
    <row r="9" spans="1:13">
      <c r="A9" s="694">
        <f>Gen!B15</f>
        <v>44109</v>
      </c>
      <c r="B9" s="684">
        <f>'Daily report Gen'!Z10</f>
        <v>24</v>
      </c>
      <c r="C9" s="88">
        <f>Gen!C15</f>
        <v>2.3E-2</v>
      </c>
      <c r="D9" s="443">
        <f t="shared" si="0"/>
        <v>2</v>
      </c>
      <c r="E9" s="75">
        <v>2</v>
      </c>
      <c r="F9" s="71">
        <f>Gen!U13</f>
        <v>2370</v>
      </c>
      <c r="G9" s="86">
        <f>Gen!T13</f>
        <v>996.18</v>
      </c>
      <c r="H9" s="86">
        <f>Gen!AK15</f>
        <v>0</v>
      </c>
      <c r="I9" s="86">
        <f t="shared" si="1"/>
        <v>996.18</v>
      </c>
      <c r="J9" s="456">
        <f>Gen!D15</f>
        <v>34147.86</v>
      </c>
      <c r="K9" s="296">
        <f>'Water-Meter'!E10</f>
        <v>45</v>
      </c>
      <c r="L9" s="685">
        <f>'Lpg (2)'!G14</f>
        <v>81.268000000005131</v>
      </c>
      <c r="M9" s="80" t="e">
        <f>SUM(#REF!-#REF!)</f>
        <v>#REF!</v>
      </c>
    </row>
    <row r="10" spans="1:13">
      <c r="A10" s="694">
        <f>Gen!B16</f>
        <v>44110</v>
      </c>
      <c r="B10" s="684">
        <f>'Daily report Gen'!Z11</f>
        <v>25</v>
      </c>
      <c r="C10" s="88">
        <f>Gen!C16</f>
        <v>2.3E-2</v>
      </c>
      <c r="D10" s="443">
        <f t="shared" si="0"/>
        <v>2</v>
      </c>
      <c r="E10" s="75">
        <v>2</v>
      </c>
      <c r="F10" s="71">
        <f>Gen!U14</f>
        <v>2154</v>
      </c>
      <c r="G10" s="86">
        <f>Gen!T14</f>
        <v>924.63</v>
      </c>
      <c r="H10" s="86">
        <f>Gen!AK16</f>
        <v>0</v>
      </c>
      <c r="I10" s="86">
        <f t="shared" si="1"/>
        <v>924.63</v>
      </c>
      <c r="J10" s="456">
        <f>Gen!D16</f>
        <v>33210.879999999997</v>
      </c>
      <c r="K10" s="296">
        <f>'Water-Meter'!E11</f>
        <v>57</v>
      </c>
      <c r="L10" s="685">
        <f>'Lpg (2)'!G15</f>
        <v>76.823999999964144</v>
      </c>
      <c r="M10" s="80" t="e">
        <f>SUM(#REF!-#REF!)</f>
        <v>#REF!</v>
      </c>
    </row>
    <row r="11" spans="1:13">
      <c r="A11" s="694">
        <f>Gen!B17</f>
        <v>44111</v>
      </c>
      <c r="B11" s="684">
        <f>'Daily report Gen'!Z12</f>
        <v>25</v>
      </c>
      <c r="C11" s="88">
        <f>Gen!C17</f>
        <v>3.9E-2</v>
      </c>
      <c r="D11" s="443">
        <f t="shared" si="0"/>
        <v>4</v>
      </c>
      <c r="E11" s="75">
        <v>4</v>
      </c>
      <c r="F11" s="71">
        <f>Gen!U15</f>
        <v>2268</v>
      </c>
      <c r="G11" s="86">
        <f>Gen!T15</f>
        <v>936.98</v>
      </c>
      <c r="H11" s="86">
        <f>Gen!AK17</f>
        <v>0</v>
      </c>
      <c r="I11" s="86">
        <f t="shared" si="1"/>
        <v>936.98</v>
      </c>
      <c r="J11" s="456">
        <f>Gen!D17</f>
        <v>32228.289999999997</v>
      </c>
      <c r="K11" s="296">
        <f>'Water-Meter'!E12</f>
        <v>59</v>
      </c>
      <c r="L11" s="685">
        <f>'Lpg (2)'!G16</f>
        <v>49.72000000001281</v>
      </c>
      <c r="M11" s="80" t="e">
        <f>SUM(#REF!-#REF!)</f>
        <v>#REF!</v>
      </c>
    </row>
    <row r="12" spans="1:13">
      <c r="A12" s="694">
        <f>Gen!B18</f>
        <v>44112</v>
      </c>
      <c r="B12" s="684">
        <f>'Daily report Gen'!Z13</f>
        <v>24</v>
      </c>
      <c r="C12" s="88">
        <f>Gen!C18</f>
        <v>5.1900000000000002E-2</v>
      </c>
      <c r="D12" s="443">
        <f t="shared" si="0"/>
        <v>5</v>
      </c>
      <c r="E12" s="75">
        <v>5</v>
      </c>
      <c r="F12" s="71">
        <f>Gen!U16</f>
        <v>2332</v>
      </c>
      <c r="G12" s="86">
        <f>Gen!T16</f>
        <v>982.58999999999992</v>
      </c>
      <c r="H12" s="86">
        <f>Gen!AK18</f>
        <v>91</v>
      </c>
      <c r="I12" s="86">
        <f t="shared" si="1"/>
        <v>1073.5899999999999</v>
      </c>
      <c r="J12" s="456">
        <f>Gen!D18</f>
        <v>31277.719999999998</v>
      </c>
      <c r="K12" s="296">
        <f>'Water-Meter'!E13</f>
        <v>46</v>
      </c>
      <c r="L12" s="685">
        <f>'Lpg (2)'!G17</f>
        <v>67.100000000000009</v>
      </c>
      <c r="M12" s="80" t="e">
        <f>SUM(#REF!-#REF!)</f>
        <v>#REF!</v>
      </c>
    </row>
    <row r="13" spans="1:13">
      <c r="A13" s="694">
        <f>Gen!B19</f>
        <v>44113</v>
      </c>
      <c r="B13" s="684">
        <f>'Daily report Gen'!Z14</f>
        <v>34</v>
      </c>
      <c r="C13" s="88">
        <f>Gen!C19</f>
        <v>5.1900000000000002E-2</v>
      </c>
      <c r="D13" s="443">
        <f t="shared" si="0"/>
        <v>5</v>
      </c>
      <c r="E13" s="75">
        <v>5</v>
      </c>
      <c r="F13" s="71">
        <f>Gen!U17</f>
        <v>2229</v>
      </c>
      <c r="G13" s="86">
        <f>Gen!T17</f>
        <v>950.56999999999994</v>
      </c>
      <c r="H13" s="86">
        <f>Gen!AK19</f>
        <v>76.97</v>
      </c>
      <c r="I13" s="86">
        <f t="shared" si="1"/>
        <v>1027.54</v>
      </c>
      <c r="J13" s="456">
        <f>Gen!D19</f>
        <v>30229.899999999998</v>
      </c>
      <c r="K13" s="296">
        <f>'Water-Meter'!E14</f>
        <v>56</v>
      </c>
      <c r="L13" s="685">
        <f>'Lpg (2)'!G18</f>
        <v>59.531999999994881</v>
      </c>
      <c r="M13" s="80" t="e">
        <f>SUM(#REF!-#REF!)</f>
        <v>#REF!</v>
      </c>
    </row>
    <row r="14" spans="1:13">
      <c r="A14" s="694">
        <f>Gen!B20</f>
        <v>44114</v>
      </c>
      <c r="B14" s="684">
        <f>'Daily report Gen'!Z15</f>
        <v>26</v>
      </c>
      <c r="C14" s="88">
        <f>Gen!C20</f>
        <v>5.1900000000000002E-2</v>
      </c>
      <c r="D14" s="443">
        <f t="shared" si="0"/>
        <v>5</v>
      </c>
      <c r="E14" s="75">
        <v>5</v>
      </c>
      <c r="F14" s="71">
        <f>Gen!U18</f>
        <v>2245</v>
      </c>
      <c r="G14" s="86">
        <f>Gen!T18</f>
        <v>956.81999999999994</v>
      </c>
      <c r="H14" s="86">
        <f>Gen!AK20</f>
        <v>0</v>
      </c>
      <c r="I14" s="86">
        <f t="shared" si="1"/>
        <v>956.81999999999994</v>
      </c>
      <c r="J14" s="456">
        <f>Gen!D20</f>
        <v>44162.58</v>
      </c>
      <c r="K14" s="296">
        <f>'Water-Meter'!E15</f>
        <v>98</v>
      </c>
      <c r="L14" s="685">
        <f>'Lpg (2)'!G19</f>
        <v>58.608000000030735</v>
      </c>
      <c r="M14" s="80" t="e">
        <f>SUM(#REF!-#REF!)</f>
        <v>#REF!</v>
      </c>
    </row>
    <row r="15" spans="1:13">
      <c r="A15" s="694">
        <f>Gen!B21</f>
        <v>44115</v>
      </c>
      <c r="B15" s="684">
        <f>'Daily report Gen'!Z16</f>
        <v>24</v>
      </c>
      <c r="C15" s="88">
        <f>Gen!C21</f>
        <v>1.2999999999999999E-2</v>
      </c>
      <c r="D15" s="443">
        <f t="shared" si="0"/>
        <v>2</v>
      </c>
      <c r="E15" s="75">
        <v>2</v>
      </c>
      <c r="F15" s="71">
        <f>Gen!U19</f>
        <v>2375</v>
      </c>
      <c r="G15" s="86">
        <f>Gen!T19</f>
        <v>990.35</v>
      </c>
      <c r="H15" s="86">
        <f>Gen!AK21</f>
        <v>66.490000000000009</v>
      </c>
      <c r="I15" s="86">
        <f t="shared" si="1"/>
        <v>1056.8400000000001</v>
      </c>
      <c r="J15" s="456">
        <f>Gen!D21</f>
        <v>43167.53</v>
      </c>
      <c r="K15" s="296">
        <f>'Water-Meter'!E16</f>
        <v>73</v>
      </c>
      <c r="L15" s="685">
        <f>'Lpg (2)'!G20</f>
        <v>68.727999999979517</v>
      </c>
      <c r="M15" s="80" t="e">
        <f>SUM(#REF!-#REF!)</f>
        <v>#REF!</v>
      </c>
    </row>
    <row r="16" spans="1:13">
      <c r="A16" s="694">
        <f>Gen!B22</f>
        <v>44116</v>
      </c>
      <c r="B16" s="684">
        <f>'Daily report Gen'!Z17</f>
        <v>24</v>
      </c>
      <c r="C16" s="88">
        <f>Gen!C22</f>
        <v>3.9E-2</v>
      </c>
      <c r="D16" s="443">
        <f t="shared" si="0"/>
        <v>4</v>
      </c>
      <c r="E16" s="75">
        <v>4</v>
      </c>
      <c r="F16" s="71">
        <f>Gen!U20</f>
        <v>2298</v>
      </c>
      <c r="G16" s="86">
        <f>Gen!T20</f>
        <v>995.05000000000007</v>
      </c>
      <c r="H16" s="86">
        <f>Gen!AK22</f>
        <v>71</v>
      </c>
      <c r="I16" s="86">
        <f t="shared" si="1"/>
        <v>1066.0500000000002</v>
      </c>
      <c r="J16" s="456">
        <f>Gen!D22</f>
        <v>42120.06</v>
      </c>
      <c r="K16" s="296">
        <f>'Water-Meter'!E17</f>
        <v>42</v>
      </c>
      <c r="L16" s="685">
        <f>'Lpg (2)'!G21</f>
        <v>65.4720000000205</v>
      </c>
      <c r="M16" s="80" t="e">
        <f>SUM(#REF!-#REF!)</f>
        <v>#REF!</v>
      </c>
    </row>
    <row r="17" spans="1:13">
      <c r="A17" s="694">
        <f>Gen!B23</f>
        <v>44117</v>
      </c>
      <c r="B17" s="684">
        <f>'Daily report Gen'!Z18</f>
        <v>25</v>
      </c>
      <c r="C17" s="88">
        <f>Gen!C23</f>
        <v>5.1900000000000002E-2</v>
      </c>
      <c r="D17" s="443">
        <f t="shared" si="0"/>
        <v>5</v>
      </c>
      <c r="E17" s="75">
        <v>5</v>
      </c>
      <c r="F17" s="71">
        <f>Gen!U21</f>
        <v>2245</v>
      </c>
      <c r="G17" s="86">
        <f>Gen!T21</f>
        <v>980.98</v>
      </c>
      <c r="H17" s="86">
        <f>Gen!AK23</f>
        <v>71.09</v>
      </c>
      <c r="I17" s="86">
        <f t="shared" si="1"/>
        <v>1052.07</v>
      </c>
      <c r="J17" s="456">
        <f>Gen!D23</f>
        <v>41113.81</v>
      </c>
      <c r="K17" s="296">
        <f>'Water-Meter'!E18</f>
        <v>53</v>
      </c>
      <c r="L17" s="685">
        <f>'Lpg (2)'!G22</f>
        <v>65.295999999984645</v>
      </c>
      <c r="M17" s="80" t="e">
        <f>SUM(#REF!-#REF!)</f>
        <v>#REF!</v>
      </c>
    </row>
    <row r="18" spans="1:13">
      <c r="A18" s="694">
        <f>Gen!B24</f>
        <v>44118</v>
      </c>
      <c r="B18" s="684">
        <f>'Daily report Gen'!Z19</f>
        <v>25</v>
      </c>
      <c r="C18" s="88">
        <f>Gen!C24</f>
        <v>1.2999999999999999E-2</v>
      </c>
      <c r="D18" s="443">
        <f t="shared" si="0"/>
        <v>2</v>
      </c>
      <c r="E18" s="75">
        <v>2</v>
      </c>
      <c r="F18" s="71">
        <f>Gen!U22</f>
        <v>2131</v>
      </c>
      <c r="G18" s="86">
        <f>Gen!T22</f>
        <v>935.25</v>
      </c>
      <c r="H18" s="86">
        <f>Gen!AK24</f>
        <v>58.87</v>
      </c>
      <c r="I18" s="86">
        <f t="shared" si="1"/>
        <v>994.12</v>
      </c>
      <c r="J18" s="456">
        <f>Gen!D24</f>
        <v>40046.759999999995</v>
      </c>
      <c r="K18" s="296">
        <f>'Water-Meter'!E19</f>
        <v>43</v>
      </c>
      <c r="L18" s="685">
        <f>'Lpg (2)'!G23</f>
        <v>64.504000000015367</v>
      </c>
      <c r="M18" s="80" t="e">
        <f>SUM(#REF!-#REF!)</f>
        <v>#REF!</v>
      </c>
    </row>
    <row r="19" spans="1:13">
      <c r="A19" s="694">
        <f>Gen!B25</f>
        <v>44119</v>
      </c>
      <c r="B19" s="684">
        <f>'Daily report Gen'!Z20</f>
        <v>25</v>
      </c>
      <c r="C19" s="88">
        <f>Gen!C25</f>
        <v>5.1900000000000002E-2</v>
      </c>
      <c r="D19" s="443">
        <f t="shared" si="0"/>
        <v>5</v>
      </c>
      <c r="E19" s="75">
        <v>5</v>
      </c>
      <c r="F19" s="71">
        <f>Gen!U23</f>
        <v>2325</v>
      </c>
      <c r="G19" s="86">
        <f>Gen!T23</f>
        <v>995.96</v>
      </c>
      <c r="H19" s="86">
        <f>Gen!AK25</f>
        <v>0</v>
      </c>
      <c r="I19" s="86">
        <f t="shared" si="1"/>
        <v>995.96</v>
      </c>
      <c r="J19" s="456">
        <f>Gen!D25</f>
        <v>39013.719999999994</v>
      </c>
      <c r="K19" s="296">
        <f>'Water-Meter'!E20</f>
        <v>48</v>
      </c>
      <c r="L19" s="685">
        <f>'Lpg (2)'!G24</f>
        <v>73.127999999979522</v>
      </c>
      <c r="M19" s="80" t="e">
        <f>SUM(#REF!-#REF!)</f>
        <v>#REF!</v>
      </c>
    </row>
    <row r="20" spans="1:13">
      <c r="A20" s="694">
        <f>Gen!B26</f>
        <v>44120</v>
      </c>
      <c r="B20" s="684">
        <f>'Daily report Gen'!Z21</f>
        <v>19</v>
      </c>
      <c r="C20" s="88">
        <f>Gen!C26</f>
        <v>0.1169</v>
      </c>
      <c r="D20" s="443">
        <f t="shared" si="0"/>
        <v>10</v>
      </c>
      <c r="E20" s="75">
        <v>10</v>
      </c>
      <c r="F20" s="71">
        <f>Gen!U24</f>
        <v>2264</v>
      </c>
      <c r="G20" s="86">
        <f>Gen!T24</f>
        <v>974.17000000000007</v>
      </c>
      <c r="H20" s="86">
        <f>Gen!AK26</f>
        <v>102.83999999999999</v>
      </c>
      <c r="I20" s="86">
        <f t="shared" si="1"/>
        <v>1077.01</v>
      </c>
      <c r="J20" s="456">
        <f>Gen!D26</f>
        <v>37970.839999999997</v>
      </c>
      <c r="K20" s="296">
        <f>'Water-Meter'!E21</f>
        <v>56</v>
      </c>
      <c r="L20" s="685">
        <f>'Lpg (2)'!G25</f>
        <v>79.288000000017931</v>
      </c>
      <c r="M20" s="80" t="e">
        <f>SUM(#REF!-#REF!)</f>
        <v>#REF!</v>
      </c>
    </row>
    <row r="21" spans="1:13">
      <c r="A21" s="694">
        <f>Gen!B27</f>
        <v>44121</v>
      </c>
      <c r="B21" s="684">
        <f>'Daily report Gen'!Z22</f>
        <v>29</v>
      </c>
      <c r="C21" s="88">
        <f>Gen!C27</f>
        <v>0.15790000000000001</v>
      </c>
      <c r="D21" s="443">
        <f t="shared" si="0"/>
        <v>12</v>
      </c>
      <c r="E21" s="75">
        <v>12</v>
      </c>
      <c r="F21" s="71">
        <f>Gen!U25</f>
        <v>2360</v>
      </c>
      <c r="G21" s="86">
        <f>Gen!T25</f>
        <v>1042.8800000000001</v>
      </c>
      <c r="H21" s="86">
        <f>Gen!AK27</f>
        <v>163</v>
      </c>
      <c r="I21" s="86">
        <f t="shared" si="1"/>
        <v>1205.8800000000001</v>
      </c>
      <c r="J21" s="456">
        <f>Gen!D27</f>
        <v>36691.03</v>
      </c>
      <c r="K21" s="296">
        <f>'Water-Meter'!E22</f>
        <v>71</v>
      </c>
      <c r="L21" s="685">
        <f>'Lpg (2)'!G26</f>
        <v>94.468000000005134</v>
      </c>
      <c r="M21" s="80" t="e">
        <f>SUM(#REF!-#REF!)</f>
        <v>#REF!</v>
      </c>
    </row>
    <row r="22" spans="1:13">
      <c r="A22" s="694">
        <f>Gen!B28</f>
        <v>44122</v>
      </c>
      <c r="B22" s="684">
        <f>'Daily report Gen'!Z23</f>
        <v>25</v>
      </c>
      <c r="C22" s="88">
        <f>Gen!C28</f>
        <v>0.15790000000000001</v>
      </c>
      <c r="D22" s="443">
        <f t="shared" si="0"/>
        <v>12</v>
      </c>
      <c r="E22" s="75">
        <v>12</v>
      </c>
      <c r="F22" s="71">
        <f>Gen!U26</f>
        <v>2740</v>
      </c>
      <c r="G22" s="86">
        <f>Gen!T26</f>
        <v>1176.97</v>
      </c>
      <c r="H22" s="86">
        <f>Gen!AK28</f>
        <v>210.26999999999998</v>
      </c>
      <c r="I22" s="86">
        <f t="shared" si="1"/>
        <v>1387.24</v>
      </c>
      <c r="J22" s="456">
        <f>Gen!D28</f>
        <v>35530.869999999995</v>
      </c>
      <c r="K22" s="296">
        <f>'Water-Meter'!E23</f>
        <v>57</v>
      </c>
      <c r="L22" s="685">
        <f>'Lpg (2)'!G27</f>
        <v>2881182.392</v>
      </c>
      <c r="M22" s="80" t="e">
        <f>SUM(#REF!-#REF!)</f>
        <v>#REF!</v>
      </c>
    </row>
    <row r="23" spans="1:13">
      <c r="A23" s="694">
        <f>Gen!B29</f>
        <v>44123</v>
      </c>
      <c r="B23" s="684">
        <f>'Daily report Gen'!Z24</f>
        <v>-154836</v>
      </c>
      <c r="C23" s="88">
        <f>Gen!C29</f>
        <v>0.12989999999999999</v>
      </c>
      <c r="D23" s="443">
        <f t="shared" si="0"/>
        <v>12</v>
      </c>
      <c r="E23" s="75">
        <v>12</v>
      </c>
      <c r="F23" s="71">
        <f>Gen!U27</f>
        <v>2624</v>
      </c>
      <c r="G23" s="86">
        <f>Gen!T27</f>
        <v>997.16000000000008</v>
      </c>
      <c r="H23" s="86">
        <f>Gen!AK29</f>
        <v>0</v>
      </c>
      <c r="I23" s="86">
        <f t="shared" si="1"/>
        <v>997.16000000000008</v>
      </c>
      <c r="J23" s="456">
        <f>Gen!D29</f>
        <v>34112.569999999992</v>
      </c>
      <c r="K23" s="296" t="str">
        <f>'Water-Meter'!E24</f>
        <v>0</v>
      </c>
      <c r="L23" s="685">
        <f>'Lpg (2)'!G28</f>
        <v>-2881089.6840000004</v>
      </c>
      <c r="M23" s="80" t="e">
        <f>SUM(#REF!-#REF!)</f>
        <v>#REF!</v>
      </c>
    </row>
    <row r="24" spans="1:13">
      <c r="A24" s="694">
        <f>Gen!B30</f>
        <v>44124</v>
      </c>
      <c r="B24" s="684">
        <f>'Daily report Gen'!Z25</f>
        <v>0</v>
      </c>
      <c r="C24" s="88">
        <f>Gen!C30</f>
        <v>0</v>
      </c>
      <c r="D24" s="443">
        <f t="shared" si="0"/>
        <v>10</v>
      </c>
      <c r="E24" s="75">
        <v>10</v>
      </c>
      <c r="F24" s="71">
        <f>Gen!U28</f>
        <v>2889</v>
      </c>
      <c r="G24" s="86">
        <f>Gen!T28</f>
        <v>1208.03</v>
      </c>
      <c r="H24" s="86">
        <f>Gen!AK30</f>
        <v>0</v>
      </c>
      <c r="I24" s="86">
        <f t="shared" si="1"/>
        <v>1208.03</v>
      </c>
      <c r="J24" s="456">
        <f>Gen!D30</f>
        <v>34112.569999999992</v>
      </c>
      <c r="K24" s="296">
        <f>'Water-Meter'!E25</f>
        <v>0</v>
      </c>
      <c r="L24" s="685">
        <f>'Lpg (2)'!G29</f>
        <v>-320178.71600000001</v>
      </c>
      <c r="M24" s="80" t="e">
        <f>SUM(#REF!-#REF!)</f>
        <v>#REF!</v>
      </c>
    </row>
    <row r="25" spans="1:13">
      <c r="A25" s="694">
        <f>Gen!B31</f>
        <v>44125</v>
      </c>
      <c r="B25" s="684">
        <f>'Daily report Gen'!Z26</f>
        <v>0</v>
      </c>
      <c r="C25" s="88">
        <f>Gen!C31</f>
        <v>0</v>
      </c>
      <c r="D25" s="443">
        <f t="shared" si="0"/>
        <v>0</v>
      </c>
      <c r="E25" s="75"/>
      <c r="F25" s="71">
        <f>Gen!U29</f>
        <v>0</v>
      </c>
      <c r="G25" s="86">
        <f>Gen!T29</f>
        <v>0</v>
      </c>
      <c r="H25" s="86">
        <f>Gen!AK31</f>
        <v>0</v>
      </c>
      <c r="I25" s="86">
        <f t="shared" si="1"/>
        <v>0</v>
      </c>
      <c r="J25" s="456">
        <f>Gen!D31</f>
        <v>34112.569999999992</v>
      </c>
      <c r="K25" s="296">
        <f>'Water-Meter'!E26</f>
        <v>0</v>
      </c>
      <c r="L25" s="685">
        <f>'Lpg (2)'!G30</f>
        <v>0</v>
      </c>
      <c r="M25" s="80" t="e">
        <f>SUM(#REF!-#REF!)</f>
        <v>#REF!</v>
      </c>
    </row>
    <row r="26" spans="1:13">
      <c r="A26" s="694">
        <f>Gen!B32</f>
        <v>44126</v>
      </c>
      <c r="B26" s="684">
        <f>'Daily report Gen'!Z27</f>
        <v>0</v>
      </c>
      <c r="C26" s="88">
        <f>Gen!C32</f>
        <v>0</v>
      </c>
      <c r="D26" s="443">
        <f t="shared" si="0"/>
        <v>0</v>
      </c>
      <c r="E26" s="75"/>
      <c r="F26" s="71">
        <f>Gen!U30</f>
        <v>0</v>
      </c>
      <c r="G26" s="86">
        <f>Gen!T30</f>
        <v>0</v>
      </c>
      <c r="H26" s="86">
        <f>Gen!AK32</f>
        <v>0</v>
      </c>
      <c r="I26" s="86">
        <f t="shared" si="1"/>
        <v>0</v>
      </c>
      <c r="J26" s="456">
        <f>Gen!D32</f>
        <v>34112.569999999992</v>
      </c>
      <c r="K26" s="296">
        <f>'Water-Meter'!E27</f>
        <v>0</v>
      </c>
      <c r="L26" s="685">
        <f>'Lpg (2)'!G31</f>
        <v>0</v>
      </c>
      <c r="M26" s="80" t="e">
        <f>SUM(#REF!-#REF!)</f>
        <v>#REF!</v>
      </c>
    </row>
    <row r="27" spans="1:13">
      <c r="A27" s="694">
        <f>Gen!B33</f>
        <v>44127</v>
      </c>
      <c r="B27" s="684">
        <f>'Daily report Gen'!Z28</f>
        <v>0</v>
      </c>
      <c r="C27" s="88">
        <f>Gen!C33</f>
        <v>0</v>
      </c>
      <c r="D27" s="443">
        <f t="shared" si="0"/>
        <v>0</v>
      </c>
      <c r="E27" s="75"/>
      <c r="F27" s="71">
        <f>Gen!U31</f>
        <v>0</v>
      </c>
      <c r="G27" s="86">
        <f>Gen!T31</f>
        <v>0</v>
      </c>
      <c r="H27" s="86">
        <f>Gen!AK33</f>
        <v>0</v>
      </c>
      <c r="I27" s="86">
        <f t="shared" si="1"/>
        <v>0</v>
      </c>
      <c r="J27" s="456">
        <f>Gen!D33</f>
        <v>34112.569999999992</v>
      </c>
      <c r="K27" s="296">
        <f>'Water-Meter'!E28</f>
        <v>0</v>
      </c>
      <c r="L27" s="685">
        <f>'Lpg (2)'!G32</f>
        <v>0</v>
      </c>
      <c r="M27" s="80" t="e">
        <f>SUM(#REF!-#REF!)</f>
        <v>#REF!</v>
      </c>
    </row>
    <row r="28" spans="1:13">
      <c r="A28" s="694">
        <f>Gen!B34</f>
        <v>44128</v>
      </c>
      <c r="B28" s="684">
        <f>'Daily report Gen'!Z29</f>
        <v>0</v>
      </c>
      <c r="C28" s="88">
        <f>Gen!C34</f>
        <v>0</v>
      </c>
      <c r="D28" s="443">
        <f t="shared" si="0"/>
        <v>0</v>
      </c>
      <c r="E28" s="75"/>
      <c r="F28" s="71">
        <f>Gen!U32</f>
        <v>0</v>
      </c>
      <c r="G28" s="86">
        <f>Gen!T32</f>
        <v>0</v>
      </c>
      <c r="H28" s="86">
        <f>Gen!AK34</f>
        <v>0</v>
      </c>
      <c r="I28" s="86">
        <f t="shared" si="1"/>
        <v>0</v>
      </c>
      <c r="J28" s="456">
        <f>Gen!D34</f>
        <v>34112.569999999992</v>
      </c>
      <c r="K28" s="296">
        <f>'Water-Meter'!E29</f>
        <v>0</v>
      </c>
      <c r="L28" s="685">
        <f>'Lpg (2)'!G33</f>
        <v>0</v>
      </c>
      <c r="M28" s="80" t="e">
        <f>SUM(#REF!-#REF!)</f>
        <v>#REF!</v>
      </c>
    </row>
    <row r="29" spans="1:13">
      <c r="A29" s="694">
        <f>Gen!B35</f>
        <v>44129</v>
      </c>
      <c r="B29" s="684">
        <f>'Daily report Gen'!Z30</f>
        <v>0</v>
      </c>
      <c r="C29" s="88">
        <f>Gen!C35</f>
        <v>0</v>
      </c>
      <c r="D29" s="443">
        <f t="shared" si="0"/>
        <v>0</v>
      </c>
      <c r="E29" s="75"/>
      <c r="F29" s="71">
        <f>Gen!U33</f>
        <v>0</v>
      </c>
      <c r="G29" s="86">
        <f>Gen!T33</f>
        <v>0</v>
      </c>
      <c r="H29" s="86">
        <f>Gen!AK35</f>
        <v>0</v>
      </c>
      <c r="I29" s="86">
        <f t="shared" si="1"/>
        <v>0</v>
      </c>
      <c r="J29" s="456">
        <f>Gen!D35</f>
        <v>34112.569999999992</v>
      </c>
      <c r="K29" s="296">
        <f>'Water-Meter'!E30</f>
        <v>0</v>
      </c>
      <c r="L29" s="685">
        <f>'Lpg (2)'!G34</f>
        <v>0</v>
      </c>
      <c r="M29" s="80" t="e">
        <f>SUM(#REF!-#REF!)</f>
        <v>#REF!</v>
      </c>
    </row>
    <row r="30" spans="1:13">
      <c r="A30" s="694">
        <f>Gen!B36</f>
        <v>44130</v>
      </c>
      <c r="B30" s="684">
        <f>'Daily report Gen'!Z31</f>
        <v>0</v>
      </c>
      <c r="C30" s="88">
        <f>Gen!C36</f>
        <v>0</v>
      </c>
      <c r="D30" s="443">
        <f t="shared" si="0"/>
        <v>0</v>
      </c>
      <c r="E30" s="75"/>
      <c r="F30" s="71">
        <f>Gen!U34</f>
        <v>0</v>
      </c>
      <c r="G30" s="86">
        <f>Gen!T34</f>
        <v>0</v>
      </c>
      <c r="H30" s="86">
        <f>Gen!AK36</f>
        <v>0</v>
      </c>
      <c r="I30" s="86">
        <f t="shared" si="1"/>
        <v>0</v>
      </c>
      <c r="J30" s="456">
        <f>Gen!D36</f>
        <v>34112.569999999992</v>
      </c>
      <c r="K30" s="296">
        <f>'Water-Meter'!E31</f>
        <v>0</v>
      </c>
      <c r="L30" s="685">
        <f>'Lpg (2)'!G35</f>
        <v>0</v>
      </c>
      <c r="M30" s="80" t="e">
        <f>SUM(#REF!-#REF!)</f>
        <v>#REF!</v>
      </c>
    </row>
    <row r="31" spans="1:13">
      <c r="A31" s="694">
        <f>Gen!B37</f>
        <v>44131</v>
      </c>
      <c r="B31" s="684">
        <f>'Daily report Gen'!Z32</f>
        <v>0</v>
      </c>
      <c r="C31" s="88">
        <f>Gen!C37</f>
        <v>0</v>
      </c>
      <c r="D31" s="443">
        <f t="shared" si="0"/>
        <v>0</v>
      </c>
      <c r="E31" s="75"/>
      <c r="F31" s="71">
        <f>Gen!U35</f>
        <v>0</v>
      </c>
      <c r="G31" s="86">
        <f>Gen!T35</f>
        <v>0</v>
      </c>
      <c r="H31" s="86">
        <f>Gen!AK37</f>
        <v>0</v>
      </c>
      <c r="I31" s="86">
        <f t="shared" si="1"/>
        <v>0</v>
      </c>
      <c r="J31" s="456">
        <f>Gen!D37</f>
        <v>34112.569999999992</v>
      </c>
      <c r="K31" s="296">
        <f>'Water-Meter'!E32</f>
        <v>0</v>
      </c>
      <c r="L31" s="685">
        <f>'Lpg (2)'!G36</f>
        <v>0</v>
      </c>
      <c r="M31" s="80" t="e">
        <f>SUM(#REF!-#REF!)</f>
        <v>#REF!</v>
      </c>
    </row>
    <row r="32" spans="1:13">
      <c r="A32" s="694">
        <f>Gen!B38</f>
        <v>44132</v>
      </c>
      <c r="B32" s="684">
        <f>'Daily report Gen'!Z33</f>
        <v>0</v>
      </c>
      <c r="C32" s="88">
        <f>Gen!C38</f>
        <v>0</v>
      </c>
      <c r="D32" s="443">
        <f t="shared" si="0"/>
        <v>0</v>
      </c>
      <c r="E32" s="75"/>
      <c r="F32" s="71">
        <f>Gen!U36</f>
        <v>0</v>
      </c>
      <c r="G32" s="86">
        <f>Gen!T36</f>
        <v>0</v>
      </c>
      <c r="H32" s="86">
        <f>Gen!AK38</f>
        <v>0</v>
      </c>
      <c r="I32" s="86">
        <f t="shared" si="1"/>
        <v>0</v>
      </c>
      <c r="J32" s="456">
        <f>Gen!D38</f>
        <v>34112.569999999992</v>
      </c>
      <c r="K32" s="296">
        <f>'Water-Meter'!E33</f>
        <v>0</v>
      </c>
      <c r="L32" s="685">
        <f>'Lpg (2)'!G37</f>
        <v>0</v>
      </c>
      <c r="M32" s="80" t="e">
        <f>SUM(#REF!-#REF!)</f>
        <v>#REF!</v>
      </c>
    </row>
    <row r="33" spans="1:13">
      <c r="A33" s="694">
        <f>Gen!B39</f>
        <v>44133</v>
      </c>
      <c r="B33" s="684">
        <f>'Daily report Gen'!Z34</f>
        <v>0</v>
      </c>
      <c r="C33" s="88">
        <f>Gen!C39</f>
        <v>0</v>
      </c>
      <c r="D33" s="443">
        <f t="shared" si="0"/>
        <v>0</v>
      </c>
      <c r="E33" s="75"/>
      <c r="F33" s="71">
        <f>Gen!U37</f>
        <v>0</v>
      </c>
      <c r="G33" s="86">
        <f>Gen!T37</f>
        <v>0</v>
      </c>
      <c r="H33" s="86">
        <f>Gen!AK39</f>
        <v>0</v>
      </c>
      <c r="I33" s="86">
        <f t="shared" si="1"/>
        <v>0</v>
      </c>
      <c r="J33" s="456">
        <f>Gen!D39</f>
        <v>34112.569999999992</v>
      </c>
      <c r="K33" s="296">
        <f>'Water-Meter'!E34</f>
        <v>0</v>
      </c>
      <c r="L33" s="685">
        <f>'Lpg (2)'!G38</f>
        <v>0</v>
      </c>
      <c r="M33" s="80" t="e">
        <f>SUM(#REF!-#REF!)</f>
        <v>#REF!</v>
      </c>
    </row>
    <row r="34" spans="1:13">
      <c r="A34" s="694">
        <f>Gen!B40</f>
        <v>44134</v>
      </c>
      <c r="B34" s="684">
        <f>'Daily report Gen'!Z35</f>
        <v>0</v>
      </c>
      <c r="C34" s="88">
        <f>Gen!C40</f>
        <v>0</v>
      </c>
      <c r="D34" s="443">
        <f t="shared" si="0"/>
        <v>0</v>
      </c>
      <c r="E34" s="75"/>
      <c r="F34" s="71">
        <f>Gen!U38</f>
        <v>0</v>
      </c>
      <c r="G34" s="86">
        <f>Gen!T38</f>
        <v>0</v>
      </c>
      <c r="H34" s="86">
        <f>Gen!AK40</f>
        <v>0</v>
      </c>
      <c r="I34" s="86">
        <f t="shared" si="1"/>
        <v>0</v>
      </c>
      <c r="J34" s="456">
        <f>Gen!D40</f>
        <v>34112.569999999992</v>
      </c>
      <c r="K34" s="296">
        <f>'Water-Meter'!E35</f>
        <v>0</v>
      </c>
      <c r="L34" s="685">
        <f>'Lpg (2)'!G39</f>
        <v>0</v>
      </c>
      <c r="M34" s="80" t="e">
        <f>SUM(#REF!-#REF!)</f>
        <v>#REF!</v>
      </c>
    </row>
    <row r="35" spans="1:13">
      <c r="A35" s="694">
        <f>Gen!B41</f>
        <v>44135</v>
      </c>
      <c r="B35" s="684">
        <f>'Daily report Gen'!Z36</f>
        <v>0</v>
      </c>
      <c r="C35" s="88">
        <f>Gen!C41</f>
        <v>0</v>
      </c>
      <c r="D35" s="443">
        <f t="shared" si="0"/>
        <v>0</v>
      </c>
      <c r="E35" s="75"/>
      <c r="F35" s="71">
        <f>Gen!U39</f>
        <v>0</v>
      </c>
      <c r="G35" s="86">
        <f>Gen!T39</f>
        <v>0</v>
      </c>
      <c r="H35" s="86">
        <f>Gen!AK41</f>
        <v>0</v>
      </c>
      <c r="I35" s="86">
        <f t="shared" si="1"/>
        <v>0</v>
      </c>
      <c r="J35" s="456">
        <f>Gen!D41</f>
        <v>34112.569999999992</v>
      </c>
      <c r="K35" s="296">
        <f>'Water-Meter'!E36</f>
        <v>0</v>
      </c>
      <c r="L35" s="685">
        <f>'Lpg (2)'!G40</f>
        <v>0</v>
      </c>
      <c r="M35" s="80" t="e">
        <f>SUM(#REF!-#REF!)</f>
        <v>#REF!</v>
      </c>
    </row>
    <row r="36" spans="1:13" ht="13.5" thickBot="1">
      <c r="A36" s="695">
        <f>Gen!B42</f>
        <v>44136</v>
      </c>
      <c r="B36" s="686">
        <f>'Daily report Gen'!Z37</f>
        <v>0</v>
      </c>
      <c r="C36" s="687">
        <f>Gen!C42</f>
        <v>0</v>
      </c>
      <c r="D36" s="688">
        <f t="shared" si="0"/>
        <v>0</v>
      </c>
      <c r="E36" s="689"/>
      <c r="F36" s="72">
        <f>Gen!U40</f>
        <v>0</v>
      </c>
      <c r="G36" s="87">
        <f>Gen!T40</f>
        <v>0</v>
      </c>
      <c r="H36" s="87">
        <f>Gen!AK42</f>
        <v>0</v>
      </c>
      <c r="I36" s="87">
        <f t="shared" si="1"/>
        <v>0</v>
      </c>
      <c r="J36" s="690">
        <f>Gen!D42</f>
        <v>34112.569999999992</v>
      </c>
      <c r="K36" s="691">
        <f>'Water-Meter'!E37</f>
        <v>0</v>
      </c>
      <c r="L36" s="692">
        <f>'Lpg (2)'!G41</f>
        <v>0</v>
      </c>
    </row>
    <row r="38" spans="1:13">
      <c r="B38" s="84"/>
    </row>
    <row r="39" spans="1:13">
      <c r="B39" s="84"/>
      <c r="C39" s="84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abSelected="1" workbookViewId="0">
      <pane xSplit="1" topLeftCell="B1" activePane="topRight" state="frozen"/>
      <selection pane="topRight" activeCell="B22" sqref="B22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77">
        <f>A6</f>
        <v>44105</v>
      </c>
      <c r="B1" s="878"/>
      <c r="C1" s="878"/>
      <c r="D1" s="878"/>
      <c r="E1" s="878"/>
      <c r="F1" s="878"/>
      <c r="G1" s="878"/>
      <c r="H1" s="878"/>
      <c r="I1" s="878"/>
      <c r="J1" s="878"/>
      <c r="K1" s="878"/>
      <c r="L1" s="878"/>
      <c r="M1" s="878"/>
      <c r="N1" s="878"/>
      <c r="O1" s="878"/>
      <c r="P1" s="878"/>
      <c r="Q1" s="878"/>
      <c r="R1" s="878"/>
      <c r="S1" s="878"/>
      <c r="T1" s="878"/>
      <c r="U1" s="878"/>
      <c r="V1" s="878"/>
      <c r="W1" s="878"/>
      <c r="X1" s="878"/>
      <c r="Y1" s="878"/>
      <c r="Z1" s="878"/>
      <c r="AA1" s="878"/>
      <c r="AB1" s="878"/>
      <c r="AC1" s="20"/>
    </row>
    <row r="2" spans="1:29" ht="12" customHeight="1" thickBot="1">
      <c r="A2" s="878"/>
      <c r="B2" s="878"/>
      <c r="C2" s="878"/>
      <c r="D2" s="878"/>
      <c r="E2" s="878"/>
      <c r="F2" s="878"/>
      <c r="G2" s="878"/>
      <c r="H2" s="878"/>
      <c r="I2" s="878"/>
      <c r="J2" s="878"/>
      <c r="K2" s="878"/>
      <c r="L2" s="878"/>
      <c r="M2" s="878"/>
      <c r="N2" s="878"/>
      <c r="O2" s="878"/>
      <c r="P2" s="878"/>
      <c r="Q2" s="878"/>
      <c r="R2" s="878"/>
      <c r="S2" s="878"/>
      <c r="T2" s="878"/>
      <c r="U2" s="878"/>
      <c r="V2" s="878"/>
      <c r="W2" s="878"/>
      <c r="X2" s="878"/>
      <c r="Y2" s="878"/>
      <c r="Z2" s="878"/>
      <c r="AA2" s="878"/>
      <c r="AB2" s="878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879" t="s">
        <v>298</v>
      </c>
      <c r="L3" s="880"/>
      <c r="M3" s="881"/>
      <c r="N3" s="879" t="s">
        <v>299</v>
      </c>
      <c r="O3" s="880"/>
      <c r="P3" s="881"/>
      <c r="Q3" s="879" t="s">
        <v>300</v>
      </c>
      <c r="R3" s="880"/>
      <c r="S3" s="881"/>
      <c r="T3" s="879" t="s">
        <v>301</v>
      </c>
      <c r="U3" s="880"/>
      <c r="V3" s="881"/>
      <c r="W3" s="879" t="s">
        <v>302</v>
      </c>
      <c r="X3" s="880"/>
      <c r="Y3" s="881"/>
      <c r="Z3" s="305"/>
      <c r="AA3" s="20"/>
      <c r="AB3" s="20"/>
      <c r="AC3" s="20"/>
    </row>
    <row r="4" spans="1:29" ht="35.25" customHeight="1" thickBot="1">
      <c r="A4" s="263" t="s">
        <v>86</v>
      </c>
      <c r="B4" s="336" t="s">
        <v>87</v>
      </c>
      <c r="C4" s="336" t="s">
        <v>88</v>
      </c>
      <c r="D4" s="336" t="s">
        <v>89</v>
      </c>
      <c r="E4" s="336" t="s">
        <v>90</v>
      </c>
      <c r="F4" s="336" t="s">
        <v>242</v>
      </c>
      <c r="G4" s="337" t="s">
        <v>91</v>
      </c>
      <c r="H4" s="336" t="s">
        <v>92</v>
      </c>
      <c r="I4" s="337" t="s">
        <v>93</v>
      </c>
      <c r="J4" s="338" t="s">
        <v>94</v>
      </c>
      <c r="K4" s="339" t="s">
        <v>191</v>
      </c>
      <c r="L4" s="337" t="s">
        <v>192</v>
      </c>
      <c r="M4" s="337" t="s">
        <v>202</v>
      </c>
      <c r="N4" s="339" t="s">
        <v>191</v>
      </c>
      <c r="O4" s="337" t="s">
        <v>192</v>
      </c>
      <c r="P4" s="337" t="s">
        <v>202</v>
      </c>
      <c r="Q4" s="339" t="s">
        <v>191</v>
      </c>
      <c r="R4" s="337" t="s">
        <v>192</v>
      </c>
      <c r="S4" s="337" t="s">
        <v>202</v>
      </c>
      <c r="T4" s="339" t="s">
        <v>191</v>
      </c>
      <c r="U4" s="337" t="s">
        <v>192</v>
      </c>
      <c r="V4" s="337" t="s">
        <v>202</v>
      </c>
      <c r="W4" s="339" t="s">
        <v>191</v>
      </c>
      <c r="X4" s="337" t="s">
        <v>192</v>
      </c>
      <c r="Y4" s="338" t="s">
        <v>202</v>
      </c>
      <c r="Z4" s="340" t="s">
        <v>193</v>
      </c>
      <c r="AA4" s="336" t="s">
        <v>174</v>
      </c>
      <c r="AB4" s="341" t="s">
        <v>95</v>
      </c>
      <c r="AC4" s="342" t="s">
        <v>195</v>
      </c>
    </row>
    <row r="5" spans="1:29" ht="18.75" customHeight="1">
      <c r="A5" s="716"/>
      <c r="B5" s="706"/>
      <c r="C5" s="707">
        <v>24408.55</v>
      </c>
      <c r="D5" s="708">
        <v>16140.2</v>
      </c>
      <c r="E5" s="709"/>
      <c r="F5" s="709"/>
      <c r="G5" s="709"/>
      <c r="H5" s="709"/>
      <c r="I5" s="708">
        <v>31028.2</v>
      </c>
      <c r="J5" s="710">
        <v>20601.900000000001</v>
      </c>
      <c r="K5" s="719"/>
      <c r="L5" s="708">
        <v>35172</v>
      </c>
      <c r="M5" s="720"/>
      <c r="N5" s="708"/>
      <c r="O5" s="708">
        <v>30165</v>
      </c>
      <c r="P5" s="721"/>
      <c r="Q5" s="708"/>
      <c r="R5" s="708">
        <v>35661</v>
      </c>
      <c r="S5" s="721"/>
      <c r="T5" s="708"/>
      <c r="U5" s="708">
        <v>32383</v>
      </c>
      <c r="V5" s="721"/>
      <c r="W5" s="708"/>
      <c r="X5" s="708">
        <v>21001</v>
      </c>
      <c r="Y5" s="721"/>
      <c r="Z5" s="721"/>
      <c r="AA5" s="708"/>
      <c r="AB5" s="708"/>
      <c r="AC5" s="722"/>
    </row>
    <row r="6" spans="1:29" ht="20.100000000000001" customHeight="1">
      <c r="A6" s="717">
        <f>Gen!B11</f>
        <v>44105</v>
      </c>
      <c r="B6" s="711">
        <v>5.1900000000000002E-2</v>
      </c>
      <c r="C6" s="642">
        <v>22863.33</v>
      </c>
      <c r="D6" s="307">
        <v>16140.2</v>
      </c>
      <c r="E6" s="501"/>
      <c r="F6" s="307"/>
      <c r="G6" s="307"/>
      <c r="H6" s="307"/>
      <c r="I6" s="307">
        <v>31031.7</v>
      </c>
      <c r="J6" s="712">
        <v>20604.599999999999</v>
      </c>
      <c r="K6" s="723">
        <f>L5</f>
        <v>35172</v>
      </c>
      <c r="L6" s="307">
        <v>35184</v>
      </c>
      <c r="M6" s="306">
        <f>L6-K6</f>
        <v>12</v>
      </c>
      <c r="N6" s="308">
        <f>O5</f>
        <v>30165</v>
      </c>
      <c r="O6" s="307">
        <v>30165</v>
      </c>
      <c r="P6" s="306">
        <f>O6-N6</f>
        <v>0</v>
      </c>
      <c r="Q6" s="306">
        <f>R5</f>
        <v>35661</v>
      </c>
      <c r="R6" s="307">
        <v>35662</v>
      </c>
      <c r="S6" s="306">
        <f>R6-Q6</f>
        <v>1</v>
      </c>
      <c r="T6" s="306">
        <f>U5</f>
        <v>32383</v>
      </c>
      <c r="U6" s="307">
        <v>32383</v>
      </c>
      <c r="V6" s="306">
        <f>U6-T6</f>
        <v>0</v>
      </c>
      <c r="W6" s="308">
        <f>X5</f>
        <v>21001</v>
      </c>
      <c r="X6" s="307">
        <v>21013</v>
      </c>
      <c r="Y6" s="306">
        <f>X6-W6</f>
        <v>12</v>
      </c>
      <c r="Z6" s="309">
        <f>Y6+V6+S6+P6+M6</f>
        <v>25</v>
      </c>
      <c r="AA6" s="126">
        <v>190</v>
      </c>
      <c r="AB6" s="126">
        <v>85</v>
      </c>
      <c r="AC6" s="724">
        <f>Gen!T11</f>
        <v>911.04</v>
      </c>
    </row>
    <row r="7" spans="1:29" ht="20.100000000000001" customHeight="1">
      <c r="A7" s="717">
        <f>Gen!B12</f>
        <v>44106</v>
      </c>
      <c r="B7" s="711">
        <v>3.9E-2</v>
      </c>
      <c r="C7" s="307">
        <v>21952.29</v>
      </c>
      <c r="D7" s="307">
        <v>16140.2</v>
      </c>
      <c r="E7" s="501"/>
      <c r="F7" s="307"/>
      <c r="G7" s="307"/>
      <c r="H7" s="307"/>
      <c r="I7" s="307">
        <v>31035.200000000001</v>
      </c>
      <c r="J7" s="712">
        <v>20607.5</v>
      </c>
      <c r="K7" s="723">
        <f t="shared" ref="K7:K37" si="0">L6</f>
        <v>35184</v>
      </c>
      <c r="L7" s="307">
        <v>35184</v>
      </c>
      <c r="M7" s="306">
        <f t="shared" ref="M7:M37" si="1">L7-K7</f>
        <v>0</v>
      </c>
      <c r="N7" s="308">
        <f t="shared" ref="N7:N37" si="2">O6</f>
        <v>30165</v>
      </c>
      <c r="O7" s="307">
        <v>30165</v>
      </c>
      <c r="P7" s="306">
        <f t="shared" ref="P7:P37" si="3">O7-N7</f>
        <v>0</v>
      </c>
      <c r="Q7" s="306">
        <f t="shared" ref="Q7:Q37" si="4">R6</f>
        <v>35662</v>
      </c>
      <c r="R7" s="307">
        <v>35674</v>
      </c>
      <c r="S7" s="306">
        <f t="shared" ref="S7:S37" si="5">R7-Q7</f>
        <v>12</v>
      </c>
      <c r="T7" s="306">
        <f t="shared" ref="T7:T37" si="6">U6</f>
        <v>32383</v>
      </c>
      <c r="U7" s="307">
        <v>32395</v>
      </c>
      <c r="V7" s="306">
        <f t="shared" ref="V7:V37" si="7">U7-T7</f>
        <v>12</v>
      </c>
      <c r="W7" s="308">
        <f t="shared" ref="W7:W37" si="8">X6</f>
        <v>21013</v>
      </c>
      <c r="X7" s="307">
        <v>21013</v>
      </c>
      <c r="Y7" s="306">
        <f t="shared" ref="Y7:Y37" si="9">X7-W7</f>
        <v>0</v>
      </c>
      <c r="Z7" s="309">
        <f t="shared" ref="Z7:Z25" si="10">Y7+V7+S7+P7+M7</f>
        <v>24</v>
      </c>
      <c r="AA7" s="126">
        <v>198</v>
      </c>
      <c r="AB7" s="126">
        <v>90</v>
      </c>
      <c r="AC7" s="724">
        <f>Gen!T12</f>
        <v>976.24</v>
      </c>
    </row>
    <row r="8" spans="1:29" ht="20.100000000000001" customHeight="1">
      <c r="A8" s="717">
        <f>Gen!B13</f>
        <v>44107</v>
      </c>
      <c r="B8" s="711">
        <v>2.5999999999999999E-2</v>
      </c>
      <c r="C8" s="307">
        <v>20976.05</v>
      </c>
      <c r="D8" s="307">
        <v>16140.2</v>
      </c>
      <c r="E8" s="501"/>
      <c r="F8" s="307"/>
      <c r="G8" s="307"/>
      <c r="H8" s="307"/>
      <c r="I8" s="307">
        <v>31039.1</v>
      </c>
      <c r="J8" s="712">
        <v>20610.5</v>
      </c>
      <c r="K8" s="723">
        <f t="shared" si="0"/>
        <v>35184</v>
      </c>
      <c r="L8" s="307">
        <v>35196</v>
      </c>
      <c r="M8" s="306">
        <f t="shared" si="1"/>
        <v>12</v>
      </c>
      <c r="N8" s="308">
        <f t="shared" si="2"/>
        <v>30165</v>
      </c>
      <c r="O8" s="307">
        <v>30165</v>
      </c>
      <c r="P8" s="306">
        <f t="shared" si="3"/>
        <v>0</v>
      </c>
      <c r="Q8" s="306">
        <f t="shared" si="4"/>
        <v>35674</v>
      </c>
      <c r="R8" s="307">
        <v>35674</v>
      </c>
      <c r="S8" s="306">
        <f t="shared" si="5"/>
        <v>0</v>
      </c>
      <c r="T8" s="306">
        <f t="shared" si="6"/>
        <v>32395</v>
      </c>
      <c r="U8" s="307">
        <v>32396</v>
      </c>
      <c r="V8" s="306">
        <f t="shared" si="7"/>
        <v>1</v>
      </c>
      <c r="W8" s="308">
        <f t="shared" si="8"/>
        <v>21013</v>
      </c>
      <c r="X8" s="307">
        <v>21025</v>
      </c>
      <c r="Y8" s="306">
        <f t="shared" si="9"/>
        <v>12</v>
      </c>
      <c r="Z8" s="309">
        <f t="shared" si="10"/>
        <v>25</v>
      </c>
      <c r="AA8" s="126">
        <v>199</v>
      </c>
      <c r="AB8" s="126">
        <v>95</v>
      </c>
      <c r="AC8" s="724">
        <f>Gen!T13</f>
        <v>996.18</v>
      </c>
    </row>
    <row r="9" spans="1:29" ht="20.100000000000001" customHeight="1">
      <c r="A9" s="717">
        <f>Gen!B14</f>
        <v>44108</v>
      </c>
      <c r="B9" s="711">
        <v>1.2999999999999999E-2</v>
      </c>
      <c r="C9" s="307">
        <v>19932.29</v>
      </c>
      <c r="D9" s="307">
        <v>16140.2</v>
      </c>
      <c r="E9" s="501"/>
      <c r="F9" s="307"/>
      <c r="G9" s="307"/>
      <c r="H9" s="307"/>
      <c r="I9" s="307">
        <v>31042.400000000001</v>
      </c>
      <c r="J9" s="712">
        <v>20613.3</v>
      </c>
      <c r="K9" s="723">
        <f t="shared" si="0"/>
        <v>35196</v>
      </c>
      <c r="L9" s="307">
        <v>35197</v>
      </c>
      <c r="M9" s="306">
        <f t="shared" si="1"/>
        <v>1</v>
      </c>
      <c r="N9" s="308">
        <f t="shared" si="2"/>
        <v>30165</v>
      </c>
      <c r="O9" s="307">
        <v>30165</v>
      </c>
      <c r="P9" s="306">
        <f t="shared" si="3"/>
        <v>0</v>
      </c>
      <c r="Q9" s="306">
        <f t="shared" si="4"/>
        <v>35674</v>
      </c>
      <c r="R9" s="307">
        <v>35686</v>
      </c>
      <c r="S9" s="306">
        <f t="shared" si="5"/>
        <v>12</v>
      </c>
      <c r="T9" s="306">
        <f t="shared" si="6"/>
        <v>32396</v>
      </c>
      <c r="U9" s="307">
        <v>32408</v>
      </c>
      <c r="V9" s="306">
        <f t="shared" si="7"/>
        <v>12</v>
      </c>
      <c r="W9" s="308">
        <f t="shared" si="8"/>
        <v>21025</v>
      </c>
      <c r="X9" s="307">
        <v>21026</v>
      </c>
      <c r="Y9" s="306">
        <f t="shared" si="9"/>
        <v>1</v>
      </c>
      <c r="Z9" s="309">
        <f t="shared" si="10"/>
        <v>26</v>
      </c>
      <c r="AA9" s="126">
        <v>188</v>
      </c>
      <c r="AB9" s="126">
        <v>86</v>
      </c>
      <c r="AC9" s="724">
        <f>Gen!T14</f>
        <v>924.63</v>
      </c>
    </row>
    <row r="10" spans="1:29" ht="20.100000000000001" customHeight="1">
      <c r="A10" s="717">
        <f>Gen!B15</f>
        <v>44109</v>
      </c>
      <c r="B10" s="711">
        <v>2.3E-2</v>
      </c>
      <c r="C10" s="307">
        <v>19007.66</v>
      </c>
      <c r="D10" s="307">
        <v>16140.2</v>
      </c>
      <c r="E10" s="501"/>
      <c r="F10" s="307"/>
      <c r="G10" s="307"/>
      <c r="H10" s="307"/>
      <c r="I10" s="307">
        <v>31045.9</v>
      </c>
      <c r="J10" s="712">
        <v>20616.2</v>
      </c>
      <c r="K10" s="723">
        <f t="shared" si="0"/>
        <v>35197</v>
      </c>
      <c r="L10" s="307">
        <v>35209</v>
      </c>
      <c r="M10" s="306">
        <f t="shared" si="1"/>
        <v>12</v>
      </c>
      <c r="N10" s="308">
        <f t="shared" si="2"/>
        <v>30165</v>
      </c>
      <c r="O10" s="307">
        <v>30165</v>
      </c>
      <c r="P10" s="306">
        <f t="shared" si="3"/>
        <v>0</v>
      </c>
      <c r="Q10" s="306">
        <f t="shared" si="4"/>
        <v>35686</v>
      </c>
      <c r="R10" s="307">
        <v>35686</v>
      </c>
      <c r="S10" s="306">
        <f t="shared" si="5"/>
        <v>0</v>
      </c>
      <c r="T10" s="306">
        <f t="shared" si="6"/>
        <v>32408</v>
      </c>
      <c r="U10" s="307">
        <v>32408</v>
      </c>
      <c r="V10" s="306">
        <f t="shared" si="7"/>
        <v>0</v>
      </c>
      <c r="W10" s="308">
        <f t="shared" si="8"/>
        <v>21026</v>
      </c>
      <c r="X10" s="307">
        <v>21038</v>
      </c>
      <c r="Y10" s="306">
        <f t="shared" si="9"/>
        <v>12</v>
      </c>
      <c r="Z10" s="309">
        <f t="shared" si="10"/>
        <v>24</v>
      </c>
      <c r="AA10" s="126">
        <v>190</v>
      </c>
      <c r="AB10" s="126">
        <v>90</v>
      </c>
      <c r="AC10" s="724">
        <f>Gen!T15</f>
        <v>936.98</v>
      </c>
    </row>
    <row r="11" spans="1:29" ht="20.100000000000001" customHeight="1">
      <c r="A11" s="717">
        <f>Gen!B16</f>
        <v>44110</v>
      </c>
      <c r="B11" s="711">
        <v>0.02</v>
      </c>
      <c r="C11" s="307">
        <v>18070.68</v>
      </c>
      <c r="D11" s="307">
        <v>16140.2</v>
      </c>
      <c r="E11" s="501"/>
      <c r="F11" s="307"/>
      <c r="G11" s="307"/>
      <c r="H11" s="307"/>
      <c r="I11" s="307">
        <v>31049.4</v>
      </c>
      <c r="J11" s="712">
        <v>20619.099999999999</v>
      </c>
      <c r="K11" s="723">
        <f t="shared" si="0"/>
        <v>35209</v>
      </c>
      <c r="L11" s="307">
        <v>35209</v>
      </c>
      <c r="M11" s="306">
        <f t="shared" si="1"/>
        <v>0</v>
      </c>
      <c r="N11" s="308">
        <f t="shared" si="2"/>
        <v>30165</v>
      </c>
      <c r="O11" s="307">
        <v>30165</v>
      </c>
      <c r="P11" s="306">
        <f t="shared" si="3"/>
        <v>0</v>
      </c>
      <c r="Q11" s="306">
        <f t="shared" si="4"/>
        <v>35686</v>
      </c>
      <c r="R11" s="307">
        <v>35699</v>
      </c>
      <c r="S11" s="306">
        <f t="shared" si="5"/>
        <v>13</v>
      </c>
      <c r="T11" s="306">
        <f t="shared" si="6"/>
        <v>32408</v>
      </c>
      <c r="U11" s="307">
        <v>32420</v>
      </c>
      <c r="V11" s="306">
        <f t="shared" si="7"/>
        <v>12</v>
      </c>
      <c r="W11" s="308">
        <f t="shared" si="8"/>
        <v>21038</v>
      </c>
      <c r="X11" s="307">
        <v>21038</v>
      </c>
      <c r="Y11" s="306">
        <f t="shared" si="9"/>
        <v>0</v>
      </c>
      <c r="Z11" s="309">
        <f t="shared" si="10"/>
        <v>25</v>
      </c>
      <c r="AA11" s="126">
        <v>195</v>
      </c>
      <c r="AB11" s="126">
        <v>93</v>
      </c>
      <c r="AC11" s="724">
        <f>Gen!T16</f>
        <v>982.58999999999992</v>
      </c>
    </row>
    <row r="12" spans="1:29" ht="20.100000000000001" customHeight="1">
      <c r="A12" s="717">
        <f>Gen!B17</f>
        <v>44111</v>
      </c>
      <c r="B12" s="711">
        <v>3.9E-2</v>
      </c>
      <c r="C12" s="307">
        <v>17088.09</v>
      </c>
      <c r="D12" s="307">
        <v>16140.2</v>
      </c>
      <c r="E12" s="501"/>
      <c r="F12" s="307"/>
      <c r="G12" s="307"/>
      <c r="H12" s="307"/>
      <c r="I12" s="307">
        <v>31052.799999999999</v>
      </c>
      <c r="J12" s="712">
        <v>20621.8</v>
      </c>
      <c r="K12" s="723">
        <f t="shared" si="0"/>
        <v>35209</v>
      </c>
      <c r="L12" s="307">
        <v>35222</v>
      </c>
      <c r="M12" s="306">
        <f t="shared" si="1"/>
        <v>13</v>
      </c>
      <c r="N12" s="308">
        <f t="shared" si="2"/>
        <v>30165</v>
      </c>
      <c r="O12" s="307">
        <v>30165</v>
      </c>
      <c r="P12" s="306">
        <f t="shared" si="3"/>
        <v>0</v>
      </c>
      <c r="Q12" s="306">
        <f t="shared" si="4"/>
        <v>35699</v>
      </c>
      <c r="R12" s="307">
        <v>35699</v>
      </c>
      <c r="S12" s="306">
        <f t="shared" si="5"/>
        <v>0</v>
      </c>
      <c r="T12" s="306">
        <f t="shared" si="6"/>
        <v>32420</v>
      </c>
      <c r="U12" s="307">
        <v>32420</v>
      </c>
      <c r="V12" s="306">
        <f t="shared" si="7"/>
        <v>0</v>
      </c>
      <c r="W12" s="308">
        <f t="shared" si="8"/>
        <v>21038</v>
      </c>
      <c r="X12" s="307">
        <v>21050</v>
      </c>
      <c r="Y12" s="306">
        <f t="shared" si="9"/>
        <v>12</v>
      </c>
      <c r="Z12" s="309">
        <f t="shared" si="10"/>
        <v>25</v>
      </c>
      <c r="AA12" s="126">
        <v>190</v>
      </c>
      <c r="AB12" s="126">
        <v>80</v>
      </c>
      <c r="AC12" s="724">
        <f>Gen!T17</f>
        <v>950.56999999999994</v>
      </c>
    </row>
    <row r="13" spans="1:29" ht="20.100000000000001" customHeight="1">
      <c r="A13" s="717">
        <f>Gen!B18</f>
        <v>44112</v>
      </c>
      <c r="B13" s="711">
        <v>5.1900000000000002E-2</v>
      </c>
      <c r="C13" s="307">
        <v>16137.52</v>
      </c>
      <c r="D13" s="307">
        <v>16140.2</v>
      </c>
      <c r="E13" s="501"/>
      <c r="F13" s="307"/>
      <c r="G13" s="307">
        <v>91</v>
      </c>
      <c r="H13" s="307"/>
      <c r="I13" s="307">
        <v>31056.400000000001</v>
      </c>
      <c r="J13" s="712">
        <v>20624.599999999999</v>
      </c>
      <c r="K13" s="723">
        <f t="shared" si="0"/>
        <v>35222</v>
      </c>
      <c r="L13" s="307">
        <v>35222</v>
      </c>
      <c r="M13" s="306">
        <f t="shared" si="1"/>
        <v>0</v>
      </c>
      <c r="N13" s="308">
        <f t="shared" si="2"/>
        <v>30165</v>
      </c>
      <c r="O13" s="307">
        <v>30165</v>
      </c>
      <c r="P13" s="306">
        <f t="shared" si="3"/>
        <v>0</v>
      </c>
      <c r="Q13" s="306">
        <f t="shared" si="4"/>
        <v>35699</v>
      </c>
      <c r="R13" s="307">
        <v>35712</v>
      </c>
      <c r="S13" s="306">
        <f t="shared" si="5"/>
        <v>13</v>
      </c>
      <c r="T13" s="306">
        <f t="shared" si="6"/>
        <v>32420</v>
      </c>
      <c r="U13" s="307">
        <v>32431</v>
      </c>
      <c r="V13" s="306">
        <f t="shared" si="7"/>
        <v>11</v>
      </c>
      <c r="W13" s="308">
        <f t="shared" si="8"/>
        <v>21050</v>
      </c>
      <c r="X13" s="307">
        <v>21050</v>
      </c>
      <c r="Y13" s="306">
        <f t="shared" si="9"/>
        <v>0</v>
      </c>
      <c r="Z13" s="309">
        <f t="shared" si="10"/>
        <v>24</v>
      </c>
      <c r="AA13" s="126">
        <v>190</v>
      </c>
      <c r="AB13" s="126">
        <v>90</v>
      </c>
      <c r="AC13" s="724">
        <f>Gen!T18</f>
        <v>956.81999999999994</v>
      </c>
    </row>
    <row r="14" spans="1:29" ht="20.100000000000001" customHeight="1">
      <c r="A14" s="717">
        <f>Gen!B19</f>
        <v>44113</v>
      </c>
      <c r="B14" s="711">
        <v>5.1900000000000002E-2</v>
      </c>
      <c r="C14" s="307">
        <v>15089.7</v>
      </c>
      <c r="D14" s="307">
        <v>16140.2</v>
      </c>
      <c r="E14" s="501"/>
      <c r="F14" s="307"/>
      <c r="G14" s="307">
        <v>76.97</v>
      </c>
      <c r="H14" s="307"/>
      <c r="I14" s="307">
        <v>31060.1</v>
      </c>
      <c r="J14" s="712">
        <v>20627.8</v>
      </c>
      <c r="K14" s="723">
        <f t="shared" si="0"/>
        <v>35222</v>
      </c>
      <c r="L14" s="307">
        <v>35222</v>
      </c>
      <c r="M14" s="306">
        <f t="shared" si="1"/>
        <v>0</v>
      </c>
      <c r="N14" s="308">
        <f t="shared" si="2"/>
        <v>30165</v>
      </c>
      <c r="O14" s="307">
        <v>30165</v>
      </c>
      <c r="P14" s="306">
        <f t="shared" si="3"/>
        <v>0</v>
      </c>
      <c r="Q14" s="306">
        <f t="shared" si="4"/>
        <v>35712</v>
      </c>
      <c r="R14" s="307">
        <v>35723</v>
      </c>
      <c r="S14" s="306">
        <f t="shared" si="5"/>
        <v>11</v>
      </c>
      <c r="T14" s="306">
        <f t="shared" si="6"/>
        <v>32431</v>
      </c>
      <c r="U14" s="307">
        <v>32431</v>
      </c>
      <c r="V14" s="306">
        <f t="shared" si="7"/>
        <v>0</v>
      </c>
      <c r="W14" s="308">
        <f t="shared" si="8"/>
        <v>21050</v>
      </c>
      <c r="X14" s="307">
        <v>21073</v>
      </c>
      <c r="Y14" s="306">
        <f t="shared" si="9"/>
        <v>23</v>
      </c>
      <c r="Z14" s="309">
        <f t="shared" si="10"/>
        <v>34</v>
      </c>
      <c r="AA14" s="126">
        <v>198</v>
      </c>
      <c r="AB14" s="126">
        <v>95</v>
      </c>
      <c r="AC14" s="724">
        <f>Gen!T19</f>
        <v>990.35</v>
      </c>
    </row>
    <row r="15" spans="1:29" ht="20.100000000000001" customHeight="1">
      <c r="A15" s="717">
        <f>Gen!B20</f>
        <v>44114</v>
      </c>
      <c r="B15" s="711">
        <v>5.1900000000000002E-2</v>
      </c>
      <c r="C15" s="307">
        <v>22192.38</v>
      </c>
      <c r="D15" s="307">
        <v>21840.2</v>
      </c>
      <c r="E15" s="501"/>
      <c r="F15" s="307">
        <v>15000</v>
      </c>
      <c r="G15" s="307"/>
      <c r="H15" s="307"/>
      <c r="I15" s="307">
        <v>31063.5</v>
      </c>
      <c r="J15" s="712">
        <v>20630.8</v>
      </c>
      <c r="K15" s="723">
        <f t="shared" si="0"/>
        <v>35222</v>
      </c>
      <c r="L15" s="307">
        <v>35235</v>
      </c>
      <c r="M15" s="306">
        <f t="shared" si="1"/>
        <v>13</v>
      </c>
      <c r="N15" s="308">
        <f t="shared" si="2"/>
        <v>30165</v>
      </c>
      <c r="O15" s="307">
        <v>30165</v>
      </c>
      <c r="P15" s="306">
        <f t="shared" si="3"/>
        <v>0</v>
      </c>
      <c r="Q15" s="306">
        <f t="shared" si="4"/>
        <v>35723</v>
      </c>
      <c r="R15" s="307">
        <v>35723</v>
      </c>
      <c r="S15" s="306">
        <f t="shared" si="5"/>
        <v>0</v>
      </c>
      <c r="T15" s="306">
        <f t="shared" si="6"/>
        <v>32431</v>
      </c>
      <c r="U15" s="307">
        <v>32432</v>
      </c>
      <c r="V15" s="306">
        <f t="shared" si="7"/>
        <v>1</v>
      </c>
      <c r="W15" s="308">
        <f t="shared" si="8"/>
        <v>21073</v>
      </c>
      <c r="X15" s="307">
        <v>21085</v>
      </c>
      <c r="Y15" s="306">
        <f t="shared" si="9"/>
        <v>12</v>
      </c>
      <c r="Z15" s="309">
        <f t="shared" si="10"/>
        <v>26</v>
      </c>
      <c r="AA15" s="126">
        <v>195</v>
      </c>
      <c r="AB15" s="126">
        <v>98</v>
      </c>
      <c r="AC15" s="724">
        <f>Gen!T20</f>
        <v>995.05000000000007</v>
      </c>
    </row>
    <row r="16" spans="1:29" ht="20.100000000000001" customHeight="1">
      <c r="A16" s="717">
        <f>Gen!B21</f>
        <v>44115</v>
      </c>
      <c r="B16" s="711">
        <v>1.2999999999999999E-2</v>
      </c>
      <c r="C16" s="307">
        <v>21327.33</v>
      </c>
      <c r="D16" s="307">
        <v>21840.2</v>
      </c>
      <c r="E16" s="501"/>
      <c r="F16" s="307"/>
      <c r="G16" s="307">
        <v>66.489999999999995</v>
      </c>
      <c r="H16" s="307"/>
      <c r="I16" s="307">
        <v>31066.799999999999</v>
      </c>
      <c r="J16" s="712">
        <v>20633.8</v>
      </c>
      <c r="K16" s="723">
        <f t="shared" si="0"/>
        <v>35235</v>
      </c>
      <c r="L16" s="307">
        <v>35235</v>
      </c>
      <c r="M16" s="306">
        <f>L16-K16</f>
        <v>0</v>
      </c>
      <c r="N16" s="308">
        <f t="shared" si="2"/>
        <v>30165</v>
      </c>
      <c r="O16" s="307">
        <v>30165</v>
      </c>
      <c r="P16" s="306">
        <f t="shared" si="3"/>
        <v>0</v>
      </c>
      <c r="Q16" s="306">
        <f t="shared" si="4"/>
        <v>35723</v>
      </c>
      <c r="R16" s="307">
        <v>35736</v>
      </c>
      <c r="S16" s="306">
        <f t="shared" si="5"/>
        <v>13</v>
      </c>
      <c r="T16" s="306">
        <f t="shared" si="6"/>
        <v>32432</v>
      </c>
      <c r="U16" s="307">
        <v>32443</v>
      </c>
      <c r="V16" s="306">
        <f t="shared" si="7"/>
        <v>11</v>
      </c>
      <c r="W16" s="308">
        <f t="shared" si="8"/>
        <v>21085</v>
      </c>
      <c r="X16" s="307">
        <v>21085</v>
      </c>
      <c r="Y16" s="306">
        <f t="shared" si="9"/>
        <v>0</v>
      </c>
      <c r="Z16" s="309">
        <f t="shared" si="10"/>
        <v>24</v>
      </c>
      <c r="AA16" s="126">
        <v>198</v>
      </c>
      <c r="AB16" s="126">
        <v>95</v>
      </c>
      <c r="AC16" s="724">
        <f>Gen!T21</f>
        <v>980.98</v>
      </c>
    </row>
    <row r="17" spans="1:29" ht="20.100000000000001" customHeight="1">
      <c r="A17" s="717">
        <f>Gen!B22</f>
        <v>44116</v>
      </c>
      <c r="B17" s="711">
        <v>3.9E-2</v>
      </c>
      <c r="C17" s="307">
        <v>20279.86</v>
      </c>
      <c r="D17" s="307">
        <v>21840.2</v>
      </c>
      <c r="E17" s="501"/>
      <c r="F17" s="307"/>
      <c r="G17" s="307">
        <v>71</v>
      </c>
      <c r="H17" s="307"/>
      <c r="I17" s="307">
        <v>31070.1</v>
      </c>
      <c r="J17" s="712">
        <v>20636.5</v>
      </c>
      <c r="K17" s="723">
        <f>L16</f>
        <v>35235</v>
      </c>
      <c r="L17" s="307">
        <v>35247</v>
      </c>
      <c r="M17" s="306">
        <f>L17-K17</f>
        <v>12</v>
      </c>
      <c r="N17" s="308">
        <f t="shared" si="2"/>
        <v>30165</v>
      </c>
      <c r="O17" s="307">
        <v>30165</v>
      </c>
      <c r="P17" s="306">
        <f t="shared" si="3"/>
        <v>0</v>
      </c>
      <c r="Q17" s="306">
        <f t="shared" si="4"/>
        <v>35736</v>
      </c>
      <c r="R17" s="307">
        <v>35736</v>
      </c>
      <c r="S17" s="306">
        <f t="shared" si="5"/>
        <v>0</v>
      </c>
      <c r="T17" s="306">
        <f t="shared" si="6"/>
        <v>32443</v>
      </c>
      <c r="U17" s="307">
        <v>32443</v>
      </c>
      <c r="V17" s="306">
        <f t="shared" si="7"/>
        <v>0</v>
      </c>
      <c r="W17" s="308">
        <f t="shared" si="8"/>
        <v>21085</v>
      </c>
      <c r="X17" s="307">
        <v>21097</v>
      </c>
      <c r="Y17" s="306">
        <f t="shared" si="9"/>
        <v>12</v>
      </c>
      <c r="Z17" s="309">
        <f t="shared" si="10"/>
        <v>24</v>
      </c>
      <c r="AA17" s="126">
        <v>198</v>
      </c>
      <c r="AB17" s="126">
        <v>96</v>
      </c>
      <c r="AC17" s="724">
        <f>Gen!T22</f>
        <v>935.25</v>
      </c>
    </row>
    <row r="18" spans="1:29" ht="20.100000000000001" customHeight="1">
      <c r="A18" s="717">
        <f>Gen!B23</f>
        <v>44117</v>
      </c>
      <c r="B18" s="711">
        <v>5.1900000000000002E-2</v>
      </c>
      <c r="C18" s="307">
        <v>19273.61</v>
      </c>
      <c r="D18" s="307">
        <v>21840.2</v>
      </c>
      <c r="E18" s="307"/>
      <c r="F18" s="307"/>
      <c r="G18" s="307">
        <v>71.09</v>
      </c>
      <c r="H18" s="307"/>
      <c r="I18" s="307">
        <v>31073.5</v>
      </c>
      <c r="J18" s="712">
        <v>20639.5</v>
      </c>
      <c r="K18" s="723">
        <f>L17</f>
        <v>35247</v>
      </c>
      <c r="L18" s="307">
        <v>35247</v>
      </c>
      <c r="M18" s="306">
        <f t="shared" si="1"/>
        <v>0</v>
      </c>
      <c r="N18" s="308">
        <f t="shared" si="2"/>
        <v>30165</v>
      </c>
      <c r="O18" s="307">
        <v>30165</v>
      </c>
      <c r="P18" s="306">
        <f t="shared" si="3"/>
        <v>0</v>
      </c>
      <c r="Q18" s="306">
        <f t="shared" si="4"/>
        <v>35736</v>
      </c>
      <c r="R18" s="307">
        <v>35749</v>
      </c>
      <c r="S18" s="306">
        <f t="shared" si="5"/>
        <v>13</v>
      </c>
      <c r="T18" s="306">
        <f t="shared" si="6"/>
        <v>32443</v>
      </c>
      <c r="U18" s="307">
        <v>32455</v>
      </c>
      <c r="V18" s="306">
        <f t="shared" si="7"/>
        <v>12</v>
      </c>
      <c r="W18" s="308">
        <f t="shared" si="8"/>
        <v>21097</v>
      </c>
      <c r="X18" s="307">
        <v>21097</v>
      </c>
      <c r="Y18" s="306">
        <f t="shared" si="9"/>
        <v>0</v>
      </c>
      <c r="Z18" s="309">
        <f t="shared" si="10"/>
        <v>25</v>
      </c>
      <c r="AA18" s="126">
        <v>190</v>
      </c>
      <c r="AB18" s="126">
        <v>90</v>
      </c>
      <c r="AC18" s="724">
        <f>Gen!T23</f>
        <v>995.96</v>
      </c>
    </row>
    <row r="19" spans="1:29" ht="20.100000000000001" customHeight="1">
      <c r="A19" s="717">
        <f>Gen!B24</f>
        <v>44118</v>
      </c>
      <c r="B19" s="711">
        <v>1.2999999999999999E-2</v>
      </c>
      <c r="C19" s="307">
        <v>18206.560000000001</v>
      </c>
      <c r="D19" s="307">
        <v>21840.2</v>
      </c>
      <c r="E19" s="307"/>
      <c r="F19" s="307"/>
      <c r="G19" s="307">
        <v>58.87</v>
      </c>
      <c r="H19" s="307"/>
      <c r="I19" s="307">
        <v>31077.200000000001</v>
      </c>
      <c r="J19" s="712">
        <v>20642.099999999999</v>
      </c>
      <c r="K19" s="723">
        <f t="shared" si="0"/>
        <v>35247</v>
      </c>
      <c r="L19" s="307">
        <v>35260</v>
      </c>
      <c r="M19" s="306">
        <f t="shared" si="1"/>
        <v>13</v>
      </c>
      <c r="N19" s="308">
        <f t="shared" si="2"/>
        <v>30165</v>
      </c>
      <c r="O19" s="307">
        <v>30171</v>
      </c>
      <c r="P19" s="306">
        <f t="shared" si="3"/>
        <v>6</v>
      </c>
      <c r="Q19" s="306">
        <f t="shared" si="4"/>
        <v>35749</v>
      </c>
      <c r="R19" s="307">
        <v>35749</v>
      </c>
      <c r="S19" s="306">
        <f t="shared" si="5"/>
        <v>0</v>
      </c>
      <c r="T19" s="306">
        <f t="shared" si="6"/>
        <v>32455</v>
      </c>
      <c r="U19" s="307">
        <v>32455</v>
      </c>
      <c r="V19" s="306">
        <f t="shared" si="7"/>
        <v>0</v>
      </c>
      <c r="W19" s="308">
        <f t="shared" si="8"/>
        <v>21097</v>
      </c>
      <c r="X19" s="307">
        <v>21103</v>
      </c>
      <c r="Y19" s="306">
        <f t="shared" si="9"/>
        <v>6</v>
      </c>
      <c r="Z19" s="309">
        <f t="shared" si="10"/>
        <v>25</v>
      </c>
      <c r="AA19" s="126">
        <v>195</v>
      </c>
      <c r="AB19" s="126">
        <v>89</v>
      </c>
      <c r="AC19" s="724">
        <f>Gen!T24</f>
        <v>974.17000000000007</v>
      </c>
    </row>
    <row r="20" spans="1:29" ht="20.100000000000001" customHeight="1">
      <c r="A20" s="717">
        <f>Gen!B25</f>
        <v>44119</v>
      </c>
      <c r="B20" s="711">
        <v>1.2999999999999999E-2</v>
      </c>
      <c r="C20" s="307">
        <v>17173.52</v>
      </c>
      <c r="D20" s="307">
        <v>21840.2</v>
      </c>
      <c r="E20" s="307"/>
      <c r="F20" s="307"/>
      <c r="G20" s="307"/>
      <c r="H20" s="307"/>
      <c r="I20" s="307">
        <v>31081.1</v>
      </c>
      <c r="J20" s="712">
        <v>20645.599999999999</v>
      </c>
      <c r="K20" s="723">
        <f t="shared" si="0"/>
        <v>35260</v>
      </c>
      <c r="L20" s="307">
        <v>35266</v>
      </c>
      <c r="M20" s="306">
        <f t="shared" si="1"/>
        <v>6</v>
      </c>
      <c r="N20" s="308">
        <f t="shared" si="2"/>
        <v>30171</v>
      </c>
      <c r="O20" s="307">
        <v>30171</v>
      </c>
      <c r="P20" s="306">
        <f t="shared" si="3"/>
        <v>0</v>
      </c>
      <c r="Q20" s="306">
        <f t="shared" si="4"/>
        <v>35749</v>
      </c>
      <c r="R20" s="307">
        <v>35756</v>
      </c>
      <c r="S20" s="306">
        <f t="shared" si="5"/>
        <v>7</v>
      </c>
      <c r="T20" s="306">
        <f t="shared" si="6"/>
        <v>32455</v>
      </c>
      <c r="U20" s="307">
        <v>32466</v>
      </c>
      <c r="V20" s="306">
        <f t="shared" si="7"/>
        <v>11</v>
      </c>
      <c r="W20" s="308">
        <f t="shared" si="8"/>
        <v>21103</v>
      </c>
      <c r="X20" s="307">
        <v>21104</v>
      </c>
      <c r="Y20" s="306">
        <f t="shared" si="9"/>
        <v>1</v>
      </c>
      <c r="Z20" s="309">
        <f t="shared" si="10"/>
        <v>25</v>
      </c>
      <c r="AA20" s="126">
        <v>199</v>
      </c>
      <c r="AB20" s="126">
        <v>95</v>
      </c>
      <c r="AC20" s="724">
        <f>Gen!T25</f>
        <v>1042.8800000000001</v>
      </c>
    </row>
    <row r="21" spans="1:29" ht="20.100000000000001" customHeight="1">
      <c r="A21" s="717">
        <f>Gen!B26</f>
        <v>44120</v>
      </c>
      <c r="B21" s="711">
        <v>0.1169</v>
      </c>
      <c r="C21" s="307">
        <v>16130.64</v>
      </c>
      <c r="D21" s="307">
        <v>21840.2</v>
      </c>
      <c r="E21" s="307"/>
      <c r="F21" s="307"/>
      <c r="G21" s="307">
        <v>102.84</v>
      </c>
      <c r="H21" s="307"/>
      <c r="I21" s="307">
        <v>31084.7</v>
      </c>
      <c r="J21" s="712">
        <v>20648.8</v>
      </c>
      <c r="K21" s="723">
        <f t="shared" si="0"/>
        <v>35266</v>
      </c>
      <c r="L21" s="307">
        <v>35278</v>
      </c>
      <c r="M21" s="306">
        <f t="shared" si="1"/>
        <v>12</v>
      </c>
      <c r="N21" s="308">
        <f t="shared" si="2"/>
        <v>30171</v>
      </c>
      <c r="O21" s="307">
        <v>30178</v>
      </c>
      <c r="P21" s="306">
        <f t="shared" si="3"/>
        <v>7</v>
      </c>
      <c r="Q21" s="306">
        <f t="shared" si="4"/>
        <v>35756</v>
      </c>
      <c r="R21" s="307">
        <v>35756</v>
      </c>
      <c r="S21" s="306">
        <f t="shared" si="5"/>
        <v>0</v>
      </c>
      <c r="T21" s="306">
        <f t="shared" si="6"/>
        <v>32466</v>
      </c>
      <c r="U21" s="307">
        <v>32466</v>
      </c>
      <c r="V21" s="306">
        <f t="shared" si="7"/>
        <v>0</v>
      </c>
      <c r="W21" s="308">
        <f t="shared" si="8"/>
        <v>21104</v>
      </c>
      <c r="X21" s="307">
        <v>21104</v>
      </c>
      <c r="Y21" s="306">
        <f t="shared" si="9"/>
        <v>0</v>
      </c>
      <c r="Z21" s="309">
        <f t="shared" si="10"/>
        <v>19</v>
      </c>
      <c r="AA21" s="126">
        <v>240</v>
      </c>
      <c r="AB21" s="126">
        <v>130</v>
      </c>
      <c r="AC21" s="724">
        <f>Gen!T26</f>
        <v>1176.97</v>
      </c>
    </row>
    <row r="22" spans="1:29" ht="18.75" customHeight="1">
      <c r="A22" s="717">
        <f>Gen!B27</f>
        <v>44121</v>
      </c>
      <c r="B22" s="711">
        <v>0.1578</v>
      </c>
      <c r="C22" s="307">
        <v>14850.83</v>
      </c>
      <c r="D22" s="307">
        <v>21840.2</v>
      </c>
      <c r="E22" s="307"/>
      <c r="F22" s="307"/>
      <c r="G22" s="307"/>
      <c r="H22" s="307"/>
      <c r="I22" s="307">
        <v>31089.1</v>
      </c>
      <c r="J22" s="712">
        <v>20652.400000000001</v>
      </c>
      <c r="K22" s="723">
        <f t="shared" si="0"/>
        <v>35278</v>
      </c>
      <c r="L22" s="307">
        <v>35278</v>
      </c>
      <c r="M22" s="306">
        <f t="shared" si="1"/>
        <v>0</v>
      </c>
      <c r="N22" s="308">
        <f t="shared" si="2"/>
        <v>30178</v>
      </c>
      <c r="O22" s="307">
        <v>30190</v>
      </c>
      <c r="P22" s="306">
        <f t="shared" si="3"/>
        <v>12</v>
      </c>
      <c r="Q22" s="306">
        <f t="shared" si="4"/>
        <v>35756</v>
      </c>
      <c r="R22" s="307">
        <v>35756</v>
      </c>
      <c r="S22" s="306">
        <f t="shared" si="5"/>
        <v>0</v>
      </c>
      <c r="T22" s="306">
        <f t="shared" si="6"/>
        <v>32466</v>
      </c>
      <c r="U22" s="307">
        <v>32478</v>
      </c>
      <c r="V22" s="306">
        <f t="shared" si="7"/>
        <v>12</v>
      </c>
      <c r="W22" s="308">
        <f t="shared" si="8"/>
        <v>21104</v>
      </c>
      <c r="X22" s="307">
        <v>21109</v>
      </c>
      <c r="Y22" s="306">
        <f t="shared" si="9"/>
        <v>5</v>
      </c>
      <c r="Z22" s="309">
        <f t="shared" si="10"/>
        <v>29</v>
      </c>
      <c r="AA22" s="126">
        <v>220</v>
      </c>
      <c r="AB22" s="126">
        <v>115</v>
      </c>
      <c r="AC22" s="724">
        <f>Gen!T27</f>
        <v>997.16000000000008</v>
      </c>
    </row>
    <row r="23" spans="1:29" ht="20.100000000000001" customHeight="1">
      <c r="A23" s="717">
        <f>Gen!B28</f>
        <v>44122</v>
      </c>
      <c r="B23" s="711">
        <v>0.1578</v>
      </c>
      <c r="C23" s="307">
        <v>13510.67</v>
      </c>
      <c r="D23" s="307">
        <v>21840.2</v>
      </c>
      <c r="E23" s="501"/>
      <c r="F23" s="307"/>
      <c r="G23" s="307">
        <v>210.27</v>
      </c>
      <c r="H23" s="307"/>
      <c r="I23" s="307">
        <v>31093.599999999999</v>
      </c>
      <c r="J23" s="712">
        <v>20655.900000000001</v>
      </c>
      <c r="K23" s="723">
        <f t="shared" si="0"/>
        <v>35278</v>
      </c>
      <c r="L23" s="307">
        <v>35278</v>
      </c>
      <c r="M23" s="306">
        <f t="shared" si="1"/>
        <v>0</v>
      </c>
      <c r="N23" s="308">
        <f t="shared" si="2"/>
        <v>30190</v>
      </c>
      <c r="O23" s="307">
        <v>30202</v>
      </c>
      <c r="P23" s="306">
        <f t="shared" si="3"/>
        <v>12</v>
      </c>
      <c r="Q23" s="306">
        <f t="shared" si="4"/>
        <v>35756</v>
      </c>
      <c r="R23" s="307">
        <v>35756</v>
      </c>
      <c r="S23" s="306">
        <f t="shared" si="5"/>
        <v>0</v>
      </c>
      <c r="T23" s="306">
        <f t="shared" si="6"/>
        <v>32478</v>
      </c>
      <c r="U23" s="307">
        <v>32478</v>
      </c>
      <c r="V23" s="306">
        <f t="shared" si="7"/>
        <v>0</v>
      </c>
      <c r="W23" s="308">
        <f t="shared" si="8"/>
        <v>21109</v>
      </c>
      <c r="X23" s="307">
        <v>21122</v>
      </c>
      <c r="Y23" s="306">
        <f t="shared" si="9"/>
        <v>13</v>
      </c>
      <c r="Z23" s="309">
        <f t="shared" si="10"/>
        <v>25</v>
      </c>
      <c r="AA23" s="126">
        <v>230</v>
      </c>
      <c r="AB23" s="126">
        <v>130</v>
      </c>
      <c r="AC23" s="724">
        <f>Gen!T28</f>
        <v>1208.03</v>
      </c>
    </row>
    <row r="24" spans="1:29" ht="20.100000000000001" customHeight="1">
      <c r="A24" s="717">
        <f>Gen!B29</f>
        <v>44123</v>
      </c>
      <c r="B24" s="711">
        <v>0.12989999999999999</v>
      </c>
      <c r="C24" s="307">
        <v>12272.37</v>
      </c>
      <c r="D24" s="307">
        <v>21840.2</v>
      </c>
      <c r="E24" s="307"/>
      <c r="F24" s="307"/>
      <c r="G24" s="307"/>
      <c r="H24" s="307"/>
      <c r="I24" s="307"/>
      <c r="J24" s="712"/>
      <c r="K24" s="723">
        <f t="shared" si="0"/>
        <v>35278</v>
      </c>
      <c r="L24" s="307"/>
      <c r="M24" s="306">
        <f t="shared" si="1"/>
        <v>-35278</v>
      </c>
      <c r="N24" s="308">
        <f t="shared" si="2"/>
        <v>30202</v>
      </c>
      <c r="O24" s="307"/>
      <c r="P24" s="306">
        <f t="shared" si="3"/>
        <v>-30202</v>
      </c>
      <c r="Q24" s="306">
        <f t="shared" si="4"/>
        <v>35756</v>
      </c>
      <c r="R24" s="307"/>
      <c r="S24" s="306">
        <f t="shared" si="5"/>
        <v>-35756</v>
      </c>
      <c r="T24" s="306">
        <f t="shared" si="6"/>
        <v>32478</v>
      </c>
      <c r="U24" s="307"/>
      <c r="V24" s="306">
        <f t="shared" si="7"/>
        <v>-32478</v>
      </c>
      <c r="W24" s="308">
        <f t="shared" si="8"/>
        <v>21122</v>
      </c>
      <c r="X24" s="307"/>
      <c r="Y24" s="306">
        <f t="shared" si="9"/>
        <v>-21122</v>
      </c>
      <c r="Z24" s="309">
        <f t="shared" si="10"/>
        <v>-154836</v>
      </c>
      <c r="AA24" s="126"/>
      <c r="AB24" s="126"/>
      <c r="AC24" s="724">
        <f>Gen!T29</f>
        <v>0</v>
      </c>
    </row>
    <row r="25" spans="1:29" ht="18.75" customHeight="1">
      <c r="A25" s="717">
        <f>Gen!B30</f>
        <v>44124</v>
      </c>
      <c r="B25" s="711"/>
      <c r="C25" s="307"/>
      <c r="D25" s="307"/>
      <c r="E25" s="307"/>
      <c r="F25" s="307"/>
      <c r="G25" s="307"/>
      <c r="H25" s="307"/>
      <c r="I25" s="307"/>
      <c r="J25" s="712"/>
      <c r="K25" s="723">
        <f t="shared" si="0"/>
        <v>0</v>
      </c>
      <c r="L25" s="307"/>
      <c r="M25" s="306">
        <f t="shared" si="1"/>
        <v>0</v>
      </c>
      <c r="N25" s="308">
        <f t="shared" si="2"/>
        <v>0</v>
      </c>
      <c r="O25" s="307"/>
      <c r="P25" s="306">
        <f t="shared" si="3"/>
        <v>0</v>
      </c>
      <c r="Q25" s="306">
        <f t="shared" si="4"/>
        <v>0</v>
      </c>
      <c r="R25" s="307"/>
      <c r="S25" s="306">
        <f t="shared" si="5"/>
        <v>0</v>
      </c>
      <c r="T25" s="306">
        <f t="shared" si="6"/>
        <v>0</v>
      </c>
      <c r="U25" s="307"/>
      <c r="V25" s="306">
        <f t="shared" si="7"/>
        <v>0</v>
      </c>
      <c r="W25" s="308">
        <f t="shared" si="8"/>
        <v>0</v>
      </c>
      <c r="X25" s="307"/>
      <c r="Y25" s="306">
        <f t="shared" si="9"/>
        <v>0</v>
      </c>
      <c r="Z25" s="309">
        <f t="shared" si="10"/>
        <v>0</v>
      </c>
      <c r="AA25" s="126"/>
      <c r="AB25" s="126"/>
      <c r="AC25" s="724">
        <f>Gen!T30</f>
        <v>0</v>
      </c>
    </row>
    <row r="26" spans="1:29" ht="20.100000000000001" customHeight="1">
      <c r="A26" s="717">
        <f>Gen!B31</f>
        <v>44125</v>
      </c>
      <c r="B26" s="711"/>
      <c r="C26" s="307"/>
      <c r="D26" s="307"/>
      <c r="E26" s="307"/>
      <c r="F26" s="307"/>
      <c r="G26" s="307"/>
      <c r="H26" s="307"/>
      <c r="I26" s="307"/>
      <c r="J26" s="712"/>
      <c r="K26" s="723">
        <f t="shared" si="0"/>
        <v>0</v>
      </c>
      <c r="L26" s="307"/>
      <c r="M26" s="306">
        <f t="shared" si="1"/>
        <v>0</v>
      </c>
      <c r="N26" s="308">
        <f t="shared" si="2"/>
        <v>0</v>
      </c>
      <c r="O26" s="307"/>
      <c r="P26" s="306">
        <f t="shared" si="3"/>
        <v>0</v>
      </c>
      <c r="Q26" s="306">
        <f t="shared" si="4"/>
        <v>0</v>
      </c>
      <c r="R26" s="307"/>
      <c r="S26" s="306">
        <f t="shared" si="5"/>
        <v>0</v>
      </c>
      <c r="T26" s="306">
        <f t="shared" si="6"/>
        <v>0</v>
      </c>
      <c r="U26" s="307"/>
      <c r="V26" s="306">
        <f t="shared" si="7"/>
        <v>0</v>
      </c>
      <c r="W26" s="308">
        <f t="shared" si="8"/>
        <v>0</v>
      </c>
      <c r="X26" s="307"/>
      <c r="Y26" s="306">
        <f t="shared" si="9"/>
        <v>0</v>
      </c>
      <c r="Z26" s="309">
        <f t="shared" ref="Z26:Z37" si="11">Y26+V26+S26+P26+M26</f>
        <v>0</v>
      </c>
      <c r="AA26" s="126"/>
      <c r="AB26" s="126"/>
      <c r="AC26" s="724">
        <f>Gen!T31</f>
        <v>0</v>
      </c>
    </row>
    <row r="27" spans="1:29" ht="20.100000000000001" customHeight="1">
      <c r="A27" s="717">
        <f>Gen!B32</f>
        <v>44126</v>
      </c>
      <c r="B27" s="711"/>
      <c r="C27" s="307"/>
      <c r="D27" s="307"/>
      <c r="E27" s="307"/>
      <c r="F27" s="307"/>
      <c r="G27" s="307"/>
      <c r="H27" s="307"/>
      <c r="I27" s="307"/>
      <c r="J27" s="712"/>
      <c r="K27" s="723">
        <f t="shared" si="0"/>
        <v>0</v>
      </c>
      <c r="L27" s="307"/>
      <c r="M27" s="306">
        <f t="shared" si="1"/>
        <v>0</v>
      </c>
      <c r="N27" s="308">
        <f t="shared" si="2"/>
        <v>0</v>
      </c>
      <c r="O27" s="307"/>
      <c r="P27" s="306">
        <f t="shared" si="3"/>
        <v>0</v>
      </c>
      <c r="Q27" s="306">
        <f t="shared" si="4"/>
        <v>0</v>
      </c>
      <c r="R27" s="307"/>
      <c r="S27" s="306">
        <f t="shared" si="5"/>
        <v>0</v>
      </c>
      <c r="T27" s="306">
        <f t="shared" si="6"/>
        <v>0</v>
      </c>
      <c r="U27" s="307"/>
      <c r="V27" s="306">
        <f t="shared" si="7"/>
        <v>0</v>
      </c>
      <c r="W27" s="308">
        <f t="shared" si="8"/>
        <v>0</v>
      </c>
      <c r="X27" s="307"/>
      <c r="Y27" s="306">
        <f t="shared" si="9"/>
        <v>0</v>
      </c>
      <c r="Z27" s="309">
        <f t="shared" si="11"/>
        <v>0</v>
      </c>
      <c r="AA27" s="126"/>
      <c r="AB27" s="126"/>
      <c r="AC27" s="724">
        <f>Gen!T32</f>
        <v>0</v>
      </c>
    </row>
    <row r="28" spans="1:29" ht="20.100000000000001" customHeight="1">
      <c r="A28" s="717">
        <f>Gen!B33</f>
        <v>44127</v>
      </c>
      <c r="B28" s="711"/>
      <c r="C28" s="307"/>
      <c r="D28" s="307"/>
      <c r="E28" s="307"/>
      <c r="F28" s="307"/>
      <c r="G28" s="307"/>
      <c r="H28" s="307"/>
      <c r="I28" s="307"/>
      <c r="J28" s="712"/>
      <c r="K28" s="723">
        <f t="shared" si="0"/>
        <v>0</v>
      </c>
      <c r="L28" s="307"/>
      <c r="M28" s="306">
        <f t="shared" si="1"/>
        <v>0</v>
      </c>
      <c r="N28" s="308">
        <f t="shared" si="2"/>
        <v>0</v>
      </c>
      <c r="O28" s="307"/>
      <c r="P28" s="306">
        <f t="shared" si="3"/>
        <v>0</v>
      </c>
      <c r="Q28" s="306">
        <f t="shared" si="4"/>
        <v>0</v>
      </c>
      <c r="R28" s="307"/>
      <c r="S28" s="306">
        <f t="shared" si="5"/>
        <v>0</v>
      </c>
      <c r="T28" s="306">
        <f t="shared" si="6"/>
        <v>0</v>
      </c>
      <c r="U28" s="307"/>
      <c r="V28" s="306">
        <f t="shared" si="7"/>
        <v>0</v>
      </c>
      <c r="W28" s="308">
        <f t="shared" si="8"/>
        <v>0</v>
      </c>
      <c r="X28" s="307"/>
      <c r="Y28" s="306">
        <f t="shared" si="9"/>
        <v>0</v>
      </c>
      <c r="Z28" s="309">
        <f t="shared" si="11"/>
        <v>0</v>
      </c>
      <c r="AA28" s="126"/>
      <c r="AB28" s="126"/>
      <c r="AC28" s="724">
        <f>Gen!T33</f>
        <v>0</v>
      </c>
    </row>
    <row r="29" spans="1:29" ht="20.100000000000001" customHeight="1">
      <c r="A29" s="717">
        <f>Gen!B34</f>
        <v>44128</v>
      </c>
      <c r="B29" s="711"/>
      <c r="C29" s="307"/>
      <c r="D29" s="307"/>
      <c r="E29" s="307"/>
      <c r="F29" s="307"/>
      <c r="G29" s="307"/>
      <c r="H29" s="307"/>
      <c r="I29" s="307"/>
      <c r="J29" s="712"/>
      <c r="K29" s="723">
        <f t="shared" si="0"/>
        <v>0</v>
      </c>
      <c r="L29" s="307"/>
      <c r="M29" s="306">
        <f t="shared" si="1"/>
        <v>0</v>
      </c>
      <c r="N29" s="308">
        <f t="shared" si="2"/>
        <v>0</v>
      </c>
      <c r="O29" s="307"/>
      <c r="P29" s="306">
        <f t="shared" si="3"/>
        <v>0</v>
      </c>
      <c r="Q29" s="306">
        <f t="shared" si="4"/>
        <v>0</v>
      </c>
      <c r="R29" s="307"/>
      <c r="S29" s="306">
        <f t="shared" si="5"/>
        <v>0</v>
      </c>
      <c r="T29" s="306">
        <f t="shared" si="6"/>
        <v>0</v>
      </c>
      <c r="U29" s="307"/>
      <c r="V29" s="306">
        <f t="shared" si="7"/>
        <v>0</v>
      </c>
      <c r="W29" s="308">
        <f t="shared" si="8"/>
        <v>0</v>
      </c>
      <c r="X29" s="307"/>
      <c r="Y29" s="306">
        <f t="shared" si="9"/>
        <v>0</v>
      </c>
      <c r="Z29" s="309">
        <f t="shared" si="11"/>
        <v>0</v>
      </c>
      <c r="AA29" s="126"/>
      <c r="AB29" s="126"/>
      <c r="AC29" s="724">
        <f>Gen!T34</f>
        <v>0</v>
      </c>
    </row>
    <row r="30" spans="1:29" ht="20.100000000000001" customHeight="1">
      <c r="A30" s="717">
        <f>Gen!B35</f>
        <v>44129</v>
      </c>
      <c r="B30" s="711"/>
      <c r="C30" s="307"/>
      <c r="D30" s="307"/>
      <c r="E30" s="307"/>
      <c r="F30" s="307"/>
      <c r="G30" s="307"/>
      <c r="H30" s="307"/>
      <c r="I30" s="307"/>
      <c r="J30" s="712"/>
      <c r="K30" s="723">
        <f t="shared" si="0"/>
        <v>0</v>
      </c>
      <c r="L30" s="307"/>
      <c r="M30" s="306">
        <f t="shared" si="1"/>
        <v>0</v>
      </c>
      <c r="N30" s="308">
        <f t="shared" si="2"/>
        <v>0</v>
      </c>
      <c r="O30" s="307"/>
      <c r="P30" s="306">
        <f t="shared" si="3"/>
        <v>0</v>
      </c>
      <c r="Q30" s="306">
        <f t="shared" si="4"/>
        <v>0</v>
      </c>
      <c r="R30" s="307"/>
      <c r="S30" s="306">
        <f t="shared" si="5"/>
        <v>0</v>
      </c>
      <c r="T30" s="306">
        <f t="shared" si="6"/>
        <v>0</v>
      </c>
      <c r="U30" s="307"/>
      <c r="V30" s="306">
        <f t="shared" si="7"/>
        <v>0</v>
      </c>
      <c r="W30" s="308">
        <f t="shared" si="8"/>
        <v>0</v>
      </c>
      <c r="X30" s="307"/>
      <c r="Y30" s="306">
        <f t="shared" si="9"/>
        <v>0</v>
      </c>
      <c r="Z30" s="309">
        <f t="shared" si="11"/>
        <v>0</v>
      </c>
      <c r="AA30" s="126"/>
      <c r="AB30" s="126"/>
      <c r="AC30" s="724">
        <f>Gen!T35</f>
        <v>0</v>
      </c>
    </row>
    <row r="31" spans="1:29" ht="20.100000000000001" customHeight="1">
      <c r="A31" s="717">
        <f>Gen!B36</f>
        <v>44130</v>
      </c>
      <c r="B31" s="711"/>
      <c r="C31" s="307"/>
      <c r="D31" s="307"/>
      <c r="E31" s="307"/>
      <c r="F31" s="307"/>
      <c r="G31" s="307"/>
      <c r="H31" s="307"/>
      <c r="I31" s="307"/>
      <c r="J31" s="712"/>
      <c r="K31" s="723">
        <f t="shared" si="0"/>
        <v>0</v>
      </c>
      <c r="L31" s="307"/>
      <c r="M31" s="306">
        <f t="shared" si="1"/>
        <v>0</v>
      </c>
      <c r="N31" s="308">
        <f t="shared" si="2"/>
        <v>0</v>
      </c>
      <c r="O31" s="307"/>
      <c r="P31" s="306">
        <f t="shared" si="3"/>
        <v>0</v>
      </c>
      <c r="Q31" s="306">
        <f t="shared" si="4"/>
        <v>0</v>
      </c>
      <c r="R31" s="307"/>
      <c r="S31" s="306">
        <f t="shared" si="5"/>
        <v>0</v>
      </c>
      <c r="T31" s="306">
        <f t="shared" si="6"/>
        <v>0</v>
      </c>
      <c r="U31" s="307"/>
      <c r="V31" s="306">
        <f t="shared" si="7"/>
        <v>0</v>
      </c>
      <c r="W31" s="308">
        <f t="shared" si="8"/>
        <v>0</v>
      </c>
      <c r="X31" s="307"/>
      <c r="Y31" s="306">
        <f t="shared" si="9"/>
        <v>0</v>
      </c>
      <c r="Z31" s="309">
        <f t="shared" si="11"/>
        <v>0</v>
      </c>
      <c r="AA31" s="126"/>
      <c r="AB31" s="126"/>
      <c r="AC31" s="724">
        <f>Gen!T36</f>
        <v>0</v>
      </c>
    </row>
    <row r="32" spans="1:29" ht="20.100000000000001" customHeight="1">
      <c r="A32" s="717">
        <f>Gen!B37</f>
        <v>44131</v>
      </c>
      <c r="B32" s="711"/>
      <c r="C32" s="307"/>
      <c r="D32" s="307"/>
      <c r="E32" s="307"/>
      <c r="F32" s="307"/>
      <c r="G32" s="307"/>
      <c r="H32" s="307"/>
      <c r="I32" s="307"/>
      <c r="J32" s="712"/>
      <c r="K32" s="723">
        <f t="shared" si="0"/>
        <v>0</v>
      </c>
      <c r="L32" s="307"/>
      <c r="M32" s="306">
        <f t="shared" si="1"/>
        <v>0</v>
      </c>
      <c r="N32" s="308">
        <f t="shared" si="2"/>
        <v>0</v>
      </c>
      <c r="O32" s="307"/>
      <c r="P32" s="306">
        <f t="shared" si="3"/>
        <v>0</v>
      </c>
      <c r="Q32" s="306">
        <f t="shared" si="4"/>
        <v>0</v>
      </c>
      <c r="R32" s="307"/>
      <c r="S32" s="306">
        <f t="shared" si="5"/>
        <v>0</v>
      </c>
      <c r="T32" s="306">
        <f t="shared" si="6"/>
        <v>0</v>
      </c>
      <c r="U32" s="307"/>
      <c r="V32" s="306">
        <f t="shared" si="7"/>
        <v>0</v>
      </c>
      <c r="W32" s="308">
        <f t="shared" si="8"/>
        <v>0</v>
      </c>
      <c r="X32" s="307"/>
      <c r="Y32" s="306">
        <f t="shared" si="9"/>
        <v>0</v>
      </c>
      <c r="Z32" s="309">
        <f t="shared" si="11"/>
        <v>0</v>
      </c>
      <c r="AA32" s="126"/>
      <c r="AB32" s="126"/>
      <c r="AC32" s="724">
        <f>Gen!T37</f>
        <v>0</v>
      </c>
    </row>
    <row r="33" spans="1:29" ht="20.100000000000001" customHeight="1">
      <c r="A33" s="717">
        <f>Gen!B38</f>
        <v>44132</v>
      </c>
      <c r="B33" s="711"/>
      <c r="C33" s="307"/>
      <c r="D33" s="307"/>
      <c r="E33" s="307"/>
      <c r="F33" s="307"/>
      <c r="G33" s="307"/>
      <c r="H33" s="307"/>
      <c r="I33" s="307"/>
      <c r="J33" s="712"/>
      <c r="K33" s="723">
        <f t="shared" si="0"/>
        <v>0</v>
      </c>
      <c r="L33" s="307"/>
      <c r="M33" s="306">
        <f t="shared" si="1"/>
        <v>0</v>
      </c>
      <c r="N33" s="308">
        <f t="shared" si="2"/>
        <v>0</v>
      </c>
      <c r="O33" s="307"/>
      <c r="P33" s="306">
        <f t="shared" si="3"/>
        <v>0</v>
      </c>
      <c r="Q33" s="306">
        <f t="shared" si="4"/>
        <v>0</v>
      </c>
      <c r="R33" s="307"/>
      <c r="S33" s="306">
        <f t="shared" si="5"/>
        <v>0</v>
      </c>
      <c r="T33" s="306">
        <f t="shared" si="6"/>
        <v>0</v>
      </c>
      <c r="U33" s="307"/>
      <c r="V33" s="306">
        <f t="shared" si="7"/>
        <v>0</v>
      </c>
      <c r="W33" s="308">
        <f t="shared" si="8"/>
        <v>0</v>
      </c>
      <c r="X33" s="307"/>
      <c r="Y33" s="306">
        <f t="shared" si="9"/>
        <v>0</v>
      </c>
      <c r="Z33" s="309">
        <f t="shared" si="11"/>
        <v>0</v>
      </c>
      <c r="AA33" s="126"/>
      <c r="AB33" s="126"/>
      <c r="AC33" s="724">
        <f>Gen!T38</f>
        <v>0</v>
      </c>
    </row>
    <row r="34" spans="1:29" ht="20.100000000000001" customHeight="1">
      <c r="A34" s="717">
        <f>Gen!B39</f>
        <v>44133</v>
      </c>
      <c r="B34" s="711"/>
      <c r="C34" s="307"/>
      <c r="D34" s="307"/>
      <c r="E34" s="307"/>
      <c r="F34" s="307"/>
      <c r="G34" s="307"/>
      <c r="H34" s="307"/>
      <c r="I34" s="307"/>
      <c r="J34" s="712"/>
      <c r="K34" s="723">
        <f t="shared" si="0"/>
        <v>0</v>
      </c>
      <c r="L34" s="307"/>
      <c r="M34" s="306">
        <f t="shared" si="1"/>
        <v>0</v>
      </c>
      <c r="N34" s="308">
        <f t="shared" si="2"/>
        <v>0</v>
      </c>
      <c r="O34" s="307"/>
      <c r="P34" s="306">
        <f t="shared" si="3"/>
        <v>0</v>
      </c>
      <c r="Q34" s="306">
        <f t="shared" si="4"/>
        <v>0</v>
      </c>
      <c r="R34" s="307"/>
      <c r="S34" s="306">
        <f t="shared" si="5"/>
        <v>0</v>
      </c>
      <c r="T34" s="306">
        <f t="shared" si="6"/>
        <v>0</v>
      </c>
      <c r="U34" s="307"/>
      <c r="V34" s="306">
        <f t="shared" si="7"/>
        <v>0</v>
      </c>
      <c r="W34" s="308">
        <f t="shared" si="8"/>
        <v>0</v>
      </c>
      <c r="X34" s="307"/>
      <c r="Y34" s="306">
        <f t="shared" si="9"/>
        <v>0</v>
      </c>
      <c r="Z34" s="309">
        <f t="shared" si="11"/>
        <v>0</v>
      </c>
      <c r="AA34" s="126"/>
      <c r="AB34" s="126"/>
      <c r="AC34" s="724">
        <f>Gen!T39</f>
        <v>0</v>
      </c>
    </row>
    <row r="35" spans="1:29" ht="20.100000000000001" customHeight="1">
      <c r="A35" s="717">
        <f>Gen!B40</f>
        <v>44134</v>
      </c>
      <c r="B35" s="711"/>
      <c r="C35" s="307"/>
      <c r="D35" s="307"/>
      <c r="E35" s="307"/>
      <c r="F35" s="307"/>
      <c r="G35" s="307"/>
      <c r="H35" s="307"/>
      <c r="I35" s="307"/>
      <c r="J35" s="712"/>
      <c r="K35" s="723">
        <f t="shared" si="0"/>
        <v>0</v>
      </c>
      <c r="L35" s="307"/>
      <c r="M35" s="306">
        <f t="shared" si="1"/>
        <v>0</v>
      </c>
      <c r="N35" s="308">
        <f t="shared" si="2"/>
        <v>0</v>
      </c>
      <c r="O35" s="307"/>
      <c r="P35" s="306">
        <f t="shared" si="3"/>
        <v>0</v>
      </c>
      <c r="Q35" s="306">
        <f t="shared" si="4"/>
        <v>0</v>
      </c>
      <c r="R35" s="307"/>
      <c r="S35" s="306">
        <f t="shared" si="5"/>
        <v>0</v>
      </c>
      <c r="T35" s="306">
        <f t="shared" si="6"/>
        <v>0</v>
      </c>
      <c r="U35" s="307"/>
      <c r="V35" s="306">
        <f t="shared" si="7"/>
        <v>0</v>
      </c>
      <c r="W35" s="308">
        <f t="shared" si="8"/>
        <v>0</v>
      </c>
      <c r="X35" s="307"/>
      <c r="Y35" s="306">
        <f t="shared" si="9"/>
        <v>0</v>
      </c>
      <c r="Z35" s="309">
        <f t="shared" si="11"/>
        <v>0</v>
      </c>
      <c r="AA35" s="126"/>
      <c r="AB35" s="126"/>
      <c r="AC35" s="724">
        <f>Gen!T40</f>
        <v>0</v>
      </c>
    </row>
    <row r="36" spans="1:29" ht="20.100000000000001" customHeight="1" thickBot="1">
      <c r="A36" s="718">
        <f>Gen!B41</f>
        <v>44135</v>
      </c>
      <c r="B36" s="711"/>
      <c r="C36" s="307"/>
      <c r="D36" s="307"/>
      <c r="E36" s="307"/>
      <c r="F36" s="307"/>
      <c r="G36" s="307"/>
      <c r="H36" s="307"/>
      <c r="I36" s="307"/>
      <c r="J36" s="712"/>
      <c r="K36" s="723">
        <f t="shared" si="0"/>
        <v>0</v>
      </c>
      <c r="L36" s="307"/>
      <c r="M36" s="306">
        <f t="shared" si="1"/>
        <v>0</v>
      </c>
      <c r="N36" s="308">
        <f t="shared" si="2"/>
        <v>0</v>
      </c>
      <c r="O36" s="307"/>
      <c r="P36" s="306">
        <f t="shared" si="3"/>
        <v>0</v>
      </c>
      <c r="Q36" s="306">
        <f t="shared" si="4"/>
        <v>0</v>
      </c>
      <c r="R36" s="307"/>
      <c r="S36" s="306">
        <f t="shared" si="5"/>
        <v>0</v>
      </c>
      <c r="T36" s="306">
        <f t="shared" si="6"/>
        <v>0</v>
      </c>
      <c r="U36" s="307"/>
      <c r="V36" s="306">
        <f t="shared" si="7"/>
        <v>0</v>
      </c>
      <c r="W36" s="308">
        <f t="shared" si="8"/>
        <v>0</v>
      </c>
      <c r="X36" s="307"/>
      <c r="Y36" s="306">
        <f t="shared" si="9"/>
        <v>0</v>
      </c>
      <c r="Z36" s="309">
        <f t="shared" si="11"/>
        <v>0</v>
      </c>
      <c r="AA36" s="126"/>
      <c r="AB36" s="126"/>
      <c r="AC36" s="724">
        <f>Gen!T41</f>
        <v>0</v>
      </c>
    </row>
    <row r="37" spans="1:29" ht="21" customHeight="1" thickBot="1">
      <c r="A37" s="718">
        <f>Gen!B42</f>
        <v>44136</v>
      </c>
      <c r="B37" s="713"/>
      <c r="C37" s="714"/>
      <c r="D37" s="714"/>
      <c r="E37" s="714"/>
      <c r="F37" s="714"/>
      <c r="G37" s="714"/>
      <c r="H37" s="714"/>
      <c r="I37" s="714"/>
      <c r="J37" s="715"/>
      <c r="K37" s="725">
        <f t="shared" si="0"/>
        <v>0</v>
      </c>
      <c r="L37" s="714"/>
      <c r="M37" s="726">
        <f t="shared" si="1"/>
        <v>0</v>
      </c>
      <c r="N37" s="727">
        <f t="shared" si="2"/>
        <v>0</v>
      </c>
      <c r="O37" s="714"/>
      <c r="P37" s="726">
        <f t="shared" si="3"/>
        <v>0</v>
      </c>
      <c r="Q37" s="726">
        <f t="shared" si="4"/>
        <v>0</v>
      </c>
      <c r="R37" s="714"/>
      <c r="S37" s="726">
        <f t="shared" si="5"/>
        <v>0</v>
      </c>
      <c r="T37" s="726">
        <f t="shared" si="6"/>
        <v>0</v>
      </c>
      <c r="U37" s="714"/>
      <c r="V37" s="726">
        <f t="shared" si="7"/>
        <v>0</v>
      </c>
      <c r="W37" s="727">
        <f t="shared" si="8"/>
        <v>0</v>
      </c>
      <c r="X37" s="714"/>
      <c r="Y37" s="726">
        <f t="shared" si="9"/>
        <v>0</v>
      </c>
      <c r="Z37" s="728">
        <f t="shared" si="11"/>
        <v>0</v>
      </c>
      <c r="AA37" s="729"/>
      <c r="AB37" s="729"/>
      <c r="AC37" s="730">
        <f>Gen!T42</f>
        <v>0</v>
      </c>
    </row>
    <row r="38" spans="1:29">
      <c r="A38" s="262"/>
      <c r="B38" s="262"/>
      <c r="C38" s="262"/>
      <c r="D38" s="262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U99"/>
  <sheetViews>
    <sheetView topLeftCell="A19" zoomScale="110" zoomScaleNormal="110" workbookViewId="0">
      <pane xSplit="2" topLeftCell="C1" activePane="topRight" state="frozen"/>
      <selection pane="topRight" activeCell="C32" sqref="C32"/>
    </sheetView>
  </sheetViews>
  <sheetFormatPr defaultColWidth="9.140625" defaultRowHeight="11.25"/>
  <cols>
    <col min="1" max="1" width="9.140625" style="181"/>
    <col min="2" max="2" width="9.85546875" style="430" customWidth="1"/>
    <col min="3" max="3" width="9.5703125" style="430" customWidth="1"/>
    <col min="4" max="4" width="9" style="430" customWidth="1"/>
    <col min="5" max="5" width="9.140625" style="430" customWidth="1"/>
    <col min="6" max="6" width="10.140625" style="430" bestFit="1" customWidth="1"/>
    <col min="7" max="7" width="10.7109375" style="430" customWidth="1"/>
    <col min="8" max="8" width="11.28515625" style="430" customWidth="1"/>
    <col min="9" max="9" width="9.7109375" style="430" customWidth="1"/>
    <col min="10" max="10" width="8" style="430" customWidth="1"/>
    <col min="11" max="11" width="8.7109375" style="430" customWidth="1"/>
    <col min="12" max="12" width="8.28515625" style="430" customWidth="1"/>
    <col min="13" max="13" width="10.140625" style="430" customWidth="1"/>
    <col min="14" max="14" width="10.85546875" style="430" customWidth="1"/>
    <col min="15" max="15" width="11.42578125" style="430" customWidth="1"/>
    <col min="16" max="16" width="10.140625" style="430" customWidth="1"/>
    <col min="17" max="17" width="14.42578125" style="430" customWidth="1"/>
    <col min="18" max="18" width="10.7109375" style="430" customWidth="1"/>
    <col min="19" max="19" width="13.140625" style="430" customWidth="1"/>
    <col min="20" max="20" width="11.7109375" style="183" customWidth="1"/>
    <col min="21" max="21" width="13" style="183" customWidth="1"/>
    <col min="22" max="22" width="13.140625" style="183" customWidth="1"/>
    <col min="23" max="23" width="13.5703125" style="183" bestFit="1" customWidth="1"/>
    <col min="24" max="24" width="13" style="183" customWidth="1"/>
    <col min="25" max="25" width="15.7109375" style="183" customWidth="1"/>
    <col min="26" max="26" width="13.7109375" style="183" customWidth="1"/>
    <col min="27" max="27" width="12" style="183" bestFit="1" customWidth="1"/>
    <col min="28" max="28" width="9.5703125" style="183" bestFit="1" customWidth="1"/>
    <col min="29" max="29" width="8.28515625" style="183" bestFit="1" customWidth="1"/>
    <col min="30" max="30" width="9.42578125" style="183" bestFit="1" customWidth="1"/>
    <col min="31" max="31" width="8.140625" style="183" bestFit="1" customWidth="1"/>
    <col min="32" max="32" width="8" style="183" bestFit="1" customWidth="1"/>
    <col min="33" max="33" width="9.28515625" style="183" bestFit="1" customWidth="1"/>
    <col min="34" max="34" width="11.42578125" style="183" customWidth="1"/>
    <col min="35" max="35" width="9.85546875" style="183" bestFit="1" customWidth="1"/>
    <col min="36" max="36" width="9.5703125" style="183" bestFit="1" customWidth="1"/>
    <col min="37" max="37" width="12" style="183" bestFit="1" customWidth="1"/>
    <col min="38" max="43" width="9.140625" style="183" hidden="1" customWidth="1"/>
    <col min="44" max="44" width="5.42578125" style="183" customWidth="1"/>
    <col min="45" max="45" width="15" style="183" bestFit="1" customWidth="1"/>
    <col min="46" max="46" width="10.7109375" style="183" bestFit="1" customWidth="1"/>
    <col min="47" max="47" width="9.7109375" style="183" bestFit="1" customWidth="1"/>
    <col min="48" max="48" width="8" style="181" bestFit="1" customWidth="1"/>
    <col min="49" max="16384" width="9.140625" style="181"/>
  </cols>
  <sheetData>
    <row r="1" spans="2:47">
      <c r="B1" s="888"/>
      <c r="C1" s="888"/>
    </row>
    <row r="2" spans="2:47" ht="26.25">
      <c r="B2" s="888"/>
      <c r="C2" s="888"/>
      <c r="E2" s="889" t="s">
        <v>320</v>
      </c>
      <c r="F2" s="889"/>
      <c r="G2" s="890"/>
      <c r="H2" s="890"/>
      <c r="I2" s="890"/>
      <c r="J2" s="890"/>
      <c r="K2" s="890"/>
      <c r="L2" s="890"/>
      <c r="M2" s="890"/>
      <c r="N2" s="890"/>
      <c r="O2" s="890"/>
      <c r="P2" s="890"/>
      <c r="Q2" s="890"/>
      <c r="R2" s="890"/>
      <c r="S2" s="890"/>
      <c r="T2" s="890"/>
      <c r="U2" s="890"/>
      <c r="V2" s="890"/>
      <c r="W2" s="890"/>
      <c r="X2" s="890"/>
      <c r="Y2" s="890"/>
      <c r="Z2" s="890"/>
      <c r="AA2" s="890"/>
      <c r="AB2" s="890"/>
      <c r="AC2" s="890"/>
      <c r="AD2" s="890"/>
      <c r="AE2" s="890"/>
      <c r="AF2" s="890"/>
      <c r="AG2" s="890"/>
      <c r="AH2" s="890"/>
      <c r="AI2" s="890"/>
      <c r="AJ2" s="890"/>
      <c r="AK2" s="890"/>
      <c r="AL2" s="890"/>
      <c r="AM2" s="890"/>
      <c r="AN2" s="890"/>
      <c r="AO2" s="890"/>
      <c r="AP2" s="890"/>
      <c r="AQ2" s="890"/>
      <c r="AR2" s="890"/>
      <c r="AS2" s="890"/>
      <c r="AT2" s="890"/>
      <c r="AU2" s="890"/>
    </row>
    <row r="3" spans="2:47" ht="12.75" customHeight="1">
      <c r="B3" s="888"/>
      <c r="C3" s="888"/>
      <c r="I3" s="906"/>
      <c r="J3" s="906"/>
      <c r="K3" s="906"/>
      <c r="L3" s="182"/>
      <c r="R3" s="182"/>
    </row>
    <row r="4" spans="2:47">
      <c r="B4" s="888"/>
      <c r="C4" s="888"/>
      <c r="I4" s="906"/>
      <c r="J4" s="906"/>
      <c r="K4" s="906"/>
      <c r="L4" s="182"/>
      <c r="R4" s="182"/>
    </row>
    <row r="5" spans="2:47" ht="12" thickBot="1">
      <c r="B5" s="888"/>
      <c r="C5" s="888"/>
      <c r="M5" s="184"/>
      <c r="S5" s="184"/>
      <c r="T5" s="185"/>
      <c r="U5" s="185"/>
      <c r="V5" s="185"/>
      <c r="W5" s="186"/>
      <c r="X5" s="186"/>
      <c r="Y5" s="186"/>
      <c r="Z5" s="186"/>
      <c r="AA5" s="186"/>
      <c r="AB5" s="186"/>
      <c r="AC5" s="186"/>
      <c r="AD5" s="186"/>
      <c r="AE5" s="186"/>
      <c r="AF5" s="186"/>
      <c r="AG5" s="186"/>
      <c r="AH5" s="186"/>
      <c r="AI5" s="186"/>
      <c r="AJ5" s="186"/>
      <c r="AK5" s="186"/>
      <c r="AL5" s="186"/>
      <c r="AM5" s="186"/>
      <c r="AN5" s="186"/>
      <c r="AO5" s="186"/>
      <c r="AP5" s="186"/>
      <c r="AQ5" s="186"/>
      <c r="AR5" s="186"/>
      <c r="AS5" s="186"/>
      <c r="AT5" s="186"/>
      <c r="AU5" s="186"/>
    </row>
    <row r="6" spans="2:47" ht="21" thickBot="1">
      <c r="B6" s="888"/>
      <c r="C6" s="888"/>
      <c r="D6" s="187"/>
      <c r="G6" s="897" t="s">
        <v>57</v>
      </c>
      <c r="H6" s="898"/>
      <c r="I6" s="898"/>
      <c r="J6" s="898"/>
      <c r="K6" s="898"/>
      <c r="L6" s="898"/>
      <c r="M6" s="899"/>
      <c r="N6" s="184"/>
      <c r="O6" s="184"/>
      <c r="P6" s="184"/>
      <c r="Q6" s="184"/>
      <c r="R6" s="184"/>
      <c r="S6" s="184"/>
      <c r="T6" s="185"/>
      <c r="U6" s="185"/>
      <c r="V6" s="185"/>
      <c r="W6" s="188">
        <v>1</v>
      </c>
      <c r="X6" s="188">
        <v>2</v>
      </c>
      <c r="Y6" s="188">
        <v>3</v>
      </c>
      <c r="Z6" s="188">
        <v>4</v>
      </c>
      <c r="AA6" s="188">
        <v>5</v>
      </c>
      <c r="AB6" s="188">
        <v>6</v>
      </c>
      <c r="AC6" s="188">
        <v>7</v>
      </c>
      <c r="AD6" s="188">
        <v>8</v>
      </c>
      <c r="AE6" s="188">
        <v>9</v>
      </c>
      <c r="AF6" s="188">
        <v>10</v>
      </c>
      <c r="AG6" s="188">
        <v>11</v>
      </c>
      <c r="AH6" s="188"/>
      <c r="AI6" s="188"/>
      <c r="AJ6" s="188"/>
      <c r="AS6" s="188"/>
      <c r="AT6" s="185"/>
    </row>
    <row r="7" spans="2:47" ht="21" thickBot="1">
      <c r="D7" s="189"/>
      <c r="E7" s="189"/>
      <c r="F7" s="189"/>
      <c r="G7" s="891" t="s">
        <v>201</v>
      </c>
      <c r="H7" s="892"/>
      <c r="I7" s="892"/>
      <c r="J7" s="892"/>
      <c r="K7" s="892"/>
      <c r="L7" s="892"/>
      <c r="M7" s="893"/>
      <c r="N7" s="894" t="s">
        <v>40</v>
      </c>
      <c r="O7" s="895"/>
      <c r="P7" s="895"/>
      <c r="Q7" s="895"/>
      <c r="R7" s="895"/>
      <c r="S7" s="896"/>
      <c r="T7" s="352"/>
      <c r="U7" s="353"/>
      <c r="V7" s="354"/>
      <c r="W7" s="355" t="s">
        <v>80</v>
      </c>
      <c r="X7" s="356" t="s">
        <v>80</v>
      </c>
      <c r="Y7" s="356" t="s">
        <v>5</v>
      </c>
      <c r="Z7" s="356" t="s">
        <v>81</v>
      </c>
      <c r="AA7" s="356" t="s">
        <v>83</v>
      </c>
      <c r="AB7" s="356" t="s">
        <v>82</v>
      </c>
      <c r="AC7" s="356" t="s">
        <v>82</v>
      </c>
      <c r="AD7" s="357" t="s">
        <v>199</v>
      </c>
      <c r="AE7" s="356" t="s">
        <v>30</v>
      </c>
      <c r="AF7" s="356" t="s">
        <v>97</v>
      </c>
      <c r="AG7" s="358" t="s">
        <v>22</v>
      </c>
      <c r="AH7" s="359" t="s">
        <v>29</v>
      </c>
      <c r="AI7" s="356" t="s">
        <v>84</v>
      </c>
      <c r="AJ7" s="360" t="s">
        <v>190</v>
      </c>
      <c r="AK7" s="371" t="s">
        <v>26</v>
      </c>
      <c r="AL7" s="190"/>
      <c r="AM7" s="190"/>
      <c r="AN7" s="190"/>
      <c r="AO7" s="190"/>
      <c r="AP7" s="190"/>
      <c r="AQ7" s="190"/>
      <c r="AR7" s="190"/>
      <c r="AS7" s="191"/>
      <c r="AT7" s="192"/>
      <c r="AU7" s="190"/>
    </row>
    <row r="8" spans="2:47" s="194" customFormat="1" ht="30" customHeight="1" thickBot="1">
      <c r="B8" s="384" t="s">
        <v>0</v>
      </c>
      <c r="C8" s="385" t="s">
        <v>310</v>
      </c>
      <c r="D8" s="386" t="s">
        <v>2</v>
      </c>
      <c r="E8" s="387" t="s">
        <v>38</v>
      </c>
      <c r="F8" s="387" t="s">
        <v>96</v>
      </c>
      <c r="G8" s="388" t="s">
        <v>306</v>
      </c>
      <c r="H8" s="503">
        <v>1</v>
      </c>
      <c r="I8" s="378">
        <v>2</v>
      </c>
      <c r="J8" s="378">
        <v>3</v>
      </c>
      <c r="K8" s="378">
        <v>4</v>
      </c>
      <c r="L8" s="378">
        <v>5</v>
      </c>
      <c r="M8" s="379">
        <v>6</v>
      </c>
      <c r="N8" s="380">
        <v>1</v>
      </c>
      <c r="O8" s="381">
        <v>2</v>
      </c>
      <c r="P8" s="381">
        <v>3</v>
      </c>
      <c r="Q8" s="381">
        <v>4</v>
      </c>
      <c r="R8" s="381">
        <v>5</v>
      </c>
      <c r="S8" s="381">
        <v>6</v>
      </c>
      <c r="T8" s="382" t="s">
        <v>39</v>
      </c>
      <c r="U8" s="382" t="s">
        <v>41</v>
      </c>
      <c r="V8" s="383" t="s">
        <v>198</v>
      </c>
      <c r="W8" s="362" t="s">
        <v>33</v>
      </c>
      <c r="X8" s="363" t="s">
        <v>32</v>
      </c>
      <c r="Y8" s="363" t="s">
        <v>35</v>
      </c>
      <c r="Z8" s="364" t="s">
        <v>208</v>
      </c>
      <c r="AA8" s="364" t="s">
        <v>207</v>
      </c>
      <c r="AB8" s="364" t="s">
        <v>209</v>
      </c>
      <c r="AC8" s="363" t="s">
        <v>311</v>
      </c>
      <c r="AD8" s="365" t="s">
        <v>34</v>
      </c>
      <c r="AE8" s="363" t="s">
        <v>31</v>
      </c>
      <c r="AF8" s="363" t="s">
        <v>210</v>
      </c>
      <c r="AG8" s="363" t="s">
        <v>211</v>
      </c>
      <c r="AH8" s="366" t="s">
        <v>85</v>
      </c>
      <c r="AI8" s="367" t="s">
        <v>28</v>
      </c>
      <c r="AJ8" s="368" t="s">
        <v>28</v>
      </c>
      <c r="AK8" s="370"/>
      <c r="AL8" s="273"/>
      <c r="AM8" s="52"/>
      <c r="AN8" s="52"/>
      <c r="AO8" s="52"/>
      <c r="AP8" s="52"/>
      <c r="AQ8" s="193"/>
      <c r="AR8" s="373"/>
      <c r="AS8" s="374" t="s">
        <v>200</v>
      </c>
      <c r="AT8" s="374" t="s">
        <v>43</v>
      </c>
      <c r="AU8" s="373" t="s">
        <v>3</v>
      </c>
    </row>
    <row r="9" spans="2:47" ht="14.25">
      <c r="B9" s="504"/>
      <c r="C9" s="195"/>
      <c r="D9" s="731">
        <v>38003.53</v>
      </c>
      <c r="E9" s="735"/>
      <c r="F9" s="595"/>
      <c r="G9" s="375"/>
      <c r="H9" s="568"/>
      <c r="I9" s="569"/>
      <c r="J9" s="570"/>
      <c r="K9" s="571"/>
      <c r="L9" s="572"/>
      <c r="M9" s="573"/>
      <c r="N9" s="376"/>
      <c r="O9" s="377"/>
      <c r="P9" s="377"/>
      <c r="Q9" s="377"/>
      <c r="R9" s="377"/>
      <c r="S9" s="578"/>
      <c r="T9" s="584">
        <f t="shared" ref="T9:T45" si="0">SUM(G9:M9)</f>
        <v>0</v>
      </c>
      <c r="U9" s="585">
        <f t="shared" ref="U9:U43" si="1">SUM(N9:S9)</f>
        <v>0</v>
      </c>
      <c r="V9" s="586"/>
      <c r="W9" s="582"/>
      <c r="X9" s="199"/>
      <c r="Y9" s="361"/>
      <c r="Z9" s="361"/>
      <c r="AA9" s="361"/>
      <c r="AB9" s="199"/>
      <c r="AC9" s="197"/>
      <c r="AD9" s="199"/>
      <c r="AE9" s="200"/>
      <c r="AF9" s="200"/>
      <c r="AG9" s="201"/>
      <c r="AH9" s="197"/>
      <c r="AI9" s="199"/>
      <c r="AJ9" s="393"/>
      <c r="AK9" s="369"/>
      <c r="AL9" s="202"/>
      <c r="AM9" s="202"/>
      <c r="AN9" s="202"/>
      <c r="AO9" s="202"/>
      <c r="AP9" s="202"/>
      <c r="AQ9" s="202"/>
      <c r="AR9" s="202"/>
      <c r="AS9" s="372">
        <f t="shared" ref="AS9:AS43" si="2">SUM(AK9+T9)</f>
        <v>0</v>
      </c>
      <c r="AT9" s="203"/>
      <c r="AU9" s="204">
        <v>38784.699999999997</v>
      </c>
    </row>
    <row r="10" spans="2:47" ht="13.5" customHeight="1">
      <c r="B10" s="505"/>
      <c r="C10" s="591"/>
      <c r="D10" s="732"/>
      <c r="E10" s="736"/>
      <c r="F10" s="596"/>
      <c r="G10" s="300"/>
      <c r="H10" s="574"/>
      <c r="I10" s="205"/>
      <c r="J10" s="206"/>
      <c r="K10" s="205"/>
      <c r="L10" s="205"/>
      <c r="M10" s="300"/>
      <c r="N10" s="299"/>
      <c r="O10" s="208"/>
      <c r="P10" s="207"/>
      <c r="Q10" s="207"/>
      <c r="R10" s="207"/>
      <c r="S10" s="579"/>
      <c r="T10" s="587">
        <f t="shared" si="0"/>
        <v>0</v>
      </c>
      <c r="U10" s="219">
        <f t="shared" si="1"/>
        <v>0</v>
      </c>
      <c r="V10" s="588">
        <f>SUM(O10:T10)</f>
        <v>0</v>
      </c>
      <c r="W10" s="212"/>
      <c r="X10" s="220"/>
      <c r="Y10" s="198"/>
      <c r="Z10" s="210"/>
      <c r="AA10" s="205"/>
      <c r="AB10" s="210"/>
      <c r="AC10" s="211"/>
      <c r="AD10" s="210"/>
      <c r="AE10" s="212"/>
      <c r="AF10" s="212"/>
      <c r="AG10" s="210"/>
      <c r="AH10" s="213"/>
      <c r="AI10" s="220"/>
      <c r="AJ10" s="393"/>
      <c r="AK10" s="272">
        <f t="shared" ref="AK10:AK44" si="3">SUM(W10:AJ10)</f>
        <v>0</v>
      </c>
      <c r="AL10" s="214"/>
      <c r="AM10" s="214"/>
      <c r="AN10" s="214"/>
      <c r="AO10" s="214"/>
      <c r="AP10" s="214"/>
      <c r="AQ10" s="214"/>
      <c r="AR10" s="215"/>
      <c r="AS10" s="216">
        <f t="shared" si="2"/>
        <v>0</v>
      </c>
      <c r="AT10" s="217"/>
      <c r="AU10" s="284"/>
    </row>
    <row r="11" spans="2:47" s="223" customFormat="1" ht="13.5" customHeight="1">
      <c r="B11" s="598">
        <v>44105</v>
      </c>
      <c r="C11" s="592">
        <v>5.1900000000000002E-2</v>
      </c>
      <c r="D11" s="733">
        <f>SUM(D9+E11)</f>
        <v>38003.53</v>
      </c>
      <c r="E11" s="737"/>
      <c r="F11" s="596"/>
      <c r="G11" s="300"/>
      <c r="H11" s="574">
        <v>427.57</v>
      </c>
      <c r="I11" s="205"/>
      <c r="J11" s="206"/>
      <c r="K11" s="205"/>
      <c r="L11" s="205"/>
      <c r="M11" s="300">
        <v>483.47</v>
      </c>
      <c r="N11" s="207">
        <v>1048</v>
      </c>
      <c r="O11" s="208"/>
      <c r="P11" s="207"/>
      <c r="Q11" s="207"/>
      <c r="R11" s="207"/>
      <c r="S11" s="579">
        <v>1166</v>
      </c>
      <c r="T11" s="587">
        <f t="shared" si="0"/>
        <v>911.04</v>
      </c>
      <c r="U11" s="219">
        <f t="shared" si="1"/>
        <v>2214</v>
      </c>
      <c r="V11" s="588">
        <f t="shared" ref="V11:V41" si="4">T11/U11</f>
        <v>0.41149051490514904</v>
      </c>
      <c r="W11" s="212"/>
      <c r="X11" s="220"/>
      <c r="Y11" s="198"/>
      <c r="Z11" s="220"/>
      <c r="AA11" s="205"/>
      <c r="AB11" s="274"/>
      <c r="AC11" s="220"/>
      <c r="AD11" s="220"/>
      <c r="AE11" s="220"/>
      <c r="AF11" s="220"/>
      <c r="AG11" s="220"/>
      <c r="AH11" s="220"/>
      <c r="AI11" s="220"/>
      <c r="AJ11" s="393"/>
      <c r="AK11" s="272">
        <f t="shared" si="3"/>
        <v>0</v>
      </c>
      <c r="AL11" s="221"/>
      <c r="AM11" s="221"/>
      <c r="AN11" s="221"/>
      <c r="AO11" s="221"/>
      <c r="AP11" s="221"/>
      <c r="AQ11" s="221"/>
      <c r="AR11" s="221"/>
      <c r="AS11" s="216">
        <f t="shared" si="2"/>
        <v>911.04</v>
      </c>
      <c r="AT11" s="222">
        <f>AS11*AV11</f>
        <v>0</v>
      </c>
      <c r="AU11" s="284">
        <f t="shared" ref="AU11:AU43" si="5">D11</f>
        <v>38003.53</v>
      </c>
    </row>
    <row r="12" spans="2:47" ht="13.5" customHeight="1">
      <c r="B12" s="598">
        <v>44106</v>
      </c>
      <c r="C12" s="592">
        <v>3.9E-2</v>
      </c>
      <c r="D12" s="733">
        <f t="shared" ref="D12:D43" si="6">SUM(D11-AS11+E12)</f>
        <v>37092.49</v>
      </c>
      <c r="E12" s="737"/>
      <c r="F12" s="596"/>
      <c r="G12" s="300"/>
      <c r="H12" s="574"/>
      <c r="I12" s="205"/>
      <c r="J12" s="224"/>
      <c r="K12" s="205">
        <v>449.26</v>
      </c>
      <c r="L12" s="205">
        <v>526.98</v>
      </c>
      <c r="M12" s="300"/>
      <c r="N12" s="299"/>
      <c r="O12" s="207"/>
      <c r="P12" s="207"/>
      <c r="Q12" s="207">
        <v>1078</v>
      </c>
      <c r="R12" s="207">
        <v>1301</v>
      </c>
      <c r="S12" s="579"/>
      <c r="T12" s="587">
        <f t="shared" si="0"/>
        <v>976.24</v>
      </c>
      <c r="U12" s="219">
        <f t="shared" si="1"/>
        <v>2379</v>
      </c>
      <c r="V12" s="588">
        <f t="shared" si="4"/>
        <v>0.41035729298024382</v>
      </c>
      <c r="W12" s="212"/>
      <c r="X12" s="220"/>
      <c r="Y12" s="198"/>
      <c r="Z12" s="220"/>
      <c r="AA12" s="205"/>
      <c r="AB12" s="274"/>
      <c r="AC12" s="220"/>
      <c r="AD12" s="220"/>
      <c r="AE12" s="220"/>
      <c r="AF12" s="220"/>
      <c r="AG12" s="220"/>
      <c r="AH12" s="220"/>
      <c r="AI12" s="220"/>
      <c r="AJ12" s="393"/>
      <c r="AK12" s="272">
        <f t="shared" si="3"/>
        <v>0</v>
      </c>
      <c r="AL12" s="214"/>
      <c r="AM12" s="214"/>
      <c r="AN12" s="214"/>
      <c r="AO12" s="214"/>
      <c r="AP12" s="214"/>
      <c r="AQ12" s="214"/>
      <c r="AR12" s="214"/>
      <c r="AS12" s="216">
        <f t="shared" si="2"/>
        <v>976.24</v>
      </c>
      <c r="AT12" s="222">
        <f t="shared" ref="AT12:AT44" si="7">AS12*AV12</f>
        <v>0</v>
      </c>
      <c r="AU12" s="284">
        <f t="shared" si="5"/>
        <v>37092.49</v>
      </c>
    </row>
    <row r="13" spans="2:47" ht="13.5" customHeight="1">
      <c r="B13" s="598">
        <v>44107</v>
      </c>
      <c r="C13" s="592">
        <v>2.5999999999999999E-2</v>
      </c>
      <c r="D13" s="733">
        <f t="shared" si="6"/>
        <v>36116.25</v>
      </c>
      <c r="E13" s="737"/>
      <c r="F13" s="596"/>
      <c r="G13" s="645"/>
      <c r="H13" s="574">
        <v>495.78</v>
      </c>
      <c r="I13" s="205"/>
      <c r="J13" s="224"/>
      <c r="K13" s="205"/>
      <c r="L13" s="205"/>
      <c r="M13" s="300">
        <v>500.4</v>
      </c>
      <c r="N13" s="299">
        <v>1143</v>
      </c>
      <c r="O13" s="207"/>
      <c r="P13" s="207"/>
      <c r="Q13" s="207"/>
      <c r="R13" s="207"/>
      <c r="S13" s="579">
        <v>1227</v>
      </c>
      <c r="T13" s="587">
        <f t="shared" si="0"/>
        <v>996.18</v>
      </c>
      <c r="U13" s="219">
        <f t="shared" si="1"/>
        <v>2370</v>
      </c>
      <c r="V13" s="588">
        <f t="shared" si="4"/>
        <v>0.42032911392405059</v>
      </c>
      <c r="W13" s="212"/>
      <c r="X13" s="220">
        <v>47.58</v>
      </c>
      <c r="Y13" s="198"/>
      <c r="Z13" s="220"/>
      <c r="AA13" s="205"/>
      <c r="AB13" s="274"/>
      <c r="AC13" s="220"/>
      <c r="AD13" s="220"/>
      <c r="AE13" s="220"/>
      <c r="AF13" s="220"/>
      <c r="AG13" s="220"/>
      <c r="AH13" s="220"/>
      <c r="AI13" s="220"/>
      <c r="AJ13" s="393"/>
      <c r="AK13" s="272">
        <f t="shared" si="3"/>
        <v>47.58</v>
      </c>
      <c r="AL13" s="225"/>
      <c r="AM13" s="225"/>
      <c r="AN13" s="225"/>
      <c r="AO13" s="225"/>
      <c r="AP13" s="225"/>
      <c r="AQ13" s="225"/>
      <c r="AR13" s="225"/>
      <c r="AS13" s="216">
        <f t="shared" si="2"/>
        <v>1043.76</v>
      </c>
      <c r="AT13" s="222">
        <f t="shared" si="7"/>
        <v>0</v>
      </c>
      <c r="AU13" s="284">
        <f t="shared" si="5"/>
        <v>36116.25</v>
      </c>
    </row>
    <row r="14" spans="2:47" ht="13.5" customHeight="1">
      <c r="B14" s="598">
        <v>44108</v>
      </c>
      <c r="C14" s="592">
        <v>1.2999999999999999E-2</v>
      </c>
      <c r="D14" s="733">
        <f t="shared" si="6"/>
        <v>35072.49</v>
      </c>
      <c r="E14" s="737"/>
      <c r="F14" s="596"/>
      <c r="G14" s="645"/>
      <c r="H14" s="574"/>
      <c r="I14" s="205"/>
      <c r="J14" s="224"/>
      <c r="K14" s="205">
        <v>442.43</v>
      </c>
      <c r="L14" s="205">
        <v>482.2</v>
      </c>
      <c r="M14" s="300"/>
      <c r="N14" s="299"/>
      <c r="O14" s="207"/>
      <c r="P14" s="207"/>
      <c r="Q14" s="207">
        <v>1083</v>
      </c>
      <c r="R14" s="207">
        <v>1071</v>
      </c>
      <c r="S14" s="579"/>
      <c r="T14" s="587">
        <f t="shared" si="0"/>
        <v>924.63</v>
      </c>
      <c r="U14" s="219">
        <f t="shared" si="1"/>
        <v>2154</v>
      </c>
      <c r="V14" s="588">
        <f t="shared" si="4"/>
        <v>0.4292618384401114</v>
      </c>
      <c r="W14" s="212"/>
      <c r="X14" s="220"/>
      <c r="Y14" s="198"/>
      <c r="Z14" s="220"/>
      <c r="AA14" s="205"/>
      <c r="AB14" s="274"/>
      <c r="AC14" s="220"/>
      <c r="AD14" s="220"/>
      <c r="AE14" s="220"/>
      <c r="AF14" s="220"/>
      <c r="AG14" s="220"/>
      <c r="AH14" s="220"/>
      <c r="AI14" s="220"/>
      <c r="AJ14" s="393"/>
      <c r="AK14" s="272">
        <f t="shared" si="3"/>
        <v>0</v>
      </c>
      <c r="AL14" s="221"/>
      <c r="AM14" s="221"/>
      <c r="AN14" s="221"/>
      <c r="AO14" s="221"/>
      <c r="AP14" s="221"/>
      <c r="AQ14" s="221"/>
      <c r="AR14" s="221"/>
      <c r="AS14" s="216">
        <f t="shared" si="2"/>
        <v>924.63</v>
      </c>
      <c r="AT14" s="222">
        <f t="shared" si="7"/>
        <v>0</v>
      </c>
      <c r="AU14" s="284">
        <f t="shared" si="5"/>
        <v>35072.49</v>
      </c>
    </row>
    <row r="15" spans="2:47" ht="13.5" customHeight="1">
      <c r="B15" s="598">
        <v>44109</v>
      </c>
      <c r="C15" s="592">
        <v>2.3E-2</v>
      </c>
      <c r="D15" s="733">
        <f t="shared" si="6"/>
        <v>34147.86</v>
      </c>
      <c r="E15" s="737"/>
      <c r="F15" s="596"/>
      <c r="G15" s="594"/>
      <c r="H15" s="574">
        <v>442</v>
      </c>
      <c r="I15" s="205"/>
      <c r="J15" s="224"/>
      <c r="K15" s="205"/>
      <c r="L15" s="205"/>
      <c r="M15" s="300">
        <v>494.98</v>
      </c>
      <c r="N15" s="299">
        <v>1068</v>
      </c>
      <c r="O15" s="207"/>
      <c r="P15" s="207"/>
      <c r="Q15" s="207"/>
      <c r="R15" s="207"/>
      <c r="S15" s="579">
        <v>1200</v>
      </c>
      <c r="T15" s="587">
        <f t="shared" si="0"/>
        <v>936.98</v>
      </c>
      <c r="U15" s="219">
        <f t="shared" si="1"/>
        <v>2268</v>
      </c>
      <c r="V15" s="588">
        <f t="shared" si="4"/>
        <v>0.41313051146384483</v>
      </c>
      <c r="W15" s="212"/>
      <c r="X15" s="220"/>
      <c r="Y15" s="198"/>
      <c r="Z15" s="220"/>
      <c r="AA15" s="205"/>
      <c r="AB15" s="274"/>
      <c r="AC15" s="220"/>
      <c r="AD15" s="220"/>
      <c r="AE15" s="220"/>
      <c r="AF15" s="220"/>
      <c r="AG15" s="220"/>
      <c r="AH15" s="220"/>
      <c r="AI15" s="220"/>
      <c r="AJ15" s="393"/>
      <c r="AK15" s="272">
        <f t="shared" si="3"/>
        <v>0</v>
      </c>
      <c r="AL15" s="221"/>
      <c r="AM15" s="221"/>
      <c r="AN15" s="221"/>
      <c r="AO15" s="221"/>
      <c r="AP15" s="221"/>
      <c r="AQ15" s="221"/>
      <c r="AR15" s="221"/>
      <c r="AS15" s="216">
        <f t="shared" si="2"/>
        <v>936.98</v>
      </c>
      <c r="AT15" s="222">
        <f t="shared" si="7"/>
        <v>0</v>
      </c>
      <c r="AU15" s="284">
        <f t="shared" si="5"/>
        <v>34147.86</v>
      </c>
    </row>
    <row r="16" spans="2:47" ht="13.5" customHeight="1">
      <c r="B16" s="598">
        <v>44110</v>
      </c>
      <c r="C16" s="592">
        <v>2.3E-2</v>
      </c>
      <c r="D16" s="733">
        <f t="shared" si="6"/>
        <v>33210.879999999997</v>
      </c>
      <c r="E16" s="737"/>
      <c r="F16" s="596"/>
      <c r="G16" s="594"/>
      <c r="H16" s="574"/>
      <c r="I16" s="205"/>
      <c r="J16" s="224"/>
      <c r="K16" s="205">
        <v>485.31</v>
      </c>
      <c r="L16" s="205">
        <v>497.28</v>
      </c>
      <c r="M16" s="300"/>
      <c r="N16" s="299"/>
      <c r="O16" s="207"/>
      <c r="P16" s="207"/>
      <c r="Q16" s="207">
        <v>1105</v>
      </c>
      <c r="R16" s="207">
        <v>1227</v>
      </c>
      <c r="S16" s="579"/>
      <c r="T16" s="587">
        <f t="shared" si="0"/>
        <v>982.58999999999992</v>
      </c>
      <c r="U16" s="219">
        <f t="shared" si="1"/>
        <v>2332</v>
      </c>
      <c r="V16" s="588">
        <f t="shared" si="4"/>
        <v>0.42135077186963976</v>
      </c>
      <c r="W16" s="212"/>
      <c r="X16" s="220"/>
      <c r="Y16" s="198"/>
      <c r="Z16" s="220"/>
      <c r="AA16" s="205"/>
      <c r="AB16" s="274"/>
      <c r="AC16" s="220"/>
      <c r="AD16" s="220"/>
      <c r="AE16" s="220"/>
      <c r="AF16" s="220"/>
      <c r="AG16" s="220"/>
      <c r="AH16" s="220"/>
      <c r="AI16" s="220"/>
      <c r="AJ16" s="393"/>
      <c r="AK16" s="272">
        <f t="shared" si="3"/>
        <v>0</v>
      </c>
      <c r="AL16" s="221"/>
      <c r="AM16" s="221"/>
      <c r="AN16" s="221"/>
      <c r="AO16" s="221"/>
      <c r="AP16" s="221"/>
      <c r="AQ16" s="221"/>
      <c r="AR16" s="221"/>
      <c r="AS16" s="216">
        <f t="shared" si="2"/>
        <v>982.58999999999992</v>
      </c>
      <c r="AT16" s="222">
        <f t="shared" si="7"/>
        <v>0</v>
      </c>
      <c r="AU16" s="284">
        <f t="shared" si="5"/>
        <v>33210.879999999997</v>
      </c>
    </row>
    <row r="17" spans="2:47" ht="13.5" customHeight="1">
      <c r="B17" s="598">
        <v>44111</v>
      </c>
      <c r="C17" s="592">
        <v>3.9E-2</v>
      </c>
      <c r="D17" s="733">
        <f t="shared" si="6"/>
        <v>32228.289999999997</v>
      </c>
      <c r="E17" s="737"/>
      <c r="F17" s="596"/>
      <c r="G17" s="594"/>
      <c r="H17" s="574">
        <v>475.52</v>
      </c>
      <c r="I17" s="205"/>
      <c r="J17" s="224"/>
      <c r="K17" s="205"/>
      <c r="L17" s="205"/>
      <c r="M17" s="300">
        <v>475.05</v>
      </c>
      <c r="N17" s="299">
        <v>1080</v>
      </c>
      <c r="O17" s="207"/>
      <c r="P17" s="207"/>
      <c r="Q17" s="207"/>
      <c r="R17" s="207"/>
      <c r="S17" s="579">
        <v>1149</v>
      </c>
      <c r="T17" s="587">
        <f t="shared" si="0"/>
        <v>950.56999999999994</v>
      </c>
      <c r="U17" s="219">
        <f t="shared" si="1"/>
        <v>2229</v>
      </c>
      <c r="V17" s="588">
        <f t="shared" si="4"/>
        <v>0.42645580978017045</v>
      </c>
      <c r="W17" s="212"/>
      <c r="X17" s="220"/>
      <c r="Y17" s="198"/>
      <c r="Z17" s="220"/>
      <c r="AA17" s="205"/>
      <c r="AB17" s="274"/>
      <c r="AC17" s="220"/>
      <c r="AD17" s="220"/>
      <c r="AE17" s="220"/>
      <c r="AF17" s="220"/>
      <c r="AG17" s="220"/>
      <c r="AH17" s="220"/>
      <c r="AI17" s="220"/>
      <c r="AJ17" s="393"/>
      <c r="AK17" s="272">
        <f t="shared" si="3"/>
        <v>0</v>
      </c>
      <c r="AL17" s="221"/>
      <c r="AM17" s="221"/>
      <c r="AN17" s="221"/>
      <c r="AO17" s="221"/>
      <c r="AP17" s="221"/>
      <c r="AQ17" s="221"/>
      <c r="AR17" s="221"/>
      <c r="AS17" s="216">
        <f t="shared" si="2"/>
        <v>950.56999999999994</v>
      </c>
      <c r="AT17" s="222">
        <f t="shared" si="7"/>
        <v>0</v>
      </c>
      <c r="AU17" s="284">
        <f t="shared" si="5"/>
        <v>32228.289999999997</v>
      </c>
    </row>
    <row r="18" spans="2:47" ht="13.5" customHeight="1">
      <c r="B18" s="598">
        <v>44112</v>
      </c>
      <c r="C18" s="592">
        <v>5.1900000000000002E-2</v>
      </c>
      <c r="D18" s="733">
        <f t="shared" si="6"/>
        <v>31277.719999999998</v>
      </c>
      <c r="E18" s="737"/>
      <c r="F18" s="596"/>
      <c r="G18" s="594"/>
      <c r="H18" s="574"/>
      <c r="I18" s="205"/>
      <c r="J18" s="224"/>
      <c r="K18" s="205">
        <v>482.83</v>
      </c>
      <c r="L18" s="205">
        <v>473.99</v>
      </c>
      <c r="M18" s="300"/>
      <c r="N18" s="299"/>
      <c r="O18" s="207"/>
      <c r="P18" s="207"/>
      <c r="Q18" s="207">
        <v>1117</v>
      </c>
      <c r="R18" s="207">
        <v>1128</v>
      </c>
      <c r="S18" s="579"/>
      <c r="T18" s="587">
        <f t="shared" si="0"/>
        <v>956.81999999999994</v>
      </c>
      <c r="U18" s="219">
        <f t="shared" si="1"/>
        <v>2245</v>
      </c>
      <c r="V18" s="588">
        <f t="shared" si="4"/>
        <v>0.42620044543429841</v>
      </c>
      <c r="W18" s="212"/>
      <c r="X18" s="220"/>
      <c r="Y18" s="198"/>
      <c r="Z18" s="220"/>
      <c r="AA18" s="205"/>
      <c r="AB18" s="274"/>
      <c r="AC18" s="220"/>
      <c r="AD18" s="220"/>
      <c r="AE18" s="220"/>
      <c r="AF18" s="220"/>
      <c r="AG18" s="220"/>
      <c r="AH18" s="220"/>
      <c r="AI18" s="220">
        <v>91</v>
      </c>
      <c r="AJ18" s="393"/>
      <c r="AK18" s="272">
        <f t="shared" si="3"/>
        <v>91</v>
      </c>
      <c r="AL18" s="221"/>
      <c r="AM18" s="221"/>
      <c r="AN18" s="221"/>
      <c r="AO18" s="221"/>
      <c r="AP18" s="221"/>
      <c r="AQ18" s="221"/>
      <c r="AR18" s="221"/>
      <c r="AS18" s="216">
        <f t="shared" si="2"/>
        <v>1047.82</v>
      </c>
      <c r="AT18" s="222">
        <f t="shared" si="7"/>
        <v>0</v>
      </c>
      <c r="AU18" s="284">
        <f t="shared" si="5"/>
        <v>31277.719999999998</v>
      </c>
    </row>
    <row r="19" spans="2:47" ht="13.5" customHeight="1">
      <c r="B19" s="598">
        <v>44113</v>
      </c>
      <c r="C19" s="592">
        <v>5.1900000000000002E-2</v>
      </c>
      <c r="D19" s="733">
        <f t="shared" si="6"/>
        <v>30229.899999999998</v>
      </c>
      <c r="E19" s="737"/>
      <c r="F19" s="596"/>
      <c r="G19" s="645"/>
      <c r="H19" s="574"/>
      <c r="I19" s="205"/>
      <c r="J19" s="224"/>
      <c r="K19" s="205">
        <v>525.25</v>
      </c>
      <c r="L19" s="205"/>
      <c r="M19" s="300">
        <v>465.1</v>
      </c>
      <c r="N19" s="299"/>
      <c r="O19" s="207"/>
      <c r="P19" s="207"/>
      <c r="Q19" s="207">
        <v>1161</v>
      </c>
      <c r="R19" s="207"/>
      <c r="S19" s="579">
        <v>1214</v>
      </c>
      <c r="T19" s="587">
        <f t="shared" si="0"/>
        <v>990.35</v>
      </c>
      <c r="U19" s="219">
        <f t="shared" si="1"/>
        <v>2375</v>
      </c>
      <c r="V19" s="588">
        <f t="shared" si="4"/>
        <v>0.41698947368421052</v>
      </c>
      <c r="W19" s="212"/>
      <c r="X19" s="220"/>
      <c r="Y19" s="198"/>
      <c r="Z19" s="220"/>
      <c r="AA19" s="205">
        <v>76.97</v>
      </c>
      <c r="AB19" s="274"/>
      <c r="AC19" s="220"/>
      <c r="AD19" s="220"/>
      <c r="AE19" s="220"/>
      <c r="AF19" s="220"/>
      <c r="AG19" s="220"/>
      <c r="AH19" s="220"/>
      <c r="AI19" s="220"/>
      <c r="AJ19" s="393"/>
      <c r="AK19" s="272">
        <f t="shared" si="3"/>
        <v>76.97</v>
      </c>
      <c r="AL19" s="221"/>
      <c r="AM19" s="215"/>
      <c r="AN19" s="221"/>
      <c r="AO19" s="226"/>
      <c r="AP19" s="226"/>
      <c r="AQ19" s="226"/>
      <c r="AR19" s="227"/>
      <c r="AS19" s="216">
        <f t="shared" si="2"/>
        <v>1067.32</v>
      </c>
      <c r="AT19" s="222">
        <f t="shared" si="7"/>
        <v>0</v>
      </c>
      <c r="AU19" s="284">
        <f t="shared" si="5"/>
        <v>30229.899999999998</v>
      </c>
    </row>
    <row r="20" spans="2:47" ht="14.25">
      <c r="B20" s="598">
        <v>44114</v>
      </c>
      <c r="C20" s="592">
        <v>5.1900000000000002E-2</v>
      </c>
      <c r="D20" s="733">
        <f t="shared" si="6"/>
        <v>44162.58</v>
      </c>
      <c r="E20" s="737">
        <v>15000</v>
      </c>
      <c r="F20" s="596">
        <v>15000</v>
      </c>
      <c r="G20" s="626" t="s">
        <v>318</v>
      </c>
      <c r="H20" s="846">
        <v>482.48</v>
      </c>
      <c r="I20" s="220"/>
      <c r="J20" s="224"/>
      <c r="K20" s="205"/>
      <c r="L20" s="205"/>
      <c r="M20" s="537">
        <v>512.57000000000005</v>
      </c>
      <c r="N20" s="299">
        <v>1097</v>
      </c>
      <c r="O20" s="207"/>
      <c r="P20" s="207"/>
      <c r="Q20" s="207"/>
      <c r="R20" s="207"/>
      <c r="S20" s="580">
        <v>1201</v>
      </c>
      <c r="T20" s="587">
        <f t="shared" si="0"/>
        <v>995.05000000000007</v>
      </c>
      <c r="U20" s="219">
        <f t="shared" si="1"/>
        <v>2298</v>
      </c>
      <c r="V20" s="588">
        <f t="shared" si="4"/>
        <v>0.43300696257615323</v>
      </c>
      <c r="W20" s="212"/>
      <c r="X20" s="220"/>
      <c r="Y20" s="198"/>
      <c r="Z20" s="220"/>
      <c r="AA20" s="205"/>
      <c r="AB20" s="274"/>
      <c r="AC20" s="220"/>
      <c r="AD20" s="220"/>
      <c r="AE20" s="220"/>
      <c r="AF20" s="220"/>
      <c r="AG20" s="220"/>
      <c r="AH20" s="220"/>
      <c r="AI20" s="220"/>
      <c r="AJ20" s="393"/>
      <c r="AK20" s="272">
        <f t="shared" si="3"/>
        <v>0</v>
      </c>
      <c r="AL20" s="221"/>
      <c r="AM20" s="215"/>
      <c r="AN20" s="221"/>
      <c r="AO20" s="226"/>
      <c r="AP20" s="226"/>
      <c r="AQ20" s="226"/>
      <c r="AR20" s="227"/>
      <c r="AS20" s="216">
        <f t="shared" si="2"/>
        <v>995.05000000000007</v>
      </c>
      <c r="AT20" s="222">
        <f t="shared" si="7"/>
        <v>0</v>
      </c>
      <c r="AU20" s="284">
        <f t="shared" si="5"/>
        <v>44162.58</v>
      </c>
    </row>
    <row r="21" spans="2:47" ht="14.25">
      <c r="B21" s="598">
        <v>44115</v>
      </c>
      <c r="C21" s="592">
        <v>1.2999999999999999E-2</v>
      </c>
      <c r="D21" s="733">
        <f t="shared" si="6"/>
        <v>43167.53</v>
      </c>
      <c r="E21" s="737"/>
      <c r="F21" s="596"/>
      <c r="G21" s="594"/>
      <c r="H21" s="846"/>
      <c r="I21" s="220"/>
      <c r="J21" s="224"/>
      <c r="K21" s="205">
        <v>436.33</v>
      </c>
      <c r="L21" s="205">
        <v>544.65</v>
      </c>
      <c r="M21" s="506"/>
      <c r="N21" s="299"/>
      <c r="O21" s="299"/>
      <c r="P21" s="207"/>
      <c r="Q21" s="207">
        <v>1150</v>
      </c>
      <c r="R21" s="207">
        <v>1095</v>
      </c>
      <c r="S21" s="579"/>
      <c r="T21" s="587">
        <f t="shared" si="0"/>
        <v>980.98</v>
      </c>
      <c r="U21" s="219">
        <f t="shared" si="1"/>
        <v>2245</v>
      </c>
      <c r="V21" s="588">
        <f t="shared" si="4"/>
        <v>0.43696213808463252</v>
      </c>
      <c r="W21" s="212"/>
      <c r="X21" s="220"/>
      <c r="Y21" s="198">
        <v>46.49</v>
      </c>
      <c r="Z21" s="220"/>
      <c r="AA21" s="205"/>
      <c r="AB21" s="274"/>
      <c r="AC21" s="220"/>
      <c r="AD21" s="220"/>
      <c r="AE21" s="220"/>
      <c r="AF21" s="220"/>
      <c r="AG21" s="220"/>
      <c r="AH21" s="220"/>
      <c r="AI21" s="220"/>
      <c r="AJ21" s="393">
        <v>20</v>
      </c>
      <c r="AK21" s="272">
        <f t="shared" si="3"/>
        <v>66.490000000000009</v>
      </c>
      <c r="AL21" s="214"/>
      <c r="AM21" s="215"/>
      <c r="AN21" s="221"/>
      <c r="AO21" s="226"/>
      <c r="AP21" s="226"/>
      <c r="AQ21" s="226"/>
      <c r="AR21" s="227"/>
      <c r="AS21" s="216">
        <f>SUM(AK21+T21)</f>
        <v>1047.47</v>
      </c>
      <c r="AT21" s="222">
        <f t="shared" si="7"/>
        <v>0</v>
      </c>
      <c r="AU21" s="284">
        <f t="shared" si="5"/>
        <v>43167.53</v>
      </c>
    </row>
    <row r="22" spans="2:47" ht="14.25">
      <c r="B22" s="598">
        <v>44116</v>
      </c>
      <c r="C22" s="592">
        <v>3.9E-2</v>
      </c>
      <c r="D22" s="733">
        <f t="shared" si="6"/>
        <v>42120.06</v>
      </c>
      <c r="E22" s="737"/>
      <c r="F22" s="596"/>
      <c r="G22" s="846"/>
      <c r="H22" s="574">
        <v>484.63</v>
      </c>
      <c r="I22" s="205"/>
      <c r="J22" s="224"/>
      <c r="K22" s="205"/>
      <c r="L22" s="205"/>
      <c r="M22" s="537">
        <v>450.62</v>
      </c>
      <c r="N22" s="299">
        <v>1060</v>
      </c>
      <c r="O22" s="299"/>
      <c r="P22" s="207"/>
      <c r="Q22" s="207"/>
      <c r="R22" s="207"/>
      <c r="S22" s="579">
        <v>1071</v>
      </c>
      <c r="T22" s="587">
        <f t="shared" si="0"/>
        <v>935.25</v>
      </c>
      <c r="U22" s="219">
        <f t="shared" si="1"/>
        <v>2131</v>
      </c>
      <c r="V22" s="588">
        <f t="shared" si="4"/>
        <v>0.43887846081651805</v>
      </c>
      <c r="W22" s="212"/>
      <c r="X22" s="220"/>
      <c r="Y22" s="198"/>
      <c r="Z22" s="220"/>
      <c r="AA22" s="205"/>
      <c r="AB22" s="274"/>
      <c r="AC22" s="220"/>
      <c r="AD22" s="220"/>
      <c r="AE22" s="220"/>
      <c r="AF22" s="220"/>
      <c r="AG22" s="220"/>
      <c r="AH22" s="220"/>
      <c r="AI22" s="220">
        <v>71</v>
      </c>
      <c r="AJ22" s="393"/>
      <c r="AK22" s="272">
        <f t="shared" si="3"/>
        <v>71</v>
      </c>
      <c r="AL22" s="214"/>
      <c r="AM22" s="215"/>
      <c r="AN22" s="221"/>
      <c r="AO22" s="226"/>
      <c r="AP22" s="226"/>
      <c r="AQ22" s="226"/>
      <c r="AR22" s="227"/>
      <c r="AS22" s="216">
        <f t="shared" si="2"/>
        <v>1006.25</v>
      </c>
      <c r="AT22" s="222">
        <f t="shared" si="7"/>
        <v>0</v>
      </c>
      <c r="AU22" s="284">
        <f t="shared" si="5"/>
        <v>42120.06</v>
      </c>
    </row>
    <row r="23" spans="2:47" ht="14.25">
      <c r="B23" s="598">
        <v>44117</v>
      </c>
      <c r="C23" s="592">
        <v>5.1900000000000002E-2</v>
      </c>
      <c r="D23" s="733">
        <f t="shared" si="6"/>
        <v>41113.81</v>
      </c>
      <c r="E23" s="737"/>
      <c r="F23" s="596"/>
      <c r="G23" s="846"/>
      <c r="H23" s="574"/>
      <c r="I23" s="220"/>
      <c r="J23" s="224"/>
      <c r="K23" s="205">
        <v>484.19</v>
      </c>
      <c r="L23" s="205">
        <v>511.77</v>
      </c>
      <c r="M23" s="537"/>
      <c r="N23" s="299"/>
      <c r="O23" s="207"/>
      <c r="P23" s="207"/>
      <c r="Q23" s="207">
        <v>1216</v>
      </c>
      <c r="R23" s="207">
        <v>1109</v>
      </c>
      <c r="S23" s="579"/>
      <c r="T23" s="587">
        <f t="shared" si="0"/>
        <v>995.96</v>
      </c>
      <c r="U23" s="219">
        <f t="shared" si="1"/>
        <v>2325</v>
      </c>
      <c r="V23" s="588">
        <f t="shared" si="4"/>
        <v>0.4283698924731183</v>
      </c>
      <c r="W23" s="212"/>
      <c r="X23" s="220"/>
      <c r="Y23" s="198"/>
      <c r="Z23" s="220">
        <v>71.09</v>
      </c>
      <c r="AA23" s="205"/>
      <c r="AB23" s="274"/>
      <c r="AC23" s="220"/>
      <c r="AD23" s="220"/>
      <c r="AE23" s="220"/>
      <c r="AF23" s="220"/>
      <c r="AG23" s="220"/>
      <c r="AH23" s="220"/>
      <c r="AI23" s="220"/>
      <c r="AJ23" s="393"/>
      <c r="AK23" s="272">
        <f t="shared" si="3"/>
        <v>71.09</v>
      </c>
      <c r="AL23" s="214"/>
      <c r="AM23" s="214"/>
      <c r="AN23" s="214"/>
      <c r="AO23" s="214"/>
      <c r="AP23" s="214"/>
      <c r="AQ23" s="214"/>
      <c r="AR23" s="214"/>
      <c r="AS23" s="216">
        <f t="shared" si="2"/>
        <v>1067.05</v>
      </c>
      <c r="AT23" s="222">
        <f t="shared" si="7"/>
        <v>0</v>
      </c>
      <c r="AU23" s="284">
        <f t="shared" si="5"/>
        <v>41113.81</v>
      </c>
    </row>
    <row r="24" spans="2:47" ht="14.25">
      <c r="B24" s="598">
        <v>44118</v>
      </c>
      <c r="C24" s="592">
        <v>1.2999999999999999E-2</v>
      </c>
      <c r="D24" s="733">
        <f t="shared" si="6"/>
        <v>40046.759999999995</v>
      </c>
      <c r="E24" s="738"/>
      <c r="F24" s="596"/>
      <c r="G24" s="594"/>
      <c r="H24" s="641">
        <v>424.51</v>
      </c>
      <c r="I24" s="205">
        <v>297.23</v>
      </c>
      <c r="J24" s="224"/>
      <c r="K24" s="205"/>
      <c r="L24" s="205"/>
      <c r="M24" s="537">
        <v>252.43</v>
      </c>
      <c r="N24" s="299">
        <v>1101</v>
      </c>
      <c r="O24" s="299">
        <v>532</v>
      </c>
      <c r="P24" s="207"/>
      <c r="Q24" s="207"/>
      <c r="R24" s="207"/>
      <c r="S24" s="579">
        <v>631</v>
      </c>
      <c r="T24" s="587">
        <f t="shared" si="0"/>
        <v>974.17000000000007</v>
      </c>
      <c r="U24" s="219">
        <f t="shared" si="1"/>
        <v>2264</v>
      </c>
      <c r="V24" s="588">
        <f t="shared" si="4"/>
        <v>0.43028710247349827</v>
      </c>
      <c r="W24" s="212"/>
      <c r="X24" s="220"/>
      <c r="Y24" s="198"/>
      <c r="Z24" s="220"/>
      <c r="AA24" s="205">
        <v>58.87</v>
      </c>
      <c r="AB24" s="274"/>
      <c r="AC24" s="220"/>
      <c r="AD24" s="220"/>
      <c r="AE24" s="220"/>
      <c r="AF24" s="220"/>
      <c r="AG24" s="220"/>
      <c r="AH24" s="220"/>
      <c r="AI24" s="220"/>
      <c r="AJ24" s="393"/>
      <c r="AK24" s="272">
        <f t="shared" si="3"/>
        <v>58.87</v>
      </c>
      <c r="AL24" s="214"/>
      <c r="AM24" s="214"/>
      <c r="AN24" s="214"/>
      <c r="AO24" s="214"/>
      <c r="AP24" s="214"/>
      <c r="AQ24" s="214"/>
      <c r="AR24" s="214"/>
      <c r="AS24" s="216">
        <f t="shared" si="2"/>
        <v>1033.04</v>
      </c>
      <c r="AT24" s="222">
        <f t="shared" si="7"/>
        <v>0</v>
      </c>
      <c r="AU24" s="284">
        <f t="shared" si="5"/>
        <v>40046.759999999995</v>
      </c>
    </row>
    <row r="25" spans="2:47" ht="14.25">
      <c r="B25" s="598">
        <v>44119</v>
      </c>
      <c r="C25" s="592">
        <v>5.1900000000000002E-2</v>
      </c>
      <c r="D25" s="733">
        <f t="shared" si="6"/>
        <v>39013.719999999994</v>
      </c>
      <c r="E25" s="737"/>
      <c r="F25" s="596"/>
      <c r="G25" s="594"/>
      <c r="H25" s="574">
        <v>158.74</v>
      </c>
      <c r="I25" s="220"/>
      <c r="J25" s="224"/>
      <c r="K25" s="205">
        <v>386.36</v>
      </c>
      <c r="L25" s="205">
        <v>497.78</v>
      </c>
      <c r="M25" s="537"/>
      <c r="N25" s="299">
        <v>429</v>
      </c>
      <c r="O25" s="207"/>
      <c r="P25" s="207"/>
      <c r="Q25" s="207">
        <v>715</v>
      </c>
      <c r="R25" s="207">
        <v>1216</v>
      </c>
      <c r="S25" s="579"/>
      <c r="T25" s="587">
        <f t="shared" si="0"/>
        <v>1042.8800000000001</v>
      </c>
      <c r="U25" s="219">
        <f t="shared" si="1"/>
        <v>2360</v>
      </c>
      <c r="V25" s="588">
        <f t="shared" si="4"/>
        <v>0.44189830508474581</v>
      </c>
      <c r="W25" s="212"/>
      <c r="X25" s="220"/>
      <c r="Y25" s="198"/>
      <c r="Z25" s="220"/>
      <c r="AA25" s="205"/>
      <c r="AB25" s="274"/>
      <c r="AC25" s="220"/>
      <c r="AD25" s="220"/>
      <c r="AE25" s="220"/>
      <c r="AF25" s="220"/>
      <c r="AG25" s="220"/>
      <c r="AH25" s="220"/>
      <c r="AI25" s="220"/>
      <c r="AJ25" s="393"/>
      <c r="AK25" s="272">
        <f t="shared" si="3"/>
        <v>0</v>
      </c>
      <c r="AL25" s="214"/>
      <c r="AM25" s="214"/>
      <c r="AN25" s="214"/>
      <c r="AO25" s="214"/>
      <c r="AP25" s="214"/>
      <c r="AQ25" s="214"/>
      <c r="AR25" s="214"/>
      <c r="AS25" s="216">
        <f t="shared" si="2"/>
        <v>1042.8800000000001</v>
      </c>
      <c r="AT25" s="222">
        <f t="shared" si="7"/>
        <v>0</v>
      </c>
      <c r="AU25" s="284">
        <f t="shared" si="5"/>
        <v>39013.719999999994</v>
      </c>
    </row>
    <row r="26" spans="2:47" ht="14.25">
      <c r="B26" s="598">
        <v>44120</v>
      </c>
      <c r="C26" s="592">
        <v>0.1169</v>
      </c>
      <c r="D26" s="733">
        <f t="shared" si="6"/>
        <v>37970.839999999997</v>
      </c>
      <c r="E26" s="737"/>
      <c r="F26" s="596"/>
      <c r="G26" s="846"/>
      <c r="H26" s="574">
        <v>565.04</v>
      </c>
      <c r="I26" s="220">
        <v>334.75</v>
      </c>
      <c r="J26" s="224"/>
      <c r="K26" s="205"/>
      <c r="L26" s="205"/>
      <c r="M26" s="537">
        <v>277.18</v>
      </c>
      <c r="N26" s="299">
        <v>1399</v>
      </c>
      <c r="O26" s="207">
        <v>835</v>
      </c>
      <c r="P26" s="207"/>
      <c r="Q26" s="207"/>
      <c r="R26" s="207"/>
      <c r="S26" s="579">
        <v>506</v>
      </c>
      <c r="T26" s="587">
        <f t="shared" si="0"/>
        <v>1176.97</v>
      </c>
      <c r="U26" s="219">
        <f t="shared" si="1"/>
        <v>2740</v>
      </c>
      <c r="V26" s="588">
        <f t="shared" si="4"/>
        <v>0.42955109489051096</v>
      </c>
      <c r="W26" s="212"/>
      <c r="X26" s="220">
        <v>42.07</v>
      </c>
      <c r="Y26" s="198">
        <v>35</v>
      </c>
      <c r="Z26" s="220"/>
      <c r="AA26" s="220">
        <v>25.77</v>
      </c>
      <c r="AB26" s="274"/>
      <c r="AC26" s="220"/>
      <c r="AD26" s="220"/>
      <c r="AE26" s="220"/>
      <c r="AF26" s="220"/>
      <c r="AG26" s="220"/>
      <c r="AH26" s="220"/>
      <c r="AI26" s="220"/>
      <c r="AJ26" s="393"/>
      <c r="AK26" s="272">
        <f t="shared" si="3"/>
        <v>102.83999999999999</v>
      </c>
      <c r="AL26" s="214"/>
      <c r="AM26" s="214"/>
      <c r="AN26" s="214"/>
      <c r="AO26" s="214"/>
      <c r="AP26" s="214"/>
      <c r="AQ26" s="214"/>
      <c r="AR26" s="214"/>
      <c r="AS26" s="216">
        <f t="shared" si="2"/>
        <v>1279.81</v>
      </c>
      <c r="AT26" s="222">
        <f t="shared" si="7"/>
        <v>0</v>
      </c>
      <c r="AU26" s="284">
        <f t="shared" si="5"/>
        <v>37970.839999999997</v>
      </c>
    </row>
    <row r="27" spans="2:47" ht="14.25">
      <c r="B27" s="598">
        <v>44121</v>
      </c>
      <c r="C27" s="592">
        <v>0.15790000000000001</v>
      </c>
      <c r="D27" s="733">
        <f t="shared" si="6"/>
        <v>36691.03</v>
      </c>
      <c r="E27" s="737"/>
      <c r="F27" s="596"/>
      <c r="G27" s="594"/>
      <c r="H27" s="574"/>
      <c r="I27" s="220">
        <v>475.44</v>
      </c>
      <c r="J27" s="224"/>
      <c r="K27" s="205"/>
      <c r="L27" s="205">
        <v>521.72</v>
      </c>
      <c r="M27" s="537"/>
      <c r="N27" s="299"/>
      <c r="O27" s="207"/>
      <c r="P27" s="207"/>
      <c r="Q27" s="207">
        <v>1344</v>
      </c>
      <c r="R27" s="207">
        <v>1280</v>
      </c>
      <c r="S27" s="579"/>
      <c r="T27" s="587">
        <f t="shared" si="0"/>
        <v>997.16000000000008</v>
      </c>
      <c r="U27" s="219">
        <f t="shared" si="1"/>
        <v>2624</v>
      </c>
      <c r="V27" s="588">
        <f t="shared" si="4"/>
        <v>0.38001524390243907</v>
      </c>
      <c r="W27" s="212"/>
      <c r="X27" s="220"/>
      <c r="Y27" s="198"/>
      <c r="Z27" s="220"/>
      <c r="AA27" s="205"/>
      <c r="AB27" s="274"/>
      <c r="AC27" s="220"/>
      <c r="AD27" s="220"/>
      <c r="AE27" s="220"/>
      <c r="AF27" s="220"/>
      <c r="AG27" s="220"/>
      <c r="AH27" s="220"/>
      <c r="AI27" s="220">
        <v>163</v>
      </c>
      <c r="AJ27" s="393"/>
      <c r="AK27" s="272">
        <f t="shared" si="3"/>
        <v>163</v>
      </c>
      <c r="AL27" s="214"/>
      <c r="AM27" s="214"/>
      <c r="AN27" s="214"/>
      <c r="AO27" s="214"/>
      <c r="AP27" s="214"/>
      <c r="AQ27" s="214"/>
      <c r="AR27" s="214"/>
      <c r="AS27" s="216">
        <f t="shared" si="2"/>
        <v>1160.1600000000001</v>
      </c>
      <c r="AT27" s="222">
        <f t="shared" si="7"/>
        <v>0</v>
      </c>
      <c r="AU27" s="284">
        <f t="shared" si="5"/>
        <v>36691.03</v>
      </c>
    </row>
    <row r="28" spans="2:47" ht="14.25">
      <c r="B28" s="598">
        <v>44122</v>
      </c>
      <c r="C28" s="592">
        <v>0.15790000000000001</v>
      </c>
      <c r="D28" s="733">
        <f t="shared" si="6"/>
        <v>35530.869999999995</v>
      </c>
      <c r="E28" s="737"/>
      <c r="F28" s="596"/>
      <c r="G28" s="594"/>
      <c r="H28" s="574"/>
      <c r="I28" s="220">
        <v>593.85</v>
      </c>
      <c r="J28" s="206"/>
      <c r="K28" s="205"/>
      <c r="L28" s="205"/>
      <c r="M28" s="537">
        <v>614.17999999999995</v>
      </c>
      <c r="N28" s="299"/>
      <c r="O28" s="207">
        <v>1248</v>
      </c>
      <c r="P28" s="207"/>
      <c r="Q28" s="207"/>
      <c r="R28" s="207"/>
      <c r="S28" s="579">
        <v>1641</v>
      </c>
      <c r="T28" s="587">
        <f t="shared" si="0"/>
        <v>1208.03</v>
      </c>
      <c r="U28" s="219">
        <f t="shared" si="1"/>
        <v>2889</v>
      </c>
      <c r="V28" s="588">
        <f t="shared" si="4"/>
        <v>0.41814814814814816</v>
      </c>
      <c r="W28" s="212"/>
      <c r="X28" s="220"/>
      <c r="Y28" s="198"/>
      <c r="Z28" s="220"/>
      <c r="AA28" s="205">
        <v>76.27</v>
      </c>
      <c r="AB28" s="274"/>
      <c r="AC28" s="220"/>
      <c r="AD28" s="220"/>
      <c r="AE28" s="220"/>
      <c r="AF28" s="220"/>
      <c r="AG28" s="220"/>
      <c r="AH28" s="220"/>
      <c r="AI28" s="220">
        <v>134</v>
      </c>
      <c r="AJ28" s="393"/>
      <c r="AK28" s="272">
        <f>SUM(W28:AJ28)</f>
        <v>210.26999999999998</v>
      </c>
      <c r="AL28" s="214"/>
      <c r="AM28" s="214"/>
      <c r="AN28" s="214"/>
      <c r="AO28" s="214"/>
      <c r="AP28" s="214"/>
      <c r="AQ28" s="214"/>
      <c r="AR28" s="214"/>
      <c r="AS28" s="216">
        <f t="shared" si="2"/>
        <v>1418.3</v>
      </c>
      <c r="AT28" s="222">
        <f t="shared" si="7"/>
        <v>0</v>
      </c>
      <c r="AU28" s="284">
        <f>D28</f>
        <v>35530.869999999995</v>
      </c>
    </row>
    <row r="29" spans="2:47" ht="14.25">
      <c r="B29" s="598">
        <v>44123</v>
      </c>
      <c r="C29" s="592">
        <v>0.12989999999999999</v>
      </c>
      <c r="D29" s="733">
        <f t="shared" si="6"/>
        <v>34112.569999999992</v>
      </c>
      <c r="E29" s="737"/>
      <c r="F29" s="596"/>
      <c r="G29" s="594"/>
      <c r="H29" s="574"/>
      <c r="I29" s="220"/>
      <c r="J29" s="206"/>
      <c r="K29" s="205"/>
      <c r="L29" s="205"/>
      <c r="M29" s="537"/>
      <c r="N29" s="299"/>
      <c r="O29" s="207"/>
      <c r="P29" s="207"/>
      <c r="Q29" s="207"/>
      <c r="R29" s="207"/>
      <c r="S29" s="579"/>
      <c r="T29" s="587">
        <f t="shared" si="0"/>
        <v>0</v>
      </c>
      <c r="U29" s="219">
        <f t="shared" si="1"/>
        <v>0</v>
      </c>
      <c r="V29" s="588" t="e">
        <f t="shared" si="4"/>
        <v>#DIV/0!</v>
      </c>
      <c r="W29" s="212"/>
      <c r="X29" s="220"/>
      <c r="Y29" s="198"/>
      <c r="Z29" s="220"/>
      <c r="AA29" s="205"/>
      <c r="AB29" s="274"/>
      <c r="AC29" s="220"/>
      <c r="AD29" s="220"/>
      <c r="AE29" s="220"/>
      <c r="AF29" s="220"/>
      <c r="AG29" s="220"/>
      <c r="AH29" s="220"/>
      <c r="AI29" s="220"/>
      <c r="AJ29" s="393"/>
      <c r="AK29" s="272">
        <f t="shared" si="3"/>
        <v>0</v>
      </c>
      <c r="AL29" s="214"/>
      <c r="AM29" s="214"/>
      <c r="AN29" s="214"/>
      <c r="AO29" s="214"/>
      <c r="AP29" s="214"/>
      <c r="AQ29" s="214"/>
      <c r="AR29" s="214"/>
      <c r="AS29" s="216">
        <f t="shared" si="2"/>
        <v>0</v>
      </c>
      <c r="AT29" s="222">
        <f t="shared" si="7"/>
        <v>0</v>
      </c>
      <c r="AU29" s="284">
        <f t="shared" si="5"/>
        <v>34112.569999999992</v>
      </c>
    </row>
    <row r="30" spans="2:47" ht="14.25">
      <c r="B30" s="598">
        <v>44124</v>
      </c>
      <c r="C30" s="592"/>
      <c r="D30" s="733">
        <f t="shared" si="6"/>
        <v>34112.569999999992</v>
      </c>
      <c r="E30" s="737"/>
      <c r="F30" s="596"/>
      <c r="G30" s="594"/>
      <c r="H30" s="574"/>
      <c r="I30" s="220"/>
      <c r="J30" s="206"/>
      <c r="K30" s="205"/>
      <c r="L30" s="205"/>
      <c r="M30" s="537"/>
      <c r="N30" s="299"/>
      <c r="O30" s="207"/>
      <c r="P30" s="207"/>
      <c r="Q30" s="207"/>
      <c r="R30" s="207"/>
      <c r="S30" s="579"/>
      <c r="T30" s="587">
        <f t="shared" si="0"/>
        <v>0</v>
      </c>
      <c r="U30" s="219">
        <f t="shared" si="1"/>
        <v>0</v>
      </c>
      <c r="V30" s="588" t="e">
        <f t="shared" si="4"/>
        <v>#DIV/0!</v>
      </c>
      <c r="W30" s="212"/>
      <c r="X30" s="220"/>
      <c r="Y30" s="198"/>
      <c r="Z30" s="220"/>
      <c r="AA30" s="205"/>
      <c r="AB30" s="274"/>
      <c r="AC30" s="220"/>
      <c r="AD30" s="220"/>
      <c r="AE30" s="220"/>
      <c r="AF30" s="220"/>
      <c r="AG30" s="220"/>
      <c r="AH30" s="220"/>
      <c r="AI30" s="220"/>
      <c r="AJ30" s="393"/>
      <c r="AK30" s="272">
        <f t="shared" si="3"/>
        <v>0</v>
      </c>
      <c r="AL30" s="214"/>
      <c r="AM30" s="214"/>
      <c r="AN30" s="214"/>
      <c r="AO30" s="214"/>
      <c r="AP30" s="214"/>
      <c r="AQ30" s="214"/>
      <c r="AR30" s="214"/>
      <c r="AS30" s="216">
        <f t="shared" si="2"/>
        <v>0</v>
      </c>
      <c r="AT30" s="222">
        <f t="shared" si="7"/>
        <v>0</v>
      </c>
      <c r="AU30" s="284">
        <f t="shared" si="5"/>
        <v>34112.569999999992</v>
      </c>
    </row>
    <row r="31" spans="2:47" ht="14.25">
      <c r="B31" s="598">
        <v>44125</v>
      </c>
      <c r="C31" s="592"/>
      <c r="D31" s="733">
        <f t="shared" si="6"/>
        <v>34112.569999999992</v>
      </c>
      <c r="E31" s="737"/>
      <c r="F31" s="596"/>
      <c r="G31" s="594"/>
      <c r="H31" s="574"/>
      <c r="I31" s="220"/>
      <c r="J31" s="206"/>
      <c r="K31" s="205"/>
      <c r="L31" s="205"/>
      <c r="M31" s="537"/>
      <c r="N31" s="299"/>
      <c r="O31" s="207"/>
      <c r="P31" s="207"/>
      <c r="Q31" s="207"/>
      <c r="R31" s="207"/>
      <c r="S31" s="579"/>
      <c r="T31" s="587">
        <f t="shared" si="0"/>
        <v>0</v>
      </c>
      <c r="U31" s="219">
        <f t="shared" si="1"/>
        <v>0</v>
      </c>
      <c r="V31" s="588" t="e">
        <f t="shared" si="4"/>
        <v>#DIV/0!</v>
      </c>
      <c r="W31" s="212"/>
      <c r="X31" s="220"/>
      <c r="Y31" s="198"/>
      <c r="Z31" s="220"/>
      <c r="AA31" s="205"/>
      <c r="AB31" s="274"/>
      <c r="AC31" s="220"/>
      <c r="AD31" s="220"/>
      <c r="AE31" s="220"/>
      <c r="AF31" s="220"/>
      <c r="AG31" s="220"/>
      <c r="AH31" s="220"/>
      <c r="AI31" s="220"/>
      <c r="AJ31" s="393"/>
      <c r="AK31" s="272">
        <f t="shared" si="3"/>
        <v>0</v>
      </c>
      <c r="AL31" s="214"/>
      <c r="AM31" s="214"/>
      <c r="AN31" s="214"/>
      <c r="AO31" s="214"/>
      <c r="AP31" s="214"/>
      <c r="AQ31" s="214"/>
      <c r="AR31" s="214"/>
      <c r="AS31" s="216">
        <f t="shared" si="2"/>
        <v>0</v>
      </c>
      <c r="AT31" s="222">
        <f t="shared" si="7"/>
        <v>0</v>
      </c>
      <c r="AU31" s="284">
        <f t="shared" si="5"/>
        <v>34112.569999999992</v>
      </c>
    </row>
    <row r="32" spans="2:47" ht="14.25">
      <c r="B32" s="598">
        <v>44126</v>
      </c>
      <c r="C32" s="592"/>
      <c r="D32" s="733">
        <f t="shared" si="6"/>
        <v>34112.569999999992</v>
      </c>
      <c r="E32" s="737"/>
      <c r="F32" s="596"/>
      <c r="G32" s="594"/>
      <c r="H32" s="574"/>
      <c r="I32" s="220"/>
      <c r="J32" s="206"/>
      <c r="K32" s="205"/>
      <c r="L32" s="205"/>
      <c r="M32" s="537"/>
      <c r="N32" s="299"/>
      <c r="O32" s="207"/>
      <c r="P32" s="207"/>
      <c r="Q32" s="207"/>
      <c r="R32" s="207"/>
      <c r="S32" s="579"/>
      <c r="T32" s="587">
        <f t="shared" si="0"/>
        <v>0</v>
      </c>
      <c r="U32" s="219">
        <f t="shared" si="1"/>
        <v>0</v>
      </c>
      <c r="V32" s="588" t="e">
        <f t="shared" si="4"/>
        <v>#DIV/0!</v>
      </c>
      <c r="W32" s="212"/>
      <c r="X32" s="220"/>
      <c r="Y32" s="198"/>
      <c r="Z32" s="220"/>
      <c r="AA32" s="205"/>
      <c r="AB32" s="274"/>
      <c r="AC32" s="220"/>
      <c r="AD32" s="220"/>
      <c r="AE32" s="220"/>
      <c r="AF32" s="220"/>
      <c r="AG32" s="220"/>
      <c r="AH32" s="220"/>
      <c r="AI32" s="220"/>
      <c r="AJ32" s="393"/>
      <c r="AK32" s="272">
        <f t="shared" si="3"/>
        <v>0</v>
      </c>
      <c r="AL32" s="214"/>
      <c r="AM32" s="214"/>
      <c r="AN32" s="214"/>
      <c r="AO32" s="214"/>
      <c r="AP32" s="214"/>
      <c r="AQ32" s="214"/>
      <c r="AR32" s="214"/>
      <c r="AS32" s="216">
        <f t="shared" si="2"/>
        <v>0</v>
      </c>
      <c r="AT32" s="222">
        <f t="shared" si="7"/>
        <v>0</v>
      </c>
      <c r="AU32" s="284">
        <f t="shared" si="5"/>
        <v>34112.569999999992</v>
      </c>
    </row>
    <row r="33" spans="2:47" ht="14.25">
      <c r="B33" s="598">
        <v>44127</v>
      </c>
      <c r="C33" s="592"/>
      <c r="D33" s="733">
        <f t="shared" si="6"/>
        <v>34112.569999999992</v>
      </c>
      <c r="E33" s="737"/>
      <c r="F33" s="596"/>
      <c r="G33" s="594"/>
      <c r="H33" s="574"/>
      <c r="I33" s="220"/>
      <c r="J33" s="206"/>
      <c r="K33" s="205"/>
      <c r="L33" s="205"/>
      <c r="M33" s="537"/>
      <c r="N33" s="299"/>
      <c r="O33" s="207"/>
      <c r="P33" s="207"/>
      <c r="Q33" s="207"/>
      <c r="R33" s="207"/>
      <c r="S33" s="579"/>
      <c r="T33" s="587">
        <f t="shared" si="0"/>
        <v>0</v>
      </c>
      <c r="U33" s="219">
        <f t="shared" si="1"/>
        <v>0</v>
      </c>
      <c r="V33" s="588" t="e">
        <f t="shared" si="4"/>
        <v>#DIV/0!</v>
      </c>
      <c r="W33" s="212"/>
      <c r="X33" s="220"/>
      <c r="Y33" s="198"/>
      <c r="Z33" s="220"/>
      <c r="AA33" s="205"/>
      <c r="AB33" s="274"/>
      <c r="AC33" s="220"/>
      <c r="AD33" s="220"/>
      <c r="AE33" s="220"/>
      <c r="AF33" s="220"/>
      <c r="AG33" s="220"/>
      <c r="AH33" s="220"/>
      <c r="AI33" s="220"/>
      <c r="AJ33" s="393"/>
      <c r="AK33" s="272">
        <f t="shared" si="3"/>
        <v>0</v>
      </c>
      <c r="AL33" s="214"/>
      <c r="AM33" s="214"/>
      <c r="AN33" s="214"/>
      <c r="AO33" s="214"/>
      <c r="AP33" s="214"/>
      <c r="AQ33" s="214"/>
      <c r="AR33" s="214"/>
      <c r="AS33" s="216">
        <f t="shared" si="2"/>
        <v>0</v>
      </c>
      <c r="AT33" s="222">
        <f t="shared" si="7"/>
        <v>0</v>
      </c>
      <c r="AU33" s="284">
        <f t="shared" si="5"/>
        <v>34112.569999999992</v>
      </c>
    </row>
    <row r="34" spans="2:47" ht="14.25">
      <c r="B34" s="598">
        <v>44128</v>
      </c>
      <c r="C34" s="592"/>
      <c r="D34" s="733">
        <f t="shared" si="6"/>
        <v>34112.569999999992</v>
      </c>
      <c r="E34" s="737"/>
      <c r="F34" s="596"/>
      <c r="G34" s="594"/>
      <c r="H34" s="574"/>
      <c r="I34" s="205"/>
      <c r="J34" s="205"/>
      <c r="K34" s="205"/>
      <c r="L34" s="205"/>
      <c r="M34" s="537"/>
      <c r="N34" s="299"/>
      <c r="O34" s="207"/>
      <c r="P34" s="207"/>
      <c r="Q34" s="207"/>
      <c r="R34" s="207"/>
      <c r="S34" s="579"/>
      <c r="T34" s="587">
        <f t="shared" si="0"/>
        <v>0</v>
      </c>
      <c r="U34" s="219">
        <f t="shared" si="1"/>
        <v>0</v>
      </c>
      <c r="V34" s="588" t="e">
        <f t="shared" si="4"/>
        <v>#DIV/0!</v>
      </c>
      <c r="W34" s="212"/>
      <c r="X34" s="220"/>
      <c r="Y34" s="198"/>
      <c r="Z34" s="220"/>
      <c r="AA34" s="205"/>
      <c r="AB34" s="274"/>
      <c r="AC34" s="220"/>
      <c r="AD34" s="220"/>
      <c r="AE34" s="220"/>
      <c r="AF34" s="220"/>
      <c r="AG34" s="220"/>
      <c r="AH34" s="220"/>
      <c r="AI34" s="220"/>
      <c r="AJ34" s="393"/>
      <c r="AK34" s="272">
        <f t="shared" si="3"/>
        <v>0</v>
      </c>
      <c r="AL34" s="214"/>
      <c r="AM34" s="214"/>
      <c r="AN34" s="214"/>
      <c r="AO34" s="214"/>
      <c r="AP34" s="214"/>
      <c r="AQ34" s="214"/>
      <c r="AR34" s="214"/>
      <c r="AS34" s="216">
        <f t="shared" si="2"/>
        <v>0</v>
      </c>
      <c r="AT34" s="222">
        <f t="shared" si="7"/>
        <v>0</v>
      </c>
      <c r="AU34" s="284">
        <f t="shared" si="5"/>
        <v>34112.569999999992</v>
      </c>
    </row>
    <row r="35" spans="2:47" ht="14.25">
      <c r="B35" s="598">
        <v>44129</v>
      </c>
      <c r="C35" s="592"/>
      <c r="D35" s="733">
        <f t="shared" si="6"/>
        <v>34112.569999999992</v>
      </c>
      <c r="E35" s="737"/>
      <c r="F35" s="596">
        <v>12000</v>
      </c>
      <c r="G35" s="626" t="s">
        <v>318</v>
      </c>
      <c r="H35" s="574"/>
      <c r="I35" s="220"/>
      <c r="J35" s="206"/>
      <c r="K35" s="205"/>
      <c r="L35" s="205"/>
      <c r="M35" s="537"/>
      <c r="N35" s="299"/>
      <c r="O35" s="207"/>
      <c r="P35" s="207"/>
      <c r="Q35" s="207"/>
      <c r="R35" s="207"/>
      <c r="S35" s="579"/>
      <c r="T35" s="587">
        <f t="shared" si="0"/>
        <v>0</v>
      </c>
      <c r="U35" s="219">
        <f>O35+Q35</f>
        <v>0</v>
      </c>
      <c r="V35" s="588" t="e">
        <f t="shared" si="4"/>
        <v>#DIV/0!</v>
      </c>
      <c r="W35" s="212"/>
      <c r="X35" s="220"/>
      <c r="Y35" s="198"/>
      <c r="Z35" s="220"/>
      <c r="AA35" s="205"/>
      <c r="AB35" s="274"/>
      <c r="AC35" s="220"/>
      <c r="AD35" s="220"/>
      <c r="AE35" s="220"/>
      <c r="AF35" s="220"/>
      <c r="AG35" s="220"/>
      <c r="AH35" s="220"/>
      <c r="AI35" s="220"/>
      <c r="AJ35" s="393"/>
      <c r="AK35" s="272">
        <f t="shared" si="3"/>
        <v>0</v>
      </c>
      <c r="AL35" s="214"/>
      <c r="AM35" s="214"/>
      <c r="AN35" s="214"/>
      <c r="AO35" s="214"/>
      <c r="AP35" s="214"/>
      <c r="AQ35" s="214"/>
      <c r="AR35" s="214"/>
      <c r="AS35" s="216">
        <f t="shared" si="2"/>
        <v>0</v>
      </c>
      <c r="AT35" s="222">
        <f t="shared" si="7"/>
        <v>0</v>
      </c>
      <c r="AU35" s="284">
        <f t="shared" si="5"/>
        <v>34112.569999999992</v>
      </c>
    </row>
    <row r="36" spans="2:47" ht="14.25">
      <c r="B36" s="598">
        <v>44130</v>
      </c>
      <c r="C36" s="592"/>
      <c r="D36" s="733">
        <f t="shared" si="6"/>
        <v>34112.569999999992</v>
      </c>
      <c r="E36" s="737"/>
      <c r="F36" s="596"/>
      <c r="G36" s="537"/>
      <c r="H36" s="574"/>
      <c r="I36" s="220"/>
      <c r="J36" s="206"/>
      <c r="K36" s="205"/>
      <c r="L36" s="205"/>
      <c r="M36" s="537"/>
      <c r="N36" s="299"/>
      <c r="O36" s="207"/>
      <c r="P36" s="207"/>
      <c r="Q36" s="207"/>
      <c r="R36" s="207"/>
      <c r="S36" s="579"/>
      <c r="T36" s="587">
        <f t="shared" si="0"/>
        <v>0</v>
      </c>
      <c r="U36" s="219">
        <f t="shared" si="1"/>
        <v>0</v>
      </c>
      <c r="V36" s="588" t="e">
        <f t="shared" si="4"/>
        <v>#DIV/0!</v>
      </c>
      <c r="W36" s="212"/>
      <c r="X36" s="220"/>
      <c r="Y36" s="198"/>
      <c r="Z36" s="220"/>
      <c r="AA36" s="205"/>
      <c r="AB36" s="274"/>
      <c r="AC36" s="220"/>
      <c r="AD36" s="220"/>
      <c r="AE36" s="220"/>
      <c r="AF36" s="220"/>
      <c r="AG36" s="220"/>
      <c r="AH36" s="220"/>
      <c r="AI36" s="220"/>
      <c r="AJ36" s="393"/>
      <c r="AK36" s="272">
        <f t="shared" si="3"/>
        <v>0</v>
      </c>
      <c r="AL36" s="214"/>
      <c r="AM36" s="214"/>
      <c r="AN36" s="214"/>
      <c r="AO36" s="214"/>
      <c r="AP36" s="214"/>
      <c r="AQ36" s="214"/>
      <c r="AR36" s="214"/>
      <c r="AS36" s="216">
        <f t="shared" si="2"/>
        <v>0</v>
      </c>
      <c r="AT36" s="222">
        <f t="shared" si="7"/>
        <v>0</v>
      </c>
      <c r="AU36" s="284">
        <f t="shared" si="5"/>
        <v>34112.569999999992</v>
      </c>
    </row>
    <row r="37" spans="2:47" ht="14.25">
      <c r="B37" s="598">
        <v>44131</v>
      </c>
      <c r="C37" s="592"/>
      <c r="D37" s="733">
        <f t="shared" si="6"/>
        <v>34112.569999999992</v>
      </c>
      <c r="E37" s="737"/>
      <c r="F37" s="596"/>
      <c r="G37" s="537"/>
      <c r="H37" s="574"/>
      <c r="I37" s="220"/>
      <c r="J37" s="206"/>
      <c r="K37" s="205"/>
      <c r="L37" s="205"/>
      <c r="M37" s="537"/>
      <c r="N37" s="299"/>
      <c r="O37" s="207"/>
      <c r="P37" s="207"/>
      <c r="Q37" s="207"/>
      <c r="R37" s="207"/>
      <c r="S37" s="579"/>
      <c r="T37" s="587">
        <f t="shared" si="0"/>
        <v>0</v>
      </c>
      <c r="U37" s="219">
        <f t="shared" si="1"/>
        <v>0</v>
      </c>
      <c r="V37" s="588" t="e">
        <f t="shared" si="4"/>
        <v>#DIV/0!</v>
      </c>
      <c r="W37" s="212"/>
      <c r="X37" s="220"/>
      <c r="Y37" s="198"/>
      <c r="Z37" s="220"/>
      <c r="AA37" s="205"/>
      <c r="AB37" s="274"/>
      <c r="AC37" s="220"/>
      <c r="AD37" s="220"/>
      <c r="AE37" s="220"/>
      <c r="AF37" s="220"/>
      <c r="AG37" s="220"/>
      <c r="AH37" s="450"/>
      <c r="AI37" s="220"/>
      <c r="AJ37" s="393"/>
      <c r="AK37" s="272">
        <f t="shared" si="3"/>
        <v>0</v>
      </c>
      <c r="AL37" s="214"/>
      <c r="AM37" s="214"/>
      <c r="AN37" s="214"/>
      <c r="AO37" s="214"/>
      <c r="AP37" s="214"/>
      <c r="AQ37" s="214"/>
      <c r="AR37" s="214"/>
      <c r="AS37" s="216">
        <f t="shared" si="2"/>
        <v>0</v>
      </c>
      <c r="AT37" s="222">
        <f t="shared" si="7"/>
        <v>0</v>
      </c>
      <c r="AU37" s="284">
        <f t="shared" si="5"/>
        <v>34112.569999999992</v>
      </c>
    </row>
    <row r="38" spans="2:47" ht="14.25">
      <c r="B38" s="598">
        <v>44132</v>
      </c>
      <c r="C38" s="592"/>
      <c r="D38" s="733">
        <f t="shared" si="6"/>
        <v>34112.569999999992</v>
      </c>
      <c r="E38" s="737"/>
      <c r="F38" s="596"/>
      <c r="G38" s="537"/>
      <c r="H38" s="574"/>
      <c r="I38" s="220"/>
      <c r="J38" s="206"/>
      <c r="K38" s="205"/>
      <c r="L38" s="205"/>
      <c r="M38" s="537"/>
      <c r="N38" s="299"/>
      <c r="O38" s="207"/>
      <c r="P38" s="207"/>
      <c r="Q38" s="207"/>
      <c r="R38" s="207"/>
      <c r="S38" s="579"/>
      <c r="T38" s="587">
        <f t="shared" si="0"/>
        <v>0</v>
      </c>
      <c r="U38" s="219">
        <f t="shared" si="1"/>
        <v>0</v>
      </c>
      <c r="V38" s="588" t="e">
        <f t="shared" si="4"/>
        <v>#DIV/0!</v>
      </c>
      <c r="W38" s="212"/>
      <c r="X38" s="220"/>
      <c r="Y38" s="198"/>
      <c r="Z38" s="220"/>
      <c r="AA38" s="205"/>
      <c r="AB38" s="274"/>
      <c r="AC38" s="220"/>
      <c r="AD38" s="220"/>
      <c r="AE38" s="220"/>
      <c r="AF38" s="220"/>
      <c r="AG38" s="220"/>
      <c r="AH38" s="450"/>
      <c r="AI38" s="220"/>
      <c r="AJ38" s="393"/>
      <c r="AK38" s="272">
        <f t="shared" si="3"/>
        <v>0</v>
      </c>
      <c r="AL38" s="214"/>
      <c r="AM38" s="214"/>
      <c r="AN38" s="214"/>
      <c r="AO38" s="214"/>
      <c r="AP38" s="214"/>
      <c r="AQ38" s="214"/>
      <c r="AR38" s="214"/>
      <c r="AS38" s="216">
        <f t="shared" si="2"/>
        <v>0</v>
      </c>
      <c r="AT38" s="222">
        <f t="shared" si="7"/>
        <v>0</v>
      </c>
      <c r="AU38" s="284">
        <f t="shared" si="5"/>
        <v>34112.569999999992</v>
      </c>
    </row>
    <row r="39" spans="2:47" ht="14.25">
      <c r="B39" s="598">
        <v>44133</v>
      </c>
      <c r="C39" s="592"/>
      <c r="D39" s="733">
        <f t="shared" si="6"/>
        <v>34112.569999999992</v>
      </c>
      <c r="E39" s="737"/>
      <c r="F39" s="596"/>
      <c r="G39" s="537"/>
      <c r="H39" s="574"/>
      <c r="I39" s="220"/>
      <c r="J39" s="228"/>
      <c r="K39" s="205"/>
      <c r="L39" s="205"/>
      <c r="M39" s="537"/>
      <c r="N39" s="299"/>
      <c r="O39" s="207"/>
      <c r="P39" s="229"/>
      <c r="Q39" s="207"/>
      <c r="R39" s="207"/>
      <c r="S39" s="579"/>
      <c r="T39" s="587">
        <f t="shared" si="0"/>
        <v>0</v>
      </c>
      <c r="U39" s="219">
        <f t="shared" si="1"/>
        <v>0</v>
      </c>
      <c r="V39" s="588" t="e">
        <f t="shared" si="4"/>
        <v>#DIV/0!</v>
      </c>
      <c r="W39" s="212"/>
      <c r="X39" s="220"/>
      <c r="Y39" s="198"/>
      <c r="Z39" s="220"/>
      <c r="AA39" s="205"/>
      <c r="AB39" s="274"/>
      <c r="AC39" s="220"/>
      <c r="AD39" s="220"/>
      <c r="AE39" s="220"/>
      <c r="AF39" s="220"/>
      <c r="AG39" s="220"/>
      <c r="AH39" s="450"/>
      <c r="AI39" s="220"/>
      <c r="AJ39" s="393"/>
      <c r="AK39" s="272">
        <f t="shared" si="3"/>
        <v>0</v>
      </c>
      <c r="AL39" s="214"/>
      <c r="AM39" s="214"/>
      <c r="AN39" s="214"/>
      <c r="AO39" s="214"/>
      <c r="AP39" s="214"/>
      <c r="AQ39" s="214"/>
      <c r="AR39" s="214"/>
      <c r="AS39" s="216">
        <f t="shared" si="2"/>
        <v>0</v>
      </c>
      <c r="AT39" s="222">
        <f t="shared" si="7"/>
        <v>0</v>
      </c>
      <c r="AU39" s="284">
        <f t="shared" si="5"/>
        <v>34112.569999999992</v>
      </c>
    </row>
    <row r="40" spans="2:47" ht="14.25">
      <c r="B40" s="598">
        <v>44134</v>
      </c>
      <c r="C40" s="592"/>
      <c r="D40" s="733">
        <f t="shared" si="6"/>
        <v>34112.569999999992</v>
      </c>
      <c r="E40" s="737"/>
      <c r="F40" s="596"/>
      <c r="G40" s="300"/>
      <c r="H40" s="574"/>
      <c r="I40" s="220"/>
      <c r="J40" s="206"/>
      <c r="K40" s="205"/>
      <c r="L40" s="205"/>
      <c r="M40" s="537"/>
      <c r="N40" s="299"/>
      <c r="O40" s="207"/>
      <c r="P40" s="207"/>
      <c r="Q40" s="207"/>
      <c r="R40" s="207"/>
      <c r="S40" s="579"/>
      <c r="T40" s="587">
        <f t="shared" si="0"/>
        <v>0</v>
      </c>
      <c r="U40" s="219">
        <f t="shared" si="1"/>
        <v>0</v>
      </c>
      <c r="V40" s="588" t="e">
        <f t="shared" si="4"/>
        <v>#DIV/0!</v>
      </c>
      <c r="W40" s="212"/>
      <c r="X40" s="220"/>
      <c r="Y40" s="198"/>
      <c r="Z40" s="220"/>
      <c r="AA40" s="205"/>
      <c r="AB40" s="274"/>
      <c r="AC40" s="220"/>
      <c r="AD40" s="220"/>
      <c r="AE40" s="220"/>
      <c r="AF40" s="220"/>
      <c r="AG40" s="220"/>
      <c r="AH40" s="450"/>
      <c r="AI40" s="220"/>
      <c r="AJ40" s="393"/>
      <c r="AK40" s="272">
        <f t="shared" si="3"/>
        <v>0</v>
      </c>
      <c r="AL40" s="214"/>
      <c r="AM40" s="214"/>
      <c r="AN40" s="214"/>
      <c r="AO40" s="214"/>
      <c r="AP40" s="214"/>
      <c r="AQ40" s="214"/>
      <c r="AR40" s="214"/>
      <c r="AS40" s="216">
        <f t="shared" si="2"/>
        <v>0</v>
      </c>
      <c r="AT40" s="222">
        <f t="shared" si="7"/>
        <v>0</v>
      </c>
      <c r="AU40" s="284">
        <f t="shared" si="5"/>
        <v>34112.569999999992</v>
      </c>
    </row>
    <row r="41" spans="2:47" ht="14.25">
      <c r="B41" s="598">
        <v>44135</v>
      </c>
      <c r="C41" s="592"/>
      <c r="D41" s="733">
        <f t="shared" si="6"/>
        <v>34112.569999999992</v>
      </c>
      <c r="E41" s="737"/>
      <c r="F41" s="596"/>
      <c r="G41" s="300"/>
      <c r="H41" s="574"/>
      <c r="I41" s="205"/>
      <c r="J41" s="205"/>
      <c r="K41" s="205"/>
      <c r="L41" s="205"/>
      <c r="M41" s="537"/>
      <c r="N41" s="299"/>
      <c r="O41" s="207"/>
      <c r="P41" s="207"/>
      <c r="Q41" s="207"/>
      <c r="R41" s="207"/>
      <c r="S41" s="579"/>
      <c r="T41" s="587">
        <f t="shared" si="0"/>
        <v>0</v>
      </c>
      <c r="U41" s="219">
        <f t="shared" si="1"/>
        <v>0</v>
      </c>
      <c r="V41" s="588" t="e">
        <f t="shared" si="4"/>
        <v>#DIV/0!</v>
      </c>
      <c r="W41" s="212"/>
      <c r="X41" s="220"/>
      <c r="Y41" s="198"/>
      <c r="Z41" s="220"/>
      <c r="AA41" s="205"/>
      <c r="AB41" s="274"/>
      <c r="AC41" s="220"/>
      <c r="AD41" s="220"/>
      <c r="AE41" s="220"/>
      <c r="AF41" s="220"/>
      <c r="AG41" s="220"/>
      <c r="AH41" s="450"/>
      <c r="AI41" s="220"/>
      <c r="AJ41" s="393"/>
      <c r="AK41" s="272">
        <f t="shared" si="3"/>
        <v>0</v>
      </c>
      <c r="AL41" s="214"/>
      <c r="AM41" s="214"/>
      <c r="AN41" s="214"/>
      <c r="AO41" s="214"/>
      <c r="AP41" s="214"/>
      <c r="AQ41" s="214"/>
      <c r="AR41" s="214"/>
      <c r="AS41" s="216">
        <f t="shared" si="2"/>
        <v>0</v>
      </c>
      <c r="AT41" s="222">
        <f t="shared" si="7"/>
        <v>0</v>
      </c>
      <c r="AU41" s="284">
        <f t="shared" si="5"/>
        <v>34112.569999999992</v>
      </c>
    </row>
    <row r="42" spans="2:47" ht="14.25">
      <c r="B42" s="598">
        <v>44136</v>
      </c>
      <c r="C42" s="593"/>
      <c r="D42" s="733">
        <f t="shared" si="6"/>
        <v>34112.569999999992</v>
      </c>
      <c r="E42" s="739"/>
      <c r="F42" s="596"/>
      <c r="G42" s="300"/>
      <c r="H42" s="574"/>
      <c r="I42" s="205"/>
      <c r="J42" s="205"/>
      <c r="K42" s="205"/>
      <c r="L42" s="205"/>
      <c r="M42" s="537"/>
      <c r="N42" s="299"/>
      <c r="O42" s="207"/>
      <c r="P42" s="207"/>
      <c r="Q42" s="207"/>
      <c r="R42" s="207"/>
      <c r="S42" s="579"/>
      <c r="T42" s="587">
        <f t="shared" si="0"/>
        <v>0</v>
      </c>
      <c r="U42" s="219">
        <f t="shared" si="1"/>
        <v>0</v>
      </c>
      <c r="V42" s="588"/>
      <c r="W42" s="212"/>
      <c r="X42" s="220"/>
      <c r="Y42" s="198"/>
      <c r="Z42" s="220"/>
      <c r="AA42" s="205"/>
      <c r="AB42" s="274"/>
      <c r="AC42" s="220"/>
      <c r="AD42" s="209"/>
      <c r="AE42" s="220"/>
      <c r="AF42" s="220"/>
      <c r="AG42" s="220"/>
      <c r="AH42" s="450"/>
      <c r="AI42" s="220"/>
      <c r="AJ42" s="393"/>
      <c r="AK42" s="272">
        <f t="shared" si="3"/>
        <v>0</v>
      </c>
      <c r="AL42" s="230"/>
      <c r="AM42" s="230"/>
      <c r="AN42" s="230"/>
      <c r="AO42" s="230"/>
      <c r="AP42" s="230"/>
      <c r="AQ42" s="230"/>
      <c r="AR42" s="230"/>
      <c r="AS42" s="216">
        <f t="shared" si="2"/>
        <v>0</v>
      </c>
      <c r="AT42" s="222">
        <f t="shared" si="7"/>
        <v>0</v>
      </c>
      <c r="AU42" s="284">
        <f t="shared" si="5"/>
        <v>34112.569999999992</v>
      </c>
    </row>
    <row r="43" spans="2:47" ht="14.25">
      <c r="B43" s="507" t="s">
        <v>25</v>
      </c>
      <c r="C43" s="479">
        <f>AVERAGE(C11:C42)</f>
        <v>5.8000000000000003E-2</v>
      </c>
      <c r="D43" s="732">
        <f t="shared" si="6"/>
        <v>34112.569999999992</v>
      </c>
      <c r="E43" s="739"/>
      <c r="F43" s="596"/>
      <c r="G43" s="300"/>
      <c r="H43" s="525"/>
      <c r="I43" s="205"/>
      <c r="J43" s="205"/>
      <c r="K43" s="205"/>
      <c r="L43" s="205"/>
      <c r="M43" s="537"/>
      <c r="N43" s="299"/>
      <c r="O43" s="207"/>
      <c r="P43" s="207"/>
      <c r="Q43" s="207"/>
      <c r="R43" s="207"/>
      <c r="S43" s="579"/>
      <c r="T43" s="587">
        <f t="shared" si="0"/>
        <v>0</v>
      </c>
      <c r="U43" s="219">
        <f t="shared" si="1"/>
        <v>0</v>
      </c>
      <c r="V43" s="588"/>
      <c r="W43" s="212"/>
      <c r="X43" s="220"/>
      <c r="Y43" s="205"/>
      <c r="Z43" s="209"/>
      <c r="AA43" s="209"/>
      <c r="AB43" s="274"/>
      <c r="AC43" s="209"/>
      <c r="AD43" s="232"/>
      <c r="AE43" s="232"/>
      <c r="AF43" s="220"/>
      <c r="AG43" s="220"/>
      <c r="AH43" s="450"/>
      <c r="AI43" s="209"/>
      <c r="AJ43" s="393"/>
      <c r="AK43" s="272">
        <f t="shared" si="3"/>
        <v>0</v>
      </c>
      <c r="AL43" s="231"/>
      <c r="AM43" s="231"/>
      <c r="AN43" s="231"/>
      <c r="AO43" s="231"/>
      <c r="AP43" s="231"/>
      <c r="AQ43" s="231"/>
      <c r="AR43" s="231"/>
      <c r="AS43" s="216">
        <f t="shared" si="2"/>
        <v>0</v>
      </c>
      <c r="AT43" s="222">
        <f t="shared" si="7"/>
        <v>0</v>
      </c>
      <c r="AU43" s="284">
        <f t="shared" si="5"/>
        <v>34112.569999999992</v>
      </c>
    </row>
    <row r="44" spans="2:47" ht="15" thickBot="1">
      <c r="B44" s="508"/>
      <c r="C44" s="509"/>
      <c r="D44" s="734"/>
      <c r="E44" s="740"/>
      <c r="F44" s="597"/>
      <c r="G44" s="301"/>
      <c r="H44" s="575"/>
      <c r="I44" s="576"/>
      <c r="J44" s="576"/>
      <c r="K44" s="576"/>
      <c r="L44" s="576"/>
      <c r="M44" s="577"/>
      <c r="N44" s="298"/>
      <c r="O44" s="196"/>
      <c r="P44" s="196"/>
      <c r="Q44" s="196"/>
      <c r="R44" s="196"/>
      <c r="S44" s="581"/>
      <c r="T44" s="587">
        <f t="shared" si="0"/>
        <v>0</v>
      </c>
      <c r="U44" s="589"/>
      <c r="V44" s="590"/>
      <c r="W44" s="583"/>
      <c r="X44" s="188"/>
      <c r="Y44" s="232"/>
      <c r="Z44" s="232"/>
      <c r="AA44" s="232"/>
      <c r="AB44" s="233"/>
      <c r="AC44" s="232"/>
      <c r="AD44" s="232"/>
      <c r="AE44" s="232"/>
      <c r="AF44" s="232"/>
      <c r="AG44" s="232"/>
      <c r="AH44" s="234"/>
      <c r="AI44" s="188"/>
      <c r="AJ44" s="188"/>
      <c r="AK44" s="558">
        <f t="shared" si="3"/>
        <v>0</v>
      </c>
      <c r="AL44" s="311"/>
      <c r="AM44" s="311"/>
      <c r="AN44" s="311"/>
      <c r="AO44" s="311"/>
      <c r="AP44" s="311"/>
      <c r="AQ44" s="311"/>
      <c r="AR44" s="311"/>
      <c r="AS44" s="312">
        <f>T44+AK44</f>
        <v>0</v>
      </c>
      <c r="AT44" s="313">
        <f t="shared" si="7"/>
        <v>0</v>
      </c>
      <c r="AU44" s="314"/>
    </row>
    <row r="45" spans="2:47" s="236" customFormat="1" ht="13.5" thickBot="1">
      <c r="B45" s="565"/>
      <c r="C45" s="565"/>
      <c r="D45" s="566"/>
      <c r="E45" s="310">
        <f>SUM(E11:E44)</f>
        <v>15000</v>
      </c>
      <c r="F45" s="315">
        <f>SUM(F11:F42)</f>
        <v>27000</v>
      </c>
      <c r="G45" s="316">
        <f t="shared" ref="G45:P45" si="8">SUM(G11:G44)</f>
        <v>0</v>
      </c>
      <c r="H45" s="315">
        <f t="shared" si="8"/>
        <v>3956.2699999999995</v>
      </c>
      <c r="I45" s="310">
        <f t="shared" si="8"/>
        <v>1701.27</v>
      </c>
      <c r="J45" s="315">
        <f t="shared" si="8"/>
        <v>0</v>
      </c>
      <c r="K45" s="310">
        <f t="shared" si="8"/>
        <v>3691.96</v>
      </c>
      <c r="L45" s="315">
        <f t="shared" si="8"/>
        <v>4056.37</v>
      </c>
      <c r="M45" s="310">
        <f t="shared" si="8"/>
        <v>4525.9799999999996</v>
      </c>
      <c r="N45" s="315">
        <f t="shared" si="8"/>
        <v>9425</v>
      </c>
      <c r="O45" s="567">
        <f t="shared" si="8"/>
        <v>2615</v>
      </c>
      <c r="P45" s="315">
        <f t="shared" si="8"/>
        <v>0</v>
      </c>
      <c r="Q45" s="310">
        <f>SUM(Q11:Q43)</f>
        <v>9969</v>
      </c>
      <c r="R45" s="315">
        <f>SUM(R11:R44)</f>
        <v>9427</v>
      </c>
      <c r="S45" s="310">
        <f>SUM(S11:S44)</f>
        <v>11006</v>
      </c>
      <c r="T45" s="564">
        <f t="shared" si="0"/>
        <v>17931.849999999999</v>
      </c>
      <c r="U45" s="310">
        <f>SUM(N45:S45)</f>
        <v>42442</v>
      </c>
      <c r="V45" s="235" t="e">
        <f>SUM(V11:V42)</f>
        <v>#DIV/0!</v>
      </c>
      <c r="W45" s="559">
        <f t="shared" ref="W45:AC45" si="9">SUM(W9:W44)</f>
        <v>0</v>
      </c>
      <c r="X45" s="235">
        <f t="shared" si="9"/>
        <v>89.65</v>
      </c>
      <c r="Y45" s="559">
        <f t="shared" si="9"/>
        <v>81.490000000000009</v>
      </c>
      <c r="Z45" s="235">
        <f t="shared" si="9"/>
        <v>71.09</v>
      </c>
      <c r="AA45" s="559">
        <f t="shared" si="9"/>
        <v>237.88</v>
      </c>
      <c r="AB45" s="235">
        <f t="shared" si="9"/>
        <v>0</v>
      </c>
      <c r="AC45" s="559">
        <f t="shared" si="9"/>
        <v>0</v>
      </c>
      <c r="AD45" s="235">
        <f>SUM(AD10:AD44)</f>
        <v>0</v>
      </c>
      <c r="AE45" s="559">
        <f>SUM(AE10:AE44)</f>
        <v>0</v>
      </c>
      <c r="AF45" s="235">
        <f>SUM(AF9:AF44)</f>
        <v>0</v>
      </c>
      <c r="AG45" s="559">
        <f>SUM(AG9:AG44)</f>
        <v>0</v>
      </c>
      <c r="AH45" s="235">
        <f>SUM(AH9:AH44)</f>
        <v>0</v>
      </c>
      <c r="AI45" s="559">
        <f>SUM(AI9:AI43)</f>
        <v>459</v>
      </c>
      <c r="AJ45" s="235">
        <f>SUM(AJ9:AJ39)</f>
        <v>20</v>
      </c>
      <c r="AK45" s="559">
        <f>SUM(AK9:AK44)</f>
        <v>959.11</v>
      </c>
      <c r="AL45" s="235"/>
      <c r="AM45" s="235"/>
      <c r="AN45" s="235"/>
      <c r="AO45" s="235"/>
      <c r="AP45" s="235"/>
      <c r="AQ45" s="235"/>
      <c r="AR45" s="560"/>
      <c r="AS45" s="561">
        <f>SUM(AS11:AS43)</f>
        <v>18890.96</v>
      </c>
      <c r="AT45" s="562">
        <f>SUM(AT11:AT44)</f>
        <v>0</v>
      </c>
      <c r="AU45" s="563"/>
    </row>
    <row r="46" spans="2:47" ht="14.25" thickBot="1">
      <c r="B46" s="430" t="s">
        <v>67</v>
      </c>
      <c r="T46" s="625">
        <f>AVERAGE(T11:T26)</f>
        <v>982.91624999999988</v>
      </c>
      <c r="X46" s="192"/>
      <c r="Y46" s="192"/>
      <c r="Z46" s="192"/>
      <c r="AA46" s="192"/>
      <c r="AB46" s="192"/>
      <c r="AS46" s="182"/>
      <c r="AT46" s="237"/>
      <c r="AU46" s="181"/>
    </row>
    <row r="47" spans="2:47" ht="14.25" thickBot="1">
      <c r="B47" s="326"/>
      <c r="G47" s="238"/>
      <c r="S47" s="182"/>
      <c r="T47" s="182"/>
      <c r="U47" s="319">
        <f>T45*2315</f>
        <v>41512232.75</v>
      </c>
      <c r="V47" s="320" t="s">
        <v>244</v>
      </c>
      <c r="AS47" s="534">
        <f>AS45*2143</f>
        <v>40483327.280000001</v>
      </c>
      <c r="AT47" s="533" t="s">
        <v>244</v>
      </c>
      <c r="AU47" s="181"/>
    </row>
    <row r="48" spans="2:47" ht="14.25" thickBot="1">
      <c r="B48" s="327" t="s">
        <v>247</v>
      </c>
      <c r="C48" s="239"/>
      <c r="U48" s="319">
        <f>U47/2289</f>
        <v>18135.532000873744</v>
      </c>
      <c r="V48" s="320" t="s">
        <v>245</v>
      </c>
      <c r="X48" s="192"/>
      <c r="Y48" s="192"/>
      <c r="Z48" s="192"/>
      <c r="AA48" s="192"/>
      <c r="AB48" s="192"/>
      <c r="AS48" s="319">
        <f>AS47/2289</f>
        <v>17686.032013979904</v>
      </c>
      <c r="AT48" s="535" t="s">
        <v>245</v>
      </c>
      <c r="AU48" s="237"/>
    </row>
    <row r="49" spans="3:47" ht="14.25" thickBot="1">
      <c r="H49" s="502"/>
      <c r="V49" s="240"/>
      <c r="X49" s="192"/>
      <c r="Y49" s="192"/>
      <c r="Z49" s="192"/>
      <c r="AA49" s="192"/>
      <c r="AB49" s="192"/>
      <c r="AC49" s="185"/>
      <c r="AS49" s="240"/>
      <c r="AU49" s="237"/>
    </row>
    <row r="50" spans="3:47" ht="13.5" customHeight="1" thickBot="1">
      <c r="C50" s="882" t="s">
        <v>241</v>
      </c>
      <c r="D50" s="883"/>
      <c r="E50" s="883"/>
      <c r="F50" s="883"/>
      <c r="G50" s="884"/>
      <c r="H50" s="538"/>
      <c r="I50" s="885" t="s">
        <v>213</v>
      </c>
      <c r="J50" s="886"/>
      <c r="K50" s="886"/>
      <c r="L50" s="886"/>
      <c r="M50" s="887"/>
      <c r="N50" s="538"/>
      <c r="O50" s="900" t="s">
        <v>309</v>
      </c>
      <c r="P50" s="901"/>
      <c r="Q50" s="901"/>
      <c r="R50" s="901"/>
      <c r="S50" s="902"/>
      <c r="U50" s="903" t="s">
        <v>226</v>
      </c>
      <c r="V50" s="904"/>
      <c r="W50" s="904"/>
      <c r="X50" s="904"/>
      <c r="Y50" s="904"/>
      <c r="Z50" s="905"/>
    </row>
    <row r="51" spans="3:47" ht="25.5" customHeight="1" thickBot="1">
      <c r="C51" s="513" t="s">
        <v>98</v>
      </c>
      <c r="D51" s="429" t="s">
        <v>196</v>
      </c>
      <c r="E51" s="514" t="s">
        <v>197</v>
      </c>
      <c r="F51" s="514" t="s">
        <v>212</v>
      </c>
      <c r="G51" s="515" t="s">
        <v>308</v>
      </c>
      <c r="H51" s="538"/>
      <c r="I51" s="513" t="s">
        <v>98</v>
      </c>
      <c r="J51" s="429" t="s">
        <v>196</v>
      </c>
      <c r="K51" s="557" t="s">
        <v>197</v>
      </c>
      <c r="L51" s="517" t="s">
        <v>212</v>
      </c>
      <c r="M51" s="515" t="s">
        <v>308</v>
      </c>
      <c r="N51" s="538"/>
      <c r="O51" s="555" t="s">
        <v>98</v>
      </c>
      <c r="P51" s="549" t="s">
        <v>196</v>
      </c>
      <c r="Q51" s="556" t="s">
        <v>197</v>
      </c>
      <c r="R51" s="550" t="s">
        <v>212</v>
      </c>
      <c r="S51" s="551" t="s">
        <v>215</v>
      </c>
      <c r="U51" s="348" t="s">
        <v>0</v>
      </c>
      <c r="V51" s="638" t="s">
        <v>196</v>
      </c>
      <c r="W51" s="640" t="s">
        <v>227</v>
      </c>
      <c r="X51" s="639" t="s">
        <v>212</v>
      </c>
      <c r="Y51" s="349" t="s">
        <v>228</v>
      </c>
      <c r="Z51" s="350" t="s">
        <v>229</v>
      </c>
    </row>
    <row r="52" spans="3:47" ht="11.25" customHeight="1">
      <c r="C52" s="510">
        <v>44112</v>
      </c>
      <c r="D52" s="510"/>
      <c r="E52" s="512">
        <v>91</v>
      </c>
      <c r="F52" s="511"/>
      <c r="G52" s="539" t="s">
        <v>323</v>
      </c>
      <c r="H52" s="538"/>
      <c r="I52" s="542"/>
      <c r="J52" s="518"/>
      <c r="K52" s="518"/>
      <c r="L52" s="518"/>
      <c r="M52" s="543"/>
      <c r="N52" s="538"/>
      <c r="O52" s="351"/>
      <c r="P52" s="518"/>
      <c r="Q52" s="536"/>
      <c r="R52" s="536"/>
      <c r="S52" s="522"/>
      <c r="U52" s="351">
        <v>44115</v>
      </c>
      <c r="V52" s="544" t="s">
        <v>321</v>
      </c>
      <c r="W52" s="636">
        <v>20</v>
      </c>
      <c r="X52" s="545" t="s">
        <v>322</v>
      </c>
      <c r="Y52" s="545" t="s">
        <v>323</v>
      </c>
      <c r="Z52" s="546" t="s">
        <v>324</v>
      </c>
    </row>
    <row r="53" spans="3:47" ht="11.25" customHeight="1">
      <c r="C53" s="510">
        <v>44117</v>
      </c>
      <c r="D53" s="510" t="s">
        <v>325</v>
      </c>
      <c r="E53" s="512">
        <v>71</v>
      </c>
      <c r="F53" s="511" t="s">
        <v>326</v>
      </c>
      <c r="G53" s="539" t="s">
        <v>323</v>
      </c>
      <c r="H53" s="538"/>
      <c r="I53" s="527"/>
      <c r="J53" s="266"/>
      <c r="K53" s="266"/>
      <c r="L53" s="266"/>
      <c r="M53" s="539"/>
      <c r="N53" s="538"/>
      <c r="O53" s="344"/>
      <c r="P53" s="266"/>
      <c r="Q53" s="428"/>
      <c r="R53" s="428"/>
      <c r="S53" s="523"/>
      <c r="U53" s="344"/>
      <c r="V53" s="393"/>
      <c r="W53" s="637"/>
      <c r="X53" s="304"/>
      <c r="Y53" s="304"/>
      <c r="Z53" s="547"/>
    </row>
    <row r="54" spans="3:47" ht="11.25" customHeight="1">
      <c r="C54" s="344">
        <v>44122</v>
      </c>
      <c r="D54" s="304" t="s">
        <v>327</v>
      </c>
      <c r="E54" s="389">
        <v>134</v>
      </c>
      <c r="F54" s="304" t="s">
        <v>328</v>
      </c>
      <c r="G54" s="539" t="s">
        <v>323</v>
      </c>
      <c r="H54" s="538"/>
      <c r="I54" s="527"/>
      <c r="J54" s="266"/>
      <c r="K54" s="266"/>
      <c r="L54" s="266"/>
      <c r="M54" s="540"/>
      <c r="N54" s="538"/>
      <c r="O54" s="344"/>
      <c r="P54" s="266"/>
      <c r="Q54" s="428"/>
      <c r="R54" s="428"/>
      <c r="S54" s="523"/>
      <c r="U54" s="344"/>
      <c r="V54" s="393"/>
      <c r="W54" s="637"/>
      <c r="X54" s="304"/>
      <c r="Y54" s="304"/>
      <c r="Z54" s="547"/>
    </row>
    <row r="55" spans="3:47" ht="11.25" customHeight="1">
      <c r="C55" s="344"/>
      <c r="D55" s="304"/>
      <c r="E55" s="389"/>
      <c r="F55" s="304"/>
      <c r="G55" s="539"/>
      <c r="H55" s="538"/>
      <c r="I55" s="519"/>
      <c r="J55" s="266"/>
      <c r="K55" s="266"/>
      <c r="L55" s="266"/>
      <c r="M55" s="540"/>
      <c r="N55" s="538"/>
      <c r="O55" s="525"/>
      <c r="P55" s="266"/>
      <c r="Q55" s="428"/>
      <c r="R55" s="428"/>
      <c r="S55" s="523"/>
      <c r="U55" s="344"/>
      <c r="V55" s="393"/>
      <c r="W55" s="637"/>
      <c r="X55" s="304"/>
      <c r="Y55" s="304"/>
      <c r="Z55" s="547"/>
    </row>
    <row r="56" spans="3:47" ht="11.25" customHeight="1">
      <c r="C56" s="344"/>
      <c r="D56" s="304"/>
      <c r="E56" s="389"/>
      <c r="F56" s="304"/>
      <c r="G56" s="539"/>
      <c r="H56" s="538"/>
      <c r="I56" s="519"/>
      <c r="J56" s="266"/>
      <c r="K56" s="266"/>
      <c r="L56" s="266"/>
      <c r="M56" s="540"/>
      <c r="N56" s="538"/>
      <c r="O56" s="525"/>
      <c r="P56" s="266"/>
      <c r="Q56" s="428"/>
      <c r="R56" s="428"/>
      <c r="S56" s="523"/>
      <c r="U56" s="344"/>
      <c r="V56" s="393"/>
      <c r="W56" s="637"/>
      <c r="X56" s="304"/>
      <c r="Y56" s="304"/>
      <c r="Z56" s="547"/>
    </row>
    <row r="57" spans="3:47" ht="11.25" customHeight="1">
      <c r="C57" s="344"/>
      <c r="D57" s="304"/>
      <c r="E57" s="389"/>
      <c r="F57" s="304"/>
      <c r="G57" s="539"/>
      <c r="H57" s="538"/>
      <c r="I57" s="519"/>
      <c r="J57" s="266"/>
      <c r="K57" s="266"/>
      <c r="L57" s="266"/>
      <c r="M57" s="540"/>
      <c r="N57" s="538"/>
      <c r="O57" s="525"/>
      <c r="P57" s="266"/>
      <c r="Q57" s="428"/>
      <c r="R57" s="428"/>
      <c r="S57" s="523"/>
      <c r="U57" s="344"/>
      <c r="V57" s="393"/>
      <c r="W57" s="637"/>
      <c r="X57" s="304"/>
      <c r="Y57" s="304"/>
      <c r="Z57" s="547"/>
    </row>
    <row r="58" spans="3:47" ht="11.25" customHeight="1">
      <c r="C58" s="344"/>
      <c r="D58" s="304"/>
      <c r="E58" s="389"/>
      <c r="F58" s="304"/>
      <c r="G58" s="540"/>
      <c r="H58" s="538"/>
      <c r="I58" s="519"/>
      <c r="J58" s="266"/>
      <c r="K58" s="266"/>
      <c r="L58" s="266"/>
      <c r="M58" s="540"/>
      <c r="N58" s="538"/>
      <c r="O58" s="525"/>
      <c r="P58" s="266"/>
      <c r="Q58" s="428"/>
      <c r="R58" s="428"/>
      <c r="S58" s="523"/>
      <c r="U58" s="344"/>
      <c r="V58" s="393"/>
      <c r="W58" s="637"/>
      <c r="X58" s="304"/>
      <c r="Y58" s="304"/>
      <c r="Z58" s="547"/>
    </row>
    <row r="59" spans="3:47" ht="11.25" customHeight="1">
      <c r="C59" s="344"/>
      <c r="D59" s="304"/>
      <c r="E59" s="389"/>
      <c r="F59" s="304"/>
      <c r="G59" s="540"/>
      <c r="H59" s="538"/>
      <c r="I59" s="519"/>
      <c r="J59" s="266"/>
      <c r="K59" s="266"/>
      <c r="L59" s="266"/>
      <c r="M59" s="540"/>
      <c r="N59" s="538"/>
      <c r="O59" s="525"/>
      <c r="P59" s="266"/>
      <c r="Q59" s="428"/>
      <c r="R59" s="428"/>
      <c r="S59" s="523"/>
      <c r="U59" s="344"/>
      <c r="V59" s="393"/>
      <c r="W59" s="637"/>
      <c r="X59" s="304"/>
      <c r="Y59" s="304"/>
      <c r="Z59" s="547"/>
    </row>
    <row r="60" spans="3:47" ht="11.25" customHeight="1">
      <c r="C60" s="344"/>
      <c r="D60" s="304"/>
      <c r="E60" s="389"/>
      <c r="F60" s="304"/>
      <c r="G60" s="540"/>
      <c r="H60" s="538"/>
      <c r="I60" s="519"/>
      <c r="J60" s="266"/>
      <c r="K60" s="266"/>
      <c r="L60" s="266"/>
      <c r="M60" s="540"/>
      <c r="N60" s="538"/>
      <c r="O60" s="525"/>
      <c r="P60" s="266"/>
      <c r="Q60" s="428"/>
      <c r="R60" s="428"/>
      <c r="S60" s="523"/>
      <c r="U60" s="344"/>
      <c r="V60" s="393"/>
      <c r="W60" s="637"/>
      <c r="X60" s="304"/>
      <c r="Y60" s="304"/>
      <c r="Z60" s="547"/>
    </row>
    <row r="61" spans="3:47" ht="11.25" customHeight="1">
      <c r="C61" s="344"/>
      <c r="D61" s="304"/>
      <c r="E61" s="389"/>
      <c r="F61" s="304"/>
      <c r="G61" s="540"/>
      <c r="H61" s="538"/>
      <c r="I61" s="519"/>
      <c r="J61" s="266"/>
      <c r="K61" s="266"/>
      <c r="L61" s="266"/>
      <c r="M61" s="540"/>
      <c r="N61" s="538"/>
      <c r="O61" s="525"/>
      <c r="P61" s="266"/>
      <c r="Q61" s="428"/>
      <c r="R61" s="428"/>
      <c r="S61" s="523"/>
      <c r="U61" s="344"/>
      <c r="V61" s="393"/>
      <c r="W61" s="637"/>
      <c r="X61" s="304"/>
      <c r="Y61" s="304"/>
      <c r="Z61" s="547"/>
    </row>
    <row r="62" spans="3:47" ht="11.25" customHeight="1">
      <c r="C62" s="344"/>
      <c r="D62" s="304"/>
      <c r="E62" s="389"/>
      <c r="F62" s="304"/>
      <c r="G62" s="540"/>
      <c r="H62" s="538"/>
      <c r="I62" s="519"/>
      <c r="J62" s="266"/>
      <c r="K62" s="266"/>
      <c r="L62" s="266"/>
      <c r="M62" s="540"/>
      <c r="N62" s="538"/>
      <c r="O62" s="525"/>
      <c r="P62" s="266"/>
      <c r="Q62" s="428"/>
      <c r="R62" s="428"/>
      <c r="S62" s="523"/>
      <c r="U62" s="344"/>
      <c r="V62" s="393"/>
      <c r="W62" s="637"/>
      <c r="X62" s="304"/>
      <c r="Y62" s="304"/>
      <c r="Z62" s="547"/>
    </row>
    <row r="63" spans="3:47" ht="11.25" customHeight="1">
      <c r="C63" s="344"/>
      <c r="D63" s="304"/>
      <c r="E63" s="389"/>
      <c r="F63" s="304"/>
      <c r="G63" s="540"/>
      <c r="H63" s="538"/>
      <c r="I63" s="519"/>
      <c r="J63" s="266"/>
      <c r="K63" s="266"/>
      <c r="L63" s="266"/>
      <c r="M63" s="540"/>
      <c r="N63" s="538"/>
      <c r="O63" s="525"/>
      <c r="P63" s="266"/>
      <c r="Q63" s="428"/>
      <c r="R63" s="428"/>
      <c r="S63" s="523"/>
      <c r="U63" s="344"/>
      <c r="V63" s="393"/>
      <c r="W63" s="637"/>
      <c r="X63" s="304"/>
      <c r="Y63" s="304"/>
      <c r="Z63" s="547"/>
    </row>
    <row r="64" spans="3:47" ht="11.25" customHeight="1">
      <c r="C64" s="344"/>
      <c r="D64" s="304"/>
      <c r="E64" s="389"/>
      <c r="F64" s="304"/>
      <c r="G64" s="540"/>
      <c r="H64" s="538"/>
      <c r="I64" s="519"/>
      <c r="J64" s="266"/>
      <c r="K64" s="266"/>
      <c r="L64" s="266"/>
      <c r="M64" s="540"/>
      <c r="N64" s="538"/>
      <c r="O64" s="525"/>
      <c r="P64" s="266"/>
      <c r="Q64" s="428"/>
      <c r="R64" s="428"/>
      <c r="S64" s="523"/>
      <c r="U64" s="344"/>
      <c r="V64" s="393"/>
      <c r="W64" s="637"/>
      <c r="X64" s="304"/>
      <c r="Y64" s="304"/>
      <c r="Z64" s="547"/>
    </row>
    <row r="65" spans="3:26" ht="11.25" customHeight="1">
      <c r="C65" s="344"/>
      <c r="D65" s="304"/>
      <c r="E65" s="389"/>
      <c r="F65" s="304"/>
      <c r="G65" s="540"/>
      <c r="H65" s="538"/>
      <c r="I65" s="519"/>
      <c r="J65" s="266"/>
      <c r="K65" s="266"/>
      <c r="L65" s="266"/>
      <c r="M65" s="540"/>
      <c r="N65" s="538"/>
      <c r="O65" s="525"/>
      <c r="P65" s="266"/>
      <c r="Q65" s="428"/>
      <c r="R65" s="428"/>
      <c r="S65" s="523"/>
      <c r="U65" s="344"/>
      <c r="V65" s="393"/>
      <c r="W65" s="637"/>
      <c r="X65" s="304"/>
      <c r="Y65" s="304"/>
      <c r="Z65" s="547"/>
    </row>
    <row r="66" spans="3:26" ht="11.25" customHeight="1">
      <c r="C66" s="344"/>
      <c r="D66" s="304"/>
      <c r="E66" s="389"/>
      <c r="F66" s="304"/>
      <c r="G66" s="540"/>
      <c r="H66" s="538"/>
      <c r="I66" s="519"/>
      <c r="J66" s="266"/>
      <c r="K66" s="266"/>
      <c r="L66" s="266"/>
      <c r="M66" s="540"/>
      <c r="N66" s="538"/>
      <c r="O66" s="525"/>
      <c r="P66" s="266"/>
      <c r="Q66" s="266"/>
      <c r="R66" s="552"/>
      <c r="S66" s="523"/>
      <c r="U66" s="344"/>
      <c r="V66" s="393"/>
      <c r="W66" s="637"/>
      <c r="X66" s="304"/>
      <c r="Y66" s="304"/>
      <c r="Z66" s="547"/>
    </row>
    <row r="67" spans="3:26" ht="11.25" customHeight="1">
      <c r="C67" s="344"/>
      <c r="D67" s="304"/>
      <c r="E67" s="389"/>
      <c r="F67" s="304"/>
      <c r="G67" s="540"/>
      <c r="H67" s="538"/>
      <c r="I67" s="519"/>
      <c r="J67" s="266"/>
      <c r="K67" s="266"/>
      <c r="L67" s="266"/>
      <c r="M67" s="540"/>
      <c r="N67" s="538"/>
      <c r="O67" s="525"/>
      <c r="P67" s="266"/>
      <c r="Q67" s="266"/>
      <c r="R67" s="552"/>
      <c r="S67" s="523"/>
      <c r="U67" s="344"/>
      <c r="V67" s="393"/>
      <c r="W67" s="637"/>
      <c r="X67" s="304"/>
      <c r="Y67" s="304"/>
      <c r="Z67" s="547"/>
    </row>
    <row r="68" spans="3:26" ht="11.25" customHeight="1">
      <c r="C68" s="344"/>
      <c r="D68" s="304"/>
      <c r="E68" s="389"/>
      <c r="F68" s="304"/>
      <c r="G68" s="540"/>
      <c r="H68" s="538"/>
      <c r="I68" s="519"/>
      <c r="J68" s="266"/>
      <c r="K68" s="266"/>
      <c r="L68" s="266"/>
      <c r="M68" s="540"/>
      <c r="N68" s="538"/>
      <c r="O68" s="525"/>
      <c r="P68" s="266"/>
      <c r="Q68" s="266"/>
      <c r="R68" s="428"/>
      <c r="S68" s="523"/>
      <c r="U68" s="344"/>
      <c r="V68" s="393"/>
      <c r="W68" s="637"/>
      <c r="X68" s="304"/>
      <c r="Y68" s="304"/>
      <c r="Z68" s="547"/>
    </row>
    <row r="69" spans="3:26" ht="11.25" customHeight="1">
      <c r="C69" s="344"/>
      <c r="D69" s="304"/>
      <c r="E69" s="389"/>
      <c r="F69" s="304"/>
      <c r="G69" s="540"/>
      <c r="H69" s="538"/>
      <c r="I69" s="519"/>
      <c r="J69" s="266"/>
      <c r="K69" s="266"/>
      <c r="L69" s="266"/>
      <c r="M69" s="540"/>
      <c r="N69" s="538"/>
      <c r="O69" s="525"/>
      <c r="P69" s="266"/>
      <c r="Q69" s="266"/>
      <c r="R69" s="428"/>
      <c r="S69" s="523"/>
      <c r="U69" s="344"/>
      <c r="V69" s="393"/>
      <c r="W69" s="637"/>
      <c r="X69" s="304"/>
      <c r="Y69" s="304"/>
      <c r="Z69" s="547"/>
    </row>
    <row r="70" spans="3:26" ht="11.25" customHeight="1">
      <c r="C70" s="344"/>
      <c r="D70" s="304"/>
      <c r="E70" s="389"/>
      <c r="F70" s="304"/>
      <c r="G70" s="540"/>
      <c r="H70" s="538"/>
      <c r="I70" s="519"/>
      <c r="J70" s="266"/>
      <c r="K70" s="266"/>
      <c r="L70" s="266"/>
      <c r="M70" s="540"/>
      <c r="N70" s="538"/>
      <c r="O70" s="525"/>
      <c r="P70" s="266"/>
      <c r="Q70" s="266"/>
      <c r="R70" s="428"/>
      <c r="S70" s="523"/>
      <c r="U70" s="344"/>
      <c r="V70" s="393"/>
      <c r="W70" s="637"/>
      <c r="X70" s="304"/>
      <c r="Y70" s="304"/>
      <c r="Z70" s="547"/>
    </row>
    <row r="71" spans="3:26" ht="11.25" customHeight="1">
      <c r="C71" s="344"/>
      <c r="D71" s="304"/>
      <c r="E71" s="389"/>
      <c r="F71" s="304"/>
      <c r="G71" s="540"/>
      <c r="H71" s="538"/>
      <c r="I71" s="519"/>
      <c r="J71" s="266"/>
      <c r="K71" s="266"/>
      <c r="L71" s="266"/>
      <c r="M71" s="540"/>
      <c r="N71" s="538"/>
      <c r="O71" s="525"/>
      <c r="P71" s="266"/>
      <c r="Q71" s="266"/>
      <c r="R71" s="428"/>
      <c r="S71" s="523"/>
      <c r="U71" s="344"/>
      <c r="V71" s="393"/>
      <c r="W71" s="637"/>
      <c r="X71" s="304"/>
      <c r="Y71" s="304"/>
      <c r="Z71" s="547"/>
    </row>
    <row r="72" spans="3:26" ht="11.25" customHeight="1">
      <c r="C72" s="344"/>
      <c r="D72" s="304"/>
      <c r="E72" s="389"/>
      <c r="F72" s="304"/>
      <c r="G72" s="540"/>
      <c r="H72" s="538"/>
      <c r="I72" s="520"/>
      <c r="J72" s="268"/>
      <c r="K72" s="268"/>
      <c r="L72" s="268"/>
      <c r="M72" s="540"/>
      <c r="N72" s="538"/>
      <c r="O72" s="525"/>
      <c r="P72" s="266"/>
      <c r="Q72" s="266"/>
      <c r="R72" s="553"/>
      <c r="S72" s="523"/>
      <c r="U72" s="344"/>
      <c r="V72" s="393"/>
      <c r="W72" s="637"/>
      <c r="X72" s="304"/>
      <c r="Y72" s="304"/>
      <c r="Z72" s="547"/>
    </row>
    <row r="73" spans="3:26" ht="11.25" customHeight="1">
      <c r="C73" s="344"/>
      <c r="D73" s="304"/>
      <c r="E73" s="389"/>
      <c r="F73" s="304"/>
      <c r="G73" s="540"/>
      <c r="H73" s="538"/>
      <c r="I73" s="519"/>
      <c r="J73" s="266"/>
      <c r="K73" s="266"/>
      <c r="L73" s="266"/>
      <c r="M73" s="540"/>
      <c r="N73" s="538"/>
      <c r="O73" s="525"/>
      <c r="P73" s="266"/>
      <c r="Q73" s="266"/>
      <c r="R73" s="428"/>
      <c r="S73" s="523"/>
      <c r="U73" s="344"/>
      <c r="V73" s="393"/>
      <c r="W73" s="637"/>
      <c r="X73" s="304"/>
      <c r="Y73" s="304"/>
      <c r="Z73" s="547"/>
    </row>
    <row r="74" spans="3:26" ht="11.25" customHeight="1">
      <c r="C74" s="344"/>
      <c r="D74" s="304"/>
      <c r="E74" s="389"/>
      <c r="F74" s="304"/>
      <c r="G74" s="540"/>
      <c r="H74" s="538"/>
      <c r="I74" s="519"/>
      <c r="J74" s="266"/>
      <c r="K74" s="266"/>
      <c r="L74" s="266"/>
      <c r="M74" s="540"/>
      <c r="N74" s="538"/>
      <c r="O74" s="525"/>
      <c r="P74" s="266"/>
      <c r="Q74" s="266"/>
      <c r="R74" s="428"/>
      <c r="S74" s="523"/>
      <c r="U74" s="344"/>
      <c r="V74" s="393"/>
      <c r="W74" s="637"/>
      <c r="X74" s="304"/>
      <c r="Y74" s="304"/>
      <c r="Z74" s="547"/>
    </row>
    <row r="75" spans="3:26" ht="11.25" customHeight="1">
      <c r="C75" s="344"/>
      <c r="D75" s="304"/>
      <c r="E75" s="389"/>
      <c r="F75" s="304"/>
      <c r="G75" s="540"/>
      <c r="H75" s="538"/>
      <c r="I75" s="519"/>
      <c r="J75" s="266"/>
      <c r="K75" s="266"/>
      <c r="L75" s="266"/>
      <c r="M75" s="540"/>
      <c r="N75" s="538"/>
      <c r="O75" s="525"/>
      <c r="P75" s="266"/>
      <c r="Q75" s="266"/>
      <c r="R75" s="428"/>
      <c r="S75" s="523"/>
      <c r="U75" s="344"/>
      <c r="V75" s="393"/>
      <c r="W75" s="637"/>
      <c r="X75" s="304"/>
      <c r="Y75" s="304"/>
      <c r="Z75" s="547"/>
    </row>
    <row r="76" spans="3:26" ht="9.75" customHeight="1">
      <c r="C76" s="344"/>
      <c r="D76" s="304"/>
      <c r="E76" s="389"/>
      <c r="F76" s="304"/>
      <c r="G76" s="540"/>
      <c r="H76" s="538"/>
      <c r="I76" s="519"/>
      <c r="J76" s="266"/>
      <c r="K76" s="266"/>
      <c r="L76" s="266"/>
      <c r="M76" s="540"/>
      <c r="N76" s="538"/>
      <c r="O76" s="525"/>
      <c r="P76" s="266"/>
      <c r="Q76" s="266"/>
      <c r="R76" s="428"/>
      <c r="S76" s="523"/>
      <c r="U76" s="344"/>
      <c r="V76" s="393"/>
      <c r="W76" s="636"/>
      <c r="X76" s="304"/>
      <c r="Y76" s="304"/>
      <c r="Z76" s="547"/>
    </row>
    <row r="77" spans="3:26" ht="11.25" hidden="1" customHeight="1">
      <c r="C77" s="344"/>
      <c r="D77" s="304"/>
      <c r="E77" s="389"/>
      <c r="F77" s="304"/>
      <c r="G77" s="540"/>
      <c r="H77" s="538"/>
      <c r="I77" s="519"/>
      <c r="J77" s="428"/>
      <c r="K77" s="428"/>
      <c r="L77" s="266"/>
      <c r="M77" s="540"/>
      <c r="N77" s="538"/>
      <c r="O77" s="525"/>
      <c r="P77" s="266"/>
      <c r="Q77" s="266"/>
      <c r="R77" s="428"/>
      <c r="S77" s="523"/>
      <c r="U77" s="344"/>
      <c r="V77" s="393"/>
      <c r="W77" s="304"/>
      <c r="X77" s="304"/>
      <c r="Y77" s="304"/>
      <c r="Z77" s="547"/>
    </row>
    <row r="78" spans="3:26" ht="11.25" customHeight="1">
      <c r="C78" s="344"/>
      <c r="D78" s="304"/>
      <c r="E78" s="389"/>
      <c r="F78" s="304"/>
      <c r="G78" s="540"/>
      <c r="H78" s="538"/>
      <c r="I78" s="519"/>
      <c r="J78" s="266"/>
      <c r="K78" s="266"/>
      <c r="L78" s="266"/>
      <c r="M78" s="540"/>
      <c r="N78" s="538"/>
      <c r="O78" s="525"/>
      <c r="P78" s="266"/>
      <c r="Q78" s="266"/>
      <c r="R78" s="428"/>
      <c r="S78" s="523"/>
      <c r="U78" s="344"/>
      <c r="V78" s="393"/>
      <c r="W78" s="304"/>
      <c r="X78" s="304"/>
      <c r="Y78" s="304"/>
      <c r="Z78" s="547"/>
    </row>
    <row r="79" spans="3:26" ht="11.25" customHeight="1">
      <c r="C79" s="344"/>
      <c r="D79" s="304"/>
      <c r="E79" s="389"/>
      <c r="F79" s="304"/>
      <c r="G79" s="540"/>
      <c r="H79" s="538"/>
      <c r="I79" s="519"/>
      <c r="J79" s="266"/>
      <c r="K79" s="266"/>
      <c r="L79" s="266"/>
      <c r="M79" s="540"/>
      <c r="N79" s="538"/>
      <c r="O79" s="525"/>
      <c r="P79" s="266"/>
      <c r="Q79" s="266"/>
      <c r="R79" s="428"/>
      <c r="S79" s="523"/>
      <c r="U79" s="344"/>
      <c r="V79" s="393"/>
      <c r="W79" s="304"/>
      <c r="X79" s="304"/>
      <c r="Y79" s="304"/>
      <c r="Z79" s="547"/>
    </row>
    <row r="80" spans="3:26" ht="11.25" customHeight="1">
      <c r="C80" s="344"/>
      <c r="D80" s="304"/>
      <c r="E80" s="389"/>
      <c r="F80" s="304"/>
      <c r="G80" s="540"/>
      <c r="H80" s="538"/>
      <c r="I80" s="519"/>
      <c r="J80" s="266"/>
      <c r="K80" s="266"/>
      <c r="L80" s="266"/>
      <c r="M80" s="540"/>
      <c r="N80" s="538"/>
      <c r="O80" s="525"/>
      <c r="P80" s="266"/>
      <c r="Q80" s="266"/>
      <c r="R80" s="428"/>
      <c r="S80" s="523"/>
      <c r="U80" s="344"/>
      <c r="V80" s="393"/>
      <c r="W80" s="304"/>
      <c r="X80" s="304"/>
      <c r="Y80" s="304"/>
      <c r="Z80" s="547"/>
    </row>
    <row r="81" spans="3:26" ht="11.25" customHeight="1">
      <c r="C81" s="344"/>
      <c r="D81" s="304"/>
      <c r="E81" s="389"/>
      <c r="F81" s="304"/>
      <c r="G81" s="540"/>
      <c r="H81" s="538"/>
      <c r="I81" s="519"/>
      <c r="J81" s="266"/>
      <c r="K81" s="266"/>
      <c r="L81" s="266"/>
      <c r="M81" s="540"/>
      <c r="N81" s="538"/>
      <c r="O81" s="525"/>
      <c r="P81" s="266"/>
      <c r="Q81" s="266"/>
      <c r="R81" s="428"/>
      <c r="S81" s="523"/>
      <c r="U81" s="344"/>
      <c r="V81" s="393"/>
      <c r="W81" s="304"/>
      <c r="X81" s="304"/>
      <c r="Y81" s="304"/>
      <c r="Z81" s="547"/>
    </row>
    <row r="82" spans="3:26" ht="11.25" customHeight="1">
      <c r="C82" s="344"/>
      <c r="D82" s="304"/>
      <c r="E82" s="389"/>
      <c r="F82" s="304"/>
      <c r="G82" s="540"/>
      <c r="H82" s="538"/>
      <c r="I82" s="519"/>
      <c r="J82" s="266"/>
      <c r="K82" s="266"/>
      <c r="L82" s="266"/>
      <c r="M82" s="540"/>
      <c r="N82" s="538"/>
      <c r="O82" s="525"/>
      <c r="P82" s="266"/>
      <c r="Q82" s="266"/>
      <c r="R82" s="428"/>
      <c r="S82" s="523"/>
      <c r="U82" s="344"/>
      <c r="V82" s="393"/>
      <c r="W82" s="304"/>
      <c r="X82" s="304"/>
      <c r="Y82" s="304"/>
      <c r="Z82" s="547"/>
    </row>
    <row r="83" spans="3:26" ht="11.25" customHeight="1">
      <c r="C83" s="344"/>
      <c r="D83" s="304"/>
      <c r="E83" s="389"/>
      <c r="F83" s="304"/>
      <c r="G83" s="540"/>
      <c r="H83" s="538"/>
      <c r="I83" s="519"/>
      <c r="J83" s="266"/>
      <c r="K83" s="266"/>
      <c r="L83" s="266"/>
      <c r="M83" s="540"/>
      <c r="N83" s="538"/>
      <c r="O83" s="525"/>
      <c r="P83" s="266"/>
      <c r="Q83" s="266"/>
      <c r="R83" s="428"/>
      <c r="S83" s="523"/>
      <c r="U83" s="344"/>
      <c r="V83" s="393"/>
      <c r="W83" s="304"/>
      <c r="X83" s="304"/>
      <c r="Y83" s="304"/>
      <c r="Z83" s="547"/>
    </row>
    <row r="84" spans="3:26" ht="11.25" customHeight="1">
      <c r="C84" s="344"/>
      <c r="D84" s="304"/>
      <c r="E84" s="389"/>
      <c r="F84" s="304"/>
      <c r="G84" s="540"/>
      <c r="H84" s="538"/>
      <c r="I84" s="519"/>
      <c r="J84" s="266"/>
      <c r="K84" s="266"/>
      <c r="L84" s="266"/>
      <c r="M84" s="540"/>
      <c r="N84" s="538"/>
      <c r="O84" s="525"/>
      <c r="P84" s="266"/>
      <c r="Q84" s="266"/>
      <c r="R84" s="428"/>
      <c r="S84" s="523"/>
      <c r="U84" s="344"/>
      <c r="V84" s="304"/>
      <c r="W84" s="304"/>
      <c r="X84" s="304"/>
      <c r="Y84" s="304"/>
      <c r="Z84" s="547"/>
    </row>
    <row r="85" spans="3:26" ht="11.25" customHeight="1">
      <c r="C85" s="344"/>
      <c r="D85" s="304"/>
      <c r="E85" s="389"/>
      <c r="F85" s="304"/>
      <c r="G85" s="540"/>
      <c r="H85" s="538"/>
      <c r="I85" s="519"/>
      <c r="J85" s="266"/>
      <c r="K85" s="266"/>
      <c r="L85" s="266"/>
      <c r="M85" s="540"/>
      <c r="N85" s="538"/>
      <c r="O85" s="525"/>
      <c r="P85" s="266"/>
      <c r="Q85" s="266"/>
      <c r="R85" s="428"/>
      <c r="S85" s="523"/>
      <c r="U85" s="344"/>
      <c r="V85" s="304"/>
      <c r="W85" s="304"/>
      <c r="X85" s="304"/>
      <c r="Y85" s="304"/>
      <c r="Z85" s="547"/>
    </row>
    <row r="86" spans="3:26" ht="11.25" customHeight="1">
      <c r="C86" s="344"/>
      <c r="D86" s="304"/>
      <c r="E86" s="389"/>
      <c r="F86" s="304"/>
      <c r="G86" s="540"/>
      <c r="H86" s="538"/>
      <c r="I86" s="519"/>
      <c r="J86" s="266"/>
      <c r="K86" s="266"/>
      <c r="L86" s="266"/>
      <c r="M86" s="540"/>
      <c r="N86" s="538"/>
      <c r="O86" s="525"/>
      <c r="P86" s="266"/>
      <c r="Q86" s="266"/>
      <c r="R86" s="428"/>
      <c r="S86" s="523"/>
      <c r="U86" s="344"/>
      <c r="V86" s="304"/>
      <c r="W86" s="304"/>
      <c r="X86" s="304"/>
      <c r="Y86" s="304"/>
      <c r="Z86" s="547"/>
    </row>
    <row r="87" spans="3:26" ht="11.25" customHeight="1">
      <c r="C87" s="344"/>
      <c r="D87" s="304"/>
      <c r="E87" s="389"/>
      <c r="F87" s="304"/>
      <c r="G87" s="540"/>
      <c r="H87" s="538"/>
      <c r="I87" s="519"/>
      <c r="J87" s="266"/>
      <c r="K87" s="266"/>
      <c r="L87" s="266"/>
      <c r="M87" s="540"/>
      <c r="N87" s="538"/>
      <c r="O87" s="525"/>
      <c r="P87" s="266"/>
      <c r="Q87" s="266"/>
      <c r="R87" s="428"/>
      <c r="S87" s="523"/>
      <c r="U87" s="344"/>
      <c r="V87" s="304"/>
      <c r="W87" s="304"/>
      <c r="X87" s="304"/>
      <c r="Y87" s="304"/>
      <c r="Z87" s="547"/>
    </row>
    <row r="88" spans="3:26" ht="11.25" customHeight="1">
      <c r="C88" s="344"/>
      <c r="D88" s="304"/>
      <c r="E88" s="389"/>
      <c r="F88" s="304"/>
      <c r="G88" s="540"/>
      <c r="H88" s="538"/>
      <c r="I88" s="519"/>
      <c r="J88" s="266"/>
      <c r="K88" s="266"/>
      <c r="L88" s="266"/>
      <c r="M88" s="540"/>
      <c r="N88" s="538"/>
      <c r="O88" s="525"/>
      <c r="P88" s="266"/>
      <c r="Q88" s="266"/>
      <c r="R88" s="428"/>
      <c r="S88" s="523"/>
      <c r="U88" s="344"/>
      <c r="V88" s="304"/>
      <c r="W88" s="304"/>
      <c r="X88" s="304"/>
      <c r="Y88" s="304"/>
      <c r="Z88" s="547"/>
    </row>
    <row r="89" spans="3:26" ht="11.25" customHeight="1">
      <c r="C89" s="344"/>
      <c r="D89" s="304"/>
      <c r="E89" s="389"/>
      <c r="F89" s="304"/>
      <c r="G89" s="540"/>
      <c r="H89" s="538"/>
      <c r="I89" s="519"/>
      <c r="J89" s="266"/>
      <c r="K89" s="266"/>
      <c r="L89" s="266"/>
      <c r="M89" s="540"/>
      <c r="N89" s="538"/>
      <c r="O89" s="525"/>
      <c r="P89" s="266"/>
      <c r="Q89" s="266"/>
      <c r="R89" s="428"/>
      <c r="S89" s="523"/>
      <c r="U89" s="344"/>
      <c r="V89" s="304"/>
      <c r="W89" s="304"/>
      <c r="X89" s="304"/>
      <c r="Y89" s="304"/>
      <c r="Z89" s="547"/>
    </row>
    <row r="90" spans="3:26" ht="11.25" customHeight="1">
      <c r="C90" s="344"/>
      <c r="D90" s="304"/>
      <c r="E90" s="389"/>
      <c r="F90" s="304"/>
      <c r="G90" s="540"/>
      <c r="H90" s="538"/>
      <c r="I90" s="519"/>
      <c r="J90" s="266"/>
      <c r="K90" s="266"/>
      <c r="L90" s="266"/>
      <c r="M90" s="540"/>
      <c r="N90" s="538"/>
      <c r="O90" s="525"/>
      <c r="P90" s="266"/>
      <c r="Q90" s="266"/>
      <c r="R90" s="428"/>
      <c r="S90" s="523"/>
      <c r="U90" s="344"/>
      <c r="V90" s="304"/>
      <c r="W90" s="304"/>
      <c r="X90" s="304"/>
      <c r="Y90" s="304"/>
      <c r="Z90" s="547"/>
    </row>
    <row r="91" spans="3:26">
      <c r="C91" s="344"/>
      <c r="D91" s="304"/>
      <c r="E91" s="389"/>
      <c r="F91" s="304"/>
      <c r="G91" s="540"/>
      <c r="H91" s="538"/>
      <c r="I91" s="519"/>
      <c r="J91" s="266"/>
      <c r="K91" s="266"/>
      <c r="L91" s="266"/>
      <c r="M91" s="540"/>
      <c r="N91" s="538"/>
      <c r="O91" s="525"/>
      <c r="P91" s="266"/>
      <c r="Q91" s="266"/>
      <c r="R91" s="428"/>
      <c r="S91" s="523"/>
      <c r="U91" s="344"/>
      <c r="V91" s="304"/>
      <c r="W91" s="304"/>
      <c r="X91" s="304"/>
      <c r="Y91" s="304"/>
      <c r="Z91" s="547"/>
    </row>
    <row r="92" spans="3:26">
      <c r="C92" s="344"/>
      <c r="D92" s="304"/>
      <c r="E92" s="389"/>
      <c r="F92" s="304"/>
      <c r="G92" s="540"/>
      <c r="H92" s="538"/>
      <c r="I92" s="519"/>
      <c r="J92" s="266"/>
      <c r="K92" s="266"/>
      <c r="L92" s="266"/>
      <c r="M92" s="540"/>
      <c r="N92" s="538"/>
      <c r="O92" s="525"/>
      <c r="P92" s="266"/>
      <c r="Q92" s="266"/>
      <c r="R92" s="428"/>
      <c r="S92" s="523"/>
      <c r="U92" s="344"/>
      <c r="V92" s="304"/>
      <c r="W92" s="304"/>
      <c r="X92" s="304"/>
      <c r="Y92" s="304"/>
      <c r="Z92" s="547"/>
    </row>
    <row r="93" spans="3:26">
      <c r="C93" s="344"/>
      <c r="D93" s="304"/>
      <c r="E93" s="389"/>
      <c r="F93" s="304"/>
      <c r="G93" s="540"/>
      <c r="H93" s="538"/>
      <c r="I93" s="519"/>
      <c r="J93" s="266"/>
      <c r="K93" s="266"/>
      <c r="L93" s="266"/>
      <c r="M93" s="540"/>
      <c r="N93" s="538"/>
      <c r="O93" s="525"/>
      <c r="P93" s="266"/>
      <c r="Q93" s="266"/>
      <c r="R93" s="428"/>
      <c r="S93" s="523"/>
      <c r="U93" s="344"/>
      <c r="V93" s="304"/>
      <c r="W93" s="304"/>
      <c r="X93" s="304"/>
      <c r="Y93" s="304"/>
      <c r="Z93" s="547"/>
    </row>
    <row r="94" spans="3:26">
      <c r="C94" s="344"/>
      <c r="D94" s="304"/>
      <c r="E94" s="389"/>
      <c r="F94" s="304"/>
      <c r="G94" s="540"/>
      <c r="H94" s="538"/>
      <c r="I94" s="519"/>
      <c r="J94" s="266"/>
      <c r="K94" s="266"/>
      <c r="L94" s="266"/>
      <c r="M94" s="540"/>
      <c r="N94" s="538"/>
      <c r="O94" s="525"/>
      <c r="P94" s="266"/>
      <c r="Q94" s="266"/>
      <c r="R94" s="428"/>
      <c r="S94" s="523"/>
      <c r="U94" s="344"/>
      <c r="V94" s="304"/>
      <c r="W94" s="304"/>
      <c r="X94" s="304"/>
      <c r="Y94" s="304"/>
      <c r="Z94" s="547"/>
    </row>
    <row r="95" spans="3:26">
      <c r="C95" s="344"/>
      <c r="D95" s="304"/>
      <c r="E95" s="389"/>
      <c r="F95" s="304"/>
      <c r="G95" s="540"/>
      <c r="H95" s="538"/>
      <c r="I95" s="519"/>
      <c r="J95" s="266"/>
      <c r="K95" s="266"/>
      <c r="L95" s="266"/>
      <c r="M95" s="540"/>
      <c r="N95" s="538"/>
      <c r="O95" s="525"/>
      <c r="P95" s="266"/>
      <c r="Q95" s="266"/>
      <c r="R95" s="428"/>
      <c r="S95" s="523"/>
      <c r="U95" s="344"/>
      <c r="V95" s="304"/>
      <c r="W95" s="304"/>
      <c r="X95" s="304"/>
      <c r="Y95" s="304"/>
      <c r="Z95" s="547"/>
    </row>
    <row r="96" spans="3:26">
      <c r="C96" s="344"/>
      <c r="D96" s="304"/>
      <c r="E96" s="389"/>
      <c r="F96" s="304"/>
      <c r="G96" s="540"/>
      <c r="H96" s="538"/>
      <c r="I96" s="519"/>
      <c r="J96" s="266"/>
      <c r="K96" s="266"/>
      <c r="L96" s="266"/>
      <c r="M96" s="540"/>
      <c r="N96" s="538"/>
      <c r="O96" s="525"/>
      <c r="P96" s="266"/>
      <c r="Q96" s="266"/>
      <c r="R96" s="428"/>
      <c r="S96" s="523"/>
      <c r="U96" s="344"/>
      <c r="V96" s="304"/>
      <c r="W96" s="304"/>
      <c r="X96" s="304"/>
      <c r="Y96" s="304"/>
      <c r="Z96" s="547"/>
    </row>
    <row r="97" spans="3:26" ht="12" thickBot="1">
      <c r="C97" s="345"/>
      <c r="D97" s="346"/>
      <c r="E97" s="347"/>
      <c r="F97" s="346"/>
      <c r="G97" s="541"/>
      <c r="H97" s="538"/>
      <c r="I97" s="521"/>
      <c r="J97" s="516"/>
      <c r="K97" s="516"/>
      <c r="L97" s="516"/>
      <c r="M97" s="541"/>
      <c r="N97" s="538"/>
      <c r="O97" s="526"/>
      <c r="P97" s="516"/>
      <c r="Q97" s="516"/>
      <c r="R97" s="554"/>
      <c r="S97" s="524"/>
      <c r="U97" s="345"/>
      <c r="V97" s="346"/>
      <c r="W97" s="346"/>
      <c r="X97" s="346"/>
      <c r="Y97" s="346"/>
      <c r="Z97" s="548"/>
    </row>
    <row r="98" spans="3:26">
      <c r="H98" s="538"/>
      <c r="N98" s="538"/>
    </row>
    <row r="99" spans="3:26">
      <c r="H99" s="538"/>
    </row>
  </sheetData>
  <mergeCells count="10">
    <mergeCell ref="C50:G50"/>
    <mergeCell ref="I50:M50"/>
    <mergeCell ref="B1:C6"/>
    <mergeCell ref="E2:AU2"/>
    <mergeCell ref="G7:M7"/>
    <mergeCell ref="N7:S7"/>
    <mergeCell ref="G6:M6"/>
    <mergeCell ref="O50:S50"/>
    <mergeCell ref="U50:Z50"/>
    <mergeCell ref="I3:K4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263</v>
      </c>
      <c r="C1" s="11" t="s">
        <v>24</v>
      </c>
      <c r="D1" s="78" t="s">
        <v>60</v>
      </c>
      <c r="E1" s="78" t="s">
        <v>61</v>
      </c>
    </row>
    <row r="2" spans="1:6">
      <c r="A2" s="94">
        <f>Gen!B11</f>
        <v>44105</v>
      </c>
      <c r="B2" s="13">
        <f>SUM('[1]Summery Report'!F5)</f>
        <v>5669</v>
      </c>
      <c r="C2" s="118">
        <f>SUM('[1]Summery Report'!C5)</f>
        <v>0.623</v>
      </c>
      <c r="D2" s="79" t="e">
        <f>SUM('[1]Summery Report'!#REF!)</f>
        <v>#REF!</v>
      </c>
      <c r="E2" s="79" t="e">
        <f>SUM('[1]Summery Report'!#REF!)</f>
        <v>#REF!</v>
      </c>
      <c r="F2" s="19">
        <v>0.1</v>
      </c>
    </row>
    <row r="3" spans="1:6">
      <c r="A3" s="94">
        <f>Gen!B12</f>
        <v>44106</v>
      </c>
      <c r="B3" s="13">
        <f>SUM('[1]Summery Report'!F6)</f>
        <v>6159</v>
      </c>
      <c r="C3" s="118">
        <f>SUM('[1]Summery Report'!C6)</f>
        <v>0.77900000000000003</v>
      </c>
      <c r="D3" s="79" t="e">
        <f>SUM('[1]Summery Report'!#REF!)</f>
        <v>#REF!</v>
      </c>
      <c r="E3" s="79" t="e">
        <f>SUM('[1]Summery Report'!#REF!)</f>
        <v>#REF!</v>
      </c>
      <c r="F3" s="19">
        <v>0.13750000000000001</v>
      </c>
    </row>
    <row r="4" spans="1:6">
      <c r="A4" s="94">
        <f>Gen!B13</f>
        <v>44107</v>
      </c>
      <c r="B4" s="13">
        <f>SUM('[1]Summery Report'!F7)</f>
        <v>6580</v>
      </c>
      <c r="C4" s="118">
        <f>SUM('[1]Summery Report'!C7)</f>
        <v>0.53200000000000003</v>
      </c>
      <c r="D4" s="79" t="e">
        <f>SUM('[1]Summery Report'!#REF!)</f>
        <v>#REF!</v>
      </c>
      <c r="E4" s="79" t="e">
        <f>SUM('[1]Summery Report'!#REF!)</f>
        <v>#REF!</v>
      </c>
      <c r="F4" s="19">
        <v>8.7499999999999994E-2</v>
      </c>
    </row>
    <row r="5" spans="1:6">
      <c r="A5" s="94">
        <f>Gen!B14</f>
        <v>44108</v>
      </c>
      <c r="B5" s="13">
        <f>SUM('[1]Summery Report'!F8)</f>
        <v>6223</v>
      </c>
      <c r="C5" s="118">
        <f>SUM('[1]Summery Report'!C8)</f>
        <v>0.61</v>
      </c>
      <c r="D5" s="79" t="e">
        <f>SUM('[1]Summery Report'!#REF!)</f>
        <v>#REF!</v>
      </c>
      <c r="E5" s="79" t="e">
        <f>SUM('[1]Summery Report'!#REF!)</f>
        <v>#REF!</v>
      </c>
      <c r="F5" s="19">
        <v>0.22500000000000001</v>
      </c>
    </row>
    <row r="6" spans="1:6">
      <c r="A6" s="94">
        <f>Gen!B15</f>
        <v>44109</v>
      </c>
      <c r="B6" s="13">
        <f>SUM('[1]Summery Report'!F9)</f>
        <v>5984</v>
      </c>
      <c r="C6" s="118">
        <f>SUM('[1]Summery Report'!C9)</f>
        <v>0.68799999999999994</v>
      </c>
      <c r="D6" s="79" t="e">
        <f>SUM('[1]Summery Report'!#REF!)</f>
        <v>#REF!</v>
      </c>
      <c r="E6" s="79" t="e">
        <f>SUM('[1]Summery Report'!#REF!)</f>
        <v>#REF!</v>
      </c>
      <c r="F6" s="19">
        <v>0.2</v>
      </c>
    </row>
    <row r="7" spans="1:6">
      <c r="A7" s="94">
        <f>Gen!B16</f>
        <v>44110</v>
      </c>
      <c r="B7" s="13">
        <f>SUM('[1]Summery Report'!F10)</f>
        <v>6103</v>
      </c>
      <c r="C7" s="118">
        <f>SUM('[1]Summery Report'!C10)</f>
        <v>0.53200000000000003</v>
      </c>
      <c r="D7" s="79" t="e">
        <f>SUM('[1]Summery Report'!#REF!)</f>
        <v>#REF!</v>
      </c>
      <c r="E7" s="79" t="e">
        <f>SUM('[1]Summery Report'!#REF!)</f>
        <v>#REF!</v>
      </c>
      <c r="F7" s="19">
        <v>0.35</v>
      </c>
    </row>
    <row r="8" spans="1:6">
      <c r="A8" s="94">
        <f>Gen!B17</f>
        <v>44111</v>
      </c>
      <c r="B8" s="13">
        <f>SUM('[1]Summery Report'!F11)</f>
        <v>5576</v>
      </c>
      <c r="C8" s="118">
        <f>SUM('[1]Summery Report'!C11)</f>
        <v>0.753</v>
      </c>
      <c r="D8" s="79" t="e">
        <f>SUM('[1]Summery Report'!#REF!)</f>
        <v>#REF!</v>
      </c>
      <c r="E8" s="79" t="e">
        <f>SUM('[1]Summery Report'!#REF!)</f>
        <v>#REF!</v>
      </c>
      <c r="F8" s="19">
        <v>0.375</v>
      </c>
    </row>
    <row r="9" spans="1:6">
      <c r="A9" s="94">
        <f>Gen!B18</f>
        <v>44112</v>
      </c>
      <c r="B9" s="13">
        <f>SUM('[1]Summery Report'!F12)</f>
        <v>5532</v>
      </c>
      <c r="C9" s="118">
        <f>SUM('[1]Summery Report'!C12)</f>
        <v>0.156</v>
      </c>
      <c r="D9" s="79" t="e">
        <f>SUM('[1]Summery Report'!#REF!)</f>
        <v>#REF!</v>
      </c>
      <c r="E9" s="79" t="e">
        <f>SUM('[1]Summery Report'!#REF!)</f>
        <v>#REF!</v>
      </c>
      <c r="F9" s="19">
        <v>0.32500000000000001</v>
      </c>
    </row>
    <row r="10" spans="1:6">
      <c r="A10" s="94">
        <f>Gen!B19</f>
        <v>44113</v>
      </c>
      <c r="B10" s="13">
        <f>SUM('[1]Summery Report'!F13)</f>
        <v>6233</v>
      </c>
      <c r="C10" s="118">
        <f>SUM('[1]Summery Report'!C13)</f>
        <v>0.442</v>
      </c>
      <c r="D10" s="79" t="e">
        <f>SUM('[1]Summery Report'!#REF!)</f>
        <v>#REF!</v>
      </c>
      <c r="E10" s="79" t="e">
        <f>SUM('[1]Summery Report'!#REF!)</f>
        <v>#REF!</v>
      </c>
      <c r="F10" s="19">
        <v>0.75</v>
      </c>
    </row>
    <row r="11" spans="1:6">
      <c r="A11" s="94">
        <f>Gen!B20</f>
        <v>44114</v>
      </c>
      <c r="B11" s="13">
        <f>SUM('[1]Summery Report'!F14)</f>
        <v>6063</v>
      </c>
      <c r="C11" s="118">
        <f>SUM('[1]Summery Report'!C14)</f>
        <v>0.32500000000000001</v>
      </c>
      <c r="D11" s="79" t="e">
        <f>SUM('[1]Summery Report'!#REF!)</f>
        <v>#REF!</v>
      </c>
      <c r="E11" s="79" t="e">
        <f>SUM('[1]Summery Report'!#REF!)</f>
        <v>#REF!</v>
      </c>
      <c r="F11" s="19">
        <v>0.76249999999999996</v>
      </c>
    </row>
    <row r="12" spans="1:6">
      <c r="A12" s="94">
        <f>Gen!B21</f>
        <v>44115</v>
      </c>
      <c r="B12" s="13">
        <f>SUM('[1]Summery Report'!F15)</f>
        <v>5967</v>
      </c>
      <c r="C12" s="118">
        <f>SUM('[1]Summery Report'!C15)</f>
        <v>0.45500000000000002</v>
      </c>
      <c r="D12" s="79" t="e">
        <f>SUM('[1]Summery Report'!#REF!)</f>
        <v>#REF!</v>
      </c>
      <c r="E12" s="79" t="e">
        <f>SUM('[1]Summery Report'!#REF!)</f>
        <v>#REF!</v>
      </c>
      <c r="F12" s="19">
        <v>0.16250000000000001</v>
      </c>
    </row>
    <row r="13" spans="1:6">
      <c r="A13" s="94">
        <f>Gen!B22</f>
        <v>44116</v>
      </c>
      <c r="B13" s="13">
        <f>SUM('[1]Summery Report'!F16)</f>
        <v>5863</v>
      </c>
      <c r="C13" s="118">
        <f>SUM('[1]Summery Report'!C16)</f>
        <v>0.41599999999999998</v>
      </c>
      <c r="D13" s="79" t="e">
        <f>SUM('[1]Summery Report'!#REF!)</f>
        <v>#REF!</v>
      </c>
      <c r="E13" s="79" t="e">
        <f>SUM('[1]Summery Report'!#REF!)</f>
        <v>#REF!</v>
      </c>
      <c r="F13" s="19">
        <v>0.1125</v>
      </c>
    </row>
    <row r="14" spans="1:6">
      <c r="A14" s="94">
        <f>Gen!B23</f>
        <v>44117</v>
      </c>
      <c r="B14" s="13">
        <f>SUM('[1]Summery Report'!F17)</f>
        <v>5720</v>
      </c>
      <c r="C14" s="118">
        <f>SUM('[1]Summery Report'!C17)</f>
        <v>0.39</v>
      </c>
      <c r="D14" s="79" t="e">
        <f>SUM('[1]Summery Report'!#REF!)</f>
        <v>#REF!</v>
      </c>
      <c r="E14" s="79" t="e">
        <f>SUM('[1]Summery Report'!#REF!)</f>
        <v>#REF!</v>
      </c>
      <c r="F14" s="19">
        <v>3.7499999999999999E-2</v>
      </c>
    </row>
    <row r="15" spans="1:6">
      <c r="A15" s="94">
        <f>Gen!B24</f>
        <v>44118</v>
      </c>
      <c r="B15" s="13">
        <f>SUM('[1]Summery Report'!F18)</f>
        <v>6195</v>
      </c>
      <c r="C15" s="118">
        <f>SUM('[1]Summery Report'!C18)</f>
        <v>0.63600000000000001</v>
      </c>
      <c r="D15" s="79" t="e">
        <f>SUM('[1]Summery Report'!#REF!)</f>
        <v>#REF!</v>
      </c>
      <c r="E15" s="79" t="e">
        <f>SUM('[1]Summery Report'!#REF!)</f>
        <v>#REF!</v>
      </c>
      <c r="F15" s="19">
        <v>0.125</v>
      </c>
    </row>
    <row r="16" spans="1:6">
      <c r="A16" s="94">
        <f>Gen!B25</f>
        <v>44119</v>
      </c>
      <c r="B16" s="13">
        <f>SUM('[1]Summery Report'!F19)</f>
        <v>6450</v>
      </c>
      <c r="C16" s="118">
        <f>SUM('[1]Summery Report'!C19)</f>
        <v>0.84399999999999997</v>
      </c>
      <c r="D16" s="79" t="e">
        <f>SUM('[1]Summery Report'!#REF!)</f>
        <v>#REF!</v>
      </c>
      <c r="E16" s="79" t="e">
        <f>SUM('[1]Summery Report'!#REF!)</f>
        <v>#REF!</v>
      </c>
      <c r="F16" s="19">
        <v>0.125</v>
      </c>
    </row>
    <row r="17" spans="1:6">
      <c r="A17" s="94">
        <f>Gen!B26</f>
        <v>44120</v>
      </c>
      <c r="B17" s="13">
        <f>SUM('[1]Summery Report'!F20)</f>
        <v>6915</v>
      </c>
      <c r="C17" s="118">
        <f>SUM('[1]Summery Report'!C20)</f>
        <v>0.81799999999999995</v>
      </c>
      <c r="D17" s="79" t="e">
        <f>SUM('[1]Summery Report'!#REF!)</f>
        <v>#REF!</v>
      </c>
      <c r="E17" s="79" t="e">
        <f>SUM('[1]Summery Report'!#REF!)</f>
        <v>#REF!</v>
      </c>
      <c r="F17" s="19">
        <v>0.05</v>
      </c>
    </row>
    <row r="18" spans="1:6">
      <c r="A18" s="94">
        <f>Gen!B27</f>
        <v>44121</v>
      </c>
      <c r="B18" s="13">
        <f>SUM('[1]Summery Report'!F21)</f>
        <v>5962</v>
      </c>
      <c r="C18" s="118">
        <f>SUM('[1]Summery Report'!C21)</f>
        <v>0.20799999999999999</v>
      </c>
      <c r="D18" s="79" t="e">
        <f>SUM('[1]Summery Report'!#REF!)</f>
        <v>#REF!</v>
      </c>
      <c r="E18" s="79" t="e">
        <f>SUM('[1]Summery Report'!#REF!)</f>
        <v>#REF!</v>
      </c>
      <c r="F18" s="19">
        <v>0.21249999999999999</v>
      </c>
    </row>
    <row r="19" spans="1:6">
      <c r="A19" s="94">
        <f>Gen!B28</f>
        <v>44122</v>
      </c>
      <c r="B19" s="13">
        <f>SUM('[1]Summery Report'!F22)</f>
        <v>5257</v>
      </c>
      <c r="C19" s="118">
        <f>SUM('[1]Summery Report'!C22)</f>
        <v>0.221</v>
      </c>
      <c r="D19" s="79" t="e">
        <f>SUM('[1]Summery Report'!#REF!)</f>
        <v>#REF!</v>
      </c>
      <c r="E19" s="79" t="e">
        <f>SUM('[1]Summery Report'!#REF!)</f>
        <v>#REF!</v>
      </c>
      <c r="F19" s="19">
        <v>0.1125</v>
      </c>
    </row>
    <row r="20" spans="1:6">
      <c r="A20" s="94">
        <f>Gen!B29</f>
        <v>44123</v>
      </c>
      <c r="B20" s="13">
        <f>SUM('[1]Summery Report'!F23)</f>
        <v>4691</v>
      </c>
      <c r="C20" s="118">
        <f>SUM('[1]Summery Report'!C23)</f>
        <v>0.11700000000000001</v>
      </c>
      <c r="D20" s="79" t="e">
        <f>SUM('[1]Summery Report'!#REF!)</f>
        <v>#REF!</v>
      </c>
      <c r="E20" s="79" t="e">
        <f>SUM('[1]Summery Report'!#REF!)</f>
        <v>#REF!</v>
      </c>
      <c r="F20" s="19">
        <v>0.13750000000000001</v>
      </c>
    </row>
    <row r="21" spans="1:6">
      <c r="A21" s="94">
        <f>Gen!B30</f>
        <v>44124</v>
      </c>
      <c r="B21" s="13">
        <f>SUM('[1]Summery Report'!F24)</f>
        <v>5712</v>
      </c>
      <c r="C21" s="118">
        <f>SUM('[1]Summery Report'!C24)</f>
        <v>0.57099999999999995</v>
      </c>
      <c r="D21" s="79" t="e">
        <f>SUM('[1]Summery Report'!#REF!)</f>
        <v>#REF!</v>
      </c>
      <c r="E21" s="79" t="e">
        <f>SUM('[1]Summery Report'!#REF!)</f>
        <v>#REF!</v>
      </c>
      <c r="F21" s="19">
        <v>0.15</v>
      </c>
    </row>
    <row r="22" spans="1:6">
      <c r="A22" s="94">
        <f>Gen!B31</f>
        <v>44125</v>
      </c>
      <c r="B22" s="13">
        <f>SUM('[1]Summery Report'!F25)</f>
        <v>5941</v>
      </c>
      <c r="C22" s="118">
        <f>SUM('[1]Summery Report'!C25)</f>
        <v>0.55800000000000005</v>
      </c>
      <c r="D22" s="79" t="e">
        <f>SUM('[1]Summery Report'!#REF!)</f>
        <v>#REF!</v>
      </c>
      <c r="E22" s="79" t="e">
        <f>SUM('[1]Summery Report'!#REF!)</f>
        <v>#REF!</v>
      </c>
      <c r="F22" s="19">
        <v>0.13750000000000001</v>
      </c>
    </row>
    <row r="23" spans="1:6">
      <c r="A23" s="94">
        <f>Gen!B32</f>
        <v>44126</v>
      </c>
      <c r="B23" s="13">
        <f>SUM('[1]Summery Report'!F26)</f>
        <v>5400</v>
      </c>
      <c r="C23" s="118">
        <f>SUM('[1]Summery Report'!C26)</f>
        <v>0.40300000000000002</v>
      </c>
      <c r="D23" s="79" t="e">
        <f>SUM('[1]Summery Report'!#REF!)</f>
        <v>#REF!</v>
      </c>
      <c r="E23" s="79" t="e">
        <f>SUM('[1]Summery Report'!#REF!)</f>
        <v>#REF!</v>
      </c>
      <c r="F23" s="19">
        <v>0</v>
      </c>
    </row>
    <row r="24" spans="1:6">
      <c r="A24" s="94">
        <f>Gen!B33</f>
        <v>44127</v>
      </c>
      <c r="B24" s="13">
        <f>SUM('[1]Summery Report'!F27)</f>
        <v>5371</v>
      </c>
      <c r="C24" s="118">
        <f>SUM('[1]Summery Report'!C27)</f>
        <v>0.24</v>
      </c>
      <c r="D24" s="79" t="e">
        <f>SUM('[1]Summery Report'!#REF!)</f>
        <v>#REF!</v>
      </c>
      <c r="E24" s="79" t="e">
        <f>SUM('[1]Summery Report'!#REF!)</f>
        <v>#REF!</v>
      </c>
      <c r="F24" s="19">
        <v>0.05</v>
      </c>
    </row>
    <row r="25" spans="1:6">
      <c r="A25" s="94">
        <f>Gen!B34</f>
        <v>44128</v>
      </c>
      <c r="B25" s="13">
        <f>SUM('[1]Summery Report'!F28)</f>
        <v>5296</v>
      </c>
      <c r="C25" s="118">
        <f>SUM('[1]Summery Report'!C28)</f>
        <v>0.09</v>
      </c>
      <c r="D25" s="79" t="e">
        <f>SUM('[1]Summery Report'!#REF!)</f>
        <v>#REF!</v>
      </c>
      <c r="E25" s="79" t="e">
        <f>SUM('[1]Summery Report'!#REF!)</f>
        <v>#REF!</v>
      </c>
      <c r="F25" s="19">
        <v>0.1125</v>
      </c>
    </row>
    <row r="26" spans="1:6">
      <c r="A26" s="94">
        <f>Gen!B35</f>
        <v>44129</v>
      </c>
      <c r="B26" s="13">
        <f>SUM('[1]Summery Report'!F29)</f>
        <v>5221</v>
      </c>
      <c r="C26" s="118">
        <f>SUM('[1]Summery Report'!C29)</f>
        <v>0.28599999999999998</v>
      </c>
      <c r="D26" s="79" t="e">
        <f>SUM('[1]Summery Report'!#REF!)</f>
        <v>#REF!</v>
      </c>
      <c r="E26" s="79" t="e">
        <f>SUM('[1]Summery Report'!#REF!)</f>
        <v>#REF!</v>
      </c>
      <c r="F26" s="19">
        <v>0.125</v>
      </c>
    </row>
    <row r="27" spans="1:6">
      <c r="A27" s="94">
        <f>Gen!B36</f>
        <v>44130</v>
      </c>
      <c r="B27" s="13">
        <f>SUM('[1]Summery Report'!F30)</f>
        <v>5665</v>
      </c>
      <c r="C27" s="118">
        <f>SUM('[1]Summery Report'!C30)</f>
        <v>0.54500000000000004</v>
      </c>
      <c r="D27" s="79" t="e">
        <f>SUM('[1]Summery Report'!#REF!)</f>
        <v>#REF!</v>
      </c>
      <c r="E27" s="79" t="e">
        <f>SUM('[1]Summery Report'!#REF!)</f>
        <v>#REF!</v>
      </c>
      <c r="F27" s="19">
        <v>0.17499999999999999</v>
      </c>
    </row>
    <row r="28" spans="1:6">
      <c r="A28" s="94">
        <f>Gen!B37</f>
        <v>44131</v>
      </c>
      <c r="B28" s="13">
        <f>SUM('[1]Summery Report'!F31)</f>
        <v>6109</v>
      </c>
      <c r="C28" s="118">
        <f>SUM('[1]Summery Report'!C31)</f>
        <v>0.67500000000000004</v>
      </c>
      <c r="D28" s="79" t="e">
        <f>SUM('[1]Summery Report'!#REF!)</f>
        <v>#REF!</v>
      </c>
      <c r="E28" s="79" t="e">
        <f>SUM('[1]Summery Report'!#REF!)</f>
        <v>#REF!</v>
      </c>
      <c r="F28" s="19">
        <v>0.125</v>
      </c>
    </row>
    <row r="29" spans="1:6">
      <c r="A29" s="94">
        <f>Gen!B38</f>
        <v>44132</v>
      </c>
      <c r="B29" s="13">
        <f>SUM('[1]Summery Report'!F32)</f>
        <v>0</v>
      </c>
      <c r="C29" s="118">
        <f>SUM('[1]Summery Report'!C32)</f>
        <v>0.27300000000000002</v>
      </c>
      <c r="D29" s="79" t="e">
        <f>SUM('[1]Summery Report'!#REF!)</f>
        <v>#REF!</v>
      </c>
      <c r="E29" s="79" t="e">
        <f>SUM('[1]Summery Report'!#REF!)</f>
        <v>#REF!</v>
      </c>
      <c r="F29" s="19">
        <v>7.4999999999999997E-2</v>
      </c>
    </row>
    <row r="30" spans="1:6">
      <c r="A30" s="94">
        <f>Gen!B39</f>
        <v>44133</v>
      </c>
      <c r="B30" s="13">
        <f>SUM('[1]Summery Report'!F33)</f>
        <v>0</v>
      </c>
      <c r="C30" s="118">
        <f>SUM('[1]Summery Report'!C33)</f>
        <v>0</v>
      </c>
      <c r="D30" s="79" t="e">
        <f>SUM('[1]Summery Report'!#REF!)</f>
        <v>#REF!</v>
      </c>
      <c r="E30" s="79" t="e">
        <f>SUM('[1]Summery Report'!#REF!)</f>
        <v>#REF!</v>
      </c>
      <c r="F30" s="19">
        <v>0.1125</v>
      </c>
    </row>
    <row r="31" spans="1:6">
      <c r="A31" s="94">
        <f>Gen!B40</f>
        <v>44134</v>
      </c>
      <c r="B31" s="13">
        <f>SUM('[1]Summery Report'!F34)</f>
        <v>0</v>
      </c>
      <c r="C31" s="118">
        <f>SUM('[1]Summery Report'!C34)</f>
        <v>0</v>
      </c>
      <c r="D31" s="79" t="e">
        <f>SUM('[1]Summery Report'!#REF!)</f>
        <v>#REF!</v>
      </c>
      <c r="E31" s="79" t="e">
        <f>SUM('[1]Summery Report'!#REF!)</f>
        <v>#REF!</v>
      </c>
      <c r="F31" s="19">
        <v>0.15</v>
      </c>
    </row>
    <row r="32" spans="1:6">
      <c r="A32" s="94">
        <f>Gen!B41</f>
        <v>44135</v>
      </c>
      <c r="B32" s="13">
        <f>SUM('[1]Summery Report'!F35)</f>
        <v>0</v>
      </c>
      <c r="C32" s="118">
        <f>SUM('[1]Summery Report'!C35)</f>
        <v>0</v>
      </c>
      <c r="D32" s="79" t="e">
        <f>SUM('[1]Summery Report'!#REF!)</f>
        <v>#REF!</v>
      </c>
      <c r="E32" s="79" t="e">
        <f>SUM('[1]Summery Report'!#REF!)</f>
        <v>#REF!</v>
      </c>
      <c r="F32" s="19">
        <v>0.17499999999999999</v>
      </c>
    </row>
    <row r="33" spans="1:2">
      <c r="A33" s="94">
        <f>Gen!B42</f>
        <v>44136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topLeftCell="A4" zoomScale="70" zoomScaleNormal="70" workbookViewId="0">
      <selection activeCell="F34" sqref="F34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2" customWidth="1"/>
  </cols>
  <sheetData>
    <row r="1" spans="1:15" ht="15">
      <c r="A1" s="32"/>
      <c r="B1" s="35"/>
      <c r="C1" s="36"/>
      <c r="D1" s="35"/>
      <c r="E1" s="35"/>
      <c r="F1" s="37"/>
      <c r="G1" s="97"/>
      <c r="H1" s="35"/>
      <c r="I1" s="35"/>
      <c r="J1" s="113"/>
    </row>
    <row r="2" spans="1:15" ht="15">
      <c r="A2" s="33"/>
      <c r="B2" s="38"/>
      <c r="C2" s="39"/>
      <c r="D2" s="40"/>
      <c r="E2" s="40"/>
      <c r="F2" s="41"/>
      <c r="G2" s="101"/>
      <c r="H2" s="38"/>
      <c r="I2" s="38"/>
      <c r="J2" s="114"/>
    </row>
    <row r="3" spans="1:15" ht="22.5">
      <c r="A3" s="33"/>
      <c r="B3" s="38"/>
      <c r="C3" s="528" t="s">
        <v>70</v>
      </c>
      <c r="D3" s="529"/>
      <c r="E3" s="529"/>
      <c r="F3" s="530"/>
      <c r="G3" s="531"/>
      <c r="H3" s="42"/>
      <c r="I3" s="42"/>
      <c r="J3" s="115"/>
    </row>
    <row r="4" spans="1:15" ht="15">
      <c r="A4" s="33"/>
      <c r="B4" s="38"/>
      <c r="C4" s="39"/>
      <c r="D4" s="40"/>
      <c r="E4" s="40"/>
      <c r="F4" s="50"/>
      <c r="G4" s="101"/>
      <c r="H4" s="38"/>
      <c r="I4" s="38"/>
      <c r="J4" s="114"/>
    </row>
    <row r="5" spans="1:15" ht="15">
      <c r="A5" s="31"/>
      <c r="B5" s="43"/>
      <c r="C5" s="44"/>
      <c r="D5" s="43"/>
      <c r="E5" s="43"/>
      <c r="F5" s="45"/>
      <c r="G5" s="101"/>
      <c r="H5" s="38"/>
      <c r="I5" s="38"/>
      <c r="J5" s="116"/>
    </row>
    <row r="6" spans="1:15" ht="13.5" customHeight="1">
      <c r="A6" s="5"/>
      <c r="B6" s="46"/>
      <c r="C6" s="908"/>
      <c r="D6" s="909"/>
      <c r="E6" s="910"/>
      <c r="F6" s="910"/>
      <c r="G6" s="49" t="s">
        <v>4</v>
      </c>
      <c r="H6" s="47" t="s">
        <v>14</v>
      </c>
      <c r="I6" s="42"/>
      <c r="J6" s="114"/>
    </row>
    <row r="7" spans="1:15" ht="18" customHeight="1">
      <c r="A7" s="911" t="s">
        <v>7</v>
      </c>
      <c r="B7" s="99" t="s">
        <v>72</v>
      </c>
      <c r="C7" s="98" t="s">
        <v>73</v>
      </c>
      <c r="D7" s="99" t="s">
        <v>74</v>
      </c>
      <c r="E7" s="103"/>
      <c r="F7" s="104" t="s">
        <v>37</v>
      </c>
      <c r="G7" s="105" t="s">
        <v>13</v>
      </c>
      <c r="H7" s="156" t="s">
        <v>12</v>
      </c>
      <c r="I7" s="106" t="s">
        <v>11</v>
      </c>
      <c r="J7" s="48" t="s">
        <v>10</v>
      </c>
    </row>
    <row r="8" spans="1:15" ht="18" customHeight="1">
      <c r="A8" s="912"/>
      <c r="B8" s="295" t="s">
        <v>59</v>
      </c>
      <c r="C8" s="99" t="s">
        <v>36</v>
      </c>
      <c r="D8" s="100" t="s">
        <v>58</v>
      </c>
      <c r="E8" s="108"/>
      <c r="F8" s="111" t="s">
        <v>16</v>
      </c>
      <c r="G8" s="109" t="s">
        <v>71</v>
      </c>
      <c r="H8" s="107" t="s">
        <v>1</v>
      </c>
      <c r="I8" s="110" t="s">
        <v>9</v>
      </c>
      <c r="J8" s="48" t="s">
        <v>8</v>
      </c>
    </row>
    <row r="9" spans="1:15" ht="18.75">
      <c r="A9" s="244"/>
      <c r="B9" s="269">
        <v>85</v>
      </c>
      <c r="C9" s="269">
        <v>0</v>
      </c>
      <c r="D9" s="269">
        <v>0</v>
      </c>
      <c r="E9" s="269"/>
      <c r="F9" s="269">
        <v>72491.25</v>
      </c>
      <c r="G9" s="269"/>
      <c r="H9" s="34"/>
      <c r="I9" s="21"/>
      <c r="J9" s="117"/>
      <c r="N9" s="157"/>
      <c r="O9" s="157"/>
    </row>
    <row r="10" spans="1:15" ht="18.75">
      <c r="A10" s="95">
        <f>Gen!B11</f>
        <v>44105</v>
      </c>
      <c r="B10" s="269">
        <v>85</v>
      </c>
      <c r="C10" s="269">
        <v>0</v>
      </c>
      <c r="D10" s="269">
        <v>0</v>
      </c>
      <c r="E10" s="269"/>
      <c r="F10" s="269">
        <v>72503.960000000006</v>
      </c>
      <c r="G10" s="269">
        <f t="shared" ref="G10:G40" si="0">(F10-F9)*4.4</f>
        <v>55.92400000002818</v>
      </c>
      <c r="H10" s="112">
        <f>Gen!C11</f>
        <v>5.1900000000000002E-2</v>
      </c>
      <c r="I10" s="6">
        <f>SUM(F10/H10)</f>
        <v>1396993.4489402699</v>
      </c>
      <c r="J10" s="117">
        <f t="shared" ref="J10:J40" si="1">SUM(G10/I10)</f>
        <v>4.003168378667127E-5</v>
      </c>
      <c r="N10" s="157"/>
      <c r="O10" s="157"/>
    </row>
    <row r="11" spans="1:15" ht="18.75">
      <c r="A11" s="95">
        <f>Gen!B12</f>
        <v>44106</v>
      </c>
      <c r="B11" s="269">
        <v>85</v>
      </c>
      <c r="C11" s="269">
        <v>0</v>
      </c>
      <c r="D11" s="269">
        <v>0</v>
      </c>
      <c r="E11" s="269"/>
      <c r="F11" s="269">
        <v>72511.48</v>
      </c>
      <c r="G11" s="269">
        <f t="shared" si="0"/>
        <v>33.087999999953901</v>
      </c>
      <c r="H11" s="112">
        <f>Gen!C12</f>
        <v>3.9E-2</v>
      </c>
      <c r="I11" s="6">
        <f t="shared" ref="I11:I28" si="2">SUM(F11/H11)</f>
        <v>1859268.7179487178</v>
      </c>
      <c r="J11" s="117">
        <f t="shared" si="1"/>
        <v>1.7796244125732948E-5</v>
      </c>
      <c r="M11" s="157"/>
      <c r="N11" s="157"/>
    </row>
    <row r="12" spans="1:15" ht="18.75">
      <c r="A12" s="95">
        <f>Gen!B13</f>
        <v>44107</v>
      </c>
      <c r="B12" s="269">
        <v>85</v>
      </c>
      <c r="C12" s="269">
        <v>0</v>
      </c>
      <c r="D12" s="269">
        <v>0</v>
      </c>
      <c r="E12" s="269"/>
      <c r="F12" s="269">
        <v>72526.509999999995</v>
      </c>
      <c r="G12" s="269">
        <f t="shared" si="0"/>
        <v>66.131999999994889</v>
      </c>
      <c r="H12" s="112">
        <f>Gen!C13</f>
        <v>2.5999999999999999E-2</v>
      </c>
      <c r="I12" s="6">
        <f t="shared" si="2"/>
        <v>2789481.153846154</v>
      </c>
      <c r="J12" s="117">
        <f t="shared" si="1"/>
        <v>2.3707634629046223E-5</v>
      </c>
      <c r="M12" s="157"/>
      <c r="N12" s="157"/>
    </row>
    <row r="13" spans="1:15" ht="18.75">
      <c r="A13" s="95">
        <f>Gen!B14</f>
        <v>44108</v>
      </c>
      <c r="B13" s="269">
        <v>85</v>
      </c>
      <c r="C13" s="269">
        <v>0</v>
      </c>
      <c r="D13" s="269">
        <v>0</v>
      </c>
      <c r="E13" s="269"/>
      <c r="F13" s="269">
        <v>72541.38</v>
      </c>
      <c r="G13" s="269">
        <f t="shared" si="0"/>
        <v>65.428000000043539</v>
      </c>
      <c r="H13" s="112">
        <f>Gen!C14</f>
        <v>1.2999999999999999E-2</v>
      </c>
      <c r="I13" s="6">
        <f t="shared" si="2"/>
        <v>5580106.1538461549</v>
      </c>
      <c r="J13" s="117">
        <f t="shared" si="1"/>
        <v>1.1725224968157014E-5</v>
      </c>
      <c r="M13" s="157"/>
      <c r="N13" s="157"/>
    </row>
    <row r="14" spans="1:15" ht="18.75">
      <c r="A14" s="95">
        <f>Gen!B15</f>
        <v>44109</v>
      </c>
      <c r="B14" s="269">
        <v>84</v>
      </c>
      <c r="C14" s="269">
        <v>85</v>
      </c>
      <c r="D14" s="269">
        <v>85</v>
      </c>
      <c r="E14" s="269"/>
      <c r="F14" s="269">
        <v>72559.850000000006</v>
      </c>
      <c r="G14" s="269">
        <f t="shared" si="0"/>
        <v>81.268000000005131</v>
      </c>
      <c r="H14" s="112">
        <f>Gen!C15</f>
        <v>2.3E-2</v>
      </c>
      <c r="I14" s="6">
        <f t="shared" si="2"/>
        <v>3154776.086956522</v>
      </c>
      <c r="J14" s="117">
        <f t="shared" si="1"/>
        <v>2.5760306836358094E-5</v>
      </c>
      <c r="M14" s="157"/>
      <c r="N14" s="157"/>
    </row>
    <row r="15" spans="1:15" ht="18.75">
      <c r="A15" s="95">
        <f>Gen!B16</f>
        <v>44110</v>
      </c>
      <c r="B15" s="269">
        <v>82</v>
      </c>
      <c r="C15" s="269">
        <v>85</v>
      </c>
      <c r="D15" s="269">
        <v>85</v>
      </c>
      <c r="E15" s="269"/>
      <c r="F15" s="269">
        <v>72577.31</v>
      </c>
      <c r="G15" s="269">
        <f t="shared" si="0"/>
        <v>76.823999999964144</v>
      </c>
      <c r="H15" s="112">
        <f>Gen!C16</f>
        <v>2.3E-2</v>
      </c>
      <c r="I15" s="6">
        <f t="shared" si="2"/>
        <v>3155535.2173913042</v>
      </c>
      <c r="J15" s="117">
        <f t="shared" si="1"/>
        <v>2.4345790716122924E-5</v>
      </c>
      <c r="M15" s="157"/>
      <c r="N15" s="157"/>
    </row>
    <row r="16" spans="1:15" ht="18.75">
      <c r="A16" s="95">
        <f>Gen!B17</f>
        <v>44111</v>
      </c>
      <c r="B16" s="269">
        <v>81</v>
      </c>
      <c r="C16" s="269">
        <v>85</v>
      </c>
      <c r="D16" s="269">
        <v>85</v>
      </c>
      <c r="E16" s="269"/>
      <c r="F16" s="269">
        <v>72588.61</v>
      </c>
      <c r="G16" s="269">
        <f t="shared" si="0"/>
        <v>49.72000000001281</v>
      </c>
      <c r="H16" s="112">
        <f>Gen!C17</f>
        <v>3.9E-2</v>
      </c>
      <c r="I16" s="6">
        <f t="shared" si="2"/>
        <v>1861246.4102564103</v>
      </c>
      <c r="J16" s="117">
        <f t="shared" si="1"/>
        <v>2.6713281877149866E-5</v>
      </c>
      <c r="M16" s="157"/>
      <c r="N16" s="157"/>
    </row>
    <row r="17" spans="1:14" ht="18.75">
      <c r="A17" s="95">
        <f>Gen!B18</f>
        <v>44112</v>
      </c>
      <c r="B17" s="269">
        <v>80</v>
      </c>
      <c r="C17" s="269">
        <v>85</v>
      </c>
      <c r="D17" s="269">
        <v>85</v>
      </c>
      <c r="E17" s="269"/>
      <c r="F17" s="269">
        <v>72603.86</v>
      </c>
      <c r="G17" s="269">
        <f t="shared" si="0"/>
        <v>67.100000000000009</v>
      </c>
      <c r="H17" s="112">
        <f>Gen!C18</f>
        <v>5.1900000000000002E-2</v>
      </c>
      <c r="I17" s="6">
        <f t="shared" si="2"/>
        <v>1398918.3044315991</v>
      </c>
      <c r="J17" s="117">
        <f t="shared" si="1"/>
        <v>4.7965631579367831E-5</v>
      </c>
      <c r="M17" s="157"/>
      <c r="N17" s="157"/>
    </row>
    <row r="18" spans="1:14" ht="18.75">
      <c r="A18" s="95">
        <f>Gen!B19</f>
        <v>44113</v>
      </c>
      <c r="B18" s="269">
        <v>79</v>
      </c>
      <c r="C18" s="269">
        <v>85</v>
      </c>
      <c r="D18" s="269">
        <v>85</v>
      </c>
      <c r="E18" s="269"/>
      <c r="F18" s="269">
        <v>72617.39</v>
      </c>
      <c r="G18" s="269">
        <f t="shared" si="0"/>
        <v>59.531999999994881</v>
      </c>
      <c r="H18" s="112">
        <f>Gen!C19</f>
        <v>5.1900000000000002E-2</v>
      </c>
      <c r="I18" s="6">
        <f t="shared" si="2"/>
        <v>1399178.9980732177</v>
      </c>
      <c r="J18" s="117">
        <f t="shared" si="1"/>
        <v>4.2547808451938774E-5</v>
      </c>
      <c r="M18" s="157"/>
      <c r="N18" s="157"/>
    </row>
    <row r="19" spans="1:14" ht="18.75">
      <c r="A19" s="95">
        <f>Gen!B20</f>
        <v>44114</v>
      </c>
      <c r="B19" s="269">
        <v>77</v>
      </c>
      <c r="C19" s="269">
        <v>85</v>
      </c>
      <c r="D19" s="269">
        <v>85</v>
      </c>
      <c r="E19" s="269"/>
      <c r="F19" s="269">
        <v>72630.710000000006</v>
      </c>
      <c r="G19" s="269">
        <f t="shared" si="0"/>
        <v>58.608000000030735</v>
      </c>
      <c r="H19" s="112">
        <f>Gen!C20</f>
        <v>5.1900000000000002E-2</v>
      </c>
      <c r="I19" s="6">
        <f t="shared" si="2"/>
        <v>1399435.6454720618</v>
      </c>
      <c r="J19" s="117">
        <f t="shared" si="1"/>
        <v>4.1879739300381266E-5</v>
      </c>
      <c r="M19" s="157"/>
      <c r="N19" s="157"/>
    </row>
    <row r="20" spans="1:14" ht="18.75">
      <c r="A20" s="95">
        <f>Gen!B21</f>
        <v>44115</v>
      </c>
      <c r="B20" s="269">
        <v>75</v>
      </c>
      <c r="C20" s="269">
        <v>85</v>
      </c>
      <c r="D20" s="269">
        <v>85</v>
      </c>
      <c r="E20" s="269"/>
      <c r="F20" s="269">
        <v>72646.33</v>
      </c>
      <c r="G20" s="269">
        <f t="shared" si="0"/>
        <v>68.727999999979517</v>
      </c>
      <c r="H20" s="112">
        <f>Gen!C21</f>
        <v>1.2999999999999999E-2</v>
      </c>
      <c r="I20" s="6">
        <f t="shared" si="2"/>
        <v>5588179.230769231</v>
      </c>
      <c r="J20" s="117">
        <f t="shared" si="1"/>
        <v>1.2298818123361961E-5</v>
      </c>
    </row>
    <row r="21" spans="1:14" ht="18.75">
      <c r="A21" s="95">
        <f>Gen!B22</f>
        <v>44116</v>
      </c>
      <c r="B21" s="269">
        <v>73</v>
      </c>
      <c r="C21" s="269">
        <v>85</v>
      </c>
      <c r="D21" s="269">
        <v>85</v>
      </c>
      <c r="E21" s="269"/>
      <c r="F21" s="269">
        <v>72661.210000000006</v>
      </c>
      <c r="G21" s="269">
        <f t="shared" si="0"/>
        <v>65.4720000000205</v>
      </c>
      <c r="H21" s="112">
        <f>Gen!C22</f>
        <v>3.9E-2</v>
      </c>
      <c r="I21" s="6">
        <f t="shared" si="2"/>
        <v>1863107.948717949</v>
      </c>
      <c r="J21" s="117">
        <f t="shared" si="1"/>
        <v>3.5141281021893237E-5</v>
      </c>
    </row>
    <row r="22" spans="1:14" ht="18.75">
      <c r="A22" s="95">
        <f>Gen!B23</f>
        <v>44117</v>
      </c>
      <c r="B22" s="269">
        <v>70</v>
      </c>
      <c r="C22" s="269">
        <v>85</v>
      </c>
      <c r="D22" s="269">
        <v>85</v>
      </c>
      <c r="E22" s="269"/>
      <c r="F22" s="269">
        <v>72676.05</v>
      </c>
      <c r="G22" s="269">
        <f t="shared" si="0"/>
        <v>65.295999999984645</v>
      </c>
      <c r="H22" s="112">
        <f>Gen!C23</f>
        <v>5.1900000000000002E-2</v>
      </c>
      <c r="I22" s="6">
        <f t="shared" si="2"/>
        <v>1400309.2485549133</v>
      </c>
      <c r="J22" s="117">
        <f t="shared" si="1"/>
        <v>4.6629699880486116E-5</v>
      </c>
    </row>
    <row r="23" spans="1:14" ht="18.75">
      <c r="A23" s="95">
        <f>Gen!B24</f>
        <v>44118</v>
      </c>
      <c r="B23" s="269">
        <v>69</v>
      </c>
      <c r="C23" s="269">
        <v>85</v>
      </c>
      <c r="D23" s="269">
        <v>85</v>
      </c>
      <c r="E23" s="269"/>
      <c r="F23" s="269">
        <v>72690.710000000006</v>
      </c>
      <c r="G23" s="269">
        <f t="shared" si="0"/>
        <v>64.504000000015367</v>
      </c>
      <c r="H23" s="112">
        <f>Gen!C24</f>
        <v>1.2999999999999999E-2</v>
      </c>
      <c r="I23" s="6">
        <f t="shared" si="2"/>
        <v>5591593.0769230779</v>
      </c>
      <c r="J23" s="117">
        <f t="shared" si="1"/>
        <v>1.1535889524262449E-5</v>
      </c>
    </row>
    <row r="24" spans="1:14" ht="18.75">
      <c r="A24" s="95">
        <f>Gen!B25</f>
        <v>44119</v>
      </c>
      <c r="B24" s="269">
        <v>68</v>
      </c>
      <c r="C24" s="269">
        <v>85</v>
      </c>
      <c r="D24" s="269">
        <v>85</v>
      </c>
      <c r="E24" s="269"/>
      <c r="F24" s="269">
        <v>72707.33</v>
      </c>
      <c r="G24" s="269">
        <f t="shared" si="0"/>
        <v>73.127999999979522</v>
      </c>
      <c r="H24" s="112">
        <f>Gen!C25</f>
        <v>5.1900000000000002E-2</v>
      </c>
      <c r="I24" s="6">
        <f t="shared" si="2"/>
        <v>1400911.9460500963</v>
      </c>
      <c r="J24" s="117">
        <f t="shared" si="1"/>
        <v>5.2200282970079323E-5</v>
      </c>
    </row>
    <row r="25" spans="1:14" ht="18.75">
      <c r="A25" s="95">
        <f>Gen!B26</f>
        <v>44120</v>
      </c>
      <c r="B25" s="269">
        <v>67</v>
      </c>
      <c r="C25" s="269">
        <v>85</v>
      </c>
      <c r="D25" s="269">
        <v>85</v>
      </c>
      <c r="E25" s="269"/>
      <c r="F25" s="269">
        <v>72725.350000000006</v>
      </c>
      <c r="G25" s="269">
        <f t="shared" si="0"/>
        <v>79.288000000017931</v>
      </c>
      <c r="H25" s="112">
        <f>Gen!C26</f>
        <v>0.1169</v>
      </c>
      <c r="I25" s="6">
        <f t="shared" si="2"/>
        <v>622115.91103507276</v>
      </c>
      <c r="J25" s="117">
        <f t="shared" si="1"/>
        <v>1.2744891843080981E-4</v>
      </c>
    </row>
    <row r="26" spans="1:14" ht="18.75">
      <c r="A26" s="95">
        <f>Gen!B27</f>
        <v>44121</v>
      </c>
      <c r="B26" s="269">
        <v>65</v>
      </c>
      <c r="C26" s="269">
        <v>85</v>
      </c>
      <c r="D26" s="269">
        <v>85</v>
      </c>
      <c r="E26" s="269"/>
      <c r="F26" s="269">
        <v>72746.820000000007</v>
      </c>
      <c r="G26" s="269">
        <f t="shared" si="0"/>
        <v>94.468000000005134</v>
      </c>
      <c r="H26" s="112">
        <f>Gen!C27</f>
        <v>0.15790000000000001</v>
      </c>
      <c r="I26" s="6">
        <f t="shared" si="2"/>
        <v>460714.50284990499</v>
      </c>
      <c r="J26" s="117">
        <f t="shared" si="1"/>
        <v>2.050467250664814E-4</v>
      </c>
    </row>
    <row r="27" spans="1:14" ht="18.75">
      <c r="A27" s="95">
        <f>Gen!B28</f>
        <v>44122</v>
      </c>
      <c r="B27" s="269">
        <v>63</v>
      </c>
      <c r="C27" s="269">
        <v>85</v>
      </c>
      <c r="D27" s="269">
        <v>85</v>
      </c>
      <c r="E27" s="269"/>
      <c r="F27" s="269">
        <v>727561</v>
      </c>
      <c r="G27" s="269">
        <f t="shared" si="0"/>
        <v>2881182.392</v>
      </c>
      <c r="H27" s="112">
        <f>Gen!C28</f>
        <v>0.15790000000000001</v>
      </c>
      <c r="I27" s="6">
        <f t="shared" si="2"/>
        <v>4607732.7422419246</v>
      </c>
      <c r="J27" s="117">
        <f t="shared" si="1"/>
        <v>0.62529286162507347</v>
      </c>
    </row>
    <row r="28" spans="1:14" ht="18.75">
      <c r="A28" s="95">
        <f>Gen!B29</f>
        <v>44123</v>
      </c>
      <c r="B28" s="269">
        <v>60</v>
      </c>
      <c r="C28" s="269">
        <v>85</v>
      </c>
      <c r="D28" s="269">
        <v>85</v>
      </c>
      <c r="E28" s="269"/>
      <c r="F28" s="269">
        <v>72767.89</v>
      </c>
      <c r="G28" s="269">
        <f t="shared" si="0"/>
        <v>-2881089.6840000004</v>
      </c>
      <c r="H28" s="112">
        <f>Gen!C29</f>
        <v>0.12989999999999999</v>
      </c>
      <c r="I28" s="6">
        <f t="shared" si="2"/>
        <v>560183.91070053889</v>
      </c>
      <c r="J28" s="117">
        <f t="shared" si="1"/>
        <v>-5.1431139469840339</v>
      </c>
    </row>
    <row r="29" spans="1:14" ht="18.75">
      <c r="A29" s="95">
        <f>Gen!B30</f>
        <v>44124</v>
      </c>
      <c r="B29" s="269"/>
      <c r="C29" s="269"/>
      <c r="D29" s="269"/>
      <c r="E29" s="269"/>
      <c r="F29" s="269"/>
      <c r="G29" s="269">
        <f t="shared" si="0"/>
        <v>-320178.71600000001</v>
      </c>
      <c r="H29" s="112">
        <f>Gen!C30</f>
        <v>0</v>
      </c>
      <c r="I29" s="6" t="e">
        <f t="shared" ref="I29:I41" si="3">SUM(F29/H29)</f>
        <v>#DIV/0!</v>
      </c>
      <c r="J29" s="117" t="e">
        <f t="shared" si="1"/>
        <v>#DIV/0!</v>
      </c>
    </row>
    <row r="30" spans="1:14" ht="18.75">
      <c r="A30" s="95">
        <f>Gen!B31</f>
        <v>44125</v>
      </c>
      <c r="B30" s="269"/>
      <c r="C30" s="269"/>
      <c r="D30" s="269"/>
      <c r="E30" s="269"/>
      <c r="F30" s="269"/>
      <c r="G30" s="269">
        <f t="shared" si="0"/>
        <v>0</v>
      </c>
      <c r="H30" s="112">
        <f>Gen!C31</f>
        <v>0</v>
      </c>
      <c r="I30" s="6" t="e">
        <f t="shared" si="3"/>
        <v>#DIV/0!</v>
      </c>
      <c r="J30" s="117" t="e">
        <f t="shared" si="1"/>
        <v>#DIV/0!</v>
      </c>
    </row>
    <row r="31" spans="1:14" ht="18.75">
      <c r="A31" s="95">
        <f>Gen!B32</f>
        <v>44126</v>
      </c>
      <c r="B31" s="269"/>
      <c r="C31" s="269"/>
      <c r="D31" s="269"/>
      <c r="E31" s="269"/>
      <c r="F31" s="269"/>
      <c r="G31" s="269">
        <f t="shared" si="0"/>
        <v>0</v>
      </c>
      <c r="H31" s="112">
        <f>Gen!C32</f>
        <v>0</v>
      </c>
      <c r="I31" s="6" t="e">
        <f t="shared" si="3"/>
        <v>#DIV/0!</v>
      </c>
      <c r="J31" s="117" t="e">
        <f t="shared" si="1"/>
        <v>#DIV/0!</v>
      </c>
    </row>
    <row r="32" spans="1:14" ht="18.75">
      <c r="A32" s="95">
        <f>Gen!B33</f>
        <v>44127</v>
      </c>
      <c r="B32" s="269"/>
      <c r="C32" s="269"/>
      <c r="D32" s="269"/>
      <c r="E32" s="269"/>
      <c r="F32" s="269"/>
      <c r="G32" s="269">
        <f t="shared" si="0"/>
        <v>0</v>
      </c>
      <c r="H32" s="112">
        <f>Gen!C33</f>
        <v>0</v>
      </c>
      <c r="I32" s="6" t="e">
        <f t="shared" si="3"/>
        <v>#DIV/0!</v>
      </c>
      <c r="J32" s="117" t="e">
        <f t="shared" si="1"/>
        <v>#DIV/0!</v>
      </c>
    </row>
    <row r="33" spans="1:10" ht="18.75">
      <c r="A33" s="95">
        <f>Gen!B34</f>
        <v>44128</v>
      </c>
      <c r="B33" s="269"/>
      <c r="C33" s="269"/>
      <c r="D33" s="269"/>
      <c r="E33" s="269"/>
      <c r="F33" s="269"/>
      <c r="G33" s="269">
        <f t="shared" si="0"/>
        <v>0</v>
      </c>
      <c r="H33" s="112">
        <f>Gen!C34</f>
        <v>0</v>
      </c>
      <c r="I33" s="6" t="e">
        <f t="shared" si="3"/>
        <v>#DIV/0!</v>
      </c>
      <c r="J33" s="117" t="e">
        <f t="shared" si="1"/>
        <v>#DIV/0!</v>
      </c>
    </row>
    <row r="34" spans="1:10" ht="18.75">
      <c r="A34" s="95">
        <f>Gen!B35</f>
        <v>44129</v>
      </c>
      <c r="B34" s="269"/>
      <c r="C34" s="269"/>
      <c r="D34" s="269"/>
      <c r="E34" s="269"/>
      <c r="F34" s="269"/>
      <c r="G34" s="269">
        <f t="shared" si="0"/>
        <v>0</v>
      </c>
      <c r="H34" s="112">
        <f>Gen!C35</f>
        <v>0</v>
      </c>
      <c r="I34" s="6" t="e">
        <f t="shared" si="3"/>
        <v>#DIV/0!</v>
      </c>
      <c r="J34" s="117" t="e">
        <f t="shared" si="1"/>
        <v>#DIV/0!</v>
      </c>
    </row>
    <row r="35" spans="1:10" ht="18.75">
      <c r="A35" s="95">
        <f>Gen!B36</f>
        <v>44130</v>
      </c>
      <c r="B35" s="269"/>
      <c r="C35" s="269"/>
      <c r="D35" s="269"/>
      <c r="E35" s="269"/>
      <c r="F35" s="269"/>
      <c r="G35" s="269">
        <f t="shared" si="0"/>
        <v>0</v>
      </c>
      <c r="H35" s="112">
        <f>Gen!C36</f>
        <v>0</v>
      </c>
      <c r="I35" s="6" t="e">
        <f t="shared" si="3"/>
        <v>#DIV/0!</v>
      </c>
      <c r="J35" s="117" t="e">
        <f t="shared" si="1"/>
        <v>#DIV/0!</v>
      </c>
    </row>
    <row r="36" spans="1:10" ht="18.75">
      <c r="A36" s="95">
        <f>Gen!B37</f>
        <v>44131</v>
      </c>
      <c r="B36" s="269"/>
      <c r="C36" s="269"/>
      <c r="D36" s="269"/>
      <c r="E36" s="269"/>
      <c r="F36" s="269"/>
      <c r="G36" s="269">
        <f t="shared" si="0"/>
        <v>0</v>
      </c>
      <c r="H36" s="112">
        <f>Gen!C37</f>
        <v>0</v>
      </c>
      <c r="I36" s="6" t="e">
        <f t="shared" si="3"/>
        <v>#DIV/0!</v>
      </c>
      <c r="J36" s="117" t="e">
        <f t="shared" si="1"/>
        <v>#DIV/0!</v>
      </c>
    </row>
    <row r="37" spans="1:10" ht="18.75">
      <c r="A37" s="95">
        <f>Gen!B38</f>
        <v>44132</v>
      </c>
      <c r="B37" s="269"/>
      <c r="C37" s="269"/>
      <c r="D37" s="269"/>
      <c r="E37" s="269"/>
      <c r="F37" s="269"/>
      <c r="G37" s="269">
        <f t="shared" si="0"/>
        <v>0</v>
      </c>
      <c r="H37" s="112">
        <f>Gen!C38</f>
        <v>0</v>
      </c>
      <c r="I37" s="6" t="e">
        <f t="shared" si="3"/>
        <v>#DIV/0!</v>
      </c>
      <c r="J37" s="117" t="e">
        <f t="shared" si="1"/>
        <v>#DIV/0!</v>
      </c>
    </row>
    <row r="38" spans="1:10" ht="18.75">
      <c r="A38" s="95">
        <f>Gen!B39</f>
        <v>44133</v>
      </c>
      <c r="B38" s="269"/>
      <c r="C38" s="269"/>
      <c r="D38" s="269"/>
      <c r="E38" s="269"/>
      <c r="F38" s="269"/>
      <c r="G38" s="269">
        <f t="shared" si="0"/>
        <v>0</v>
      </c>
      <c r="H38" s="112">
        <f>Gen!C39</f>
        <v>0</v>
      </c>
      <c r="I38" s="6" t="e">
        <f t="shared" si="3"/>
        <v>#DIV/0!</v>
      </c>
      <c r="J38" s="117" t="e">
        <f t="shared" si="1"/>
        <v>#DIV/0!</v>
      </c>
    </row>
    <row r="39" spans="1:10" ht="18.75">
      <c r="A39" s="95">
        <f>Gen!B40</f>
        <v>44134</v>
      </c>
      <c r="B39" s="269"/>
      <c r="C39" s="269"/>
      <c r="D39" s="269"/>
      <c r="E39" s="269"/>
      <c r="F39" s="269"/>
      <c r="G39" s="269">
        <f t="shared" si="0"/>
        <v>0</v>
      </c>
      <c r="H39" s="112">
        <f>Gen!C40</f>
        <v>0</v>
      </c>
      <c r="I39" s="6" t="e">
        <f t="shared" si="3"/>
        <v>#DIV/0!</v>
      </c>
      <c r="J39" s="117" t="e">
        <f t="shared" si="1"/>
        <v>#DIV/0!</v>
      </c>
    </row>
    <row r="40" spans="1:10" ht="18.75">
      <c r="A40" s="95">
        <f>Gen!B41</f>
        <v>44135</v>
      </c>
      <c r="B40" s="269"/>
      <c r="C40" s="269"/>
      <c r="D40" s="269"/>
      <c r="E40" s="269"/>
      <c r="F40" s="269"/>
      <c r="G40" s="269">
        <f t="shared" si="0"/>
        <v>0</v>
      </c>
      <c r="H40" s="112">
        <f>Gen!C41</f>
        <v>0</v>
      </c>
      <c r="I40" s="6" t="e">
        <f t="shared" si="3"/>
        <v>#DIV/0!</v>
      </c>
      <c r="J40" s="117" t="e">
        <f t="shared" si="1"/>
        <v>#DIV/0!</v>
      </c>
    </row>
    <row r="41" spans="1:10" ht="18.75">
      <c r="A41" s="95">
        <f>Gen!B42</f>
        <v>44136</v>
      </c>
      <c r="B41" s="269"/>
      <c r="C41" s="269"/>
      <c r="D41" s="269"/>
      <c r="E41" s="269"/>
      <c r="F41" s="269"/>
      <c r="G41" s="269"/>
      <c r="H41" s="112">
        <f>Gen!C42</f>
        <v>0</v>
      </c>
      <c r="I41" s="6" t="e">
        <f t="shared" si="3"/>
        <v>#DIV/0!</v>
      </c>
      <c r="J41" s="6"/>
    </row>
    <row r="42" spans="1:10" ht="17.25">
      <c r="A42" s="95"/>
      <c r="B42" s="5"/>
      <c r="C42" s="907" t="s">
        <v>6</v>
      </c>
      <c r="D42" s="907"/>
      <c r="E42" s="2">
        <f t="shared" ref="E42:F42" si="4">SUM(E10:E40)</f>
        <v>0</v>
      </c>
      <c r="F42" s="2">
        <f t="shared" si="4"/>
        <v>2034843.75</v>
      </c>
      <c r="G42" s="102">
        <f>SUM(G10:G40)</f>
        <v>-318961.50000000047</v>
      </c>
      <c r="H42" s="7"/>
      <c r="I42" s="6"/>
      <c r="J42" s="117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75</v>
      </c>
      <c r="C1" s="14" t="s">
        <v>24</v>
      </c>
    </row>
    <row r="2" spans="1:3">
      <c r="A2" s="94">
        <f>Gen!B11</f>
        <v>44105</v>
      </c>
      <c r="B2" s="13">
        <f>'[1]Lpg (2)'!G10</f>
        <v>197.55999999997439</v>
      </c>
      <c r="C2" s="93">
        <f>SUM([1]Gen!B11)</f>
        <v>0.623</v>
      </c>
    </row>
    <row r="3" spans="1:3">
      <c r="A3" s="94">
        <f>Gen!B12</f>
        <v>44106</v>
      </c>
      <c r="B3" s="13">
        <f>'[1]Lpg (2)'!G11</f>
        <v>131.95600000002307</v>
      </c>
      <c r="C3" s="93">
        <f>SUM([1]Gen!B12)</f>
        <v>0.77900000000000003</v>
      </c>
    </row>
    <row r="4" spans="1:3">
      <c r="A4" s="94">
        <f>Gen!B13</f>
        <v>44107</v>
      </c>
      <c r="B4" s="13">
        <f>'[1]Lpg (2)'!G12</f>
        <v>117.4799999999872</v>
      </c>
      <c r="C4" s="93">
        <f>SUM([1]Gen!B13)</f>
        <v>0.53200000000000003</v>
      </c>
    </row>
    <row r="5" spans="1:3">
      <c r="A5" s="94">
        <f>Gen!B14</f>
        <v>44108</v>
      </c>
      <c r="B5" s="13">
        <f>'[1]Lpg (2)'!G13</f>
        <v>102.9599999999744</v>
      </c>
      <c r="C5" s="93">
        <f>SUM([1]Gen!B14)</f>
        <v>0.61</v>
      </c>
    </row>
    <row r="6" spans="1:3">
      <c r="A6" s="94">
        <f>Gen!B15</f>
        <v>44109</v>
      </c>
      <c r="B6" s="13">
        <f>'[1]Lpg (2)'!G14</f>
        <v>101.81599999999744</v>
      </c>
      <c r="C6" s="93">
        <f>SUM([1]Gen!B15)</f>
        <v>0.68799999999999994</v>
      </c>
    </row>
    <row r="7" spans="1:3">
      <c r="A7" s="94">
        <f>Gen!B16</f>
        <v>44110</v>
      </c>
      <c r="B7" s="13">
        <f>'[1]Lpg (2)'!G15</f>
        <v>106.92000000001282</v>
      </c>
      <c r="C7" s="93">
        <f>SUM([1]Gen!B16)</f>
        <v>0.53200000000000003</v>
      </c>
    </row>
    <row r="8" spans="1:3">
      <c r="A8" s="94">
        <f>Gen!B17</f>
        <v>44111</v>
      </c>
      <c r="B8" s="13">
        <f>'[1]Lpg (2)'!G16</f>
        <v>116.73199999999488</v>
      </c>
      <c r="C8" s="93">
        <f>SUM([1]Gen!B17)</f>
        <v>0.753</v>
      </c>
    </row>
    <row r="9" spans="1:3">
      <c r="A9" s="94">
        <f>Gen!B18</f>
        <v>44112</v>
      </c>
      <c r="B9" s="13">
        <f>'[1]Lpg (2)'!G17</f>
        <v>105.73199999999488</v>
      </c>
      <c r="C9" s="93">
        <f>SUM([1]Gen!B18)</f>
        <v>0.156</v>
      </c>
    </row>
    <row r="10" spans="1:3">
      <c r="A10" s="94">
        <f>Gen!B19</f>
        <v>44113</v>
      </c>
      <c r="B10" s="13">
        <f>'[1]Lpg (2)'!G18</f>
        <v>114.4</v>
      </c>
      <c r="C10" s="93">
        <f>SUM([1]Gen!B19)</f>
        <v>0.442</v>
      </c>
    </row>
    <row r="11" spans="1:3">
      <c r="A11" s="94">
        <f>Gen!B20</f>
        <v>44114</v>
      </c>
      <c r="B11" s="13">
        <f>'[1]Lpg (2)'!G19</f>
        <v>102.08000000005123</v>
      </c>
      <c r="C11" s="93">
        <f>SUM([1]Gen!B20)</f>
        <v>0.32500000000000001</v>
      </c>
    </row>
    <row r="12" spans="1:3">
      <c r="A12" s="94">
        <f>Gen!B21</f>
        <v>44115</v>
      </c>
      <c r="B12" s="13">
        <f>'[1]Lpg (2)'!G20</f>
        <v>105.29199999996928</v>
      </c>
      <c r="C12" s="93">
        <f>SUM([1]Gen!B21)</f>
        <v>0.45500000000000002</v>
      </c>
    </row>
    <row r="13" spans="1:3">
      <c r="A13" s="94">
        <f>Gen!B22</f>
        <v>44116</v>
      </c>
      <c r="B13" s="13">
        <f>'[1]Lpg (2)'!G21</f>
        <v>114.66399999998977</v>
      </c>
      <c r="C13" s="93">
        <f>SUM([1]Gen!B22)</f>
        <v>0.41599999999999998</v>
      </c>
    </row>
    <row r="14" spans="1:3">
      <c r="A14" s="94">
        <f>Gen!B23</f>
        <v>44117</v>
      </c>
      <c r="B14" s="13">
        <f>'[1]Lpg (2)'!G22</f>
        <v>113.78400000000256</v>
      </c>
      <c r="C14" s="93">
        <f>SUM([1]Gen!B23)</f>
        <v>0.39</v>
      </c>
    </row>
    <row r="15" spans="1:3">
      <c r="A15" s="94">
        <f>Gen!B24</f>
        <v>44118</v>
      </c>
      <c r="B15" s="13">
        <f>'[1]Lpg (2)'!G23</f>
        <v>114.62000000001281</v>
      </c>
      <c r="C15" s="93">
        <f>SUM([1]Gen!B24)</f>
        <v>0.63600000000000001</v>
      </c>
    </row>
    <row r="16" spans="1:3">
      <c r="A16" s="94">
        <f>Gen!B25</f>
        <v>44119</v>
      </c>
      <c r="B16" s="13">
        <f>'[1]Lpg (2)'!G24</f>
        <v>107.49199999996928</v>
      </c>
      <c r="C16" s="93">
        <f>SUM([1]Gen!B25)</f>
        <v>0.84399999999999997</v>
      </c>
    </row>
    <row r="17" spans="1:3">
      <c r="A17" s="94">
        <f>Gen!B26</f>
        <v>44120</v>
      </c>
      <c r="B17" s="13">
        <f>'[1]Lpg (2)'!G25</f>
        <v>106.78800000001793</v>
      </c>
      <c r="C17" s="93">
        <f>SUM([1]Gen!B26)</f>
        <v>0.81799999999999995</v>
      </c>
    </row>
    <row r="18" spans="1:3">
      <c r="A18" s="94">
        <f>Gen!B27</f>
        <v>44121</v>
      </c>
      <c r="B18" s="13">
        <f>'[1]Lpg (2)'!G26</f>
        <v>100.76000000003843</v>
      </c>
      <c r="C18" s="93">
        <f>SUM([1]Gen!B27)</f>
        <v>0.20799999999999999</v>
      </c>
    </row>
    <row r="19" spans="1:3">
      <c r="A19" s="94">
        <f>Gen!B28</f>
        <v>44122</v>
      </c>
      <c r="B19" s="13">
        <f>'[1]Lpg (2)'!G27</f>
        <v>108.6799999999872</v>
      </c>
      <c r="C19" s="93">
        <f>SUM([1]Gen!B28)</f>
        <v>0.221</v>
      </c>
    </row>
    <row r="20" spans="1:3">
      <c r="A20" s="94">
        <f>Gen!B29</f>
        <v>44123</v>
      </c>
      <c r="B20" s="13">
        <f>'[1]Lpg (2)'!G28</f>
        <v>92.795999999984645</v>
      </c>
      <c r="C20" s="93">
        <f>SUM([1]Gen!B29)</f>
        <v>0.11700000000000001</v>
      </c>
    </row>
    <row r="21" spans="1:3">
      <c r="A21" s="94">
        <f>Gen!B30</f>
        <v>44124</v>
      </c>
      <c r="B21" s="13">
        <f>'[1]Lpg (2)'!G29</f>
        <v>137.80800000003075</v>
      </c>
      <c r="C21" s="93">
        <f>SUM([1]Gen!B30)</f>
        <v>0.57099999999999995</v>
      </c>
    </row>
    <row r="22" spans="1:3">
      <c r="A22" s="94">
        <f>Gen!B31</f>
        <v>44125</v>
      </c>
      <c r="B22" s="13">
        <f>'[1]Lpg (2)'!G30</f>
        <v>103.79599999998464</v>
      </c>
      <c r="C22" s="93">
        <f>SUM([1]Gen!B31)</f>
        <v>0.55800000000000005</v>
      </c>
    </row>
    <row r="23" spans="1:3">
      <c r="A23" s="94">
        <f>Gen!B32</f>
        <v>44126</v>
      </c>
      <c r="B23" s="13">
        <f>'[1]Lpg (2)'!G31</f>
        <v>20.415999999997439</v>
      </c>
      <c r="C23" s="93">
        <f>SUM([1]Gen!B32)</f>
        <v>0.40300000000000002</v>
      </c>
    </row>
    <row r="24" spans="1:3">
      <c r="A24" s="94">
        <f>Gen!B33</f>
        <v>44127</v>
      </c>
      <c r="B24" s="13">
        <f>'[1]Lpg (2)'!G32</f>
        <v>197.69199999996928</v>
      </c>
      <c r="C24" s="93">
        <f>SUM([1]Gen!B33)</f>
        <v>0.24</v>
      </c>
    </row>
    <row r="25" spans="1:3">
      <c r="A25" s="94">
        <f>Gen!B34</f>
        <v>44128</v>
      </c>
      <c r="B25" s="13">
        <f>'[1]Lpg (2)'!G33</f>
        <v>101.11200000004611</v>
      </c>
      <c r="C25" s="93">
        <f>SUM([1]Gen!B34)</f>
        <v>0.09</v>
      </c>
    </row>
    <row r="26" spans="1:3">
      <c r="A26" s="94">
        <f>Gen!B35</f>
        <v>44129</v>
      </c>
      <c r="B26" s="13">
        <f>'[1]Lpg (2)'!G34</f>
        <v>95.303999999951344</v>
      </c>
      <c r="C26" s="93">
        <f>SUM([1]Gen!B35)</f>
        <v>0.28599999999999998</v>
      </c>
    </row>
    <row r="27" spans="1:3">
      <c r="A27" s="94">
        <f>Gen!B36</f>
        <v>44130</v>
      </c>
      <c r="B27" s="13">
        <f>'[1]Lpg (2)'!G35</f>
        <v>104.80800000003075</v>
      </c>
      <c r="C27" s="93">
        <f>SUM([1]Gen!B36)</f>
        <v>0.54500000000000004</v>
      </c>
    </row>
    <row r="28" spans="1:3">
      <c r="A28" s="94">
        <f>Gen!B37</f>
        <v>44131</v>
      </c>
      <c r="B28" s="13">
        <f>'[1]Lpg (2)'!G36</f>
        <v>102.43199999999489</v>
      </c>
      <c r="C28" s="93">
        <f>SUM([1]Gen!B37)</f>
        <v>0.67500000000000004</v>
      </c>
    </row>
    <row r="29" spans="1:3">
      <c r="A29" s="94">
        <f>Gen!B38</f>
        <v>44132</v>
      </c>
      <c r="B29" s="13">
        <f>'[1]Lpg (2)'!G37</f>
        <v>-295728.88400000002</v>
      </c>
      <c r="C29" s="93">
        <f>SUM([1]Gen!B38)</f>
        <v>0.27300000000000002</v>
      </c>
    </row>
    <row r="30" spans="1:3">
      <c r="A30" s="94">
        <f>Gen!B39</f>
        <v>44133</v>
      </c>
      <c r="B30" s="13">
        <f>'[1]Lpg (2)'!G38</f>
        <v>0</v>
      </c>
      <c r="C30" s="93" t="e">
        <f>SUM([1]Gen!B39)</f>
        <v>#REF!</v>
      </c>
    </row>
    <row r="31" spans="1:3">
      <c r="A31" s="94">
        <f>Gen!B40</f>
        <v>44134</v>
      </c>
      <c r="B31" s="13">
        <f>'[1]Lpg (2)'!G39</f>
        <v>0</v>
      </c>
      <c r="C31" s="93" t="e">
        <f>SUM([1]Gen!B40)</f>
        <v>#REF!</v>
      </c>
    </row>
    <row r="32" spans="1:3">
      <c r="A32" s="94">
        <f>Gen!B41</f>
        <v>44135</v>
      </c>
      <c r="B32" s="13">
        <f>'[1]Lpg (2)'!G40</f>
        <v>0</v>
      </c>
      <c r="C32" s="93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16" zoomScale="94" zoomScaleNormal="94" workbookViewId="0">
      <pane xSplit="1" topLeftCell="B1" activePane="topRight" state="frozen"/>
      <selection pane="topRight" activeCell="J26" sqref="J26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32" t="s">
        <v>316</v>
      </c>
      <c r="B1" s="933"/>
      <c r="C1" s="933"/>
      <c r="D1" s="933"/>
      <c r="E1" s="933"/>
      <c r="F1" s="933"/>
      <c r="G1" s="933"/>
      <c r="H1" s="933"/>
      <c r="I1" s="933"/>
      <c r="J1" s="933"/>
      <c r="K1" s="933"/>
      <c r="L1" s="933"/>
      <c r="M1" s="933"/>
      <c r="N1" s="933"/>
      <c r="O1" s="933"/>
      <c r="P1" s="933"/>
      <c r="Q1" s="933"/>
      <c r="R1" s="933"/>
      <c r="S1" s="933"/>
      <c r="T1" s="933"/>
      <c r="U1" s="933"/>
      <c r="V1" s="933"/>
      <c r="W1" s="933"/>
      <c r="X1" s="933"/>
      <c r="Y1" s="933"/>
      <c r="Z1" s="933"/>
      <c r="AA1" s="933"/>
      <c r="AB1" s="933"/>
      <c r="AC1" s="933"/>
      <c r="AD1" s="933"/>
      <c r="AE1" s="933"/>
      <c r="AF1" s="933"/>
      <c r="AG1" s="933"/>
      <c r="AH1" s="933"/>
      <c r="AI1" s="933"/>
      <c r="AJ1" s="933"/>
      <c r="AK1" s="933"/>
      <c r="AL1" s="933"/>
      <c r="AM1" s="933"/>
      <c r="AN1" s="933"/>
    </row>
    <row r="2" spans="1:40" ht="13.5" customHeight="1" thickTop="1">
      <c r="A2" s="30"/>
      <c r="B2" s="30"/>
      <c r="C2" s="931" t="s">
        <v>52</v>
      </c>
      <c r="D2" s="931"/>
      <c r="E2" s="931"/>
      <c r="F2" s="931" t="s">
        <v>17</v>
      </c>
      <c r="G2" s="931"/>
      <c r="H2" s="931"/>
      <c r="I2" s="931" t="s">
        <v>131</v>
      </c>
      <c r="J2" s="931"/>
      <c r="K2" s="931"/>
      <c r="L2" s="931" t="s">
        <v>134</v>
      </c>
      <c r="M2" s="931"/>
      <c r="N2" s="931"/>
      <c r="O2" s="931" t="s">
        <v>132</v>
      </c>
      <c r="P2" s="931"/>
      <c r="Q2" s="931"/>
      <c r="R2" s="253"/>
      <c r="S2" s="940" t="s">
        <v>181</v>
      </c>
      <c r="T2" s="941"/>
      <c r="U2" s="942"/>
      <c r="V2" s="940" t="s">
        <v>182</v>
      </c>
      <c r="W2" s="941"/>
      <c r="X2" s="942"/>
      <c r="Y2" s="940" t="s">
        <v>183</v>
      </c>
      <c r="Z2" s="941"/>
      <c r="AA2" s="942"/>
      <c r="AB2" s="940" t="s">
        <v>184</v>
      </c>
      <c r="AC2" s="941"/>
      <c r="AD2" s="942"/>
      <c r="AE2" s="934" t="s">
        <v>239</v>
      </c>
      <c r="AF2" s="935"/>
      <c r="AG2" s="946"/>
      <c r="AH2" s="934" t="s">
        <v>243</v>
      </c>
      <c r="AI2" s="935"/>
      <c r="AJ2" s="946"/>
      <c r="AK2" s="934" t="s">
        <v>240</v>
      </c>
      <c r="AL2" s="935"/>
      <c r="AM2" s="935"/>
      <c r="AN2" s="938" t="s">
        <v>189</v>
      </c>
    </row>
    <row r="3" spans="1:40" ht="21.75" customHeight="1" thickBot="1">
      <c r="A3" s="929" t="s">
        <v>7</v>
      </c>
      <c r="B3" s="30"/>
      <c r="C3" s="931" t="s">
        <v>133</v>
      </c>
      <c r="D3" s="931" t="s">
        <v>15</v>
      </c>
      <c r="E3" s="931" t="s">
        <v>16</v>
      </c>
      <c r="F3" s="931" t="s">
        <v>133</v>
      </c>
      <c r="G3" s="931" t="s">
        <v>15</v>
      </c>
      <c r="H3" s="931" t="s">
        <v>16</v>
      </c>
      <c r="I3" s="931" t="s">
        <v>133</v>
      </c>
      <c r="J3" s="931" t="s">
        <v>15</v>
      </c>
      <c r="K3" s="931" t="s">
        <v>16</v>
      </c>
      <c r="L3" s="931" t="s">
        <v>133</v>
      </c>
      <c r="M3" s="931" t="s">
        <v>15</v>
      </c>
      <c r="N3" s="931" t="s">
        <v>16</v>
      </c>
      <c r="O3" s="931" t="s">
        <v>133</v>
      </c>
      <c r="P3" s="931" t="s">
        <v>15</v>
      </c>
      <c r="Q3" s="931" t="s">
        <v>16</v>
      </c>
      <c r="R3" s="948" t="s">
        <v>185</v>
      </c>
      <c r="S3" s="943"/>
      <c r="T3" s="944"/>
      <c r="U3" s="945"/>
      <c r="V3" s="943"/>
      <c r="W3" s="944"/>
      <c r="X3" s="945"/>
      <c r="Y3" s="943"/>
      <c r="Z3" s="944"/>
      <c r="AA3" s="945"/>
      <c r="AB3" s="943"/>
      <c r="AC3" s="944"/>
      <c r="AD3" s="945"/>
      <c r="AE3" s="936"/>
      <c r="AF3" s="937"/>
      <c r="AG3" s="947"/>
      <c r="AH3" s="936"/>
      <c r="AI3" s="937"/>
      <c r="AJ3" s="947"/>
      <c r="AK3" s="936"/>
      <c r="AL3" s="937"/>
      <c r="AM3" s="937"/>
      <c r="AN3" s="939"/>
    </row>
    <row r="4" spans="1:40" ht="15.75" thickTop="1">
      <c r="A4" s="930"/>
      <c r="B4" s="245"/>
      <c r="C4" s="931"/>
      <c r="D4" s="931"/>
      <c r="E4" s="931"/>
      <c r="F4" s="931"/>
      <c r="G4" s="931"/>
      <c r="H4" s="931"/>
      <c r="I4" s="931"/>
      <c r="J4" s="931"/>
      <c r="K4" s="931"/>
      <c r="L4" s="931"/>
      <c r="M4" s="931"/>
      <c r="N4" s="931"/>
      <c r="O4" s="931"/>
      <c r="P4" s="931"/>
      <c r="Q4" s="931"/>
      <c r="R4" s="948"/>
      <c r="S4" s="259" t="s">
        <v>186</v>
      </c>
      <c r="T4" s="260" t="s">
        <v>187</v>
      </c>
      <c r="U4" s="257" t="s">
        <v>188</v>
      </c>
      <c r="V4" s="255" t="s">
        <v>186</v>
      </c>
      <c r="W4" s="256" t="s">
        <v>187</v>
      </c>
      <c r="X4" s="257" t="s">
        <v>188</v>
      </c>
      <c r="Y4" s="255" t="s">
        <v>186</v>
      </c>
      <c r="Z4" s="256" t="s">
        <v>187</v>
      </c>
      <c r="AA4" s="257" t="s">
        <v>188</v>
      </c>
      <c r="AB4" s="627" t="s">
        <v>186</v>
      </c>
      <c r="AC4" s="628" t="s">
        <v>187</v>
      </c>
      <c r="AD4" s="629" t="s">
        <v>119</v>
      </c>
      <c r="AE4" s="255" t="s">
        <v>186</v>
      </c>
      <c r="AF4" s="256" t="s">
        <v>187</v>
      </c>
      <c r="AG4" s="292" t="s">
        <v>119</v>
      </c>
      <c r="AH4" s="255" t="s">
        <v>186</v>
      </c>
      <c r="AI4" s="256" t="s">
        <v>187</v>
      </c>
      <c r="AJ4" s="292" t="s">
        <v>119</v>
      </c>
      <c r="AK4" s="255" t="s">
        <v>186</v>
      </c>
      <c r="AL4" s="256" t="s">
        <v>187</v>
      </c>
      <c r="AM4" s="292" t="s">
        <v>119</v>
      </c>
      <c r="AN4" s="293"/>
    </row>
    <row r="5" spans="1:40" ht="20.25">
      <c r="A5" s="4"/>
      <c r="B5" s="4"/>
      <c r="C5" s="96">
        <f t="shared" ref="C5:C24" si="0">D4</f>
        <v>0</v>
      </c>
      <c r="D5" s="1">
        <v>241528</v>
      </c>
      <c r="E5" s="59">
        <f t="shared" ref="E5:E15" si="1">IF((D5-D4)&lt;0,"0",(D5-D4))</f>
        <v>241528</v>
      </c>
      <c r="F5" s="96">
        <f t="shared" ref="F5:F37" si="2">G4</f>
        <v>0</v>
      </c>
      <c r="G5" s="394">
        <v>38000</v>
      </c>
      <c r="H5" s="484">
        <v>0</v>
      </c>
      <c r="I5" s="96">
        <f t="shared" ref="I5:I24" si="3">J4</f>
        <v>0</v>
      </c>
      <c r="J5" s="1">
        <v>8050</v>
      </c>
      <c r="K5" s="484">
        <f t="shared" ref="K5:K6" si="4">J5-J4</f>
        <v>8050</v>
      </c>
      <c r="L5" s="96">
        <f t="shared" ref="L5:L24" si="5">M4</f>
        <v>0</v>
      </c>
      <c r="M5" s="1">
        <v>12765</v>
      </c>
      <c r="N5" s="484">
        <v>0</v>
      </c>
      <c r="O5" s="96">
        <f t="shared" ref="O5:O25" si="6">P4</f>
        <v>0</v>
      </c>
      <c r="P5" s="390">
        <v>20316</v>
      </c>
      <c r="Q5" s="484">
        <f t="shared" ref="Q5:Q27" si="7">IF((P5-P4)&lt;0,"0",(P5-P4))</f>
        <v>20316</v>
      </c>
      <c r="R5" s="247"/>
      <c r="S5" s="246"/>
      <c r="T5" s="391">
        <v>59587</v>
      </c>
      <c r="U5" s="246"/>
      <c r="V5" s="246" t="str">
        <f t="shared" ref="V5:V20" si="8">W4</f>
        <v>FINAL</v>
      </c>
      <c r="W5" s="391">
        <v>73030</v>
      </c>
      <c r="X5" s="247">
        <v>0</v>
      </c>
      <c r="Y5" s="246" t="str">
        <f t="shared" ref="Y5:Y37" si="9">Z4</f>
        <v>FINAL</v>
      </c>
      <c r="Z5" s="391">
        <v>84066</v>
      </c>
      <c r="AA5" s="247">
        <v>0</v>
      </c>
      <c r="AB5" s="630" t="str">
        <f>AC4</f>
        <v>FINAL</v>
      </c>
      <c r="AC5" s="634">
        <v>15667</v>
      </c>
      <c r="AD5" s="632"/>
      <c r="AE5" s="246" t="str">
        <f t="shared" ref="AE5:AE37" si="10">AF4</f>
        <v>FINAL</v>
      </c>
      <c r="AF5" s="392">
        <v>18300</v>
      </c>
      <c r="AG5" s="261">
        <v>0</v>
      </c>
      <c r="AH5" s="246" t="str">
        <f t="shared" ref="AH5:AH37" si="11">AI4</f>
        <v>FINAL</v>
      </c>
      <c r="AI5" s="392">
        <v>25994</v>
      </c>
      <c r="AJ5" s="261"/>
      <c r="AK5" s="318" t="str">
        <f t="shared" ref="AK5:AK37" si="12">AL4</f>
        <v>FINAL</v>
      </c>
      <c r="AL5" s="391"/>
      <c r="AM5" s="261"/>
      <c r="AN5" s="396"/>
    </row>
    <row r="6" spans="1:40" ht="23.1" customHeight="1">
      <c r="A6" s="58">
        <f>Gen!B11</f>
        <v>44105</v>
      </c>
      <c r="B6" s="4"/>
      <c r="C6" s="96">
        <f t="shared" si="0"/>
        <v>241528</v>
      </c>
      <c r="D6" s="1">
        <v>241564</v>
      </c>
      <c r="E6" s="59">
        <f t="shared" si="1"/>
        <v>36</v>
      </c>
      <c r="F6" s="96">
        <f t="shared" si="2"/>
        <v>38000</v>
      </c>
      <c r="G6" s="394">
        <v>38000</v>
      </c>
      <c r="H6" s="484">
        <f t="shared" ref="H6:H24" si="13">IF((G6-G5)&lt;0,"0",(G6-G5))</f>
        <v>0</v>
      </c>
      <c r="I6" s="96">
        <f t="shared" si="3"/>
        <v>8050</v>
      </c>
      <c r="J6" s="1">
        <v>8050</v>
      </c>
      <c r="K6" s="484">
        <f t="shared" si="4"/>
        <v>0</v>
      </c>
      <c r="L6" s="96">
        <f t="shared" si="5"/>
        <v>12765</v>
      </c>
      <c r="M6" s="1">
        <v>12765</v>
      </c>
      <c r="N6" s="484">
        <f t="shared" ref="N6:N24" si="14">IF((M6-M5)&lt;0,"0",(M6-M5))</f>
        <v>0</v>
      </c>
      <c r="O6" s="96">
        <f t="shared" si="6"/>
        <v>20316</v>
      </c>
      <c r="P6" s="390">
        <v>20317</v>
      </c>
      <c r="Q6" s="484">
        <f t="shared" si="7"/>
        <v>1</v>
      </c>
      <c r="R6" s="251"/>
      <c r="S6" s="246">
        <f t="shared" ref="S6:S24" si="15">T5</f>
        <v>59587</v>
      </c>
      <c r="T6" s="391">
        <v>59597</v>
      </c>
      <c r="U6" s="485">
        <f t="shared" ref="U6:U24" si="16">IF((T6-T5)&lt;0,"0",(T6-T5))</f>
        <v>10</v>
      </c>
      <c r="V6" s="246">
        <f t="shared" si="8"/>
        <v>73030</v>
      </c>
      <c r="W6" s="391">
        <v>73030</v>
      </c>
      <c r="X6" s="485">
        <f t="shared" ref="X6:X37" si="17">IF((W6-W5)&lt;0,"0",(W6-W5))</f>
        <v>0</v>
      </c>
      <c r="Y6" s="246">
        <f t="shared" si="9"/>
        <v>84066</v>
      </c>
      <c r="Z6" s="391">
        <v>84102</v>
      </c>
      <c r="AA6" s="485">
        <f t="shared" ref="AA6:AA37" si="18">IF((Z6-Z5)&lt;0,"0",(Z6-Z5))</f>
        <v>36</v>
      </c>
      <c r="AB6" s="630">
        <f>AC5</f>
        <v>15667</v>
      </c>
      <c r="AC6" s="643">
        <v>15686</v>
      </c>
      <c r="AD6" s="633">
        <f>IF((AC6-AC5)&lt;0,"0",(AC6-AC5))</f>
        <v>19</v>
      </c>
      <c r="AE6" s="246">
        <f t="shared" si="10"/>
        <v>18300</v>
      </c>
      <c r="AF6" s="392">
        <v>18300</v>
      </c>
      <c r="AG6" s="485">
        <f t="shared" ref="AG6:AG37" si="19">IF((AF6-AF5)&lt;0,"0",(AF6-AF5))</f>
        <v>0</v>
      </c>
      <c r="AH6" s="246">
        <f t="shared" si="11"/>
        <v>25994</v>
      </c>
      <c r="AI6" s="392">
        <v>26016</v>
      </c>
      <c r="AJ6" s="485">
        <f t="shared" ref="AJ6:AJ37" si="20">IF((AI6-AI5)&lt;0,"0",(AI6-AI5))</f>
        <v>22</v>
      </c>
      <c r="AK6" s="318">
        <f t="shared" si="12"/>
        <v>0</v>
      </c>
      <c r="AL6" s="391"/>
      <c r="AM6" s="485">
        <f t="shared" ref="AM6:AM37" si="21">IF((AL6-AL5)&lt;0,"0",(AL6-AL5))</f>
        <v>0</v>
      </c>
      <c r="AN6" s="396">
        <f>U6+X6+AA6+AD6+AG6+AJ6+AM6</f>
        <v>87</v>
      </c>
    </row>
    <row r="7" spans="1:40" ht="23.1" customHeight="1">
      <c r="A7" s="58">
        <f>Gen!B12</f>
        <v>44106</v>
      </c>
      <c r="B7" s="4"/>
      <c r="C7" s="96">
        <f t="shared" si="0"/>
        <v>241564</v>
      </c>
      <c r="D7" s="1">
        <v>241609</v>
      </c>
      <c r="E7" s="59">
        <f t="shared" si="1"/>
        <v>45</v>
      </c>
      <c r="F7" s="96">
        <f t="shared" si="2"/>
        <v>38000</v>
      </c>
      <c r="G7" s="394">
        <v>38000</v>
      </c>
      <c r="H7" s="484">
        <f t="shared" si="13"/>
        <v>0</v>
      </c>
      <c r="I7" s="96">
        <f t="shared" si="3"/>
        <v>8050</v>
      </c>
      <c r="J7" s="1">
        <v>8051</v>
      </c>
      <c r="K7" s="484">
        <f>J7-J6</f>
        <v>1</v>
      </c>
      <c r="L7" s="96">
        <f t="shared" si="5"/>
        <v>12765</v>
      </c>
      <c r="M7" s="1">
        <v>12765</v>
      </c>
      <c r="N7" s="484">
        <f t="shared" si="14"/>
        <v>0</v>
      </c>
      <c r="O7" s="96">
        <f t="shared" si="6"/>
        <v>20317</v>
      </c>
      <c r="P7" s="390">
        <v>20320</v>
      </c>
      <c r="Q7" s="484">
        <f t="shared" si="7"/>
        <v>3</v>
      </c>
      <c r="R7" s="251"/>
      <c r="S7" s="246">
        <f t="shared" si="15"/>
        <v>59597</v>
      </c>
      <c r="T7" s="391">
        <v>59597</v>
      </c>
      <c r="U7" s="485">
        <f t="shared" si="16"/>
        <v>0</v>
      </c>
      <c r="V7" s="246">
        <f t="shared" si="8"/>
        <v>73030</v>
      </c>
      <c r="W7" s="391">
        <v>73030</v>
      </c>
      <c r="X7" s="485">
        <f t="shared" si="17"/>
        <v>0</v>
      </c>
      <c r="Y7" s="246">
        <f t="shared" si="9"/>
        <v>84102</v>
      </c>
      <c r="Z7" s="391">
        <v>84137</v>
      </c>
      <c r="AA7" s="485">
        <f t="shared" si="18"/>
        <v>35</v>
      </c>
      <c r="AB7" s="630">
        <f t="shared" ref="AB7:AB37" si="22">AC6</f>
        <v>15686</v>
      </c>
      <c r="AC7" s="631">
        <v>15704</v>
      </c>
      <c r="AD7" s="633">
        <f t="shared" ref="AD7:AD37" si="23">IF((AC7-AC6)&lt;0,"0",(AC7-AC6))</f>
        <v>18</v>
      </c>
      <c r="AE7" s="246">
        <f t="shared" si="10"/>
        <v>18300</v>
      </c>
      <c r="AF7" s="392">
        <v>18300</v>
      </c>
      <c r="AG7" s="485">
        <f t="shared" si="19"/>
        <v>0</v>
      </c>
      <c r="AH7" s="246">
        <f t="shared" si="11"/>
        <v>26016</v>
      </c>
      <c r="AI7" s="392">
        <v>26038</v>
      </c>
      <c r="AJ7" s="485">
        <f t="shared" si="20"/>
        <v>22</v>
      </c>
      <c r="AK7" s="318">
        <f t="shared" si="12"/>
        <v>0</v>
      </c>
      <c r="AL7" s="391"/>
      <c r="AM7" s="485">
        <f t="shared" si="21"/>
        <v>0</v>
      </c>
      <c r="AN7" s="396">
        <f t="shared" ref="AN7:AN36" si="24">U7+X7+AA7+AD7+AG7+AJ7+AM7</f>
        <v>75</v>
      </c>
    </row>
    <row r="8" spans="1:40" ht="23.1" customHeight="1">
      <c r="A8" s="58">
        <f>Gen!B13</f>
        <v>44107</v>
      </c>
      <c r="B8" s="4"/>
      <c r="C8" s="96">
        <f t="shared" si="0"/>
        <v>241609</v>
      </c>
      <c r="D8" s="1">
        <v>241645</v>
      </c>
      <c r="E8" s="59">
        <f t="shared" si="1"/>
        <v>36</v>
      </c>
      <c r="F8" s="96">
        <f t="shared" si="2"/>
        <v>38000</v>
      </c>
      <c r="G8" s="394">
        <v>38000</v>
      </c>
      <c r="H8" s="484">
        <f t="shared" si="13"/>
        <v>0</v>
      </c>
      <c r="I8" s="96">
        <f t="shared" si="3"/>
        <v>8051</v>
      </c>
      <c r="J8" s="1">
        <v>8052</v>
      </c>
      <c r="K8" s="484">
        <f>J8-J7</f>
        <v>1</v>
      </c>
      <c r="L8" s="96">
        <f t="shared" si="5"/>
        <v>12765</v>
      </c>
      <c r="M8" s="1">
        <v>12765</v>
      </c>
      <c r="N8" s="484">
        <f t="shared" si="14"/>
        <v>0</v>
      </c>
      <c r="O8" s="96">
        <f t="shared" si="6"/>
        <v>20320</v>
      </c>
      <c r="P8" s="390">
        <v>20322</v>
      </c>
      <c r="Q8" s="484">
        <f t="shared" si="7"/>
        <v>2</v>
      </c>
      <c r="R8" s="251"/>
      <c r="S8" s="246">
        <f t="shared" si="15"/>
        <v>59597</v>
      </c>
      <c r="T8" s="391">
        <v>59624</v>
      </c>
      <c r="U8" s="485">
        <f t="shared" si="16"/>
        <v>27</v>
      </c>
      <c r="V8" s="246">
        <f t="shared" si="8"/>
        <v>73030</v>
      </c>
      <c r="W8" s="391">
        <v>73030</v>
      </c>
      <c r="X8" s="485">
        <f t="shared" si="17"/>
        <v>0</v>
      </c>
      <c r="Y8" s="246">
        <f t="shared" si="9"/>
        <v>84137</v>
      </c>
      <c r="Z8" s="391">
        <v>84173</v>
      </c>
      <c r="AA8" s="485">
        <f t="shared" si="18"/>
        <v>36</v>
      </c>
      <c r="AB8" s="630">
        <f t="shared" si="22"/>
        <v>15704</v>
      </c>
      <c r="AC8" s="631">
        <v>15723</v>
      </c>
      <c r="AD8" s="633">
        <f t="shared" si="23"/>
        <v>19</v>
      </c>
      <c r="AE8" s="246">
        <f t="shared" si="10"/>
        <v>18300</v>
      </c>
      <c r="AF8" s="392">
        <v>18300</v>
      </c>
      <c r="AG8" s="485">
        <f t="shared" si="19"/>
        <v>0</v>
      </c>
      <c r="AH8" s="246">
        <f t="shared" si="11"/>
        <v>26038</v>
      </c>
      <c r="AI8" s="392">
        <v>26060</v>
      </c>
      <c r="AJ8" s="485">
        <f t="shared" si="20"/>
        <v>22</v>
      </c>
      <c r="AK8" s="318">
        <f t="shared" si="12"/>
        <v>0</v>
      </c>
      <c r="AL8" s="391"/>
      <c r="AM8" s="485">
        <f t="shared" si="21"/>
        <v>0</v>
      </c>
      <c r="AN8" s="396">
        <f t="shared" si="24"/>
        <v>104</v>
      </c>
    </row>
    <row r="9" spans="1:40" ht="23.1" customHeight="1">
      <c r="A9" s="58">
        <f>Gen!B14</f>
        <v>44108</v>
      </c>
      <c r="B9" s="4"/>
      <c r="C9" s="96">
        <f t="shared" si="0"/>
        <v>241645</v>
      </c>
      <c r="D9" s="1">
        <v>241705</v>
      </c>
      <c r="E9" s="59">
        <f t="shared" si="1"/>
        <v>60</v>
      </c>
      <c r="F9" s="96">
        <f t="shared" si="2"/>
        <v>38000</v>
      </c>
      <c r="G9" s="394">
        <v>38000</v>
      </c>
      <c r="H9" s="484">
        <f t="shared" si="13"/>
        <v>0</v>
      </c>
      <c r="I9" s="96">
        <f t="shared" si="3"/>
        <v>8052</v>
      </c>
      <c r="J9" s="1">
        <v>8057</v>
      </c>
      <c r="K9" s="484">
        <f>J9-J8</f>
        <v>5</v>
      </c>
      <c r="L9" s="96">
        <f t="shared" si="5"/>
        <v>12765</v>
      </c>
      <c r="M9" s="1">
        <v>12765</v>
      </c>
      <c r="N9" s="484">
        <f t="shared" si="14"/>
        <v>0</v>
      </c>
      <c r="O9" s="96">
        <f t="shared" si="6"/>
        <v>20322</v>
      </c>
      <c r="P9" s="390">
        <v>20323</v>
      </c>
      <c r="Q9" s="484">
        <f t="shared" si="7"/>
        <v>1</v>
      </c>
      <c r="R9" s="251"/>
      <c r="S9" s="246">
        <f t="shared" si="15"/>
        <v>59624</v>
      </c>
      <c r="T9" s="391">
        <v>59673</v>
      </c>
      <c r="U9" s="485">
        <f t="shared" si="16"/>
        <v>49</v>
      </c>
      <c r="V9" s="246">
        <f t="shared" si="8"/>
        <v>73030</v>
      </c>
      <c r="W9" s="391">
        <v>73030</v>
      </c>
      <c r="X9" s="485">
        <f t="shared" si="17"/>
        <v>0</v>
      </c>
      <c r="Y9" s="246">
        <f t="shared" si="9"/>
        <v>84173</v>
      </c>
      <c r="Z9" s="391">
        <v>84209</v>
      </c>
      <c r="AA9" s="485">
        <f t="shared" si="18"/>
        <v>36</v>
      </c>
      <c r="AB9" s="630">
        <f t="shared" si="22"/>
        <v>15723</v>
      </c>
      <c r="AC9" s="631">
        <v>15741</v>
      </c>
      <c r="AD9" s="633">
        <f t="shared" si="23"/>
        <v>18</v>
      </c>
      <c r="AE9" s="246">
        <f t="shared" si="10"/>
        <v>18300</v>
      </c>
      <c r="AF9" s="392">
        <v>18300</v>
      </c>
      <c r="AG9" s="485">
        <f t="shared" si="19"/>
        <v>0</v>
      </c>
      <c r="AH9" s="246">
        <f t="shared" ref="AH9" si="25">AI9</f>
        <v>26083</v>
      </c>
      <c r="AI9" s="392">
        <v>26083</v>
      </c>
      <c r="AJ9" s="485">
        <f t="shared" si="20"/>
        <v>23</v>
      </c>
      <c r="AK9" s="318">
        <f t="shared" si="12"/>
        <v>0</v>
      </c>
      <c r="AL9" s="391"/>
      <c r="AM9" s="485">
        <f t="shared" si="21"/>
        <v>0</v>
      </c>
      <c r="AN9" s="396">
        <f t="shared" si="24"/>
        <v>126</v>
      </c>
    </row>
    <row r="10" spans="1:40" ht="23.1" customHeight="1">
      <c r="A10" s="58">
        <f>Gen!B15</f>
        <v>44109</v>
      </c>
      <c r="B10" s="4"/>
      <c r="C10" s="96">
        <f t="shared" si="0"/>
        <v>241705</v>
      </c>
      <c r="D10" s="1">
        <v>241750</v>
      </c>
      <c r="E10" s="59">
        <f t="shared" si="1"/>
        <v>45</v>
      </c>
      <c r="F10" s="96">
        <f t="shared" si="2"/>
        <v>38000</v>
      </c>
      <c r="G10" s="394">
        <v>38000</v>
      </c>
      <c r="H10" s="484">
        <f t="shared" si="13"/>
        <v>0</v>
      </c>
      <c r="I10" s="96">
        <f t="shared" si="3"/>
        <v>8057</v>
      </c>
      <c r="J10" s="1">
        <v>8058</v>
      </c>
      <c r="K10" s="484">
        <f t="shared" ref="K10:K27" si="26">IF((J10-J9)&lt;0,"0",(J10-J9))</f>
        <v>1</v>
      </c>
      <c r="L10" s="96">
        <f t="shared" si="5"/>
        <v>12765</v>
      </c>
      <c r="M10" s="1">
        <v>12765</v>
      </c>
      <c r="N10" s="484">
        <f t="shared" si="14"/>
        <v>0</v>
      </c>
      <c r="O10" s="96">
        <f t="shared" si="6"/>
        <v>20323</v>
      </c>
      <c r="P10" s="390">
        <v>20325</v>
      </c>
      <c r="Q10" s="484">
        <f t="shared" si="7"/>
        <v>2</v>
      </c>
      <c r="R10" s="251"/>
      <c r="S10" s="246">
        <f t="shared" si="15"/>
        <v>59673</v>
      </c>
      <c r="T10" s="391">
        <v>59687</v>
      </c>
      <c r="U10" s="485">
        <f t="shared" si="16"/>
        <v>14</v>
      </c>
      <c r="V10" s="246">
        <f t="shared" si="8"/>
        <v>73030</v>
      </c>
      <c r="W10" s="391">
        <v>73030</v>
      </c>
      <c r="X10" s="485">
        <f t="shared" si="17"/>
        <v>0</v>
      </c>
      <c r="Y10" s="246">
        <f t="shared" si="9"/>
        <v>84209</v>
      </c>
      <c r="Z10" s="391">
        <v>84244</v>
      </c>
      <c r="AA10" s="485">
        <f t="shared" si="18"/>
        <v>35</v>
      </c>
      <c r="AB10" s="630">
        <f t="shared" si="22"/>
        <v>15741</v>
      </c>
      <c r="AC10" s="631">
        <v>15759</v>
      </c>
      <c r="AD10" s="633">
        <f t="shared" si="23"/>
        <v>18</v>
      </c>
      <c r="AE10" s="246">
        <f t="shared" si="10"/>
        <v>18300</v>
      </c>
      <c r="AF10" s="392">
        <v>18300</v>
      </c>
      <c r="AG10" s="485">
        <f t="shared" si="19"/>
        <v>0</v>
      </c>
      <c r="AH10" s="246">
        <f t="shared" si="11"/>
        <v>26083</v>
      </c>
      <c r="AI10" s="392">
        <v>26104</v>
      </c>
      <c r="AJ10" s="485">
        <f t="shared" si="20"/>
        <v>21</v>
      </c>
      <c r="AK10" s="318">
        <f t="shared" si="12"/>
        <v>0</v>
      </c>
      <c r="AL10" s="391"/>
      <c r="AM10" s="485">
        <f t="shared" si="21"/>
        <v>0</v>
      </c>
      <c r="AN10" s="396">
        <f t="shared" si="24"/>
        <v>88</v>
      </c>
    </row>
    <row r="11" spans="1:40" ht="23.1" customHeight="1">
      <c r="A11" s="58">
        <f>Gen!B16</f>
        <v>44110</v>
      </c>
      <c r="B11" s="4"/>
      <c r="C11" s="96">
        <f t="shared" si="0"/>
        <v>241750</v>
      </c>
      <c r="D11" s="1">
        <v>241807</v>
      </c>
      <c r="E11" s="59">
        <f t="shared" si="1"/>
        <v>57</v>
      </c>
      <c r="F11" s="96">
        <f t="shared" si="2"/>
        <v>38000</v>
      </c>
      <c r="G11" s="394">
        <v>38000</v>
      </c>
      <c r="H11" s="484">
        <f t="shared" si="13"/>
        <v>0</v>
      </c>
      <c r="I11" s="96">
        <f t="shared" si="3"/>
        <v>8058</v>
      </c>
      <c r="J11" s="1">
        <v>8059</v>
      </c>
      <c r="K11" s="484">
        <f t="shared" si="26"/>
        <v>1</v>
      </c>
      <c r="L11" s="96">
        <f t="shared" si="5"/>
        <v>12765</v>
      </c>
      <c r="M11" s="1">
        <v>12765</v>
      </c>
      <c r="N11" s="484">
        <f t="shared" si="14"/>
        <v>0</v>
      </c>
      <c r="O11" s="96">
        <f t="shared" si="6"/>
        <v>20325</v>
      </c>
      <c r="P11" s="390">
        <v>20328</v>
      </c>
      <c r="Q11" s="484">
        <f t="shared" si="7"/>
        <v>3</v>
      </c>
      <c r="R11" s="251"/>
      <c r="S11" s="246">
        <f t="shared" si="15"/>
        <v>59687</v>
      </c>
      <c r="T11" s="391">
        <v>59724</v>
      </c>
      <c r="U11" s="485">
        <f t="shared" si="16"/>
        <v>37</v>
      </c>
      <c r="V11" s="246">
        <f t="shared" si="8"/>
        <v>73030</v>
      </c>
      <c r="W11" s="391">
        <v>73030</v>
      </c>
      <c r="X11" s="485">
        <f t="shared" si="17"/>
        <v>0</v>
      </c>
      <c r="Y11" s="246">
        <f t="shared" si="9"/>
        <v>84244</v>
      </c>
      <c r="Z11" s="391">
        <v>84279</v>
      </c>
      <c r="AA11" s="485">
        <f t="shared" si="18"/>
        <v>35</v>
      </c>
      <c r="AB11" s="630">
        <f t="shared" si="22"/>
        <v>15759</v>
      </c>
      <c r="AC11" s="631">
        <v>15777</v>
      </c>
      <c r="AD11" s="633">
        <f t="shared" si="23"/>
        <v>18</v>
      </c>
      <c r="AE11" s="246">
        <f>AF11</f>
        <v>18300</v>
      </c>
      <c r="AF11" s="392">
        <v>18300</v>
      </c>
      <c r="AG11" s="485">
        <f t="shared" si="19"/>
        <v>0</v>
      </c>
      <c r="AH11" s="246">
        <f t="shared" si="11"/>
        <v>26104</v>
      </c>
      <c r="AI11" s="392">
        <v>26126</v>
      </c>
      <c r="AJ11" s="485">
        <f t="shared" si="20"/>
        <v>22</v>
      </c>
      <c r="AK11" s="318">
        <f t="shared" si="12"/>
        <v>0</v>
      </c>
      <c r="AL11" s="391"/>
      <c r="AM11" s="485">
        <f t="shared" si="21"/>
        <v>0</v>
      </c>
      <c r="AN11" s="396">
        <f t="shared" si="24"/>
        <v>112</v>
      </c>
    </row>
    <row r="12" spans="1:40" ht="23.1" customHeight="1">
      <c r="A12" s="58">
        <f>Gen!B17</f>
        <v>44111</v>
      </c>
      <c r="B12" s="4"/>
      <c r="C12" s="96">
        <f t="shared" si="0"/>
        <v>241807</v>
      </c>
      <c r="D12" s="1">
        <v>241866</v>
      </c>
      <c r="E12" s="59">
        <f t="shared" si="1"/>
        <v>59</v>
      </c>
      <c r="F12" s="96">
        <f t="shared" si="2"/>
        <v>38000</v>
      </c>
      <c r="G12" s="394">
        <v>38000</v>
      </c>
      <c r="H12" s="484">
        <f t="shared" si="13"/>
        <v>0</v>
      </c>
      <c r="I12" s="96">
        <f t="shared" si="3"/>
        <v>8059</v>
      </c>
      <c r="J12" s="1">
        <v>8060</v>
      </c>
      <c r="K12" s="484">
        <f t="shared" si="26"/>
        <v>1</v>
      </c>
      <c r="L12" s="96">
        <f t="shared" si="5"/>
        <v>12765</v>
      </c>
      <c r="M12" s="1">
        <v>12765</v>
      </c>
      <c r="N12" s="484">
        <f t="shared" si="14"/>
        <v>0</v>
      </c>
      <c r="O12" s="96">
        <f t="shared" si="6"/>
        <v>20328</v>
      </c>
      <c r="P12" s="390">
        <v>20331</v>
      </c>
      <c r="Q12" s="484">
        <f t="shared" si="7"/>
        <v>3</v>
      </c>
      <c r="R12" s="251"/>
      <c r="S12" s="246">
        <f t="shared" si="15"/>
        <v>59724</v>
      </c>
      <c r="T12" s="391">
        <v>59755</v>
      </c>
      <c r="U12" s="485">
        <f t="shared" si="16"/>
        <v>31</v>
      </c>
      <c r="V12" s="246">
        <f t="shared" si="8"/>
        <v>73030</v>
      </c>
      <c r="W12" s="391">
        <v>73030</v>
      </c>
      <c r="X12" s="485">
        <f t="shared" si="17"/>
        <v>0</v>
      </c>
      <c r="Y12" s="246">
        <f t="shared" si="9"/>
        <v>84279</v>
      </c>
      <c r="Z12" s="391">
        <v>84314</v>
      </c>
      <c r="AA12" s="485">
        <f t="shared" si="18"/>
        <v>35</v>
      </c>
      <c r="AB12" s="630">
        <f t="shared" si="22"/>
        <v>15777</v>
      </c>
      <c r="AC12" s="631">
        <v>15799</v>
      </c>
      <c r="AD12" s="633">
        <f t="shared" si="23"/>
        <v>22</v>
      </c>
      <c r="AE12" s="246">
        <f t="shared" ref="AE12:AE20" si="27">AF12</f>
        <v>18300</v>
      </c>
      <c r="AF12" s="392">
        <v>18300</v>
      </c>
      <c r="AG12" s="485">
        <f t="shared" si="19"/>
        <v>0</v>
      </c>
      <c r="AH12" s="246">
        <f t="shared" si="11"/>
        <v>26126</v>
      </c>
      <c r="AI12" s="392">
        <v>26148</v>
      </c>
      <c r="AJ12" s="485">
        <f t="shared" si="20"/>
        <v>22</v>
      </c>
      <c r="AK12" s="318">
        <f t="shared" si="12"/>
        <v>0</v>
      </c>
      <c r="AL12" s="391"/>
      <c r="AM12" s="485">
        <f t="shared" si="21"/>
        <v>0</v>
      </c>
      <c r="AN12" s="396">
        <f t="shared" si="24"/>
        <v>110</v>
      </c>
    </row>
    <row r="13" spans="1:40" ht="23.1" customHeight="1">
      <c r="A13" s="58">
        <f>Gen!B18</f>
        <v>44112</v>
      </c>
      <c r="B13" s="4"/>
      <c r="C13" s="96">
        <f t="shared" si="0"/>
        <v>241866</v>
      </c>
      <c r="D13" s="1">
        <v>241912</v>
      </c>
      <c r="E13" s="59">
        <f t="shared" si="1"/>
        <v>46</v>
      </c>
      <c r="F13" s="96">
        <f t="shared" si="2"/>
        <v>38000</v>
      </c>
      <c r="G13" s="394">
        <v>38000</v>
      </c>
      <c r="H13" s="484">
        <f t="shared" si="13"/>
        <v>0</v>
      </c>
      <c r="I13" s="96">
        <f t="shared" si="3"/>
        <v>8060</v>
      </c>
      <c r="J13" s="1">
        <v>8061</v>
      </c>
      <c r="K13" s="484">
        <f t="shared" si="26"/>
        <v>1</v>
      </c>
      <c r="L13" s="96">
        <f t="shared" si="5"/>
        <v>12765</v>
      </c>
      <c r="M13" s="1">
        <v>12765</v>
      </c>
      <c r="N13" s="484">
        <f t="shared" si="14"/>
        <v>0</v>
      </c>
      <c r="O13" s="96">
        <f t="shared" si="6"/>
        <v>20331</v>
      </c>
      <c r="P13" s="390">
        <v>20334</v>
      </c>
      <c r="Q13" s="484">
        <f t="shared" si="7"/>
        <v>3</v>
      </c>
      <c r="R13" s="251"/>
      <c r="S13" s="246">
        <f t="shared" si="15"/>
        <v>59755</v>
      </c>
      <c r="T13" s="391">
        <v>59766</v>
      </c>
      <c r="U13" s="485">
        <f t="shared" si="16"/>
        <v>11</v>
      </c>
      <c r="V13" s="246">
        <f t="shared" si="8"/>
        <v>73030</v>
      </c>
      <c r="W13" s="391">
        <v>73030</v>
      </c>
      <c r="X13" s="485">
        <f t="shared" si="17"/>
        <v>0</v>
      </c>
      <c r="Y13" s="246">
        <f t="shared" si="9"/>
        <v>84314</v>
      </c>
      <c r="Z13" s="391">
        <v>84351</v>
      </c>
      <c r="AA13" s="485">
        <f t="shared" si="18"/>
        <v>37</v>
      </c>
      <c r="AB13" s="630">
        <f t="shared" si="22"/>
        <v>15799</v>
      </c>
      <c r="AC13" s="631">
        <v>15813</v>
      </c>
      <c r="AD13" s="633">
        <f t="shared" si="23"/>
        <v>14</v>
      </c>
      <c r="AE13" s="246">
        <f t="shared" si="27"/>
        <v>18300</v>
      </c>
      <c r="AF13" s="392">
        <v>18300</v>
      </c>
      <c r="AG13" s="485">
        <f t="shared" si="19"/>
        <v>0</v>
      </c>
      <c r="AH13" s="246">
        <f t="shared" si="11"/>
        <v>26148</v>
      </c>
      <c r="AI13" s="392">
        <v>26170</v>
      </c>
      <c r="AJ13" s="485">
        <f t="shared" si="20"/>
        <v>22</v>
      </c>
      <c r="AK13" s="318">
        <f t="shared" si="12"/>
        <v>0</v>
      </c>
      <c r="AL13" s="391"/>
      <c r="AM13" s="485">
        <f t="shared" si="21"/>
        <v>0</v>
      </c>
      <c r="AN13" s="396">
        <f t="shared" si="24"/>
        <v>84</v>
      </c>
    </row>
    <row r="14" spans="1:40" ht="23.1" customHeight="1">
      <c r="A14" s="58">
        <f>Gen!B19</f>
        <v>44113</v>
      </c>
      <c r="B14" s="4"/>
      <c r="C14" s="96">
        <f t="shared" si="0"/>
        <v>241912</v>
      </c>
      <c r="D14" s="1">
        <v>241968</v>
      </c>
      <c r="E14" s="59">
        <f t="shared" si="1"/>
        <v>56</v>
      </c>
      <c r="F14" s="96">
        <f t="shared" si="2"/>
        <v>38000</v>
      </c>
      <c r="G14" s="394">
        <v>38000</v>
      </c>
      <c r="H14" s="484">
        <f t="shared" si="13"/>
        <v>0</v>
      </c>
      <c r="I14" s="96">
        <f t="shared" si="3"/>
        <v>8061</v>
      </c>
      <c r="J14" s="1">
        <v>8062</v>
      </c>
      <c r="K14" s="484">
        <f t="shared" si="26"/>
        <v>1</v>
      </c>
      <c r="L14" s="96">
        <f t="shared" si="5"/>
        <v>12765</v>
      </c>
      <c r="M14" s="1">
        <v>12765</v>
      </c>
      <c r="N14" s="484">
        <f t="shared" si="14"/>
        <v>0</v>
      </c>
      <c r="O14" s="96">
        <f t="shared" si="6"/>
        <v>20334</v>
      </c>
      <c r="P14" s="390">
        <v>20336</v>
      </c>
      <c r="Q14" s="484">
        <f t="shared" si="7"/>
        <v>2</v>
      </c>
      <c r="R14" s="251"/>
      <c r="S14" s="246">
        <f t="shared" si="15"/>
        <v>59766</v>
      </c>
      <c r="T14" s="391">
        <v>59818</v>
      </c>
      <c r="U14" s="485">
        <f t="shared" si="16"/>
        <v>52</v>
      </c>
      <c r="V14" s="246">
        <f t="shared" si="8"/>
        <v>73030</v>
      </c>
      <c r="W14" s="391">
        <v>73030</v>
      </c>
      <c r="X14" s="485">
        <f t="shared" si="17"/>
        <v>0</v>
      </c>
      <c r="Y14" s="246">
        <f t="shared" si="9"/>
        <v>84351</v>
      </c>
      <c r="Z14" s="391">
        <v>84386</v>
      </c>
      <c r="AA14" s="485">
        <f t="shared" si="18"/>
        <v>35</v>
      </c>
      <c r="AB14" s="630">
        <f t="shared" si="22"/>
        <v>15813</v>
      </c>
      <c r="AC14" s="634">
        <v>15831</v>
      </c>
      <c r="AD14" s="633">
        <f t="shared" si="23"/>
        <v>18</v>
      </c>
      <c r="AE14" s="246">
        <f t="shared" si="27"/>
        <v>18300</v>
      </c>
      <c r="AF14" s="392">
        <v>18300</v>
      </c>
      <c r="AG14" s="485">
        <f t="shared" si="19"/>
        <v>0</v>
      </c>
      <c r="AH14" s="246">
        <f t="shared" si="11"/>
        <v>26170</v>
      </c>
      <c r="AI14" s="392">
        <v>26192</v>
      </c>
      <c r="AJ14" s="485">
        <f t="shared" si="20"/>
        <v>22</v>
      </c>
      <c r="AK14" s="318">
        <f t="shared" si="12"/>
        <v>0</v>
      </c>
      <c r="AL14" s="391"/>
      <c r="AM14" s="485">
        <f t="shared" si="21"/>
        <v>0</v>
      </c>
      <c r="AN14" s="396">
        <f t="shared" si="24"/>
        <v>127</v>
      </c>
    </row>
    <row r="15" spans="1:40" ht="23.1" customHeight="1">
      <c r="A15" s="58">
        <f>Gen!B20</f>
        <v>44114</v>
      </c>
      <c r="B15" s="4"/>
      <c r="C15" s="96">
        <f t="shared" si="0"/>
        <v>241968</v>
      </c>
      <c r="D15" s="1">
        <v>242066</v>
      </c>
      <c r="E15" s="59">
        <f t="shared" si="1"/>
        <v>98</v>
      </c>
      <c r="F15" s="96">
        <f t="shared" si="2"/>
        <v>38000</v>
      </c>
      <c r="G15" s="394">
        <v>38000</v>
      </c>
      <c r="H15" s="484">
        <f t="shared" si="13"/>
        <v>0</v>
      </c>
      <c r="I15" s="96">
        <f t="shared" si="3"/>
        <v>8062</v>
      </c>
      <c r="J15" s="1">
        <v>8063</v>
      </c>
      <c r="K15" s="484">
        <f t="shared" si="26"/>
        <v>1</v>
      </c>
      <c r="L15" s="96">
        <f t="shared" si="5"/>
        <v>12765</v>
      </c>
      <c r="M15" s="1">
        <v>12854</v>
      </c>
      <c r="N15" s="484">
        <f t="shared" si="14"/>
        <v>89</v>
      </c>
      <c r="O15" s="96">
        <f t="shared" si="6"/>
        <v>20336</v>
      </c>
      <c r="P15" s="390">
        <v>20338</v>
      </c>
      <c r="Q15" s="484">
        <f t="shared" si="7"/>
        <v>2</v>
      </c>
      <c r="R15" s="251"/>
      <c r="S15" s="246">
        <f t="shared" si="15"/>
        <v>59818</v>
      </c>
      <c r="T15" s="391">
        <v>59904</v>
      </c>
      <c r="U15" s="485">
        <f t="shared" si="16"/>
        <v>86</v>
      </c>
      <c r="V15" s="246">
        <f t="shared" si="8"/>
        <v>73030</v>
      </c>
      <c r="W15" s="391">
        <v>73030</v>
      </c>
      <c r="X15" s="485">
        <f t="shared" si="17"/>
        <v>0</v>
      </c>
      <c r="Y15" s="246">
        <f t="shared" si="9"/>
        <v>84386</v>
      </c>
      <c r="Z15" s="391">
        <v>84428</v>
      </c>
      <c r="AA15" s="485">
        <f t="shared" si="18"/>
        <v>42</v>
      </c>
      <c r="AB15" s="630">
        <f t="shared" si="22"/>
        <v>15831</v>
      </c>
      <c r="AC15" s="634">
        <v>15849</v>
      </c>
      <c r="AD15" s="633">
        <f t="shared" si="23"/>
        <v>18</v>
      </c>
      <c r="AE15" s="246">
        <f t="shared" si="27"/>
        <v>18300</v>
      </c>
      <c r="AF15" s="392">
        <v>18300</v>
      </c>
      <c r="AG15" s="485">
        <f t="shared" si="19"/>
        <v>0</v>
      </c>
      <c r="AH15" s="246">
        <f t="shared" si="11"/>
        <v>26192</v>
      </c>
      <c r="AI15" s="392">
        <v>26204</v>
      </c>
      <c r="AJ15" s="485">
        <f t="shared" si="20"/>
        <v>12</v>
      </c>
      <c r="AK15" s="318">
        <f t="shared" si="12"/>
        <v>0</v>
      </c>
      <c r="AL15" s="391"/>
      <c r="AM15" s="485">
        <f t="shared" si="21"/>
        <v>0</v>
      </c>
      <c r="AN15" s="396">
        <f t="shared" si="24"/>
        <v>158</v>
      </c>
    </row>
    <row r="16" spans="1:40" ht="23.1" customHeight="1">
      <c r="A16" s="58">
        <f>Gen!B21</f>
        <v>44115</v>
      </c>
      <c r="B16" s="4"/>
      <c r="C16" s="96">
        <f t="shared" si="0"/>
        <v>242066</v>
      </c>
      <c r="D16" s="1">
        <v>242139</v>
      </c>
      <c r="E16" s="59">
        <f>IF((D16-D15)&lt;0,"0",(D16-D15))</f>
        <v>73</v>
      </c>
      <c r="F16" s="96">
        <f t="shared" si="2"/>
        <v>38000</v>
      </c>
      <c r="G16" s="394">
        <v>38000</v>
      </c>
      <c r="H16" s="484">
        <f t="shared" si="13"/>
        <v>0</v>
      </c>
      <c r="I16" s="96">
        <f t="shared" si="3"/>
        <v>8063</v>
      </c>
      <c r="J16" s="1">
        <v>8064</v>
      </c>
      <c r="K16" s="484">
        <f t="shared" si="26"/>
        <v>1</v>
      </c>
      <c r="L16" s="96">
        <f t="shared" si="5"/>
        <v>12854</v>
      </c>
      <c r="M16" s="1">
        <v>12885</v>
      </c>
      <c r="N16" s="484">
        <f t="shared" si="14"/>
        <v>31</v>
      </c>
      <c r="O16" s="96">
        <f t="shared" si="6"/>
        <v>20338</v>
      </c>
      <c r="P16" s="390">
        <v>20340</v>
      </c>
      <c r="Q16" s="484">
        <f t="shared" si="7"/>
        <v>2</v>
      </c>
      <c r="R16" s="251"/>
      <c r="S16" s="246">
        <f t="shared" si="15"/>
        <v>59904</v>
      </c>
      <c r="T16" s="391">
        <v>59988</v>
      </c>
      <c r="U16" s="485">
        <f t="shared" si="16"/>
        <v>84</v>
      </c>
      <c r="V16" s="246">
        <f t="shared" si="8"/>
        <v>73030</v>
      </c>
      <c r="W16" s="391">
        <v>73030</v>
      </c>
      <c r="X16" s="485">
        <f t="shared" si="17"/>
        <v>0</v>
      </c>
      <c r="Y16" s="246">
        <f t="shared" si="9"/>
        <v>84428</v>
      </c>
      <c r="Z16" s="391">
        <v>84466</v>
      </c>
      <c r="AA16" s="485">
        <f t="shared" si="18"/>
        <v>38</v>
      </c>
      <c r="AB16" s="630">
        <f t="shared" si="22"/>
        <v>15849</v>
      </c>
      <c r="AC16" s="634">
        <v>15869</v>
      </c>
      <c r="AD16" s="633">
        <f t="shared" si="23"/>
        <v>20</v>
      </c>
      <c r="AE16" s="246">
        <f t="shared" si="27"/>
        <v>18300</v>
      </c>
      <c r="AF16" s="392">
        <v>18300</v>
      </c>
      <c r="AG16" s="485">
        <f t="shared" si="19"/>
        <v>0</v>
      </c>
      <c r="AH16" s="246">
        <f t="shared" si="11"/>
        <v>26204</v>
      </c>
      <c r="AI16" s="392">
        <v>26204</v>
      </c>
      <c r="AJ16" s="485">
        <f t="shared" si="20"/>
        <v>0</v>
      </c>
      <c r="AK16" s="318">
        <f t="shared" si="12"/>
        <v>0</v>
      </c>
      <c r="AL16" s="391"/>
      <c r="AM16" s="485">
        <f t="shared" si="21"/>
        <v>0</v>
      </c>
      <c r="AN16" s="396">
        <f t="shared" si="24"/>
        <v>142</v>
      </c>
    </row>
    <row r="17" spans="1:40" ht="23.1" customHeight="1">
      <c r="A17" s="58">
        <f>Gen!B22</f>
        <v>44116</v>
      </c>
      <c r="B17" s="4"/>
      <c r="C17" s="96">
        <f t="shared" si="0"/>
        <v>242139</v>
      </c>
      <c r="D17" s="1">
        <v>242181</v>
      </c>
      <c r="E17" s="484">
        <f>IF((D17-D16)&lt;0,"0",(D17-D16))</f>
        <v>42</v>
      </c>
      <c r="F17" s="96">
        <f t="shared" si="2"/>
        <v>38000</v>
      </c>
      <c r="G17" s="394">
        <v>38000</v>
      </c>
      <c r="H17" s="484">
        <f t="shared" si="13"/>
        <v>0</v>
      </c>
      <c r="I17" s="96">
        <f t="shared" si="3"/>
        <v>8064</v>
      </c>
      <c r="J17" s="1">
        <v>8065</v>
      </c>
      <c r="K17" s="484">
        <f t="shared" si="26"/>
        <v>1</v>
      </c>
      <c r="L17" s="96">
        <f t="shared" si="5"/>
        <v>12885</v>
      </c>
      <c r="M17" s="1">
        <v>12896</v>
      </c>
      <c r="N17" s="484">
        <f t="shared" si="14"/>
        <v>11</v>
      </c>
      <c r="O17" s="96">
        <f t="shared" si="6"/>
        <v>20340</v>
      </c>
      <c r="P17" s="390">
        <v>20344</v>
      </c>
      <c r="Q17" s="484">
        <f t="shared" si="7"/>
        <v>4</v>
      </c>
      <c r="R17" s="251"/>
      <c r="S17" s="246">
        <f t="shared" si="15"/>
        <v>59988</v>
      </c>
      <c r="T17" s="391">
        <v>60072</v>
      </c>
      <c r="U17" s="485">
        <f t="shared" si="16"/>
        <v>84</v>
      </c>
      <c r="V17" s="246">
        <f t="shared" si="8"/>
        <v>73030</v>
      </c>
      <c r="W17" s="391">
        <v>73030</v>
      </c>
      <c r="X17" s="485">
        <f>IF((W17-W16)&lt;0,"0",(W17-W16))</f>
        <v>0</v>
      </c>
      <c r="Y17" s="246">
        <f t="shared" si="9"/>
        <v>84466</v>
      </c>
      <c r="Z17" s="391">
        <v>84503</v>
      </c>
      <c r="AA17" s="485">
        <f>IF((Z17-Z16)&lt;0,"0",(Z17-Z16))</f>
        <v>37</v>
      </c>
      <c r="AB17" s="630">
        <f t="shared" si="22"/>
        <v>15869</v>
      </c>
      <c r="AC17" s="634">
        <v>15888</v>
      </c>
      <c r="AD17" s="633">
        <f t="shared" si="23"/>
        <v>19</v>
      </c>
      <c r="AE17" s="246">
        <f t="shared" si="27"/>
        <v>18300</v>
      </c>
      <c r="AF17" s="392">
        <v>18300</v>
      </c>
      <c r="AG17" s="485">
        <f t="shared" si="19"/>
        <v>0</v>
      </c>
      <c r="AH17" s="246">
        <f t="shared" si="11"/>
        <v>26204</v>
      </c>
      <c r="AI17" s="392">
        <v>26204</v>
      </c>
      <c r="AJ17" s="485">
        <f t="shared" si="20"/>
        <v>0</v>
      </c>
      <c r="AK17" s="318">
        <f t="shared" si="12"/>
        <v>0</v>
      </c>
      <c r="AL17" s="391"/>
      <c r="AM17" s="485">
        <f>IF((AL17-AL16)&lt;0,"0",(AL17-AL16))</f>
        <v>0</v>
      </c>
      <c r="AN17" s="396">
        <f t="shared" si="24"/>
        <v>140</v>
      </c>
    </row>
    <row r="18" spans="1:40" ht="23.1" customHeight="1">
      <c r="A18" s="58">
        <f>Gen!B23</f>
        <v>44117</v>
      </c>
      <c r="B18" s="4"/>
      <c r="C18" s="96">
        <f t="shared" si="0"/>
        <v>242181</v>
      </c>
      <c r="D18" s="1">
        <v>242234</v>
      </c>
      <c r="E18" s="484">
        <f t="shared" ref="E18:E37" si="28">IF((D18-D17)&lt;0,"0",(D18-D17))</f>
        <v>53</v>
      </c>
      <c r="F18" s="96">
        <f t="shared" si="2"/>
        <v>38000</v>
      </c>
      <c r="G18" s="394">
        <v>38000</v>
      </c>
      <c r="H18" s="484">
        <f t="shared" si="13"/>
        <v>0</v>
      </c>
      <c r="I18" s="96"/>
      <c r="J18" s="1">
        <v>8066</v>
      </c>
      <c r="K18" s="484">
        <f t="shared" si="26"/>
        <v>1</v>
      </c>
      <c r="L18" s="96">
        <f t="shared" si="5"/>
        <v>12896</v>
      </c>
      <c r="M18" s="1">
        <v>12907</v>
      </c>
      <c r="N18" s="484">
        <f t="shared" si="14"/>
        <v>11</v>
      </c>
      <c r="O18" s="96">
        <f t="shared" si="6"/>
        <v>20344</v>
      </c>
      <c r="P18" s="390">
        <v>20346</v>
      </c>
      <c r="Q18" s="484">
        <f t="shared" si="7"/>
        <v>2</v>
      </c>
      <c r="R18" s="251"/>
      <c r="S18" s="246">
        <f t="shared" si="15"/>
        <v>60072</v>
      </c>
      <c r="T18" s="391">
        <v>60156</v>
      </c>
      <c r="U18" s="485">
        <f t="shared" si="16"/>
        <v>84</v>
      </c>
      <c r="V18" s="246">
        <f t="shared" si="8"/>
        <v>73030</v>
      </c>
      <c r="W18" s="391">
        <v>73030</v>
      </c>
      <c r="X18" s="485">
        <f t="shared" si="17"/>
        <v>0</v>
      </c>
      <c r="Y18" s="246">
        <f t="shared" si="9"/>
        <v>84503</v>
      </c>
      <c r="Z18" s="391">
        <v>84540</v>
      </c>
      <c r="AA18" s="485">
        <f t="shared" si="18"/>
        <v>37</v>
      </c>
      <c r="AB18" s="630">
        <f t="shared" si="22"/>
        <v>15888</v>
      </c>
      <c r="AC18" s="634">
        <v>15907</v>
      </c>
      <c r="AD18" s="633">
        <f t="shared" si="23"/>
        <v>19</v>
      </c>
      <c r="AE18" s="246">
        <f t="shared" si="27"/>
        <v>18300</v>
      </c>
      <c r="AF18" s="392">
        <v>18300</v>
      </c>
      <c r="AG18" s="485">
        <f t="shared" si="19"/>
        <v>0</v>
      </c>
      <c r="AH18" s="246">
        <f>AI17</f>
        <v>26204</v>
      </c>
      <c r="AI18" s="392">
        <v>26226</v>
      </c>
      <c r="AJ18" s="485">
        <f t="shared" si="20"/>
        <v>22</v>
      </c>
      <c r="AK18" s="318">
        <f t="shared" si="12"/>
        <v>0</v>
      </c>
      <c r="AL18" s="391"/>
      <c r="AM18" s="485">
        <f t="shared" ref="AM18:AM26" si="29">IF((AL18-AL17)&lt;0,"0",(AL18-AL17))</f>
        <v>0</v>
      </c>
      <c r="AN18" s="396">
        <f t="shared" si="24"/>
        <v>162</v>
      </c>
    </row>
    <row r="19" spans="1:40" ht="23.1" customHeight="1">
      <c r="A19" s="58">
        <f>Gen!B24</f>
        <v>44118</v>
      </c>
      <c r="B19" s="4"/>
      <c r="C19" s="96">
        <f t="shared" si="0"/>
        <v>242234</v>
      </c>
      <c r="D19" s="1">
        <v>242277</v>
      </c>
      <c r="E19" s="484">
        <f t="shared" si="28"/>
        <v>43</v>
      </c>
      <c r="F19" s="96">
        <f t="shared" si="2"/>
        <v>38000</v>
      </c>
      <c r="G19" s="394">
        <v>38000</v>
      </c>
      <c r="H19" s="484">
        <f t="shared" si="13"/>
        <v>0</v>
      </c>
      <c r="I19" s="96">
        <f t="shared" si="3"/>
        <v>8066</v>
      </c>
      <c r="J19" s="1">
        <v>8066</v>
      </c>
      <c r="K19" s="484">
        <f t="shared" si="26"/>
        <v>0</v>
      </c>
      <c r="L19" s="96">
        <f t="shared" si="5"/>
        <v>12907</v>
      </c>
      <c r="M19" s="1">
        <v>12907</v>
      </c>
      <c r="N19" s="484">
        <f t="shared" si="14"/>
        <v>0</v>
      </c>
      <c r="O19" s="96">
        <f t="shared" si="6"/>
        <v>20346</v>
      </c>
      <c r="P19" s="390">
        <v>20348</v>
      </c>
      <c r="Q19" s="484">
        <f t="shared" si="7"/>
        <v>2</v>
      </c>
      <c r="R19" s="251"/>
      <c r="S19" s="246">
        <f t="shared" si="15"/>
        <v>60156</v>
      </c>
      <c r="T19" s="391">
        <v>60203</v>
      </c>
      <c r="U19" s="485">
        <f t="shared" si="16"/>
        <v>47</v>
      </c>
      <c r="V19" s="246">
        <f t="shared" si="8"/>
        <v>73030</v>
      </c>
      <c r="W19" s="391">
        <v>73030</v>
      </c>
      <c r="X19" s="485">
        <f t="shared" si="17"/>
        <v>0</v>
      </c>
      <c r="Y19" s="246">
        <f t="shared" si="9"/>
        <v>84540</v>
      </c>
      <c r="Z19" s="391">
        <v>84577</v>
      </c>
      <c r="AA19" s="485">
        <f t="shared" si="18"/>
        <v>37</v>
      </c>
      <c r="AB19" s="630">
        <f t="shared" si="22"/>
        <v>15907</v>
      </c>
      <c r="AC19" s="634">
        <v>15927</v>
      </c>
      <c r="AD19" s="633">
        <f t="shared" si="23"/>
        <v>20</v>
      </c>
      <c r="AE19" s="246">
        <f t="shared" si="27"/>
        <v>18300</v>
      </c>
      <c r="AF19" s="392">
        <v>18300</v>
      </c>
      <c r="AG19" s="485">
        <f t="shared" si="19"/>
        <v>0</v>
      </c>
      <c r="AH19" s="246">
        <f>AI18</f>
        <v>26226</v>
      </c>
      <c r="AI19" s="392">
        <v>26246</v>
      </c>
      <c r="AJ19" s="485">
        <f t="shared" si="20"/>
        <v>20</v>
      </c>
      <c r="AK19" s="318">
        <f t="shared" si="12"/>
        <v>0</v>
      </c>
      <c r="AL19" s="391"/>
      <c r="AM19" s="485">
        <f t="shared" si="29"/>
        <v>0</v>
      </c>
      <c r="AN19" s="396">
        <f t="shared" si="24"/>
        <v>124</v>
      </c>
    </row>
    <row r="20" spans="1:40" ht="23.1" customHeight="1">
      <c r="A20" s="58">
        <f>Gen!B25</f>
        <v>44119</v>
      </c>
      <c r="B20" s="4"/>
      <c r="C20" s="96">
        <f t="shared" si="0"/>
        <v>242277</v>
      </c>
      <c r="D20" s="1">
        <v>242325</v>
      </c>
      <c r="E20" s="484">
        <f t="shared" si="28"/>
        <v>48</v>
      </c>
      <c r="F20" s="96">
        <f t="shared" si="2"/>
        <v>38000</v>
      </c>
      <c r="G20" s="394">
        <v>38000</v>
      </c>
      <c r="H20" s="484">
        <f t="shared" si="13"/>
        <v>0</v>
      </c>
      <c r="I20" s="96">
        <f t="shared" si="3"/>
        <v>8066</v>
      </c>
      <c r="J20" s="1">
        <v>8067</v>
      </c>
      <c r="K20" s="484">
        <f t="shared" si="26"/>
        <v>1</v>
      </c>
      <c r="L20" s="96">
        <f t="shared" si="5"/>
        <v>12907</v>
      </c>
      <c r="M20" s="1">
        <v>12907</v>
      </c>
      <c r="N20" s="484">
        <f t="shared" si="14"/>
        <v>0</v>
      </c>
      <c r="O20" s="96">
        <f t="shared" si="6"/>
        <v>20348</v>
      </c>
      <c r="P20" s="390">
        <v>20350</v>
      </c>
      <c r="Q20" s="484">
        <f t="shared" si="7"/>
        <v>2</v>
      </c>
      <c r="R20" s="251"/>
      <c r="S20" s="246">
        <f t="shared" si="15"/>
        <v>60203</v>
      </c>
      <c r="T20" s="391">
        <v>60234</v>
      </c>
      <c r="U20" s="485">
        <f t="shared" si="16"/>
        <v>31</v>
      </c>
      <c r="V20" s="246">
        <f t="shared" si="8"/>
        <v>73030</v>
      </c>
      <c r="W20" s="391">
        <v>73030</v>
      </c>
      <c r="X20" s="485">
        <f t="shared" si="17"/>
        <v>0</v>
      </c>
      <c r="Y20" s="246">
        <f t="shared" si="9"/>
        <v>84577</v>
      </c>
      <c r="Z20" s="391">
        <v>84613</v>
      </c>
      <c r="AA20" s="485">
        <f t="shared" si="18"/>
        <v>36</v>
      </c>
      <c r="AB20" s="630">
        <f t="shared" si="22"/>
        <v>15927</v>
      </c>
      <c r="AC20" s="634">
        <v>15946</v>
      </c>
      <c r="AD20" s="633">
        <f t="shared" si="23"/>
        <v>19</v>
      </c>
      <c r="AE20" s="246">
        <f t="shared" si="27"/>
        <v>18300</v>
      </c>
      <c r="AF20" s="392">
        <v>18300</v>
      </c>
      <c r="AG20" s="485">
        <f t="shared" si="19"/>
        <v>0</v>
      </c>
      <c r="AH20" s="246">
        <f t="shared" si="11"/>
        <v>26246</v>
      </c>
      <c r="AI20" s="392">
        <v>26268</v>
      </c>
      <c r="AJ20" s="485">
        <f t="shared" si="20"/>
        <v>22</v>
      </c>
      <c r="AK20" s="318">
        <f t="shared" si="12"/>
        <v>0</v>
      </c>
      <c r="AL20" s="391"/>
      <c r="AM20" s="485">
        <f t="shared" si="29"/>
        <v>0</v>
      </c>
      <c r="AN20" s="396">
        <f t="shared" si="24"/>
        <v>108</v>
      </c>
    </row>
    <row r="21" spans="1:40" ht="23.1" customHeight="1">
      <c r="A21" s="58">
        <f>Gen!B26</f>
        <v>44120</v>
      </c>
      <c r="B21" s="4"/>
      <c r="C21" s="96">
        <f t="shared" si="0"/>
        <v>242325</v>
      </c>
      <c r="D21" s="1">
        <v>242381</v>
      </c>
      <c r="E21" s="484">
        <f t="shared" si="28"/>
        <v>56</v>
      </c>
      <c r="F21" s="96">
        <f t="shared" si="2"/>
        <v>38000</v>
      </c>
      <c r="G21" s="394">
        <v>38000</v>
      </c>
      <c r="H21" s="484">
        <f t="shared" si="13"/>
        <v>0</v>
      </c>
      <c r="I21" s="96">
        <f t="shared" si="3"/>
        <v>8067</v>
      </c>
      <c r="J21" s="1">
        <v>8068</v>
      </c>
      <c r="K21" s="484">
        <f t="shared" si="26"/>
        <v>1</v>
      </c>
      <c r="L21" s="96">
        <f t="shared" si="5"/>
        <v>12907</v>
      </c>
      <c r="M21" s="1">
        <v>12907</v>
      </c>
      <c r="N21" s="484">
        <f t="shared" si="14"/>
        <v>0</v>
      </c>
      <c r="O21" s="96">
        <f t="shared" si="6"/>
        <v>20350</v>
      </c>
      <c r="P21" s="390">
        <v>20353</v>
      </c>
      <c r="Q21" s="484">
        <f t="shared" si="7"/>
        <v>3</v>
      </c>
      <c r="R21" s="251"/>
      <c r="S21" s="246">
        <f t="shared" si="15"/>
        <v>60234</v>
      </c>
      <c r="T21" s="391">
        <v>60264</v>
      </c>
      <c r="U21" s="485">
        <f t="shared" si="16"/>
        <v>30</v>
      </c>
      <c r="V21" s="246">
        <f t="shared" ref="V21:V37" si="30">W20</f>
        <v>73030</v>
      </c>
      <c r="W21" s="391">
        <v>73030</v>
      </c>
      <c r="X21" s="485">
        <f t="shared" si="17"/>
        <v>0</v>
      </c>
      <c r="Y21" s="246">
        <f t="shared" si="9"/>
        <v>84613</v>
      </c>
      <c r="Z21" s="391">
        <v>84648</v>
      </c>
      <c r="AA21" s="485">
        <f t="shared" si="18"/>
        <v>35</v>
      </c>
      <c r="AB21" s="630">
        <f t="shared" si="22"/>
        <v>15946</v>
      </c>
      <c r="AC21" s="634">
        <v>15964</v>
      </c>
      <c r="AD21" s="633">
        <f t="shared" si="23"/>
        <v>18</v>
      </c>
      <c r="AE21" s="246">
        <f t="shared" si="10"/>
        <v>18300</v>
      </c>
      <c r="AF21" s="392">
        <v>18300</v>
      </c>
      <c r="AG21" s="485">
        <f t="shared" si="19"/>
        <v>0</v>
      </c>
      <c r="AH21" s="246">
        <f t="shared" si="11"/>
        <v>26268</v>
      </c>
      <c r="AI21" s="392">
        <v>26291</v>
      </c>
      <c r="AJ21" s="485">
        <f t="shared" si="20"/>
        <v>23</v>
      </c>
      <c r="AK21" s="318">
        <f t="shared" si="12"/>
        <v>0</v>
      </c>
      <c r="AL21" s="391"/>
      <c r="AM21" s="485">
        <f t="shared" si="29"/>
        <v>0</v>
      </c>
      <c r="AN21" s="396">
        <f t="shared" si="24"/>
        <v>106</v>
      </c>
    </row>
    <row r="22" spans="1:40" ht="23.1" customHeight="1">
      <c r="A22" s="58">
        <f>Gen!B27</f>
        <v>44121</v>
      </c>
      <c r="B22" s="4"/>
      <c r="C22" s="96">
        <f t="shared" si="0"/>
        <v>242381</v>
      </c>
      <c r="D22" s="1">
        <v>242452</v>
      </c>
      <c r="E22" s="484">
        <f t="shared" si="28"/>
        <v>71</v>
      </c>
      <c r="F22" s="96">
        <f t="shared" si="2"/>
        <v>38000</v>
      </c>
      <c r="G22" s="394">
        <v>38000</v>
      </c>
      <c r="H22" s="484">
        <f t="shared" si="13"/>
        <v>0</v>
      </c>
      <c r="I22" s="96">
        <f t="shared" si="3"/>
        <v>8068</v>
      </c>
      <c r="J22" s="1">
        <v>8068</v>
      </c>
      <c r="K22" s="484">
        <f t="shared" si="26"/>
        <v>0</v>
      </c>
      <c r="L22" s="96">
        <f t="shared" si="5"/>
        <v>12907</v>
      </c>
      <c r="M22" s="1">
        <v>12907</v>
      </c>
      <c r="N22" s="484">
        <f t="shared" si="14"/>
        <v>0</v>
      </c>
      <c r="O22" s="96">
        <f t="shared" si="6"/>
        <v>20353</v>
      </c>
      <c r="P22" s="390">
        <v>20357</v>
      </c>
      <c r="Q22" s="484">
        <f t="shared" si="7"/>
        <v>4</v>
      </c>
      <c r="R22" s="251"/>
      <c r="S22" s="246">
        <f t="shared" si="15"/>
        <v>60264</v>
      </c>
      <c r="T22" s="391">
        <v>60264</v>
      </c>
      <c r="U22" s="485">
        <f t="shared" si="16"/>
        <v>0</v>
      </c>
      <c r="V22" s="246">
        <f t="shared" si="30"/>
        <v>73030</v>
      </c>
      <c r="W22" s="391">
        <v>73031</v>
      </c>
      <c r="X22" s="485">
        <f t="shared" si="17"/>
        <v>1</v>
      </c>
      <c r="Y22" s="246">
        <f t="shared" si="9"/>
        <v>84648</v>
      </c>
      <c r="Z22" s="391">
        <v>84683</v>
      </c>
      <c r="AA22" s="485">
        <f t="shared" si="18"/>
        <v>35</v>
      </c>
      <c r="AB22" s="630">
        <f t="shared" si="22"/>
        <v>15964</v>
      </c>
      <c r="AC22" s="634">
        <v>15982</v>
      </c>
      <c r="AD22" s="633">
        <f t="shared" si="23"/>
        <v>18</v>
      </c>
      <c r="AE22" s="246">
        <f t="shared" si="10"/>
        <v>18300</v>
      </c>
      <c r="AF22" s="392">
        <v>18300</v>
      </c>
      <c r="AG22" s="485">
        <f t="shared" si="19"/>
        <v>0</v>
      </c>
      <c r="AH22" s="246">
        <f t="shared" si="11"/>
        <v>26291</v>
      </c>
      <c r="AI22" s="392">
        <v>26314</v>
      </c>
      <c r="AJ22" s="485">
        <f t="shared" si="20"/>
        <v>23</v>
      </c>
      <c r="AK22" s="318">
        <f t="shared" si="12"/>
        <v>0</v>
      </c>
      <c r="AL22" s="391"/>
      <c r="AM22" s="485">
        <f t="shared" si="29"/>
        <v>0</v>
      </c>
      <c r="AN22" s="396">
        <f t="shared" si="24"/>
        <v>77</v>
      </c>
    </row>
    <row r="23" spans="1:40" ht="23.1" customHeight="1">
      <c r="A23" s="58">
        <f>Gen!B28</f>
        <v>44122</v>
      </c>
      <c r="B23" s="4"/>
      <c r="C23" s="96">
        <f t="shared" si="0"/>
        <v>242452</v>
      </c>
      <c r="D23" s="1">
        <v>242509</v>
      </c>
      <c r="E23" s="484">
        <f t="shared" si="28"/>
        <v>57</v>
      </c>
      <c r="F23" s="96">
        <f t="shared" si="2"/>
        <v>38000</v>
      </c>
      <c r="G23" s="394">
        <v>38000</v>
      </c>
      <c r="H23" s="484">
        <f t="shared" si="13"/>
        <v>0</v>
      </c>
      <c r="I23" s="96">
        <f t="shared" si="3"/>
        <v>8068</v>
      </c>
      <c r="J23" s="1">
        <v>8070</v>
      </c>
      <c r="K23" s="484">
        <f t="shared" si="26"/>
        <v>2</v>
      </c>
      <c r="L23" s="96">
        <f t="shared" si="5"/>
        <v>12907</v>
      </c>
      <c r="M23" s="1">
        <v>12907</v>
      </c>
      <c r="N23" s="484">
        <f t="shared" si="14"/>
        <v>0</v>
      </c>
      <c r="O23" s="96">
        <f t="shared" si="6"/>
        <v>20357</v>
      </c>
      <c r="P23" s="390">
        <v>20360</v>
      </c>
      <c r="Q23" s="484">
        <f t="shared" si="7"/>
        <v>3</v>
      </c>
      <c r="R23" s="251"/>
      <c r="S23" s="246">
        <f t="shared" si="15"/>
        <v>60264</v>
      </c>
      <c r="T23" s="391">
        <v>60264</v>
      </c>
      <c r="U23" s="485">
        <f t="shared" si="16"/>
        <v>0</v>
      </c>
      <c r="V23" s="246">
        <f t="shared" si="30"/>
        <v>73031</v>
      </c>
      <c r="W23" s="391">
        <v>73031</v>
      </c>
      <c r="X23" s="485">
        <f t="shared" si="17"/>
        <v>0</v>
      </c>
      <c r="Y23" s="246">
        <f t="shared" si="9"/>
        <v>84683</v>
      </c>
      <c r="Z23" s="391">
        <v>84719</v>
      </c>
      <c r="AA23" s="485">
        <f t="shared" si="18"/>
        <v>36</v>
      </c>
      <c r="AB23" s="630">
        <f t="shared" si="22"/>
        <v>15982</v>
      </c>
      <c r="AC23" s="631">
        <v>16000</v>
      </c>
      <c r="AD23" s="633">
        <f t="shared" si="23"/>
        <v>18</v>
      </c>
      <c r="AE23" s="246">
        <f t="shared" si="10"/>
        <v>18300</v>
      </c>
      <c r="AF23" s="392">
        <v>18300</v>
      </c>
      <c r="AG23" s="485">
        <f t="shared" si="19"/>
        <v>0</v>
      </c>
      <c r="AH23" s="246">
        <f t="shared" si="11"/>
        <v>26314</v>
      </c>
      <c r="AI23" s="392">
        <v>26336</v>
      </c>
      <c r="AJ23" s="485">
        <f t="shared" si="20"/>
        <v>22</v>
      </c>
      <c r="AK23" s="318">
        <f t="shared" si="12"/>
        <v>0</v>
      </c>
      <c r="AL23" s="391"/>
      <c r="AM23" s="485">
        <f t="shared" si="29"/>
        <v>0</v>
      </c>
      <c r="AN23" s="396">
        <f t="shared" si="24"/>
        <v>76</v>
      </c>
    </row>
    <row r="24" spans="1:40" ht="23.1" customHeight="1">
      <c r="A24" s="58">
        <f>Gen!B29</f>
        <v>44123</v>
      </c>
      <c r="B24" s="4"/>
      <c r="C24" s="96">
        <f t="shared" si="0"/>
        <v>242509</v>
      </c>
      <c r="D24" s="1"/>
      <c r="E24" s="484" t="str">
        <f t="shared" si="28"/>
        <v>0</v>
      </c>
      <c r="F24" s="96">
        <f t="shared" si="2"/>
        <v>38000</v>
      </c>
      <c r="G24" s="394"/>
      <c r="H24" s="484" t="str">
        <f t="shared" si="13"/>
        <v>0</v>
      </c>
      <c r="I24" s="96">
        <f t="shared" si="3"/>
        <v>8070</v>
      </c>
      <c r="J24" s="1"/>
      <c r="K24" s="484" t="str">
        <f t="shared" si="26"/>
        <v>0</v>
      </c>
      <c r="L24" s="96">
        <f t="shared" si="5"/>
        <v>12907</v>
      </c>
      <c r="M24" s="1"/>
      <c r="N24" s="484" t="str">
        <f t="shared" si="14"/>
        <v>0</v>
      </c>
      <c r="O24" s="96">
        <f t="shared" si="6"/>
        <v>20360</v>
      </c>
      <c r="P24" s="390"/>
      <c r="Q24" s="484" t="str">
        <f t="shared" si="7"/>
        <v>0</v>
      </c>
      <c r="R24" s="251"/>
      <c r="S24" s="246">
        <f t="shared" si="15"/>
        <v>60264</v>
      </c>
      <c r="T24" s="391"/>
      <c r="U24" s="485" t="str">
        <f t="shared" si="16"/>
        <v>0</v>
      </c>
      <c r="V24" s="246">
        <f t="shared" si="30"/>
        <v>73031</v>
      </c>
      <c r="W24" s="391"/>
      <c r="X24" s="485" t="str">
        <f t="shared" si="17"/>
        <v>0</v>
      </c>
      <c r="Y24" s="246">
        <f t="shared" si="9"/>
        <v>84719</v>
      </c>
      <c r="Z24" s="391"/>
      <c r="AA24" s="485" t="str">
        <f t="shared" si="18"/>
        <v>0</v>
      </c>
      <c r="AB24" s="630">
        <f t="shared" si="22"/>
        <v>16000</v>
      </c>
      <c r="AC24" s="631"/>
      <c r="AD24" s="633" t="str">
        <f t="shared" si="23"/>
        <v>0</v>
      </c>
      <c r="AE24" s="246">
        <f t="shared" si="10"/>
        <v>18300</v>
      </c>
      <c r="AF24" s="392"/>
      <c r="AG24" s="485" t="str">
        <f t="shared" si="19"/>
        <v>0</v>
      </c>
      <c r="AH24" s="246">
        <f t="shared" si="11"/>
        <v>26336</v>
      </c>
      <c r="AI24" s="392"/>
      <c r="AJ24" s="485" t="str">
        <f t="shared" si="20"/>
        <v>0</v>
      </c>
      <c r="AK24" s="318">
        <f t="shared" si="12"/>
        <v>0</v>
      </c>
      <c r="AL24" s="391"/>
      <c r="AM24" s="485">
        <f t="shared" si="29"/>
        <v>0</v>
      </c>
      <c r="AN24" s="396">
        <f t="shared" si="24"/>
        <v>0</v>
      </c>
    </row>
    <row r="25" spans="1:40" ht="23.1" customHeight="1">
      <c r="A25" s="58">
        <f>Gen!B30</f>
        <v>44124</v>
      </c>
      <c r="B25" s="4"/>
      <c r="C25" s="96">
        <f>D24</f>
        <v>0</v>
      </c>
      <c r="D25" s="1"/>
      <c r="E25" s="484">
        <f t="shared" si="28"/>
        <v>0</v>
      </c>
      <c r="F25" s="96">
        <f t="shared" si="2"/>
        <v>0</v>
      </c>
      <c r="G25" s="394"/>
      <c r="H25" s="484">
        <f>IF((G26-G24)&lt;0,"0",(G26-G24))</f>
        <v>0</v>
      </c>
      <c r="I25" s="96">
        <f t="shared" ref="I25:I37" si="31">J24</f>
        <v>0</v>
      </c>
      <c r="J25" s="1"/>
      <c r="K25" s="484">
        <f t="shared" si="26"/>
        <v>0</v>
      </c>
      <c r="L25" s="96">
        <f t="shared" ref="L25:L37" si="32">M24</f>
        <v>0</v>
      </c>
      <c r="M25" s="1"/>
      <c r="N25" s="484">
        <f t="shared" ref="N25:N37" si="33">IF((M25-M24)&lt;0,"0",(M25-M24))</f>
        <v>0</v>
      </c>
      <c r="O25" s="96">
        <f t="shared" si="6"/>
        <v>0</v>
      </c>
      <c r="P25" s="390"/>
      <c r="Q25" s="484">
        <f t="shared" si="7"/>
        <v>0</v>
      </c>
      <c r="R25" s="251"/>
      <c r="S25" s="246">
        <f t="shared" ref="S25:S37" si="34">T24</f>
        <v>0</v>
      </c>
      <c r="T25" s="391"/>
      <c r="U25" s="485">
        <f t="shared" ref="U25:U37" si="35">IF((T25-T24)&lt;0,"0",(T25-T24))</f>
        <v>0</v>
      </c>
      <c r="V25" s="246">
        <f t="shared" si="30"/>
        <v>0</v>
      </c>
      <c r="W25" s="391"/>
      <c r="X25" s="485">
        <f t="shared" si="17"/>
        <v>0</v>
      </c>
      <c r="Y25" s="246">
        <f t="shared" si="9"/>
        <v>0</v>
      </c>
      <c r="Z25" s="391"/>
      <c r="AA25" s="485">
        <f t="shared" si="18"/>
        <v>0</v>
      </c>
      <c r="AB25" s="630">
        <f t="shared" si="22"/>
        <v>0</v>
      </c>
      <c r="AC25" s="631"/>
      <c r="AD25" s="633">
        <f t="shared" si="23"/>
        <v>0</v>
      </c>
      <c r="AE25" s="246">
        <f t="shared" si="10"/>
        <v>0</v>
      </c>
      <c r="AF25" s="392"/>
      <c r="AG25" s="485">
        <f t="shared" si="19"/>
        <v>0</v>
      </c>
      <c r="AH25" s="246">
        <f t="shared" si="11"/>
        <v>0</v>
      </c>
      <c r="AI25" s="392"/>
      <c r="AJ25" s="485">
        <f t="shared" si="20"/>
        <v>0</v>
      </c>
      <c r="AK25" s="318">
        <f t="shared" si="12"/>
        <v>0</v>
      </c>
      <c r="AL25" s="391"/>
      <c r="AM25" s="485">
        <f t="shared" si="29"/>
        <v>0</v>
      </c>
      <c r="AN25" s="396">
        <f t="shared" si="24"/>
        <v>0</v>
      </c>
    </row>
    <row r="26" spans="1:40" ht="23.1" customHeight="1">
      <c r="A26" s="58">
        <f>Gen!B31</f>
        <v>44125</v>
      </c>
      <c r="B26" s="4"/>
      <c r="C26" s="96">
        <f>D25</f>
        <v>0</v>
      </c>
      <c r="D26" s="1"/>
      <c r="E26" s="484">
        <f t="shared" si="28"/>
        <v>0</v>
      </c>
      <c r="F26" s="96">
        <f>G26</f>
        <v>0</v>
      </c>
      <c r="G26" s="394"/>
      <c r="H26" s="484">
        <f t="shared" ref="H26:H27" si="36">IF((G27-G25)&lt;0,"0",(G27-G25))</f>
        <v>0</v>
      </c>
      <c r="I26" s="96">
        <f t="shared" si="31"/>
        <v>0</v>
      </c>
      <c r="J26" s="1"/>
      <c r="K26" s="484">
        <f t="shared" si="26"/>
        <v>0</v>
      </c>
      <c r="L26" s="96">
        <f t="shared" si="32"/>
        <v>0</v>
      </c>
      <c r="M26" s="1"/>
      <c r="N26" s="484">
        <f t="shared" si="33"/>
        <v>0</v>
      </c>
      <c r="O26" s="96">
        <f t="shared" ref="O26:O37" si="37">P25</f>
        <v>0</v>
      </c>
      <c r="P26" s="390"/>
      <c r="Q26" s="484">
        <f t="shared" si="7"/>
        <v>0</v>
      </c>
      <c r="R26" s="251"/>
      <c r="S26" s="246">
        <f t="shared" si="34"/>
        <v>0</v>
      </c>
      <c r="T26" s="391"/>
      <c r="U26" s="485">
        <f t="shared" si="35"/>
        <v>0</v>
      </c>
      <c r="V26" s="246">
        <f t="shared" si="30"/>
        <v>0</v>
      </c>
      <c r="W26" s="391"/>
      <c r="X26" s="485">
        <f t="shared" si="17"/>
        <v>0</v>
      </c>
      <c r="Y26" s="246">
        <f t="shared" si="9"/>
        <v>0</v>
      </c>
      <c r="Z26" s="391"/>
      <c r="AA26" s="485">
        <f t="shared" si="18"/>
        <v>0</v>
      </c>
      <c r="AB26" s="630">
        <f t="shared" si="22"/>
        <v>0</v>
      </c>
      <c r="AC26" s="631"/>
      <c r="AD26" s="633">
        <f t="shared" si="23"/>
        <v>0</v>
      </c>
      <c r="AE26" s="246">
        <f t="shared" si="10"/>
        <v>0</v>
      </c>
      <c r="AF26" s="392"/>
      <c r="AG26" s="485">
        <f t="shared" si="19"/>
        <v>0</v>
      </c>
      <c r="AH26" s="246">
        <f t="shared" si="11"/>
        <v>0</v>
      </c>
      <c r="AI26" s="392"/>
      <c r="AJ26" s="485">
        <f t="shared" si="20"/>
        <v>0</v>
      </c>
      <c r="AK26" s="318">
        <f t="shared" si="12"/>
        <v>0</v>
      </c>
      <c r="AL26" s="391"/>
      <c r="AM26" s="485">
        <f t="shared" si="29"/>
        <v>0</v>
      </c>
      <c r="AN26" s="396">
        <f t="shared" si="24"/>
        <v>0</v>
      </c>
    </row>
    <row r="27" spans="1:40" ht="23.1" customHeight="1">
      <c r="A27" s="58">
        <f>Gen!B32</f>
        <v>44126</v>
      </c>
      <c r="B27" s="4"/>
      <c r="C27" s="96">
        <f>D26</f>
        <v>0</v>
      </c>
      <c r="D27" s="1"/>
      <c r="E27" s="484">
        <f t="shared" si="28"/>
        <v>0</v>
      </c>
      <c r="F27" s="96">
        <f t="shared" ref="F27:F31" si="38">G27</f>
        <v>0</v>
      </c>
      <c r="G27" s="394"/>
      <c r="H27" s="484">
        <f t="shared" si="36"/>
        <v>0</v>
      </c>
      <c r="I27" s="96">
        <f t="shared" si="31"/>
        <v>0</v>
      </c>
      <c r="J27" s="1"/>
      <c r="K27" s="484">
        <f t="shared" si="26"/>
        <v>0</v>
      </c>
      <c r="L27" s="96">
        <f t="shared" si="32"/>
        <v>0</v>
      </c>
      <c r="M27" s="1"/>
      <c r="N27" s="484">
        <f t="shared" si="33"/>
        <v>0</v>
      </c>
      <c r="O27" s="96">
        <f t="shared" si="37"/>
        <v>0</v>
      </c>
      <c r="P27" s="390"/>
      <c r="Q27" s="484">
        <f t="shared" si="7"/>
        <v>0</v>
      </c>
      <c r="R27" s="251"/>
      <c r="S27" s="246">
        <f t="shared" si="34"/>
        <v>0</v>
      </c>
      <c r="T27" s="391"/>
      <c r="U27" s="485">
        <f t="shared" si="35"/>
        <v>0</v>
      </c>
      <c r="V27" s="246">
        <f t="shared" si="30"/>
        <v>0</v>
      </c>
      <c r="W27" s="391"/>
      <c r="X27" s="485">
        <f t="shared" si="17"/>
        <v>0</v>
      </c>
      <c r="Y27" s="246">
        <f t="shared" si="9"/>
        <v>0</v>
      </c>
      <c r="Z27" s="391"/>
      <c r="AA27" s="485">
        <f t="shared" si="18"/>
        <v>0</v>
      </c>
      <c r="AB27" s="630">
        <f t="shared" si="22"/>
        <v>0</v>
      </c>
      <c r="AC27" s="631"/>
      <c r="AD27" s="633">
        <f t="shared" si="23"/>
        <v>0</v>
      </c>
      <c r="AE27" s="246">
        <f t="shared" si="10"/>
        <v>0</v>
      </c>
      <c r="AF27" s="392"/>
      <c r="AG27" s="485">
        <f t="shared" si="19"/>
        <v>0</v>
      </c>
      <c r="AH27" s="246">
        <f t="shared" si="11"/>
        <v>0</v>
      </c>
      <c r="AI27" s="392"/>
      <c r="AJ27" s="485">
        <f t="shared" si="20"/>
        <v>0</v>
      </c>
      <c r="AK27" s="318">
        <f t="shared" si="12"/>
        <v>0</v>
      </c>
      <c r="AL27" s="391"/>
      <c r="AM27" s="485">
        <f t="shared" si="21"/>
        <v>0</v>
      </c>
      <c r="AN27" s="396">
        <f t="shared" si="24"/>
        <v>0</v>
      </c>
    </row>
    <row r="28" spans="1:40" ht="23.1" customHeight="1">
      <c r="A28" s="58">
        <f>Gen!B33</f>
        <v>44127</v>
      </c>
      <c r="B28" s="4"/>
      <c r="C28" s="96">
        <f t="shared" ref="C28:C37" si="39">D27</f>
        <v>0</v>
      </c>
      <c r="D28" s="1"/>
      <c r="E28" s="484">
        <f t="shared" si="28"/>
        <v>0</v>
      </c>
      <c r="F28" s="96">
        <f t="shared" si="38"/>
        <v>0</v>
      </c>
      <c r="G28" s="394"/>
      <c r="H28" s="484">
        <f t="shared" ref="H28:H37" si="40">IF((G28-G27)&lt;0,"0",(G28-G27))</f>
        <v>0</v>
      </c>
      <c r="I28" s="96">
        <f t="shared" si="31"/>
        <v>0</v>
      </c>
      <c r="J28" s="1"/>
      <c r="K28" s="484">
        <f>IF((J28-J27)&lt;0,"0",(J28-J27))</f>
        <v>0</v>
      </c>
      <c r="L28" s="96">
        <f t="shared" si="32"/>
        <v>0</v>
      </c>
      <c r="M28" s="1"/>
      <c r="N28" s="484">
        <f t="shared" si="33"/>
        <v>0</v>
      </c>
      <c r="O28" s="96">
        <f t="shared" si="37"/>
        <v>0</v>
      </c>
      <c r="P28" s="390"/>
      <c r="Q28" s="484">
        <f t="shared" ref="Q28:Q37" si="41">IF((P28-P27)&lt;0,"0",(P28-P27))</f>
        <v>0</v>
      </c>
      <c r="R28" s="251"/>
      <c r="S28" s="246">
        <f t="shared" si="34"/>
        <v>0</v>
      </c>
      <c r="T28" s="391"/>
      <c r="U28" s="485">
        <f t="shared" si="35"/>
        <v>0</v>
      </c>
      <c r="V28" s="246">
        <f t="shared" si="30"/>
        <v>0</v>
      </c>
      <c r="W28" s="391"/>
      <c r="X28" s="485">
        <f t="shared" si="17"/>
        <v>0</v>
      </c>
      <c r="Y28" s="246">
        <f t="shared" si="9"/>
        <v>0</v>
      </c>
      <c r="Z28" s="391"/>
      <c r="AA28" s="485">
        <f t="shared" si="18"/>
        <v>0</v>
      </c>
      <c r="AB28" s="630">
        <f t="shared" si="22"/>
        <v>0</v>
      </c>
      <c r="AC28" s="631"/>
      <c r="AD28" s="633">
        <f t="shared" si="23"/>
        <v>0</v>
      </c>
      <c r="AE28" s="246">
        <f t="shared" si="10"/>
        <v>0</v>
      </c>
      <c r="AF28" s="392"/>
      <c r="AG28" s="485">
        <f t="shared" si="19"/>
        <v>0</v>
      </c>
      <c r="AH28" s="246">
        <f t="shared" si="11"/>
        <v>0</v>
      </c>
      <c r="AI28" s="392"/>
      <c r="AJ28" s="485">
        <f t="shared" si="20"/>
        <v>0</v>
      </c>
      <c r="AK28" s="318">
        <f t="shared" si="12"/>
        <v>0</v>
      </c>
      <c r="AL28" s="391"/>
      <c r="AM28" s="485">
        <f t="shared" si="21"/>
        <v>0</v>
      </c>
      <c r="AN28" s="396">
        <f t="shared" si="24"/>
        <v>0</v>
      </c>
    </row>
    <row r="29" spans="1:40" ht="23.1" customHeight="1">
      <c r="A29" s="58">
        <f>Gen!B34</f>
        <v>44128</v>
      </c>
      <c r="B29" s="4"/>
      <c r="C29" s="96">
        <f t="shared" si="39"/>
        <v>0</v>
      </c>
      <c r="D29" s="1"/>
      <c r="E29" s="484">
        <f t="shared" si="28"/>
        <v>0</v>
      </c>
      <c r="F29" s="96">
        <f t="shared" si="38"/>
        <v>0</v>
      </c>
      <c r="G29" s="394"/>
      <c r="H29" s="484">
        <f t="shared" si="40"/>
        <v>0</v>
      </c>
      <c r="I29" s="96">
        <f t="shared" si="31"/>
        <v>0</v>
      </c>
      <c r="J29" s="1"/>
      <c r="K29" s="484">
        <f t="shared" ref="K29:K37" si="42">IF((J29-J28)&lt;0,"0",(J29-J28))</f>
        <v>0</v>
      </c>
      <c r="L29" s="96">
        <f t="shared" si="32"/>
        <v>0</v>
      </c>
      <c r="M29" s="1"/>
      <c r="N29" s="484">
        <f t="shared" si="33"/>
        <v>0</v>
      </c>
      <c r="O29" s="96">
        <f t="shared" si="37"/>
        <v>0</v>
      </c>
      <c r="P29" s="390"/>
      <c r="Q29" s="484">
        <f t="shared" si="41"/>
        <v>0</v>
      </c>
      <c r="R29" s="251"/>
      <c r="S29" s="246">
        <f t="shared" si="34"/>
        <v>0</v>
      </c>
      <c r="T29" s="391"/>
      <c r="U29" s="485">
        <f t="shared" si="35"/>
        <v>0</v>
      </c>
      <c r="V29" s="246">
        <f t="shared" si="30"/>
        <v>0</v>
      </c>
      <c r="W29" s="391"/>
      <c r="X29" s="485">
        <f t="shared" si="17"/>
        <v>0</v>
      </c>
      <c r="Y29" s="246">
        <f t="shared" si="9"/>
        <v>0</v>
      </c>
      <c r="Z29" s="391"/>
      <c r="AA29" s="485">
        <f t="shared" si="18"/>
        <v>0</v>
      </c>
      <c r="AB29" s="630">
        <f t="shared" si="22"/>
        <v>0</v>
      </c>
      <c r="AC29" s="631"/>
      <c r="AD29" s="633">
        <f t="shared" si="23"/>
        <v>0</v>
      </c>
      <c r="AE29" s="246">
        <f t="shared" si="10"/>
        <v>0</v>
      </c>
      <c r="AF29" s="392"/>
      <c r="AG29" s="485">
        <f t="shared" si="19"/>
        <v>0</v>
      </c>
      <c r="AH29" s="246">
        <f t="shared" si="11"/>
        <v>0</v>
      </c>
      <c r="AI29" s="392"/>
      <c r="AJ29" s="485">
        <f t="shared" si="20"/>
        <v>0</v>
      </c>
      <c r="AK29" s="318">
        <f t="shared" si="12"/>
        <v>0</v>
      </c>
      <c r="AL29" s="391"/>
      <c r="AM29" s="485">
        <f t="shared" si="21"/>
        <v>0</v>
      </c>
      <c r="AN29" s="396">
        <f t="shared" si="24"/>
        <v>0</v>
      </c>
    </row>
    <row r="30" spans="1:40" ht="23.1" customHeight="1">
      <c r="A30" s="58">
        <f>Gen!B35</f>
        <v>44129</v>
      </c>
      <c r="B30" s="4"/>
      <c r="C30" s="96">
        <f t="shared" si="39"/>
        <v>0</v>
      </c>
      <c r="D30" s="1"/>
      <c r="E30" s="484">
        <f t="shared" si="28"/>
        <v>0</v>
      </c>
      <c r="F30" s="96">
        <f t="shared" si="38"/>
        <v>0</v>
      </c>
      <c r="G30" s="394"/>
      <c r="H30" s="484">
        <f t="shared" si="40"/>
        <v>0</v>
      </c>
      <c r="I30" s="96">
        <f t="shared" si="31"/>
        <v>0</v>
      </c>
      <c r="J30" s="1"/>
      <c r="K30" s="484">
        <f t="shared" si="42"/>
        <v>0</v>
      </c>
      <c r="L30" s="96">
        <f t="shared" si="32"/>
        <v>0</v>
      </c>
      <c r="M30" s="1"/>
      <c r="N30" s="484">
        <f t="shared" si="33"/>
        <v>0</v>
      </c>
      <c r="O30" s="96">
        <f t="shared" si="37"/>
        <v>0</v>
      </c>
      <c r="P30" s="390"/>
      <c r="Q30" s="484">
        <f t="shared" si="41"/>
        <v>0</v>
      </c>
      <c r="R30" s="251"/>
      <c r="S30" s="246">
        <f t="shared" si="34"/>
        <v>0</v>
      </c>
      <c r="T30" s="391"/>
      <c r="U30" s="485">
        <f t="shared" si="35"/>
        <v>0</v>
      </c>
      <c r="V30" s="246">
        <f t="shared" si="30"/>
        <v>0</v>
      </c>
      <c r="W30" s="391"/>
      <c r="X30" s="485">
        <f t="shared" si="17"/>
        <v>0</v>
      </c>
      <c r="Y30" s="246">
        <f t="shared" si="9"/>
        <v>0</v>
      </c>
      <c r="Z30" s="391"/>
      <c r="AA30" s="485">
        <f t="shared" si="18"/>
        <v>0</v>
      </c>
      <c r="AB30" s="630">
        <f t="shared" si="22"/>
        <v>0</v>
      </c>
      <c r="AC30" s="631"/>
      <c r="AD30" s="633">
        <f t="shared" si="23"/>
        <v>0</v>
      </c>
      <c r="AE30" s="246">
        <f t="shared" si="10"/>
        <v>0</v>
      </c>
      <c r="AF30" s="392"/>
      <c r="AG30" s="485">
        <f t="shared" si="19"/>
        <v>0</v>
      </c>
      <c r="AH30" s="246">
        <f t="shared" si="11"/>
        <v>0</v>
      </c>
      <c r="AI30" s="392"/>
      <c r="AJ30" s="485">
        <f t="shared" si="20"/>
        <v>0</v>
      </c>
      <c r="AK30" s="318">
        <f t="shared" si="12"/>
        <v>0</v>
      </c>
      <c r="AL30" s="391"/>
      <c r="AM30" s="485">
        <f t="shared" si="21"/>
        <v>0</v>
      </c>
      <c r="AN30" s="396">
        <f t="shared" si="24"/>
        <v>0</v>
      </c>
    </row>
    <row r="31" spans="1:40" ht="23.1" customHeight="1">
      <c r="A31" s="58">
        <f>Gen!B36</f>
        <v>44130</v>
      </c>
      <c r="B31" s="4"/>
      <c r="C31" s="96">
        <f t="shared" si="39"/>
        <v>0</v>
      </c>
      <c r="D31" s="1"/>
      <c r="E31" s="484">
        <f t="shared" si="28"/>
        <v>0</v>
      </c>
      <c r="F31" s="96">
        <f t="shared" si="38"/>
        <v>0</v>
      </c>
      <c r="G31" s="394"/>
      <c r="H31" s="484">
        <f t="shared" si="40"/>
        <v>0</v>
      </c>
      <c r="I31" s="96">
        <f t="shared" si="31"/>
        <v>0</v>
      </c>
      <c r="J31" s="1"/>
      <c r="K31" s="484">
        <f t="shared" si="42"/>
        <v>0</v>
      </c>
      <c r="L31" s="96">
        <f t="shared" si="32"/>
        <v>0</v>
      </c>
      <c r="M31" s="1"/>
      <c r="N31" s="484">
        <f t="shared" si="33"/>
        <v>0</v>
      </c>
      <c r="O31" s="96">
        <f t="shared" si="37"/>
        <v>0</v>
      </c>
      <c r="P31" s="390"/>
      <c r="Q31" s="484">
        <f t="shared" si="41"/>
        <v>0</v>
      </c>
      <c r="R31" s="251"/>
      <c r="S31" s="246">
        <f t="shared" si="34"/>
        <v>0</v>
      </c>
      <c r="T31" s="391"/>
      <c r="U31" s="485">
        <f t="shared" si="35"/>
        <v>0</v>
      </c>
      <c r="V31" s="246">
        <f t="shared" si="30"/>
        <v>0</v>
      </c>
      <c r="W31" s="391"/>
      <c r="X31" s="485">
        <f t="shared" si="17"/>
        <v>0</v>
      </c>
      <c r="Y31" s="246">
        <f t="shared" si="9"/>
        <v>0</v>
      </c>
      <c r="Z31" s="391"/>
      <c r="AA31" s="485">
        <f t="shared" si="18"/>
        <v>0</v>
      </c>
      <c r="AB31" s="630">
        <f t="shared" si="22"/>
        <v>0</v>
      </c>
      <c r="AC31" s="631"/>
      <c r="AD31" s="633">
        <f t="shared" si="23"/>
        <v>0</v>
      </c>
      <c r="AE31" s="246">
        <f t="shared" si="10"/>
        <v>0</v>
      </c>
      <c r="AF31" s="392"/>
      <c r="AG31" s="485">
        <f t="shared" si="19"/>
        <v>0</v>
      </c>
      <c r="AH31" s="246">
        <f t="shared" si="11"/>
        <v>0</v>
      </c>
      <c r="AI31" s="392"/>
      <c r="AJ31" s="485">
        <f t="shared" si="20"/>
        <v>0</v>
      </c>
      <c r="AK31" s="318">
        <f t="shared" si="12"/>
        <v>0</v>
      </c>
      <c r="AL31" s="391"/>
      <c r="AM31" s="485">
        <f t="shared" si="21"/>
        <v>0</v>
      </c>
      <c r="AN31" s="396">
        <f t="shared" si="24"/>
        <v>0</v>
      </c>
    </row>
    <row r="32" spans="1:40" ht="23.1" customHeight="1">
      <c r="A32" s="58">
        <f>Gen!B37</f>
        <v>44131</v>
      </c>
      <c r="B32" s="4" t="s">
        <v>27</v>
      </c>
      <c r="C32" s="96">
        <f t="shared" si="39"/>
        <v>0</v>
      </c>
      <c r="D32" s="1"/>
      <c r="E32" s="484">
        <f t="shared" si="28"/>
        <v>0</v>
      </c>
      <c r="F32" s="96">
        <f t="shared" si="2"/>
        <v>0</v>
      </c>
      <c r="G32" s="394"/>
      <c r="H32" s="484">
        <f t="shared" si="40"/>
        <v>0</v>
      </c>
      <c r="I32" s="96">
        <f t="shared" si="31"/>
        <v>0</v>
      </c>
      <c r="J32" s="1"/>
      <c r="K32" s="484">
        <f t="shared" si="42"/>
        <v>0</v>
      </c>
      <c r="L32" s="96">
        <f t="shared" si="32"/>
        <v>0</v>
      </c>
      <c r="M32" s="1"/>
      <c r="N32" s="484">
        <f t="shared" si="33"/>
        <v>0</v>
      </c>
      <c r="O32" s="96">
        <f t="shared" si="37"/>
        <v>0</v>
      </c>
      <c r="P32" s="390"/>
      <c r="Q32" s="484">
        <f t="shared" si="41"/>
        <v>0</v>
      </c>
      <c r="R32" s="251"/>
      <c r="S32" s="246">
        <f t="shared" si="34"/>
        <v>0</v>
      </c>
      <c r="T32" s="391"/>
      <c r="U32" s="485">
        <f t="shared" si="35"/>
        <v>0</v>
      </c>
      <c r="V32" s="246">
        <f t="shared" si="30"/>
        <v>0</v>
      </c>
      <c r="W32" s="391"/>
      <c r="X32" s="485">
        <f t="shared" si="17"/>
        <v>0</v>
      </c>
      <c r="Y32" s="246">
        <f t="shared" si="9"/>
        <v>0</v>
      </c>
      <c r="Z32" s="391"/>
      <c r="AA32" s="485">
        <f t="shared" si="18"/>
        <v>0</v>
      </c>
      <c r="AB32" s="630">
        <f t="shared" si="22"/>
        <v>0</v>
      </c>
      <c r="AC32" s="631"/>
      <c r="AD32" s="633">
        <f t="shared" si="23"/>
        <v>0</v>
      </c>
      <c r="AE32" s="246">
        <f t="shared" si="10"/>
        <v>0</v>
      </c>
      <c r="AF32" s="392"/>
      <c r="AG32" s="485">
        <f t="shared" si="19"/>
        <v>0</v>
      </c>
      <c r="AH32" s="246">
        <f t="shared" si="11"/>
        <v>0</v>
      </c>
      <c r="AI32" s="392"/>
      <c r="AJ32" s="485">
        <f t="shared" si="20"/>
        <v>0</v>
      </c>
      <c r="AK32" s="318">
        <f t="shared" si="12"/>
        <v>0</v>
      </c>
      <c r="AL32" s="391"/>
      <c r="AM32" s="485">
        <f t="shared" si="21"/>
        <v>0</v>
      </c>
      <c r="AN32" s="396">
        <f t="shared" si="24"/>
        <v>0</v>
      </c>
    </row>
    <row r="33" spans="1:41" ht="23.1" customHeight="1">
      <c r="A33" s="58">
        <f>Gen!B38</f>
        <v>44132</v>
      </c>
      <c r="B33" s="4"/>
      <c r="C33" s="96">
        <f t="shared" si="39"/>
        <v>0</v>
      </c>
      <c r="D33" s="1"/>
      <c r="E33" s="484">
        <f t="shared" si="28"/>
        <v>0</v>
      </c>
      <c r="F33" s="96">
        <f t="shared" si="2"/>
        <v>0</v>
      </c>
      <c r="G33" s="394"/>
      <c r="H33" s="484">
        <f t="shared" si="40"/>
        <v>0</v>
      </c>
      <c r="I33" s="96">
        <f t="shared" si="31"/>
        <v>0</v>
      </c>
      <c r="J33" s="1"/>
      <c r="K33" s="484">
        <f t="shared" si="42"/>
        <v>0</v>
      </c>
      <c r="L33" s="96">
        <f t="shared" si="32"/>
        <v>0</v>
      </c>
      <c r="M33" s="1"/>
      <c r="N33" s="484">
        <f t="shared" si="33"/>
        <v>0</v>
      </c>
      <c r="O33" s="96">
        <f t="shared" si="37"/>
        <v>0</v>
      </c>
      <c r="P33" s="390"/>
      <c r="Q33" s="484">
        <f t="shared" si="41"/>
        <v>0</v>
      </c>
      <c r="R33" s="251"/>
      <c r="S33" s="246">
        <f t="shared" si="34"/>
        <v>0</v>
      </c>
      <c r="T33" s="391"/>
      <c r="U33" s="485">
        <f t="shared" si="35"/>
        <v>0</v>
      </c>
      <c r="V33" s="246">
        <f t="shared" si="30"/>
        <v>0</v>
      </c>
      <c r="W33" s="391"/>
      <c r="X33" s="485">
        <f t="shared" si="17"/>
        <v>0</v>
      </c>
      <c r="Y33" s="246">
        <f t="shared" si="9"/>
        <v>0</v>
      </c>
      <c r="Z33" s="391"/>
      <c r="AA33" s="485">
        <f t="shared" si="18"/>
        <v>0</v>
      </c>
      <c r="AB33" s="630">
        <f t="shared" si="22"/>
        <v>0</v>
      </c>
      <c r="AC33" s="247"/>
      <c r="AD33" s="633">
        <f t="shared" si="23"/>
        <v>0</v>
      </c>
      <c r="AE33" s="246">
        <f t="shared" si="10"/>
        <v>0</v>
      </c>
      <c r="AF33" s="392"/>
      <c r="AG33" s="485">
        <f t="shared" si="19"/>
        <v>0</v>
      </c>
      <c r="AH33" s="246">
        <f t="shared" si="11"/>
        <v>0</v>
      </c>
      <c r="AI33" s="392"/>
      <c r="AJ33" s="485">
        <f t="shared" si="20"/>
        <v>0</v>
      </c>
      <c r="AK33" s="318">
        <f t="shared" si="12"/>
        <v>0</v>
      </c>
      <c r="AL33" s="391"/>
      <c r="AM33" s="485">
        <f t="shared" si="21"/>
        <v>0</v>
      </c>
      <c r="AN33" s="396">
        <f t="shared" si="24"/>
        <v>0</v>
      </c>
    </row>
    <row r="34" spans="1:41" ht="23.1" customHeight="1">
      <c r="A34" s="58">
        <f>Gen!B39</f>
        <v>44133</v>
      </c>
      <c r="B34" s="149"/>
      <c r="C34" s="96">
        <f t="shared" si="39"/>
        <v>0</v>
      </c>
      <c r="D34" s="1"/>
      <c r="E34" s="484">
        <f t="shared" si="28"/>
        <v>0</v>
      </c>
      <c r="F34" s="96">
        <f t="shared" si="2"/>
        <v>0</v>
      </c>
      <c r="G34" s="394"/>
      <c r="H34" s="484">
        <f t="shared" si="40"/>
        <v>0</v>
      </c>
      <c r="I34" s="96">
        <f t="shared" si="31"/>
        <v>0</v>
      </c>
      <c r="J34" s="1"/>
      <c r="K34" s="484">
        <f t="shared" si="42"/>
        <v>0</v>
      </c>
      <c r="L34" s="96">
        <f t="shared" si="32"/>
        <v>0</v>
      </c>
      <c r="M34" s="1"/>
      <c r="N34" s="484">
        <f t="shared" si="33"/>
        <v>0</v>
      </c>
      <c r="O34" s="96">
        <f t="shared" si="37"/>
        <v>0</v>
      </c>
      <c r="P34" s="390"/>
      <c r="Q34" s="484">
        <f t="shared" si="41"/>
        <v>0</v>
      </c>
      <c r="R34" s="251"/>
      <c r="S34" s="246">
        <f t="shared" si="34"/>
        <v>0</v>
      </c>
      <c r="T34" s="391"/>
      <c r="U34" s="485">
        <f t="shared" si="35"/>
        <v>0</v>
      </c>
      <c r="V34" s="246">
        <f t="shared" si="30"/>
        <v>0</v>
      </c>
      <c r="W34" s="391"/>
      <c r="X34" s="485">
        <f t="shared" si="17"/>
        <v>0</v>
      </c>
      <c r="Y34" s="246">
        <f t="shared" si="9"/>
        <v>0</v>
      </c>
      <c r="Z34" s="391"/>
      <c r="AA34" s="485">
        <f t="shared" si="18"/>
        <v>0</v>
      </c>
      <c r="AB34" s="630">
        <f t="shared" si="22"/>
        <v>0</v>
      </c>
      <c r="AC34" s="247"/>
      <c r="AD34" s="633">
        <f t="shared" si="23"/>
        <v>0</v>
      </c>
      <c r="AE34" s="246">
        <f t="shared" si="10"/>
        <v>0</v>
      </c>
      <c r="AF34" s="392"/>
      <c r="AG34" s="485">
        <f t="shared" si="19"/>
        <v>0</v>
      </c>
      <c r="AH34" s="246">
        <f t="shared" si="11"/>
        <v>0</v>
      </c>
      <c r="AI34" s="392"/>
      <c r="AJ34" s="485">
        <f t="shared" si="20"/>
        <v>0</v>
      </c>
      <c r="AK34" s="318">
        <f t="shared" si="12"/>
        <v>0</v>
      </c>
      <c r="AL34" s="391"/>
      <c r="AM34" s="485">
        <f t="shared" si="21"/>
        <v>0</v>
      </c>
      <c r="AN34" s="396">
        <f t="shared" si="24"/>
        <v>0</v>
      </c>
    </row>
    <row r="35" spans="1:41" ht="23.1" customHeight="1">
      <c r="A35" s="58">
        <f>Gen!B40</f>
        <v>44134</v>
      </c>
      <c r="B35" s="149"/>
      <c r="C35" s="96">
        <f t="shared" si="39"/>
        <v>0</v>
      </c>
      <c r="D35" s="1"/>
      <c r="E35" s="484">
        <f t="shared" si="28"/>
        <v>0</v>
      </c>
      <c r="F35" s="96">
        <f t="shared" si="2"/>
        <v>0</v>
      </c>
      <c r="G35" s="394"/>
      <c r="H35" s="484">
        <f t="shared" si="40"/>
        <v>0</v>
      </c>
      <c r="I35" s="96">
        <f t="shared" si="31"/>
        <v>0</v>
      </c>
      <c r="J35" s="1"/>
      <c r="K35" s="484">
        <f t="shared" si="42"/>
        <v>0</v>
      </c>
      <c r="L35" s="96">
        <f t="shared" si="32"/>
        <v>0</v>
      </c>
      <c r="M35" s="1"/>
      <c r="N35" s="484">
        <f t="shared" si="33"/>
        <v>0</v>
      </c>
      <c r="O35" s="96">
        <f t="shared" si="37"/>
        <v>0</v>
      </c>
      <c r="P35" s="390"/>
      <c r="Q35" s="484">
        <f t="shared" si="41"/>
        <v>0</v>
      </c>
      <c r="R35" s="251"/>
      <c r="S35" s="246">
        <f t="shared" si="34"/>
        <v>0</v>
      </c>
      <c r="T35" s="391"/>
      <c r="U35" s="485">
        <f t="shared" si="35"/>
        <v>0</v>
      </c>
      <c r="V35" s="246">
        <f t="shared" si="30"/>
        <v>0</v>
      </c>
      <c r="W35" s="391"/>
      <c r="X35" s="485">
        <f t="shared" si="17"/>
        <v>0</v>
      </c>
      <c r="Y35" s="246">
        <f t="shared" si="9"/>
        <v>0</v>
      </c>
      <c r="Z35" s="391"/>
      <c r="AA35" s="485">
        <f t="shared" si="18"/>
        <v>0</v>
      </c>
      <c r="AB35" s="630">
        <f t="shared" si="22"/>
        <v>0</v>
      </c>
      <c r="AC35" s="247"/>
      <c r="AD35" s="633">
        <f t="shared" si="23"/>
        <v>0</v>
      </c>
      <c r="AE35" s="246">
        <f t="shared" si="10"/>
        <v>0</v>
      </c>
      <c r="AF35" s="392"/>
      <c r="AG35" s="485">
        <f t="shared" si="19"/>
        <v>0</v>
      </c>
      <c r="AH35" s="246">
        <f t="shared" si="11"/>
        <v>0</v>
      </c>
      <c r="AI35" s="392"/>
      <c r="AJ35" s="485">
        <f t="shared" si="20"/>
        <v>0</v>
      </c>
      <c r="AK35" s="318">
        <f t="shared" si="12"/>
        <v>0</v>
      </c>
      <c r="AL35" s="391"/>
      <c r="AM35" s="485">
        <f t="shared" si="21"/>
        <v>0</v>
      </c>
      <c r="AN35" s="396">
        <f t="shared" si="24"/>
        <v>0</v>
      </c>
    </row>
    <row r="36" spans="1:41" ht="23.1" customHeight="1">
      <c r="A36" s="58">
        <f>Gen!B41</f>
        <v>44135</v>
      </c>
      <c r="B36" s="150"/>
      <c r="C36" s="96">
        <f t="shared" si="39"/>
        <v>0</v>
      </c>
      <c r="D36" s="1"/>
      <c r="E36" s="484">
        <f t="shared" si="28"/>
        <v>0</v>
      </c>
      <c r="F36" s="96">
        <f t="shared" si="2"/>
        <v>0</v>
      </c>
      <c r="G36" s="394"/>
      <c r="H36" s="484">
        <f t="shared" si="40"/>
        <v>0</v>
      </c>
      <c r="I36" s="96">
        <f t="shared" si="31"/>
        <v>0</v>
      </c>
      <c r="J36" s="1"/>
      <c r="K36" s="484">
        <f t="shared" si="42"/>
        <v>0</v>
      </c>
      <c r="L36" s="96">
        <f t="shared" si="32"/>
        <v>0</v>
      </c>
      <c r="M36" s="1"/>
      <c r="N36" s="484">
        <f t="shared" si="33"/>
        <v>0</v>
      </c>
      <c r="O36" s="96">
        <f t="shared" si="37"/>
        <v>0</v>
      </c>
      <c r="P36" s="390"/>
      <c r="Q36" s="484">
        <f t="shared" si="41"/>
        <v>0</v>
      </c>
      <c r="R36" s="251"/>
      <c r="S36" s="246">
        <f t="shared" si="34"/>
        <v>0</v>
      </c>
      <c r="T36" s="391"/>
      <c r="U36" s="485">
        <f t="shared" si="35"/>
        <v>0</v>
      </c>
      <c r="V36" s="246">
        <f t="shared" si="30"/>
        <v>0</v>
      </c>
      <c r="W36" s="391"/>
      <c r="X36" s="485">
        <f t="shared" si="17"/>
        <v>0</v>
      </c>
      <c r="Y36" s="246">
        <f t="shared" si="9"/>
        <v>0</v>
      </c>
      <c r="Z36" s="391"/>
      <c r="AA36" s="485">
        <f t="shared" si="18"/>
        <v>0</v>
      </c>
      <c r="AB36" s="630">
        <f t="shared" si="22"/>
        <v>0</v>
      </c>
      <c r="AC36" s="247"/>
      <c r="AD36" s="633">
        <f t="shared" si="23"/>
        <v>0</v>
      </c>
      <c r="AE36" s="246">
        <f t="shared" si="10"/>
        <v>0</v>
      </c>
      <c r="AF36" s="392"/>
      <c r="AG36" s="485">
        <f t="shared" si="19"/>
        <v>0</v>
      </c>
      <c r="AH36" s="246">
        <f t="shared" si="11"/>
        <v>0</v>
      </c>
      <c r="AI36" s="392"/>
      <c r="AJ36" s="485">
        <f t="shared" si="20"/>
        <v>0</v>
      </c>
      <c r="AK36" s="318">
        <f t="shared" si="12"/>
        <v>0</v>
      </c>
      <c r="AL36" s="391"/>
      <c r="AM36" s="485">
        <f t="shared" si="21"/>
        <v>0</v>
      </c>
      <c r="AN36" s="396">
        <f t="shared" si="24"/>
        <v>0</v>
      </c>
    </row>
    <row r="37" spans="1:41" ht="24" customHeight="1">
      <c r="A37" s="58">
        <f>Gen!B42</f>
        <v>44136</v>
      </c>
      <c r="B37" s="3"/>
      <c r="C37" s="96">
        <f t="shared" si="39"/>
        <v>0</v>
      </c>
      <c r="D37" s="1"/>
      <c r="E37" s="484">
        <f t="shared" si="28"/>
        <v>0</v>
      </c>
      <c r="F37" s="96">
        <f t="shared" si="2"/>
        <v>0</v>
      </c>
      <c r="G37" s="394"/>
      <c r="H37" s="484">
        <f t="shared" si="40"/>
        <v>0</v>
      </c>
      <c r="I37" s="96">
        <f t="shared" si="31"/>
        <v>0</v>
      </c>
      <c r="J37" s="1"/>
      <c r="K37" s="484">
        <f t="shared" si="42"/>
        <v>0</v>
      </c>
      <c r="L37" s="96">
        <f t="shared" si="32"/>
        <v>0</v>
      </c>
      <c r="M37" s="1"/>
      <c r="N37" s="484">
        <f t="shared" si="33"/>
        <v>0</v>
      </c>
      <c r="O37" s="96">
        <f t="shared" si="37"/>
        <v>0</v>
      </c>
      <c r="P37" s="390"/>
      <c r="Q37" s="484">
        <f t="shared" si="41"/>
        <v>0</v>
      </c>
      <c r="R37" s="251"/>
      <c r="S37" s="246">
        <f t="shared" si="34"/>
        <v>0</v>
      </c>
      <c r="T37" s="391"/>
      <c r="U37" s="485">
        <f t="shared" si="35"/>
        <v>0</v>
      </c>
      <c r="V37" s="246">
        <f t="shared" si="30"/>
        <v>0</v>
      </c>
      <c r="W37" s="391"/>
      <c r="X37" s="485">
        <f t="shared" si="17"/>
        <v>0</v>
      </c>
      <c r="Y37" s="246">
        <f t="shared" si="9"/>
        <v>0</v>
      </c>
      <c r="Z37" s="391"/>
      <c r="AA37" s="485">
        <f t="shared" si="18"/>
        <v>0</v>
      </c>
      <c r="AB37" s="630">
        <f t="shared" si="22"/>
        <v>0</v>
      </c>
      <c r="AC37" s="247"/>
      <c r="AD37" s="633">
        <f t="shared" si="23"/>
        <v>0</v>
      </c>
      <c r="AE37" s="246">
        <f t="shared" si="10"/>
        <v>0</v>
      </c>
      <c r="AF37" s="392"/>
      <c r="AG37" s="485">
        <f t="shared" si="19"/>
        <v>0</v>
      </c>
      <c r="AH37" s="246">
        <f t="shared" si="11"/>
        <v>0</v>
      </c>
      <c r="AI37" s="392"/>
      <c r="AJ37" s="485">
        <f t="shared" si="20"/>
        <v>0</v>
      </c>
      <c r="AK37" s="318">
        <f t="shared" si="12"/>
        <v>0</v>
      </c>
      <c r="AL37" s="391"/>
      <c r="AM37" s="485">
        <f t="shared" si="21"/>
        <v>0</v>
      </c>
      <c r="AN37" s="396">
        <f t="shared" ref="AN37" si="43">U38+X38+AA38+AD38+AG38+AJ38+AM38</f>
        <v>677</v>
      </c>
    </row>
    <row r="38" spans="1:41" ht="18.75">
      <c r="A38" s="58"/>
      <c r="B38" s="22"/>
      <c r="C38" s="949" t="s">
        <v>6</v>
      </c>
      <c r="D38" s="949"/>
      <c r="E38" s="23">
        <f>SUM(E6:E36)</f>
        <v>981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20</v>
      </c>
      <c r="L38" s="148"/>
      <c r="M38" s="148"/>
      <c r="N38" s="29">
        <f t="shared" ref="N38" si="44">M38-M37</f>
        <v>0</v>
      </c>
      <c r="O38" s="27"/>
      <c r="P38" s="248"/>
      <c r="Q38" s="249">
        <f t="shared" ref="Q38" si="45">P38-O38</f>
        <v>0</v>
      </c>
      <c r="R38" s="250">
        <f>E38</f>
        <v>981</v>
      </c>
      <c r="S38" s="248"/>
      <c r="T38" s="248"/>
      <c r="U38" s="258">
        <f>SUM(U6:U37)</f>
        <v>677</v>
      </c>
      <c r="V38" s="248"/>
      <c r="W38" s="248"/>
      <c r="X38" s="248"/>
      <c r="Y38" s="248"/>
      <c r="Z38" s="248"/>
      <c r="AA38" s="248"/>
      <c r="AB38" s="248"/>
      <c r="AC38" s="248"/>
      <c r="AD38" s="248"/>
      <c r="AE38" s="248"/>
      <c r="AF38" s="248"/>
      <c r="AG38" s="248"/>
      <c r="AH38" s="248"/>
      <c r="AI38" s="248"/>
      <c r="AJ38" s="485">
        <f t="shared" ref="AJ38" si="46">IF((AI39-AI37)&lt;0,"0",(AI39-AI37))</f>
        <v>0</v>
      </c>
      <c r="AK38" s="248"/>
      <c r="AL38" s="248"/>
      <c r="AM38" s="248"/>
      <c r="AN38" s="254">
        <f t="shared" ref="AN38" si="47">U38+X38+AA38+AD38+AG38+AJ38+AM38</f>
        <v>677</v>
      </c>
    </row>
    <row r="40" spans="1:41">
      <c r="R40" s="20"/>
      <c r="AF40" t="s">
        <v>253</v>
      </c>
    </row>
    <row r="41" spans="1:41" ht="13.5" thickBot="1">
      <c r="R41" s="20"/>
    </row>
    <row r="42" spans="1:41" ht="18.75" thickBot="1">
      <c r="A42" s="918"/>
      <c r="B42" s="278"/>
      <c r="C42" s="915" t="s">
        <v>222</v>
      </c>
      <c r="D42" s="916"/>
      <c r="E42" s="916"/>
      <c r="F42" s="916"/>
      <c r="G42" s="916"/>
      <c r="H42" s="916"/>
      <c r="I42" s="916"/>
      <c r="J42" s="916"/>
      <c r="K42" s="917"/>
      <c r="R42" s="20"/>
    </row>
    <row r="43" spans="1:41" ht="24.75" customHeight="1">
      <c r="A43" s="919"/>
      <c r="B43" s="20"/>
      <c r="C43" s="921" t="s">
        <v>216</v>
      </c>
      <c r="D43" s="922"/>
      <c r="E43" s="923" t="s">
        <v>237</v>
      </c>
      <c r="F43" s="924"/>
      <c r="G43" s="925" t="s">
        <v>217</v>
      </c>
      <c r="H43" s="926"/>
      <c r="I43" s="925" t="s">
        <v>238</v>
      </c>
      <c r="J43" s="926"/>
      <c r="K43" s="913" t="s">
        <v>223</v>
      </c>
      <c r="R43" s="20"/>
      <c r="T43" s="488"/>
      <c r="U43" s="488"/>
      <c r="V43" s="488"/>
      <c r="W43" s="488"/>
      <c r="X43" s="488"/>
      <c r="Y43" s="488"/>
      <c r="Z43" s="488"/>
      <c r="AA43" s="488"/>
      <c r="AB43" s="488"/>
      <c r="AC43" s="488"/>
      <c r="AD43" s="488"/>
      <c r="AE43" s="488"/>
      <c r="AF43" s="488"/>
      <c r="AG43" s="488"/>
      <c r="AH43" s="488"/>
      <c r="AI43" s="488"/>
      <c r="AJ43" s="488"/>
      <c r="AK43" s="488"/>
      <c r="AL43" s="488"/>
      <c r="AM43" s="488"/>
      <c r="AN43" s="488"/>
      <c r="AO43" s="488"/>
    </row>
    <row r="44" spans="1:41" ht="21" customHeight="1" thickBot="1">
      <c r="A44" s="919"/>
      <c r="B44" s="20"/>
      <c r="C44" s="927" t="s">
        <v>218</v>
      </c>
      <c r="D44" s="928"/>
      <c r="E44" s="927" t="s">
        <v>219</v>
      </c>
      <c r="F44" s="928"/>
      <c r="G44" s="927" t="s">
        <v>220</v>
      </c>
      <c r="H44" s="928"/>
      <c r="I44" s="927" t="s">
        <v>221</v>
      </c>
      <c r="J44" s="928"/>
      <c r="K44" s="914"/>
      <c r="R44" s="20"/>
      <c r="T44" s="488"/>
      <c r="U44" s="488"/>
      <c r="V44" s="488"/>
      <c r="W44" s="488"/>
      <c r="X44" s="488"/>
      <c r="Y44" s="488"/>
      <c r="Z44" s="488"/>
      <c r="AA44" s="488"/>
      <c r="AB44" s="488"/>
      <c r="AC44" s="488"/>
      <c r="AD44" s="488"/>
      <c r="AE44" s="488"/>
      <c r="AF44" s="488"/>
      <c r="AG44" s="488"/>
      <c r="AH44" s="488"/>
      <c r="AI44" s="488"/>
      <c r="AJ44" s="488"/>
      <c r="AK44" s="488"/>
      <c r="AL44" s="488"/>
      <c r="AM44" s="488"/>
      <c r="AN44" s="488"/>
      <c r="AO44" s="488"/>
    </row>
    <row r="45" spans="1:41" ht="21" customHeight="1" thickBot="1">
      <c r="A45" s="920"/>
      <c r="B45" s="20"/>
      <c r="C45" s="329" t="s">
        <v>225</v>
      </c>
      <c r="D45" s="330" t="s">
        <v>224</v>
      </c>
      <c r="E45" s="331" t="s">
        <v>225</v>
      </c>
      <c r="F45" s="332" t="s">
        <v>224</v>
      </c>
      <c r="G45" s="486"/>
      <c r="H45" s="332" t="s">
        <v>224</v>
      </c>
      <c r="I45" s="331"/>
      <c r="J45" s="332" t="s">
        <v>224</v>
      </c>
      <c r="K45" s="333" t="s">
        <v>224</v>
      </c>
      <c r="R45" s="20"/>
      <c r="T45" s="488"/>
      <c r="U45" s="488"/>
      <c r="V45" s="488"/>
      <c r="W45" s="488"/>
      <c r="X45" s="488"/>
      <c r="Y45" s="488"/>
      <c r="Z45" s="488"/>
      <c r="AA45" s="488"/>
      <c r="AB45" s="488"/>
      <c r="AC45" s="488"/>
      <c r="AD45" s="488"/>
      <c r="AE45" s="488"/>
      <c r="AF45" s="488"/>
      <c r="AG45" s="488"/>
      <c r="AH45" s="488"/>
      <c r="AI45" s="488"/>
      <c r="AJ45" s="488"/>
      <c r="AK45" s="488"/>
      <c r="AL45" s="488"/>
      <c r="AM45" s="488"/>
      <c r="AN45" s="488"/>
      <c r="AO45" s="488"/>
    </row>
    <row r="46" spans="1:41" ht="20.25" customHeight="1">
      <c r="A46" s="294">
        <f>Gen!B11</f>
        <v>44105</v>
      </c>
      <c r="B46" s="20"/>
      <c r="C46" s="63">
        <v>300</v>
      </c>
      <c r="D46" s="328">
        <f t="shared" ref="D46:D77" si="48">C46*217/300</f>
        <v>217</v>
      </c>
      <c r="E46" s="6">
        <v>295</v>
      </c>
      <c r="F46" s="328">
        <f t="shared" ref="F46:F77" si="49">E46*92/305</f>
        <v>88.983606557377044</v>
      </c>
      <c r="G46" s="644">
        <v>250</v>
      </c>
      <c r="H46" s="328">
        <f t="shared" ref="H46:H77" si="50">G46*146/383</f>
        <v>95.300261096605738</v>
      </c>
      <c r="I46" s="6">
        <v>275</v>
      </c>
      <c r="J46" s="328">
        <f t="shared" ref="J46:J77" si="51">I46*213/308</f>
        <v>190.17857142857142</v>
      </c>
      <c r="K46" s="334">
        <f>D46+F46+H46+J46</f>
        <v>591.46243908255417</v>
      </c>
      <c r="T46" s="488"/>
      <c r="U46" s="488"/>
      <c r="V46" s="488"/>
      <c r="W46" s="488"/>
      <c r="X46" s="488"/>
      <c r="Y46" s="488"/>
      <c r="Z46" s="488"/>
      <c r="AA46" s="488"/>
      <c r="AB46" s="488"/>
      <c r="AC46" s="488"/>
      <c r="AD46" s="488"/>
      <c r="AE46" s="488"/>
      <c r="AF46" s="488"/>
      <c r="AG46" s="488"/>
      <c r="AH46" s="488"/>
      <c r="AI46" s="488"/>
      <c r="AJ46" s="488"/>
      <c r="AK46" s="488"/>
      <c r="AL46" s="488"/>
      <c r="AM46" s="488"/>
      <c r="AN46" s="488"/>
      <c r="AO46" s="488"/>
    </row>
    <row r="47" spans="1:41" ht="13.5">
      <c r="A47" s="294">
        <f>Gen!B12</f>
        <v>44106</v>
      </c>
      <c r="B47" s="20"/>
      <c r="C47" s="63">
        <v>300</v>
      </c>
      <c r="D47" s="328">
        <f t="shared" si="48"/>
        <v>217</v>
      </c>
      <c r="E47" s="6">
        <v>295</v>
      </c>
      <c r="F47" s="328">
        <f t="shared" si="49"/>
        <v>88.983606557377044</v>
      </c>
      <c r="G47" s="487">
        <v>215</v>
      </c>
      <c r="H47" s="328">
        <f t="shared" si="50"/>
        <v>81.958224543080945</v>
      </c>
      <c r="I47" s="6">
        <v>295</v>
      </c>
      <c r="J47" s="328">
        <f t="shared" si="51"/>
        <v>204.00974025974025</v>
      </c>
      <c r="K47" s="334">
        <f t="shared" ref="K47:K77" si="52">D47+F47+H47+J47</f>
        <v>591.95157136019827</v>
      </c>
      <c r="T47" s="488"/>
      <c r="U47" s="488"/>
      <c r="V47" s="488"/>
      <c r="W47" s="488"/>
      <c r="X47" s="488"/>
      <c r="Y47" s="488"/>
      <c r="Z47" s="488"/>
      <c r="AA47" s="488"/>
      <c r="AB47" s="488"/>
      <c r="AC47" s="488"/>
      <c r="AD47" s="488"/>
      <c r="AE47" s="488"/>
      <c r="AF47" s="488"/>
      <c r="AG47" s="488"/>
      <c r="AH47" s="488"/>
      <c r="AI47" s="488"/>
      <c r="AJ47" s="488"/>
      <c r="AK47" s="488"/>
      <c r="AL47" s="488"/>
      <c r="AM47" s="488"/>
      <c r="AN47" s="488"/>
      <c r="AO47" s="488"/>
    </row>
    <row r="48" spans="1:41" ht="13.5">
      <c r="A48" s="294">
        <f>Gen!B13</f>
        <v>44107</v>
      </c>
      <c r="B48" s="20"/>
      <c r="C48" s="63">
        <v>295</v>
      </c>
      <c r="D48" s="328">
        <f t="shared" si="48"/>
        <v>213.38333333333333</v>
      </c>
      <c r="E48" s="6">
        <v>275</v>
      </c>
      <c r="F48" s="328">
        <f t="shared" si="49"/>
        <v>82.950819672131146</v>
      </c>
      <c r="G48" s="487">
        <v>245</v>
      </c>
      <c r="H48" s="328">
        <f t="shared" si="50"/>
        <v>93.394255874673632</v>
      </c>
      <c r="I48" s="6">
        <v>285</v>
      </c>
      <c r="J48" s="328">
        <f t="shared" si="51"/>
        <v>197.09415584415584</v>
      </c>
      <c r="K48" s="334">
        <f t="shared" si="52"/>
        <v>586.8225647242939</v>
      </c>
      <c r="T48" s="488"/>
      <c r="U48" s="488"/>
      <c r="V48" s="488"/>
      <c r="W48" s="488"/>
      <c r="X48" s="488"/>
      <c r="Y48" s="488"/>
      <c r="Z48" s="488"/>
      <c r="AA48" s="488"/>
      <c r="AB48" s="488"/>
      <c r="AC48" s="488"/>
      <c r="AD48" s="488"/>
      <c r="AE48" s="488"/>
      <c r="AF48" s="488"/>
      <c r="AG48" s="488"/>
      <c r="AH48" s="488"/>
      <c r="AI48" s="488"/>
      <c r="AJ48" s="488"/>
      <c r="AK48" s="488"/>
      <c r="AL48" s="488"/>
      <c r="AM48" s="488"/>
      <c r="AN48" s="488"/>
      <c r="AO48" s="488"/>
    </row>
    <row r="49" spans="1:15" ht="13.5">
      <c r="A49" s="294">
        <f>Gen!B14</f>
        <v>44108</v>
      </c>
      <c r="B49" s="20"/>
      <c r="C49" s="63">
        <v>190</v>
      </c>
      <c r="D49" s="328">
        <f t="shared" si="48"/>
        <v>137.43333333333334</v>
      </c>
      <c r="E49" s="6">
        <v>175</v>
      </c>
      <c r="F49" s="328">
        <f t="shared" si="49"/>
        <v>52.786885245901637</v>
      </c>
      <c r="G49" s="487">
        <v>300</v>
      </c>
      <c r="H49" s="328">
        <f t="shared" si="50"/>
        <v>114.36031331592689</v>
      </c>
      <c r="I49" s="6">
        <v>280</v>
      </c>
      <c r="J49" s="328">
        <f t="shared" si="51"/>
        <v>193.63636363636363</v>
      </c>
      <c r="K49" s="334">
        <f t="shared" si="52"/>
        <v>498.21689553152549</v>
      </c>
    </row>
    <row r="50" spans="1:15" ht="13.5">
      <c r="A50" s="294">
        <f>Gen!B15</f>
        <v>44109</v>
      </c>
      <c r="B50" s="20"/>
      <c r="C50" s="63">
        <v>300</v>
      </c>
      <c r="D50" s="328">
        <f t="shared" si="48"/>
        <v>217</v>
      </c>
      <c r="E50" s="6">
        <v>300</v>
      </c>
      <c r="F50" s="328">
        <f t="shared" si="49"/>
        <v>90.491803278688522</v>
      </c>
      <c r="G50" s="487">
        <v>200</v>
      </c>
      <c r="H50" s="328">
        <f t="shared" si="50"/>
        <v>76.240208877284601</v>
      </c>
      <c r="I50" s="6">
        <v>285</v>
      </c>
      <c r="J50" s="328">
        <f t="shared" si="51"/>
        <v>197.09415584415584</v>
      </c>
      <c r="K50" s="334">
        <f t="shared" si="52"/>
        <v>580.82616800012897</v>
      </c>
    </row>
    <row r="51" spans="1:15" ht="13.5">
      <c r="A51" s="294">
        <f>Gen!B16</f>
        <v>44110</v>
      </c>
      <c r="B51" s="20"/>
      <c r="C51" s="63">
        <v>290</v>
      </c>
      <c r="D51" s="328">
        <f t="shared" si="48"/>
        <v>209.76666666666668</v>
      </c>
      <c r="E51" s="6">
        <v>245</v>
      </c>
      <c r="F51" s="328">
        <f t="shared" si="49"/>
        <v>73.901639344262293</v>
      </c>
      <c r="G51" s="487">
        <v>235</v>
      </c>
      <c r="H51" s="328">
        <f t="shared" si="50"/>
        <v>89.582245430809394</v>
      </c>
      <c r="I51" s="6">
        <v>290</v>
      </c>
      <c r="J51" s="328">
        <f t="shared" si="51"/>
        <v>200.55194805194805</v>
      </c>
      <c r="K51" s="334">
        <f t="shared" si="52"/>
        <v>573.80249949368635</v>
      </c>
    </row>
    <row r="52" spans="1:15" ht="13.5">
      <c r="A52" s="294">
        <f>Gen!B17</f>
        <v>44111</v>
      </c>
      <c r="B52" s="20"/>
      <c r="C52" s="63">
        <v>300</v>
      </c>
      <c r="D52" s="328">
        <f t="shared" si="48"/>
        <v>217</v>
      </c>
      <c r="E52" s="6">
        <v>285</v>
      </c>
      <c r="F52" s="328">
        <f t="shared" si="49"/>
        <v>85.967213114754102</v>
      </c>
      <c r="G52" s="487">
        <v>275</v>
      </c>
      <c r="H52" s="328">
        <f t="shared" si="50"/>
        <v>104.83028720626632</v>
      </c>
      <c r="I52" s="6">
        <v>280</v>
      </c>
      <c r="J52" s="328">
        <f t="shared" si="51"/>
        <v>193.63636363636363</v>
      </c>
      <c r="K52" s="334">
        <f t="shared" si="52"/>
        <v>601.43386395738401</v>
      </c>
    </row>
    <row r="53" spans="1:15" ht="13.5">
      <c r="A53" s="294">
        <f>Gen!B18</f>
        <v>44112</v>
      </c>
      <c r="B53" s="20"/>
      <c r="C53" s="63">
        <v>275</v>
      </c>
      <c r="D53" s="328">
        <f t="shared" si="48"/>
        <v>198.91666666666666</v>
      </c>
      <c r="E53" s="6">
        <v>245</v>
      </c>
      <c r="F53" s="328">
        <f t="shared" si="49"/>
        <v>73.901639344262293</v>
      </c>
      <c r="G53" s="487">
        <v>205</v>
      </c>
      <c r="H53" s="328">
        <f t="shared" si="50"/>
        <v>78.146214099216706</v>
      </c>
      <c r="I53" s="6">
        <v>285</v>
      </c>
      <c r="J53" s="328">
        <f t="shared" si="51"/>
        <v>197.09415584415584</v>
      </c>
      <c r="K53" s="334">
        <f t="shared" si="52"/>
        <v>548.05867595430152</v>
      </c>
    </row>
    <row r="54" spans="1:15" ht="13.5">
      <c r="A54" s="294">
        <f>Gen!B19</f>
        <v>44113</v>
      </c>
      <c r="B54" s="20"/>
      <c r="C54" s="63">
        <v>210</v>
      </c>
      <c r="D54" s="328">
        <f t="shared" si="48"/>
        <v>151.9</v>
      </c>
      <c r="E54" s="6">
        <v>100</v>
      </c>
      <c r="F54" s="328">
        <f t="shared" si="49"/>
        <v>30.16393442622951</v>
      </c>
      <c r="G54" s="487">
        <v>220</v>
      </c>
      <c r="H54" s="328">
        <f t="shared" si="50"/>
        <v>83.86422976501305</v>
      </c>
      <c r="I54" s="6">
        <v>290</v>
      </c>
      <c r="J54" s="328">
        <f t="shared" si="51"/>
        <v>200.55194805194805</v>
      </c>
      <c r="K54" s="334">
        <f t="shared" si="52"/>
        <v>466.4801122431906</v>
      </c>
    </row>
    <row r="55" spans="1:15" ht="13.5">
      <c r="A55" s="294">
        <f>Gen!B20</f>
        <v>44114</v>
      </c>
      <c r="B55" s="20"/>
      <c r="C55" s="63">
        <v>205</v>
      </c>
      <c r="D55" s="328">
        <f t="shared" si="48"/>
        <v>148.28333333333333</v>
      </c>
      <c r="E55" s="6">
        <v>165</v>
      </c>
      <c r="F55" s="328">
        <f t="shared" si="49"/>
        <v>49.770491803278688</v>
      </c>
      <c r="G55" s="487">
        <v>300</v>
      </c>
      <c r="H55" s="328">
        <f t="shared" si="50"/>
        <v>114.36031331592689</v>
      </c>
      <c r="I55" s="6">
        <v>275</v>
      </c>
      <c r="J55" s="328">
        <f t="shared" si="51"/>
        <v>190.17857142857142</v>
      </c>
      <c r="K55" s="334">
        <f t="shared" si="52"/>
        <v>502.5927098811103</v>
      </c>
    </row>
    <row r="56" spans="1:15" ht="13.5">
      <c r="A56" s="294">
        <f>Gen!B21</f>
        <v>44115</v>
      </c>
      <c r="B56" s="20"/>
      <c r="C56" s="63">
        <v>285</v>
      </c>
      <c r="D56" s="328">
        <f t="shared" si="48"/>
        <v>206.15</v>
      </c>
      <c r="E56" s="6">
        <v>245</v>
      </c>
      <c r="F56" s="328">
        <f t="shared" si="49"/>
        <v>73.901639344262293</v>
      </c>
      <c r="G56" s="487">
        <v>150</v>
      </c>
      <c r="H56" s="328">
        <f t="shared" si="50"/>
        <v>57.180156657963444</v>
      </c>
      <c r="I56" s="6">
        <v>300</v>
      </c>
      <c r="J56" s="328">
        <f t="shared" si="51"/>
        <v>207.46753246753246</v>
      </c>
      <c r="K56" s="334">
        <f t="shared" si="52"/>
        <v>544.69932846975826</v>
      </c>
    </row>
    <row r="57" spans="1:15" ht="13.5">
      <c r="A57" s="294">
        <f>Gen!B22</f>
        <v>44116</v>
      </c>
      <c r="B57" s="20"/>
      <c r="C57" s="63">
        <v>225</v>
      </c>
      <c r="D57" s="328">
        <f t="shared" si="48"/>
        <v>162.75</v>
      </c>
      <c r="E57" s="6">
        <v>180</v>
      </c>
      <c r="F57" s="328">
        <f t="shared" si="49"/>
        <v>54.295081967213115</v>
      </c>
      <c r="G57" s="487">
        <v>300</v>
      </c>
      <c r="H57" s="328">
        <f t="shared" si="50"/>
        <v>114.36031331592689</v>
      </c>
      <c r="I57" s="6">
        <v>285</v>
      </c>
      <c r="J57" s="328">
        <f t="shared" si="51"/>
        <v>197.09415584415584</v>
      </c>
      <c r="K57" s="334">
        <f t="shared" si="52"/>
        <v>528.49955112729583</v>
      </c>
    </row>
    <row r="58" spans="1:15" ht="13.5">
      <c r="A58" s="294">
        <f>Gen!B23</f>
        <v>44117</v>
      </c>
      <c r="B58" s="20"/>
      <c r="C58" s="63">
        <v>300</v>
      </c>
      <c r="D58" s="328">
        <f t="shared" si="48"/>
        <v>217</v>
      </c>
      <c r="E58" s="6">
        <v>295</v>
      </c>
      <c r="F58" s="328">
        <f t="shared" si="49"/>
        <v>88.983606557377044</v>
      </c>
      <c r="G58" s="487">
        <v>220</v>
      </c>
      <c r="H58" s="328">
        <f t="shared" si="50"/>
        <v>83.86422976501305</v>
      </c>
      <c r="I58" s="6">
        <v>185</v>
      </c>
      <c r="J58" s="328">
        <f t="shared" si="51"/>
        <v>127.93831168831169</v>
      </c>
      <c r="K58" s="334">
        <f t="shared" si="52"/>
        <v>517.78614801070182</v>
      </c>
    </row>
    <row r="59" spans="1:15" ht="13.5">
      <c r="A59" s="294">
        <f>Gen!B24</f>
        <v>44118</v>
      </c>
      <c r="B59" s="20"/>
      <c r="C59" s="63">
        <v>265</v>
      </c>
      <c r="D59" s="328">
        <f t="shared" si="48"/>
        <v>191.68333333333334</v>
      </c>
      <c r="E59" s="6">
        <v>230</v>
      </c>
      <c r="F59" s="328">
        <f t="shared" si="49"/>
        <v>69.377049180327873</v>
      </c>
      <c r="G59" s="487">
        <v>300</v>
      </c>
      <c r="H59" s="328">
        <f t="shared" si="50"/>
        <v>114.36031331592689</v>
      </c>
      <c r="I59" s="6">
        <v>295</v>
      </c>
      <c r="J59" s="328">
        <f t="shared" si="51"/>
        <v>204.00974025974025</v>
      </c>
      <c r="K59" s="334">
        <f t="shared" si="52"/>
        <v>579.4304360893284</v>
      </c>
    </row>
    <row r="60" spans="1:15" ht="13.5">
      <c r="A60" s="294">
        <f>Gen!B25</f>
        <v>44119</v>
      </c>
      <c r="B60" s="20"/>
      <c r="C60" s="63">
        <v>300</v>
      </c>
      <c r="D60" s="328">
        <f t="shared" si="48"/>
        <v>217</v>
      </c>
      <c r="E60" s="6">
        <v>295</v>
      </c>
      <c r="F60" s="328">
        <f t="shared" si="49"/>
        <v>88.983606557377044</v>
      </c>
      <c r="G60" s="487">
        <v>265</v>
      </c>
      <c r="H60" s="328">
        <f t="shared" si="50"/>
        <v>101.0182767624021</v>
      </c>
      <c r="I60" s="6">
        <v>295</v>
      </c>
      <c r="J60" s="328">
        <f t="shared" si="51"/>
        <v>204.00974025974025</v>
      </c>
      <c r="K60" s="334">
        <f t="shared" si="52"/>
        <v>611.01162357951932</v>
      </c>
      <c r="L60" t="s">
        <v>249</v>
      </c>
      <c r="O60" t="s">
        <v>250</v>
      </c>
    </row>
    <row r="61" spans="1:15" ht="13.5">
      <c r="A61" s="294">
        <f>Gen!B26</f>
        <v>44120</v>
      </c>
      <c r="B61" s="20"/>
      <c r="C61" s="63">
        <v>300</v>
      </c>
      <c r="D61" s="328">
        <f t="shared" si="48"/>
        <v>217</v>
      </c>
      <c r="E61" s="6">
        <v>295</v>
      </c>
      <c r="F61" s="328">
        <f t="shared" si="49"/>
        <v>88.983606557377044</v>
      </c>
      <c r="G61" s="487">
        <v>260</v>
      </c>
      <c r="H61" s="328">
        <f t="shared" si="50"/>
        <v>99.112271540469976</v>
      </c>
      <c r="I61" s="6">
        <v>295</v>
      </c>
      <c r="J61" s="328">
        <f t="shared" si="51"/>
        <v>204.00974025974025</v>
      </c>
      <c r="K61" s="334">
        <f t="shared" si="52"/>
        <v>609.10561835758722</v>
      </c>
      <c r="L61" t="s">
        <v>252</v>
      </c>
      <c r="N61" t="s">
        <v>251</v>
      </c>
    </row>
    <row r="62" spans="1:15" ht="13.5">
      <c r="A62" s="294">
        <f>Gen!B27</f>
        <v>44121</v>
      </c>
      <c r="B62" s="20"/>
      <c r="C62" s="63">
        <v>300</v>
      </c>
      <c r="D62" s="328">
        <f t="shared" si="48"/>
        <v>217</v>
      </c>
      <c r="E62" s="6">
        <v>295</v>
      </c>
      <c r="F62" s="328">
        <f t="shared" si="49"/>
        <v>88.983606557377044</v>
      </c>
      <c r="G62" s="487">
        <v>285</v>
      </c>
      <c r="H62" s="328">
        <f t="shared" si="50"/>
        <v>108.64229765013054</v>
      </c>
      <c r="I62" s="6">
        <v>285</v>
      </c>
      <c r="J62" s="328">
        <f t="shared" si="51"/>
        <v>197.09415584415584</v>
      </c>
      <c r="K62" s="334">
        <f t="shared" si="52"/>
        <v>611.72006005166338</v>
      </c>
    </row>
    <row r="63" spans="1:15" ht="13.5">
      <c r="A63" s="294">
        <f>Gen!B28</f>
        <v>44122</v>
      </c>
      <c r="B63" s="20"/>
      <c r="C63" s="63">
        <v>231</v>
      </c>
      <c r="D63" s="328">
        <f t="shared" si="48"/>
        <v>167.09</v>
      </c>
      <c r="E63" s="6">
        <v>195</v>
      </c>
      <c r="F63" s="328">
        <f t="shared" si="49"/>
        <v>58.819672131147541</v>
      </c>
      <c r="G63" s="487">
        <v>300</v>
      </c>
      <c r="H63" s="328">
        <f t="shared" si="50"/>
        <v>114.36031331592689</v>
      </c>
      <c r="I63" s="6">
        <v>295</v>
      </c>
      <c r="J63" s="328">
        <f t="shared" si="51"/>
        <v>204.00974025974025</v>
      </c>
      <c r="K63" s="334">
        <f t="shared" si="52"/>
        <v>544.2797257068147</v>
      </c>
    </row>
    <row r="64" spans="1:15" ht="13.5">
      <c r="A64" s="294">
        <f>Gen!B29</f>
        <v>44123</v>
      </c>
      <c r="B64" s="20"/>
      <c r="C64" s="63">
        <v>216</v>
      </c>
      <c r="D64" s="328">
        <f t="shared" si="48"/>
        <v>156.24</v>
      </c>
      <c r="E64" s="6">
        <v>180</v>
      </c>
      <c r="F64" s="328">
        <f t="shared" si="49"/>
        <v>54.295081967213115</v>
      </c>
      <c r="G64" s="487">
        <v>255</v>
      </c>
      <c r="H64" s="328">
        <f t="shared" si="50"/>
        <v>97.206266318537857</v>
      </c>
      <c r="I64" s="6">
        <v>292</v>
      </c>
      <c r="J64" s="328">
        <f t="shared" si="51"/>
        <v>201.93506493506493</v>
      </c>
      <c r="K64" s="334">
        <f t="shared" si="52"/>
        <v>509.6764132208159</v>
      </c>
    </row>
    <row r="65" spans="1:11" ht="13.5">
      <c r="A65" s="294">
        <f>Gen!B30</f>
        <v>44124</v>
      </c>
      <c r="B65" s="20"/>
      <c r="C65" s="63"/>
      <c r="D65" s="328">
        <f t="shared" si="48"/>
        <v>0</v>
      </c>
      <c r="E65" s="6"/>
      <c r="F65" s="328">
        <f t="shared" si="49"/>
        <v>0</v>
      </c>
      <c r="G65" s="487"/>
      <c r="H65" s="328">
        <f t="shared" si="50"/>
        <v>0</v>
      </c>
      <c r="I65" s="6"/>
      <c r="J65" s="328">
        <f t="shared" si="51"/>
        <v>0</v>
      </c>
      <c r="K65" s="334">
        <f t="shared" si="52"/>
        <v>0</v>
      </c>
    </row>
    <row r="66" spans="1:11" ht="13.5">
      <c r="A66" s="294">
        <f>Gen!B31</f>
        <v>44125</v>
      </c>
      <c r="B66" s="20"/>
      <c r="C66" s="63"/>
      <c r="D66" s="328">
        <f t="shared" si="48"/>
        <v>0</v>
      </c>
      <c r="E66" s="6"/>
      <c r="F66" s="328">
        <f t="shared" si="49"/>
        <v>0</v>
      </c>
      <c r="G66" s="487"/>
      <c r="H66" s="328">
        <f t="shared" si="50"/>
        <v>0</v>
      </c>
      <c r="I66" s="6"/>
      <c r="J66" s="328">
        <f t="shared" si="51"/>
        <v>0</v>
      </c>
      <c r="K66" s="334">
        <f t="shared" si="52"/>
        <v>0</v>
      </c>
    </row>
    <row r="67" spans="1:11" ht="13.5">
      <c r="A67" s="294">
        <f>Gen!B32</f>
        <v>44126</v>
      </c>
      <c r="B67" s="20"/>
      <c r="C67" s="63"/>
      <c r="D67" s="328">
        <f t="shared" si="48"/>
        <v>0</v>
      </c>
      <c r="E67" s="6"/>
      <c r="F67" s="328">
        <f t="shared" si="49"/>
        <v>0</v>
      </c>
      <c r="G67" s="487"/>
      <c r="H67" s="328">
        <f t="shared" si="50"/>
        <v>0</v>
      </c>
      <c r="I67" s="6"/>
      <c r="J67" s="328">
        <f t="shared" si="51"/>
        <v>0</v>
      </c>
      <c r="K67" s="334">
        <f t="shared" si="52"/>
        <v>0</v>
      </c>
    </row>
    <row r="68" spans="1:11" ht="13.5">
      <c r="A68" s="294">
        <f>Gen!B33</f>
        <v>44127</v>
      </c>
      <c r="B68" s="20"/>
      <c r="C68" s="63"/>
      <c r="D68" s="328">
        <f t="shared" si="48"/>
        <v>0</v>
      </c>
      <c r="E68" s="6"/>
      <c r="F68" s="328">
        <f t="shared" si="49"/>
        <v>0</v>
      </c>
      <c r="G68" s="487"/>
      <c r="H68" s="328">
        <f t="shared" si="50"/>
        <v>0</v>
      </c>
      <c r="I68" s="6"/>
      <c r="J68" s="328">
        <f t="shared" si="51"/>
        <v>0</v>
      </c>
      <c r="K68" s="334">
        <f t="shared" si="52"/>
        <v>0</v>
      </c>
    </row>
    <row r="69" spans="1:11" ht="13.5">
      <c r="A69" s="294">
        <f>Gen!B34</f>
        <v>44128</v>
      </c>
      <c r="B69" s="20"/>
      <c r="C69" s="63"/>
      <c r="D69" s="328">
        <f t="shared" si="48"/>
        <v>0</v>
      </c>
      <c r="E69" s="6"/>
      <c r="F69" s="328">
        <f t="shared" si="49"/>
        <v>0</v>
      </c>
      <c r="G69" s="487"/>
      <c r="H69" s="328">
        <f t="shared" si="50"/>
        <v>0</v>
      </c>
      <c r="I69" s="6"/>
      <c r="J69" s="328">
        <f t="shared" si="51"/>
        <v>0</v>
      </c>
      <c r="K69" s="334">
        <f t="shared" si="52"/>
        <v>0</v>
      </c>
    </row>
    <row r="70" spans="1:11" ht="13.5">
      <c r="A70" s="294">
        <f>Gen!B35</f>
        <v>44129</v>
      </c>
      <c r="B70" s="20"/>
      <c r="C70" s="63"/>
      <c r="D70" s="328">
        <f t="shared" si="48"/>
        <v>0</v>
      </c>
      <c r="E70" s="6"/>
      <c r="F70" s="328">
        <f t="shared" si="49"/>
        <v>0</v>
      </c>
      <c r="G70" s="487"/>
      <c r="H70" s="328">
        <f t="shared" si="50"/>
        <v>0</v>
      </c>
      <c r="I70" s="6"/>
      <c r="J70" s="328">
        <f t="shared" si="51"/>
        <v>0</v>
      </c>
      <c r="K70" s="334">
        <f t="shared" si="52"/>
        <v>0</v>
      </c>
    </row>
    <row r="71" spans="1:11" ht="13.5">
      <c r="A71" s="294">
        <f>Gen!B36</f>
        <v>44130</v>
      </c>
      <c r="B71" s="20"/>
      <c r="C71" s="63"/>
      <c r="D71" s="328">
        <f t="shared" si="48"/>
        <v>0</v>
      </c>
      <c r="E71" s="6"/>
      <c r="F71" s="328">
        <f t="shared" si="49"/>
        <v>0</v>
      </c>
      <c r="G71" s="487"/>
      <c r="H71" s="328">
        <f t="shared" si="50"/>
        <v>0</v>
      </c>
      <c r="I71" s="6"/>
      <c r="J71" s="328">
        <f t="shared" si="51"/>
        <v>0</v>
      </c>
      <c r="K71" s="334">
        <f t="shared" si="52"/>
        <v>0</v>
      </c>
    </row>
    <row r="72" spans="1:11" ht="13.5">
      <c r="A72" s="294">
        <f>Gen!B37</f>
        <v>44131</v>
      </c>
      <c r="B72" s="20"/>
      <c r="C72" s="63"/>
      <c r="D72" s="328">
        <f t="shared" si="48"/>
        <v>0</v>
      </c>
      <c r="E72" s="6"/>
      <c r="F72" s="328">
        <f t="shared" si="49"/>
        <v>0</v>
      </c>
      <c r="G72" s="487"/>
      <c r="H72" s="328">
        <f t="shared" si="50"/>
        <v>0</v>
      </c>
      <c r="I72" s="6"/>
      <c r="J72" s="328">
        <f t="shared" si="51"/>
        <v>0</v>
      </c>
      <c r="K72" s="334">
        <f t="shared" si="52"/>
        <v>0</v>
      </c>
    </row>
    <row r="73" spans="1:11" ht="13.5">
      <c r="A73" s="294">
        <f>Gen!B38</f>
        <v>44132</v>
      </c>
      <c r="B73" s="20"/>
      <c r="C73" s="63"/>
      <c r="D73" s="328">
        <f t="shared" si="48"/>
        <v>0</v>
      </c>
      <c r="E73" s="6"/>
      <c r="F73" s="328">
        <f t="shared" si="49"/>
        <v>0</v>
      </c>
      <c r="G73" s="487"/>
      <c r="H73" s="328">
        <f t="shared" si="50"/>
        <v>0</v>
      </c>
      <c r="I73" s="6"/>
      <c r="J73" s="328">
        <f t="shared" si="51"/>
        <v>0</v>
      </c>
      <c r="K73" s="334">
        <f t="shared" si="52"/>
        <v>0</v>
      </c>
    </row>
    <row r="74" spans="1:11" ht="13.5">
      <c r="A74" s="294">
        <f>Gen!B39</f>
        <v>44133</v>
      </c>
      <c r="B74" s="20"/>
      <c r="C74" s="63"/>
      <c r="D74" s="328">
        <f t="shared" si="48"/>
        <v>0</v>
      </c>
      <c r="E74" s="6"/>
      <c r="F74" s="328">
        <f t="shared" si="49"/>
        <v>0</v>
      </c>
      <c r="G74" s="487"/>
      <c r="H74" s="328">
        <f t="shared" si="50"/>
        <v>0</v>
      </c>
      <c r="I74" s="6"/>
      <c r="J74" s="328">
        <f t="shared" si="51"/>
        <v>0</v>
      </c>
      <c r="K74" s="334">
        <f t="shared" si="52"/>
        <v>0</v>
      </c>
    </row>
    <row r="75" spans="1:11" ht="14.25" thickBot="1">
      <c r="A75" s="294">
        <f>Gen!B40</f>
        <v>44134</v>
      </c>
      <c r="B75" s="252"/>
      <c r="C75" s="63"/>
      <c r="D75" s="328">
        <f t="shared" si="48"/>
        <v>0</v>
      </c>
      <c r="E75" s="6"/>
      <c r="F75" s="328">
        <f t="shared" si="49"/>
        <v>0</v>
      </c>
      <c r="G75" s="487"/>
      <c r="H75" s="328">
        <f t="shared" si="50"/>
        <v>0</v>
      </c>
      <c r="I75" s="6"/>
      <c r="J75" s="328">
        <f t="shared" si="51"/>
        <v>0</v>
      </c>
      <c r="K75" s="334">
        <f t="shared" si="52"/>
        <v>0</v>
      </c>
    </row>
    <row r="76" spans="1:11" ht="13.5">
      <c r="A76" s="294">
        <f>Gen!B41</f>
        <v>44135</v>
      </c>
      <c r="C76" s="63"/>
      <c r="D76" s="328">
        <f t="shared" si="48"/>
        <v>0</v>
      </c>
      <c r="E76" s="6"/>
      <c r="F76" s="328">
        <f t="shared" si="49"/>
        <v>0</v>
      </c>
      <c r="G76" s="487"/>
      <c r="H76" s="328">
        <f t="shared" si="50"/>
        <v>0</v>
      </c>
      <c r="I76" s="6"/>
      <c r="J76" s="328">
        <f t="shared" si="51"/>
        <v>0</v>
      </c>
      <c r="K76" s="334">
        <f t="shared" si="52"/>
        <v>0</v>
      </c>
    </row>
    <row r="77" spans="1:11" ht="14.25" thickBot="1">
      <c r="A77" s="294">
        <f>Gen!B42</f>
        <v>44136</v>
      </c>
      <c r="C77" s="63"/>
      <c r="D77" s="328">
        <f t="shared" si="48"/>
        <v>0</v>
      </c>
      <c r="E77" s="6"/>
      <c r="F77" s="328">
        <f t="shared" si="49"/>
        <v>0</v>
      </c>
      <c r="G77" s="487"/>
      <c r="H77" s="328">
        <f t="shared" si="50"/>
        <v>0</v>
      </c>
      <c r="I77" s="6"/>
      <c r="J77" s="328">
        <f t="shared" si="51"/>
        <v>0</v>
      </c>
      <c r="K77" s="335">
        <f t="shared" si="52"/>
        <v>0</v>
      </c>
    </row>
    <row r="78" spans="1:11" ht="13.5">
      <c r="A78" s="294" t="str">
        <f>Gen!B43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4">
        <f>Gen!B11</f>
        <v>44105</v>
      </c>
      <c r="B2" s="13" t="e">
        <f>SUM('[1]Water-Meter'!R10)</f>
        <v>#REF!</v>
      </c>
      <c r="C2" s="93">
        <f>SUM([1]Gen!B11)</f>
        <v>0.623</v>
      </c>
    </row>
    <row r="3" spans="1:3">
      <c r="A3" s="94">
        <f>Gen!B12</f>
        <v>44106</v>
      </c>
      <c r="B3" s="13" t="e">
        <f>SUM('[1]Water-Meter'!R11)</f>
        <v>#REF!</v>
      </c>
      <c r="C3" s="93">
        <f>SUM([1]Gen!B12)</f>
        <v>0.77900000000000003</v>
      </c>
    </row>
    <row r="4" spans="1:3">
      <c r="A4" s="94">
        <f>Gen!B13</f>
        <v>44107</v>
      </c>
      <c r="B4" s="13" t="e">
        <f>SUM('[1]Water-Meter'!R12)</f>
        <v>#REF!</v>
      </c>
      <c r="C4" s="93">
        <f>SUM([1]Gen!B13)</f>
        <v>0.53200000000000003</v>
      </c>
    </row>
    <row r="5" spans="1:3">
      <c r="A5" s="94">
        <f>Gen!B14</f>
        <v>44108</v>
      </c>
      <c r="B5" s="13" t="e">
        <f>SUM('[1]Water-Meter'!R13)</f>
        <v>#REF!</v>
      </c>
      <c r="C5" s="93">
        <f>SUM([1]Gen!B14)</f>
        <v>0.61</v>
      </c>
    </row>
    <row r="6" spans="1:3">
      <c r="A6" s="94">
        <f>Gen!B15</f>
        <v>44109</v>
      </c>
      <c r="B6" s="13" t="e">
        <f>SUM('[1]Water-Meter'!R14)</f>
        <v>#REF!</v>
      </c>
      <c r="C6" s="93">
        <f>SUM([1]Gen!B15)</f>
        <v>0.68799999999999994</v>
      </c>
    </row>
    <row r="7" spans="1:3">
      <c r="A7" s="94">
        <f>Gen!B16</f>
        <v>44110</v>
      </c>
      <c r="B7" s="13" t="e">
        <f>SUM('[1]Water-Meter'!R15)</f>
        <v>#REF!</v>
      </c>
      <c r="C7" s="93">
        <f>SUM([1]Gen!B16)</f>
        <v>0.53200000000000003</v>
      </c>
    </row>
    <row r="8" spans="1:3">
      <c r="A8" s="94">
        <f>Gen!B17</f>
        <v>44111</v>
      </c>
      <c r="B8" s="13" t="e">
        <f>SUM('[1]Water-Meter'!R16)</f>
        <v>#REF!</v>
      </c>
      <c r="C8" s="93">
        <f>SUM([1]Gen!B17)</f>
        <v>0.753</v>
      </c>
    </row>
    <row r="9" spans="1:3">
      <c r="A9" s="94">
        <f>Gen!B18</f>
        <v>44112</v>
      </c>
      <c r="B9" s="13" t="e">
        <f>SUM('[1]Water-Meter'!R17)</f>
        <v>#REF!</v>
      </c>
      <c r="C9" s="93">
        <f>SUM([1]Gen!B18)</f>
        <v>0.156</v>
      </c>
    </row>
    <row r="10" spans="1:3">
      <c r="A10" s="94">
        <f>Gen!B19</f>
        <v>44113</v>
      </c>
      <c r="B10" s="13" t="e">
        <f>SUM('[1]Water-Meter'!R18)</f>
        <v>#REF!</v>
      </c>
      <c r="C10" s="93">
        <f>SUM([1]Gen!B19)</f>
        <v>0.442</v>
      </c>
    </row>
    <row r="11" spans="1:3">
      <c r="A11" s="94">
        <f>Gen!B20</f>
        <v>44114</v>
      </c>
      <c r="B11" s="13" t="e">
        <f>SUM('[1]Water-Meter'!R19)</f>
        <v>#REF!</v>
      </c>
      <c r="C11" s="93">
        <f>SUM([1]Gen!B20)</f>
        <v>0.32500000000000001</v>
      </c>
    </row>
    <row r="12" spans="1:3">
      <c r="A12" s="94">
        <f>Gen!B21</f>
        <v>44115</v>
      </c>
      <c r="B12" s="13" t="e">
        <f>SUM('[1]Water-Meter'!R20)</f>
        <v>#REF!</v>
      </c>
      <c r="C12" s="93">
        <f>SUM([1]Gen!B21)</f>
        <v>0.45500000000000002</v>
      </c>
    </row>
    <row r="13" spans="1:3">
      <c r="A13" s="94">
        <f>Gen!B22</f>
        <v>44116</v>
      </c>
      <c r="B13" s="13" t="e">
        <f>SUM('[1]Water-Meter'!R21)</f>
        <v>#REF!</v>
      </c>
      <c r="C13" s="93">
        <f>SUM([1]Gen!B22)</f>
        <v>0.41599999999999998</v>
      </c>
    </row>
    <row r="14" spans="1:3">
      <c r="A14" s="94">
        <f>Gen!B23</f>
        <v>44117</v>
      </c>
      <c r="B14" s="13" t="e">
        <f>SUM('[1]Water-Meter'!R22)</f>
        <v>#REF!</v>
      </c>
      <c r="C14" s="93">
        <f>SUM([1]Gen!B23)</f>
        <v>0.39</v>
      </c>
    </row>
    <row r="15" spans="1:3">
      <c r="A15" s="94">
        <f>Gen!B24</f>
        <v>44118</v>
      </c>
      <c r="B15" s="13" t="e">
        <f>SUM('[1]Water-Meter'!R23)</f>
        <v>#REF!</v>
      </c>
      <c r="C15" s="93">
        <f>SUM([1]Gen!B24)</f>
        <v>0.63600000000000001</v>
      </c>
    </row>
    <row r="16" spans="1:3">
      <c r="A16" s="94">
        <f>Gen!B25</f>
        <v>44119</v>
      </c>
      <c r="B16" s="13" t="e">
        <f>SUM('[1]Water-Meter'!R24)</f>
        <v>#REF!</v>
      </c>
      <c r="C16" s="93">
        <f>SUM([1]Gen!B25)</f>
        <v>0.84399999999999997</v>
      </c>
    </row>
    <row r="17" spans="1:3">
      <c r="A17" s="94">
        <f>Gen!B26</f>
        <v>44120</v>
      </c>
      <c r="B17" s="13" t="e">
        <f>SUM('[1]Water-Meter'!R25)</f>
        <v>#REF!</v>
      </c>
      <c r="C17" s="93">
        <f>SUM([1]Gen!B26)</f>
        <v>0.81799999999999995</v>
      </c>
    </row>
    <row r="18" spans="1:3">
      <c r="A18" s="94">
        <f>Gen!B27</f>
        <v>44121</v>
      </c>
      <c r="B18" s="13" t="e">
        <f>SUM('[1]Water-Meter'!R26)</f>
        <v>#REF!</v>
      </c>
      <c r="C18" s="93">
        <f>SUM([1]Gen!B27)</f>
        <v>0.20799999999999999</v>
      </c>
    </row>
    <row r="19" spans="1:3">
      <c r="A19" s="94">
        <f>Gen!B28</f>
        <v>44122</v>
      </c>
      <c r="B19" s="13" t="e">
        <f>SUM('[1]Water-Meter'!R27)</f>
        <v>#REF!</v>
      </c>
      <c r="C19" s="93">
        <f>SUM([1]Gen!B28)</f>
        <v>0.221</v>
      </c>
    </row>
    <row r="20" spans="1:3">
      <c r="A20" s="94">
        <f>Gen!B29</f>
        <v>44123</v>
      </c>
      <c r="B20" s="13" t="e">
        <f>SUM('[1]Water-Meter'!R28)</f>
        <v>#REF!</v>
      </c>
      <c r="C20" s="93">
        <f>SUM([1]Gen!B29)</f>
        <v>0.11700000000000001</v>
      </c>
    </row>
    <row r="21" spans="1:3">
      <c r="A21" s="94">
        <f>Gen!B30</f>
        <v>44124</v>
      </c>
      <c r="B21" s="13" t="e">
        <f>SUM('[1]Water-Meter'!R29)</f>
        <v>#REF!</v>
      </c>
      <c r="C21" s="93">
        <f>SUM([1]Gen!B30)</f>
        <v>0.57099999999999995</v>
      </c>
    </row>
    <row r="22" spans="1:3">
      <c r="A22" s="94">
        <f>Gen!B31</f>
        <v>44125</v>
      </c>
      <c r="B22" s="13" t="e">
        <f>SUM('[1]Water-Meter'!R30)</f>
        <v>#REF!</v>
      </c>
      <c r="C22" s="93">
        <f>SUM([1]Gen!B31)</f>
        <v>0.55800000000000005</v>
      </c>
    </row>
    <row r="23" spans="1:3">
      <c r="A23" s="94">
        <f>Gen!B32</f>
        <v>44126</v>
      </c>
      <c r="B23" s="13" t="e">
        <f>SUM('[1]Water-Meter'!R31)</f>
        <v>#REF!</v>
      </c>
      <c r="C23" s="93">
        <f>SUM([1]Gen!B32)</f>
        <v>0.40300000000000002</v>
      </c>
    </row>
    <row r="24" spans="1:3">
      <c r="A24" s="94">
        <f>Gen!B33</f>
        <v>44127</v>
      </c>
      <c r="B24" s="13" t="e">
        <f>SUM('[1]Water-Meter'!R32)</f>
        <v>#REF!</v>
      </c>
      <c r="C24" s="93">
        <f>SUM([1]Gen!B33)</f>
        <v>0.24</v>
      </c>
    </row>
    <row r="25" spans="1:3">
      <c r="A25" s="94">
        <f>Gen!B34</f>
        <v>44128</v>
      </c>
      <c r="B25" s="13" t="e">
        <f>SUM('[1]Water-Meter'!R33)</f>
        <v>#REF!</v>
      </c>
      <c r="C25" s="93">
        <f>SUM([1]Gen!B34)</f>
        <v>0.09</v>
      </c>
    </row>
    <row r="26" spans="1:3">
      <c r="A26" s="94">
        <f>Gen!B35</f>
        <v>44129</v>
      </c>
      <c r="B26" s="13" t="e">
        <f>SUM('[1]Water-Meter'!R34)</f>
        <v>#REF!</v>
      </c>
      <c r="C26" s="93">
        <f>SUM([1]Gen!B35)</f>
        <v>0.28599999999999998</v>
      </c>
    </row>
    <row r="27" spans="1:3">
      <c r="A27" s="94">
        <f>Gen!B36</f>
        <v>44130</v>
      </c>
      <c r="B27" s="13" t="e">
        <f>SUM('[1]Water-Meter'!R35)</f>
        <v>#REF!</v>
      </c>
      <c r="C27" s="93">
        <f>SUM([1]Gen!B36)</f>
        <v>0.54500000000000004</v>
      </c>
    </row>
    <row r="28" spans="1:3">
      <c r="A28" s="94">
        <f>Gen!B37</f>
        <v>44131</v>
      </c>
      <c r="B28" s="13" t="e">
        <f>SUM('[1]Water-Meter'!R36)</f>
        <v>#REF!</v>
      </c>
      <c r="C28" s="93">
        <f>SUM([1]Gen!B37)</f>
        <v>0.67500000000000004</v>
      </c>
    </row>
    <row r="29" spans="1:3">
      <c r="A29" s="94">
        <f>Gen!B38</f>
        <v>44132</v>
      </c>
      <c r="B29" s="13" t="e">
        <f>SUM('[1]Water-Meter'!R37)</f>
        <v>#REF!</v>
      </c>
      <c r="C29" s="93">
        <f>SUM([1]Gen!B38)</f>
        <v>0.27300000000000002</v>
      </c>
    </row>
    <row r="30" spans="1:3">
      <c r="A30" s="94">
        <f>Gen!B39</f>
        <v>44133</v>
      </c>
      <c r="B30" s="13">
        <f>SUM('[1]Water-Meter'!R38)</f>
        <v>-212333</v>
      </c>
      <c r="C30" s="93" t="e">
        <f>SUM([1]Gen!B39)</f>
        <v>#REF!</v>
      </c>
    </row>
    <row r="31" spans="1:3">
      <c r="A31" s="94">
        <f>Gen!B40</f>
        <v>44134</v>
      </c>
      <c r="B31" s="13" t="e">
        <f>SUM('[1]Water-Meter'!R39)</f>
        <v>#REF!</v>
      </c>
      <c r="C31" s="93" t="e">
        <f>SUM([1]Gen!B40)</f>
        <v>#REF!</v>
      </c>
    </row>
    <row r="32" spans="1:3">
      <c r="A32" s="94">
        <f>Gen!B41</f>
        <v>44135</v>
      </c>
      <c r="B32" s="13" t="e">
        <f>SUM('[1]Water-Meter'!R40)</f>
        <v>#REF!</v>
      </c>
      <c r="C32" s="93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874" t="s">
        <v>317</v>
      </c>
      <c r="B2" s="875"/>
      <c r="C2" s="875"/>
      <c r="D2" s="875"/>
      <c r="E2" s="876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91">
        <v>2209.85</v>
      </c>
      <c r="R2" s="444" t="s">
        <v>68</v>
      </c>
      <c r="S2" s="444" t="s">
        <v>69</v>
      </c>
      <c r="T2" s="91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0" t="s">
        <v>49</v>
      </c>
      <c r="N3" s="120"/>
      <c r="O3" s="120"/>
      <c r="P3" s="120" t="s">
        <v>44</v>
      </c>
      <c r="Q3" s="121" t="s">
        <v>55</v>
      </c>
      <c r="R3" s="121"/>
      <c r="S3" s="121"/>
      <c r="T3" s="445"/>
      <c r="U3" s="446"/>
      <c r="V3" s="68" t="s">
        <v>56</v>
      </c>
      <c r="W3" s="120" t="s">
        <v>78</v>
      </c>
      <c r="AA3" s="141" t="s">
        <v>79</v>
      </c>
    </row>
    <row r="4" spans="1:27" s="51" customFormat="1" ht="50.25" customHeight="1">
      <c r="A4" s="64" t="s">
        <v>0</v>
      </c>
      <c r="B4" s="81" t="s">
        <v>66</v>
      </c>
      <c r="C4" s="53" t="s">
        <v>50</v>
      </c>
      <c r="D4" s="53" t="s">
        <v>64</v>
      </c>
      <c r="E4" s="53" t="s">
        <v>65</v>
      </c>
      <c r="F4" s="73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3" t="s">
        <v>51</v>
      </c>
      <c r="L4" s="73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>
      <c r="A5" s="54">
        <f>Gen!B11</f>
        <v>44105</v>
      </c>
      <c r="B5" s="83">
        <v>0</v>
      </c>
      <c r="C5" s="88">
        <f>Gen!C11</f>
        <v>5.1900000000000002E-2</v>
      </c>
      <c r="D5" s="443">
        <f>SUM(77*C5)</f>
        <v>3.9963000000000002</v>
      </c>
      <c r="E5" s="75"/>
      <c r="F5" s="71">
        <f>Gen!U11</f>
        <v>2214</v>
      </c>
      <c r="G5" s="86">
        <f>Gen!T11</f>
        <v>911.04</v>
      </c>
      <c r="H5" s="86" t="e">
        <f>[1]Gen!#REF!</f>
        <v>#REF!</v>
      </c>
      <c r="I5" s="86" t="e">
        <f t="shared" ref="I5:I35" si="0">SUM(G5:H5)</f>
        <v>#REF!</v>
      </c>
      <c r="J5" s="86">
        <f>[1]Gen!AT11</f>
        <v>47806.650000000031</v>
      </c>
      <c r="K5" s="70">
        <f>'Water-Meter'!E6</f>
        <v>36</v>
      </c>
      <c r="L5" s="457">
        <f>'Lpg (2)'!G10</f>
        <v>55.92400000002818</v>
      </c>
      <c r="M5" s="89" t="e">
        <f>#REF!</f>
        <v>#REF!</v>
      </c>
      <c r="N5" s="89" t="e">
        <f>#REF!</f>
        <v>#REF!</v>
      </c>
      <c r="O5" s="89" t="e">
        <f>#REF!</f>
        <v>#REF!</v>
      </c>
      <c r="P5" s="90">
        <f t="shared" ref="P5:P35" si="1">J5/52000</f>
        <v>0.91935865384615445</v>
      </c>
      <c r="Q5" s="6" t="e">
        <f>I5*Q2</f>
        <v>#REF!</v>
      </c>
      <c r="R5" s="77" t="e">
        <f>SUM(Q5/D5)/X5</f>
        <v>#REF!</v>
      </c>
      <c r="S5" s="447" t="e">
        <f>SUM(Q5/E5)/X5</f>
        <v>#REF!</v>
      </c>
      <c r="T5" s="77">
        <f>(K5*102)/X5</f>
        <v>2.3181818181818183</v>
      </c>
      <c r="U5" s="123">
        <f>SUM(L5*1963)/X5</f>
        <v>69.304805555590477</v>
      </c>
      <c r="V5" s="18" t="e">
        <f>SUM(Q5+T5+U5)</f>
        <v>#REF!</v>
      </c>
      <c r="W5" s="125" t="e">
        <f>SUM(V5/E5)/T2</f>
        <v>#REF!</v>
      </c>
      <c r="X5">
        <f>SUM(T2)</f>
        <v>1584</v>
      </c>
      <c r="Y5" s="448">
        <v>106</v>
      </c>
      <c r="Z5" s="80" t="e">
        <f>SUM(Y5-S5)</f>
        <v>#REF!</v>
      </c>
      <c r="AA5">
        <v>106</v>
      </c>
    </row>
    <row r="6" spans="1:27">
      <c r="A6" s="54">
        <f>Gen!B12</f>
        <v>44106</v>
      </c>
      <c r="B6" s="83">
        <v>0</v>
      </c>
      <c r="C6" s="88">
        <f>Gen!C12</f>
        <v>3.9E-2</v>
      </c>
      <c r="D6" s="443">
        <f t="shared" ref="D6:D35" si="2">SUM(77*C6)</f>
        <v>3.0030000000000001</v>
      </c>
      <c r="E6" s="75"/>
      <c r="F6" s="71">
        <f>Gen!U12</f>
        <v>2379</v>
      </c>
      <c r="G6" s="86">
        <f>Gen!T12</f>
        <v>976.24</v>
      </c>
      <c r="H6" s="86" t="e">
        <f>[1]Gen!#REF!</f>
        <v>#REF!</v>
      </c>
      <c r="I6" s="86" t="e">
        <f t="shared" si="0"/>
        <v>#REF!</v>
      </c>
      <c r="J6" s="86">
        <f>[1]Gen!AT12</f>
        <v>45423.890000000029</v>
      </c>
      <c r="K6" s="70">
        <f>'Water-Meter'!E7</f>
        <v>45</v>
      </c>
      <c r="L6" s="457">
        <f>'Lpg (2)'!G11</f>
        <v>33.087999999953901</v>
      </c>
      <c r="M6" s="89" t="e">
        <f>#REF!</f>
        <v>#REF!</v>
      </c>
      <c r="N6" s="89" t="e">
        <f>#REF!</f>
        <v>#REF!</v>
      </c>
      <c r="O6" s="89" t="e">
        <f>#REF!</f>
        <v>#REF!</v>
      </c>
      <c r="P6" s="90">
        <f t="shared" si="1"/>
        <v>0.87353634615384668</v>
      </c>
      <c r="Q6" s="6" t="e">
        <f>I6*Q2</f>
        <v>#REF!</v>
      </c>
      <c r="R6" s="77" t="e">
        <f t="shared" ref="R6:R35" si="3">SUM(Q6/D6)/X6</f>
        <v>#REF!</v>
      </c>
      <c r="S6" s="447" t="e">
        <f t="shared" ref="S6:S35" si="4">SUM(Q6/E6)/X6</f>
        <v>#REF!</v>
      </c>
      <c r="T6" s="77">
        <f t="shared" ref="T6:T35" si="5">(K6*102)/X6</f>
        <v>2.8977272727272729</v>
      </c>
      <c r="U6" s="123">
        <f t="shared" ref="U6:U35" si="6">SUM(L6*1963)/X6</f>
        <v>41.004888888831758</v>
      </c>
      <c r="V6" s="18" t="e">
        <f t="shared" ref="V6:V36" si="7">SUM(Q6+T6+U6)</f>
        <v>#REF!</v>
      </c>
      <c r="W6" s="125" t="e">
        <f>SUM(V6/E6)/T2</f>
        <v>#REF!</v>
      </c>
      <c r="X6">
        <f>SUM(X5)</f>
        <v>1584</v>
      </c>
      <c r="Y6" s="448">
        <v>106</v>
      </c>
      <c r="Z6" s="80" t="e">
        <f t="shared" ref="Z6:Z35" si="8">SUM(Y6-S6)</f>
        <v>#REF!</v>
      </c>
    </row>
    <row r="7" spans="1:27">
      <c r="A7" s="54">
        <f>Gen!B13</f>
        <v>44107</v>
      </c>
      <c r="B7" s="83">
        <v>0</v>
      </c>
      <c r="C7" s="88">
        <f>Gen!C13</f>
        <v>2.5999999999999999E-2</v>
      </c>
      <c r="D7" s="443">
        <f t="shared" si="2"/>
        <v>2.0019999999999998</v>
      </c>
      <c r="E7" s="75"/>
      <c r="F7" s="71">
        <f>Gen!U13</f>
        <v>2370</v>
      </c>
      <c r="G7" s="86">
        <f>Gen!T13</f>
        <v>996.18</v>
      </c>
      <c r="H7" s="86" t="e">
        <f>[1]Gen!#REF!</f>
        <v>#REF!</v>
      </c>
      <c r="I7" s="86" t="e">
        <f t="shared" si="0"/>
        <v>#REF!</v>
      </c>
      <c r="J7" s="86">
        <f>[1]Gen!AT13</f>
        <v>42919.590000000026</v>
      </c>
      <c r="K7" s="70">
        <f>'Water-Meter'!E8</f>
        <v>36</v>
      </c>
      <c r="L7" s="457">
        <f>'Lpg (2)'!G12</f>
        <v>66.131999999994889</v>
      </c>
      <c r="M7" s="89" t="e">
        <f>#REF!</f>
        <v>#REF!</v>
      </c>
      <c r="N7" s="89" t="e">
        <f>#REF!</f>
        <v>#REF!</v>
      </c>
      <c r="O7" s="89" t="e">
        <f>#REF!</f>
        <v>#REF!</v>
      </c>
      <c r="P7" s="90">
        <f t="shared" si="1"/>
        <v>0.82537673076923124</v>
      </c>
      <c r="Q7" s="6" t="e">
        <f>I7*Q2</f>
        <v>#REF!</v>
      </c>
      <c r="R7" s="77" t="e">
        <f t="shared" si="3"/>
        <v>#REF!</v>
      </c>
      <c r="S7" s="447" t="e">
        <f t="shared" si="4"/>
        <v>#REF!</v>
      </c>
      <c r="T7" s="77">
        <f t="shared" si="5"/>
        <v>2.3181818181818183</v>
      </c>
      <c r="U7" s="123">
        <f t="shared" si="6"/>
        <v>81.955249999993669</v>
      </c>
      <c r="V7" s="18" t="e">
        <f t="shared" si="7"/>
        <v>#REF!</v>
      </c>
      <c r="W7" s="125" t="e">
        <f>SUM(V7/E7)/T2</f>
        <v>#REF!</v>
      </c>
      <c r="X7">
        <f t="shared" ref="X7:X35" si="9">SUM(X6)</f>
        <v>1584</v>
      </c>
      <c r="Y7" s="448">
        <v>106</v>
      </c>
      <c r="Z7" s="80" t="e">
        <f t="shared" si="8"/>
        <v>#REF!</v>
      </c>
    </row>
    <row r="8" spans="1:27">
      <c r="A8" s="54">
        <f>Gen!B14</f>
        <v>44108</v>
      </c>
      <c r="B8" s="83">
        <v>0</v>
      </c>
      <c r="C8" s="88">
        <f>Gen!C14</f>
        <v>1.2999999999999999E-2</v>
      </c>
      <c r="D8" s="443">
        <f t="shared" si="2"/>
        <v>1.0009999999999999</v>
      </c>
      <c r="E8" s="75"/>
      <c r="F8" s="71">
        <f>Gen!U14</f>
        <v>2154</v>
      </c>
      <c r="G8" s="86">
        <f>Gen!T14</f>
        <v>924.63</v>
      </c>
      <c r="H8" s="86" t="e">
        <f>[1]Gen!AJ9</f>
        <v>#REF!</v>
      </c>
      <c r="I8" s="86" t="e">
        <f t="shared" si="0"/>
        <v>#REF!</v>
      </c>
      <c r="J8" s="86">
        <f>[1]Gen!AT14</f>
        <v>40258.940000000024</v>
      </c>
      <c r="K8" s="70">
        <f>'Water-Meter'!E9</f>
        <v>60</v>
      </c>
      <c r="L8" s="457">
        <f>'Lpg (2)'!G13</f>
        <v>65.428000000043539</v>
      </c>
      <c r="M8" s="89" t="e">
        <f>#REF!</f>
        <v>#REF!</v>
      </c>
      <c r="N8" s="89" t="e">
        <f>#REF!</f>
        <v>#REF!</v>
      </c>
      <c r="O8" s="89" t="e">
        <f>#REF!</f>
        <v>#REF!</v>
      </c>
      <c r="P8" s="90">
        <f t="shared" si="1"/>
        <v>0.77421038461538505</v>
      </c>
      <c r="Q8" s="6" t="e">
        <f>I8*Q2</f>
        <v>#REF!</v>
      </c>
      <c r="R8" s="77" t="e">
        <f t="shared" si="3"/>
        <v>#REF!</v>
      </c>
      <c r="S8" s="447" t="e">
        <f t="shared" si="4"/>
        <v>#REF!</v>
      </c>
      <c r="T8" s="77">
        <f t="shared" si="5"/>
        <v>3.8636363636363638</v>
      </c>
      <c r="U8" s="123">
        <f t="shared" si="6"/>
        <v>81.082805555609511</v>
      </c>
      <c r="V8" s="18" t="e">
        <f t="shared" si="7"/>
        <v>#REF!</v>
      </c>
      <c r="W8" s="125" t="e">
        <f>SUM(V8/E8)/T2</f>
        <v>#REF!</v>
      </c>
      <c r="X8">
        <f t="shared" si="9"/>
        <v>1584</v>
      </c>
      <c r="Y8" s="448">
        <v>106</v>
      </c>
      <c r="Z8" s="80" t="e">
        <f t="shared" si="8"/>
        <v>#REF!</v>
      </c>
    </row>
    <row r="9" spans="1:27">
      <c r="A9" s="54">
        <f>Gen!B15</f>
        <v>44109</v>
      </c>
      <c r="B9" s="83">
        <v>0</v>
      </c>
      <c r="C9" s="88">
        <f>Gen!C15</f>
        <v>2.3E-2</v>
      </c>
      <c r="D9" s="443">
        <f t="shared" si="2"/>
        <v>1.7709999999999999</v>
      </c>
      <c r="E9" s="75"/>
      <c r="F9" s="71">
        <f>Gen!U15</f>
        <v>2268</v>
      </c>
      <c r="G9" s="86">
        <f>Gen!T15</f>
        <v>936.98</v>
      </c>
      <c r="H9" s="86">
        <f>[1]Gen!AJ10</f>
        <v>0</v>
      </c>
      <c r="I9" s="86">
        <f t="shared" si="0"/>
        <v>936.98</v>
      </c>
      <c r="J9" s="86">
        <f>[1]Gen!AT15</f>
        <v>37525.210000000021</v>
      </c>
      <c r="K9" s="70">
        <f>'Water-Meter'!E10</f>
        <v>45</v>
      </c>
      <c r="L9" s="457">
        <f>'Lpg (2)'!G14</f>
        <v>81.268000000005131</v>
      </c>
      <c r="M9" s="89" t="e">
        <f>#REF!</f>
        <v>#REF!</v>
      </c>
      <c r="N9" s="89" t="e">
        <f>#REF!</f>
        <v>#REF!</v>
      </c>
      <c r="O9" s="89" t="e">
        <f>#REF!</f>
        <v>#REF!</v>
      </c>
      <c r="P9" s="90">
        <f t="shared" si="1"/>
        <v>0.72163865384615422</v>
      </c>
      <c r="Q9" s="6">
        <f>I9*Q2</f>
        <v>2070585.253</v>
      </c>
      <c r="R9" s="77">
        <f t="shared" si="3"/>
        <v>738.10709188154851</v>
      </c>
      <c r="S9" s="447" t="e">
        <f t="shared" si="4"/>
        <v>#DIV/0!</v>
      </c>
      <c r="T9" s="77">
        <f t="shared" si="5"/>
        <v>2.8977272727272729</v>
      </c>
      <c r="U9" s="123">
        <f t="shared" si="6"/>
        <v>100.71280555556191</v>
      </c>
      <c r="V9" s="18">
        <f t="shared" si="7"/>
        <v>2070688.8635328284</v>
      </c>
      <c r="W9" s="125" t="e">
        <f>SUM(V9/E9)/T2</f>
        <v>#DIV/0!</v>
      </c>
      <c r="X9">
        <f t="shared" si="9"/>
        <v>1584</v>
      </c>
      <c r="Y9" s="448">
        <v>106</v>
      </c>
      <c r="Z9" s="80" t="e">
        <f t="shared" si="8"/>
        <v>#DIV/0!</v>
      </c>
    </row>
    <row r="10" spans="1:27">
      <c r="A10" s="54">
        <f>Gen!B16</f>
        <v>44110</v>
      </c>
      <c r="B10" s="83">
        <v>0</v>
      </c>
      <c r="C10" s="88">
        <f>Gen!C16</f>
        <v>2.3E-2</v>
      </c>
      <c r="D10" s="443">
        <f t="shared" si="2"/>
        <v>1.7709999999999999</v>
      </c>
      <c r="E10" s="75"/>
      <c r="F10" s="71">
        <f>Gen!U16</f>
        <v>2332</v>
      </c>
      <c r="G10" s="86">
        <f>Gen!T16</f>
        <v>982.58999999999992</v>
      </c>
      <c r="H10" s="86" t="e">
        <f>[1]Gen!#REF!</f>
        <v>#REF!</v>
      </c>
      <c r="I10" s="86" t="e">
        <f t="shared" si="0"/>
        <v>#REF!</v>
      </c>
      <c r="J10" s="86">
        <f>[1]Gen!AT16</f>
        <v>35107.690000000024</v>
      </c>
      <c r="K10" s="70">
        <f>'Water-Meter'!E11</f>
        <v>57</v>
      </c>
      <c r="L10" s="457">
        <f>'Lpg (2)'!G15</f>
        <v>76.823999999964144</v>
      </c>
      <c r="M10" s="89" t="e">
        <f>#REF!</f>
        <v>#REF!</v>
      </c>
      <c r="N10" s="89" t="e">
        <f>#REF!</f>
        <v>#REF!</v>
      </c>
      <c r="O10" s="89" t="e">
        <f>#REF!</f>
        <v>#REF!</v>
      </c>
      <c r="P10" s="90">
        <f t="shared" si="1"/>
        <v>0.67514788461538511</v>
      </c>
      <c r="Q10" s="6" t="e">
        <f>I10*Q2</f>
        <v>#REF!</v>
      </c>
      <c r="R10" s="77" t="e">
        <f t="shared" si="3"/>
        <v>#REF!</v>
      </c>
      <c r="S10" s="447" t="e">
        <f t="shared" si="4"/>
        <v>#REF!</v>
      </c>
      <c r="T10" s="77">
        <f t="shared" si="5"/>
        <v>3.6704545454545454</v>
      </c>
      <c r="U10" s="123">
        <f t="shared" si="6"/>
        <v>95.205499999955563</v>
      </c>
      <c r="V10" s="18" t="e">
        <f t="shared" si="7"/>
        <v>#REF!</v>
      </c>
      <c r="W10" s="125" t="e">
        <f>SUM(V10/E10)/T2</f>
        <v>#REF!</v>
      </c>
      <c r="X10">
        <f t="shared" si="9"/>
        <v>1584</v>
      </c>
      <c r="Y10" s="448">
        <v>106</v>
      </c>
      <c r="Z10" s="80" t="e">
        <f t="shared" si="8"/>
        <v>#REF!</v>
      </c>
    </row>
    <row r="11" spans="1:27">
      <c r="A11" s="54">
        <f>Gen!B17</f>
        <v>44111</v>
      </c>
      <c r="B11" s="83">
        <v>0</v>
      </c>
      <c r="C11" s="88">
        <f>Gen!C17</f>
        <v>3.9E-2</v>
      </c>
      <c r="D11" s="443">
        <f t="shared" si="2"/>
        <v>3.0030000000000001</v>
      </c>
      <c r="E11" s="75"/>
      <c r="F11" s="71">
        <f>Gen!U17</f>
        <v>2229</v>
      </c>
      <c r="G11" s="86">
        <f>Gen!T17</f>
        <v>950.56999999999994</v>
      </c>
      <c r="H11" s="86">
        <f>[1]Gen!AJ25</f>
        <v>80.56</v>
      </c>
      <c r="I11" s="86">
        <f t="shared" si="0"/>
        <v>1031.1299999999999</v>
      </c>
      <c r="J11" s="86">
        <f>[1]Gen!AT17</f>
        <v>47513.140000000029</v>
      </c>
      <c r="K11" s="70">
        <f>'Water-Meter'!E12</f>
        <v>59</v>
      </c>
      <c r="L11" s="457">
        <f>'Lpg (2)'!G16</f>
        <v>49.72000000001281</v>
      </c>
      <c r="M11" s="89" t="e">
        <f>#REF!</f>
        <v>#REF!</v>
      </c>
      <c r="N11" s="89" t="e">
        <f>#REF!</f>
        <v>#REF!</v>
      </c>
      <c r="O11" s="89" t="e">
        <f>#REF!</f>
        <v>#REF!</v>
      </c>
      <c r="P11" s="90">
        <f t="shared" si="1"/>
        <v>0.91371423076923131</v>
      </c>
      <c r="Q11" s="6">
        <f>I11*Q2</f>
        <v>2278642.6304999995</v>
      </c>
      <c r="R11" s="77">
        <f t="shared" si="3"/>
        <v>479.03330476341824</v>
      </c>
      <c r="S11" s="447" t="e">
        <f t="shared" si="4"/>
        <v>#DIV/0!</v>
      </c>
      <c r="T11" s="77">
        <f t="shared" si="5"/>
        <v>3.7992424242424243</v>
      </c>
      <c r="U11" s="123">
        <f t="shared" si="6"/>
        <v>61.616388888904766</v>
      </c>
      <c r="V11" s="18">
        <f t="shared" si="7"/>
        <v>2278708.0461313128</v>
      </c>
      <c r="W11" s="125" t="e">
        <f>SUM(V11/E11)/T2</f>
        <v>#DIV/0!</v>
      </c>
      <c r="X11">
        <f t="shared" si="9"/>
        <v>1584</v>
      </c>
      <c r="Y11" s="448">
        <v>106</v>
      </c>
      <c r="Z11" s="80" t="e">
        <f t="shared" si="8"/>
        <v>#DIV/0!</v>
      </c>
    </row>
    <row r="12" spans="1:27">
      <c r="A12" s="54">
        <f>Gen!B18</f>
        <v>44112</v>
      </c>
      <c r="B12" s="83">
        <v>0</v>
      </c>
      <c r="C12" s="88">
        <f>Gen!C18</f>
        <v>5.1900000000000002E-2</v>
      </c>
      <c r="D12" s="443">
        <f t="shared" si="2"/>
        <v>3.9963000000000002</v>
      </c>
      <c r="E12" s="75"/>
      <c r="F12" s="71">
        <f>Gen!U18</f>
        <v>2245</v>
      </c>
      <c r="G12" s="86">
        <f>Gen!T18</f>
        <v>956.81999999999994</v>
      </c>
      <c r="H12" s="86" t="e">
        <f>[1]Gen!#REF!</f>
        <v>#REF!</v>
      </c>
      <c r="I12" s="86" t="e">
        <f t="shared" si="0"/>
        <v>#REF!</v>
      </c>
      <c r="J12" s="86">
        <f>[1]Gen!AT18</f>
        <v>45161.890000000029</v>
      </c>
      <c r="K12" s="70">
        <f>'Water-Meter'!E13</f>
        <v>46</v>
      </c>
      <c r="L12" s="457">
        <f>'Lpg (2)'!G17</f>
        <v>67.100000000000009</v>
      </c>
      <c r="M12" s="89" t="e">
        <f>#REF!</f>
        <v>#REF!</v>
      </c>
      <c r="N12" s="89" t="e">
        <f>#REF!</f>
        <v>#REF!</v>
      </c>
      <c r="O12" s="89" t="e">
        <f>#REF!</f>
        <v>#REF!</v>
      </c>
      <c r="P12" s="90">
        <f t="shared" si="1"/>
        <v>0.86849788461538513</v>
      </c>
      <c r="Q12" s="6" t="e">
        <f>I12*Q2</f>
        <v>#REF!</v>
      </c>
      <c r="R12" s="77" t="e">
        <f t="shared" si="3"/>
        <v>#REF!</v>
      </c>
      <c r="S12" s="447" t="e">
        <f t="shared" si="4"/>
        <v>#REF!</v>
      </c>
      <c r="T12" s="77">
        <f t="shared" si="5"/>
        <v>2.9621212121212119</v>
      </c>
      <c r="U12" s="123">
        <f t="shared" si="6"/>
        <v>83.154861111111117</v>
      </c>
      <c r="V12" s="18" t="e">
        <f t="shared" si="7"/>
        <v>#REF!</v>
      </c>
      <c r="W12" s="125" t="e">
        <f>SUM(V12/E12)/T2</f>
        <v>#REF!</v>
      </c>
      <c r="X12">
        <f t="shared" si="9"/>
        <v>1584</v>
      </c>
      <c r="Y12" s="448">
        <v>106</v>
      </c>
      <c r="Z12" s="80" t="e">
        <f t="shared" si="8"/>
        <v>#REF!</v>
      </c>
    </row>
    <row r="13" spans="1:27">
      <c r="A13" s="54">
        <f>Gen!B19</f>
        <v>44113</v>
      </c>
      <c r="B13" s="83">
        <v>0</v>
      </c>
      <c r="C13" s="88">
        <f>Gen!C19</f>
        <v>5.1900000000000002E-2</v>
      </c>
      <c r="D13" s="443">
        <f t="shared" si="2"/>
        <v>3.9963000000000002</v>
      </c>
      <c r="E13" s="75"/>
      <c r="F13" s="71">
        <f>Gen!U19</f>
        <v>2375</v>
      </c>
      <c r="G13" s="86">
        <f>Gen!T19</f>
        <v>990.35</v>
      </c>
      <c r="H13" s="86" t="e">
        <f>[1]Gen!#REF!</f>
        <v>#REF!</v>
      </c>
      <c r="I13" s="86" t="e">
        <f t="shared" si="0"/>
        <v>#REF!</v>
      </c>
      <c r="J13" s="86">
        <f>[1]Gen!AT19</f>
        <v>42825.480000000025</v>
      </c>
      <c r="K13" s="70">
        <f>'Water-Meter'!E14</f>
        <v>56</v>
      </c>
      <c r="L13" s="457">
        <f>'Lpg (2)'!G18</f>
        <v>59.531999999994881</v>
      </c>
      <c r="M13" s="89" t="e">
        <f>#REF!</f>
        <v>#REF!</v>
      </c>
      <c r="N13" s="89" t="e">
        <f>#REF!</f>
        <v>#REF!</v>
      </c>
      <c r="O13" s="89" t="e">
        <f>#REF!</f>
        <v>#REF!</v>
      </c>
      <c r="P13" s="90">
        <f t="shared" si="1"/>
        <v>0.82356692307692358</v>
      </c>
      <c r="Q13" s="6" t="e">
        <f>I13*Q2</f>
        <v>#REF!</v>
      </c>
      <c r="R13" s="77" t="e">
        <f t="shared" si="3"/>
        <v>#REF!</v>
      </c>
      <c r="S13" s="447" t="e">
        <f t="shared" si="4"/>
        <v>#REF!</v>
      </c>
      <c r="T13" s="77">
        <f t="shared" si="5"/>
        <v>3.606060606060606</v>
      </c>
      <c r="U13" s="123">
        <f t="shared" si="6"/>
        <v>73.776083333326994</v>
      </c>
      <c r="V13" s="18" t="e">
        <f t="shared" si="7"/>
        <v>#REF!</v>
      </c>
      <c r="W13" s="125" t="e">
        <f>SUM(V13/E13)/T2</f>
        <v>#REF!</v>
      </c>
      <c r="X13">
        <f t="shared" si="9"/>
        <v>1584</v>
      </c>
      <c r="Y13" s="448">
        <v>106</v>
      </c>
      <c r="Z13" s="80" t="e">
        <f t="shared" si="8"/>
        <v>#REF!</v>
      </c>
    </row>
    <row r="14" spans="1:27">
      <c r="A14" s="54">
        <f>Gen!B20</f>
        <v>44114</v>
      </c>
      <c r="B14" s="83">
        <v>0</v>
      </c>
      <c r="C14" s="88">
        <f>Gen!C20</f>
        <v>5.1900000000000002E-2</v>
      </c>
      <c r="D14" s="443">
        <f t="shared" si="2"/>
        <v>3.9963000000000002</v>
      </c>
      <c r="E14" s="75"/>
      <c r="F14" s="71">
        <f>Gen!U20</f>
        <v>2298</v>
      </c>
      <c r="G14" s="86">
        <f>Gen!T20</f>
        <v>995.05000000000007</v>
      </c>
      <c r="H14" s="86" t="e">
        <f>[1]Gen!#REF!</f>
        <v>#REF!</v>
      </c>
      <c r="I14" s="86" t="e">
        <f t="shared" si="0"/>
        <v>#REF!</v>
      </c>
      <c r="J14" s="86">
        <f>[1]Gen!AT20</f>
        <v>40110.380000000026</v>
      </c>
      <c r="K14" s="70">
        <f>'Water-Meter'!E15</f>
        <v>98</v>
      </c>
      <c r="L14" s="457">
        <f>'Lpg (2)'!G19</f>
        <v>58.608000000030735</v>
      </c>
      <c r="M14" s="89" t="e">
        <f>#REF!</f>
        <v>#REF!</v>
      </c>
      <c r="N14" s="89" t="e">
        <f>#REF!</f>
        <v>#REF!</v>
      </c>
      <c r="O14" s="89" t="e">
        <f>#REF!</f>
        <v>#REF!</v>
      </c>
      <c r="P14" s="90">
        <f t="shared" si="1"/>
        <v>0.77135346153846207</v>
      </c>
      <c r="Q14" s="6" t="e">
        <f>I14*Q2</f>
        <v>#REF!</v>
      </c>
      <c r="R14" s="77" t="e">
        <f t="shared" si="3"/>
        <v>#REF!</v>
      </c>
      <c r="S14" s="447" t="e">
        <f t="shared" si="4"/>
        <v>#REF!</v>
      </c>
      <c r="T14" s="77">
        <f t="shared" si="5"/>
        <v>6.3106060606060606</v>
      </c>
      <c r="U14" s="123">
        <f t="shared" si="6"/>
        <v>72.631000000038085</v>
      </c>
      <c r="V14" s="18" t="e">
        <f t="shared" si="7"/>
        <v>#REF!</v>
      </c>
      <c r="W14" s="125" t="e">
        <f>SUM(V14/E14)/T2</f>
        <v>#REF!</v>
      </c>
      <c r="X14">
        <f t="shared" si="9"/>
        <v>1584</v>
      </c>
      <c r="Y14" s="448">
        <v>106</v>
      </c>
      <c r="Z14" s="80" t="e">
        <f t="shared" si="8"/>
        <v>#REF!</v>
      </c>
    </row>
    <row r="15" spans="1:27">
      <c r="A15" s="54">
        <f>Gen!B21</f>
        <v>44115</v>
      </c>
      <c r="B15" s="83">
        <v>0</v>
      </c>
      <c r="C15" s="88">
        <f>Gen!C21</f>
        <v>1.2999999999999999E-2</v>
      </c>
      <c r="D15" s="443">
        <f t="shared" si="2"/>
        <v>1.0009999999999999</v>
      </c>
      <c r="E15" s="75"/>
      <c r="F15" s="71">
        <f>Gen!U21</f>
        <v>2245</v>
      </c>
      <c r="G15" s="86">
        <f>Gen!T21</f>
        <v>980.98</v>
      </c>
      <c r="H15" s="86" t="e">
        <f>[1]Gen!#REF!</f>
        <v>#REF!</v>
      </c>
      <c r="I15" s="86" t="e">
        <f t="shared" si="0"/>
        <v>#REF!</v>
      </c>
      <c r="J15" s="86">
        <f>[1]Gen!AT21</f>
        <v>37540.570000000029</v>
      </c>
      <c r="K15" s="70">
        <f>'Water-Meter'!E16</f>
        <v>73</v>
      </c>
      <c r="L15" s="457">
        <f>'Lpg (2)'!G20</f>
        <v>68.727999999979517</v>
      </c>
      <c r="M15" s="89" t="e">
        <f>#REF!</f>
        <v>#REF!</v>
      </c>
      <c r="N15" s="89" t="e">
        <f>#REF!</f>
        <v>#REF!</v>
      </c>
      <c r="O15" s="89" t="e">
        <f>#REF!</f>
        <v>#REF!</v>
      </c>
      <c r="P15" s="90">
        <f t="shared" si="1"/>
        <v>0.72193403846153903</v>
      </c>
      <c r="Q15" s="6" t="e">
        <f>I15*Q2</f>
        <v>#REF!</v>
      </c>
      <c r="R15" s="77" t="e">
        <f t="shared" si="3"/>
        <v>#REF!</v>
      </c>
      <c r="S15" s="447" t="e">
        <f t="shared" si="4"/>
        <v>#REF!</v>
      </c>
      <c r="T15" s="77">
        <f t="shared" si="5"/>
        <v>4.7007575757575761</v>
      </c>
      <c r="U15" s="123">
        <f t="shared" si="6"/>
        <v>85.172388888863509</v>
      </c>
      <c r="V15" s="18" t="e">
        <f t="shared" si="7"/>
        <v>#REF!</v>
      </c>
      <c r="W15" s="125" t="e">
        <f>SUM(V15/E15)/T2</f>
        <v>#REF!</v>
      </c>
      <c r="X15">
        <f t="shared" si="9"/>
        <v>1584</v>
      </c>
      <c r="Y15" s="448">
        <v>106</v>
      </c>
      <c r="Z15" s="80" t="e">
        <f t="shared" si="8"/>
        <v>#REF!</v>
      </c>
    </row>
    <row r="16" spans="1:27">
      <c r="A16" s="54">
        <f>Gen!B22</f>
        <v>44116</v>
      </c>
      <c r="B16" s="83">
        <v>0</v>
      </c>
      <c r="C16" s="88">
        <f>Gen!C22</f>
        <v>3.9E-2</v>
      </c>
      <c r="D16" s="443">
        <f t="shared" si="2"/>
        <v>3.0030000000000001</v>
      </c>
      <c r="E16" s="75"/>
      <c r="F16" s="71">
        <f>Gen!U22</f>
        <v>2131</v>
      </c>
      <c r="G16" s="86">
        <f>Gen!T22</f>
        <v>935.25</v>
      </c>
      <c r="H16" s="86" t="e">
        <f>[1]Gen!#REF!</f>
        <v>#REF!</v>
      </c>
      <c r="I16" s="86" t="e">
        <f t="shared" si="0"/>
        <v>#REF!</v>
      </c>
      <c r="J16" s="86">
        <f>[1]Gen!AT22</f>
        <v>34967.29000000003</v>
      </c>
      <c r="K16" s="70">
        <f>'Water-Meter'!E17</f>
        <v>42</v>
      </c>
      <c r="L16" s="457">
        <f>'Lpg (2)'!G21</f>
        <v>65.4720000000205</v>
      </c>
      <c r="M16" s="89" t="e">
        <f>#REF!</f>
        <v>#REF!</v>
      </c>
      <c r="N16" s="89" t="e">
        <f>#REF!</f>
        <v>#REF!</v>
      </c>
      <c r="O16" s="89" t="e">
        <f>#REF!</f>
        <v>#REF!</v>
      </c>
      <c r="P16" s="90">
        <f t="shared" si="1"/>
        <v>0.67244788461538518</v>
      </c>
      <c r="Q16" s="6" t="e">
        <f>I16*Q2</f>
        <v>#REF!</v>
      </c>
      <c r="R16" s="77" t="e">
        <f t="shared" si="3"/>
        <v>#REF!</v>
      </c>
      <c r="S16" s="447" t="e">
        <f t="shared" si="4"/>
        <v>#REF!</v>
      </c>
      <c r="T16" s="77">
        <f t="shared" si="5"/>
        <v>2.7045454545454546</v>
      </c>
      <c r="U16" s="123">
        <f t="shared" si="6"/>
        <v>81.13733333335874</v>
      </c>
      <c r="V16" s="18" t="e">
        <f t="shared" si="7"/>
        <v>#REF!</v>
      </c>
      <c r="W16" s="125" t="e">
        <f>SUM(V16/E16)/T2</f>
        <v>#REF!</v>
      </c>
      <c r="X16">
        <f t="shared" si="9"/>
        <v>1584</v>
      </c>
      <c r="Y16" s="448">
        <v>106</v>
      </c>
      <c r="Z16" s="80" t="e">
        <f t="shared" si="8"/>
        <v>#REF!</v>
      </c>
    </row>
    <row r="17" spans="1:26">
      <c r="A17" s="54">
        <f>Gen!B23</f>
        <v>44117</v>
      </c>
      <c r="B17" s="83">
        <v>0</v>
      </c>
      <c r="C17" s="88">
        <f>Gen!C23</f>
        <v>5.1900000000000002E-2</v>
      </c>
      <c r="D17" s="443">
        <f t="shared" si="2"/>
        <v>3.9963000000000002</v>
      </c>
      <c r="E17" s="75"/>
      <c r="F17" s="71">
        <f>Gen!U23</f>
        <v>2325</v>
      </c>
      <c r="G17" s="86">
        <f>Gen!T23</f>
        <v>995.96</v>
      </c>
      <c r="H17" s="86" t="e">
        <f>[1]Gen!#REF!</f>
        <v>#REF!</v>
      </c>
      <c r="I17" s="86" t="e">
        <f t="shared" si="0"/>
        <v>#REF!</v>
      </c>
      <c r="J17" s="86">
        <f>[1]Gen!AT23</f>
        <v>32228.760000000031</v>
      </c>
      <c r="K17" s="70">
        <f>'Water-Meter'!E18</f>
        <v>53</v>
      </c>
      <c r="L17" s="457">
        <f>'Lpg (2)'!G22</f>
        <v>65.295999999984645</v>
      </c>
      <c r="M17" s="89" t="e">
        <f>#REF!</f>
        <v>#REF!</v>
      </c>
      <c r="N17" s="89" t="e">
        <f>#REF!</f>
        <v>#REF!</v>
      </c>
      <c r="O17" s="89" t="e">
        <f>#REF!</f>
        <v>#REF!</v>
      </c>
      <c r="P17" s="90">
        <f t="shared" si="1"/>
        <v>0.61978384615384674</v>
      </c>
      <c r="Q17" s="6" t="e">
        <f>I17*Q2</f>
        <v>#REF!</v>
      </c>
      <c r="R17" s="77" t="e">
        <f t="shared" si="3"/>
        <v>#REF!</v>
      </c>
      <c r="S17" s="447" t="e">
        <f t="shared" si="4"/>
        <v>#REF!</v>
      </c>
      <c r="T17" s="77">
        <f t="shared" si="5"/>
        <v>3.4128787878787881</v>
      </c>
      <c r="U17" s="123">
        <f t="shared" si="6"/>
        <v>80.919222222203189</v>
      </c>
      <c r="V17" s="18" t="e">
        <f t="shared" si="7"/>
        <v>#REF!</v>
      </c>
      <c r="W17" s="125" t="e">
        <f>SUM(V17/E17)/T2</f>
        <v>#REF!</v>
      </c>
      <c r="X17">
        <f t="shared" si="9"/>
        <v>1584</v>
      </c>
      <c r="Y17" s="448">
        <v>106</v>
      </c>
      <c r="Z17" s="80" t="e">
        <f t="shared" si="8"/>
        <v>#REF!</v>
      </c>
    </row>
    <row r="18" spans="1:26">
      <c r="A18" s="54">
        <f>Gen!B24</f>
        <v>44118</v>
      </c>
      <c r="B18" s="83">
        <v>0</v>
      </c>
      <c r="C18" s="88">
        <f>Gen!C24</f>
        <v>1.2999999999999999E-2</v>
      </c>
      <c r="D18" s="443">
        <f t="shared" si="2"/>
        <v>1.0009999999999999</v>
      </c>
      <c r="E18" s="75"/>
      <c r="F18" s="71">
        <f>Gen!U24</f>
        <v>2264</v>
      </c>
      <c r="G18" s="86">
        <f>Gen!T24</f>
        <v>974.17000000000007</v>
      </c>
      <c r="H18" s="86">
        <f>[1]Gen!AJ27</f>
        <v>597.9</v>
      </c>
      <c r="I18" s="86">
        <f t="shared" si="0"/>
        <v>1572.0700000000002</v>
      </c>
      <c r="J18" s="86">
        <f>[1]Gen!AT24</f>
        <v>29915.45000000003</v>
      </c>
      <c r="K18" s="70">
        <f>'Water-Meter'!E19</f>
        <v>43</v>
      </c>
      <c r="L18" s="457">
        <f>'Lpg (2)'!G23</f>
        <v>64.504000000015367</v>
      </c>
      <c r="M18" s="89" t="e">
        <f>#REF!</f>
        <v>#REF!</v>
      </c>
      <c r="N18" s="89" t="e">
        <f>#REF!</f>
        <v>#REF!</v>
      </c>
      <c r="O18" s="89" t="e">
        <f>#REF!</f>
        <v>#REF!</v>
      </c>
      <c r="P18" s="90">
        <f t="shared" si="1"/>
        <v>0.57529711538461592</v>
      </c>
      <c r="Q18" s="6">
        <f>I18*Q2</f>
        <v>3474038.8895</v>
      </c>
      <c r="R18" s="77">
        <f t="shared" si="3"/>
        <v>2191.0153542795588</v>
      </c>
      <c r="S18" s="447" t="e">
        <f t="shared" si="4"/>
        <v>#DIV/0!</v>
      </c>
      <c r="T18" s="77">
        <f t="shared" si="5"/>
        <v>2.768939393939394</v>
      </c>
      <c r="U18" s="123">
        <f t="shared" si="6"/>
        <v>79.937722222241263</v>
      </c>
      <c r="V18" s="18">
        <f t="shared" si="7"/>
        <v>3474121.5961616165</v>
      </c>
      <c r="W18" s="125" t="e">
        <f>SUM(V18/E18)/T2</f>
        <v>#DIV/0!</v>
      </c>
      <c r="X18">
        <f t="shared" si="9"/>
        <v>1584</v>
      </c>
      <c r="Y18" s="448">
        <v>106</v>
      </c>
      <c r="Z18" s="80" t="e">
        <f t="shared" si="8"/>
        <v>#DIV/0!</v>
      </c>
    </row>
    <row r="19" spans="1:26">
      <c r="A19" s="54">
        <f>Gen!B25</f>
        <v>44119</v>
      </c>
      <c r="B19" s="83">
        <v>0</v>
      </c>
      <c r="C19" s="88">
        <f>Gen!C25</f>
        <v>5.1900000000000002E-2</v>
      </c>
      <c r="D19" s="443">
        <f t="shared" si="2"/>
        <v>3.9963000000000002</v>
      </c>
      <c r="E19" s="75"/>
      <c r="F19" s="71">
        <f>Gen!U25</f>
        <v>2360</v>
      </c>
      <c r="G19" s="86">
        <f>Gen!T25</f>
        <v>1042.8800000000001</v>
      </c>
      <c r="H19" s="86">
        <f>[1]Gen!AJ28</f>
        <v>227.73000000000002</v>
      </c>
      <c r="I19" s="86">
        <f t="shared" si="0"/>
        <v>1270.6100000000001</v>
      </c>
      <c r="J19" s="86">
        <f>[1]Gen!AT25</f>
        <v>42248.240000000034</v>
      </c>
      <c r="K19" s="70">
        <f>'Water-Meter'!E20</f>
        <v>48</v>
      </c>
      <c r="L19" s="457">
        <f>'Lpg (2)'!G24</f>
        <v>73.127999999979522</v>
      </c>
      <c r="M19" s="89" t="e">
        <f>#REF!</f>
        <v>#REF!</v>
      </c>
      <c r="N19" s="89" t="e">
        <f>#REF!</f>
        <v>#REF!</v>
      </c>
      <c r="O19" s="89" t="e">
        <f>#REF!</f>
        <v>#REF!</v>
      </c>
      <c r="P19" s="90">
        <f t="shared" si="1"/>
        <v>0.8124661538461545</v>
      </c>
      <c r="Q19" s="6">
        <f>I19*Q2</f>
        <v>2807857.5085</v>
      </c>
      <c r="R19" s="77">
        <f t="shared" si="3"/>
        <v>443.56963090163958</v>
      </c>
      <c r="S19" s="447" t="e">
        <f t="shared" si="4"/>
        <v>#DIV/0!</v>
      </c>
      <c r="T19" s="77">
        <f t="shared" si="5"/>
        <v>3.0909090909090908</v>
      </c>
      <c r="U19" s="123">
        <f t="shared" si="6"/>
        <v>90.625166666641292</v>
      </c>
      <c r="V19" s="18">
        <f t="shared" si="7"/>
        <v>2807951.2245757575</v>
      </c>
      <c r="W19" s="77" t="e">
        <f>SUM(V19/E19)/T2</f>
        <v>#DIV/0!</v>
      </c>
      <c r="X19">
        <f t="shared" si="9"/>
        <v>1584</v>
      </c>
      <c r="Y19" s="448">
        <v>106</v>
      </c>
      <c r="Z19" s="80" t="e">
        <f t="shared" si="8"/>
        <v>#DIV/0!</v>
      </c>
    </row>
    <row r="20" spans="1:26">
      <c r="A20" s="54">
        <f>Gen!B26</f>
        <v>44120</v>
      </c>
      <c r="B20" s="83">
        <v>0</v>
      </c>
      <c r="C20" s="88">
        <f>Gen!C26</f>
        <v>0.1169</v>
      </c>
      <c r="D20" s="443">
        <f t="shared" si="2"/>
        <v>9.0013000000000005</v>
      </c>
      <c r="E20" s="75"/>
      <c r="F20" s="71">
        <f>Gen!U26</f>
        <v>2740</v>
      </c>
      <c r="G20" s="86">
        <f>Gen!T26</f>
        <v>1176.97</v>
      </c>
      <c r="H20" s="86">
        <f>[1]Gen!AJ29</f>
        <v>88.289999999999992</v>
      </c>
      <c r="I20" s="86">
        <f t="shared" si="0"/>
        <v>1265.26</v>
      </c>
      <c r="J20" s="86">
        <f>[1]Gen!AT26</f>
        <v>39497.370000000032</v>
      </c>
      <c r="K20" s="70">
        <f>'Water-Meter'!E21</f>
        <v>56</v>
      </c>
      <c r="L20" s="457">
        <f>'Lpg (2)'!G25</f>
        <v>79.288000000017931</v>
      </c>
      <c r="M20" s="89" t="e">
        <f>#REF!</f>
        <v>#REF!</v>
      </c>
      <c r="N20" s="89" t="e">
        <f>#REF!</f>
        <v>#REF!</v>
      </c>
      <c r="O20" s="89" t="e">
        <f>#REF!</f>
        <v>#REF!</v>
      </c>
      <c r="P20" s="90">
        <f t="shared" si="1"/>
        <v>0.75956480769230827</v>
      </c>
      <c r="Q20" s="6">
        <f>I20*Q2</f>
        <v>2796034.8109999998</v>
      </c>
      <c r="R20" s="77">
        <f t="shared" si="3"/>
        <v>196.10206212357426</v>
      </c>
      <c r="S20" s="447" t="e">
        <f t="shared" si="4"/>
        <v>#DIV/0!</v>
      </c>
      <c r="T20" s="77">
        <f t="shared" si="5"/>
        <v>3.606060606060606</v>
      </c>
      <c r="U20" s="123">
        <f t="shared" si="6"/>
        <v>98.259055555577774</v>
      </c>
      <c r="V20" s="18">
        <f t="shared" si="7"/>
        <v>2796136.6761161615</v>
      </c>
      <c r="W20" s="77" t="e">
        <f>SUM(V20/E20)/T2</f>
        <v>#DIV/0!</v>
      </c>
      <c r="X20">
        <f t="shared" si="9"/>
        <v>1584</v>
      </c>
      <c r="Y20" s="448">
        <v>106</v>
      </c>
      <c r="Z20" s="80" t="e">
        <f t="shared" si="8"/>
        <v>#DIV/0!</v>
      </c>
    </row>
    <row r="21" spans="1:26">
      <c r="A21" s="54">
        <f>Gen!B27</f>
        <v>44121</v>
      </c>
      <c r="B21" s="83">
        <v>0</v>
      </c>
      <c r="C21" s="88">
        <f>Gen!C27</f>
        <v>0.15790000000000001</v>
      </c>
      <c r="D21" s="443">
        <f t="shared" si="2"/>
        <v>12.158300000000001</v>
      </c>
      <c r="E21" s="75"/>
      <c r="F21" s="71">
        <f>Gen!U27</f>
        <v>2624</v>
      </c>
      <c r="G21" s="86">
        <f>Gen!T27</f>
        <v>997.16000000000008</v>
      </c>
      <c r="H21" s="86">
        <f>[1]Gen!AJ30</f>
        <v>783.92</v>
      </c>
      <c r="I21" s="86">
        <f t="shared" si="0"/>
        <v>1781.08</v>
      </c>
      <c r="J21" s="86">
        <f>[1]Gen!AT27</f>
        <v>36688.350000000035</v>
      </c>
      <c r="K21" s="70">
        <f>'Water-Meter'!E22</f>
        <v>71</v>
      </c>
      <c r="L21" s="457">
        <f>'Lpg (2)'!G26</f>
        <v>94.468000000005134</v>
      </c>
      <c r="M21" s="89" t="e">
        <f>#REF!</f>
        <v>#REF!</v>
      </c>
      <c r="N21" s="89" t="e">
        <f>#REF!</f>
        <v>#REF!</v>
      </c>
      <c r="O21" s="89" t="e">
        <f>#REF!</f>
        <v>#REF!</v>
      </c>
      <c r="P21" s="90">
        <f t="shared" si="1"/>
        <v>0.70554519230769297</v>
      </c>
      <c r="Q21" s="6">
        <f>I21*Q2</f>
        <v>3935919.6379999998</v>
      </c>
      <c r="R21" s="77">
        <f t="shared" si="3"/>
        <v>204.37049186667758</v>
      </c>
      <c r="S21" s="447" t="e">
        <f t="shared" si="4"/>
        <v>#DIV/0!</v>
      </c>
      <c r="T21" s="77">
        <f t="shared" si="5"/>
        <v>4.5719696969696972</v>
      </c>
      <c r="U21" s="123">
        <f t="shared" si="6"/>
        <v>117.07113888889525</v>
      </c>
      <c r="V21" s="18">
        <f t="shared" si="7"/>
        <v>3936041.2811085857</v>
      </c>
      <c r="W21" s="77" t="e">
        <f>SUM(V21/E21)/T2</f>
        <v>#DIV/0!</v>
      </c>
      <c r="X21">
        <f t="shared" si="9"/>
        <v>1584</v>
      </c>
      <c r="Y21" s="448">
        <v>106</v>
      </c>
      <c r="Z21" s="80" t="e">
        <f t="shared" si="8"/>
        <v>#DIV/0!</v>
      </c>
    </row>
    <row r="22" spans="1:26">
      <c r="A22" s="54">
        <f>Gen!B28</f>
        <v>44122</v>
      </c>
      <c r="B22" s="83">
        <v>0</v>
      </c>
      <c r="C22" s="88">
        <f>Gen!C28</f>
        <v>0.15790000000000001</v>
      </c>
      <c r="D22" s="443">
        <f t="shared" si="2"/>
        <v>12.158300000000001</v>
      </c>
      <c r="E22" s="75"/>
      <c r="F22" s="71">
        <f>Gen!U28</f>
        <v>2889</v>
      </c>
      <c r="G22" s="86">
        <f>Gen!T28</f>
        <v>1208.03</v>
      </c>
      <c r="H22" s="86" t="e">
        <f>[1]Gen!#REF!</f>
        <v>#REF!</v>
      </c>
      <c r="I22" s="86" t="e">
        <f t="shared" si="0"/>
        <v>#REF!</v>
      </c>
      <c r="J22" s="86">
        <f>[1]Gen!AT28</f>
        <v>33769.340000000033</v>
      </c>
      <c r="K22" s="70">
        <f>'Water-Meter'!E23</f>
        <v>57</v>
      </c>
      <c r="L22" s="457">
        <f>'Lpg (2)'!G27</f>
        <v>2881182.392</v>
      </c>
      <c r="M22" s="89" t="e">
        <f>#REF!</f>
        <v>#REF!</v>
      </c>
      <c r="N22" s="89" t="e">
        <f>#REF!</f>
        <v>#REF!</v>
      </c>
      <c r="O22" s="89" t="e">
        <f>#REF!</f>
        <v>#REF!</v>
      </c>
      <c r="P22" s="90">
        <f t="shared" si="1"/>
        <v>0.64941038461538525</v>
      </c>
      <c r="Q22" s="6" t="e">
        <f>I22*Q2</f>
        <v>#REF!</v>
      </c>
      <c r="R22" s="77" t="e">
        <f t="shared" si="3"/>
        <v>#REF!</v>
      </c>
      <c r="S22" s="447" t="e">
        <f t="shared" si="4"/>
        <v>#REF!</v>
      </c>
      <c r="T22" s="77">
        <f t="shared" si="5"/>
        <v>3.6704545454545454</v>
      </c>
      <c r="U22" s="123">
        <f t="shared" si="6"/>
        <v>3570556.2092777779</v>
      </c>
      <c r="V22" s="18" t="e">
        <f t="shared" si="7"/>
        <v>#REF!</v>
      </c>
      <c r="W22" s="77" t="e">
        <f>SUM(V22/E22)/T2</f>
        <v>#REF!</v>
      </c>
      <c r="X22">
        <f t="shared" si="9"/>
        <v>1584</v>
      </c>
      <c r="Y22" s="448">
        <v>106</v>
      </c>
      <c r="Z22" s="80" t="e">
        <f t="shared" si="8"/>
        <v>#REF!</v>
      </c>
    </row>
    <row r="23" spans="1:26">
      <c r="A23" s="54">
        <f>Gen!B29</f>
        <v>44123</v>
      </c>
      <c r="B23" s="83">
        <v>0</v>
      </c>
      <c r="C23" s="88">
        <f>Gen!C29</f>
        <v>0.12989999999999999</v>
      </c>
      <c r="D23" s="443">
        <f t="shared" si="2"/>
        <v>10.002299999999998</v>
      </c>
      <c r="E23" s="75"/>
      <c r="F23" s="71">
        <f>Gen!U29</f>
        <v>0</v>
      </c>
      <c r="G23" s="86">
        <f>Gen!T29</f>
        <v>0</v>
      </c>
      <c r="H23" s="86" t="e">
        <f>[1]Gen!#REF!</f>
        <v>#REF!</v>
      </c>
      <c r="I23" s="86" t="e">
        <f t="shared" si="0"/>
        <v>#REF!</v>
      </c>
      <c r="J23" s="86">
        <f>[1]Gen!AT29</f>
        <v>31336.770000000033</v>
      </c>
      <c r="K23" s="70" t="str">
        <f>'Water-Meter'!E24</f>
        <v>0</v>
      </c>
      <c r="L23" s="457">
        <f>'Lpg (2)'!G28</f>
        <v>-2881089.6840000004</v>
      </c>
      <c r="M23" s="89" t="e">
        <f>#REF!</f>
        <v>#REF!</v>
      </c>
      <c r="N23" s="89" t="e">
        <f>#REF!</f>
        <v>#REF!</v>
      </c>
      <c r="O23" s="89" t="e">
        <f>#REF!</f>
        <v>#REF!</v>
      </c>
      <c r="P23" s="90">
        <f t="shared" si="1"/>
        <v>0.60263019230769299</v>
      </c>
      <c r="Q23" s="6" t="e">
        <f>I23*Q2</f>
        <v>#REF!</v>
      </c>
      <c r="R23" s="77" t="e">
        <f t="shared" si="3"/>
        <v>#REF!</v>
      </c>
      <c r="S23" s="447" t="e">
        <f t="shared" si="4"/>
        <v>#REF!</v>
      </c>
      <c r="T23" s="77">
        <f t="shared" si="5"/>
        <v>0</v>
      </c>
      <c r="U23" s="123">
        <f t="shared" si="6"/>
        <v>-3570441.3192500002</v>
      </c>
      <c r="V23" s="18" t="e">
        <f t="shared" si="7"/>
        <v>#REF!</v>
      </c>
      <c r="W23" s="77" t="e">
        <f>SUM(V23/E23)/T2</f>
        <v>#REF!</v>
      </c>
      <c r="X23">
        <f t="shared" si="9"/>
        <v>1584</v>
      </c>
      <c r="Y23" s="448">
        <v>106</v>
      </c>
      <c r="Z23" s="80" t="e">
        <f t="shared" si="8"/>
        <v>#REF!</v>
      </c>
    </row>
    <row r="24" spans="1:26">
      <c r="A24" s="54">
        <f>Gen!B30</f>
        <v>44124</v>
      </c>
      <c r="B24" s="83">
        <v>0</v>
      </c>
      <c r="C24" s="88">
        <f>Gen!C30</f>
        <v>0</v>
      </c>
      <c r="D24" s="443">
        <f t="shared" si="2"/>
        <v>0</v>
      </c>
      <c r="E24" s="75"/>
      <c r="F24" s="71">
        <f>Gen!U30</f>
        <v>0</v>
      </c>
      <c r="G24" s="86">
        <f>Gen!T30</f>
        <v>0</v>
      </c>
      <c r="H24" s="86" t="e">
        <f>[1]Gen!#REF!</f>
        <v>#REF!</v>
      </c>
      <c r="I24" s="86" t="e">
        <f t="shared" si="0"/>
        <v>#REF!</v>
      </c>
      <c r="J24" s="86">
        <f>[1]Gen!AT30</f>
        <v>29403.300000000032</v>
      </c>
      <c r="K24" s="70">
        <f>'Water-Meter'!E25</f>
        <v>0</v>
      </c>
      <c r="L24" s="457">
        <f>'Lpg (2)'!G29</f>
        <v>-320178.71600000001</v>
      </c>
      <c r="M24" s="89" t="e">
        <f>#REF!</f>
        <v>#REF!</v>
      </c>
      <c r="N24" s="89" t="e">
        <f>#REF!</f>
        <v>#REF!</v>
      </c>
      <c r="O24" s="89" t="e">
        <f>#REF!</f>
        <v>#REF!</v>
      </c>
      <c r="P24" s="90">
        <f t="shared" si="1"/>
        <v>0.56544807692307753</v>
      </c>
      <c r="Q24" s="6" t="e">
        <f>I24*Q2</f>
        <v>#REF!</v>
      </c>
      <c r="R24" s="77" t="e">
        <f t="shared" si="3"/>
        <v>#REF!</v>
      </c>
      <c r="S24" s="447" t="e">
        <f t="shared" si="4"/>
        <v>#REF!</v>
      </c>
      <c r="T24" s="77">
        <f t="shared" si="5"/>
        <v>0</v>
      </c>
      <c r="U24" s="123">
        <f t="shared" si="6"/>
        <v>-396787.1335277778</v>
      </c>
      <c r="V24" s="18" t="e">
        <f t="shared" si="7"/>
        <v>#REF!</v>
      </c>
      <c r="W24" s="77" t="e">
        <f>SUM(V24/E24)/T2</f>
        <v>#REF!</v>
      </c>
      <c r="X24">
        <f t="shared" si="9"/>
        <v>1584</v>
      </c>
      <c r="Y24" s="448">
        <v>106</v>
      </c>
      <c r="Z24" s="80" t="e">
        <f t="shared" si="8"/>
        <v>#REF!</v>
      </c>
    </row>
    <row r="25" spans="1:26">
      <c r="A25" s="54">
        <f>Gen!B31</f>
        <v>44125</v>
      </c>
      <c r="B25" s="83">
        <v>0</v>
      </c>
      <c r="C25" s="88">
        <f>Gen!C31</f>
        <v>0</v>
      </c>
      <c r="D25" s="443">
        <f t="shared" si="2"/>
        <v>0</v>
      </c>
      <c r="E25" s="75"/>
      <c r="F25" s="71">
        <f>Gen!U31</f>
        <v>0</v>
      </c>
      <c r="G25" s="86">
        <f>Gen!T31</f>
        <v>0</v>
      </c>
      <c r="H25" s="86">
        <f>[1]Gen!AJ31</f>
        <v>172.05</v>
      </c>
      <c r="I25" s="86">
        <f t="shared" si="0"/>
        <v>172.05</v>
      </c>
      <c r="J25" s="86">
        <f>[1]Gen!AT31</f>
        <v>41422.370000000032</v>
      </c>
      <c r="K25" s="70">
        <f>'Water-Meter'!E26</f>
        <v>0</v>
      </c>
      <c r="L25" s="457">
        <f>'Lpg (2)'!G30</f>
        <v>0</v>
      </c>
      <c r="M25" s="89" t="e">
        <f>#REF!</f>
        <v>#REF!</v>
      </c>
      <c r="N25" s="89" t="e">
        <f>#REF!</f>
        <v>#REF!</v>
      </c>
      <c r="O25" s="89" t="e">
        <f>#REF!</f>
        <v>#REF!</v>
      </c>
      <c r="P25" s="90">
        <f t="shared" si="1"/>
        <v>0.79658403846153902</v>
      </c>
      <c r="Q25" s="6">
        <f>I25*Q2</f>
        <v>380204.6925</v>
      </c>
      <c r="R25" s="77" t="e">
        <f t="shared" si="3"/>
        <v>#DIV/0!</v>
      </c>
      <c r="S25" s="447" t="e">
        <f t="shared" si="4"/>
        <v>#DIV/0!</v>
      </c>
      <c r="T25" s="77">
        <f t="shared" si="5"/>
        <v>0</v>
      </c>
      <c r="U25" s="123">
        <f t="shared" si="6"/>
        <v>0</v>
      </c>
      <c r="V25" s="18">
        <f t="shared" si="7"/>
        <v>380204.6925</v>
      </c>
      <c r="W25" s="77" t="e">
        <f>SUM(V25/E25)/T2</f>
        <v>#DIV/0!</v>
      </c>
      <c r="X25">
        <f t="shared" si="9"/>
        <v>1584</v>
      </c>
      <c r="Y25" s="448">
        <v>106</v>
      </c>
      <c r="Z25" s="80" t="e">
        <f t="shared" si="8"/>
        <v>#DIV/0!</v>
      </c>
    </row>
    <row r="26" spans="1:26">
      <c r="A26" s="54">
        <f>Gen!B32</f>
        <v>44126</v>
      </c>
      <c r="B26" s="83">
        <v>0</v>
      </c>
      <c r="C26" s="88">
        <f>Gen!C32</f>
        <v>0</v>
      </c>
      <c r="D26" s="443">
        <f t="shared" si="2"/>
        <v>0</v>
      </c>
      <c r="E26" s="75"/>
      <c r="F26" s="71">
        <f>Gen!U32</f>
        <v>0</v>
      </c>
      <c r="G26" s="86">
        <f>Gen!T32</f>
        <v>0</v>
      </c>
      <c r="H26" s="86">
        <f>[1]Gen!AJ32</f>
        <v>18.63</v>
      </c>
      <c r="I26" s="86">
        <f t="shared" si="0"/>
        <v>18.63</v>
      </c>
      <c r="J26" s="86">
        <f>[1]Gen!AT32</f>
        <v>38988.160000000033</v>
      </c>
      <c r="K26" s="70">
        <f>'Water-Meter'!E27</f>
        <v>0</v>
      </c>
      <c r="L26" s="457">
        <f>'Lpg (2)'!G31</f>
        <v>0</v>
      </c>
      <c r="M26" s="89" t="e">
        <f>#REF!</f>
        <v>#REF!</v>
      </c>
      <c r="N26" s="89" t="e">
        <f>#REF!</f>
        <v>#REF!</v>
      </c>
      <c r="O26" s="89" t="e">
        <f>#REF!</f>
        <v>#REF!</v>
      </c>
      <c r="P26" s="90">
        <f t="shared" si="1"/>
        <v>0.74977230769230829</v>
      </c>
      <c r="Q26" s="6">
        <f>I26*Q2</f>
        <v>41169.505499999999</v>
      </c>
      <c r="R26" s="77" t="e">
        <f t="shared" si="3"/>
        <v>#DIV/0!</v>
      </c>
      <c r="S26" s="447" t="e">
        <f t="shared" si="4"/>
        <v>#DIV/0!</v>
      </c>
      <c r="T26" s="77">
        <f t="shared" si="5"/>
        <v>0</v>
      </c>
      <c r="U26" s="123">
        <f t="shared" si="6"/>
        <v>0</v>
      </c>
      <c r="V26" s="18">
        <f t="shared" si="7"/>
        <v>41169.505499999999</v>
      </c>
      <c r="W26" s="77" t="e">
        <f>SUM(V26/E26)/T2</f>
        <v>#DIV/0!</v>
      </c>
      <c r="X26">
        <f t="shared" si="9"/>
        <v>1584</v>
      </c>
      <c r="Y26" s="448">
        <v>106</v>
      </c>
      <c r="Z26" s="80" t="e">
        <f t="shared" si="8"/>
        <v>#DIV/0!</v>
      </c>
    </row>
    <row r="27" spans="1:26">
      <c r="A27" s="54">
        <f>Gen!B33</f>
        <v>44127</v>
      </c>
      <c r="B27" s="83">
        <v>0</v>
      </c>
      <c r="C27" s="88">
        <f>Gen!C33</f>
        <v>0</v>
      </c>
      <c r="D27" s="443">
        <f t="shared" si="2"/>
        <v>0</v>
      </c>
      <c r="E27" s="75"/>
      <c r="F27" s="71">
        <f>Gen!U33</f>
        <v>0</v>
      </c>
      <c r="G27" s="86">
        <f>Gen!T33</f>
        <v>0</v>
      </c>
      <c r="H27" s="86">
        <f>[1]Gen!AJ33</f>
        <v>311.34000000000003</v>
      </c>
      <c r="I27" s="86">
        <f t="shared" si="0"/>
        <v>311.34000000000003</v>
      </c>
      <c r="J27" s="86">
        <f>[1]Gen!AT33</f>
        <v>36682.670000000035</v>
      </c>
      <c r="K27" s="70">
        <f>'Water-Meter'!E28</f>
        <v>0</v>
      </c>
      <c r="L27" s="457">
        <f>'Lpg (2)'!G32</f>
        <v>0</v>
      </c>
      <c r="M27" s="89" t="e">
        <f>#REF!</f>
        <v>#REF!</v>
      </c>
      <c r="N27" s="89" t="e">
        <f>#REF!</f>
        <v>#REF!</v>
      </c>
      <c r="O27" s="89" t="e">
        <f>#REF!</f>
        <v>#REF!</v>
      </c>
      <c r="P27" s="90">
        <f t="shared" si="1"/>
        <v>0.70543596153846222</v>
      </c>
      <c r="Q27" s="6">
        <f>I27*Q2</f>
        <v>688014.69900000002</v>
      </c>
      <c r="R27" s="77" t="e">
        <f t="shared" si="3"/>
        <v>#DIV/0!</v>
      </c>
      <c r="S27" s="447" t="e">
        <f t="shared" si="4"/>
        <v>#DIV/0!</v>
      </c>
      <c r="T27" s="77">
        <f t="shared" si="5"/>
        <v>0</v>
      </c>
      <c r="U27" s="123">
        <f t="shared" si="6"/>
        <v>0</v>
      </c>
      <c r="V27" s="18">
        <f t="shared" si="7"/>
        <v>688014.69900000002</v>
      </c>
      <c r="W27" s="77" t="e">
        <f>SUM(V27/E27)/T2</f>
        <v>#DIV/0!</v>
      </c>
      <c r="X27">
        <f t="shared" si="9"/>
        <v>1584</v>
      </c>
      <c r="Y27" s="448">
        <v>106</v>
      </c>
      <c r="Z27" s="80" t="e">
        <f t="shared" si="8"/>
        <v>#DIV/0!</v>
      </c>
    </row>
    <row r="28" spans="1:26">
      <c r="A28" s="54">
        <f>Gen!B34</f>
        <v>44128</v>
      </c>
      <c r="B28" s="83">
        <v>0</v>
      </c>
      <c r="C28" s="88">
        <f>Gen!C34</f>
        <v>0</v>
      </c>
      <c r="D28" s="443">
        <f t="shared" si="2"/>
        <v>0</v>
      </c>
      <c r="E28" s="75"/>
      <c r="F28" s="71">
        <f>Gen!U34</f>
        <v>0</v>
      </c>
      <c r="G28" s="86">
        <f>Gen!T34</f>
        <v>0</v>
      </c>
      <c r="H28" s="86">
        <f>[1]Gen!AJ34</f>
        <v>380.7</v>
      </c>
      <c r="I28" s="86">
        <f t="shared" si="0"/>
        <v>380.7</v>
      </c>
      <c r="J28" s="86">
        <f>[1]Gen!AT34</f>
        <v>44223.030000000035</v>
      </c>
      <c r="K28" s="70">
        <f>'Water-Meter'!E29</f>
        <v>0</v>
      </c>
      <c r="L28" s="457">
        <f>'Lpg (2)'!G33</f>
        <v>0</v>
      </c>
      <c r="M28" s="89" t="e">
        <f>#REF!</f>
        <v>#REF!</v>
      </c>
      <c r="N28" s="89" t="e">
        <f>#REF!</f>
        <v>#REF!</v>
      </c>
      <c r="O28" s="89" t="e">
        <f>#REF!</f>
        <v>#REF!</v>
      </c>
      <c r="P28" s="90">
        <f t="shared" si="1"/>
        <v>0.85044288461538531</v>
      </c>
      <c r="Q28" s="6">
        <f>I28*Q2</f>
        <v>841289.8949999999</v>
      </c>
      <c r="R28" s="77" t="e">
        <f t="shared" si="3"/>
        <v>#DIV/0!</v>
      </c>
      <c r="S28" s="447" t="e">
        <f t="shared" si="4"/>
        <v>#DIV/0!</v>
      </c>
      <c r="T28" s="77">
        <f t="shared" si="5"/>
        <v>0</v>
      </c>
      <c r="U28" s="123">
        <f t="shared" si="6"/>
        <v>0</v>
      </c>
      <c r="V28" s="18">
        <f t="shared" si="7"/>
        <v>841289.8949999999</v>
      </c>
      <c r="W28" s="77" t="e">
        <f>SUM(V28/E28)/T2</f>
        <v>#DIV/0!</v>
      </c>
      <c r="X28">
        <f t="shared" si="9"/>
        <v>1584</v>
      </c>
      <c r="Y28" s="448">
        <v>106</v>
      </c>
      <c r="Z28" s="80" t="e">
        <f t="shared" si="8"/>
        <v>#DIV/0!</v>
      </c>
    </row>
    <row r="29" spans="1:26">
      <c r="A29" s="54">
        <f>Gen!B35</f>
        <v>44129</v>
      </c>
      <c r="B29" s="83">
        <v>0</v>
      </c>
      <c r="C29" s="88">
        <f>Gen!C35</f>
        <v>0</v>
      </c>
      <c r="D29" s="443">
        <f t="shared" si="2"/>
        <v>0</v>
      </c>
      <c r="E29" s="75"/>
      <c r="F29" s="71">
        <f>Gen!U35</f>
        <v>0</v>
      </c>
      <c r="G29" s="86">
        <f>Gen!T35</f>
        <v>0</v>
      </c>
      <c r="H29" s="86">
        <f>[1]Gen!AJ35</f>
        <v>273.37</v>
      </c>
      <c r="I29" s="86">
        <f t="shared" si="0"/>
        <v>273.37</v>
      </c>
      <c r="J29" s="86">
        <f>[1]Gen!AT35</f>
        <v>41629.060000000034</v>
      </c>
      <c r="K29" s="70">
        <f>'Water-Meter'!E30</f>
        <v>0</v>
      </c>
      <c r="L29" s="457">
        <f>'Lpg (2)'!G34</f>
        <v>0</v>
      </c>
      <c r="M29" s="89" t="e">
        <f>#REF!</f>
        <v>#REF!</v>
      </c>
      <c r="N29" s="89" t="e">
        <f>#REF!</f>
        <v>#REF!</v>
      </c>
      <c r="O29" s="89" t="e">
        <f>#REF!</f>
        <v>#REF!</v>
      </c>
      <c r="P29" s="90">
        <f t="shared" si="1"/>
        <v>0.80055884615384676</v>
      </c>
      <c r="Q29" s="6">
        <f>I29*Q2</f>
        <v>604106.69449999998</v>
      </c>
      <c r="R29" s="77" t="e">
        <f t="shared" si="3"/>
        <v>#DIV/0!</v>
      </c>
      <c r="S29" s="447" t="e">
        <f t="shared" si="4"/>
        <v>#DIV/0!</v>
      </c>
      <c r="T29" s="77">
        <f t="shared" si="5"/>
        <v>0</v>
      </c>
      <c r="U29" s="123">
        <f t="shared" si="6"/>
        <v>0</v>
      </c>
      <c r="V29" s="18">
        <f t="shared" si="7"/>
        <v>604106.69449999998</v>
      </c>
      <c r="W29" s="77" t="e">
        <f>SUM(V29/E29)/T2</f>
        <v>#DIV/0!</v>
      </c>
      <c r="X29">
        <f t="shared" si="9"/>
        <v>1584</v>
      </c>
      <c r="Y29" s="448">
        <v>106</v>
      </c>
      <c r="Z29" s="80" t="e">
        <f t="shared" si="8"/>
        <v>#DIV/0!</v>
      </c>
    </row>
    <row r="30" spans="1:26">
      <c r="A30" s="54">
        <f>Gen!B36</f>
        <v>44130</v>
      </c>
      <c r="B30" s="83">
        <v>0</v>
      </c>
      <c r="C30" s="88">
        <f>Gen!C36</f>
        <v>0</v>
      </c>
      <c r="D30" s="443">
        <f t="shared" si="2"/>
        <v>0</v>
      </c>
      <c r="E30" s="75"/>
      <c r="F30" s="71">
        <f>Gen!U36</f>
        <v>0</v>
      </c>
      <c r="G30" s="86">
        <f>Gen!T36</f>
        <v>0</v>
      </c>
      <c r="H30" s="86">
        <f>[1]Gen!AJ36</f>
        <v>396.56</v>
      </c>
      <c r="I30" s="86">
        <f t="shared" si="0"/>
        <v>396.56</v>
      </c>
      <c r="J30" s="86">
        <f>[1]Gen!AT36</f>
        <v>39251.170000000035</v>
      </c>
      <c r="K30" s="70">
        <f>'Water-Meter'!E31</f>
        <v>0</v>
      </c>
      <c r="L30" s="457">
        <f>'Lpg (2)'!G35</f>
        <v>0</v>
      </c>
      <c r="M30" s="89" t="e">
        <f>#REF!</f>
        <v>#REF!</v>
      </c>
      <c r="N30" s="89" t="e">
        <f>#REF!</f>
        <v>#REF!</v>
      </c>
      <c r="O30" s="89" t="e">
        <f>#REF!</f>
        <v>#REF!</v>
      </c>
      <c r="P30" s="90">
        <f t="shared" si="1"/>
        <v>0.75483019230769299</v>
      </c>
      <c r="Q30" s="6">
        <f>I30*Q2</f>
        <v>876338.11599999992</v>
      </c>
      <c r="R30" s="77" t="e">
        <f t="shared" si="3"/>
        <v>#DIV/0!</v>
      </c>
      <c r="S30" s="447" t="e">
        <f t="shared" si="4"/>
        <v>#DIV/0!</v>
      </c>
      <c r="T30" s="77">
        <f t="shared" si="5"/>
        <v>0</v>
      </c>
      <c r="U30" s="123">
        <f t="shared" si="6"/>
        <v>0</v>
      </c>
      <c r="V30" s="18">
        <f t="shared" si="7"/>
        <v>876338.11599999992</v>
      </c>
      <c r="W30" s="77" t="e">
        <f>SUM(V30/E30)/T2</f>
        <v>#DIV/0!</v>
      </c>
      <c r="X30">
        <f t="shared" si="9"/>
        <v>1584</v>
      </c>
      <c r="Y30" s="448">
        <v>106</v>
      </c>
      <c r="Z30" s="80" t="e">
        <f t="shared" si="8"/>
        <v>#DIV/0!</v>
      </c>
    </row>
    <row r="31" spans="1:26">
      <c r="A31" s="54">
        <f>Gen!B37</f>
        <v>44131</v>
      </c>
      <c r="B31" s="83">
        <v>0</v>
      </c>
      <c r="C31" s="88">
        <f>Gen!C37</f>
        <v>0</v>
      </c>
      <c r="D31" s="443">
        <f t="shared" si="2"/>
        <v>0</v>
      </c>
      <c r="E31" s="75"/>
      <c r="F31" s="71">
        <f>Gen!U37</f>
        <v>0</v>
      </c>
      <c r="G31" s="86">
        <f>Gen!T37</f>
        <v>0</v>
      </c>
      <c r="H31" s="86">
        <f>[1]Gen!AJ37</f>
        <v>280.63</v>
      </c>
      <c r="I31" s="86">
        <f t="shared" si="0"/>
        <v>280.63</v>
      </c>
      <c r="J31" s="86">
        <f>[1]Gen!AT37</f>
        <v>36384.370000000032</v>
      </c>
      <c r="K31" s="70">
        <f>'Water-Meter'!E32</f>
        <v>0</v>
      </c>
      <c r="L31" s="457">
        <f>'Lpg (2)'!G36</f>
        <v>0</v>
      </c>
      <c r="M31" s="89" t="e">
        <f>#REF!</f>
        <v>#REF!</v>
      </c>
      <c r="N31" s="89" t="e">
        <f>#REF!</f>
        <v>#REF!</v>
      </c>
      <c r="O31" s="89" t="e">
        <f>#REF!</f>
        <v>#REF!</v>
      </c>
      <c r="P31" s="90">
        <f t="shared" si="1"/>
        <v>0.69969942307692368</v>
      </c>
      <c r="Q31" s="6">
        <f>I31*Q2</f>
        <v>620150.20549999992</v>
      </c>
      <c r="R31" s="77" t="e">
        <f t="shared" si="3"/>
        <v>#DIV/0!</v>
      </c>
      <c r="S31" s="447" t="e">
        <f t="shared" si="4"/>
        <v>#DIV/0!</v>
      </c>
      <c r="T31" s="77">
        <f t="shared" si="5"/>
        <v>0</v>
      </c>
      <c r="U31" s="123">
        <f t="shared" si="6"/>
        <v>0</v>
      </c>
      <c r="V31" s="18">
        <f t="shared" si="7"/>
        <v>620150.20549999992</v>
      </c>
      <c r="W31" s="77" t="e">
        <f>SUM(V31/E31)/T2</f>
        <v>#DIV/0!</v>
      </c>
      <c r="X31">
        <f t="shared" si="9"/>
        <v>1584</v>
      </c>
      <c r="Y31" s="448">
        <v>106</v>
      </c>
      <c r="Z31" s="80" t="e">
        <f t="shared" si="8"/>
        <v>#DIV/0!</v>
      </c>
    </row>
    <row r="32" spans="1:26">
      <c r="A32" s="54">
        <f>Gen!B38</f>
        <v>44132</v>
      </c>
      <c r="B32" s="83">
        <v>0</v>
      </c>
      <c r="C32" s="88">
        <f>Gen!C38</f>
        <v>0</v>
      </c>
      <c r="D32" s="443">
        <f t="shared" si="2"/>
        <v>0</v>
      </c>
      <c r="E32" s="75"/>
      <c r="F32" s="71">
        <f>Gen!U38</f>
        <v>0</v>
      </c>
      <c r="G32" s="86">
        <f>Gen!T38</f>
        <v>0</v>
      </c>
      <c r="H32" s="86">
        <f>[1]Gen!AJ38</f>
        <v>0</v>
      </c>
      <c r="I32" s="86">
        <f t="shared" si="0"/>
        <v>0</v>
      </c>
      <c r="J32" s="86">
        <f>[1]Gen!AT38</f>
        <v>33780.000000000029</v>
      </c>
      <c r="K32" s="70">
        <f>'Water-Meter'!E33</f>
        <v>0</v>
      </c>
      <c r="L32" s="457">
        <f>'Lpg (2)'!G37</f>
        <v>0</v>
      </c>
      <c r="M32" s="89" t="e">
        <f>#REF!</f>
        <v>#REF!</v>
      </c>
      <c r="N32" s="89" t="e">
        <f>#REF!</f>
        <v>#REF!</v>
      </c>
      <c r="O32" s="89" t="e">
        <f>#REF!</f>
        <v>#REF!</v>
      </c>
      <c r="P32" s="90">
        <f t="shared" si="1"/>
        <v>0.64961538461538515</v>
      </c>
      <c r="Q32" s="6">
        <f>I32*Q2</f>
        <v>0</v>
      </c>
      <c r="R32" s="77" t="e">
        <f t="shared" si="3"/>
        <v>#DIV/0!</v>
      </c>
      <c r="S32" s="447" t="e">
        <f t="shared" si="4"/>
        <v>#DIV/0!</v>
      </c>
      <c r="T32" s="77">
        <f t="shared" si="5"/>
        <v>0</v>
      </c>
      <c r="U32" s="123">
        <f t="shared" si="6"/>
        <v>0</v>
      </c>
      <c r="V32" s="18">
        <f t="shared" si="7"/>
        <v>0</v>
      </c>
      <c r="W32" s="77" t="e">
        <f>SUM(V32/E32)/T2</f>
        <v>#DIV/0!</v>
      </c>
      <c r="X32">
        <f t="shared" si="9"/>
        <v>1584</v>
      </c>
      <c r="Y32" s="448">
        <v>106</v>
      </c>
      <c r="Z32" s="80" t="e">
        <f t="shared" si="8"/>
        <v>#DIV/0!</v>
      </c>
    </row>
    <row r="33" spans="1:26">
      <c r="A33" s="54">
        <f>Gen!B39</f>
        <v>44133</v>
      </c>
      <c r="B33" s="83">
        <v>0</v>
      </c>
      <c r="C33" s="88">
        <f>Gen!C39</f>
        <v>0</v>
      </c>
      <c r="D33" s="443">
        <f t="shared" si="2"/>
        <v>0</v>
      </c>
      <c r="E33" s="75"/>
      <c r="F33" s="71">
        <f>Gen!U39</f>
        <v>0</v>
      </c>
      <c r="G33" s="86">
        <f>Gen!T39</f>
        <v>0</v>
      </c>
      <c r="H33" s="86">
        <f>[1]Gen!AJ39</f>
        <v>0</v>
      </c>
      <c r="I33" s="86">
        <f t="shared" si="0"/>
        <v>0</v>
      </c>
      <c r="J33" s="86">
        <f>[1]Gen!AT39</f>
        <v>33780.000000000029</v>
      </c>
      <c r="K33" s="70">
        <f>'Water-Meter'!E34</f>
        <v>0</v>
      </c>
      <c r="L33" s="457">
        <f>'Lpg (2)'!G38</f>
        <v>0</v>
      </c>
      <c r="M33" s="89" t="e">
        <f>#REF!</f>
        <v>#REF!</v>
      </c>
      <c r="N33" s="89" t="e">
        <f>#REF!</f>
        <v>#REF!</v>
      </c>
      <c r="O33" s="89" t="e">
        <f>#REF!</f>
        <v>#REF!</v>
      </c>
      <c r="P33" s="90">
        <f t="shared" si="1"/>
        <v>0.64961538461538515</v>
      </c>
      <c r="Q33" s="6">
        <f>I33*Q2</f>
        <v>0</v>
      </c>
      <c r="R33" s="77" t="e">
        <f t="shared" si="3"/>
        <v>#DIV/0!</v>
      </c>
      <c r="S33" s="447" t="e">
        <f t="shared" si="4"/>
        <v>#DIV/0!</v>
      </c>
      <c r="T33" s="77">
        <f t="shared" si="5"/>
        <v>0</v>
      </c>
      <c r="U33" s="123">
        <f t="shared" si="6"/>
        <v>0</v>
      </c>
      <c r="V33" s="18">
        <f t="shared" si="7"/>
        <v>0</v>
      </c>
      <c r="W33" s="77" t="e">
        <f>SUM(V33/E33)/T2</f>
        <v>#DIV/0!</v>
      </c>
      <c r="X33">
        <f t="shared" si="9"/>
        <v>1584</v>
      </c>
      <c r="Y33" s="448">
        <v>106</v>
      </c>
      <c r="Z33" s="80" t="e">
        <f t="shared" si="8"/>
        <v>#DIV/0!</v>
      </c>
    </row>
    <row r="34" spans="1:26">
      <c r="A34" s="54">
        <f>Gen!B40</f>
        <v>44134</v>
      </c>
      <c r="B34" s="83">
        <v>0</v>
      </c>
      <c r="C34" s="88">
        <f>Gen!C40</f>
        <v>0</v>
      </c>
      <c r="D34" s="443">
        <f t="shared" si="2"/>
        <v>0</v>
      </c>
      <c r="E34" s="75"/>
      <c r="F34" s="71">
        <f>Gen!U40</f>
        <v>0</v>
      </c>
      <c r="G34" s="86">
        <f>Gen!T40</f>
        <v>0</v>
      </c>
      <c r="H34" s="86">
        <f>[1]Gen!AJ40</f>
        <v>0</v>
      </c>
      <c r="I34" s="86">
        <f t="shared" si="0"/>
        <v>0</v>
      </c>
      <c r="J34" s="86">
        <f>[1]Gen!AT40</f>
        <v>33780.000000000029</v>
      </c>
      <c r="K34" s="70">
        <f>'Water-Meter'!E35</f>
        <v>0</v>
      </c>
      <c r="L34" s="457">
        <f>'Lpg (2)'!G39</f>
        <v>0</v>
      </c>
      <c r="M34" s="89" t="e">
        <f>#REF!</f>
        <v>#REF!</v>
      </c>
      <c r="N34" s="89" t="e">
        <f>#REF!</f>
        <v>#REF!</v>
      </c>
      <c r="O34" s="89" t="e">
        <f>#REF!</f>
        <v>#REF!</v>
      </c>
      <c r="P34" s="90">
        <f t="shared" si="1"/>
        <v>0.64961538461538515</v>
      </c>
      <c r="Q34" s="6">
        <f>I34*Q2</f>
        <v>0</v>
      </c>
      <c r="R34" s="77" t="e">
        <f t="shared" si="3"/>
        <v>#DIV/0!</v>
      </c>
      <c r="S34" s="447" t="e">
        <f t="shared" si="4"/>
        <v>#DIV/0!</v>
      </c>
      <c r="T34" s="77">
        <f t="shared" si="5"/>
        <v>0</v>
      </c>
      <c r="U34" s="123">
        <f t="shared" si="6"/>
        <v>0</v>
      </c>
      <c r="V34" s="18">
        <f t="shared" si="7"/>
        <v>0</v>
      </c>
      <c r="W34" s="77" t="e">
        <f>SUM(V34/E34)/T2</f>
        <v>#DIV/0!</v>
      </c>
      <c r="X34">
        <f t="shared" si="9"/>
        <v>1584</v>
      </c>
      <c r="Y34" s="448">
        <v>106</v>
      </c>
      <c r="Z34" s="80" t="e">
        <f t="shared" si="8"/>
        <v>#DIV/0!</v>
      </c>
    </row>
    <row r="35" spans="1:26">
      <c r="A35" s="54">
        <f>Gen!B41</f>
        <v>44135</v>
      </c>
      <c r="B35" s="83">
        <v>0</v>
      </c>
      <c r="C35" s="88">
        <f>Gen!C41</f>
        <v>0</v>
      </c>
      <c r="D35" s="443">
        <f t="shared" si="2"/>
        <v>0</v>
      </c>
      <c r="E35" s="75"/>
      <c r="F35" s="71">
        <f>Gen!U41</f>
        <v>0</v>
      </c>
      <c r="G35" s="86">
        <f>Gen!T41</f>
        <v>0</v>
      </c>
      <c r="H35" s="86">
        <f>[1]Gen!AJ41</f>
        <v>0</v>
      </c>
      <c r="I35" s="86">
        <f t="shared" si="0"/>
        <v>0</v>
      </c>
      <c r="J35" s="86">
        <f>[1]Gen!AT41</f>
        <v>33780.000000000029</v>
      </c>
      <c r="K35" s="70">
        <f>'Water-Meter'!E36</f>
        <v>0</v>
      </c>
      <c r="L35" s="457">
        <f>'Lpg (2)'!G40</f>
        <v>0</v>
      </c>
      <c r="M35" s="89" t="e">
        <f>#REF!</f>
        <v>#REF!</v>
      </c>
      <c r="N35" s="89" t="e">
        <f>#REF!</f>
        <v>#REF!</v>
      </c>
      <c r="O35" s="89" t="e">
        <f>#REF!</f>
        <v>#REF!</v>
      </c>
      <c r="P35" s="90">
        <f t="shared" si="1"/>
        <v>0.64961538461538515</v>
      </c>
      <c r="Q35" s="6">
        <f>I35*Q2</f>
        <v>0</v>
      </c>
      <c r="R35" s="77" t="e">
        <f t="shared" si="3"/>
        <v>#DIV/0!</v>
      </c>
      <c r="S35" s="447" t="e">
        <f t="shared" si="4"/>
        <v>#DIV/0!</v>
      </c>
      <c r="T35" s="77">
        <f t="shared" si="5"/>
        <v>0</v>
      </c>
      <c r="U35" s="123">
        <f t="shared" si="6"/>
        <v>0</v>
      </c>
      <c r="V35" s="18">
        <f t="shared" si="7"/>
        <v>0</v>
      </c>
      <c r="W35" s="77" t="e">
        <f>SUM(V35/E35)/T2</f>
        <v>#DIV/0!</v>
      </c>
      <c r="X35">
        <f t="shared" si="9"/>
        <v>1584</v>
      </c>
      <c r="Y35" s="448">
        <v>106</v>
      </c>
      <c r="Z35" s="80" t="e">
        <f t="shared" si="8"/>
        <v>#DIV/0!</v>
      </c>
    </row>
    <row r="36" spans="1:26" ht="13.5" thickBot="1">
      <c r="A36" s="55"/>
      <c r="B36" s="82"/>
      <c r="C36" s="72"/>
      <c r="D36" s="85"/>
      <c r="E36" s="8"/>
      <c r="F36" s="72"/>
      <c r="G36" s="87"/>
      <c r="H36" s="87"/>
      <c r="I36" s="87"/>
      <c r="J36" s="87"/>
      <c r="K36" s="70">
        <f>'Water-Meter'!E37</f>
        <v>0</v>
      </c>
      <c r="L36" s="69"/>
      <c r="M36" s="87"/>
      <c r="N36" s="87"/>
      <c r="O36" s="87"/>
      <c r="P36" s="87"/>
      <c r="Q36" s="6">
        <f>I36*2057.79</f>
        <v>0</v>
      </c>
      <c r="R36" s="76"/>
      <c r="S36" s="76"/>
      <c r="T36" s="122"/>
      <c r="U36" s="124"/>
      <c r="V36" s="18">
        <f t="shared" si="7"/>
        <v>0</v>
      </c>
      <c r="W36" s="122"/>
    </row>
    <row r="37" spans="1:26">
      <c r="K37" s="70">
        <f>'Water-Meter'!E38</f>
        <v>981</v>
      </c>
      <c r="S37" s="80" t="e">
        <f>SUM(S5:S16)/[1]Gen!A47</f>
        <v>#REF!</v>
      </c>
    </row>
    <row r="38" spans="1:26">
      <c r="B38" s="84" t="e">
        <f>SUM(B5:B37)/[1]Gen!A47</f>
        <v>#REF!</v>
      </c>
      <c r="M38">
        <f>0.5*2057.79</f>
        <v>1028.895</v>
      </c>
    </row>
    <row r="39" spans="1:26">
      <c r="B39" s="84" t="e">
        <f>SUM(B38*[1]Gen!A47)</f>
        <v>#REF!</v>
      </c>
      <c r="C39" s="84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0" t="e">
        <f>SUM(S37-Y35)</f>
        <v>#REF!</v>
      </c>
    </row>
    <row r="40" spans="1:26">
      <c r="P40">
        <f>P39/K5</f>
        <v>3018.4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5"/>
  <sheetViews>
    <sheetView workbookViewId="0">
      <selection activeCell="M13" sqref="M13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50" t="s">
        <v>180</v>
      </c>
      <c r="B1" s="951"/>
      <c r="C1" s="951"/>
      <c r="D1" s="951"/>
      <c r="E1" s="951"/>
      <c r="F1" s="951"/>
      <c r="G1" s="952"/>
    </row>
    <row r="2" spans="1:7" ht="13.5" thickBot="1">
      <c r="A2" s="302"/>
      <c r="B2" s="953" t="s">
        <v>175</v>
      </c>
      <c r="C2" s="954"/>
      <c r="D2" s="955"/>
      <c r="E2" s="953" t="s">
        <v>176</v>
      </c>
      <c r="F2" s="954"/>
      <c r="G2" s="955"/>
    </row>
    <row r="3" spans="1:7" ht="40.5" customHeight="1">
      <c r="A3" s="321" t="s">
        <v>7</v>
      </c>
      <c r="B3" s="322" t="s">
        <v>177</v>
      </c>
      <c r="C3" s="322" t="s">
        <v>178</v>
      </c>
      <c r="D3" s="322" t="s">
        <v>179</v>
      </c>
      <c r="E3" s="322" t="s">
        <v>177</v>
      </c>
      <c r="F3" s="322" t="s">
        <v>178</v>
      </c>
      <c r="G3" s="323" t="s">
        <v>179</v>
      </c>
    </row>
    <row r="4" spans="1:7">
      <c r="A4" s="241">
        <v>43101</v>
      </c>
      <c r="B4" s="489">
        <v>46071</v>
      </c>
      <c r="C4" s="243">
        <v>48188</v>
      </c>
      <c r="D4" s="324">
        <v>2117</v>
      </c>
      <c r="E4" s="325">
        <v>216654</v>
      </c>
      <c r="F4" s="271">
        <v>218779</v>
      </c>
      <c r="G4" s="265">
        <v>2125</v>
      </c>
    </row>
    <row r="5" spans="1:7">
      <c r="A5" s="241">
        <v>43132</v>
      </c>
      <c r="B5" s="489">
        <f t="shared" ref="B5:B63" si="0">C4</f>
        <v>48188</v>
      </c>
      <c r="C5" s="243">
        <v>50066</v>
      </c>
      <c r="D5" s="324">
        <f t="shared" ref="D5:D63" si="1">C5-B5</f>
        <v>1878</v>
      </c>
      <c r="E5" s="325">
        <f t="shared" ref="E5:E63" si="2">F4</f>
        <v>218779</v>
      </c>
      <c r="F5" s="271">
        <v>220744</v>
      </c>
      <c r="G5" s="265">
        <f t="shared" ref="G5:G63" si="3">F5-E5</f>
        <v>1965</v>
      </c>
    </row>
    <row r="6" spans="1:7">
      <c r="A6" s="241">
        <v>43160</v>
      </c>
      <c r="B6" s="489">
        <f t="shared" si="0"/>
        <v>50066</v>
      </c>
      <c r="C6" s="243">
        <v>51916</v>
      </c>
      <c r="D6" s="324">
        <f t="shared" si="1"/>
        <v>1850</v>
      </c>
      <c r="E6" s="325">
        <f t="shared" si="2"/>
        <v>220744</v>
      </c>
      <c r="F6" s="271">
        <v>222873</v>
      </c>
      <c r="G6" s="265">
        <f t="shared" si="3"/>
        <v>2129</v>
      </c>
    </row>
    <row r="7" spans="1:7">
      <c r="A7" s="241">
        <v>43191</v>
      </c>
      <c r="B7" s="489">
        <f t="shared" si="0"/>
        <v>51916</v>
      </c>
      <c r="C7" s="243">
        <v>53641</v>
      </c>
      <c r="D7" s="324">
        <f t="shared" si="1"/>
        <v>1725</v>
      </c>
      <c r="E7" s="325">
        <f t="shared" si="2"/>
        <v>222873</v>
      </c>
      <c r="F7" s="271">
        <v>224922</v>
      </c>
      <c r="G7" s="265">
        <f t="shared" si="3"/>
        <v>2049</v>
      </c>
    </row>
    <row r="8" spans="1:7">
      <c r="A8" s="241">
        <v>43221</v>
      </c>
      <c r="B8" s="489">
        <f t="shared" si="0"/>
        <v>53641</v>
      </c>
      <c r="C8" s="243">
        <v>55409</v>
      </c>
      <c r="D8" s="324">
        <f t="shared" si="1"/>
        <v>1768</v>
      </c>
      <c r="E8" s="325">
        <f t="shared" si="2"/>
        <v>224922</v>
      </c>
      <c r="F8" s="271">
        <v>227063</v>
      </c>
      <c r="G8" s="265">
        <f t="shared" si="3"/>
        <v>2141</v>
      </c>
    </row>
    <row r="9" spans="1:7">
      <c r="A9" s="241">
        <v>43252</v>
      </c>
      <c r="B9" s="489">
        <f t="shared" si="0"/>
        <v>55409</v>
      </c>
      <c r="C9" s="243">
        <v>57396</v>
      </c>
      <c r="D9" s="324">
        <f t="shared" si="1"/>
        <v>1987</v>
      </c>
      <c r="E9" s="325">
        <f t="shared" si="2"/>
        <v>227063</v>
      </c>
      <c r="F9" s="271">
        <v>229163</v>
      </c>
      <c r="G9" s="265">
        <f t="shared" si="3"/>
        <v>2100</v>
      </c>
    </row>
    <row r="10" spans="1:7">
      <c r="A10" s="241">
        <v>43282</v>
      </c>
      <c r="B10" s="489">
        <f t="shared" si="0"/>
        <v>57396</v>
      </c>
      <c r="C10" s="243">
        <v>59391</v>
      </c>
      <c r="D10" s="324">
        <f t="shared" si="1"/>
        <v>1995</v>
      </c>
      <c r="E10" s="325">
        <f t="shared" si="2"/>
        <v>229163</v>
      </c>
      <c r="F10" s="271">
        <v>231359</v>
      </c>
      <c r="G10" s="265">
        <f t="shared" si="3"/>
        <v>2196</v>
      </c>
    </row>
    <row r="11" spans="1:7">
      <c r="A11" s="241">
        <v>43313</v>
      </c>
      <c r="B11" s="489">
        <f t="shared" si="0"/>
        <v>59391</v>
      </c>
      <c r="C11" s="243">
        <v>61427</v>
      </c>
      <c r="D11" s="324">
        <f t="shared" si="1"/>
        <v>2036</v>
      </c>
      <c r="E11" s="325">
        <f t="shared" si="2"/>
        <v>231359</v>
      </c>
      <c r="F11" s="271">
        <v>233548</v>
      </c>
      <c r="G11" s="265">
        <f t="shared" si="3"/>
        <v>2189</v>
      </c>
    </row>
    <row r="12" spans="1:7">
      <c r="A12" s="241">
        <v>43344</v>
      </c>
      <c r="B12" s="489">
        <f t="shared" si="0"/>
        <v>61427</v>
      </c>
      <c r="C12" s="243">
        <v>63464</v>
      </c>
      <c r="D12" s="324">
        <f t="shared" si="1"/>
        <v>2037</v>
      </c>
      <c r="E12" s="325">
        <f t="shared" si="2"/>
        <v>233548</v>
      </c>
      <c r="F12" s="271">
        <v>235653</v>
      </c>
      <c r="G12" s="265">
        <f t="shared" si="3"/>
        <v>2105</v>
      </c>
    </row>
    <row r="13" spans="1:7">
      <c r="A13" s="241">
        <v>43374</v>
      </c>
      <c r="B13" s="489">
        <f t="shared" si="0"/>
        <v>63464</v>
      </c>
      <c r="C13" s="243">
        <v>65577</v>
      </c>
      <c r="D13" s="324">
        <f t="shared" si="1"/>
        <v>2113</v>
      </c>
      <c r="E13" s="325">
        <f t="shared" si="2"/>
        <v>235653</v>
      </c>
      <c r="F13" s="271">
        <v>237802</v>
      </c>
      <c r="G13" s="265">
        <f t="shared" si="3"/>
        <v>2149</v>
      </c>
    </row>
    <row r="14" spans="1:7">
      <c r="A14" s="241">
        <v>43405</v>
      </c>
      <c r="B14" s="489">
        <f t="shared" si="0"/>
        <v>65577</v>
      </c>
      <c r="C14" s="243">
        <v>67714</v>
      </c>
      <c r="D14" s="324">
        <f t="shared" si="1"/>
        <v>2137</v>
      </c>
      <c r="E14" s="325">
        <f t="shared" si="2"/>
        <v>237802</v>
      </c>
      <c r="F14" s="271">
        <v>239883</v>
      </c>
      <c r="G14" s="265">
        <f t="shared" si="3"/>
        <v>2081</v>
      </c>
    </row>
    <row r="15" spans="1:7">
      <c r="A15" s="241">
        <v>43435</v>
      </c>
      <c r="B15" s="489">
        <f t="shared" si="0"/>
        <v>67714</v>
      </c>
      <c r="C15" s="243">
        <v>69886</v>
      </c>
      <c r="D15" s="324">
        <f t="shared" si="1"/>
        <v>2172</v>
      </c>
      <c r="E15" s="325">
        <f t="shared" si="2"/>
        <v>239883</v>
      </c>
      <c r="F15" s="271">
        <v>242023</v>
      </c>
      <c r="G15" s="265">
        <f t="shared" si="3"/>
        <v>2140</v>
      </c>
    </row>
    <row r="16" spans="1:7">
      <c r="A16" s="241">
        <v>43466</v>
      </c>
      <c r="B16" s="489">
        <f t="shared" si="0"/>
        <v>69886</v>
      </c>
      <c r="C16" s="243">
        <v>72120</v>
      </c>
      <c r="D16" s="324">
        <f t="shared" si="1"/>
        <v>2234</v>
      </c>
      <c r="E16" s="325">
        <f t="shared" si="2"/>
        <v>242023</v>
      </c>
      <c r="F16" s="271">
        <v>244252</v>
      </c>
      <c r="G16" s="265">
        <f t="shared" si="3"/>
        <v>2229</v>
      </c>
    </row>
    <row r="17" spans="1:7">
      <c r="A17" s="241">
        <v>43497</v>
      </c>
      <c r="B17" s="489">
        <f t="shared" si="0"/>
        <v>72120</v>
      </c>
      <c r="C17" s="243">
        <v>74132</v>
      </c>
      <c r="D17" s="324">
        <f t="shared" si="1"/>
        <v>2012</v>
      </c>
      <c r="E17" s="325">
        <f t="shared" si="2"/>
        <v>244252</v>
      </c>
      <c r="F17" s="271">
        <v>246272</v>
      </c>
      <c r="G17" s="265">
        <f t="shared" si="3"/>
        <v>2020</v>
      </c>
    </row>
    <row r="18" spans="1:7">
      <c r="A18" s="241">
        <v>43525</v>
      </c>
      <c r="B18" s="489">
        <f t="shared" si="0"/>
        <v>74132</v>
      </c>
      <c r="C18" s="243">
        <v>76130</v>
      </c>
      <c r="D18" s="324">
        <f t="shared" si="1"/>
        <v>1998</v>
      </c>
      <c r="E18" s="325">
        <f t="shared" si="2"/>
        <v>246272</v>
      </c>
      <c r="F18" s="271">
        <v>248562</v>
      </c>
      <c r="G18" s="265">
        <f t="shared" si="3"/>
        <v>2290</v>
      </c>
    </row>
    <row r="19" spans="1:7">
      <c r="A19" s="241">
        <v>43556</v>
      </c>
      <c r="B19" s="489">
        <f t="shared" si="0"/>
        <v>76130</v>
      </c>
      <c r="C19" s="243">
        <v>77859</v>
      </c>
      <c r="D19" s="324">
        <f t="shared" si="1"/>
        <v>1729</v>
      </c>
      <c r="E19" s="325">
        <f t="shared" si="2"/>
        <v>248562</v>
      </c>
      <c r="F19" s="271">
        <v>250789</v>
      </c>
      <c r="G19" s="265">
        <f t="shared" si="3"/>
        <v>2227</v>
      </c>
    </row>
    <row r="20" spans="1:7">
      <c r="A20" s="241">
        <v>43586</v>
      </c>
      <c r="B20" s="489">
        <f t="shared" si="0"/>
        <v>77859</v>
      </c>
      <c r="C20" s="243">
        <v>79636</v>
      </c>
      <c r="D20" s="324">
        <f t="shared" si="1"/>
        <v>1777</v>
      </c>
      <c r="E20" s="325">
        <f t="shared" si="2"/>
        <v>250789</v>
      </c>
      <c r="F20" s="271">
        <v>252878</v>
      </c>
      <c r="G20" s="265">
        <f t="shared" si="3"/>
        <v>2089</v>
      </c>
    </row>
    <row r="21" spans="1:7">
      <c r="A21" s="241">
        <v>43617</v>
      </c>
      <c r="B21" s="489">
        <f t="shared" si="0"/>
        <v>79636</v>
      </c>
      <c r="C21" s="243">
        <v>81603</v>
      </c>
      <c r="D21" s="324">
        <f t="shared" si="1"/>
        <v>1967</v>
      </c>
      <c r="E21" s="325">
        <f t="shared" si="2"/>
        <v>252878</v>
      </c>
      <c r="F21" s="271">
        <v>254783</v>
      </c>
      <c r="G21" s="265">
        <f t="shared" si="3"/>
        <v>1905</v>
      </c>
    </row>
    <row r="22" spans="1:7">
      <c r="A22" s="241">
        <v>43647</v>
      </c>
      <c r="B22" s="489">
        <f t="shared" si="0"/>
        <v>81603</v>
      </c>
      <c r="C22" s="243">
        <v>83511</v>
      </c>
      <c r="D22" s="324">
        <f t="shared" si="1"/>
        <v>1908</v>
      </c>
      <c r="E22" s="325">
        <f t="shared" si="2"/>
        <v>254783</v>
      </c>
      <c r="F22" s="243">
        <v>257138</v>
      </c>
      <c r="G22" s="265">
        <f t="shared" si="3"/>
        <v>2355</v>
      </c>
    </row>
    <row r="23" spans="1:7">
      <c r="A23" s="241">
        <v>43678</v>
      </c>
      <c r="B23" s="489">
        <f t="shared" si="0"/>
        <v>83511</v>
      </c>
      <c r="C23" s="243">
        <v>85418</v>
      </c>
      <c r="D23" s="324">
        <f t="shared" si="1"/>
        <v>1907</v>
      </c>
      <c r="E23" s="325">
        <f t="shared" si="2"/>
        <v>257138</v>
      </c>
      <c r="F23" s="243">
        <v>259453</v>
      </c>
      <c r="G23" s="265">
        <f t="shared" si="3"/>
        <v>2315</v>
      </c>
    </row>
    <row r="24" spans="1:7">
      <c r="A24" s="241">
        <v>43709</v>
      </c>
      <c r="B24" s="489">
        <f t="shared" si="0"/>
        <v>85418</v>
      </c>
      <c r="C24" s="243">
        <v>87262</v>
      </c>
      <c r="D24" s="324">
        <f t="shared" si="1"/>
        <v>1844</v>
      </c>
      <c r="E24" s="325">
        <f t="shared" si="2"/>
        <v>259453</v>
      </c>
      <c r="F24" s="243">
        <v>261652</v>
      </c>
      <c r="G24" s="265">
        <f t="shared" si="3"/>
        <v>2199</v>
      </c>
    </row>
    <row r="25" spans="1:7">
      <c r="A25" s="241">
        <v>43739</v>
      </c>
      <c r="B25" s="489">
        <f t="shared" si="0"/>
        <v>87262</v>
      </c>
      <c r="C25" s="243">
        <v>89489</v>
      </c>
      <c r="D25" s="324">
        <f t="shared" si="1"/>
        <v>2227</v>
      </c>
      <c r="E25" s="325">
        <f t="shared" si="2"/>
        <v>261652</v>
      </c>
      <c r="F25" s="243">
        <v>263905</v>
      </c>
      <c r="G25" s="265">
        <f t="shared" si="3"/>
        <v>2253</v>
      </c>
    </row>
    <row r="26" spans="1:7">
      <c r="A26" s="241">
        <v>43770</v>
      </c>
      <c r="B26" s="489">
        <f t="shared" si="0"/>
        <v>89489</v>
      </c>
      <c r="C26" s="243">
        <v>91615</v>
      </c>
      <c r="D26" s="324">
        <f t="shared" si="1"/>
        <v>2126</v>
      </c>
      <c r="E26" s="325">
        <f t="shared" si="2"/>
        <v>263905</v>
      </c>
      <c r="F26" s="243">
        <v>265969</v>
      </c>
      <c r="G26" s="265">
        <f t="shared" si="3"/>
        <v>2064</v>
      </c>
    </row>
    <row r="27" spans="1:7">
      <c r="A27" s="241">
        <v>43800</v>
      </c>
      <c r="B27" s="489">
        <f t="shared" si="0"/>
        <v>91615</v>
      </c>
      <c r="C27" s="243">
        <v>93828</v>
      </c>
      <c r="D27" s="324">
        <f t="shared" si="1"/>
        <v>2213</v>
      </c>
      <c r="E27" s="325">
        <f t="shared" si="2"/>
        <v>265969</v>
      </c>
      <c r="F27" s="243">
        <v>268212</v>
      </c>
      <c r="G27" s="265">
        <f t="shared" si="3"/>
        <v>2243</v>
      </c>
    </row>
    <row r="28" spans="1:7">
      <c r="A28" s="241">
        <v>43831</v>
      </c>
      <c r="B28" s="489">
        <f t="shared" si="0"/>
        <v>93828</v>
      </c>
      <c r="C28" s="243">
        <v>95998</v>
      </c>
      <c r="D28" s="324">
        <f t="shared" si="1"/>
        <v>2170</v>
      </c>
      <c r="E28" s="325">
        <f t="shared" si="2"/>
        <v>268212</v>
      </c>
      <c r="F28" s="243">
        <v>270443</v>
      </c>
      <c r="G28" s="265">
        <f t="shared" si="3"/>
        <v>2231</v>
      </c>
    </row>
    <row r="29" spans="1:7">
      <c r="A29" s="241">
        <v>43862</v>
      </c>
      <c r="B29" s="489">
        <f t="shared" si="0"/>
        <v>95998</v>
      </c>
      <c r="C29" s="243">
        <v>98070</v>
      </c>
      <c r="D29" s="324">
        <f t="shared" si="1"/>
        <v>2072</v>
      </c>
      <c r="E29" s="325">
        <f t="shared" si="2"/>
        <v>270443</v>
      </c>
      <c r="F29" s="243">
        <v>272554</v>
      </c>
      <c r="G29" s="265">
        <f t="shared" si="3"/>
        <v>2111</v>
      </c>
    </row>
    <row r="30" spans="1:7">
      <c r="A30" s="241">
        <v>43891</v>
      </c>
      <c r="B30" s="489">
        <f t="shared" si="0"/>
        <v>98070</v>
      </c>
      <c r="C30" s="243">
        <v>100381</v>
      </c>
      <c r="D30" s="324">
        <f t="shared" si="1"/>
        <v>2311</v>
      </c>
      <c r="E30" s="325">
        <f t="shared" si="2"/>
        <v>272554</v>
      </c>
      <c r="F30" s="243">
        <v>274788</v>
      </c>
      <c r="G30" s="265">
        <f t="shared" si="3"/>
        <v>2234</v>
      </c>
    </row>
    <row r="31" spans="1:7">
      <c r="A31" s="241">
        <v>43922</v>
      </c>
      <c r="B31" s="489">
        <f t="shared" si="0"/>
        <v>100381</v>
      </c>
      <c r="C31" s="243">
        <v>102607</v>
      </c>
      <c r="D31" s="324">
        <f t="shared" si="1"/>
        <v>2226</v>
      </c>
      <c r="E31" s="325">
        <f t="shared" si="2"/>
        <v>274788</v>
      </c>
      <c r="F31" s="243">
        <v>276874</v>
      </c>
      <c r="G31" s="265">
        <f t="shared" si="3"/>
        <v>2086</v>
      </c>
    </row>
    <row r="32" spans="1:7">
      <c r="A32" s="241">
        <v>43952</v>
      </c>
      <c r="B32" s="489">
        <f t="shared" si="0"/>
        <v>102607</v>
      </c>
      <c r="C32" s="243">
        <v>104898</v>
      </c>
      <c r="D32" s="324">
        <f t="shared" si="1"/>
        <v>2291</v>
      </c>
      <c r="E32" s="325">
        <f t="shared" si="2"/>
        <v>276874</v>
      </c>
      <c r="F32" s="243">
        <v>279093</v>
      </c>
      <c r="G32" s="265">
        <f t="shared" si="3"/>
        <v>2219</v>
      </c>
    </row>
    <row r="33" spans="1:7">
      <c r="A33" s="241">
        <v>43983</v>
      </c>
      <c r="B33" s="489">
        <f t="shared" si="0"/>
        <v>104898</v>
      </c>
      <c r="C33" s="243">
        <v>107117</v>
      </c>
      <c r="D33" s="324">
        <f t="shared" si="1"/>
        <v>2219</v>
      </c>
      <c r="E33" s="325">
        <f t="shared" si="2"/>
        <v>279093</v>
      </c>
      <c r="F33" s="243">
        <v>281240</v>
      </c>
      <c r="G33" s="265">
        <f t="shared" si="3"/>
        <v>2147</v>
      </c>
    </row>
    <row r="34" spans="1:7">
      <c r="A34" s="241">
        <v>44013</v>
      </c>
      <c r="B34" s="489">
        <f t="shared" si="0"/>
        <v>107117</v>
      </c>
      <c r="C34" s="243">
        <v>109400</v>
      </c>
      <c r="D34" s="324">
        <f t="shared" si="1"/>
        <v>2283</v>
      </c>
      <c r="E34" s="325">
        <f t="shared" si="2"/>
        <v>281240</v>
      </c>
      <c r="F34" s="243">
        <v>283452</v>
      </c>
      <c r="G34" s="265">
        <f t="shared" si="3"/>
        <v>2212</v>
      </c>
    </row>
    <row r="35" spans="1:7">
      <c r="A35" s="241">
        <v>44044</v>
      </c>
      <c r="B35" s="489">
        <f t="shared" si="0"/>
        <v>109400</v>
      </c>
      <c r="C35" s="243">
        <v>111576</v>
      </c>
      <c r="D35" s="324">
        <f t="shared" si="1"/>
        <v>2176</v>
      </c>
      <c r="E35" s="325">
        <f t="shared" si="2"/>
        <v>283452</v>
      </c>
      <c r="F35" s="243">
        <v>285683</v>
      </c>
      <c r="G35" s="265">
        <f t="shared" si="3"/>
        <v>2231</v>
      </c>
    </row>
    <row r="36" spans="1:7">
      <c r="A36" s="241">
        <v>44075</v>
      </c>
      <c r="B36" s="489">
        <f t="shared" si="0"/>
        <v>111576</v>
      </c>
      <c r="C36" s="243">
        <v>113681</v>
      </c>
      <c r="D36" s="324">
        <f t="shared" si="1"/>
        <v>2105</v>
      </c>
      <c r="E36" s="325">
        <f t="shared" si="2"/>
        <v>285683</v>
      </c>
      <c r="F36" s="243">
        <v>287829</v>
      </c>
      <c r="G36" s="265">
        <f t="shared" si="3"/>
        <v>2146</v>
      </c>
    </row>
    <row r="37" spans="1:7">
      <c r="A37" s="241">
        <v>44105</v>
      </c>
      <c r="B37" s="489">
        <f t="shared" si="0"/>
        <v>113681</v>
      </c>
      <c r="C37" s="243"/>
      <c r="D37" s="324">
        <f t="shared" si="1"/>
        <v>-113681</v>
      </c>
      <c r="E37" s="325">
        <f t="shared" si="2"/>
        <v>287829</v>
      </c>
      <c r="F37" s="243"/>
      <c r="G37" s="265">
        <f t="shared" si="3"/>
        <v>-287829</v>
      </c>
    </row>
    <row r="38" spans="1:7">
      <c r="A38" s="241">
        <v>44136</v>
      </c>
      <c r="B38" s="489">
        <f t="shared" si="0"/>
        <v>0</v>
      </c>
      <c r="C38" s="243"/>
      <c r="D38" s="324">
        <f t="shared" si="1"/>
        <v>0</v>
      </c>
      <c r="E38" s="325">
        <f t="shared" si="2"/>
        <v>0</v>
      </c>
      <c r="F38" s="243"/>
      <c r="G38" s="265">
        <f t="shared" si="3"/>
        <v>0</v>
      </c>
    </row>
    <row r="39" spans="1:7">
      <c r="A39" s="241">
        <v>44166</v>
      </c>
      <c r="B39" s="489">
        <f t="shared" si="0"/>
        <v>0</v>
      </c>
      <c r="C39" s="243"/>
      <c r="D39" s="324">
        <f t="shared" si="1"/>
        <v>0</v>
      </c>
      <c r="E39" s="325">
        <f t="shared" si="2"/>
        <v>0</v>
      </c>
      <c r="F39" s="243"/>
      <c r="G39" s="265">
        <f t="shared" si="3"/>
        <v>0</v>
      </c>
    </row>
    <row r="40" spans="1:7">
      <c r="A40" s="241">
        <v>44197</v>
      </c>
      <c r="B40" s="489">
        <f t="shared" si="0"/>
        <v>0</v>
      </c>
      <c r="C40" s="243"/>
      <c r="D40" s="324">
        <f t="shared" si="1"/>
        <v>0</v>
      </c>
      <c r="E40" s="325">
        <f t="shared" si="2"/>
        <v>0</v>
      </c>
      <c r="F40" s="243"/>
      <c r="G40" s="265">
        <f t="shared" si="3"/>
        <v>0</v>
      </c>
    </row>
    <row r="41" spans="1:7">
      <c r="A41" s="241">
        <v>44228</v>
      </c>
      <c r="B41" s="489">
        <f t="shared" si="0"/>
        <v>0</v>
      </c>
      <c r="C41" s="243"/>
      <c r="D41" s="324">
        <f t="shared" si="1"/>
        <v>0</v>
      </c>
      <c r="E41" s="325">
        <f t="shared" si="2"/>
        <v>0</v>
      </c>
      <c r="F41" s="243"/>
      <c r="G41" s="265">
        <f t="shared" si="3"/>
        <v>0</v>
      </c>
    </row>
    <row r="42" spans="1:7">
      <c r="A42" s="241">
        <v>44256</v>
      </c>
      <c r="B42" s="489">
        <f t="shared" si="0"/>
        <v>0</v>
      </c>
      <c r="C42" s="243"/>
      <c r="D42" s="324">
        <f t="shared" si="1"/>
        <v>0</v>
      </c>
      <c r="E42" s="325">
        <f t="shared" si="2"/>
        <v>0</v>
      </c>
      <c r="F42" s="243"/>
      <c r="G42" s="265">
        <f t="shared" si="3"/>
        <v>0</v>
      </c>
    </row>
    <row r="43" spans="1:7">
      <c r="A43" s="241">
        <v>44287</v>
      </c>
      <c r="B43" s="489">
        <f t="shared" si="0"/>
        <v>0</v>
      </c>
      <c r="C43" s="243"/>
      <c r="D43" s="324">
        <f t="shared" si="1"/>
        <v>0</v>
      </c>
      <c r="E43" s="325">
        <f t="shared" si="2"/>
        <v>0</v>
      </c>
      <c r="F43" s="243"/>
      <c r="G43" s="265">
        <f t="shared" si="3"/>
        <v>0</v>
      </c>
    </row>
    <row r="44" spans="1:7">
      <c r="A44" s="241">
        <v>44317</v>
      </c>
      <c r="B44" s="489">
        <f t="shared" si="0"/>
        <v>0</v>
      </c>
      <c r="C44" s="243"/>
      <c r="D44" s="324">
        <f t="shared" si="1"/>
        <v>0</v>
      </c>
      <c r="E44" s="325">
        <f t="shared" si="2"/>
        <v>0</v>
      </c>
      <c r="F44" s="243"/>
      <c r="G44" s="265">
        <f t="shared" si="3"/>
        <v>0</v>
      </c>
    </row>
    <row r="45" spans="1:7">
      <c r="A45" s="241">
        <v>44348</v>
      </c>
      <c r="B45" s="489">
        <f t="shared" si="0"/>
        <v>0</v>
      </c>
      <c r="C45" s="243"/>
      <c r="D45" s="324">
        <f t="shared" si="1"/>
        <v>0</v>
      </c>
      <c r="E45" s="325">
        <f t="shared" si="2"/>
        <v>0</v>
      </c>
      <c r="F45" s="243"/>
      <c r="G45" s="265">
        <f t="shared" si="3"/>
        <v>0</v>
      </c>
    </row>
    <row r="46" spans="1:7">
      <c r="A46" s="241">
        <v>44378</v>
      </c>
      <c r="B46" s="489">
        <f t="shared" si="0"/>
        <v>0</v>
      </c>
      <c r="C46" s="243"/>
      <c r="D46" s="324">
        <f t="shared" si="1"/>
        <v>0</v>
      </c>
      <c r="E46" s="325">
        <f t="shared" si="2"/>
        <v>0</v>
      </c>
      <c r="F46" s="243"/>
      <c r="G46" s="265">
        <f t="shared" si="3"/>
        <v>0</v>
      </c>
    </row>
    <row r="47" spans="1:7">
      <c r="A47" s="241">
        <v>44409</v>
      </c>
      <c r="B47" s="489">
        <f t="shared" si="0"/>
        <v>0</v>
      </c>
      <c r="C47" s="243"/>
      <c r="D47" s="324">
        <f t="shared" si="1"/>
        <v>0</v>
      </c>
      <c r="E47" s="325">
        <f t="shared" si="2"/>
        <v>0</v>
      </c>
      <c r="F47" s="243"/>
      <c r="G47" s="265">
        <f t="shared" si="3"/>
        <v>0</v>
      </c>
    </row>
    <row r="48" spans="1:7">
      <c r="A48" s="241">
        <v>44440</v>
      </c>
      <c r="B48" s="489">
        <f t="shared" si="0"/>
        <v>0</v>
      </c>
      <c r="C48" s="243"/>
      <c r="D48" s="324">
        <f t="shared" si="1"/>
        <v>0</v>
      </c>
      <c r="E48" s="325">
        <f t="shared" si="2"/>
        <v>0</v>
      </c>
      <c r="F48" s="243"/>
      <c r="G48" s="265">
        <f t="shared" si="3"/>
        <v>0</v>
      </c>
    </row>
    <row r="49" spans="1:7">
      <c r="A49" s="241">
        <v>44470</v>
      </c>
      <c r="B49" s="489">
        <f t="shared" si="0"/>
        <v>0</v>
      </c>
      <c r="C49" s="243"/>
      <c r="D49" s="324">
        <f t="shared" si="1"/>
        <v>0</v>
      </c>
      <c r="E49" s="325">
        <f t="shared" si="2"/>
        <v>0</v>
      </c>
      <c r="F49" s="6"/>
      <c r="G49" s="265">
        <f t="shared" si="3"/>
        <v>0</v>
      </c>
    </row>
    <row r="50" spans="1:7">
      <c r="A50" s="241">
        <v>44501</v>
      </c>
      <c r="B50" s="489">
        <f t="shared" si="0"/>
        <v>0</v>
      </c>
      <c r="C50" s="243"/>
      <c r="D50" s="324">
        <f t="shared" si="1"/>
        <v>0</v>
      </c>
      <c r="E50" s="325">
        <f t="shared" si="2"/>
        <v>0</v>
      </c>
      <c r="F50" s="6"/>
      <c r="G50" s="265">
        <f t="shared" si="3"/>
        <v>0</v>
      </c>
    </row>
    <row r="51" spans="1:7">
      <c r="A51" s="241">
        <v>44531</v>
      </c>
      <c r="B51" s="489">
        <f t="shared" si="0"/>
        <v>0</v>
      </c>
      <c r="C51" s="243"/>
      <c r="D51" s="324">
        <f t="shared" si="1"/>
        <v>0</v>
      </c>
      <c r="E51" s="325">
        <f t="shared" si="2"/>
        <v>0</v>
      </c>
      <c r="F51" s="6"/>
      <c r="G51" s="265">
        <f t="shared" si="3"/>
        <v>0</v>
      </c>
    </row>
    <row r="52" spans="1:7">
      <c r="A52" s="241">
        <v>44562</v>
      </c>
      <c r="B52" s="489">
        <f t="shared" si="0"/>
        <v>0</v>
      </c>
      <c r="C52" s="243"/>
      <c r="D52" s="324">
        <f t="shared" si="1"/>
        <v>0</v>
      </c>
      <c r="E52" s="325">
        <f t="shared" si="2"/>
        <v>0</v>
      </c>
      <c r="F52" s="6"/>
      <c r="G52" s="265">
        <f t="shared" si="3"/>
        <v>0</v>
      </c>
    </row>
    <row r="53" spans="1:7">
      <c r="A53" s="241">
        <v>44593</v>
      </c>
      <c r="B53" s="489">
        <f t="shared" si="0"/>
        <v>0</v>
      </c>
      <c r="C53" s="6"/>
      <c r="D53" s="324">
        <f t="shared" si="1"/>
        <v>0</v>
      </c>
      <c r="E53" s="325">
        <f t="shared" si="2"/>
        <v>0</v>
      </c>
      <c r="F53" s="6"/>
      <c r="G53" s="265">
        <f t="shared" si="3"/>
        <v>0</v>
      </c>
    </row>
    <row r="54" spans="1:7">
      <c r="A54" s="241">
        <v>44621</v>
      </c>
      <c r="B54" s="489">
        <f t="shared" si="0"/>
        <v>0</v>
      </c>
      <c r="C54" s="6"/>
      <c r="D54" s="324">
        <f t="shared" si="1"/>
        <v>0</v>
      </c>
      <c r="E54" s="325">
        <f t="shared" si="2"/>
        <v>0</v>
      </c>
      <c r="F54" s="6"/>
      <c r="G54" s="265">
        <f t="shared" si="3"/>
        <v>0</v>
      </c>
    </row>
    <row r="55" spans="1:7">
      <c r="A55" s="241">
        <v>44652</v>
      </c>
      <c r="B55" s="489">
        <f t="shared" si="0"/>
        <v>0</v>
      </c>
      <c r="C55" s="6"/>
      <c r="D55" s="324">
        <f t="shared" si="1"/>
        <v>0</v>
      </c>
      <c r="E55" s="325">
        <f t="shared" si="2"/>
        <v>0</v>
      </c>
      <c r="F55" s="6"/>
      <c r="G55" s="265">
        <f t="shared" si="3"/>
        <v>0</v>
      </c>
    </row>
    <row r="56" spans="1:7">
      <c r="A56" s="241">
        <v>44682</v>
      </c>
      <c r="B56" s="489">
        <f t="shared" si="0"/>
        <v>0</v>
      </c>
      <c r="C56" s="6"/>
      <c r="D56" s="324">
        <f t="shared" si="1"/>
        <v>0</v>
      </c>
      <c r="E56" s="325">
        <f t="shared" si="2"/>
        <v>0</v>
      </c>
      <c r="F56" s="6"/>
      <c r="G56" s="265">
        <f t="shared" si="3"/>
        <v>0</v>
      </c>
    </row>
    <row r="57" spans="1:7">
      <c r="A57" s="241">
        <v>44713</v>
      </c>
      <c r="B57" s="489">
        <f t="shared" si="0"/>
        <v>0</v>
      </c>
      <c r="C57" s="6"/>
      <c r="D57" s="324">
        <f t="shared" si="1"/>
        <v>0</v>
      </c>
      <c r="E57" s="325">
        <f t="shared" si="2"/>
        <v>0</v>
      </c>
      <c r="F57" s="6"/>
      <c r="G57" s="265">
        <f t="shared" si="3"/>
        <v>0</v>
      </c>
    </row>
    <row r="58" spans="1:7">
      <c r="A58" s="241">
        <v>44743</v>
      </c>
      <c r="B58" s="489">
        <f t="shared" si="0"/>
        <v>0</v>
      </c>
      <c r="C58" s="6"/>
      <c r="D58" s="324">
        <f t="shared" si="1"/>
        <v>0</v>
      </c>
      <c r="E58" s="325">
        <f t="shared" si="2"/>
        <v>0</v>
      </c>
      <c r="F58" s="6"/>
      <c r="G58" s="265">
        <f t="shared" si="3"/>
        <v>0</v>
      </c>
    </row>
    <row r="59" spans="1:7">
      <c r="A59" s="241">
        <v>44774</v>
      </c>
      <c r="B59" s="489">
        <f t="shared" si="0"/>
        <v>0</v>
      </c>
      <c r="C59" s="6"/>
      <c r="D59" s="324">
        <f t="shared" si="1"/>
        <v>0</v>
      </c>
      <c r="E59" s="325">
        <f t="shared" si="2"/>
        <v>0</v>
      </c>
      <c r="F59" s="6"/>
      <c r="G59" s="265">
        <f t="shared" si="3"/>
        <v>0</v>
      </c>
    </row>
    <row r="60" spans="1:7">
      <c r="A60" s="241">
        <v>44805</v>
      </c>
      <c r="B60" s="489">
        <f t="shared" si="0"/>
        <v>0</v>
      </c>
      <c r="C60" s="6"/>
      <c r="D60" s="324">
        <f t="shared" si="1"/>
        <v>0</v>
      </c>
      <c r="E60" s="325">
        <f t="shared" si="2"/>
        <v>0</v>
      </c>
      <c r="F60" s="6"/>
      <c r="G60" s="265">
        <f t="shared" si="3"/>
        <v>0</v>
      </c>
    </row>
    <row r="61" spans="1:7">
      <c r="A61" s="241">
        <v>44835</v>
      </c>
      <c r="B61" s="489">
        <f t="shared" si="0"/>
        <v>0</v>
      </c>
      <c r="C61" s="6"/>
      <c r="D61" s="324">
        <f t="shared" si="1"/>
        <v>0</v>
      </c>
      <c r="E61" s="325">
        <f t="shared" si="2"/>
        <v>0</v>
      </c>
      <c r="F61" s="6"/>
      <c r="G61" s="265">
        <f t="shared" si="3"/>
        <v>0</v>
      </c>
    </row>
    <row r="62" spans="1:7">
      <c r="A62" s="241">
        <v>44866</v>
      </c>
      <c r="B62" s="489">
        <f t="shared" si="0"/>
        <v>0</v>
      </c>
      <c r="C62" s="6"/>
      <c r="D62" s="324">
        <f t="shared" si="1"/>
        <v>0</v>
      </c>
      <c r="E62" s="325">
        <f t="shared" si="2"/>
        <v>0</v>
      </c>
      <c r="F62" s="6"/>
      <c r="G62" s="265">
        <f t="shared" si="3"/>
        <v>0</v>
      </c>
    </row>
    <row r="63" spans="1:7">
      <c r="A63" s="241">
        <v>44896</v>
      </c>
      <c r="B63" s="489">
        <f t="shared" si="0"/>
        <v>0</v>
      </c>
      <c r="C63" s="6"/>
      <c r="D63" s="324">
        <f t="shared" si="1"/>
        <v>0</v>
      </c>
      <c r="E63" s="325">
        <f t="shared" si="2"/>
        <v>0</v>
      </c>
      <c r="F63" s="6"/>
      <c r="G63" s="265">
        <f t="shared" si="3"/>
        <v>0</v>
      </c>
    </row>
    <row r="64" spans="1:7">
      <c r="A64" s="241">
        <v>44562</v>
      </c>
      <c r="B64" s="489">
        <f t="shared" ref="B64:B75" si="4">C63</f>
        <v>0</v>
      </c>
      <c r="C64" s="243"/>
      <c r="D64" s="324">
        <f t="shared" ref="D64:D75" si="5">C64-B64</f>
        <v>0</v>
      </c>
      <c r="E64" s="325">
        <f t="shared" ref="E64:E75" si="6">F63</f>
        <v>0</v>
      </c>
      <c r="F64" s="6"/>
      <c r="G64" s="265">
        <f t="shared" ref="G64:G75" si="7">F64-E64</f>
        <v>0</v>
      </c>
    </row>
    <row r="65" spans="1:7">
      <c r="A65" s="241">
        <v>44593</v>
      </c>
      <c r="B65" s="489">
        <f t="shared" si="4"/>
        <v>0</v>
      </c>
      <c r="C65" s="6"/>
      <c r="D65" s="324">
        <f t="shared" si="5"/>
        <v>0</v>
      </c>
      <c r="E65" s="325">
        <f t="shared" si="6"/>
        <v>0</v>
      </c>
      <c r="F65" s="6"/>
      <c r="G65" s="265">
        <f t="shared" si="7"/>
        <v>0</v>
      </c>
    </row>
    <row r="66" spans="1:7">
      <c r="A66" s="241">
        <v>44621</v>
      </c>
      <c r="B66" s="489">
        <f t="shared" si="4"/>
        <v>0</v>
      </c>
      <c r="C66" s="6"/>
      <c r="D66" s="324">
        <f t="shared" si="5"/>
        <v>0</v>
      </c>
      <c r="E66" s="325">
        <f t="shared" si="6"/>
        <v>0</v>
      </c>
      <c r="F66" s="6"/>
      <c r="G66" s="265">
        <f t="shared" si="7"/>
        <v>0</v>
      </c>
    </row>
    <row r="67" spans="1:7">
      <c r="A67" s="241">
        <v>44652</v>
      </c>
      <c r="B67" s="489">
        <f t="shared" si="4"/>
        <v>0</v>
      </c>
      <c r="C67" s="6"/>
      <c r="D67" s="324">
        <f t="shared" si="5"/>
        <v>0</v>
      </c>
      <c r="E67" s="325">
        <f t="shared" si="6"/>
        <v>0</v>
      </c>
      <c r="F67" s="6"/>
      <c r="G67" s="265">
        <f t="shared" si="7"/>
        <v>0</v>
      </c>
    </row>
    <row r="68" spans="1:7">
      <c r="A68" s="241">
        <v>44682</v>
      </c>
      <c r="B68" s="489">
        <f t="shared" si="4"/>
        <v>0</v>
      </c>
      <c r="C68" s="6"/>
      <c r="D68" s="324">
        <f t="shared" si="5"/>
        <v>0</v>
      </c>
      <c r="E68" s="325">
        <f t="shared" si="6"/>
        <v>0</v>
      </c>
      <c r="F68" s="6"/>
      <c r="G68" s="265">
        <f t="shared" si="7"/>
        <v>0</v>
      </c>
    </row>
    <row r="69" spans="1:7">
      <c r="A69" s="241">
        <v>44713</v>
      </c>
      <c r="B69" s="489">
        <f t="shared" si="4"/>
        <v>0</v>
      </c>
      <c r="C69" s="6"/>
      <c r="D69" s="324">
        <f t="shared" si="5"/>
        <v>0</v>
      </c>
      <c r="E69" s="325">
        <f t="shared" si="6"/>
        <v>0</v>
      </c>
      <c r="F69" s="6"/>
      <c r="G69" s="265">
        <f t="shared" si="7"/>
        <v>0</v>
      </c>
    </row>
    <row r="70" spans="1:7">
      <c r="A70" s="241">
        <v>44743</v>
      </c>
      <c r="B70" s="489">
        <f t="shared" si="4"/>
        <v>0</v>
      </c>
      <c r="C70" s="6"/>
      <c r="D70" s="324">
        <f t="shared" si="5"/>
        <v>0</v>
      </c>
      <c r="E70" s="325">
        <f t="shared" si="6"/>
        <v>0</v>
      </c>
      <c r="F70" s="6"/>
      <c r="G70" s="265">
        <f t="shared" si="7"/>
        <v>0</v>
      </c>
    </row>
    <row r="71" spans="1:7">
      <c r="A71" s="241">
        <v>44774</v>
      </c>
      <c r="B71" s="489">
        <f t="shared" si="4"/>
        <v>0</v>
      </c>
      <c r="C71" s="6"/>
      <c r="D71" s="324">
        <f t="shared" si="5"/>
        <v>0</v>
      </c>
      <c r="E71" s="325">
        <f t="shared" si="6"/>
        <v>0</v>
      </c>
      <c r="F71" s="6"/>
      <c r="G71" s="265">
        <f t="shared" si="7"/>
        <v>0</v>
      </c>
    </row>
    <row r="72" spans="1:7">
      <c r="A72" s="241">
        <v>44805</v>
      </c>
      <c r="B72" s="489">
        <f t="shared" si="4"/>
        <v>0</v>
      </c>
      <c r="C72" s="6"/>
      <c r="D72" s="324">
        <f t="shared" si="5"/>
        <v>0</v>
      </c>
      <c r="E72" s="325">
        <f t="shared" si="6"/>
        <v>0</v>
      </c>
      <c r="F72" s="6"/>
      <c r="G72" s="265">
        <f t="shared" si="7"/>
        <v>0</v>
      </c>
    </row>
    <row r="73" spans="1:7">
      <c r="A73" s="241">
        <v>44835</v>
      </c>
      <c r="B73" s="489">
        <f t="shared" si="4"/>
        <v>0</v>
      </c>
      <c r="C73" s="6"/>
      <c r="D73" s="324">
        <f t="shared" si="5"/>
        <v>0</v>
      </c>
      <c r="E73" s="325">
        <f t="shared" si="6"/>
        <v>0</v>
      </c>
      <c r="F73" s="6"/>
      <c r="G73" s="265">
        <f t="shared" si="7"/>
        <v>0</v>
      </c>
    </row>
    <row r="74" spans="1:7">
      <c r="A74" s="241">
        <v>44866</v>
      </c>
      <c r="B74" s="489">
        <f t="shared" si="4"/>
        <v>0</v>
      </c>
      <c r="C74" s="6"/>
      <c r="D74" s="324">
        <f t="shared" si="5"/>
        <v>0</v>
      </c>
      <c r="E74" s="325">
        <f t="shared" si="6"/>
        <v>0</v>
      </c>
      <c r="F74" s="6"/>
      <c r="G74" s="265">
        <f t="shared" si="7"/>
        <v>0</v>
      </c>
    </row>
    <row r="75" spans="1:7">
      <c r="A75" s="241">
        <v>44896</v>
      </c>
      <c r="B75" s="489">
        <f t="shared" si="4"/>
        <v>0</v>
      </c>
      <c r="C75" s="6"/>
      <c r="D75" s="324">
        <f t="shared" si="5"/>
        <v>0</v>
      </c>
      <c r="E75" s="325">
        <f t="shared" si="6"/>
        <v>0</v>
      </c>
      <c r="F75" s="6"/>
      <c r="G75" s="265">
        <f t="shared" si="7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topLeftCell="A25" workbookViewId="0">
      <selection activeCell="E39" sqref="E39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50" t="s">
        <v>230</v>
      </c>
      <c r="B1" s="951"/>
      <c r="C1" s="951"/>
      <c r="D1" s="951"/>
      <c r="G1" s="275"/>
      <c r="H1" s="276" t="s">
        <v>231</v>
      </c>
      <c r="I1" s="276"/>
      <c r="J1" s="275"/>
      <c r="K1" s="275"/>
    </row>
    <row r="2" spans="1:12" ht="39" thickBot="1">
      <c r="A2" s="490" t="s">
        <v>7</v>
      </c>
      <c r="B2" s="491" t="s">
        <v>177</v>
      </c>
      <c r="C2" s="491" t="s">
        <v>178</v>
      </c>
      <c r="D2" s="492" t="s">
        <v>194</v>
      </c>
      <c r="E2" s="492" t="s">
        <v>236</v>
      </c>
      <c r="F2" s="493" t="s">
        <v>214</v>
      </c>
      <c r="G2" s="494" t="s">
        <v>232</v>
      </c>
      <c r="H2" s="495" t="s">
        <v>233</v>
      </c>
      <c r="I2" s="496" t="s">
        <v>234</v>
      </c>
      <c r="J2" s="495" t="s">
        <v>235</v>
      </c>
      <c r="K2" s="495" t="s">
        <v>214</v>
      </c>
      <c r="L2" s="497" t="s">
        <v>195</v>
      </c>
    </row>
    <row r="3" spans="1:12">
      <c r="A3" s="241">
        <v>43101</v>
      </c>
      <c r="B3" s="317">
        <v>6476953</v>
      </c>
      <c r="C3" s="243">
        <v>6542879</v>
      </c>
      <c r="D3" s="399">
        <v>65926</v>
      </c>
      <c r="E3" s="243">
        <v>65927.77</v>
      </c>
      <c r="F3" s="498">
        <v>-1.7700000000040745</v>
      </c>
      <c r="G3" s="499">
        <v>52890</v>
      </c>
      <c r="H3" s="243">
        <v>59763</v>
      </c>
      <c r="I3" s="270">
        <v>6873</v>
      </c>
      <c r="J3" s="243">
        <v>6874.87</v>
      </c>
      <c r="K3" s="277">
        <v>-1.8699999999998909</v>
      </c>
      <c r="L3" s="500">
        <v>72799</v>
      </c>
    </row>
    <row r="4" spans="1:12">
      <c r="A4" s="241">
        <v>43132</v>
      </c>
      <c r="B4" s="317">
        <f t="shared" ref="B4:B62" si="0">C3</f>
        <v>6542879</v>
      </c>
      <c r="C4" s="243">
        <v>6604433</v>
      </c>
      <c r="D4" s="399">
        <f t="shared" ref="D4:D62" si="1">C4-B4</f>
        <v>61554</v>
      </c>
      <c r="E4" s="303">
        <v>61553.03</v>
      </c>
      <c r="F4" s="498">
        <f t="shared" ref="F4:F62" si="2">D4-E4</f>
        <v>0.97000000000116415</v>
      </c>
      <c r="G4" s="499">
        <f t="shared" ref="G4:G62" si="3">H3</f>
        <v>59763</v>
      </c>
      <c r="H4" s="243">
        <v>66652</v>
      </c>
      <c r="I4" s="270">
        <f t="shared" ref="I4:I62" si="4">H4-G4</f>
        <v>6889</v>
      </c>
      <c r="J4" s="243">
        <v>6890.89</v>
      </c>
      <c r="K4" s="277">
        <f t="shared" ref="K4:K62" si="5">I4-J4</f>
        <v>-1.8900000000003274</v>
      </c>
      <c r="L4" s="500">
        <f t="shared" ref="L4:L62" si="6">I4+D4</f>
        <v>68443</v>
      </c>
    </row>
    <row r="5" spans="1:12">
      <c r="A5" s="241">
        <v>43160</v>
      </c>
      <c r="B5" s="317">
        <f t="shared" si="0"/>
        <v>6604433</v>
      </c>
      <c r="C5" s="271">
        <v>6660226</v>
      </c>
      <c r="D5" s="399">
        <f t="shared" si="1"/>
        <v>55793</v>
      </c>
      <c r="E5" s="271">
        <v>55792.75</v>
      </c>
      <c r="F5" s="498">
        <f t="shared" si="2"/>
        <v>0.25</v>
      </c>
      <c r="G5" s="499">
        <f t="shared" si="3"/>
        <v>66652</v>
      </c>
      <c r="H5" s="271">
        <v>77607</v>
      </c>
      <c r="I5" s="270">
        <f t="shared" si="4"/>
        <v>10955</v>
      </c>
      <c r="J5" s="271">
        <v>10955.45</v>
      </c>
      <c r="K5" s="277">
        <f t="shared" si="5"/>
        <v>-0.4500000000007276</v>
      </c>
      <c r="L5" s="500">
        <f t="shared" si="6"/>
        <v>66748</v>
      </c>
    </row>
    <row r="6" spans="1:12">
      <c r="A6" s="241">
        <v>43191</v>
      </c>
      <c r="B6" s="317">
        <f t="shared" si="0"/>
        <v>6660226</v>
      </c>
      <c r="C6" s="243">
        <v>6714539</v>
      </c>
      <c r="D6" s="399">
        <f t="shared" si="1"/>
        <v>54313</v>
      </c>
      <c r="E6" s="271">
        <v>54312.28</v>
      </c>
      <c r="F6" s="498">
        <f t="shared" si="2"/>
        <v>0.72000000000116415</v>
      </c>
      <c r="G6" s="499">
        <f t="shared" si="3"/>
        <v>77607</v>
      </c>
      <c r="H6" s="243">
        <v>82271</v>
      </c>
      <c r="I6" s="270">
        <f t="shared" si="4"/>
        <v>4664</v>
      </c>
      <c r="J6" s="271">
        <v>4665.22</v>
      </c>
      <c r="K6" s="277">
        <f t="shared" si="5"/>
        <v>-1.2200000000002547</v>
      </c>
      <c r="L6" s="500">
        <f t="shared" si="6"/>
        <v>58977</v>
      </c>
    </row>
    <row r="7" spans="1:12">
      <c r="A7" s="264">
        <v>43221</v>
      </c>
      <c r="B7" s="317">
        <f t="shared" si="0"/>
        <v>6714539</v>
      </c>
      <c r="C7" s="243">
        <v>6774547</v>
      </c>
      <c r="D7" s="399">
        <f t="shared" si="1"/>
        <v>60008</v>
      </c>
      <c r="E7" s="243">
        <v>60007.47</v>
      </c>
      <c r="F7" s="498">
        <f t="shared" si="2"/>
        <v>0.52999999999883585</v>
      </c>
      <c r="G7" s="499">
        <f t="shared" si="3"/>
        <v>82271</v>
      </c>
      <c r="H7" s="243">
        <v>88664</v>
      </c>
      <c r="I7" s="270">
        <f t="shared" si="4"/>
        <v>6393</v>
      </c>
      <c r="J7" s="243">
        <v>6392.14</v>
      </c>
      <c r="K7" s="277">
        <f t="shared" si="5"/>
        <v>0.85999999999967258</v>
      </c>
      <c r="L7" s="500">
        <f t="shared" si="6"/>
        <v>66401</v>
      </c>
    </row>
    <row r="8" spans="1:12">
      <c r="A8" s="241">
        <v>43252</v>
      </c>
      <c r="B8" s="317">
        <f t="shared" si="0"/>
        <v>6774547</v>
      </c>
      <c r="C8" s="243">
        <v>6845214</v>
      </c>
      <c r="D8" s="399">
        <f t="shared" si="1"/>
        <v>70667</v>
      </c>
      <c r="E8" s="243">
        <v>70666.289999999994</v>
      </c>
      <c r="F8" s="498">
        <f t="shared" si="2"/>
        <v>0.71000000000640284</v>
      </c>
      <c r="G8" s="499">
        <f t="shared" si="3"/>
        <v>88664</v>
      </c>
      <c r="H8" s="243">
        <v>99683</v>
      </c>
      <c r="I8" s="270">
        <f t="shared" si="4"/>
        <v>11019</v>
      </c>
      <c r="J8" s="271">
        <v>11020.51</v>
      </c>
      <c r="K8" s="277">
        <f t="shared" si="5"/>
        <v>-1.5100000000002183</v>
      </c>
      <c r="L8" s="500">
        <f t="shared" si="6"/>
        <v>81686</v>
      </c>
    </row>
    <row r="9" spans="1:12">
      <c r="A9" s="241">
        <v>43282</v>
      </c>
      <c r="B9" s="317">
        <f t="shared" si="0"/>
        <v>6845214</v>
      </c>
      <c r="C9" s="271">
        <v>6921964</v>
      </c>
      <c r="D9" s="399">
        <f t="shared" si="1"/>
        <v>76750</v>
      </c>
      <c r="E9" s="271">
        <v>76750.25</v>
      </c>
      <c r="F9" s="498">
        <f t="shared" si="2"/>
        <v>-0.25</v>
      </c>
      <c r="G9" s="499">
        <f t="shared" si="3"/>
        <v>99683</v>
      </c>
      <c r="H9" s="271">
        <v>107936</v>
      </c>
      <c r="I9" s="270">
        <f t="shared" si="4"/>
        <v>8253</v>
      </c>
      <c r="J9" s="271">
        <v>8252.24</v>
      </c>
      <c r="K9" s="277">
        <f t="shared" si="5"/>
        <v>0.76000000000021828</v>
      </c>
      <c r="L9" s="500">
        <f t="shared" si="6"/>
        <v>85003</v>
      </c>
    </row>
    <row r="10" spans="1:12">
      <c r="A10" s="241">
        <v>43313</v>
      </c>
      <c r="B10" s="317">
        <f t="shared" si="0"/>
        <v>6921964</v>
      </c>
      <c r="C10" s="271">
        <v>7001142</v>
      </c>
      <c r="D10" s="399">
        <f t="shared" si="1"/>
        <v>79178</v>
      </c>
      <c r="E10" s="271">
        <v>79179.56</v>
      </c>
      <c r="F10" s="498">
        <f t="shared" si="2"/>
        <v>-1.5599999999976717</v>
      </c>
      <c r="G10" s="499">
        <f t="shared" si="3"/>
        <v>107936</v>
      </c>
      <c r="H10" s="271">
        <v>116730</v>
      </c>
      <c r="I10" s="270">
        <f t="shared" si="4"/>
        <v>8794</v>
      </c>
      <c r="J10" s="271">
        <v>8793.1200000000008</v>
      </c>
      <c r="K10" s="277">
        <f t="shared" si="5"/>
        <v>0.87999999999919964</v>
      </c>
      <c r="L10" s="500">
        <f t="shared" si="6"/>
        <v>87972</v>
      </c>
    </row>
    <row r="11" spans="1:12">
      <c r="A11" s="241">
        <v>43344</v>
      </c>
      <c r="B11" s="317">
        <f t="shared" si="0"/>
        <v>7001142</v>
      </c>
      <c r="C11" s="271">
        <v>7074217</v>
      </c>
      <c r="D11" s="399">
        <f t="shared" si="1"/>
        <v>73075</v>
      </c>
      <c r="E11" s="271">
        <v>73076.960000000006</v>
      </c>
      <c r="F11" s="498">
        <f t="shared" si="2"/>
        <v>-1.9600000000064028</v>
      </c>
      <c r="G11" s="499">
        <f t="shared" si="3"/>
        <v>116730</v>
      </c>
      <c r="H11" s="271">
        <v>127346</v>
      </c>
      <c r="I11" s="270">
        <f t="shared" si="4"/>
        <v>10616</v>
      </c>
      <c r="J11" s="271">
        <v>10615.37</v>
      </c>
      <c r="K11" s="277">
        <f t="shared" si="5"/>
        <v>0.62999999999919964</v>
      </c>
      <c r="L11" s="500">
        <f t="shared" si="6"/>
        <v>83691</v>
      </c>
    </row>
    <row r="12" spans="1:12">
      <c r="A12" s="241">
        <v>43374</v>
      </c>
      <c r="B12" s="317">
        <f t="shared" si="0"/>
        <v>7074217</v>
      </c>
      <c r="C12" s="243">
        <v>7154506</v>
      </c>
      <c r="D12" s="399">
        <f t="shared" si="1"/>
        <v>80289</v>
      </c>
      <c r="E12" s="243">
        <v>80287.839999999997</v>
      </c>
      <c r="F12" s="498">
        <f t="shared" si="2"/>
        <v>1.1600000000034925</v>
      </c>
      <c r="G12" s="499">
        <f t="shared" si="3"/>
        <v>127346</v>
      </c>
      <c r="H12" s="243">
        <v>134840</v>
      </c>
      <c r="I12" s="270">
        <f t="shared" si="4"/>
        <v>7494</v>
      </c>
      <c r="J12" s="243">
        <v>7493.99</v>
      </c>
      <c r="K12" s="277">
        <f t="shared" si="5"/>
        <v>1.0000000000218279E-2</v>
      </c>
      <c r="L12" s="500">
        <f t="shared" si="6"/>
        <v>87783</v>
      </c>
    </row>
    <row r="13" spans="1:12">
      <c r="A13" s="241">
        <v>43405</v>
      </c>
      <c r="B13" s="317">
        <f t="shared" si="0"/>
        <v>7154506</v>
      </c>
      <c r="C13" s="243">
        <v>7225359</v>
      </c>
      <c r="D13" s="399">
        <f t="shared" si="1"/>
        <v>70853</v>
      </c>
      <c r="E13" s="243">
        <v>70852.88</v>
      </c>
      <c r="F13" s="498">
        <f t="shared" si="2"/>
        <v>0.11999999999534339</v>
      </c>
      <c r="G13" s="499">
        <f t="shared" si="3"/>
        <v>134840</v>
      </c>
      <c r="H13" s="243">
        <v>145302</v>
      </c>
      <c r="I13" s="270">
        <f t="shared" si="4"/>
        <v>10462</v>
      </c>
      <c r="J13" s="243">
        <v>10462.700000000001</v>
      </c>
      <c r="K13" s="277">
        <f t="shared" si="5"/>
        <v>-0.7000000000007276</v>
      </c>
      <c r="L13" s="500">
        <f t="shared" si="6"/>
        <v>81315</v>
      </c>
    </row>
    <row r="14" spans="1:12">
      <c r="A14" s="241">
        <v>43435</v>
      </c>
      <c r="B14" s="317">
        <f t="shared" si="0"/>
        <v>7225359</v>
      </c>
      <c r="C14" s="243">
        <v>7296581</v>
      </c>
      <c r="D14" s="399">
        <f t="shared" si="1"/>
        <v>71222</v>
      </c>
      <c r="E14" s="243">
        <v>71221.22</v>
      </c>
      <c r="F14" s="498">
        <f t="shared" si="2"/>
        <v>0.77999999999883585</v>
      </c>
      <c r="G14" s="499">
        <f t="shared" si="3"/>
        <v>145302</v>
      </c>
      <c r="H14" s="243">
        <v>154999</v>
      </c>
      <c r="I14" s="270">
        <f t="shared" si="4"/>
        <v>9697</v>
      </c>
      <c r="J14" s="243">
        <v>9696.7999999999993</v>
      </c>
      <c r="K14" s="277">
        <f t="shared" si="5"/>
        <v>0.2000000000007276</v>
      </c>
      <c r="L14" s="500">
        <f t="shared" si="6"/>
        <v>80919</v>
      </c>
    </row>
    <row r="15" spans="1:12">
      <c r="A15" s="241">
        <v>43466</v>
      </c>
      <c r="B15" s="317">
        <f t="shared" si="0"/>
        <v>7296581</v>
      </c>
      <c r="C15" s="243">
        <v>7366625</v>
      </c>
      <c r="D15" s="399">
        <f t="shared" si="1"/>
        <v>70044</v>
      </c>
      <c r="E15" s="243">
        <v>70042.86</v>
      </c>
      <c r="F15" s="498">
        <f t="shared" si="2"/>
        <v>1.1399999999994179</v>
      </c>
      <c r="G15" s="499">
        <f t="shared" si="3"/>
        <v>154999</v>
      </c>
      <c r="H15" s="243">
        <v>161103</v>
      </c>
      <c r="I15" s="270">
        <f t="shared" si="4"/>
        <v>6104</v>
      </c>
      <c r="J15" s="243">
        <v>6107.32</v>
      </c>
      <c r="K15" s="277">
        <f t="shared" si="5"/>
        <v>-3.319999999999709</v>
      </c>
      <c r="L15" s="500">
        <f t="shared" si="6"/>
        <v>76148</v>
      </c>
    </row>
    <row r="16" spans="1:12">
      <c r="A16" s="241">
        <v>43497</v>
      </c>
      <c r="B16" s="317">
        <f t="shared" si="0"/>
        <v>7366625</v>
      </c>
      <c r="C16" s="243">
        <v>7427612</v>
      </c>
      <c r="D16" s="399">
        <f t="shared" si="1"/>
        <v>60987</v>
      </c>
      <c r="E16" s="243">
        <v>60986.27</v>
      </c>
      <c r="F16" s="498">
        <f t="shared" si="2"/>
        <v>0.73000000000320142</v>
      </c>
      <c r="G16" s="499">
        <f t="shared" si="3"/>
        <v>161103</v>
      </c>
      <c r="H16" s="243">
        <v>167784</v>
      </c>
      <c r="I16" s="270">
        <f t="shared" si="4"/>
        <v>6681</v>
      </c>
      <c r="J16" s="243">
        <v>6681</v>
      </c>
      <c r="K16" s="277">
        <f t="shared" si="5"/>
        <v>0</v>
      </c>
      <c r="L16" s="500">
        <f t="shared" si="6"/>
        <v>67668</v>
      </c>
    </row>
    <row r="17" spans="1:12">
      <c r="A17" s="241">
        <v>43525</v>
      </c>
      <c r="B17" s="317">
        <f t="shared" si="0"/>
        <v>7427612</v>
      </c>
      <c r="C17" s="243">
        <v>7494502</v>
      </c>
      <c r="D17" s="399">
        <f t="shared" si="1"/>
        <v>66890</v>
      </c>
      <c r="E17" s="243">
        <v>66888.649999999994</v>
      </c>
      <c r="F17" s="498">
        <f t="shared" si="2"/>
        <v>1.3500000000058208</v>
      </c>
      <c r="G17" s="499">
        <f t="shared" si="3"/>
        <v>167784</v>
      </c>
      <c r="H17" s="243">
        <v>178453</v>
      </c>
      <c r="I17" s="270">
        <f t="shared" si="4"/>
        <v>10669</v>
      </c>
      <c r="J17" s="243">
        <v>10669.59</v>
      </c>
      <c r="K17" s="277">
        <f t="shared" si="5"/>
        <v>-0.59000000000014552</v>
      </c>
      <c r="L17" s="500">
        <f t="shared" si="6"/>
        <v>77559</v>
      </c>
    </row>
    <row r="18" spans="1:12">
      <c r="A18" s="241">
        <v>43556</v>
      </c>
      <c r="B18" s="317">
        <f t="shared" si="0"/>
        <v>7494502</v>
      </c>
      <c r="C18" s="243">
        <v>7567839</v>
      </c>
      <c r="D18" s="399">
        <f t="shared" si="1"/>
        <v>73337</v>
      </c>
      <c r="E18" s="243">
        <v>73336.570000000007</v>
      </c>
      <c r="F18" s="498">
        <f t="shared" si="2"/>
        <v>0.42999999999301508</v>
      </c>
      <c r="G18" s="499">
        <f t="shared" si="3"/>
        <v>178453</v>
      </c>
      <c r="H18" s="243">
        <v>185868</v>
      </c>
      <c r="I18" s="270">
        <f t="shared" si="4"/>
        <v>7415</v>
      </c>
      <c r="J18" s="243">
        <v>7415.91</v>
      </c>
      <c r="K18" s="277">
        <f t="shared" si="5"/>
        <v>-0.90999999999985448</v>
      </c>
      <c r="L18" s="500">
        <f t="shared" si="6"/>
        <v>80752</v>
      </c>
    </row>
    <row r="19" spans="1:12">
      <c r="A19" s="241">
        <v>43586</v>
      </c>
      <c r="B19" s="317">
        <f t="shared" si="0"/>
        <v>7567839</v>
      </c>
      <c r="C19" s="243">
        <v>7635177</v>
      </c>
      <c r="D19" s="399">
        <f t="shared" si="1"/>
        <v>67338</v>
      </c>
      <c r="E19" s="243">
        <v>67338.48</v>
      </c>
      <c r="F19" s="498">
        <f t="shared" si="2"/>
        <v>-0.47999999999592546</v>
      </c>
      <c r="G19" s="499">
        <f t="shared" si="3"/>
        <v>185868</v>
      </c>
      <c r="H19" s="243">
        <v>191580</v>
      </c>
      <c r="I19" s="270">
        <f t="shared" si="4"/>
        <v>5712</v>
      </c>
      <c r="J19" s="243">
        <v>5711.08</v>
      </c>
      <c r="K19" s="277">
        <f t="shared" si="5"/>
        <v>0.92000000000007276</v>
      </c>
      <c r="L19" s="500">
        <f t="shared" si="6"/>
        <v>73050</v>
      </c>
    </row>
    <row r="20" spans="1:12">
      <c r="A20" s="241">
        <v>43617</v>
      </c>
      <c r="B20" s="317">
        <f t="shared" si="0"/>
        <v>7635177</v>
      </c>
      <c r="C20" s="243">
        <v>7705814</v>
      </c>
      <c r="D20" s="399">
        <f t="shared" si="1"/>
        <v>70637</v>
      </c>
      <c r="E20" s="243">
        <v>70631.199999999997</v>
      </c>
      <c r="F20" s="498">
        <f>D20-E20</f>
        <v>5.8000000000029104</v>
      </c>
      <c r="G20" s="499">
        <f t="shared" si="3"/>
        <v>191580</v>
      </c>
      <c r="H20" s="243">
        <v>198910</v>
      </c>
      <c r="I20" s="270">
        <f t="shared" si="4"/>
        <v>7330</v>
      </c>
      <c r="J20" s="243">
        <v>7352.54</v>
      </c>
      <c r="K20" s="277">
        <f t="shared" si="5"/>
        <v>-22.539999999999964</v>
      </c>
      <c r="L20" s="500">
        <f t="shared" si="6"/>
        <v>77967</v>
      </c>
    </row>
    <row r="21" spans="1:12">
      <c r="A21" s="241">
        <v>43647</v>
      </c>
      <c r="B21" s="317">
        <f t="shared" si="0"/>
        <v>7705814</v>
      </c>
      <c r="C21" s="243">
        <v>7789265</v>
      </c>
      <c r="D21" s="399">
        <f t="shared" si="1"/>
        <v>83451</v>
      </c>
      <c r="E21" s="243">
        <v>83450.259999999995</v>
      </c>
      <c r="F21" s="498">
        <f t="shared" si="2"/>
        <v>0.74000000000523869</v>
      </c>
      <c r="G21" s="499">
        <f t="shared" si="3"/>
        <v>198910</v>
      </c>
      <c r="H21" s="243">
        <v>208208</v>
      </c>
      <c r="I21" s="270">
        <f t="shared" si="4"/>
        <v>9298</v>
      </c>
      <c r="J21" s="243">
        <v>8921.51</v>
      </c>
      <c r="K21" s="277">
        <f t="shared" si="5"/>
        <v>376.48999999999978</v>
      </c>
      <c r="L21" s="500">
        <f t="shared" si="6"/>
        <v>92749</v>
      </c>
    </row>
    <row r="22" spans="1:12">
      <c r="A22" s="241">
        <v>43678</v>
      </c>
      <c r="B22" s="317">
        <f t="shared" si="0"/>
        <v>7789265</v>
      </c>
      <c r="C22" s="243">
        <v>7867728</v>
      </c>
      <c r="D22" s="399">
        <f t="shared" si="1"/>
        <v>78463</v>
      </c>
      <c r="E22" s="243">
        <v>78463.600000000006</v>
      </c>
      <c r="F22" s="498">
        <f>D22-E22</f>
        <v>-0.60000000000582077</v>
      </c>
      <c r="G22" s="499">
        <f t="shared" si="3"/>
        <v>208208</v>
      </c>
      <c r="H22" s="243">
        <v>216205</v>
      </c>
      <c r="I22" s="270">
        <f t="shared" si="4"/>
        <v>7997</v>
      </c>
      <c r="J22" s="243">
        <v>7870.33</v>
      </c>
      <c r="K22" s="277">
        <f t="shared" si="5"/>
        <v>126.67000000000007</v>
      </c>
      <c r="L22" s="500">
        <f t="shared" si="6"/>
        <v>86460</v>
      </c>
    </row>
    <row r="23" spans="1:12">
      <c r="A23" s="241">
        <v>43709</v>
      </c>
      <c r="B23" s="317">
        <f t="shared" si="0"/>
        <v>7867728</v>
      </c>
      <c r="C23" s="243">
        <v>7937278</v>
      </c>
      <c r="D23" s="399">
        <f t="shared" si="1"/>
        <v>69550</v>
      </c>
      <c r="E23" s="243">
        <v>69549.31</v>
      </c>
      <c r="F23" s="498">
        <f t="shared" si="2"/>
        <v>0.69000000000232831</v>
      </c>
      <c r="G23" s="499">
        <f t="shared" si="3"/>
        <v>216205</v>
      </c>
      <c r="H23" s="243">
        <v>223195</v>
      </c>
      <c r="I23" s="270">
        <f t="shared" si="4"/>
        <v>6990</v>
      </c>
      <c r="J23" s="243">
        <v>6989.22</v>
      </c>
      <c r="K23" s="277">
        <f t="shared" si="5"/>
        <v>0.77999999999974534</v>
      </c>
      <c r="L23" s="500">
        <f t="shared" si="6"/>
        <v>76540</v>
      </c>
    </row>
    <row r="24" spans="1:12">
      <c r="A24" s="241">
        <v>43739</v>
      </c>
      <c r="B24" s="317">
        <f t="shared" si="0"/>
        <v>7937278</v>
      </c>
      <c r="C24" s="243">
        <v>8009185</v>
      </c>
      <c r="D24" s="399">
        <f t="shared" si="1"/>
        <v>71907</v>
      </c>
      <c r="E24" s="243">
        <v>71906.240000000005</v>
      </c>
      <c r="F24" s="498">
        <f t="shared" si="2"/>
        <v>0.75999999999476131</v>
      </c>
      <c r="G24" s="499">
        <f t="shared" si="3"/>
        <v>223195</v>
      </c>
      <c r="H24" s="243">
        <v>229902</v>
      </c>
      <c r="I24" s="270">
        <f t="shared" si="4"/>
        <v>6707</v>
      </c>
      <c r="J24" s="243">
        <v>6706</v>
      </c>
      <c r="K24" s="277">
        <f t="shared" si="5"/>
        <v>1</v>
      </c>
      <c r="L24" s="500">
        <f t="shared" si="6"/>
        <v>78614</v>
      </c>
    </row>
    <row r="25" spans="1:12">
      <c r="A25" s="241">
        <v>43770</v>
      </c>
      <c r="B25" s="317">
        <f t="shared" si="0"/>
        <v>8009185</v>
      </c>
      <c r="C25" s="243">
        <v>8069975</v>
      </c>
      <c r="D25" s="399">
        <f t="shared" si="1"/>
        <v>60790</v>
      </c>
      <c r="E25" s="243">
        <v>60788.44</v>
      </c>
      <c r="F25" s="498">
        <f t="shared" si="2"/>
        <v>1.5599999999976717</v>
      </c>
      <c r="G25" s="499">
        <f t="shared" si="3"/>
        <v>229902</v>
      </c>
      <c r="H25" s="243">
        <v>235486</v>
      </c>
      <c r="I25" s="270">
        <f t="shared" si="4"/>
        <v>5584</v>
      </c>
      <c r="J25" s="243">
        <v>5584</v>
      </c>
      <c r="K25" s="277">
        <f t="shared" si="5"/>
        <v>0</v>
      </c>
      <c r="L25" s="500">
        <f t="shared" si="6"/>
        <v>66374</v>
      </c>
    </row>
    <row r="26" spans="1:12">
      <c r="A26" s="241">
        <v>43800</v>
      </c>
      <c r="B26" s="317">
        <f t="shared" si="0"/>
        <v>8069975</v>
      </c>
      <c r="C26" s="271">
        <v>8133966</v>
      </c>
      <c r="D26" s="399">
        <f t="shared" si="1"/>
        <v>63991</v>
      </c>
      <c r="E26" s="271">
        <v>63990.63</v>
      </c>
      <c r="F26" s="498">
        <f t="shared" si="2"/>
        <v>0.37000000000261934</v>
      </c>
      <c r="G26" s="499">
        <f t="shared" si="3"/>
        <v>235486</v>
      </c>
      <c r="H26" s="271">
        <v>245835</v>
      </c>
      <c r="I26" s="270">
        <f t="shared" si="4"/>
        <v>10349</v>
      </c>
      <c r="J26" s="271">
        <v>10348.06</v>
      </c>
      <c r="K26" s="277">
        <f t="shared" si="5"/>
        <v>0.94000000000050932</v>
      </c>
      <c r="L26" s="500">
        <f t="shared" si="6"/>
        <v>74340</v>
      </c>
    </row>
    <row r="27" spans="1:12">
      <c r="A27" s="241">
        <v>43831</v>
      </c>
      <c r="B27" s="317">
        <f t="shared" si="0"/>
        <v>8133966</v>
      </c>
      <c r="C27" s="243">
        <v>8200024</v>
      </c>
      <c r="D27" s="399">
        <f t="shared" si="1"/>
        <v>66058</v>
      </c>
      <c r="E27" s="243">
        <v>66057.75</v>
      </c>
      <c r="F27" s="498">
        <f t="shared" si="2"/>
        <v>0.25</v>
      </c>
      <c r="G27" s="499">
        <f t="shared" si="3"/>
        <v>245835</v>
      </c>
      <c r="H27" s="243">
        <v>253278</v>
      </c>
      <c r="I27" s="270">
        <f t="shared" si="4"/>
        <v>7443</v>
      </c>
      <c r="J27" s="243">
        <v>7443.22</v>
      </c>
      <c r="K27" s="277">
        <f t="shared" si="5"/>
        <v>-0.22000000000025466</v>
      </c>
      <c r="L27" s="500">
        <f t="shared" si="6"/>
        <v>73501</v>
      </c>
    </row>
    <row r="28" spans="1:12">
      <c r="A28" s="241">
        <v>43862</v>
      </c>
      <c r="B28" s="317">
        <f t="shared" si="0"/>
        <v>8200024</v>
      </c>
      <c r="C28" s="243">
        <v>8265856</v>
      </c>
      <c r="D28" s="399">
        <f t="shared" si="1"/>
        <v>65832</v>
      </c>
      <c r="E28" s="243">
        <v>65831.210000000006</v>
      </c>
      <c r="F28" s="498">
        <f t="shared" si="2"/>
        <v>0.78999999999359716</v>
      </c>
      <c r="G28" s="499">
        <f t="shared" si="3"/>
        <v>253278</v>
      </c>
      <c r="H28" s="243">
        <v>259127</v>
      </c>
      <c r="I28" s="270">
        <f t="shared" si="4"/>
        <v>5849</v>
      </c>
      <c r="J28" s="243">
        <v>5848.37</v>
      </c>
      <c r="K28" s="277">
        <f t="shared" si="5"/>
        <v>0.63000000000010914</v>
      </c>
      <c r="L28" s="500">
        <f t="shared" si="6"/>
        <v>71681</v>
      </c>
    </row>
    <row r="29" spans="1:12">
      <c r="A29" s="241">
        <v>43891</v>
      </c>
      <c r="B29" s="317">
        <f t="shared" si="0"/>
        <v>8265856</v>
      </c>
      <c r="C29" s="243">
        <v>8316467</v>
      </c>
      <c r="D29" s="399">
        <f t="shared" si="1"/>
        <v>50611</v>
      </c>
      <c r="E29" s="243">
        <v>50610.58</v>
      </c>
      <c r="F29" s="498">
        <f t="shared" si="2"/>
        <v>0.41999999999825377</v>
      </c>
      <c r="G29" s="499">
        <f t="shared" si="3"/>
        <v>259127</v>
      </c>
      <c r="H29" s="243">
        <v>262770</v>
      </c>
      <c r="I29" s="270">
        <f t="shared" si="4"/>
        <v>3643</v>
      </c>
      <c r="J29" s="243">
        <v>3643.28</v>
      </c>
      <c r="K29" s="277">
        <f t="shared" si="5"/>
        <v>-0.28000000000020009</v>
      </c>
      <c r="L29" s="500">
        <f t="shared" si="6"/>
        <v>54254</v>
      </c>
    </row>
    <row r="30" spans="1:12">
      <c r="A30" s="241">
        <v>43922</v>
      </c>
      <c r="B30" s="317">
        <f t="shared" si="0"/>
        <v>8316467</v>
      </c>
      <c r="C30" s="271">
        <v>8339290</v>
      </c>
      <c r="D30" s="399">
        <f t="shared" si="1"/>
        <v>22823</v>
      </c>
      <c r="E30" s="271">
        <v>22822.77</v>
      </c>
      <c r="F30" s="498">
        <f t="shared" si="2"/>
        <v>0.22999999999956344</v>
      </c>
      <c r="G30" s="499">
        <f t="shared" si="3"/>
        <v>262770</v>
      </c>
      <c r="H30" s="271">
        <v>264628</v>
      </c>
      <c r="I30" s="270">
        <f t="shared" si="4"/>
        <v>1858</v>
      </c>
      <c r="J30" s="271">
        <v>1858.41</v>
      </c>
      <c r="K30" s="277">
        <f t="shared" si="5"/>
        <v>-0.41000000000008185</v>
      </c>
      <c r="L30" s="500">
        <f t="shared" si="6"/>
        <v>24681</v>
      </c>
    </row>
    <row r="31" spans="1:12">
      <c r="A31" s="241">
        <v>43952</v>
      </c>
      <c r="B31" s="317">
        <f t="shared" si="0"/>
        <v>8339290</v>
      </c>
      <c r="C31" s="243">
        <v>8359648</v>
      </c>
      <c r="D31" s="399">
        <f t="shared" si="1"/>
        <v>20358</v>
      </c>
      <c r="E31" s="243">
        <v>20357.990000000002</v>
      </c>
      <c r="F31" s="498">
        <f t="shared" si="2"/>
        <v>9.9999999983992893E-3</v>
      </c>
      <c r="G31" s="499">
        <f t="shared" si="3"/>
        <v>264628</v>
      </c>
      <c r="H31" s="243">
        <v>265578</v>
      </c>
      <c r="I31" s="270">
        <f t="shared" si="4"/>
        <v>950</v>
      </c>
      <c r="J31" s="243">
        <v>949.76</v>
      </c>
      <c r="K31" s="277">
        <f t="shared" si="5"/>
        <v>0.24000000000000909</v>
      </c>
      <c r="L31" s="500">
        <f t="shared" si="6"/>
        <v>21308</v>
      </c>
    </row>
    <row r="32" spans="1:12">
      <c r="A32" s="241">
        <v>43983</v>
      </c>
      <c r="B32" s="317">
        <f t="shared" si="0"/>
        <v>8359648</v>
      </c>
      <c r="C32" s="243">
        <v>8379633</v>
      </c>
      <c r="D32" s="399">
        <f t="shared" si="1"/>
        <v>19985</v>
      </c>
      <c r="E32" s="243">
        <v>19986.830000000002</v>
      </c>
      <c r="F32" s="498">
        <f t="shared" si="2"/>
        <v>-1.8300000000017462</v>
      </c>
      <c r="G32" s="499">
        <f t="shared" si="3"/>
        <v>265578</v>
      </c>
      <c r="H32" s="243">
        <v>266245</v>
      </c>
      <c r="I32" s="270">
        <f t="shared" si="4"/>
        <v>667</v>
      </c>
      <c r="J32" s="243">
        <v>667.51</v>
      </c>
      <c r="K32" s="277">
        <f t="shared" si="5"/>
        <v>-0.50999999999999091</v>
      </c>
      <c r="L32" s="500">
        <f t="shared" si="6"/>
        <v>20652</v>
      </c>
    </row>
    <row r="33" spans="1:12">
      <c r="A33" s="241">
        <v>44013</v>
      </c>
      <c r="B33" s="317">
        <f t="shared" si="0"/>
        <v>8379633</v>
      </c>
      <c r="C33" s="243">
        <v>8401424</v>
      </c>
      <c r="D33" s="399">
        <f t="shared" si="1"/>
        <v>21791</v>
      </c>
      <c r="E33" s="243">
        <v>21791.54</v>
      </c>
      <c r="F33" s="498">
        <f t="shared" si="2"/>
        <v>-0.54000000000087311</v>
      </c>
      <c r="G33" s="499">
        <f t="shared" si="3"/>
        <v>266245</v>
      </c>
      <c r="H33" s="243">
        <v>267428</v>
      </c>
      <c r="I33" s="270">
        <f t="shared" si="4"/>
        <v>1183</v>
      </c>
      <c r="J33" s="243">
        <v>1182.19</v>
      </c>
      <c r="K33" s="277">
        <f t="shared" si="5"/>
        <v>0.80999999999994543</v>
      </c>
      <c r="L33" s="500">
        <f t="shared" si="6"/>
        <v>22974</v>
      </c>
    </row>
    <row r="34" spans="1:12">
      <c r="A34" s="241">
        <v>44044</v>
      </c>
      <c r="B34" s="317">
        <f t="shared" si="0"/>
        <v>8401424</v>
      </c>
      <c r="C34" s="271">
        <v>8425982</v>
      </c>
      <c r="D34" s="399">
        <f t="shared" si="1"/>
        <v>24558</v>
      </c>
      <c r="E34" s="271">
        <v>24556.98</v>
      </c>
      <c r="F34" s="498">
        <f t="shared" si="2"/>
        <v>1.0200000000004366</v>
      </c>
      <c r="G34" s="499">
        <f t="shared" si="3"/>
        <v>267428</v>
      </c>
      <c r="H34" s="271">
        <v>268712</v>
      </c>
      <c r="I34" s="270">
        <f t="shared" si="4"/>
        <v>1284</v>
      </c>
      <c r="J34" s="271">
        <v>1284.27</v>
      </c>
      <c r="K34" s="277">
        <f t="shared" si="5"/>
        <v>-0.26999999999998181</v>
      </c>
      <c r="L34" s="500">
        <f t="shared" si="6"/>
        <v>25842</v>
      </c>
    </row>
    <row r="35" spans="1:12">
      <c r="A35" s="241">
        <v>44075</v>
      </c>
      <c r="B35" s="317">
        <f t="shared" si="0"/>
        <v>8425982</v>
      </c>
      <c r="C35" s="271">
        <v>8454371</v>
      </c>
      <c r="D35" s="399">
        <f t="shared" si="1"/>
        <v>28389</v>
      </c>
      <c r="E35" s="271">
        <v>28390.560000000001</v>
      </c>
      <c r="F35" s="498">
        <f t="shared" si="2"/>
        <v>-1.5600000000013097</v>
      </c>
      <c r="G35" s="499">
        <f t="shared" si="3"/>
        <v>268712</v>
      </c>
      <c r="H35" s="243">
        <v>270861</v>
      </c>
      <c r="I35" s="270">
        <f t="shared" si="4"/>
        <v>2149</v>
      </c>
      <c r="J35" s="243">
        <v>2149.25</v>
      </c>
      <c r="K35" s="277">
        <f t="shared" si="5"/>
        <v>-0.25</v>
      </c>
      <c r="L35" s="500">
        <f t="shared" si="6"/>
        <v>30538</v>
      </c>
    </row>
    <row r="36" spans="1:12">
      <c r="A36" s="241">
        <v>44105</v>
      </c>
      <c r="B36" s="317">
        <f t="shared" si="0"/>
        <v>8454371</v>
      </c>
      <c r="C36" s="847">
        <v>8470098</v>
      </c>
      <c r="D36" s="399">
        <f t="shared" si="1"/>
        <v>15727</v>
      </c>
      <c r="E36" s="847">
        <v>15726.66</v>
      </c>
      <c r="F36" s="498">
        <f t="shared" si="2"/>
        <v>0.34000000000014552</v>
      </c>
      <c r="G36" s="499">
        <f t="shared" si="3"/>
        <v>270861</v>
      </c>
      <c r="H36" s="847">
        <v>271447</v>
      </c>
      <c r="I36" s="270">
        <f t="shared" si="4"/>
        <v>586</v>
      </c>
      <c r="J36" s="847">
        <v>585.84</v>
      </c>
      <c r="K36" s="277">
        <f t="shared" si="5"/>
        <v>0.15999999999996817</v>
      </c>
      <c r="L36" s="500">
        <f t="shared" si="6"/>
        <v>16313</v>
      </c>
    </row>
    <row r="37" spans="1:12">
      <c r="A37" s="241">
        <v>44136</v>
      </c>
      <c r="B37" s="317">
        <f t="shared" si="0"/>
        <v>8470098</v>
      </c>
      <c r="C37" s="243"/>
      <c r="D37" s="399">
        <f t="shared" si="1"/>
        <v>-8470098</v>
      </c>
      <c r="E37" s="243"/>
      <c r="F37" s="498">
        <f t="shared" si="2"/>
        <v>-8470098</v>
      </c>
      <c r="G37" s="499">
        <f t="shared" si="3"/>
        <v>271447</v>
      </c>
      <c r="H37" s="243"/>
      <c r="I37" s="270">
        <f t="shared" si="4"/>
        <v>-271447</v>
      </c>
      <c r="J37" s="243"/>
      <c r="K37" s="277">
        <f t="shared" si="5"/>
        <v>-271447</v>
      </c>
      <c r="L37" s="500">
        <f t="shared" si="6"/>
        <v>-8741545</v>
      </c>
    </row>
    <row r="38" spans="1:12">
      <c r="A38" s="241">
        <v>44166</v>
      </c>
      <c r="B38" s="317">
        <f t="shared" si="0"/>
        <v>0</v>
      </c>
      <c r="C38" s="243"/>
      <c r="D38" s="399">
        <f t="shared" si="1"/>
        <v>0</v>
      </c>
      <c r="E38" s="243"/>
      <c r="F38" s="498">
        <f t="shared" si="2"/>
        <v>0</v>
      </c>
      <c r="G38" s="499">
        <f t="shared" si="3"/>
        <v>0</v>
      </c>
      <c r="H38" s="243"/>
      <c r="I38" s="270">
        <f t="shared" si="4"/>
        <v>0</v>
      </c>
      <c r="J38" s="243"/>
      <c r="K38" s="277">
        <f t="shared" si="5"/>
        <v>0</v>
      </c>
      <c r="L38" s="500">
        <f t="shared" si="6"/>
        <v>0</v>
      </c>
    </row>
    <row r="39" spans="1:12">
      <c r="A39" s="241">
        <v>44197</v>
      </c>
      <c r="B39" s="317">
        <f t="shared" si="0"/>
        <v>0</v>
      </c>
      <c r="C39" s="243"/>
      <c r="D39" s="399">
        <f t="shared" si="1"/>
        <v>0</v>
      </c>
      <c r="E39" s="243"/>
      <c r="F39" s="498">
        <f t="shared" si="2"/>
        <v>0</v>
      </c>
      <c r="G39" s="499">
        <f t="shared" si="3"/>
        <v>0</v>
      </c>
      <c r="H39" s="243"/>
      <c r="I39" s="270">
        <f t="shared" si="4"/>
        <v>0</v>
      </c>
      <c r="J39" s="243"/>
      <c r="K39" s="277">
        <f t="shared" si="5"/>
        <v>0</v>
      </c>
      <c r="L39" s="500">
        <f t="shared" si="6"/>
        <v>0</v>
      </c>
    </row>
    <row r="40" spans="1:12">
      <c r="A40" s="241">
        <v>44228</v>
      </c>
      <c r="B40" s="317">
        <f t="shared" si="0"/>
        <v>0</v>
      </c>
      <c r="C40" s="243"/>
      <c r="D40" s="399">
        <f t="shared" si="1"/>
        <v>0</v>
      </c>
      <c r="E40" s="243"/>
      <c r="F40" s="498">
        <f t="shared" si="2"/>
        <v>0</v>
      </c>
      <c r="G40" s="499">
        <f t="shared" si="3"/>
        <v>0</v>
      </c>
      <c r="H40" s="243"/>
      <c r="I40" s="270">
        <f t="shared" si="4"/>
        <v>0</v>
      </c>
      <c r="J40" s="243"/>
      <c r="K40" s="277">
        <f t="shared" si="5"/>
        <v>0</v>
      </c>
      <c r="L40" s="500">
        <f t="shared" si="6"/>
        <v>0</v>
      </c>
    </row>
    <row r="41" spans="1:12">
      <c r="A41" s="241">
        <v>44256</v>
      </c>
      <c r="B41" s="317">
        <f t="shared" si="0"/>
        <v>0</v>
      </c>
      <c r="C41" s="243"/>
      <c r="D41" s="399">
        <f t="shared" si="1"/>
        <v>0</v>
      </c>
      <c r="E41" s="243"/>
      <c r="F41" s="498">
        <f t="shared" si="2"/>
        <v>0</v>
      </c>
      <c r="G41" s="499">
        <f t="shared" si="3"/>
        <v>0</v>
      </c>
      <c r="H41" s="243"/>
      <c r="I41" s="270">
        <f t="shared" si="4"/>
        <v>0</v>
      </c>
      <c r="J41" s="243"/>
      <c r="K41" s="277">
        <f t="shared" si="5"/>
        <v>0</v>
      </c>
      <c r="L41" s="500">
        <f t="shared" si="6"/>
        <v>0</v>
      </c>
    </row>
    <row r="42" spans="1:12">
      <c r="A42" s="241">
        <v>44287</v>
      </c>
      <c r="B42" s="317">
        <f t="shared" si="0"/>
        <v>0</v>
      </c>
      <c r="C42" s="243"/>
      <c r="D42" s="399">
        <f t="shared" si="1"/>
        <v>0</v>
      </c>
      <c r="E42" s="243"/>
      <c r="F42" s="498">
        <f t="shared" si="2"/>
        <v>0</v>
      </c>
      <c r="G42" s="499">
        <f t="shared" si="3"/>
        <v>0</v>
      </c>
      <c r="H42" s="243"/>
      <c r="I42" s="270">
        <f t="shared" si="4"/>
        <v>0</v>
      </c>
      <c r="J42" s="243"/>
      <c r="K42" s="277">
        <f t="shared" si="5"/>
        <v>0</v>
      </c>
      <c r="L42" s="500">
        <f t="shared" si="6"/>
        <v>0</v>
      </c>
    </row>
    <row r="43" spans="1:12">
      <c r="A43" s="241">
        <v>44317</v>
      </c>
      <c r="B43" s="317">
        <f t="shared" si="0"/>
        <v>0</v>
      </c>
      <c r="C43" s="243"/>
      <c r="D43" s="399">
        <f t="shared" si="1"/>
        <v>0</v>
      </c>
      <c r="E43" s="243"/>
      <c r="F43" s="498">
        <f t="shared" si="2"/>
        <v>0</v>
      </c>
      <c r="G43" s="499">
        <f t="shared" si="3"/>
        <v>0</v>
      </c>
      <c r="H43" s="243"/>
      <c r="I43" s="270">
        <f t="shared" si="4"/>
        <v>0</v>
      </c>
      <c r="J43" s="243"/>
      <c r="K43" s="277">
        <f t="shared" si="5"/>
        <v>0</v>
      </c>
      <c r="L43" s="500">
        <f t="shared" si="6"/>
        <v>0</v>
      </c>
    </row>
    <row r="44" spans="1:12">
      <c r="A44" s="241">
        <v>44348</v>
      </c>
      <c r="B44" s="317">
        <f t="shared" si="0"/>
        <v>0</v>
      </c>
      <c r="C44" s="243"/>
      <c r="D44" s="399">
        <f t="shared" si="1"/>
        <v>0</v>
      </c>
      <c r="E44" s="243"/>
      <c r="F44" s="498">
        <f t="shared" si="2"/>
        <v>0</v>
      </c>
      <c r="G44" s="499">
        <f t="shared" si="3"/>
        <v>0</v>
      </c>
      <c r="H44" s="243"/>
      <c r="I44" s="270">
        <f t="shared" si="4"/>
        <v>0</v>
      </c>
      <c r="J44" s="243"/>
      <c r="K44" s="277">
        <f t="shared" si="5"/>
        <v>0</v>
      </c>
      <c r="L44" s="500">
        <f t="shared" si="6"/>
        <v>0</v>
      </c>
    </row>
    <row r="45" spans="1:12">
      <c r="A45" s="241">
        <v>44378</v>
      </c>
      <c r="B45" s="317">
        <f t="shared" si="0"/>
        <v>0</v>
      </c>
      <c r="C45" s="243"/>
      <c r="D45" s="399">
        <f t="shared" si="1"/>
        <v>0</v>
      </c>
      <c r="E45" s="243"/>
      <c r="F45" s="498">
        <f t="shared" si="2"/>
        <v>0</v>
      </c>
      <c r="G45" s="499">
        <f t="shared" si="3"/>
        <v>0</v>
      </c>
      <c r="H45" s="243"/>
      <c r="I45" s="270">
        <f t="shared" si="4"/>
        <v>0</v>
      </c>
      <c r="J45" s="243"/>
      <c r="K45" s="277">
        <f t="shared" si="5"/>
        <v>0</v>
      </c>
      <c r="L45" s="500">
        <f t="shared" si="6"/>
        <v>0</v>
      </c>
    </row>
    <row r="46" spans="1:12">
      <c r="A46" s="241">
        <v>44409</v>
      </c>
      <c r="B46" s="317">
        <f t="shared" si="0"/>
        <v>0</v>
      </c>
      <c r="C46" s="243"/>
      <c r="D46" s="399">
        <f t="shared" si="1"/>
        <v>0</v>
      </c>
      <c r="E46" s="243"/>
      <c r="F46" s="498">
        <f t="shared" si="2"/>
        <v>0</v>
      </c>
      <c r="G46" s="499">
        <f t="shared" si="3"/>
        <v>0</v>
      </c>
      <c r="H46" s="243"/>
      <c r="I46" s="270">
        <f t="shared" si="4"/>
        <v>0</v>
      </c>
      <c r="J46" s="243"/>
      <c r="K46" s="277">
        <f t="shared" si="5"/>
        <v>0</v>
      </c>
      <c r="L46" s="500">
        <f t="shared" si="6"/>
        <v>0</v>
      </c>
    </row>
    <row r="47" spans="1:12">
      <c r="A47" s="241">
        <v>44440</v>
      </c>
      <c r="B47" s="317">
        <f t="shared" si="0"/>
        <v>0</v>
      </c>
      <c r="C47" s="243"/>
      <c r="D47" s="399">
        <f t="shared" si="1"/>
        <v>0</v>
      </c>
      <c r="E47" s="243"/>
      <c r="F47" s="498">
        <f t="shared" si="2"/>
        <v>0</v>
      </c>
      <c r="G47" s="499">
        <f t="shared" si="3"/>
        <v>0</v>
      </c>
      <c r="H47" s="243"/>
      <c r="I47" s="270">
        <f t="shared" si="4"/>
        <v>0</v>
      </c>
      <c r="J47" s="243"/>
      <c r="K47" s="277">
        <f t="shared" si="5"/>
        <v>0</v>
      </c>
      <c r="L47" s="500">
        <f t="shared" si="6"/>
        <v>0</v>
      </c>
    </row>
    <row r="48" spans="1:12">
      <c r="A48" s="241">
        <v>44470</v>
      </c>
      <c r="B48" s="317">
        <f t="shared" si="0"/>
        <v>0</v>
      </c>
      <c r="C48" s="243"/>
      <c r="D48" s="399">
        <f t="shared" si="1"/>
        <v>0</v>
      </c>
      <c r="E48" s="243"/>
      <c r="F48" s="498">
        <f t="shared" si="2"/>
        <v>0</v>
      </c>
      <c r="G48" s="499">
        <f t="shared" si="3"/>
        <v>0</v>
      </c>
      <c r="H48" s="243"/>
      <c r="I48" s="270">
        <f t="shared" si="4"/>
        <v>0</v>
      </c>
      <c r="J48" s="243"/>
      <c r="K48" s="277">
        <f t="shared" si="5"/>
        <v>0</v>
      </c>
      <c r="L48" s="500">
        <f t="shared" si="6"/>
        <v>0</v>
      </c>
    </row>
    <row r="49" spans="1:12">
      <c r="A49" s="241">
        <v>44501</v>
      </c>
      <c r="B49" s="317">
        <f t="shared" si="0"/>
        <v>0</v>
      </c>
      <c r="C49" s="243"/>
      <c r="D49" s="399">
        <f t="shared" si="1"/>
        <v>0</v>
      </c>
      <c r="E49" s="243"/>
      <c r="F49" s="498">
        <f t="shared" si="2"/>
        <v>0</v>
      </c>
      <c r="G49" s="499">
        <f t="shared" si="3"/>
        <v>0</v>
      </c>
      <c r="H49" s="243"/>
      <c r="I49" s="270">
        <f t="shared" si="4"/>
        <v>0</v>
      </c>
      <c r="J49" s="243"/>
      <c r="K49" s="277">
        <f t="shared" si="5"/>
        <v>0</v>
      </c>
      <c r="L49" s="500">
        <f t="shared" si="6"/>
        <v>0</v>
      </c>
    </row>
    <row r="50" spans="1:12">
      <c r="A50" s="241">
        <v>44531</v>
      </c>
      <c r="B50" s="317">
        <f t="shared" si="0"/>
        <v>0</v>
      </c>
      <c r="C50" s="243"/>
      <c r="D50" s="399">
        <f t="shared" si="1"/>
        <v>0</v>
      </c>
      <c r="E50" s="243"/>
      <c r="F50" s="498">
        <f t="shared" si="2"/>
        <v>0</v>
      </c>
      <c r="G50" s="499">
        <f t="shared" si="3"/>
        <v>0</v>
      </c>
      <c r="H50" s="243"/>
      <c r="I50" s="270">
        <f t="shared" si="4"/>
        <v>0</v>
      </c>
      <c r="J50" s="243"/>
      <c r="K50" s="277">
        <f t="shared" si="5"/>
        <v>0</v>
      </c>
      <c r="L50" s="500">
        <f t="shared" si="6"/>
        <v>0</v>
      </c>
    </row>
    <row r="51" spans="1:12">
      <c r="A51" s="241">
        <v>44562</v>
      </c>
      <c r="B51" s="317">
        <f t="shared" si="0"/>
        <v>0</v>
      </c>
      <c r="C51" s="243"/>
      <c r="D51" s="399">
        <f t="shared" si="1"/>
        <v>0</v>
      </c>
      <c r="E51" s="243"/>
      <c r="F51" s="498">
        <f t="shared" si="2"/>
        <v>0</v>
      </c>
      <c r="G51" s="499">
        <f t="shared" si="3"/>
        <v>0</v>
      </c>
      <c r="H51" s="243"/>
      <c r="I51" s="270">
        <f t="shared" si="4"/>
        <v>0</v>
      </c>
      <c r="J51" s="243"/>
      <c r="K51" s="277">
        <f t="shared" si="5"/>
        <v>0</v>
      </c>
      <c r="L51" s="500">
        <f t="shared" si="6"/>
        <v>0</v>
      </c>
    </row>
    <row r="52" spans="1:12">
      <c r="A52" s="241">
        <v>44593</v>
      </c>
      <c r="B52" s="317">
        <f t="shared" si="0"/>
        <v>0</v>
      </c>
      <c r="C52" s="243"/>
      <c r="D52" s="399">
        <f t="shared" si="1"/>
        <v>0</v>
      </c>
      <c r="E52" s="243"/>
      <c r="F52" s="498">
        <f t="shared" si="2"/>
        <v>0</v>
      </c>
      <c r="G52" s="499">
        <f t="shared" si="3"/>
        <v>0</v>
      </c>
      <c r="H52" s="243"/>
      <c r="I52" s="270">
        <f t="shared" si="4"/>
        <v>0</v>
      </c>
      <c r="J52" s="243"/>
      <c r="K52" s="277">
        <f t="shared" si="5"/>
        <v>0</v>
      </c>
      <c r="L52" s="500">
        <f t="shared" si="6"/>
        <v>0</v>
      </c>
    </row>
    <row r="53" spans="1:12">
      <c r="A53" s="241">
        <v>44621</v>
      </c>
      <c r="B53" s="317">
        <f t="shared" si="0"/>
        <v>0</v>
      </c>
      <c r="C53" s="243"/>
      <c r="D53" s="399">
        <f t="shared" si="1"/>
        <v>0</v>
      </c>
      <c r="E53" s="243"/>
      <c r="F53" s="498">
        <f t="shared" si="2"/>
        <v>0</v>
      </c>
      <c r="G53" s="499">
        <f t="shared" si="3"/>
        <v>0</v>
      </c>
      <c r="H53" s="243"/>
      <c r="I53" s="270">
        <f t="shared" si="4"/>
        <v>0</v>
      </c>
      <c r="J53" s="243"/>
      <c r="K53" s="277">
        <f t="shared" si="5"/>
        <v>0</v>
      </c>
      <c r="L53" s="500">
        <f t="shared" si="6"/>
        <v>0</v>
      </c>
    </row>
    <row r="54" spans="1:12">
      <c r="A54" s="241">
        <v>44652</v>
      </c>
      <c r="B54" s="317">
        <f t="shared" si="0"/>
        <v>0</v>
      </c>
      <c r="C54" s="243"/>
      <c r="D54" s="399">
        <f t="shared" si="1"/>
        <v>0</v>
      </c>
      <c r="E54" s="243"/>
      <c r="F54" s="498">
        <f t="shared" si="2"/>
        <v>0</v>
      </c>
      <c r="G54" s="499">
        <f t="shared" si="3"/>
        <v>0</v>
      </c>
      <c r="H54" s="243"/>
      <c r="I54" s="270">
        <f t="shared" si="4"/>
        <v>0</v>
      </c>
      <c r="J54" s="243"/>
      <c r="K54" s="277">
        <f t="shared" si="5"/>
        <v>0</v>
      </c>
      <c r="L54" s="500">
        <f t="shared" si="6"/>
        <v>0</v>
      </c>
    </row>
    <row r="55" spans="1:12">
      <c r="A55" s="241">
        <v>44682</v>
      </c>
      <c r="B55" s="317">
        <f t="shared" si="0"/>
        <v>0</v>
      </c>
      <c r="C55" s="243"/>
      <c r="D55" s="399">
        <f t="shared" si="1"/>
        <v>0</v>
      </c>
      <c r="E55" s="243"/>
      <c r="F55" s="498">
        <f t="shared" si="2"/>
        <v>0</v>
      </c>
      <c r="G55" s="499">
        <f t="shared" si="3"/>
        <v>0</v>
      </c>
      <c r="H55" s="243"/>
      <c r="I55" s="270">
        <f t="shared" si="4"/>
        <v>0</v>
      </c>
      <c r="J55" s="243"/>
      <c r="K55" s="277">
        <f t="shared" si="5"/>
        <v>0</v>
      </c>
      <c r="L55" s="500">
        <f t="shared" si="6"/>
        <v>0</v>
      </c>
    </row>
    <row r="56" spans="1:12" ht="12.75" customHeight="1">
      <c r="A56" s="241">
        <v>44713</v>
      </c>
      <c r="B56" s="317">
        <f t="shared" si="0"/>
        <v>0</v>
      </c>
      <c r="C56" s="243"/>
      <c r="D56" s="399">
        <f t="shared" si="1"/>
        <v>0</v>
      </c>
      <c r="E56" s="243"/>
      <c r="F56" s="498">
        <f t="shared" si="2"/>
        <v>0</v>
      </c>
      <c r="G56" s="499">
        <f t="shared" si="3"/>
        <v>0</v>
      </c>
      <c r="H56" s="243"/>
      <c r="I56" s="270">
        <f t="shared" si="4"/>
        <v>0</v>
      </c>
      <c r="J56" s="243"/>
      <c r="K56" s="277">
        <f t="shared" si="5"/>
        <v>0</v>
      </c>
      <c r="L56" s="500">
        <f t="shared" si="6"/>
        <v>0</v>
      </c>
    </row>
    <row r="57" spans="1:12" ht="13.5" customHeight="1">
      <c r="A57" s="241">
        <v>44743</v>
      </c>
      <c r="B57" s="317">
        <f t="shared" si="0"/>
        <v>0</v>
      </c>
      <c r="C57" s="243"/>
      <c r="D57" s="399">
        <f t="shared" si="1"/>
        <v>0</v>
      </c>
      <c r="E57" s="243"/>
      <c r="F57" s="498">
        <f t="shared" si="2"/>
        <v>0</v>
      </c>
      <c r="G57" s="499">
        <f t="shared" si="3"/>
        <v>0</v>
      </c>
      <c r="H57" s="243"/>
      <c r="I57" s="270">
        <f t="shared" si="4"/>
        <v>0</v>
      </c>
      <c r="J57" s="243"/>
      <c r="K57" s="277">
        <f t="shared" si="5"/>
        <v>0</v>
      </c>
      <c r="L57" s="500">
        <f t="shared" si="6"/>
        <v>0</v>
      </c>
    </row>
    <row r="58" spans="1:12">
      <c r="A58" s="241">
        <v>44774</v>
      </c>
      <c r="B58" s="317">
        <f t="shared" si="0"/>
        <v>0</v>
      </c>
      <c r="C58" s="243"/>
      <c r="D58" s="399">
        <f t="shared" si="1"/>
        <v>0</v>
      </c>
      <c r="E58" s="243"/>
      <c r="F58" s="498">
        <f t="shared" si="2"/>
        <v>0</v>
      </c>
      <c r="G58" s="499">
        <f t="shared" si="3"/>
        <v>0</v>
      </c>
      <c r="H58" s="243"/>
      <c r="I58" s="270">
        <f t="shared" si="4"/>
        <v>0</v>
      </c>
      <c r="J58" s="243"/>
      <c r="K58" s="277">
        <f t="shared" si="5"/>
        <v>0</v>
      </c>
      <c r="L58" s="500">
        <f t="shared" si="6"/>
        <v>0</v>
      </c>
    </row>
    <row r="59" spans="1:12">
      <c r="A59" s="241">
        <v>44805</v>
      </c>
      <c r="B59" s="317">
        <f t="shared" si="0"/>
        <v>0</v>
      </c>
      <c r="C59" s="243"/>
      <c r="D59" s="399">
        <f t="shared" si="1"/>
        <v>0</v>
      </c>
      <c r="E59" s="243"/>
      <c r="F59" s="498">
        <f t="shared" si="2"/>
        <v>0</v>
      </c>
      <c r="G59" s="499">
        <f t="shared" si="3"/>
        <v>0</v>
      </c>
      <c r="H59" s="243"/>
      <c r="I59" s="270">
        <f t="shared" si="4"/>
        <v>0</v>
      </c>
      <c r="J59" s="243"/>
      <c r="K59" s="277">
        <f t="shared" si="5"/>
        <v>0</v>
      </c>
      <c r="L59" s="500">
        <f t="shared" si="6"/>
        <v>0</v>
      </c>
    </row>
    <row r="60" spans="1:12">
      <c r="A60" s="241">
        <v>44835</v>
      </c>
      <c r="B60" s="317">
        <f t="shared" si="0"/>
        <v>0</v>
      </c>
      <c r="C60" s="243"/>
      <c r="D60" s="399">
        <f t="shared" si="1"/>
        <v>0</v>
      </c>
      <c r="E60" s="243"/>
      <c r="F60" s="498">
        <f t="shared" si="2"/>
        <v>0</v>
      </c>
      <c r="G60" s="499">
        <f t="shared" si="3"/>
        <v>0</v>
      </c>
      <c r="H60" s="243"/>
      <c r="I60" s="270">
        <f t="shared" si="4"/>
        <v>0</v>
      </c>
      <c r="J60" s="243"/>
      <c r="K60" s="277">
        <f t="shared" si="5"/>
        <v>0</v>
      </c>
      <c r="L60" s="500">
        <f t="shared" si="6"/>
        <v>0</v>
      </c>
    </row>
    <row r="61" spans="1:12">
      <c r="A61" s="241">
        <v>44866</v>
      </c>
      <c r="B61" s="317">
        <f t="shared" si="0"/>
        <v>0</v>
      </c>
      <c r="C61" s="243"/>
      <c r="D61" s="399">
        <f t="shared" si="1"/>
        <v>0</v>
      </c>
      <c r="E61" s="243"/>
      <c r="F61" s="498">
        <f t="shared" si="2"/>
        <v>0</v>
      </c>
      <c r="G61" s="499">
        <f t="shared" si="3"/>
        <v>0</v>
      </c>
      <c r="H61" s="243"/>
      <c r="I61" s="270">
        <f t="shared" si="4"/>
        <v>0</v>
      </c>
      <c r="J61" s="243"/>
      <c r="K61" s="277">
        <f t="shared" si="5"/>
        <v>0</v>
      </c>
      <c r="L61" s="500">
        <f t="shared" si="6"/>
        <v>0</v>
      </c>
    </row>
    <row r="62" spans="1:12">
      <c r="A62" s="241">
        <v>44896</v>
      </c>
      <c r="B62" s="317">
        <f t="shared" si="0"/>
        <v>0</v>
      </c>
      <c r="C62" s="243"/>
      <c r="D62" s="399">
        <f t="shared" si="1"/>
        <v>0</v>
      </c>
      <c r="E62" s="243"/>
      <c r="F62" s="498">
        <f t="shared" si="2"/>
        <v>0</v>
      </c>
      <c r="G62" s="499">
        <f t="shared" si="3"/>
        <v>0</v>
      </c>
      <c r="H62" s="243"/>
      <c r="I62" s="270">
        <f t="shared" si="4"/>
        <v>0</v>
      </c>
      <c r="J62" s="243"/>
      <c r="K62" s="277">
        <f t="shared" si="5"/>
        <v>0</v>
      </c>
      <c r="L62" s="500">
        <f t="shared" si="6"/>
        <v>0</v>
      </c>
    </row>
    <row r="63" spans="1:12">
      <c r="A63" s="241">
        <v>44562</v>
      </c>
      <c r="B63" s="317">
        <f t="shared" ref="B63:B67" si="7">C62</f>
        <v>0</v>
      </c>
      <c r="C63" s="243"/>
      <c r="D63" s="399">
        <f t="shared" ref="D63:D66" si="8">C63-B63</f>
        <v>0</v>
      </c>
      <c r="E63" s="243"/>
      <c r="F63" s="498">
        <f t="shared" ref="F63:F66" si="9">D63-E63</f>
        <v>0</v>
      </c>
      <c r="G63" s="499">
        <f t="shared" ref="G63:G67" si="10">H62</f>
        <v>0</v>
      </c>
      <c r="H63" s="243"/>
      <c r="I63" s="270">
        <f t="shared" ref="I63:I66" si="11">H63-G63</f>
        <v>0</v>
      </c>
      <c r="J63" s="243"/>
      <c r="K63" s="277">
        <f t="shared" ref="K63:K66" si="12">I63-J63</f>
        <v>0</v>
      </c>
      <c r="L63" s="500">
        <f t="shared" ref="L63:L74" si="13">I63+D63</f>
        <v>0</v>
      </c>
    </row>
    <row r="64" spans="1:12">
      <c r="A64" s="241">
        <v>44593</v>
      </c>
      <c r="B64" s="317">
        <f t="shared" si="7"/>
        <v>0</v>
      </c>
      <c r="C64" s="243"/>
      <c r="D64" s="399">
        <f t="shared" si="8"/>
        <v>0</v>
      </c>
      <c r="E64" s="243"/>
      <c r="F64" s="498">
        <f t="shared" si="9"/>
        <v>0</v>
      </c>
      <c r="G64" s="499">
        <f t="shared" si="10"/>
        <v>0</v>
      </c>
      <c r="H64" s="243"/>
      <c r="I64" s="270">
        <f t="shared" si="11"/>
        <v>0</v>
      </c>
      <c r="J64" s="243"/>
      <c r="K64" s="277">
        <f t="shared" si="12"/>
        <v>0</v>
      </c>
      <c r="L64" s="500">
        <f t="shared" si="13"/>
        <v>0</v>
      </c>
    </row>
    <row r="65" spans="1:12">
      <c r="A65" s="241">
        <v>44621</v>
      </c>
      <c r="B65" s="317">
        <f t="shared" si="7"/>
        <v>0</v>
      </c>
      <c r="C65" s="243"/>
      <c r="D65" s="399">
        <f t="shared" si="8"/>
        <v>0</v>
      </c>
      <c r="E65" s="243"/>
      <c r="F65" s="498">
        <f t="shared" si="9"/>
        <v>0</v>
      </c>
      <c r="G65" s="499">
        <f t="shared" si="10"/>
        <v>0</v>
      </c>
      <c r="H65" s="243"/>
      <c r="I65" s="270">
        <f t="shared" si="11"/>
        <v>0</v>
      </c>
      <c r="J65" s="243"/>
      <c r="K65" s="277">
        <f t="shared" si="12"/>
        <v>0</v>
      </c>
      <c r="L65" s="500">
        <f t="shared" si="13"/>
        <v>0</v>
      </c>
    </row>
    <row r="66" spans="1:12">
      <c r="A66" s="241">
        <v>44652</v>
      </c>
      <c r="B66" s="317">
        <f t="shared" si="7"/>
        <v>0</v>
      </c>
      <c r="C66" s="243"/>
      <c r="D66" s="399">
        <f t="shared" si="8"/>
        <v>0</v>
      </c>
      <c r="E66" s="243"/>
      <c r="F66" s="498">
        <f t="shared" si="9"/>
        <v>0</v>
      </c>
      <c r="G66" s="499">
        <f t="shared" si="10"/>
        <v>0</v>
      </c>
      <c r="H66" s="243"/>
      <c r="I66" s="270">
        <f t="shared" si="11"/>
        <v>0</v>
      </c>
      <c r="J66" s="243"/>
      <c r="K66" s="277">
        <f t="shared" si="12"/>
        <v>0</v>
      </c>
      <c r="L66" s="500">
        <f t="shared" si="13"/>
        <v>0</v>
      </c>
    </row>
    <row r="67" spans="1:12">
      <c r="A67" s="241">
        <v>44682</v>
      </c>
      <c r="B67" s="317">
        <f t="shared" si="7"/>
        <v>0</v>
      </c>
      <c r="C67" s="243"/>
      <c r="D67" s="399">
        <f t="shared" ref="D67:D74" si="14">C67-B67</f>
        <v>0</v>
      </c>
      <c r="E67" s="243"/>
      <c r="F67" s="498">
        <f t="shared" ref="F67:F74" si="15">D67-E67</f>
        <v>0</v>
      </c>
      <c r="G67" s="499">
        <f t="shared" si="10"/>
        <v>0</v>
      </c>
      <c r="H67" s="243"/>
      <c r="I67" s="270">
        <f t="shared" ref="I67:I74" si="16">H67-G67</f>
        <v>0</v>
      </c>
      <c r="J67" s="243"/>
      <c r="K67" s="277">
        <f t="shared" ref="K67:K74" si="17">I67-J67</f>
        <v>0</v>
      </c>
      <c r="L67" s="500">
        <f t="shared" si="13"/>
        <v>0</v>
      </c>
    </row>
    <row r="68" spans="1:12">
      <c r="A68" s="241">
        <v>44713</v>
      </c>
      <c r="B68" s="317">
        <f t="shared" ref="B68:B74" si="18">C67</f>
        <v>0</v>
      </c>
      <c r="C68" s="243"/>
      <c r="D68" s="399">
        <f t="shared" si="14"/>
        <v>0</v>
      </c>
      <c r="E68" s="243"/>
      <c r="F68" s="498">
        <f t="shared" si="15"/>
        <v>0</v>
      </c>
      <c r="G68" s="499">
        <f t="shared" ref="G68:G74" si="19">H67</f>
        <v>0</v>
      </c>
      <c r="H68" s="243"/>
      <c r="I68" s="270">
        <f t="shared" si="16"/>
        <v>0</v>
      </c>
      <c r="J68" s="243"/>
      <c r="K68" s="277">
        <f t="shared" si="17"/>
        <v>0</v>
      </c>
      <c r="L68" s="500">
        <f t="shared" si="13"/>
        <v>0</v>
      </c>
    </row>
    <row r="69" spans="1:12">
      <c r="A69" s="241">
        <v>44743</v>
      </c>
      <c r="B69" s="317">
        <f t="shared" si="18"/>
        <v>0</v>
      </c>
      <c r="C69" s="243"/>
      <c r="D69" s="399">
        <f t="shared" si="14"/>
        <v>0</v>
      </c>
      <c r="E69" s="243"/>
      <c r="F69" s="498">
        <f t="shared" si="15"/>
        <v>0</v>
      </c>
      <c r="G69" s="499">
        <f t="shared" si="19"/>
        <v>0</v>
      </c>
      <c r="H69" s="243"/>
      <c r="I69" s="270">
        <f t="shared" si="16"/>
        <v>0</v>
      </c>
      <c r="J69" s="243"/>
      <c r="K69" s="277">
        <f t="shared" si="17"/>
        <v>0</v>
      </c>
      <c r="L69" s="500">
        <f t="shared" si="13"/>
        <v>0</v>
      </c>
    </row>
    <row r="70" spans="1:12">
      <c r="A70" s="241">
        <v>44774</v>
      </c>
      <c r="B70" s="317">
        <f t="shared" si="18"/>
        <v>0</v>
      </c>
      <c r="C70" s="243"/>
      <c r="D70" s="399">
        <f t="shared" si="14"/>
        <v>0</v>
      </c>
      <c r="E70" s="243"/>
      <c r="F70" s="498">
        <f t="shared" si="15"/>
        <v>0</v>
      </c>
      <c r="G70" s="499">
        <f t="shared" si="19"/>
        <v>0</v>
      </c>
      <c r="H70" s="243"/>
      <c r="I70" s="270">
        <f t="shared" si="16"/>
        <v>0</v>
      </c>
      <c r="J70" s="243"/>
      <c r="K70" s="277">
        <f t="shared" si="17"/>
        <v>0</v>
      </c>
      <c r="L70" s="500">
        <f t="shared" si="13"/>
        <v>0</v>
      </c>
    </row>
    <row r="71" spans="1:12">
      <c r="A71" s="241">
        <v>44805</v>
      </c>
      <c r="B71" s="317">
        <f t="shared" si="18"/>
        <v>0</v>
      </c>
      <c r="C71" s="243"/>
      <c r="D71" s="399">
        <f t="shared" si="14"/>
        <v>0</v>
      </c>
      <c r="E71" s="243"/>
      <c r="F71" s="498">
        <f t="shared" si="15"/>
        <v>0</v>
      </c>
      <c r="G71" s="499">
        <f t="shared" si="19"/>
        <v>0</v>
      </c>
      <c r="H71" s="243"/>
      <c r="I71" s="270">
        <f t="shared" si="16"/>
        <v>0</v>
      </c>
      <c r="J71" s="243"/>
      <c r="K71" s="277">
        <f t="shared" si="17"/>
        <v>0</v>
      </c>
      <c r="L71" s="500">
        <f t="shared" si="13"/>
        <v>0</v>
      </c>
    </row>
    <row r="72" spans="1:12">
      <c r="A72" s="241">
        <v>44835</v>
      </c>
      <c r="B72" s="317">
        <f t="shared" si="18"/>
        <v>0</v>
      </c>
      <c r="C72" s="243"/>
      <c r="D72" s="399">
        <f t="shared" si="14"/>
        <v>0</v>
      </c>
      <c r="E72" s="243"/>
      <c r="F72" s="498">
        <f t="shared" si="15"/>
        <v>0</v>
      </c>
      <c r="G72" s="499">
        <f t="shared" si="19"/>
        <v>0</v>
      </c>
      <c r="H72" s="243"/>
      <c r="I72" s="270">
        <f t="shared" si="16"/>
        <v>0</v>
      </c>
      <c r="J72" s="243"/>
      <c r="K72" s="277">
        <f t="shared" si="17"/>
        <v>0</v>
      </c>
      <c r="L72" s="500">
        <f t="shared" si="13"/>
        <v>0</v>
      </c>
    </row>
    <row r="73" spans="1:12">
      <c r="A73" s="241">
        <v>44866</v>
      </c>
      <c r="B73" s="317">
        <f t="shared" si="18"/>
        <v>0</v>
      </c>
      <c r="C73" s="243"/>
      <c r="D73" s="399">
        <f t="shared" si="14"/>
        <v>0</v>
      </c>
      <c r="E73" s="243"/>
      <c r="F73" s="498">
        <f t="shared" si="15"/>
        <v>0</v>
      </c>
      <c r="G73" s="499">
        <f t="shared" si="19"/>
        <v>0</v>
      </c>
      <c r="H73" s="243"/>
      <c r="I73" s="270">
        <f t="shared" si="16"/>
        <v>0</v>
      </c>
      <c r="J73" s="243"/>
      <c r="K73" s="277">
        <f t="shared" si="17"/>
        <v>0</v>
      </c>
      <c r="L73" s="500">
        <f t="shared" si="13"/>
        <v>0</v>
      </c>
    </row>
    <row r="74" spans="1:12">
      <c r="A74" s="241">
        <v>44896</v>
      </c>
      <c r="B74" s="317">
        <f t="shared" si="18"/>
        <v>0</v>
      </c>
      <c r="C74" s="243"/>
      <c r="D74" s="399">
        <f t="shared" si="14"/>
        <v>0</v>
      </c>
      <c r="E74" s="243"/>
      <c r="F74" s="498">
        <f t="shared" si="15"/>
        <v>0</v>
      </c>
      <c r="G74" s="499">
        <f t="shared" si="19"/>
        <v>0</v>
      </c>
      <c r="H74" s="243"/>
      <c r="I74" s="270">
        <f t="shared" si="16"/>
        <v>0</v>
      </c>
      <c r="J74" s="243"/>
      <c r="K74" s="277">
        <f t="shared" si="17"/>
        <v>0</v>
      </c>
      <c r="L74" s="500">
        <f t="shared" si="13"/>
        <v>0</v>
      </c>
    </row>
    <row r="75" spans="1:12" ht="13.5" thickBot="1"/>
    <row r="76" spans="1:12">
      <c r="B76" s="956"/>
      <c r="C76" s="957"/>
      <c r="D76" s="957"/>
      <c r="E76" s="958"/>
      <c r="H76" s="956"/>
      <c r="I76" s="957"/>
      <c r="J76" s="957"/>
      <c r="K76" s="957"/>
      <c r="L76" s="958"/>
    </row>
    <row r="77" spans="1:12">
      <c r="B77" s="959"/>
      <c r="C77" s="960"/>
      <c r="D77" s="960"/>
      <c r="E77" s="961"/>
      <c r="H77" s="959"/>
      <c r="I77" s="960"/>
      <c r="J77" s="960"/>
      <c r="K77" s="960"/>
      <c r="L77" s="961"/>
    </row>
    <row r="78" spans="1:12">
      <c r="B78" s="959"/>
      <c r="C78" s="960"/>
      <c r="D78" s="960"/>
      <c r="E78" s="961"/>
      <c r="H78" s="959"/>
      <c r="I78" s="960"/>
      <c r="J78" s="960"/>
      <c r="K78" s="960"/>
      <c r="L78" s="961"/>
    </row>
    <row r="79" spans="1:12">
      <c r="B79" s="959"/>
      <c r="C79" s="960"/>
      <c r="D79" s="960"/>
      <c r="E79" s="961"/>
      <c r="H79" s="959"/>
      <c r="I79" s="960"/>
      <c r="J79" s="960"/>
      <c r="K79" s="960"/>
      <c r="L79" s="961"/>
    </row>
    <row r="80" spans="1:12">
      <c r="B80" s="959"/>
      <c r="C80" s="960"/>
      <c r="D80" s="960"/>
      <c r="E80" s="961"/>
      <c r="H80" s="959"/>
      <c r="I80" s="960"/>
      <c r="J80" s="960"/>
      <c r="K80" s="960"/>
      <c r="L80" s="961"/>
    </row>
    <row r="81" spans="2:12">
      <c r="B81" s="959"/>
      <c r="C81" s="960"/>
      <c r="D81" s="960"/>
      <c r="E81" s="961"/>
      <c r="H81" s="959"/>
      <c r="I81" s="960"/>
      <c r="J81" s="960"/>
      <c r="K81" s="960"/>
      <c r="L81" s="961"/>
    </row>
    <row r="82" spans="2:12">
      <c r="B82" s="959"/>
      <c r="C82" s="960"/>
      <c r="D82" s="960"/>
      <c r="E82" s="961"/>
      <c r="H82" s="959"/>
      <c r="I82" s="960"/>
      <c r="J82" s="960"/>
      <c r="K82" s="960"/>
      <c r="L82" s="961"/>
    </row>
    <row r="83" spans="2:12">
      <c r="B83" s="959"/>
      <c r="C83" s="960"/>
      <c r="D83" s="960"/>
      <c r="E83" s="961"/>
      <c r="H83" s="959"/>
      <c r="I83" s="960"/>
      <c r="J83" s="960"/>
      <c r="K83" s="960"/>
      <c r="L83" s="961"/>
    </row>
    <row r="84" spans="2:12">
      <c r="B84" s="959"/>
      <c r="C84" s="960"/>
      <c r="D84" s="960"/>
      <c r="E84" s="961"/>
      <c r="H84" s="959"/>
      <c r="I84" s="960"/>
      <c r="J84" s="960"/>
      <c r="K84" s="960"/>
      <c r="L84" s="961"/>
    </row>
    <row r="85" spans="2:12">
      <c r="B85" s="959"/>
      <c r="C85" s="960"/>
      <c r="D85" s="960"/>
      <c r="E85" s="961"/>
      <c r="H85" s="959"/>
      <c r="I85" s="960"/>
      <c r="J85" s="960"/>
      <c r="K85" s="960"/>
      <c r="L85" s="961"/>
    </row>
    <row r="86" spans="2:12">
      <c r="B86" s="959"/>
      <c r="C86" s="960"/>
      <c r="D86" s="960"/>
      <c r="E86" s="961"/>
      <c r="H86" s="959"/>
      <c r="I86" s="960"/>
      <c r="J86" s="960"/>
      <c r="K86" s="960"/>
      <c r="L86" s="961"/>
    </row>
    <row r="87" spans="2:12">
      <c r="B87" s="959"/>
      <c r="C87" s="960"/>
      <c r="D87" s="960"/>
      <c r="E87" s="961"/>
      <c r="H87" s="959"/>
      <c r="I87" s="960"/>
      <c r="J87" s="960"/>
      <c r="K87" s="960"/>
      <c r="L87" s="961"/>
    </row>
    <row r="88" spans="2:12">
      <c r="B88" s="959"/>
      <c r="C88" s="960"/>
      <c r="D88" s="960"/>
      <c r="E88" s="961"/>
      <c r="H88" s="959"/>
      <c r="I88" s="960"/>
      <c r="J88" s="960"/>
      <c r="K88" s="960"/>
      <c r="L88" s="961"/>
    </row>
    <row r="89" spans="2:12">
      <c r="B89" s="959"/>
      <c r="C89" s="960"/>
      <c r="D89" s="960"/>
      <c r="E89" s="961"/>
      <c r="H89" s="959"/>
      <c r="I89" s="960"/>
      <c r="J89" s="960"/>
      <c r="K89" s="960"/>
      <c r="L89" s="961"/>
    </row>
    <row r="90" spans="2:12" ht="13.5" thickBot="1">
      <c r="B90" s="962"/>
      <c r="C90" s="963"/>
      <c r="D90" s="963"/>
      <c r="E90" s="964"/>
      <c r="H90" s="962"/>
      <c r="I90" s="963"/>
      <c r="J90" s="963"/>
      <c r="K90" s="963"/>
      <c r="L90" s="964"/>
    </row>
    <row r="91" spans="2:12">
      <c r="B91" s="965" t="s">
        <v>312</v>
      </c>
      <c r="C91" s="966"/>
      <c r="D91" s="966"/>
      <c r="E91" s="967"/>
      <c r="H91" s="965" t="s">
        <v>313</v>
      </c>
      <c r="I91" s="966"/>
      <c r="J91" s="966"/>
      <c r="K91" s="966"/>
      <c r="L91" s="967"/>
    </row>
    <row r="92" spans="2:12">
      <c r="B92" s="968"/>
      <c r="C92" s="969"/>
      <c r="D92" s="969"/>
      <c r="E92" s="970"/>
      <c r="H92" s="968"/>
      <c r="I92" s="969"/>
      <c r="J92" s="969"/>
      <c r="K92" s="969"/>
      <c r="L92" s="970"/>
    </row>
    <row r="93" spans="2:12" ht="13.5" thickBot="1">
      <c r="B93" s="971"/>
      <c r="C93" s="972"/>
      <c r="D93" s="972"/>
      <c r="E93" s="973"/>
      <c r="H93" s="971"/>
      <c r="I93" s="972"/>
      <c r="J93" s="972"/>
      <c r="K93" s="972"/>
      <c r="L93" s="973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3" workbookViewId="0">
      <selection activeCell="M31" sqref="M31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74" t="s">
        <v>254</v>
      </c>
      <c r="B1" s="974"/>
      <c r="C1" s="974"/>
      <c r="D1" s="974"/>
      <c r="E1" s="974"/>
      <c r="F1" s="974"/>
      <c r="G1" s="974"/>
      <c r="H1" s="974"/>
      <c r="I1" s="974"/>
      <c r="J1" s="974"/>
    </row>
    <row r="2" spans="1:10" ht="19.5" thickBot="1">
      <c r="A2" s="983">
        <f>A5</f>
        <v>44105</v>
      </c>
      <c r="B2" s="984"/>
      <c r="C2" s="984"/>
      <c r="D2" s="984"/>
      <c r="E2" s="984"/>
      <c r="F2" s="984"/>
      <c r="G2" s="984"/>
      <c r="H2" s="984"/>
      <c r="I2" s="984"/>
      <c r="J2" s="984"/>
    </row>
    <row r="3" spans="1:10" ht="15.75" thickBot="1">
      <c r="A3" s="975" t="s">
        <v>7</v>
      </c>
      <c r="B3" s="977" t="s">
        <v>255</v>
      </c>
      <c r="C3" s="449"/>
      <c r="D3" s="979" t="s">
        <v>256</v>
      </c>
      <c r="E3" s="980"/>
      <c r="F3" s="981" t="s">
        <v>257</v>
      </c>
      <c r="G3" s="982"/>
      <c r="H3" s="980"/>
      <c r="I3" s="981" t="s">
        <v>258</v>
      </c>
      <c r="J3" s="980"/>
    </row>
    <row r="4" spans="1:10" ht="30.75" thickBot="1">
      <c r="A4" s="976"/>
      <c r="B4" s="978"/>
      <c r="C4" s="455" t="s">
        <v>303</v>
      </c>
      <c r="D4" s="400" t="s">
        <v>259</v>
      </c>
      <c r="E4" s="405" t="s">
        <v>3</v>
      </c>
      <c r="F4" s="400" t="s">
        <v>259</v>
      </c>
      <c r="G4" s="400" t="s">
        <v>260</v>
      </c>
      <c r="H4" s="400" t="s">
        <v>261</v>
      </c>
      <c r="I4" s="400" t="s">
        <v>17</v>
      </c>
      <c r="J4" s="400" t="s">
        <v>262</v>
      </c>
    </row>
    <row r="5" spans="1:10" ht="17.100000000000001" customHeight="1">
      <c r="A5" s="218">
        <f>Gen!B11</f>
        <v>44105</v>
      </c>
      <c r="B5" s="407">
        <f>Gen!C11</f>
        <v>5.1900000000000002E-2</v>
      </c>
      <c r="C5" s="453">
        <f>Gen!AK11</f>
        <v>0</v>
      </c>
      <c r="D5" s="454">
        <f>Gen!T11</f>
        <v>911.04</v>
      </c>
      <c r="E5" s="402">
        <f>Gen!D11</f>
        <v>38003.53</v>
      </c>
      <c r="F5" s="403">
        <f>'Water-Meter'!E6</f>
        <v>36</v>
      </c>
      <c r="G5" s="404">
        <f>'Water-Meter'!AN6</f>
        <v>87</v>
      </c>
      <c r="H5" s="402">
        <f>'Utility report '!AC6</f>
        <v>37</v>
      </c>
      <c r="I5" s="401">
        <f>'Kit report'!F4</f>
        <v>192.00000000004366</v>
      </c>
      <c r="J5" s="402">
        <f>'Kit report'!X4</f>
        <v>100</v>
      </c>
    </row>
    <row r="6" spans="1:10" ht="17.100000000000001" customHeight="1">
      <c r="A6" s="218">
        <f>Gen!B12</f>
        <v>44106</v>
      </c>
      <c r="B6" s="406">
        <f>Gen!C12</f>
        <v>3.9E-2</v>
      </c>
      <c r="C6" s="453">
        <f>Gen!AK12</f>
        <v>0</v>
      </c>
      <c r="D6" s="454">
        <f>Gen!T12</f>
        <v>976.24</v>
      </c>
      <c r="E6" s="402">
        <f>Gen!D12</f>
        <v>37092.49</v>
      </c>
      <c r="F6" s="403">
        <f>'Water-Meter'!E7</f>
        <v>45</v>
      </c>
      <c r="G6" s="404">
        <f>'Water-Meter'!AN7</f>
        <v>75</v>
      </c>
      <c r="H6" s="402">
        <f>'Utility report '!AC7</f>
        <v>55</v>
      </c>
      <c r="I6" s="401">
        <f>'Kit report'!F5</f>
        <v>227.99999999995634</v>
      </c>
      <c r="J6" s="402">
        <f>'Kit report'!X5</f>
        <v>80.000000000109139</v>
      </c>
    </row>
    <row r="7" spans="1:10" ht="17.100000000000001" customHeight="1">
      <c r="A7" s="218">
        <f>Gen!B13</f>
        <v>44107</v>
      </c>
      <c r="B7" s="406">
        <f>Gen!C13</f>
        <v>2.5999999999999999E-2</v>
      </c>
      <c r="C7" s="453">
        <f>Gen!AK13</f>
        <v>47.58</v>
      </c>
      <c r="D7" s="454">
        <f>Gen!T13</f>
        <v>996.18</v>
      </c>
      <c r="E7" s="402">
        <f>Gen!D13</f>
        <v>36116.25</v>
      </c>
      <c r="F7" s="403">
        <f>'Water-Meter'!E8</f>
        <v>36</v>
      </c>
      <c r="G7" s="404">
        <f>'Water-Meter'!AN8</f>
        <v>104</v>
      </c>
      <c r="H7" s="402">
        <f>'Utility report '!AC8</f>
        <v>83</v>
      </c>
      <c r="I7" s="401">
        <f>'Kit report'!F6</f>
        <v>215.99999999991269</v>
      </c>
      <c r="J7" s="402">
        <f>'Kit report'!X6</f>
        <v>119.99999999989086</v>
      </c>
    </row>
    <row r="8" spans="1:10" ht="17.100000000000001" customHeight="1">
      <c r="A8" s="218">
        <f>Gen!B14</f>
        <v>44108</v>
      </c>
      <c r="B8" s="406">
        <f>Gen!C14</f>
        <v>1.2999999999999999E-2</v>
      </c>
      <c r="C8" s="453">
        <f>Gen!AK14</f>
        <v>0</v>
      </c>
      <c r="D8" s="454">
        <f>Gen!T14</f>
        <v>924.63</v>
      </c>
      <c r="E8" s="402">
        <f>Gen!D14</f>
        <v>35072.49</v>
      </c>
      <c r="F8" s="403">
        <f>'Water-Meter'!E9</f>
        <v>60</v>
      </c>
      <c r="G8" s="404">
        <f>'Water-Meter'!AN9</f>
        <v>126</v>
      </c>
      <c r="H8" s="402">
        <f>'Utility report '!AC9</f>
        <v>12</v>
      </c>
      <c r="I8" s="401">
        <f>'Kit report'!F7</f>
        <v>192.00000000004366</v>
      </c>
      <c r="J8" s="402">
        <f>'Kit report'!X7</f>
        <v>39.99999999996362</v>
      </c>
    </row>
    <row r="9" spans="1:10" ht="17.100000000000001" customHeight="1">
      <c r="A9" s="218">
        <f>Gen!B15</f>
        <v>44109</v>
      </c>
      <c r="B9" s="406">
        <f>Gen!C15</f>
        <v>2.3E-2</v>
      </c>
      <c r="C9" s="453">
        <f>Gen!AK15</f>
        <v>0</v>
      </c>
      <c r="D9" s="454">
        <f>Gen!T15</f>
        <v>936.98</v>
      </c>
      <c r="E9" s="402">
        <f>Gen!D15</f>
        <v>34147.86</v>
      </c>
      <c r="F9" s="403">
        <f>'Water-Meter'!E10</f>
        <v>45</v>
      </c>
      <c r="G9" s="404">
        <f>'Water-Meter'!AN10</f>
        <v>88</v>
      </c>
      <c r="H9" s="402">
        <f>'Utility report '!AC10</f>
        <v>58</v>
      </c>
      <c r="I9" s="401">
        <f>'Kit report'!F8</f>
        <v>240</v>
      </c>
      <c r="J9" s="402">
        <f>'Kit report'!X8</f>
        <v>40.000000000145519</v>
      </c>
    </row>
    <row r="10" spans="1:10" ht="17.100000000000001" customHeight="1">
      <c r="A10" s="218">
        <f>Gen!B16</f>
        <v>44110</v>
      </c>
      <c r="B10" s="406">
        <f>Gen!C16</f>
        <v>2.3E-2</v>
      </c>
      <c r="C10" s="453">
        <f>Gen!AK16</f>
        <v>0</v>
      </c>
      <c r="D10" s="454">
        <f>Gen!T16</f>
        <v>982.58999999999992</v>
      </c>
      <c r="E10" s="402">
        <f>Gen!D16</f>
        <v>33210.879999999997</v>
      </c>
      <c r="F10" s="403">
        <f>'Water-Meter'!E11</f>
        <v>57</v>
      </c>
      <c r="G10" s="404">
        <f>'Water-Meter'!AN11</f>
        <v>112</v>
      </c>
      <c r="H10" s="402">
        <f>'Utility report '!AC11</f>
        <v>64</v>
      </c>
      <c r="I10" s="401">
        <f>'Kit report'!F9</f>
        <v>227.99999999995634</v>
      </c>
      <c r="J10" s="402">
        <f>'Kit report'!X9</f>
        <v>59.999999999854481</v>
      </c>
    </row>
    <row r="11" spans="1:10" ht="17.100000000000001" customHeight="1">
      <c r="A11" s="218">
        <f>Gen!B17</f>
        <v>44111</v>
      </c>
      <c r="B11" s="406">
        <f>Gen!C17</f>
        <v>3.9E-2</v>
      </c>
      <c r="C11" s="453">
        <f>Gen!AK17</f>
        <v>0</v>
      </c>
      <c r="D11" s="454">
        <f>Gen!T17</f>
        <v>950.56999999999994</v>
      </c>
      <c r="E11" s="402">
        <f>Gen!D17</f>
        <v>32228.289999999997</v>
      </c>
      <c r="F11" s="403">
        <f>'Water-Meter'!E12</f>
        <v>59</v>
      </c>
      <c r="G11" s="404">
        <f>'Water-Meter'!AN12</f>
        <v>110</v>
      </c>
      <c r="H11" s="402">
        <f>'Utility report '!AC12</f>
        <v>43</v>
      </c>
      <c r="I11" s="401">
        <f>'Kit report'!F10</f>
        <v>216.00000000013097</v>
      </c>
      <c r="J11" s="402">
        <f>'Kit report'!X10</f>
        <v>40.000000000145519</v>
      </c>
    </row>
    <row r="12" spans="1:10" ht="17.100000000000001" customHeight="1">
      <c r="A12" s="218">
        <f>Gen!B18</f>
        <v>44112</v>
      </c>
      <c r="B12" s="406">
        <f>Gen!C18</f>
        <v>5.1900000000000002E-2</v>
      </c>
      <c r="C12" s="453">
        <f>Gen!AK18</f>
        <v>91</v>
      </c>
      <c r="D12" s="454">
        <f>Gen!T18</f>
        <v>956.81999999999994</v>
      </c>
      <c r="E12" s="402">
        <f>Gen!D18</f>
        <v>31277.719999999998</v>
      </c>
      <c r="F12" s="403">
        <f>'Water-Meter'!E13</f>
        <v>46</v>
      </c>
      <c r="G12" s="404">
        <f>'Water-Meter'!AN13</f>
        <v>84</v>
      </c>
      <c r="H12" s="402">
        <f>'Utility report '!AC13</f>
        <v>54</v>
      </c>
      <c r="I12" s="401">
        <f>'Kit report'!F11</f>
        <v>227.99999999995634</v>
      </c>
      <c r="J12" s="402">
        <f>'Kit report'!X11</f>
        <v>59.999999999854481</v>
      </c>
    </row>
    <row r="13" spans="1:10" ht="17.100000000000001" customHeight="1">
      <c r="A13" s="218">
        <f>Gen!B19</f>
        <v>44113</v>
      </c>
      <c r="B13" s="406">
        <f>Gen!C19</f>
        <v>5.1900000000000002E-2</v>
      </c>
      <c r="C13" s="453">
        <f>Gen!AK19</f>
        <v>76.97</v>
      </c>
      <c r="D13" s="454">
        <f>Gen!T19</f>
        <v>990.35</v>
      </c>
      <c r="E13" s="402">
        <f>Gen!D19</f>
        <v>30229.899999999998</v>
      </c>
      <c r="F13" s="403">
        <f>'Water-Meter'!E14</f>
        <v>56</v>
      </c>
      <c r="G13" s="404">
        <f>'Water-Meter'!AN14</f>
        <v>127</v>
      </c>
      <c r="H13" s="402">
        <f>'Utility report '!AC14</f>
        <v>98</v>
      </c>
      <c r="I13" s="401">
        <f>'Kit report'!F12</f>
        <v>240</v>
      </c>
      <c r="J13" s="402">
        <f>'Kit report'!X12</f>
        <v>100</v>
      </c>
    </row>
    <row r="14" spans="1:10" ht="17.100000000000001" customHeight="1">
      <c r="A14" s="218">
        <f>Gen!B20</f>
        <v>44114</v>
      </c>
      <c r="B14" s="406">
        <f>Gen!C20</f>
        <v>5.1900000000000002E-2</v>
      </c>
      <c r="C14" s="453">
        <f>Gen!AK20</f>
        <v>0</v>
      </c>
      <c r="D14" s="454">
        <f>Gen!T20</f>
        <v>995.05000000000007</v>
      </c>
      <c r="E14" s="402">
        <f>Gen!D20</f>
        <v>44162.58</v>
      </c>
      <c r="F14" s="403">
        <f>'Water-Meter'!E15</f>
        <v>98</v>
      </c>
      <c r="G14" s="404">
        <f>'Water-Meter'!AN15</f>
        <v>158</v>
      </c>
      <c r="H14" s="402">
        <f>'Utility report '!AC15</f>
        <v>49</v>
      </c>
      <c r="I14" s="401">
        <f>'Kit report'!F13</f>
        <v>203.99999999986903</v>
      </c>
      <c r="J14" s="402">
        <f>'Kit report'!X13</f>
        <v>40.000000000145519</v>
      </c>
    </row>
    <row r="15" spans="1:10" ht="17.100000000000001" customHeight="1">
      <c r="A15" s="218">
        <f>Gen!B21</f>
        <v>44115</v>
      </c>
      <c r="B15" s="406">
        <f>Gen!C21</f>
        <v>1.2999999999999999E-2</v>
      </c>
      <c r="C15" s="453">
        <f>Gen!AK21</f>
        <v>66.490000000000009</v>
      </c>
      <c r="D15" s="454">
        <f>Gen!T21</f>
        <v>980.98</v>
      </c>
      <c r="E15" s="402">
        <f>Gen!D21</f>
        <v>43167.53</v>
      </c>
      <c r="F15" s="403">
        <f>'Water-Meter'!E16</f>
        <v>73</v>
      </c>
      <c r="G15" s="404">
        <f>'Water-Meter'!AN16</f>
        <v>142</v>
      </c>
      <c r="H15" s="402">
        <f>'Utility report '!AC16</f>
        <v>116</v>
      </c>
      <c r="I15" s="401">
        <f>'Kit report'!F14</f>
        <v>216.00000000013097</v>
      </c>
      <c r="J15" s="402">
        <f>'Kit report'!X14</f>
        <v>59.999999999854481</v>
      </c>
    </row>
    <row r="16" spans="1:10" ht="17.100000000000001" customHeight="1">
      <c r="A16" s="218">
        <f>Gen!B22</f>
        <v>44116</v>
      </c>
      <c r="B16" s="406">
        <f>Gen!C22</f>
        <v>3.9E-2</v>
      </c>
      <c r="C16" s="453">
        <f>Gen!AK22</f>
        <v>71</v>
      </c>
      <c r="D16" s="454">
        <f>Gen!T22</f>
        <v>935.25</v>
      </c>
      <c r="E16" s="402">
        <f>Gen!D22</f>
        <v>42120.06</v>
      </c>
      <c r="F16" s="403">
        <f>'Water-Meter'!E17</f>
        <v>42</v>
      </c>
      <c r="G16" s="404">
        <f>'Water-Meter'!AN17</f>
        <v>140</v>
      </c>
      <c r="H16" s="402">
        <f>'Utility report '!AC17</f>
        <v>0</v>
      </c>
      <c r="I16" s="401">
        <f>'Kit report'!F15</f>
        <v>215.99999999991269</v>
      </c>
      <c r="J16" s="402">
        <f>'Kit report'!X15</f>
        <v>40.000000000145519</v>
      </c>
    </row>
    <row r="17" spans="1:10" ht="17.100000000000001" customHeight="1">
      <c r="A17" s="218">
        <f>Gen!B23</f>
        <v>44117</v>
      </c>
      <c r="B17" s="406">
        <f>Gen!C23</f>
        <v>5.1900000000000002E-2</v>
      </c>
      <c r="C17" s="453">
        <f>Gen!AK23</f>
        <v>71.09</v>
      </c>
      <c r="D17" s="454">
        <f>Gen!T23</f>
        <v>995.96</v>
      </c>
      <c r="E17" s="402">
        <f>Gen!D23</f>
        <v>41113.81</v>
      </c>
      <c r="F17" s="403">
        <f>'Water-Meter'!E18</f>
        <v>53</v>
      </c>
      <c r="G17" s="404">
        <f>'Water-Meter'!AN18</f>
        <v>162</v>
      </c>
      <c r="H17" s="402">
        <f>'Utility report '!AC18</f>
        <v>119</v>
      </c>
      <c r="I17" s="401">
        <f>'Kit report'!F16</f>
        <v>204.00000000008731</v>
      </c>
      <c r="J17" s="402">
        <f>'Kit report'!X16</f>
        <v>59.999999999854481</v>
      </c>
    </row>
    <row r="18" spans="1:10" ht="17.100000000000001" customHeight="1">
      <c r="A18" s="218">
        <f>Gen!B24</f>
        <v>44118</v>
      </c>
      <c r="B18" s="406">
        <f>Gen!C24</f>
        <v>1.2999999999999999E-2</v>
      </c>
      <c r="C18" s="453">
        <f>Gen!AK24</f>
        <v>58.87</v>
      </c>
      <c r="D18" s="454">
        <f>Gen!T24</f>
        <v>974.17000000000007</v>
      </c>
      <c r="E18" s="402">
        <f>Gen!D24</f>
        <v>40046.759999999995</v>
      </c>
      <c r="F18" s="403">
        <f>'Water-Meter'!E19</f>
        <v>43</v>
      </c>
      <c r="G18" s="404">
        <f>'Water-Meter'!AN19</f>
        <v>124</v>
      </c>
      <c r="H18" s="402">
        <f>'Utility report '!AC19</f>
        <v>20</v>
      </c>
      <c r="I18" s="401">
        <f>'Kit report'!F17</f>
        <v>203.99999999986903</v>
      </c>
      <c r="J18" s="402">
        <f>'Kit report'!X17</f>
        <v>60.00000000003638</v>
      </c>
    </row>
    <row r="19" spans="1:10" ht="17.100000000000001" customHeight="1">
      <c r="A19" s="218">
        <f>Gen!B25</f>
        <v>44119</v>
      </c>
      <c r="B19" s="406">
        <f>Gen!C25</f>
        <v>5.1900000000000002E-2</v>
      </c>
      <c r="C19" s="453">
        <f>Gen!AK25</f>
        <v>0</v>
      </c>
      <c r="D19" s="454">
        <f>Gen!T25</f>
        <v>1042.8800000000001</v>
      </c>
      <c r="E19" s="402">
        <f>Gen!D25</f>
        <v>39013.719999999994</v>
      </c>
      <c r="F19" s="403">
        <f>'Water-Meter'!E20</f>
        <v>48</v>
      </c>
      <c r="G19" s="404">
        <f>'Water-Meter'!AN20</f>
        <v>108</v>
      </c>
      <c r="H19" s="402">
        <f>'Utility report '!AC20</f>
        <v>45</v>
      </c>
      <c r="I19" s="401">
        <f>'Kit report'!F18</f>
        <v>204.00000000008731</v>
      </c>
      <c r="J19" s="402">
        <f>'Kit report'!X18</f>
        <v>160.00000000003638</v>
      </c>
    </row>
    <row r="20" spans="1:10" ht="17.100000000000001" customHeight="1">
      <c r="A20" s="218">
        <f>Gen!B26</f>
        <v>44120</v>
      </c>
      <c r="B20" s="406">
        <f>Gen!C26</f>
        <v>0.1169</v>
      </c>
      <c r="C20" s="453">
        <f>Gen!AK26</f>
        <v>102.83999999999999</v>
      </c>
      <c r="D20" s="454">
        <f>Gen!T26</f>
        <v>1176.97</v>
      </c>
      <c r="E20" s="402">
        <f>Gen!D26</f>
        <v>37970.839999999997</v>
      </c>
      <c r="F20" s="403">
        <f>'Water-Meter'!E21</f>
        <v>56</v>
      </c>
      <c r="G20" s="404">
        <f>'Water-Meter'!AN21</f>
        <v>106</v>
      </c>
      <c r="H20" s="402">
        <f>'Utility report '!AC21</f>
        <v>60</v>
      </c>
      <c r="I20" s="401">
        <f>'Kit report'!F19</f>
        <v>227.99999999995634</v>
      </c>
      <c r="J20" s="402">
        <f>'Kit report'!X19</f>
        <v>60.00000000003638</v>
      </c>
    </row>
    <row r="21" spans="1:10" ht="15">
      <c r="A21" s="218">
        <f>Gen!B27</f>
        <v>44121</v>
      </c>
      <c r="B21" s="406">
        <f>Gen!C27</f>
        <v>0.15790000000000001</v>
      </c>
      <c r="C21" s="453">
        <f>Gen!AK27</f>
        <v>163</v>
      </c>
      <c r="D21" s="454">
        <f>Gen!T27</f>
        <v>997.16000000000008</v>
      </c>
      <c r="E21" s="402">
        <f>Gen!D27</f>
        <v>36691.03</v>
      </c>
      <c r="F21" s="403">
        <f>'Water-Meter'!E22</f>
        <v>71</v>
      </c>
      <c r="G21" s="404">
        <f>'Water-Meter'!AN22</f>
        <v>77</v>
      </c>
      <c r="H21" s="402">
        <f>'Utility report '!AC22</f>
        <v>84</v>
      </c>
      <c r="I21" s="401">
        <f>'Kit report'!F20</f>
        <v>252.00000000004366</v>
      </c>
      <c r="J21" s="402">
        <f>'Kit report'!X20</f>
        <v>79.99999999992724</v>
      </c>
    </row>
    <row r="22" spans="1:10" ht="15" customHeight="1">
      <c r="A22" s="218">
        <f>Gen!B28</f>
        <v>44122</v>
      </c>
      <c r="B22" s="406">
        <f>Gen!C28</f>
        <v>0.15790000000000001</v>
      </c>
      <c r="C22" s="453">
        <f>Gen!AK28</f>
        <v>210.26999999999998</v>
      </c>
      <c r="D22" s="454">
        <f>Gen!T28</f>
        <v>1208.03</v>
      </c>
      <c r="E22" s="402">
        <f>Gen!D28</f>
        <v>35530.869999999995</v>
      </c>
      <c r="F22" s="403">
        <f>'Water-Meter'!E23</f>
        <v>57</v>
      </c>
      <c r="G22" s="404">
        <f>'Water-Meter'!AN23</f>
        <v>76</v>
      </c>
      <c r="H22" s="402">
        <f>'Utility report '!AC23</f>
        <v>44</v>
      </c>
      <c r="I22" s="401">
        <f>'Kit report'!F21</f>
        <v>240</v>
      </c>
      <c r="J22" s="402">
        <f>'Kit report'!X21</f>
        <v>180.00000000010914</v>
      </c>
    </row>
    <row r="23" spans="1:10" ht="15" customHeight="1">
      <c r="A23" s="218">
        <f>Gen!B29</f>
        <v>44123</v>
      </c>
      <c r="B23" s="406">
        <f>Gen!C29</f>
        <v>0.12989999999999999</v>
      </c>
      <c r="C23" s="453">
        <f>Gen!AK29</f>
        <v>0</v>
      </c>
      <c r="D23" s="454">
        <f>Gen!T29</f>
        <v>0</v>
      </c>
      <c r="E23" s="402">
        <f>Gen!D29</f>
        <v>34112.569999999992</v>
      </c>
      <c r="F23" s="403" t="str">
        <f>'Water-Meter'!E24</f>
        <v>0</v>
      </c>
      <c r="G23" s="404">
        <f>'Water-Meter'!AN24</f>
        <v>0</v>
      </c>
      <c r="H23" s="402">
        <f>'Utility report '!AC24</f>
        <v>-40219</v>
      </c>
      <c r="I23" s="401">
        <f>'Kit report'!F22</f>
        <v>-1065300</v>
      </c>
      <c r="J23" s="402">
        <f>'Kit report'!X22</f>
        <v>-1567220</v>
      </c>
    </row>
    <row r="24" spans="1:10" ht="15" customHeight="1">
      <c r="A24" s="218">
        <f>Gen!B30</f>
        <v>44124</v>
      </c>
      <c r="B24" s="406">
        <f>Gen!C30</f>
        <v>0</v>
      </c>
      <c r="C24" s="453">
        <f>Gen!AK30</f>
        <v>0</v>
      </c>
      <c r="D24" s="454">
        <f>Gen!T30</f>
        <v>0</v>
      </c>
      <c r="E24" s="402">
        <f>Gen!D30</f>
        <v>34112.569999999992</v>
      </c>
      <c r="F24" s="403">
        <f>'Water-Meter'!E25</f>
        <v>0</v>
      </c>
      <c r="G24" s="404">
        <f>'Water-Meter'!AN25</f>
        <v>0</v>
      </c>
      <c r="H24" s="402">
        <f>'Utility report '!AC25</f>
        <v>0</v>
      </c>
      <c r="I24" s="401">
        <f>'Kit report'!F23</f>
        <v>0</v>
      </c>
      <c r="J24" s="402">
        <f>'Kit report'!X23</f>
        <v>0</v>
      </c>
    </row>
    <row r="25" spans="1:10" ht="15" customHeight="1">
      <c r="A25" s="218">
        <f>Gen!B31</f>
        <v>44125</v>
      </c>
      <c r="B25" s="406">
        <f>Gen!C31</f>
        <v>0</v>
      </c>
      <c r="C25" s="453">
        <f>Gen!AK31</f>
        <v>0</v>
      </c>
      <c r="D25" s="454">
        <f>Gen!T31</f>
        <v>0</v>
      </c>
      <c r="E25" s="402">
        <f>Gen!D31</f>
        <v>34112.569999999992</v>
      </c>
      <c r="F25" s="403">
        <f>'Water-Meter'!E26</f>
        <v>0</v>
      </c>
      <c r="G25" s="404">
        <f>'Water-Meter'!AN26</f>
        <v>0</v>
      </c>
      <c r="H25" s="402">
        <f>'Utility report '!AC26</f>
        <v>0</v>
      </c>
      <c r="I25" s="401">
        <f>'Kit report'!F24</f>
        <v>0</v>
      </c>
      <c r="J25" s="402">
        <f>'Kit report'!X24</f>
        <v>0</v>
      </c>
    </row>
    <row r="26" spans="1:10" ht="15" customHeight="1">
      <c r="A26" s="218">
        <f>Gen!B32</f>
        <v>44126</v>
      </c>
      <c r="B26" s="406">
        <f>Gen!C32</f>
        <v>0</v>
      </c>
      <c r="C26" s="453">
        <f>Gen!AK32</f>
        <v>0</v>
      </c>
      <c r="D26" s="454">
        <f>Gen!T32</f>
        <v>0</v>
      </c>
      <c r="E26" s="402">
        <f>Gen!D32</f>
        <v>34112.569999999992</v>
      </c>
      <c r="F26" s="403">
        <f>'Water-Meter'!E27</f>
        <v>0</v>
      </c>
      <c r="G26" s="404">
        <f>'Water-Meter'!AN27</f>
        <v>0</v>
      </c>
      <c r="H26" s="402">
        <f>'Utility report '!AC27</f>
        <v>0</v>
      </c>
      <c r="I26" s="401">
        <f>'Kit report'!F25</f>
        <v>0</v>
      </c>
      <c r="J26" s="402">
        <f>'Kit report'!X25</f>
        <v>0</v>
      </c>
    </row>
    <row r="27" spans="1:10" ht="15" customHeight="1">
      <c r="A27" s="218">
        <f>Gen!B33</f>
        <v>44127</v>
      </c>
      <c r="B27" s="406">
        <f>Gen!C33</f>
        <v>0</v>
      </c>
      <c r="C27" s="453">
        <f>Gen!AK33</f>
        <v>0</v>
      </c>
      <c r="D27" s="454">
        <f>Gen!T33</f>
        <v>0</v>
      </c>
      <c r="E27" s="402">
        <f>Gen!D33</f>
        <v>34112.569999999992</v>
      </c>
      <c r="F27" s="403">
        <f>'Water-Meter'!E28</f>
        <v>0</v>
      </c>
      <c r="G27" s="404">
        <f>'Water-Meter'!AN28</f>
        <v>0</v>
      </c>
      <c r="H27" s="402">
        <f>'Utility report '!AC28</f>
        <v>0</v>
      </c>
      <c r="I27" s="401">
        <f>'Kit report'!F26</f>
        <v>0</v>
      </c>
      <c r="J27" s="402">
        <f>'Kit report'!X26</f>
        <v>0</v>
      </c>
    </row>
    <row r="28" spans="1:10" ht="15" customHeight="1">
      <c r="A28" s="218">
        <f>Gen!B34</f>
        <v>44128</v>
      </c>
      <c r="B28" s="406">
        <v>9.0999999999999998E-2</v>
      </c>
      <c r="C28" s="453">
        <f>Gen!AK34</f>
        <v>0</v>
      </c>
      <c r="D28" s="454">
        <f>Gen!T34</f>
        <v>0</v>
      </c>
      <c r="E28" s="402">
        <f>Gen!D34</f>
        <v>34112.569999999992</v>
      </c>
      <c r="F28" s="403">
        <f>'Water-Meter'!E29</f>
        <v>0</v>
      </c>
      <c r="G28" s="404">
        <f>'Water-Meter'!AN29</f>
        <v>0</v>
      </c>
      <c r="H28" s="402">
        <f>'Utility report '!AC29</f>
        <v>0</v>
      </c>
      <c r="I28" s="401">
        <f>'Kit report'!F27</f>
        <v>0</v>
      </c>
      <c r="J28" s="402">
        <f>'Kit report'!X27</f>
        <v>0</v>
      </c>
    </row>
    <row r="29" spans="1:10" ht="15" customHeight="1">
      <c r="A29" s="218">
        <f>Gen!B35</f>
        <v>44129</v>
      </c>
      <c r="B29" s="406">
        <f>Gen!C35</f>
        <v>0</v>
      </c>
      <c r="C29" s="453">
        <f>Gen!AK35</f>
        <v>0</v>
      </c>
      <c r="D29" s="454">
        <f>Gen!T35</f>
        <v>0</v>
      </c>
      <c r="E29" s="402">
        <f>Gen!D35</f>
        <v>34112.569999999992</v>
      </c>
      <c r="F29" s="403">
        <f>'Water-Meter'!E30</f>
        <v>0</v>
      </c>
      <c r="G29" s="404">
        <f>'Water-Meter'!AN30</f>
        <v>0</v>
      </c>
      <c r="H29" s="402">
        <f>'Utility report '!AC30</f>
        <v>0</v>
      </c>
      <c r="I29" s="401">
        <f>'Kit report'!F28</f>
        <v>0</v>
      </c>
      <c r="J29" s="402">
        <f>'Kit report'!X28</f>
        <v>0</v>
      </c>
    </row>
    <row r="30" spans="1:10" ht="15" customHeight="1">
      <c r="A30" s="218">
        <f>Gen!B36</f>
        <v>44130</v>
      </c>
      <c r="B30" s="406">
        <f>Gen!C36</f>
        <v>0</v>
      </c>
      <c r="C30" s="453">
        <f>Gen!AK36</f>
        <v>0</v>
      </c>
      <c r="D30" s="454">
        <f>Gen!T36</f>
        <v>0</v>
      </c>
      <c r="E30" s="402">
        <f>Gen!D36</f>
        <v>34112.569999999992</v>
      </c>
      <c r="F30" s="403">
        <f>'Water-Meter'!E31</f>
        <v>0</v>
      </c>
      <c r="G30" s="404">
        <f>'Water-Meter'!AN31</f>
        <v>0</v>
      </c>
      <c r="H30" s="402">
        <f>'Utility report '!AC31</f>
        <v>0</v>
      </c>
      <c r="I30" s="401">
        <f>'Kit report'!F29</f>
        <v>0</v>
      </c>
      <c r="J30" s="402">
        <f>'Kit report'!X29</f>
        <v>0</v>
      </c>
    </row>
    <row r="31" spans="1:10" ht="15" customHeight="1">
      <c r="A31" s="218">
        <f>Gen!B37</f>
        <v>44131</v>
      </c>
      <c r="B31" s="406">
        <f>Gen!C37</f>
        <v>0</v>
      </c>
      <c r="C31" s="453">
        <f>Gen!AK37</f>
        <v>0</v>
      </c>
      <c r="D31" s="454">
        <f>Gen!T37</f>
        <v>0</v>
      </c>
      <c r="E31" s="402">
        <f>Gen!D37</f>
        <v>34112.569999999992</v>
      </c>
      <c r="F31" s="403">
        <f>'Water-Meter'!E32</f>
        <v>0</v>
      </c>
      <c r="G31" s="404">
        <f>'Water-Meter'!AN32</f>
        <v>0</v>
      </c>
      <c r="H31" s="402">
        <f>'Utility report '!AC32</f>
        <v>0</v>
      </c>
      <c r="I31" s="401">
        <f>'Kit report'!F30</f>
        <v>0</v>
      </c>
      <c r="J31" s="402">
        <f>'Kit report'!X30</f>
        <v>0</v>
      </c>
    </row>
    <row r="32" spans="1:10" ht="15" customHeight="1">
      <c r="A32" s="218">
        <f>Gen!B38</f>
        <v>44132</v>
      </c>
      <c r="B32" s="406">
        <f>Gen!C38</f>
        <v>0</v>
      </c>
      <c r="C32" s="453">
        <f>Gen!AK38</f>
        <v>0</v>
      </c>
      <c r="D32" s="454">
        <f>Gen!T38</f>
        <v>0</v>
      </c>
      <c r="E32" s="402">
        <f>Gen!D38</f>
        <v>34112.569999999992</v>
      </c>
      <c r="F32" s="403">
        <f>'Water-Meter'!E33</f>
        <v>0</v>
      </c>
      <c r="G32" s="404">
        <f>'Water-Meter'!AN33</f>
        <v>0</v>
      </c>
      <c r="H32" s="402">
        <f>'Utility report '!AC33</f>
        <v>0</v>
      </c>
      <c r="I32" s="401">
        <f>'Kit report'!F31</f>
        <v>0</v>
      </c>
      <c r="J32" s="402">
        <f>'Kit report'!X31</f>
        <v>0</v>
      </c>
    </row>
    <row r="33" spans="1:10" ht="15" customHeight="1">
      <c r="A33" s="218">
        <f>Gen!B39</f>
        <v>44133</v>
      </c>
      <c r="B33" s="406">
        <f>Gen!C39</f>
        <v>0</v>
      </c>
      <c r="C33" s="453">
        <f>Gen!AK39</f>
        <v>0</v>
      </c>
      <c r="D33" s="454">
        <f>Gen!T39</f>
        <v>0</v>
      </c>
      <c r="E33" s="402">
        <f>Gen!D39</f>
        <v>34112.569999999992</v>
      </c>
      <c r="F33" s="403">
        <f>'Water-Meter'!E34</f>
        <v>0</v>
      </c>
      <c r="G33" s="404">
        <f>'Water-Meter'!AN34</f>
        <v>0</v>
      </c>
      <c r="H33" s="402">
        <f>'Utility report '!AC34</f>
        <v>0</v>
      </c>
      <c r="I33" s="401">
        <f>'Kit report'!F32</f>
        <v>0</v>
      </c>
      <c r="J33" s="402">
        <f>'Kit report'!X32</f>
        <v>0</v>
      </c>
    </row>
    <row r="34" spans="1:10" ht="15" customHeight="1">
      <c r="A34" s="218">
        <f>Gen!B40</f>
        <v>44134</v>
      </c>
      <c r="B34" s="451">
        <f>Gen!C40</f>
        <v>0</v>
      </c>
      <c r="C34" s="453">
        <f>Gen!AK40</f>
        <v>0</v>
      </c>
      <c r="D34" s="454">
        <f>Gen!T40</f>
        <v>0</v>
      </c>
      <c r="E34" s="452">
        <f>Gen!D40</f>
        <v>34112.569999999992</v>
      </c>
      <c r="F34" s="403">
        <f>'Water-Meter'!E35</f>
        <v>0</v>
      </c>
      <c r="G34" s="404">
        <f>'Water-Meter'!AN35</f>
        <v>0</v>
      </c>
      <c r="H34" s="402">
        <f>'Utility report '!AC35</f>
        <v>0</v>
      </c>
      <c r="I34" s="401">
        <f>'Kit report'!F33</f>
        <v>0</v>
      </c>
      <c r="J34" s="402">
        <f>'Kit report'!X33</f>
        <v>0</v>
      </c>
    </row>
    <row r="35" spans="1:10" ht="15" customHeight="1">
      <c r="A35" s="218">
        <f>Gen!B41</f>
        <v>44135</v>
      </c>
      <c r="B35" s="406">
        <f>Gen!C41</f>
        <v>0</v>
      </c>
      <c r="C35" s="453">
        <f>Gen!AK41</f>
        <v>0</v>
      </c>
      <c r="D35" s="454">
        <f>Gen!T41</f>
        <v>0</v>
      </c>
      <c r="E35" s="404">
        <f>Gen!D41</f>
        <v>34112.569999999992</v>
      </c>
      <c r="F35" s="403">
        <f>'Water-Meter'!E36</f>
        <v>0</v>
      </c>
      <c r="G35" s="404">
        <f>'Water-Meter'!AN36</f>
        <v>0</v>
      </c>
      <c r="H35" s="402">
        <f>'Utility report '!AC36</f>
        <v>0</v>
      </c>
      <c r="I35" s="401">
        <f>'Kit report'!F34</f>
        <v>0</v>
      </c>
      <c r="J35" s="402">
        <f>'Kit report'!X34</f>
        <v>0</v>
      </c>
    </row>
    <row r="36" spans="1:10" ht="15">
      <c r="A36" s="218"/>
      <c r="B36" s="18"/>
      <c r="C36" s="453">
        <f>Gen!AK42</f>
        <v>0</v>
      </c>
      <c r="D36" s="454">
        <f>Gen!T42</f>
        <v>0</v>
      </c>
      <c r="E36" s="404">
        <f>Gen!D42</f>
        <v>34112.569999999992</v>
      </c>
      <c r="F36" s="403">
        <f>'Water-Meter'!E37</f>
        <v>0</v>
      </c>
      <c r="G36" s="404">
        <f>'Water-Meter'!AN37</f>
        <v>677</v>
      </c>
      <c r="H36" s="402">
        <f>'Utility report '!AC37</f>
        <v>0</v>
      </c>
      <c r="I36" s="401">
        <f>'Kit report'!F35</f>
        <v>635.99999999991269</v>
      </c>
      <c r="J36" s="402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john.japhet</cp:lastModifiedBy>
  <cp:lastPrinted>2020-08-16T05:05:58Z</cp:lastPrinted>
  <dcterms:created xsi:type="dcterms:W3CDTF">2009-01-25T09:02:38Z</dcterms:created>
  <dcterms:modified xsi:type="dcterms:W3CDTF">2020-10-19T05:35:14Z</dcterms:modified>
</cp:coreProperties>
</file>