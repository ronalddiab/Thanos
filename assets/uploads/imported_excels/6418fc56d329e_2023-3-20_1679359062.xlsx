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11655" windowHeight="747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Gas" sheetId="5" r:id="rId5"/>
    <sheet name="Water" sheetId="3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4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9" l="1"/>
  <c r="B31" i="9" s="1"/>
  <c r="B32" i="9" s="1"/>
  <c r="G30" i="9"/>
  <c r="I30" i="9"/>
  <c r="K30" i="9"/>
  <c r="G31" i="9"/>
  <c r="I31" i="9"/>
  <c r="K31" i="9"/>
  <c r="G32" i="9"/>
  <c r="I32" i="9"/>
  <c r="K32" i="9"/>
  <c r="B30" i="8"/>
  <c r="E30" i="8"/>
  <c r="F30" i="8"/>
  <c r="G30" i="8"/>
  <c r="H30" i="8"/>
  <c r="AD30" i="8" s="1"/>
  <c r="X30" i="8"/>
  <c r="B31" i="8"/>
  <c r="B32" i="8" s="1"/>
  <c r="E31" i="8"/>
  <c r="F31" i="8"/>
  <c r="G31" i="8"/>
  <c r="H31" i="8"/>
  <c r="AD31" i="8" s="1"/>
  <c r="X31" i="8"/>
  <c r="E32" i="8"/>
  <c r="AE32" i="8" s="1"/>
  <c r="F32" i="8"/>
  <c r="G32" i="8"/>
  <c r="H32" i="8"/>
  <c r="X32" i="8"/>
  <c r="AD32" i="8"/>
  <c r="AE30" i="8" l="1"/>
  <c r="AE31" i="8"/>
  <c r="C17" i="5"/>
  <c r="C18" i="5"/>
  <c r="C19" i="5"/>
  <c r="C20" i="5"/>
  <c r="C21" i="5"/>
  <c r="C22" i="5"/>
  <c r="C23" i="5"/>
  <c r="C24" i="5"/>
  <c r="C25" i="5"/>
  <c r="C26" i="5"/>
  <c r="J20" i="2" l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AE15" i="1" l="1"/>
  <c r="AD23" i="1" l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Y7" i="4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J24" i="3" s="1"/>
  <c r="K24" i="3" s="1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J25" i="3" s="1"/>
  <c r="K25" i="3" s="1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19" i="3" l="1"/>
  <c r="K19" i="3" s="1"/>
  <c r="J18" i="3"/>
  <c r="K18" i="3" s="1"/>
  <c r="J17" i="3"/>
  <c r="K17" i="3" s="1"/>
  <c r="J13" i="3"/>
  <c r="K13" i="3" s="1"/>
  <c r="J12" i="3"/>
  <c r="K12" i="3" s="1"/>
  <c r="J11" i="3"/>
  <c r="K11" i="3" s="1"/>
  <c r="J7" i="3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E8" i="1"/>
  <c r="AB3" i="1"/>
  <c r="M2" i="1"/>
  <c r="S2" i="1"/>
  <c r="P2" i="1"/>
  <c r="J2" i="1"/>
  <c r="G2" i="1"/>
  <c r="D2" i="1"/>
  <c r="V23" i="4"/>
  <c r="V24" i="4" s="1"/>
  <c r="V25" i="4" s="1"/>
  <c r="V26" i="4" s="1"/>
  <c r="V27" i="4" s="1"/>
  <c r="V28" i="4" s="1"/>
  <c r="V29" i="4" s="1"/>
  <c r="V30" i="4" s="1"/>
  <c r="V31" i="4" s="1"/>
  <c r="R23" i="4"/>
  <c r="R24" i="4" s="1"/>
  <c r="R25" i="4" s="1"/>
  <c r="R26" i="4" s="1"/>
  <c r="R27" i="4" s="1"/>
  <c r="R28" i="4" s="1"/>
  <c r="R29" i="4" s="1"/>
  <c r="R30" i="4" s="1"/>
  <c r="R31" i="4" s="1"/>
  <c r="P23" i="4"/>
  <c r="P24" i="4" s="1"/>
  <c r="P25" i="4" s="1"/>
  <c r="P26" i="4" s="1"/>
  <c r="P27" i="4" s="1"/>
  <c r="P28" i="4" s="1"/>
  <c r="P29" i="4" s="1"/>
  <c r="P30" i="4" s="1"/>
  <c r="P31" i="4" s="1"/>
  <c r="N23" i="4"/>
  <c r="N24" i="4" s="1"/>
  <c r="N25" i="4" s="1"/>
  <c r="N26" i="4" s="1"/>
  <c r="N27" i="4" s="1"/>
  <c r="N28" i="4" s="1"/>
  <c r="N29" i="4" s="1"/>
  <c r="N30" i="4" s="1"/>
  <c r="N31" i="4" s="1"/>
  <c r="L23" i="4"/>
  <c r="L24" i="4" s="1"/>
  <c r="L25" i="4" s="1"/>
  <c r="L26" i="4" s="1"/>
  <c r="L27" i="4" s="1"/>
  <c r="L28" i="4" s="1"/>
  <c r="L29" i="4" s="1"/>
  <c r="L30" i="4" s="1"/>
  <c r="L31" i="4" s="1"/>
  <c r="J23" i="4"/>
  <c r="J24" i="4" s="1"/>
  <c r="J25" i="4" s="1"/>
  <c r="J26" i="4" s="1"/>
  <c r="J27" i="4" s="1"/>
  <c r="J28" i="4" s="1"/>
  <c r="J29" i="4" s="1"/>
  <c r="J30" i="4" s="1"/>
  <c r="J31" i="4" s="1"/>
  <c r="G23" i="4"/>
  <c r="G24" i="4" s="1"/>
  <c r="G25" i="4" s="1"/>
  <c r="G26" i="4" s="1"/>
  <c r="G27" i="4" s="1"/>
  <c r="G28" i="4" s="1"/>
  <c r="G29" i="4" s="1"/>
  <c r="G30" i="4" s="1"/>
  <c r="G31" i="4" s="1"/>
  <c r="C23" i="4"/>
  <c r="C24" i="4" s="1"/>
  <c r="C25" i="4" s="1"/>
  <c r="C26" i="4" s="1"/>
  <c r="C27" i="4" s="1"/>
  <c r="C28" i="4" s="1"/>
  <c r="C29" i="4" s="1"/>
  <c r="C30" i="4" s="1"/>
  <c r="C31" i="4" s="1"/>
  <c r="Z2" i="4"/>
  <c r="X2" i="4"/>
  <c r="I2" i="4"/>
  <c r="T23" i="2"/>
  <c r="T24" i="2" s="1"/>
  <c r="T25" i="2" s="1"/>
  <c r="T26" i="2" s="1"/>
  <c r="T27" i="2" s="1"/>
  <c r="T28" i="2" s="1"/>
  <c r="T29" i="2" s="1"/>
  <c r="T30" i="2" s="1"/>
  <c r="T31" i="2" s="1"/>
  <c r="P14" i="2"/>
  <c r="P16" i="2" s="1"/>
  <c r="P18" i="2" s="1"/>
  <c r="P19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N23" i="2"/>
  <c r="N24" i="2" s="1"/>
  <c r="N25" i="2" s="1"/>
  <c r="N26" i="2" s="1"/>
  <c r="N27" i="2" s="1"/>
  <c r="N28" i="2" s="1"/>
  <c r="N29" i="2" s="1"/>
  <c r="N30" i="2" s="1"/>
  <c r="N31" i="2" s="1"/>
  <c r="L23" i="2"/>
  <c r="L24" i="2" s="1"/>
  <c r="L25" i="2" s="1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23" i="2"/>
  <c r="H24" i="2" s="1"/>
  <c r="H25" i="2" s="1"/>
  <c r="H26" i="2" s="1"/>
  <c r="H27" i="2" s="1"/>
  <c r="H28" i="2" s="1"/>
  <c r="H29" i="2" s="1"/>
  <c r="H30" i="2" s="1"/>
  <c r="H31" i="2" s="1"/>
  <c r="F23" i="2"/>
  <c r="F24" i="2" s="1"/>
  <c r="F25" i="2" s="1"/>
  <c r="F26" i="2" s="1"/>
  <c r="F27" i="2" s="1"/>
  <c r="F28" i="2" s="1"/>
  <c r="F29" i="2" s="1"/>
  <c r="F30" i="2" s="1"/>
  <c r="F31" i="2" s="1"/>
  <c r="F32" i="2" s="1"/>
  <c r="D23" i="2"/>
  <c r="D24" i="2" s="1"/>
  <c r="D25" i="2" s="1"/>
  <c r="D26" i="2" s="1"/>
  <c r="D27" i="2" s="1"/>
  <c r="D28" i="2" s="1"/>
  <c r="D29" i="2" s="1"/>
  <c r="D30" i="2" s="1"/>
  <c r="D31" i="2" s="1"/>
  <c r="B23" i="2"/>
  <c r="B24" i="2" s="1"/>
  <c r="B25" i="2" s="1"/>
  <c r="B26" i="2" s="1"/>
  <c r="B27" i="2" s="1"/>
  <c r="B28" i="2" s="1"/>
  <c r="B29" i="2" s="1"/>
  <c r="B30" i="2" s="1"/>
  <c r="B31" i="2" s="1"/>
  <c r="R3" i="2"/>
  <c r="AG6" i="1" l="1"/>
  <c r="O8" i="1"/>
  <c r="P8" i="1" s="1"/>
  <c r="F33" i="2"/>
  <c r="G33" i="2" s="1"/>
  <c r="G32" i="2"/>
  <c r="O5" i="1"/>
  <c r="P5" i="1" s="1"/>
  <c r="E23" i="4"/>
  <c r="E24" i="4" s="1"/>
  <c r="E25" i="4" s="1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A5" i="1"/>
  <c r="AB5" i="1"/>
  <c r="AC4" i="1"/>
  <c r="AE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P30" i="8" s="1"/>
  <c r="R32" i="4"/>
  <c r="S31" i="4"/>
  <c r="O30" i="8" s="1"/>
  <c r="Y2" i="4"/>
  <c r="P32" i="4"/>
  <c r="Q31" i="4"/>
  <c r="N30" i="8" s="1"/>
  <c r="N32" i="4"/>
  <c r="O31" i="4"/>
  <c r="M30" i="8" s="1"/>
  <c r="L32" i="4"/>
  <c r="M31" i="4"/>
  <c r="L30" i="8" s="1"/>
  <c r="J32" i="4"/>
  <c r="K31" i="4"/>
  <c r="K30" i="8" s="1"/>
  <c r="G32" i="4"/>
  <c r="H31" i="4"/>
  <c r="J30" i="8" s="1"/>
  <c r="C32" i="4"/>
  <c r="D31" i="4"/>
  <c r="Q30" i="8" s="1"/>
  <c r="T32" i="2"/>
  <c r="U31" i="2"/>
  <c r="Q31" i="2"/>
  <c r="AC30" i="8" s="1"/>
  <c r="P32" i="2"/>
  <c r="O31" i="2"/>
  <c r="AB30" i="8" s="1"/>
  <c r="N32" i="2"/>
  <c r="L32" i="2"/>
  <c r="M31" i="2"/>
  <c r="AA30" i="8" s="1"/>
  <c r="Z30" i="8" l="1"/>
  <c r="O9" i="1"/>
  <c r="P9" i="1" s="1"/>
  <c r="O7" i="1"/>
  <c r="P7" i="1" s="1"/>
  <c r="C5" i="1"/>
  <c r="D5" i="1" s="1"/>
  <c r="E32" i="4"/>
  <c r="E33" i="4" s="1"/>
  <c r="F33" i="4" s="1"/>
  <c r="I32" i="8" s="1"/>
  <c r="F31" i="4"/>
  <c r="I32" i="2"/>
  <c r="H33" i="2"/>
  <c r="I33" i="2" s="1"/>
  <c r="D33" i="2"/>
  <c r="E33" i="2" s="1"/>
  <c r="E32" i="2"/>
  <c r="B33" i="2"/>
  <c r="C33" i="2" s="1"/>
  <c r="C32" i="2"/>
  <c r="AG8" i="1"/>
  <c r="AA6" i="1"/>
  <c r="L5" i="1"/>
  <c r="M5" i="1" s="1"/>
  <c r="I7" i="1"/>
  <c r="J7" i="1" s="1"/>
  <c r="Y7" i="1"/>
  <c r="C6" i="1"/>
  <c r="G5" i="1"/>
  <c r="F6" i="1"/>
  <c r="G4" i="1"/>
  <c r="T4" i="1"/>
  <c r="U4" i="1" s="1"/>
  <c r="AE9" i="1"/>
  <c r="AC5" i="1"/>
  <c r="AB6" i="1"/>
  <c r="R5" i="1"/>
  <c r="S5" i="1" s="1"/>
  <c r="W32" i="4"/>
  <c r="P31" i="8" s="1"/>
  <c r="V33" i="4"/>
  <c r="W33" i="4" s="1"/>
  <c r="P32" i="8" s="1"/>
  <c r="R33" i="4"/>
  <c r="S33" i="4" s="1"/>
  <c r="O32" i="8" s="1"/>
  <c r="S32" i="4"/>
  <c r="O31" i="8" s="1"/>
  <c r="X31" i="4"/>
  <c r="Z31" i="4"/>
  <c r="Q32" i="4"/>
  <c r="N31" i="8" s="1"/>
  <c r="P33" i="4"/>
  <c r="Q33" i="4" s="1"/>
  <c r="N32" i="8" s="1"/>
  <c r="N33" i="4"/>
  <c r="O33" i="4" s="1"/>
  <c r="M32" i="8" s="1"/>
  <c r="O32" i="4"/>
  <c r="M31" i="8" s="1"/>
  <c r="L33" i="4"/>
  <c r="M33" i="4" s="1"/>
  <c r="L32" i="8" s="1"/>
  <c r="M32" i="4"/>
  <c r="L31" i="8" s="1"/>
  <c r="J33" i="4"/>
  <c r="K33" i="4" s="1"/>
  <c r="K32" i="8" s="1"/>
  <c r="K32" i="4"/>
  <c r="K31" i="8" s="1"/>
  <c r="G33" i="4"/>
  <c r="H33" i="4" s="1"/>
  <c r="J32" i="8" s="1"/>
  <c r="H32" i="4"/>
  <c r="J31" i="8" s="1"/>
  <c r="C33" i="4"/>
  <c r="D33" i="4" s="1"/>
  <c r="Q32" i="8" s="1"/>
  <c r="D32" i="4"/>
  <c r="Q31" i="8" s="1"/>
  <c r="U32" i="2"/>
  <c r="T33" i="2"/>
  <c r="U33" i="2" s="1"/>
  <c r="P33" i="2"/>
  <c r="Q33" i="2" s="1"/>
  <c r="AC32" i="8" s="1"/>
  <c r="Q32" i="2"/>
  <c r="AC31" i="8" s="1"/>
  <c r="N33" i="2"/>
  <c r="O33" i="2" s="1"/>
  <c r="AB32" i="8" s="1"/>
  <c r="O32" i="2"/>
  <c r="AB31" i="8" s="1"/>
  <c r="L33" i="2"/>
  <c r="M33" i="2" s="1"/>
  <c r="AA32" i="8" s="1"/>
  <c r="M32" i="2"/>
  <c r="AA31" i="8" s="1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Y32" i="8" l="1"/>
  <c r="I31" i="4"/>
  <c r="Y31" i="4" s="1"/>
  <c r="I30" i="8"/>
  <c r="Y30" i="8" s="1"/>
  <c r="E30" i="9" s="1"/>
  <c r="Z31" i="8"/>
  <c r="Z32" i="8"/>
  <c r="O10" i="1"/>
  <c r="P10" i="1" s="1"/>
  <c r="F32" i="4"/>
  <c r="Z33" i="4"/>
  <c r="I33" i="4"/>
  <c r="AG9" i="1"/>
  <c r="AA7" i="1"/>
  <c r="C7" i="1"/>
  <c r="AE10" i="1"/>
  <c r="D6" i="1"/>
  <c r="I8" i="1"/>
  <c r="J8" i="1" s="1"/>
  <c r="R6" i="1"/>
  <c r="S6" i="1" s="1"/>
  <c r="L6" i="1"/>
  <c r="M6" i="1" s="1"/>
  <c r="Y8" i="1"/>
  <c r="AB7" i="1"/>
  <c r="AC6" i="1"/>
  <c r="G6" i="1"/>
  <c r="T5" i="1"/>
  <c r="U5" i="1" s="1"/>
  <c r="Z32" i="4"/>
  <c r="X32" i="4"/>
  <c r="X33" i="4"/>
  <c r="T64" i="10"/>
  <c r="E32" i="9" l="1"/>
  <c r="I32" i="4"/>
  <c r="I31" i="8"/>
  <c r="Y31" i="8" s="1"/>
  <c r="E31" i="9" s="1"/>
  <c r="Y33" i="4"/>
  <c r="Y32" i="4"/>
  <c r="AG10" i="1"/>
  <c r="AA8" i="1"/>
  <c r="T6" i="1"/>
  <c r="U6" i="1" s="1"/>
  <c r="Y9" i="1"/>
  <c r="I9" i="1"/>
  <c r="J9" i="1" s="1"/>
  <c r="F7" i="1"/>
  <c r="G7" i="1" s="1"/>
  <c r="L7" i="1"/>
  <c r="M7" i="1" s="1"/>
  <c r="D7" i="1"/>
  <c r="C8" i="1"/>
  <c r="R7" i="1"/>
  <c r="S7" i="1" s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7" i="11"/>
  <c r="J24" i="11"/>
  <c r="J23" i="11"/>
  <c r="J22" i="11"/>
  <c r="J21" i="11"/>
  <c r="O11" i="1" l="1"/>
  <c r="P11" i="1" s="1"/>
  <c r="O12" i="1"/>
  <c r="P12" i="1" s="1"/>
  <c r="AG11" i="1"/>
  <c r="AA9" i="1"/>
  <c r="R8" i="1"/>
  <c r="S8" i="1" s="1"/>
  <c r="L8" i="1"/>
  <c r="M8" i="1" s="1"/>
  <c r="I10" i="1"/>
  <c r="J10" i="1" s="1"/>
  <c r="C9" i="1"/>
  <c r="F8" i="1"/>
  <c r="G8" i="1" s="1"/>
  <c r="AB9" i="1"/>
  <c r="AC8" i="1"/>
  <c r="D8" i="1"/>
  <c r="Y10" i="1"/>
  <c r="AE12" i="1"/>
  <c r="T7" i="1"/>
  <c r="U7" i="1" s="1"/>
  <c r="O26" i="4"/>
  <c r="M24" i="4"/>
  <c r="O13" i="1" l="1"/>
  <c r="P13" i="1" s="1"/>
  <c r="AG12" i="1"/>
  <c r="AA10" i="1"/>
  <c r="Y11" i="1"/>
  <c r="F9" i="1"/>
  <c r="G9" i="1" s="1"/>
  <c r="L9" i="1"/>
  <c r="M9" i="1" s="1"/>
  <c r="D9" i="1"/>
  <c r="R9" i="1"/>
  <c r="S9" i="1" s="1"/>
  <c r="T8" i="1"/>
  <c r="U8" i="1" s="1"/>
  <c r="C10" i="1"/>
  <c r="AE13" i="1"/>
  <c r="I11" i="1"/>
  <c r="J11" i="1" s="1"/>
  <c r="AC9" i="1"/>
  <c r="W12" i="4"/>
  <c r="O14" i="1" l="1"/>
  <c r="P14" i="1" s="1"/>
  <c r="AG13" i="1"/>
  <c r="AA11" i="1"/>
  <c r="T9" i="1"/>
  <c r="U9" i="1" s="1"/>
  <c r="AE14" i="1"/>
  <c r="F10" i="1"/>
  <c r="G10" i="1" s="1"/>
  <c r="AB11" i="1"/>
  <c r="AC10" i="1"/>
  <c r="D10" i="1"/>
  <c r="C11" i="1"/>
  <c r="Y12" i="1"/>
  <c r="I12" i="1"/>
  <c r="J12" i="1" s="1"/>
  <c r="R10" i="1"/>
  <c r="S10" i="1" s="1"/>
  <c r="L10" i="1"/>
  <c r="M10" i="1" s="1"/>
  <c r="H7" i="4"/>
  <c r="O15" i="1" l="1"/>
  <c r="P15" i="1" s="1"/>
  <c r="AG14" i="1"/>
  <c r="AA12" i="1"/>
  <c r="I13" i="1"/>
  <c r="J13" i="1" s="1"/>
  <c r="D11" i="1"/>
  <c r="F11" i="1"/>
  <c r="G11" i="1" s="1"/>
  <c r="C12" i="1"/>
  <c r="L11" i="1"/>
  <c r="M11" i="1" s="1"/>
  <c r="Y13" i="1"/>
  <c r="T10" i="1"/>
  <c r="U10" i="1" s="1"/>
  <c r="R11" i="1"/>
  <c r="S11" i="1" s="1"/>
  <c r="AB12" i="1"/>
  <c r="AC11" i="1"/>
  <c r="W13" i="4"/>
  <c r="O16" i="1" l="1"/>
  <c r="P16" i="1" s="1"/>
  <c r="AG15" i="1"/>
  <c r="AA13" i="1"/>
  <c r="L12" i="1"/>
  <c r="M12" i="1" s="1"/>
  <c r="T11" i="1"/>
  <c r="U11" i="1" s="1"/>
  <c r="AB13" i="1"/>
  <c r="AC12" i="1"/>
  <c r="C13" i="1"/>
  <c r="AE16" i="1"/>
  <c r="D12" i="1"/>
  <c r="I14" i="1"/>
  <c r="J14" i="1" s="1"/>
  <c r="F12" i="1"/>
  <c r="G12" i="1" s="1"/>
  <c r="R12" i="1"/>
  <c r="S12" i="1" s="1"/>
  <c r="Y14" i="1"/>
  <c r="W14" i="4"/>
  <c r="O17" i="1" l="1"/>
  <c r="P17" i="1" s="1"/>
  <c r="AG16" i="1"/>
  <c r="AA14" i="1"/>
  <c r="T12" i="1"/>
  <c r="U12" i="1" s="1"/>
  <c r="R13" i="1"/>
  <c r="S13" i="1" s="1"/>
  <c r="I15" i="1"/>
  <c r="J15" i="1" s="1"/>
  <c r="C14" i="1"/>
  <c r="F13" i="1"/>
  <c r="G13" i="1" s="1"/>
  <c r="AB14" i="1"/>
  <c r="AC13" i="1"/>
  <c r="D13" i="1"/>
  <c r="Y15" i="1"/>
  <c r="AE17" i="1"/>
  <c r="L13" i="1"/>
  <c r="M13" i="1" s="1"/>
  <c r="S17" i="4"/>
  <c r="Q17" i="4"/>
  <c r="O17" i="4"/>
  <c r="M17" i="4"/>
  <c r="K17" i="4"/>
  <c r="H17" i="4"/>
  <c r="F17" i="4"/>
  <c r="D17" i="4"/>
  <c r="W17" i="4"/>
  <c r="O18" i="1" l="1"/>
  <c r="P18" i="1" s="1"/>
  <c r="AG17" i="1"/>
  <c r="AA15" i="1"/>
  <c r="T13" i="1"/>
  <c r="U13" i="1" s="1"/>
  <c r="D14" i="1"/>
  <c r="AB15" i="1"/>
  <c r="AC14" i="1"/>
  <c r="I16" i="1"/>
  <c r="J16" i="1" s="1"/>
  <c r="R14" i="1"/>
  <c r="S14" i="1" s="1"/>
  <c r="Y16" i="1"/>
  <c r="AE18" i="1"/>
  <c r="L14" i="1"/>
  <c r="M14" i="1" s="1"/>
  <c r="F14" i="1"/>
  <c r="G14" i="1" s="1"/>
  <c r="C15" i="1"/>
  <c r="I17" i="4"/>
  <c r="X17" i="4"/>
  <c r="Z17" i="4"/>
  <c r="O19" i="1" l="1"/>
  <c r="P19" i="1" s="1"/>
  <c r="AG18" i="1"/>
  <c r="AA16" i="1"/>
  <c r="Y17" i="1"/>
  <c r="F15" i="1"/>
  <c r="G15" i="1" s="1"/>
  <c r="D15" i="1"/>
  <c r="AE19" i="1"/>
  <c r="I17" i="1"/>
  <c r="J17" i="1" s="1"/>
  <c r="T14" i="1"/>
  <c r="U14" i="1" s="1"/>
  <c r="AB16" i="1"/>
  <c r="AC15" i="1"/>
  <c r="L15" i="1"/>
  <c r="M15" i="1" s="1"/>
  <c r="R15" i="1"/>
  <c r="S15" i="1" s="1"/>
  <c r="C16" i="1"/>
  <c r="Y17" i="4"/>
  <c r="B34" i="4"/>
  <c r="U34" i="4"/>
  <c r="O20" i="1" l="1"/>
  <c r="P20" i="1" s="1"/>
  <c r="AG19" i="1"/>
  <c r="AA17" i="1"/>
  <c r="T15" i="1"/>
  <c r="U15" i="1" s="1"/>
  <c r="AB17" i="1"/>
  <c r="AC16" i="1"/>
  <c r="R16" i="1"/>
  <c r="S16" i="1" s="1"/>
  <c r="D16" i="1"/>
  <c r="F16" i="1"/>
  <c r="G16" i="1" s="1"/>
  <c r="C17" i="1"/>
  <c r="L16" i="1"/>
  <c r="M16" i="1" s="1"/>
  <c r="I18" i="1"/>
  <c r="J18" i="1" s="1"/>
  <c r="AE20" i="1"/>
  <c r="Y18" i="1"/>
  <c r="K12" i="2"/>
  <c r="K11" i="2"/>
  <c r="K10" i="2"/>
  <c r="K14" i="2"/>
  <c r="K13" i="2"/>
  <c r="O21" i="1" l="1"/>
  <c r="P21" i="1" s="1"/>
  <c r="AG20" i="1"/>
  <c r="AA18" i="1"/>
  <c r="T16" i="1"/>
  <c r="U16" i="1" s="1"/>
  <c r="R17" i="1"/>
  <c r="S17" i="1" s="1"/>
  <c r="AE21" i="1"/>
  <c r="C18" i="1"/>
  <c r="I19" i="1"/>
  <c r="J19" i="1" s="1"/>
  <c r="Y19" i="1"/>
  <c r="D17" i="1"/>
  <c r="F17" i="1"/>
  <c r="G17" i="1" s="1"/>
  <c r="L17" i="1"/>
  <c r="M17" i="1" s="1"/>
  <c r="AB18" i="1"/>
  <c r="AC17" i="1"/>
  <c r="W7" i="4"/>
  <c r="O22" i="1" l="1"/>
  <c r="P22" i="1" s="1"/>
  <c r="N23" i="1"/>
  <c r="AG21" i="1"/>
  <c r="AA19" i="1"/>
  <c r="T17" i="1"/>
  <c r="U17" i="1" s="1"/>
  <c r="L18" i="1"/>
  <c r="M18" i="1" s="1"/>
  <c r="AE22" i="1"/>
  <c r="D18" i="1"/>
  <c r="C19" i="1"/>
  <c r="R18" i="1"/>
  <c r="S18" i="1" s="1"/>
  <c r="Y20" i="1"/>
  <c r="F18" i="1"/>
  <c r="G18" i="1" s="1"/>
  <c r="AB19" i="1"/>
  <c r="AC18" i="1"/>
  <c r="I20" i="1"/>
  <c r="J20" i="1" s="1"/>
  <c r="I21" i="1"/>
  <c r="Y3" i="1"/>
  <c r="N24" i="1" l="1"/>
  <c r="O23" i="1"/>
  <c r="P23" i="1" s="1"/>
  <c r="AG22" i="1"/>
  <c r="AF23" i="1"/>
  <c r="AA20" i="1"/>
  <c r="T18" i="1"/>
  <c r="U18" i="1" s="1"/>
  <c r="AC19" i="1"/>
  <c r="AB20" i="1"/>
  <c r="R19" i="1"/>
  <c r="S19" i="1" s="1"/>
  <c r="AE23" i="1"/>
  <c r="J21" i="1"/>
  <c r="Y21" i="1"/>
  <c r="C20" i="1"/>
  <c r="L19" i="1"/>
  <c r="M19" i="1" s="1"/>
  <c r="F19" i="1"/>
  <c r="G19" i="1" s="1"/>
  <c r="D19" i="1"/>
  <c r="K9" i="9"/>
  <c r="N25" i="1" l="1"/>
  <c r="O24" i="1"/>
  <c r="P24" i="1" s="1"/>
  <c r="AG23" i="1"/>
  <c r="AF24" i="1"/>
  <c r="AA21" i="1"/>
  <c r="F20" i="1"/>
  <c r="G20" i="1" s="1"/>
  <c r="AE24" i="1"/>
  <c r="L20" i="1"/>
  <c r="M20" i="1" s="1"/>
  <c r="C21" i="1"/>
  <c r="AC20" i="1"/>
  <c r="X23" i="1"/>
  <c r="Y22" i="1"/>
  <c r="R20" i="1"/>
  <c r="S20" i="1" s="1"/>
  <c r="I22" i="1"/>
  <c r="J22" i="1" s="1"/>
  <c r="H23" i="1"/>
  <c r="T19" i="1"/>
  <c r="U19" i="1" s="1"/>
  <c r="D20" i="1"/>
  <c r="S30" i="4"/>
  <c r="N26" i="1" l="1"/>
  <c r="O25" i="1"/>
  <c r="P25" i="1" s="1"/>
  <c r="AG24" i="1"/>
  <c r="AF25" i="1"/>
  <c r="Z23" i="1"/>
  <c r="AA22" i="1"/>
  <c r="T20" i="1"/>
  <c r="U20" i="1" s="1"/>
  <c r="L21" i="1"/>
  <c r="M21" i="1" s="1"/>
  <c r="X24" i="1"/>
  <c r="Y23" i="1"/>
  <c r="H24" i="1"/>
  <c r="I23" i="1"/>
  <c r="J23" i="1" s="1"/>
  <c r="AC21" i="1"/>
  <c r="R21" i="1"/>
  <c r="S21" i="1" s="1"/>
  <c r="C22" i="1"/>
  <c r="B23" i="1"/>
  <c r="F21" i="1"/>
  <c r="G21" i="1" s="1"/>
  <c r="AE25" i="1"/>
  <c r="D21" i="1"/>
  <c r="K18" i="9"/>
  <c r="K19" i="9"/>
  <c r="N27" i="1" l="1"/>
  <c r="O26" i="1"/>
  <c r="P26" i="1" s="1"/>
  <c r="AG25" i="1"/>
  <c r="AF26" i="1"/>
  <c r="AA23" i="1"/>
  <c r="Z24" i="1"/>
  <c r="C23" i="1"/>
  <c r="B24" i="1"/>
  <c r="D22" i="1"/>
  <c r="T21" i="1"/>
  <c r="U21" i="1" s="1"/>
  <c r="F22" i="1"/>
  <c r="G22" i="1" s="1"/>
  <c r="E23" i="1"/>
  <c r="AC22" i="1"/>
  <c r="AB23" i="1"/>
  <c r="L22" i="1"/>
  <c r="M22" i="1" s="1"/>
  <c r="K23" i="1"/>
  <c r="AE26" i="1"/>
  <c r="I24" i="1"/>
  <c r="J24" i="1" s="1"/>
  <c r="H25" i="1"/>
  <c r="R22" i="1"/>
  <c r="S22" i="1" s="1"/>
  <c r="Q23" i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K24" i="1"/>
  <c r="B25" i="1"/>
  <c r="C24" i="1"/>
  <c r="X26" i="1"/>
  <c r="Y25" i="1"/>
  <c r="H26" i="1"/>
  <c r="I25" i="1"/>
  <c r="J25" i="1" s="1"/>
  <c r="AC23" i="1"/>
  <c r="AB24" i="1"/>
  <c r="R23" i="1"/>
  <c r="S23" i="1" s="1"/>
  <c r="Q24" i="1"/>
  <c r="F23" i="1"/>
  <c r="G23" i="1" s="1"/>
  <c r="E24" i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P31" i="1" l="1"/>
  <c r="U30" i="8"/>
  <c r="O32" i="1"/>
  <c r="N33" i="1"/>
  <c r="O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P33" i="1" l="1"/>
  <c r="U32" i="8"/>
  <c r="P32" i="1"/>
  <c r="U31" i="8"/>
  <c r="AG32" i="1"/>
  <c r="AF33" i="1"/>
  <c r="AG33" i="1" s="1"/>
  <c r="AA30" i="1"/>
  <c r="Z31" i="1"/>
  <c r="I31" i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J31" i="1" l="1"/>
  <c r="T30" i="8"/>
  <c r="AA31" i="1"/>
  <c r="Z32" i="1"/>
  <c r="L30" i="1"/>
  <c r="M30" i="1" s="1"/>
  <c r="K31" i="1"/>
  <c r="R30" i="1"/>
  <c r="S30" i="1" s="1"/>
  <c r="Q31" i="1"/>
  <c r="Y32" i="1"/>
  <c r="X33" i="1"/>
  <c r="Y33" i="1" s="1"/>
  <c r="C31" i="1"/>
  <c r="R30" i="8" s="1"/>
  <c r="B32" i="1"/>
  <c r="H33" i="1"/>
  <c r="I33" i="1" s="1"/>
  <c r="I32" i="1"/>
  <c r="F30" i="1"/>
  <c r="G30" i="1" s="1"/>
  <c r="E31" i="1"/>
  <c r="AC30" i="1"/>
  <c r="AB31" i="1"/>
  <c r="D30" i="1"/>
  <c r="T29" i="1"/>
  <c r="U29" i="1" s="1"/>
  <c r="E12" i="2"/>
  <c r="J32" i="1" l="1"/>
  <c r="T31" i="8"/>
  <c r="J33" i="1"/>
  <c r="T32" i="8"/>
  <c r="AA32" i="1"/>
  <c r="Z33" i="1"/>
  <c r="AA33" i="1" s="1"/>
  <c r="F31" i="1"/>
  <c r="E32" i="1"/>
  <c r="T30" i="1"/>
  <c r="U30" i="1" s="1"/>
  <c r="AB32" i="1"/>
  <c r="AC31" i="1"/>
  <c r="B33" i="1"/>
  <c r="C33" i="1" s="1"/>
  <c r="R32" i="8" s="1"/>
  <c r="C32" i="1"/>
  <c r="R31" i="8" s="1"/>
  <c r="L31" i="1"/>
  <c r="K32" i="1"/>
  <c r="R31" i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S31" i="1" l="1"/>
  <c r="W30" i="8"/>
  <c r="M31" i="1"/>
  <c r="V30" i="8"/>
  <c r="G31" i="1"/>
  <c r="S30" i="8"/>
  <c r="R32" i="1"/>
  <c r="Q33" i="1"/>
  <c r="R33" i="1" s="1"/>
  <c r="F32" i="1"/>
  <c r="E33" i="1"/>
  <c r="F33" i="1" s="1"/>
  <c r="D33" i="1"/>
  <c r="AC32" i="1"/>
  <c r="AB33" i="1"/>
  <c r="AC33" i="1" s="1"/>
  <c r="L32" i="1"/>
  <c r="K33" i="1"/>
  <c r="L33" i="1" s="1"/>
  <c r="T31" i="1"/>
  <c r="U31" i="1" s="1"/>
  <c r="D32" i="1"/>
  <c r="H22" i="4"/>
  <c r="E14" i="2"/>
  <c r="S33" i="1" l="1"/>
  <c r="W32" i="8"/>
  <c r="S32" i="1"/>
  <c r="W31" i="8"/>
  <c r="M32" i="1"/>
  <c r="V31" i="8"/>
  <c r="M33" i="1"/>
  <c r="V32" i="8"/>
  <c r="G33" i="1"/>
  <c r="S32" i="8"/>
  <c r="G32" i="1"/>
  <c r="S31" i="8"/>
  <c r="T33" i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<sst xmlns="http://schemas.openxmlformats.org/spreadsheetml/2006/main" count="509" uniqueCount="149">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</sst>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1" fontId="10" fillId="3" borderId="1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21" sqref="E21:K21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64232.126271999994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34321.858339999999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32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55949.283483999992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49099.670323999999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59330.284436000002</v>
      </c>
      <c r="F6" s="125">
        <v>1.27</v>
      </c>
      <c r="G6" s="35">
        <f>Gas!C7*0.9147</f>
        <v>1904.4053999999999</v>
      </c>
      <c r="H6" s="126">
        <v>3.78</v>
      </c>
      <c r="I6" s="128">
        <f>Submetering!H6+Submetering!AD6+Submetering!AE6</f>
        <v>566</v>
      </c>
      <c r="J6" s="128">
        <v>9.1300000000000008</v>
      </c>
      <c r="K6" s="35">
        <f>ELECT.!B7</f>
        <v>318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38078.816200000001</v>
      </c>
      <c r="F7" s="125">
        <v>1.27</v>
      </c>
      <c r="G7" s="35">
        <f>Gas!C8*0.9147</f>
        <v>1780.9208999999998</v>
      </c>
      <c r="H7" s="126">
        <v>3.78</v>
      </c>
      <c r="I7" s="128">
        <f>Submetering!H7+Submetering!AD7+Submetering!AE7</f>
        <v>476.00000000000006</v>
      </c>
      <c r="J7" s="128">
        <v>9.1300000000000008</v>
      </c>
      <c r="K7" s="35">
        <f>ELECT.!B8</f>
        <v>317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65367.366203999998</v>
      </c>
      <c r="F8" s="125">
        <v>1.27</v>
      </c>
      <c r="G8" s="35">
        <f>Gas!C9*0.9147</f>
        <v>2235.5268000000001</v>
      </c>
      <c r="H8" s="126">
        <v>3.78</v>
      </c>
      <c r="I8" s="128">
        <f>Submetering!H8+Submetering!AD8+Submetering!AE8</f>
        <v>546</v>
      </c>
      <c r="J8" s="128">
        <v>9.1300000000000008</v>
      </c>
      <c r="K8" s="35">
        <f>ELECT.!B9</f>
        <v>319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43295.225328</v>
      </c>
      <c r="F9" s="125">
        <v>1.27</v>
      </c>
      <c r="G9" s="35">
        <f>Gas!C10*0.9147</f>
        <v>1773.6033</v>
      </c>
      <c r="H9" s="126">
        <v>3.78</v>
      </c>
      <c r="I9" s="128">
        <f>Submetering!H9+Submetering!AD9+Submetering!AE9</f>
        <v>486</v>
      </c>
      <c r="J9" s="128">
        <v>9.1300000000000008</v>
      </c>
      <c r="K9" s="35">
        <f>ELECT.!B10</f>
        <v>309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45313.952475999999</v>
      </c>
      <c r="F10" s="125">
        <v>1.27</v>
      </c>
      <c r="G10" s="35">
        <f>Gas!C11*0.9147</f>
        <v>1875.135</v>
      </c>
      <c r="H10" s="126">
        <v>3.78</v>
      </c>
      <c r="I10" s="128">
        <f>Submetering!H10+Submetering!AD10+Submetering!AE10</f>
        <v>586</v>
      </c>
      <c r="J10" s="128">
        <v>9.1300000000000008</v>
      </c>
      <c r="K10" s="35">
        <f>ELECT.!B11</f>
        <v>312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59430.96</v>
      </c>
      <c r="F11" s="125">
        <v>1.27</v>
      </c>
      <c r="G11" s="35">
        <f>Gas!C12*0.9147</f>
        <v>1730.6124</v>
      </c>
      <c r="H11" s="126">
        <v>3.78</v>
      </c>
      <c r="I11" s="128">
        <f>Submetering!H11+Submetering!AD11+Submetering!AE11</f>
        <v>436.00000000000006</v>
      </c>
      <c r="J11" s="128">
        <v>9.1300000000000008</v>
      </c>
      <c r="K11" s="35">
        <f>ELECT.!B12</f>
        <v>320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50606.891020000003</v>
      </c>
      <c r="F12" s="125">
        <v>1.27</v>
      </c>
      <c r="G12" s="35">
        <f>Gas!C13*0.9147</f>
        <v>1828.4852999999998</v>
      </c>
      <c r="H12" s="126">
        <v>3.78</v>
      </c>
      <c r="I12" s="128">
        <f>Submetering!H12+Submetering!AD12+Submetering!AE12</f>
        <v>566</v>
      </c>
      <c r="J12" s="128">
        <v>9.1300000000000008</v>
      </c>
      <c r="K12" s="35">
        <f>ELECT.!B13</f>
        <v>310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55600.664715999999</v>
      </c>
      <c r="F13" s="125">
        <v>1.27</v>
      </c>
      <c r="G13" s="35">
        <f>Gas!C14*0.9147</f>
        <v>2075.4542999999999</v>
      </c>
      <c r="H13" s="126">
        <v>3.78</v>
      </c>
      <c r="I13" s="128">
        <f>Submetering!H13+Submetering!AD13+Submetering!AE13</f>
        <v>516.00000000000011</v>
      </c>
      <c r="J13" s="128">
        <v>9.1300000000000008</v>
      </c>
      <c r="K13" s="35">
        <f>ELECT.!B14</f>
        <v>321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61007.479900000006</v>
      </c>
      <c r="F14" s="125">
        <v>1.27</v>
      </c>
      <c r="G14" s="35">
        <f>Gas!C15*0.9147</f>
        <v>1798.3001999999999</v>
      </c>
      <c r="H14" s="126">
        <v>3.78</v>
      </c>
      <c r="I14" s="128">
        <f>Submetering!H14+Submetering!AD14+Submetering!AE14</f>
        <v>576</v>
      </c>
      <c r="J14" s="128">
        <v>9.1300000000000008</v>
      </c>
      <c r="K14" s="35">
        <f>ELECT.!B15</f>
        <v>308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45187.907964000005</v>
      </c>
      <c r="F15" s="125">
        <v>1.27</v>
      </c>
      <c r="G15" s="35">
        <f>Gas!C16*0.9147</f>
        <v>2163.2655</v>
      </c>
      <c r="H15" s="126">
        <v>3.78</v>
      </c>
      <c r="I15" s="128">
        <f>Submetering!H15+Submetering!AD15+Submetering!AE15</f>
        <v>656</v>
      </c>
      <c r="J15" s="128">
        <v>9.1300000000000008</v>
      </c>
      <c r="K15" s="35">
        <f>ELECT.!B16</f>
        <v>328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61620.944051999999</v>
      </c>
      <c r="F16" s="125">
        <v>1.27</v>
      </c>
      <c r="G16" s="35">
        <f>Gas!C17*0.9147</f>
        <v>3487.7511</v>
      </c>
      <c r="H16" s="126">
        <v>3.78</v>
      </c>
      <c r="I16" s="128">
        <f>Submetering!H16+Submetering!AD16+Submetering!AE16</f>
        <v>596</v>
      </c>
      <c r="J16" s="128">
        <v>9.1300000000000008</v>
      </c>
      <c r="K16" s="35">
        <f>ELECT.!B17</f>
        <v>391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38746.29926</v>
      </c>
      <c r="F17" s="125">
        <v>1.27</v>
      </c>
      <c r="G17" s="35">
        <f>Gas!C18*0.9147</f>
        <v>2031.5486999999998</v>
      </c>
      <c r="H17" s="126">
        <v>3.78</v>
      </c>
      <c r="I17" s="128">
        <f>Submetering!H17+Submetering!AD17+Submetering!AE17</f>
        <v>566</v>
      </c>
      <c r="J17" s="128">
        <v>9.1300000000000008</v>
      </c>
      <c r="K17" s="35">
        <f>ELECT.!B18</f>
        <v>344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57633.080511999993</v>
      </c>
      <c r="F18" s="125">
        <v>1.27</v>
      </c>
      <c r="G18" s="35">
        <f>Gas!C19*0.9147</f>
        <v>1078.4313</v>
      </c>
      <c r="H18" s="126">
        <v>3.78</v>
      </c>
      <c r="I18" s="128">
        <f>Submetering!H18+Submetering!AD18+Submetering!AE18</f>
        <v>465.99999999999994</v>
      </c>
      <c r="J18" s="128">
        <v>9.1300000000000008</v>
      </c>
      <c r="K18" s="35">
        <f>ELECT.!B19</f>
        <v>187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39353.328635999998</v>
      </c>
      <c r="F19" s="125">
        <v>1.27</v>
      </c>
      <c r="G19" s="35">
        <f>Gas!C20*0.9147</f>
        <v>406.1268</v>
      </c>
      <c r="H19" s="126">
        <v>3.78</v>
      </c>
      <c r="I19" s="128">
        <f>Submetering!H19+Submetering!AD19+Submetering!AE19</f>
        <v>506</v>
      </c>
      <c r="J19" s="128">
        <v>9.1300000000000008</v>
      </c>
      <c r="K19" s="35">
        <f>ELECT.!B20</f>
        <v>316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63405.782536000006</v>
      </c>
      <c r="F20" s="125">
        <v>1.27</v>
      </c>
      <c r="G20" s="35">
        <f>Gas!C21*0.9147</f>
        <v>1821.1677</v>
      </c>
      <c r="H20" s="126">
        <v>3.78</v>
      </c>
      <c r="I20" s="128">
        <f>Submetering!H20+Submetering!AD20+Submetering!AE20</f>
        <v>506.00000000000011</v>
      </c>
      <c r="J20" s="128">
        <v>9.1300000000000008</v>
      </c>
      <c r="K20" s="35">
        <f>ELECT.!B21</f>
        <v>287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42098.589575999998</v>
      </c>
      <c r="F21" s="125">
        <v>1.27</v>
      </c>
      <c r="G21" s="35">
        <f>Gas!C22*0.9147</f>
        <v>1769.0298</v>
      </c>
      <c r="H21" s="126">
        <v>3.78</v>
      </c>
      <c r="I21" s="128">
        <f>Submetering!H21+Submetering!AD21+Submetering!AE21</f>
        <v>1056</v>
      </c>
      <c r="J21" s="128">
        <v>9.1300000000000008</v>
      </c>
      <c r="K21" s="35">
        <f>ELECT.!B22</f>
        <v>253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3.78</v>
      </c>
      <c r="I22" s="128">
        <f>Submetering!H22+Submetering!AD22+Submetering!AE22</f>
        <v>-194</v>
      </c>
      <c r="J22" s="128">
        <v>9.1300000000000008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3.78</v>
      </c>
      <c r="I23" s="128">
        <f>Submetering!H23+Submetering!AD23+Submetering!AE23</f>
        <v>-194</v>
      </c>
      <c r="J23" s="128">
        <v>9.1300000000000008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2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2.27</v>
      </c>
      <c r="G30" s="35">
        <f>Gas!C31*0.9147</f>
        <v>0</v>
      </c>
      <c r="H30" s="126">
        <v>4.78</v>
      </c>
      <c r="I30" s="128">
        <f>Submetering!H30+Submetering!AD30+Submetering!AE30</f>
        <v>-194</v>
      </c>
      <c r="J30" s="128">
        <v>10.130000000000001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2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3.27</v>
      </c>
      <c r="G31" s="35">
        <f>Gas!C32*0.9147</f>
        <v>0</v>
      </c>
      <c r="H31" s="126">
        <v>5.78</v>
      </c>
      <c r="I31" s="128">
        <f>Submetering!H31+Submetering!AD31+Submetering!AE31</f>
        <v>-194</v>
      </c>
      <c r="J31" s="128">
        <v>11.13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2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4.2699999999999996</v>
      </c>
      <c r="G32" s="35">
        <f>Gas!C33*0.9147</f>
        <v>0</v>
      </c>
      <c r="H32" s="126">
        <v>6.78</v>
      </c>
      <c r="I32" s="128">
        <f>Submetering!H32+Submetering!AD32+Submetering!AE32</f>
        <v>-194</v>
      </c>
      <c r="J32" s="128">
        <v>12.13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M42" sqref="M4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120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120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32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121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>
        <f>BTU!L6</f>
        <v>1.5999999999985448</v>
      </c>
      <c r="W5" s="128">
        <f>BTU!R6</f>
        <v>0.13000000000010914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118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760</v>
      </c>
      <c r="F6" s="35">
        <f>Water!E7</f>
        <v>430</v>
      </c>
      <c r="G6" s="35">
        <f>Water!G7</f>
        <v>364.5</v>
      </c>
      <c r="H6" s="35">
        <f>Water!I7</f>
        <v>4.8600000000000003</v>
      </c>
      <c r="I6" s="35">
        <f>ELECT.!F7</f>
        <v>9121</v>
      </c>
      <c r="J6" s="35">
        <f>ELECT.!H7</f>
        <v>52240</v>
      </c>
      <c r="K6" s="35">
        <f>ELECT.!K7</f>
        <v>10406</v>
      </c>
      <c r="L6" s="35">
        <f>ELECT.!M7</f>
        <v>6556</v>
      </c>
      <c r="M6" s="35">
        <f>ELECT.!O7</f>
        <v>2382</v>
      </c>
      <c r="N6" s="35">
        <f>ELECT.!Q7</f>
        <v>10675</v>
      </c>
      <c r="O6" s="35">
        <f>ELECT.!S7</f>
        <v>12361</v>
      </c>
      <c r="P6" s="35">
        <f>ELECT.!W7*2</f>
        <v>22918</v>
      </c>
      <c r="Q6" s="35">
        <f>ELECT.!D7</f>
        <v>320</v>
      </c>
      <c r="R6" s="128">
        <f>BTU!C7</f>
        <v>3.2629999999990105</v>
      </c>
      <c r="S6" s="128">
        <f>BTU!F7</f>
        <v>1.1279999999997017</v>
      </c>
      <c r="T6" s="128">
        <f>BTU!I7</f>
        <v>4</v>
      </c>
      <c r="U6" s="128">
        <f>BTU!O7</f>
        <v>2.319999999999709</v>
      </c>
      <c r="V6" s="128">
        <f>BTU!L7</f>
        <v>1.0100000000002183</v>
      </c>
      <c r="W6" s="128">
        <f>BTU!R7</f>
        <v>0.13000000000010914</v>
      </c>
      <c r="X6" s="33">
        <f>ELECT.!B7</f>
        <v>318</v>
      </c>
      <c r="Y6" s="33">
        <f t="shared" si="0"/>
        <v>-3937</v>
      </c>
      <c r="Z6">
        <f>'Mall, Citadel, Rotana'!C7+'Mall, Citadel, Rotana'!E7+'Mall, Citadel, Rotana'!G7+'Mall, Citadel, Rotana'!I7</f>
        <v>1053</v>
      </c>
      <c r="AA6">
        <f>'Mall, Citadel, Rotana'!K7+'Mall, Citadel, Rotana'!M7</f>
        <v>180</v>
      </c>
      <c r="AB6">
        <f>'Mall, Citadel, Rotana'!O7</f>
        <v>108</v>
      </c>
      <c r="AC6">
        <f>'Mall, Citadel, Rotana'!Q7+'Mall, Citadel, Rotana'!S7</f>
        <v>120</v>
      </c>
      <c r="AD6" s="33">
        <f t="shared" si="1"/>
        <v>73.958252000000002</v>
      </c>
      <c r="AE6" s="33">
        <f t="shared" si="2"/>
        <v>487.18174799999997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670</v>
      </c>
      <c r="F7" s="35">
        <f>Water!E8</f>
        <v>370</v>
      </c>
      <c r="G7" s="35">
        <f>Water!G8</f>
        <v>332.1</v>
      </c>
      <c r="H7" s="35">
        <f>Water!I8</f>
        <v>4.3469999999999995</v>
      </c>
      <c r="I7" s="35">
        <f>ELECT.!F8</f>
        <v>6038</v>
      </c>
      <c r="J7" s="35">
        <f>ELECT.!H8</f>
        <v>33916</v>
      </c>
      <c r="K7" s="35">
        <f>ELECT.!K8</f>
        <v>5826</v>
      </c>
      <c r="L7" s="35">
        <f>ELECT.!M8</f>
        <v>4473</v>
      </c>
      <c r="M7" s="35">
        <f>ELECT.!O8</f>
        <v>1444</v>
      </c>
      <c r="N7" s="35">
        <f>ELECT.!Q8</f>
        <v>6902</v>
      </c>
      <c r="O7" s="35">
        <f>ELECT.!S8</f>
        <v>8094</v>
      </c>
      <c r="P7" s="35">
        <f>ELECT.!W8*2</f>
        <v>14956</v>
      </c>
      <c r="Q7" s="35">
        <f>ELECT.!D8</f>
        <v>320</v>
      </c>
      <c r="R7" s="128">
        <f>BTU!C8</f>
        <v>4.9310000000004948</v>
      </c>
      <c r="S7" s="128">
        <f>BTU!F8</f>
        <v>1.8170000000000073</v>
      </c>
      <c r="T7" s="128">
        <f>BTU!I8</f>
        <v>5</v>
      </c>
      <c r="U7" s="128">
        <f>BTU!O8</f>
        <v>3.0390000000006694</v>
      </c>
      <c r="V7" s="128">
        <f>BTU!L8</f>
        <v>1.4200000000000728</v>
      </c>
      <c r="W7" s="128">
        <f>BTU!R8</f>
        <v>0.32999999999992724</v>
      </c>
      <c r="X7" s="33">
        <f>ELECT.!B8</f>
        <v>317</v>
      </c>
      <c r="Y7" s="33">
        <f t="shared" si="0"/>
        <v>-1741</v>
      </c>
      <c r="Z7">
        <f>'Mall, Citadel, Rotana'!C8+'Mall, Citadel, Rotana'!E8+'Mall, Citadel, Rotana'!G8+'Mall, Citadel, Rotana'!I8</f>
        <v>1080</v>
      </c>
      <c r="AA7">
        <f>'Mall, Citadel, Rotana'!K8+'Mall, Citadel, Rotana'!M8</f>
        <v>240</v>
      </c>
      <c r="AB7">
        <f>'Mall, Citadel, Rotana'!O8</f>
        <v>59</v>
      </c>
      <c r="AC7">
        <f>'Mall, Citadel, Rotana'!Q8+'Mall, Citadel, Rotana'!S8</f>
        <v>119</v>
      </c>
      <c r="AD7" s="33">
        <f t="shared" si="1"/>
        <v>62.163865400000006</v>
      </c>
      <c r="AE7" s="33">
        <f t="shared" si="2"/>
        <v>409.48913460000006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740</v>
      </c>
      <c r="F8" s="35">
        <f>Water!E9</f>
        <v>380</v>
      </c>
      <c r="G8" s="35">
        <f>Water!G9</f>
        <v>364.5</v>
      </c>
      <c r="H8" s="35">
        <f>Water!I9</f>
        <v>6.0209999999999999</v>
      </c>
      <c r="I8" s="35">
        <f>ELECT.!F9</f>
        <v>9735</v>
      </c>
      <c r="J8" s="35">
        <f>ELECT.!H9</f>
        <v>58356</v>
      </c>
      <c r="K8" s="35">
        <f>ELECT.!K9</f>
        <v>12276</v>
      </c>
      <c r="L8" s="35">
        <f>ELECT.!M9</f>
        <v>7275</v>
      </c>
      <c r="M8" s="35">
        <f>ELECT.!O9</f>
        <v>2272</v>
      </c>
      <c r="N8" s="35">
        <f>ELECT.!Q9</f>
        <v>11570</v>
      </c>
      <c r="O8" s="35">
        <f>ELECT.!S9</f>
        <v>13519</v>
      </c>
      <c r="P8" s="35">
        <f>ELECT.!W9*2</f>
        <v>26362</v>
      </c>
      <c r="Q8" s="35">
        <f>ELECT.!D9</f>
        <v>480</v>
      </c>
      <c r="R8" s="128">
        <f>BTU!C9</f>
        <v>3.297999999998865</v>
      </c>
      <c r="S8" s="128">
        <f>BTU!F9</f>
        <v>1.11200000000008</v>
      </c>
      <c r="T8" s="128">
        <f>BTU!I9</f>
        <v>4</v>
      </c>
      <c r="U8" s="128">
        <f>BTU!O9</f>
        <v>2.6059999999997672</v>
      </c>
      <c r="V8" s="128">
        <f>BTU!L9</f>
        <v>1.2700000000004366</v>
      </c>
      <c r="W8" s="128">
        <f>BTU!R9</f>
        <v>0.11999999999989086</v>
      </c>
      <c r="X8" s="33">
        <f>ELECT.!B9</f>
        <v>319</v>
      </c>
      <c r="Y8" s="33">
        <f t="shared" si="0"/>
        <v>-5183</v>
      </c>
      <c r="Z8">
        <f>'Mall, Citadel, Rotana'!C9+'Mall, Citadel, Rotana'!E9+'Mall, Citadel, Rotana'!G9+'Mall, Citadel, Rotana'!I9</f>
        <v>1681</v>
      </c>
      <c r="AA8">
        <f>'Mall, Citadel, Rotana'!K9+'Mall, Citadel, Rotana'!M9</f>
        <v>180</v>
      </c>
      <c r="AB8">
        <f>'Mall, Citadel, Rotana'!O9</f>
        <v>110</v>
      </c>
      <c r="AC8">
        <f>'Mall, Citadel, Rotana'!Q9+'Mall, Citadel, Rotana'!S9</f>
        <v>181</v>
      </c>
      <c r="AD8" s="33">
        <f t="shared" si="1"/>
        <v>71.16923220000001</v>
      </c>
      <c r="AE8" s="33">
        <f t="shared" si="2"/>
        <v>468.80976780000003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680</v>
      </c>
      <c r="F9" s="35">
        <f>Water!E10</f>
        <v>360</v>
      </c>
      <c r="G9" s="35">
        <f>Water!G10</f>
        <v>359.1</v>
      </c>
      <c r="H9" s="35">
        <f>Water!I10</f>
        <v>5.5889999999999995</v>
      </c>
      <c r="I9" s="35">
        <f>ELECT.!F10</f>
        <v>7045</v>
      </c>
      <c r="J9" s="35">
        <f>ELECT.!H10</f>
        <v>38093</v>
      </c>
      <c r="K9" s="35">
        <f>ELECT.!K10</f>
        <v>7946</v>
      </c>
      <c r="L9" s="35">
        <f>ELECT.!M10</f>
        <v>5072</v>
      </c>
      <c r="M9" s="35">
        <f>ELECT.!O10</f>
        <v>1560</v>
      </c>
      <c r="N9" s="35">
        <f>ELECT.!Q10</f>
        <v>7496</v>
      </c>
      <c r="O9" s="35">
        <f>ELECT.!S10</f>
        <v>8754</v>
      </c>
      <c r="P9" s="35">
        <f>ELECT.!W10*2</f>
        <v>17138</v>
      </c>
      <c r="Q9" s="35">
        <f>ELECT.!D10</f>
        <v>960</v>
      </c>
      <c r="R9" s="128">
        <f>BTU!C10</f>
        <v>3.5619999999980791</v>
      </c>
      <c r="S9" s="128">
        <f>BTU!F10</f>
        <v>1.2790000000004511</v>
      </c>
      <c r="T9" s="128">
        <f>BTU!I10</f>
        <v>5</v>
      </c>
      <c r="U9" s="128">
        <f>BTU!O10</f>
        <v>3.1130000000002838</v>
      </c>
      <c r="V9" s="128">
        <f>BTU!L10</f>
        <v>1.7700000000004366</v>
      </c>
      <c r="W9" s="128">
        <f>BTU!R10</f>
        <v>0.17000000000007276</v>
      </c>
      <c r="X9" s="33">
        <f>ELECT.!B10</f>
        <v>309</v>
      </c>
      <c r="Y9" s="33">
        <f t="shared" si="0"/>
        <v>-2828</v>
      </c>
      <c r="Z9">
        <f>'Mall, Citadel, Rotana'!C10+'Mall, Citadel, Rotana'!E10+'Mall, Citadel, Rotana'!G10+'Mall, Citadel, Rotana'!I10</f>
        <v>1193</v>
      </c>
      <c r="AA9">
        <f>'Mall, Citadel, Rotana'!K10+'Mall, Citadel, Rotana'!M10</f>
        <v>240</v>
      </c>
      <c r="AB9">
        <f>'Mall, Citadel, Rotana'!O10</f>
        <v>115</v>
      </c>
      <c r="AC9">
        <f>'Mall, Citadel, Rotana'!Q10+'Mall, Citadel, Rotana'!S10</f>
        <v>0</v>
      </c>
      <c r="AD9" s="33">
        <f t="shared" si="1"/>
        <v>63.318169799999993</v>
      </c>
      <c r="AE9" s="33">
        <f t="shared" si="2"/>
        <v>417.09283019999998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780</v>
      </c>
      <c r="F10" s="35">
        <f>Water!E11</f>
        <v>420</v>
      </c>
      <c r="G10" s="35">
        <f>Water!G11</f>
        <v>359.1</v>
      </c>
      <c r="H10" s="35">
        <f>Water!I11</f>
        <v>5.157</v>
      </c>
      <c r="I10" s="35">
        <f>ELECT.!F11</f>
        <v>6784</v>
      </c>
      <c r="J10" s="35">
        <f>ELECT.!H11</f>
        <v>40987</v>
      </c>
      <c r="K10" s="35">
        <f>ELECT.!K11</f>
        <v>8088</v>
      </c>
      <c r="L10" s="35">
        <f>ELECT.!M11</f>
        <v>5143</v>
      </c>
      <c r="M10" s="35">
        <f>ELECT.!O11</f>
        <v>1774</v>
      </c>
      <c r="N10" s="35">
        <f>ELECT.!Q11</f>
        <v>8254</v>
      </c>
      <c r="O10" s="35">
        <f>ELECT.!S11</f>
        <v>9211</v>
      </c>
      <c r="P10" s="35">
        <f>ELECT.!W11*2</f>
        <v>18678</v>
      </c>
      <c r="Q10" s="35">
        <f>ELECT.!D11</f>
        <v>480</v>
      </c>
      <c r="R10" s="128">
        <f>BTU!C11</f>
        <v>3.5180000000000291</v>
      </c>
      <c r="S10" s="128">
        <f>BTU!F11</f>
        <v>1.4070000000001528</v>
      </c>
      <c r="T10" s="128">
        <f>BTU!I11</f>
        <v>4</v>
      </c>
      <c r="U10" s="128">
        <f>BTU!O11</f>
        <v>3.1739999999999782</v>
      </c>
      <c r="V10" s="128">
        <f>BTU!L11</f>
        <v>1.7199999999993452</v>
      </c>
      <c r="W10" s="128">
        <f>BTU!R11</f>
        <v>0.27999999999974534</v>
      </c>
      <c r="X10" s="33">
        <f>ELECT.!B11</f>
        <v>312</v>
      </c>
      <c r="Y10" s="33">
        <f t="shared" si="0"/>
        <v>-3377</v>
      </c>
      <c r="Z10">
        <f>'Mall, Citadel, Rotana'!C11+'Mall, Citadel, Rotana'!E11+'Mall, Citadel, Rotana'!G11+'Mall, Citadel, Rotana'!I11</f>
        <v>1373</v>
      </c>
      <c r="AA10">
        <f>'Mall, Citadel, Rotana'!K11+'Mall, Citadel, Rotana'!M11</f>
        <v>240</v>
      </c>
      <c r="AB10">
        <f>'Mall, Citadel, Rotana'!O11</f>
        <v>153</v>
      </c>
      <c r="AC10">
        <f>'Mall, Citadel, Rotana'!Q11+'Mall, Citadel, Rotana'!S11</f>
        <v>293</v>
      </c>
      <c r="AD10" s="33">
        <f t="shared" si="1"/>
        <v>76.555107399999997</v>
      </c>
      <c r="AE10" s="33">
        <f t="shared" si="2"/>
        <v>504.28789259999996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630</v>
      </c>
      <c r="F11" s="35">
        <f>Water!E12</f>
        <v>320</v>
      </c>
      <c r="G11" s="35">
        <f>Water!G12</f>
        <v>369.9</v>
      </c>
      <c r="H11" s="35">
        <f>Water!I12</f>
        <v>3.78</v>
      </c>
      <c r="I11" s="35">
        <f>ELECT.!F12</f>
        <v>8779</v>
      </c>
      <c r="J11" s="35">
        <f>ELECT.!H12</f>
        <v>52887</v>
      </c>
      <c r="K11" s="35">
        <f>ELECT.!K12</f>
        <v>9548</v>
      </c>
      <c r="L11" s="35">
        <f>ELECT.!M12</f>
        <v>6241</v>
      </c>
      <c r="M11" s="35">
        <f>ELECT.!O12</f>
        <v>2362</v>
      </c>
      <c r="N11" s="35">
        <f>ELECT.!Q12</f>
        <v>11017</v>
      </c>
      <c r="O11" s="35">
        <f>ELECT.!S12</f>
        <v>12360</v>
      </c>
      <c r="P11" s="35">
        <f>ELECT.!W12*2</f>
        <v>23740</v>
      </c>
      <c r="Q11" s="35">
        <f>ELECT.!D12</f>
        <v>480</v>
      </c>
      <c r="R11" s="128">
        <f>BTU!C12</f>
        <v>3.9980000000032305</v>
      </c>
      <c r="S11" s="128">
        <f>BTU!F12</f>
        <v>1.0299999999997453</v>
      </c>
      <c r="T11" s="128">
        <f>BTU!I12</f>
        <v>5</v>
      </c>
      <c r="U11" s="128">
        <f>BTU!O12</f>
        <v>3.2640000000001237</v>
      </c>
      <c r="V11" s="128">
        <f>BTU!L12</f>
        <v>1.7000000000007276</v>
      </c>
      <c r="W11" s="128">
        <f>BTU!R12</f>
        <v>0.32999999999992724</v>
      </c>
      <c r="X11" s="33">
        <f>ELECT.!B12</f>
        <v>320</v>
      </c>
      <c r="Y11" s="33">
        <f t="shared" si="0"/>
        <v>-3602</v>
      </c>
      <c r="Z11">
        <f>'Mall, Citadel, Rotana'!C12+'Mall, Citadel, Rotana'!E12+'Mall, Citadel, Rotana'!G12+'Mall, Citadel, Rotana'!I12</f>
        <v>1349</v>
      </c>
      <c r="AA11">
        <f>'Mall, Citadel, Rotana'!K12+'Mall, Citadel, Rotana'!M12</f>
        <v>120</v>
      </c>
      <c r="AB11">
        <f>'Mall, Citadel, Rotana'!O12</f>
        <v>46</v>
      </c>
      <c r="AC11">
        <f>'Mall, Citadel, Rotana'!Q12+'Mall, Citadel, Rotana'!S12</f>
        <v>145</v>
      </c>
      <c r="AD11" s="33">
        <f t="shared" si="1"/>
        <v>56.966596000000003</v>
      </c>
      <c r="AE11" s="33">
        <f t="shared" si="2"/>
        <v>375.25340400000005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760</v>
      </c>
      <c r="F12" s="35">
        <f>Water!E13</f>
        <v>360</v>
      </c>
      <c r="G12" s="35">
        <f>Water!G13</f>
        <v>423.9</v>
      </c>
      <c r="H12" s="35">
        <f>Water!I13</f>
        <v>4.5359999999999996</v>
      </c>
      <c r="I12" s="35">
        <f>ELECT.!F13</f>
        <v>7685</v>
      </c>
      <c r="J12" s="35">
        <f>ELECT.!H13</f>
        <v>44951</v>
      </c>
      <c r="K12" s="35">
        <f>ELECT.!K13</f>
        <v>8412</v>
      </c>
      <c r="L12" s="35">
        <f>ELECT.!M13</f>
        <v>5458</v>
      </c>
      <c r="M12" s="35">
        <f>ELECT.!O13</f>
        <v>2066</v>
      </c>
      <c r="N12" s="35">
        <f>ELECT.!Q13</f>
        <v>9703</v>
      </c>
      <c r="O12" s="35">
        <f>ELECT.!S13</f>
        <v>9843</v>
      </c>
      <c r="P12" s="35">
        <f>ELECT.!W13*2</f>
        <v>20362</v>
      </c>
      <c r="Q12" s="35">
        <f>ELECT.!D13</f>
        <v>480</v>
      </c>
      <c r="R12" s="128">
        <f>BTU!C13</f>
        <v>4.7469999999993888</v>
      </c>
      <c r="S12" s="128">
        <f>BTU!F13</f>
        <v>0.97400000000016007</v>
      </c>
      <c r="T12" s="128">
        <f>BTU!I13</f>
        <v>5</v>
      </c>
      <c r="U12" s="128">
        <f>BTU!O13</f>
        <v>3.2579999999998108</v>
      </c>
      <c r="V12" s="128">
        <f>BTU!L13</f>
        <v>1.7699999999986176</v>
      </c>
      <c r="W12" s="128">
        <f>BTU!R13</f>
        <v>0.43000000000029104</v>
      </c>
      <c r="X12" s="33">
        <f>ELECT.!B13</f>
        <v>310</v>
      </c>
      <c r="Y12" s="33">
        <f t="shared" si="0"/>
        <v>-3208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120</v>
      </c>
      <c r="AB12">
        <f>'Mall, Citadel, Rotana'!O13</f>
        <v>98</v>
      </c>
      <c r="AC12">
        <f>'Mall, Citadel, Rotana'!Q13+'Mall, Citadel, Rotana'!S13</f>
        <v>112</v>
      </c>
      <c r="AD12" s="33">
        <f t="shared" si="1"/>
        <v>74.000955200000007</v>
      </c>
      <c r="AE12" s="33">
        <f t="shared" si="2"/>
        <v>487.46304480000003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710</v>
      </c>
      <c r="F13" s="35">
        <f>Water!E14</f>
        <v>400</v>
      </c>
      <c r="G13" s="35">
        <f>Water!G14</f>
        <v>410.4</v>
      </c>
      <c r="H13" s="35">
        <f>Water!I14</f>
        <v>5.0490000000000004</v>
      </c>
      <c r="I13" s="35">
        <f>ELECT.!F14</f>
        <v>8544</v>
      </c>
      <c r="J13" s="35">
        <f>ELECT.!H14</f>
        <v>49095</v>
      </c>
      <c r="K13" s="35">
        <f>ELECT.!K14</f>
        <v>10780</v>
      </c>
      <c r="L13" s="35">
        <f>ELECT.!M14</f>
        <v>6092</v>
      </c>
      <c r="M13" s="35">
        <f>ELECT.!O14</f>
        <v>2290</v>
      </c>
      <c r="N13" s="35">
        <f>ELECT.!Q14</f>
        <v>10693</v>
      </c>
      <c r="O13" s="35">
        <f>ELECT.!S14</f>
        <v>11115</v>
      </c>
      <c r="P13" s="35">
        <f>ELECT.!W14*2</f>
        <v>21734</v>
      </c>
      <c r="Q13" s="35">
        <f>ELECT.!D14</f>
        <v>480</v>
      </c>
      <c r="R13" s="128">
        <f>BTU!C14</f>
        <v>4.9059999999990396</v>
      </c>
      <c r="S13" s="128">
        <f>BTU!F14</f>
        <v>1.2989999999999782</v>
      </c>
      <c r="T13" s="128">
        <f>BTU!I14</f>
        <v>5</v>
      </c>
      <c r="U13" s="128">
        <f>BTU!O14</f>
        <v>3.4129999999995562</v>
      </c>
      <c r="V13" s="128">
        <f>BTU!L14</f>
        <v>1.6200000000008004</v>
      </c>
      <c r="W13" s="128">
        <f>BTU!R14</f>
        <v>0.4000000000005457</v>
      </c>
      <c r="X13" s="33">
        <f>ELECT.!B14</f>
        <v>321</v>
      </c>
      <c r="Y13" s="33">
        <f t="shared" si="0"/>
        <v>-5065</v>
      </c>
      <c r="Z13">
        <f>'Mall, Citadel, Rotana'!C14+'Mall, Citadel, Rotana'!E14+'Mall, Citadel, Rotana'!G14+'Mall, Citadel, Rotana'!I14</f>
        <v>1192</v>
      </c>
      <c r="AA13">
        <f>'Mall, Citadel, Rotana'!K14+'Mall, Citadel, Rotana'!M14</f>
        <v>240</v>
      </c>
      <c r="AB13">
        <f>'Mall, Citadel, Rotana'!O14</f>
        <v>122</v>
      </c>
      <c r="AC13">
        <f>'Mall, Citadel, Rotana'!Q14+'Mall, Citadel, Rotana'!S14</f>
        <v>0</v>
      </c>
      <c r="AD13" s="33">
        <f t="shared" si="1"/>
        <v>67.343341800000005</v>
      </c>
      <c r="AE13" s="33">
        <f t="shared" si="2"/>
        <v>443.60765820000006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770</v>
      </c>
      <c r="F14" s="35">
        <f>Water!E15</f>
        <v>360</v>
      </c>
      <c r="G14" s="35">
        <f>Water!G15</f>
        <v>380.7</v>
      </c>
      <c r="H14" s="35">
        <f>Water!I15</f>
        <v>4.8600000000000003</v>
      </c>
      <c r="I14" s="35">
        <f>ELECT.!F15</f>
        <v>9477</v>
      </c>
      <c r="J14" s="35">
        <f>ELECT.!H15</f>
        <v>54089</v>
      </c>
      <c r="K14" s="35">
        <f>ELECT.!K15</f>
        <v>8552</v>
      </c>
      <c r="L14" s="35">
        <f>ELECT.!M15</f>
        <v>6643</v>
      </c>
      <c r="M14" s="35">
        <f>ELECT.!O15</f>
        <v>2660</v>
      </c>
      <c r="N14" s="35">
        <f>ELECT.!Q15</f>
        <v>11414</v>
      </c>
      <c r="O14" s="35">
        <f>ELECT.!S15</f>
        <v>12641</v>
      </c>
      <c r="P14" s="35">
        <f>ELECT.!W15*2</f>
        <v>23884</v>
      </c>
      <c r="Q14" s="35">
        <f>ELECT.!D15</f>
        <v>480</v>
      </c>
      <c r="R14" s="128">
        <f>BTU!C15</f>
        <v>4.8770000000004075</v>
      </c>
      <c r="S14" s="128">
        <f>BTU!F15</f>
        <v>1.6480000000001382</v>
      </c>
      <c r="T14" s="128">
        <f>BTU!I15</f>
        <v>5</v>
      </c>
      <c r="U14" s="128">
        <f>BTU!O15</f>
        <v>3.056999999999789</v>
      </c>
      <c r="V14" s="128">
        <f>BTU!L15</f>
        <v>1.5599999999994907</v>
      </c>
      <c r="W14" s="128">
        <f>BTU!R15</f>
        <v>0.42999999999938154</v>
      </c>
      <c r="X14" s="33">
        <f>ELECT.!B15</f>
        <v>308</v>
      </c>
      <c r="Y14" s="33">
        <f t="shared" si="0"/>
        <v>-2228</v>
      </c>
      <c r="Z14">
        <f>'Mall, Citadel, Rotana'!C15+'Mall, Citadel, Rotana'!E15+'Mall, Citadel, Rotana'!G15+'Mall, Citadel, Rotana'!I15</f>
        <v>1354</v>
      </c>
      <c r="AA14">
        <f>'Mall, Citadel, Rotana'!K15+'Mall, Citadel, Rotana'!M15</f>
        <v>180</v>
      </c>
      <c r="AB14">
        <f>'Mall, Citadel, Rotana'!O15</f>
        <v>116</v>
      </c>
      <c r="AC14">
        <f>'Mall, Citadel, Rotana'!Q15+'Mall, Citadel, Rotana'!S15</f>
        <v>261</v>
      </c>
      <c r="AD14" s="33">
        <f t="shared" si="1"/>
        <v>75.276251999999999</v>
      </c>
      <c r="AE14" s="33">
        <f t="shared" si="2"/>
        <v>495.86374799999999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850</v>
      </c>
      <c r="F15" s="35">
        <f>Water!E16</f>
        <v>480</v>
      </c>
      <c r="G15" s="35">
        <f>Water!G16</f>
        <v>375.3</v>
      </c>
      <c r="H15" s="35">
        <f>Water!I16</f>
        <v>5.7510000000000003</v>
      </c>
      <c r="I15" s="35">
        <f>ELECT.!F16</f>
        <v>7491</v>
      </c>
      <c r="J15" s="35">
        <f>ELECT.!H16</f>
        <v>39594</v>
      </c>
      <c r="K15" s="35">
        <f>ELECT.!K16</f>
        <v>7766</v>
      </c>
      <c r="L15" s="35">
        <f>ELECT.!M16</f>
        <v>5163</v>
      </c>
      <c r="M15" s="35">
        <f>ELECT.!O16</f>
        <v>2182</v>
      </c>
      <c r="N15" s="35">
        <f>ELECT.!Q16</f>
        <v>7564</v>
      </c>
      <c r="O15" s="35">
        <f>ELECT.!S16</f>
        <v>9375</v>
      </c>
      <c r="P15" s="35">
        <f>ELECT.!W16*2</f>
        <v>17946</v>
      </c>
      <c r="Q15" s="35">
        <f>ELECT.!D16</f>
        <v>480</v>
      </c>
      <c r="R15" s="128">
        <f>BTU!C16</f>
        <v>4.352999999999156</v>
      </c>
      <c r="S15" s="128">
        <f>BTU!F16</f>
        <v>1.600999999999658</v>
      </c>
      <c r="T15" s="128">
        <f>BTU!I16</f>
        <v>6</v>
      </c>
      <c r="U15" s="128">
        <f>BTU!O16</f>
        <v>3.2680000000000291</v>
      </c>
      <c r="V15" s="128">
        <f>BTU!L16</f>
        <v>1.5900000000001455</v>
      </c>
      <c r="W15" s="128">
        <f>BTU!R16</f>
        <v>0.25</v>
      </c>
      <c r="X15" s="33">
        <f>ELECT.!B16</f>
        <v>328</v>
      </c>
      <c r="Y15" s="33">
        <f t="shared" si="0"/>
        <v>-2911</v>
      </c>
      <c r="Z15">
        <f>'Mall, Citadel, Rotana'!C16+'Mall, Citadel, Rotana'!E16+'Mall, Citadel, Rotana'!G16+'Mall, Citadel, Rotana'!I16</f>
        <v>1197</v>
      </c>
      <c r="AA15">
        <f>'Mall, Citadel, Rotana'!K16+'Mall, Citadel, Rotana'!M16</f>
        <v>180</v>
      </c>
      <c r="AB15">
        <f>'Mall, Citadel, Rotana'!O16</f>
        <v>121</v>
      </c>
      <c r="AC15">
        <f>'Mall, Citadel, Rotana'!Q16+'Mall, Citadel, Rotana'!S16</f>
        <v>0</v>
      </c>
      <c r="AD15" s="33">
        <f t="shared" si="1"/>
        <v>85.70281820000001</v>
      </c>
      <c r="AE15" s="33">
        <f t="shared" si="2"/>
        <v>564.5461818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790</v>
      </c>
      <c r="F16" s="35">
        <f>Water!E17</f>
        <v>460</v>
      </c>
      <c r="G16" s="35">
        <f>Water!G17</f>
        <v>353.7</v>
      </c>
      <c r="H16" s="35">
        <f>Water!I17</f>
        <v>4.617</v>
      </c>
      <c r="I16" s="35">
        <f>ELECT.!F17</f>
        <v>9037</v>
      </c>
      <c r="J16" s="35">
        <f>ELECT.!H17</f>
        <v>55107</v>
      </c>
      <c r="K16" s="35">
        <f>ELECT.!K17</f>
        <v>10594</v>
      </c>
      <c r="L16" s="35">
        <f>ELECT.!M17</f>
        <v>6599</v>
      </c>
      <c r="M16" s="35">
        <f>ELECT.!O17</f>
        <v>2254</v>
      </c>
      <c r="N16" s="35">
        <f>ELECT.!Q17</f>
        <v>10564</v>
      </c>
      <c r="O16" s="35">
        <f>ELECT.!S17</f>
        <v>12929</v>
      </c>
      <c r="P16" s="35">
        <f>ELECT.!W17*2</f>
        <v>25174</v>
      </c>
      <c r="Q16" s="35">
        <f>ELECT.!D17</f>
        <v>480</v>
      </c>
      <c r="R16" s="128">
        <f>BTU!C17</f>
        <v>2.944999999999709</v>
      </c>
      <c r="S16" s="128">
        <f>BTU!F17</f>
        <v>1.0820000000003347</v>
      </c>
      <c r="T16" s="128">
        <f>BTU!I17</f>
        <v>4</v>
      </c>
      <c r="U16" s="128">
        <f>BTU!O17</f>
        <v>3.0420000000003711</v>
      </c>
      <c r="V16" s="128">
        <f>BTU!L17</f>
        <v>1.5400000000008731</v>
      </c>
      <c r="W16" s="128">
        <f>BTU!R17</f>
        <v>7.999999999992724E-2</v>
      </c>
      <c r="X16" s="33">
        <f>ELECT.!B17</f>
        <v>391</v>
      </c>
      <c r="Y16" s="33">
        <f t="shared" si="0"/>
        <v>-3970</v>
      </c>
      <c r="Z16">
        <f>'Mall, Citadel, Rotana'!C17+'Mall, Citadel, Rotana'!E17+'Mall, Citadel, Rotana'!G17+'Mall, Citadel, Rotana'!I17</f>
        <v>1376</v>
      </c>
      <c r="AA16">
        <f>'Mall, Citadel, Rotana'!K17+'Mall, Citadel, Rotana'!M17</f>
        <v>240</v>
      </c>
      <c r="AB16">
        <f>'Mall, Citadel, Rotana'!O17</f>
        <v>121</v>
      </c>
      <c r="AC16">
        <f>'Mall, Citadel, Rotana'!Q17+'Mall, Citadel, Rotana'!S17</f>
        <v>224</v>
      </c>
      <c r="AD16" s="33">
        <f t="shared" si="1"/>
        <v>77.944279399999999</v>
      </c>
      <c r="AE16" s="33">
        <f t="shared" si="2"/>
        <v>513.43872060000001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760</v>
      </c>
      <c r="F17" s="35">
        <f>Water!E18</f>
        <v>420</v>
      </c>
      <c r="G17" s="35">
        <f>Water!G18</f>
        <v>361.8</v>
      </c>
      <c r="H17" s="35">
        <f>Water!I18</f>
        <v>5.0759999999999996</v>
      </c>
      <c r="I17" s="35">
        <f>ELECT.!F18</f>
        <v>5925</v>
      </c>
      <c r="J17" s="35">
        <f>ELECT.!H18</f>
        <v>34668</v>
      </c>
      <c r="K17" s="35">
        <f>ELECT.!K18</f>
        <v>6726</v>
      </c>
      <c r="L17" s="35">
        <f>ELECT.!M18</f>
        <v>4372</v>
      </c>
      <c r="M17" s="35">
        <f>ELECT.!O18</f>
        <v>1432</v>
      </c>
      <c r="N17" s="35">
        <f>ELECT.!Q18</f>
        <v>6843</v>
      </c>
      <c r="O17" s="35">
        <f>ELECT.!S18</f>
        <v>8003</v>
      </c>
      <c r="P17" s="35">
        <f>ELECT.!W18*2</f>
        <v>15762</v>
      </c>
      <c r="Q17" s="35">
        <f>ELECT.!D18</f>
        <v>480</v>
      </c>
      <c r="R17" s="128">
        <f>BTU!C18</f>
        <v>4.0830000000023574</v>
      </c>
      <c r="S17" s="128">
        <f>BTU!F18</f>
        <v>1.613999999999578</v>
      </c>
      <c r="T17" s="128">
        <f>BTU!I18</f>
        <v>5</v>
      </c>
      <c r="U17" s="128">
        <f>BTU!O18</f>
        <v>2.9120000000002619</v>
      </c>
      <c r="V17" s="128">
        <f>BTU!L18</f>
        <v>0.5499999999992724</v>
      </c>
      <c r="W17" s="128">
        <f>BTU!R18</f>
        <v>0.17000000000007276</v>
      </c>
      <c r="X17" s="33">
        <f>ELECT.!B18</f>
        <v>344</v>
      </c>
      <c r="Y17" s="33">
        <f t="shared" si="0"/>
        <v>-2545</v>
      </c>
      <c r="Z17">
        <f>'Mall, Citadel, Rotana'!C18+'Mall, Citadel, Rotana'!E18+'Mall, Citadel, Rotana'!G18+'Mall, Citadel, Rotana'!I18</f>
        <v>1222</v>
      </c>
      <c r="AA17">
        <f>'Mall, Citadel, Rotana'!K18+'Mall, Citadel, Rotana'!M18</f>
        <v>180</v>
      </c>
      <c r="AB17">
        <f>'Mall, Citadel, Rotana'!O18</f>
        <v>114</v>
      </c>
      <c r="AC17">
        <f>'Mall, Citadel, Rotana'!Q18+'Mall, Citadel, Rotana'!S18</f>
        <v>0</v>
      </c>
      <c r="AD17" s="33">
        <f t="shared" si="1"/>
        <v>73.929783200000003</v>
      </c>
      <c r="AE17" s="33">
        <f t="shared" si="2"/>
        <v>486.9942168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660</v>
      </c>
      <c r="F18" s="35">
        <f>Water!E19</f>
        <v>350</v>
      </c>
      <c r="G18" s="35">
        <f>Water!G19</f>
        <v>340.2</v>
      </c>
      <c r="H18" s="35">
        <f>Water!I19</f>
        <v>4.32</v>
      </c>
      <c r="I18" s="35">
        <f>ELECT.!F19</f>
        <v>8503</v>
      </c>
      <c r="J18" s="35">
        <f>ELECT.!H19</f>
        <v>51271</v>
      </c>
      <c r="K18" s="35">
        <f>ELECT.!K19</f>
        <v>8894</v>
      </c>
      <c r="L18" s="35">
        <f>ELECT.!M19</f>
        <v>6044</v>
      </c>
      <c r="M18" s="35">
        <f>ELECT.!O19</f>
        <v>2264</v>
      </c>
      <c r="N18" s="35">
        <f>ELECT.!Q19</f>
        <v>10613</v>
      </c>
      <c r="O18" s="35">
        <f>ELECT.!S19</f>
        <v>11776</v>
      </c>
      <c r="P18" s="35">
        <f>ELECT.!W19*2</f>
        <v>23392</v>
      </c>
      <c r="Q18" s="35">
        <f>ELECT.!D19</f>
        <v>320</v>
      </c>
      <c r="R18" s="128">
        <f>BTU!C19</f>
        <v>4.047999999998865</v>
      </c>
      <c r="S18" s="128">
        <f>BTU!F19</f>
        <v>0.87100000000009459</v>
      </c>
      <c r="T18" s="128">
        <f>BTU!I19</f>
        <v>5</v>
      </c>
      <c r="U18" s="128">
        <f>BTU!O19</f>
        <v>2.5789999999997235</v>
      </c>
      <c r="V18" s="128">
        <f>BTU!L19</f>
        <v>0.69000000000050932</v>
      </c>
      <c r="W18" s="128">
        <f>BTU!R19</f>
        <v>0.32999999999992724</v>
      </c>
      <c r="X18" s="33">
        <f>ELECT.!B19</f>
        <v>187</v>
      </c>
      <c r="Y18" s="33">
        <f t="shared" si="0"/>
        <v>-3209</v>
      </c>
      <c r="Z18">
        <f>'Mall, Citadel, Rotana'!C19+'Mall, Citadel, Rotana'!E19+'Mall, Citadel, Rotana'!G19+'Mall, Citadel, Rotana'!I19</f>
        <v>1351</v>
      </c>
      <c r="AA18">
        <f>'Mall, Citadel, Rotana'!K19+'Mall, Citadel, Rotana'!M19</f>
        <v>120</v>
      </c>
      <c r="AB18">
        <f>'Mall, Citadel, Rotana'!O19</f>
        <v>83</v>
      </c>
      <c r="AC18">
        <f>'Mall, Citadel, Rotana'!Q19+'Mall, Citadel, Rotana'!S19</f>
        <v>0</v>
      </c>
      <c r="AD18" s="33">
        <f t="shared" si="1"/>
        <v>60.849423999999992</v>
      </c>
      <c r="AE18" s="33">
        <f t="shared" si="2"/>
        <v>400.83057599999995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700</v>
      </c>
      <c r="F19" s="35">
        <f>Water!E20</f>
        <v>370</v>
      </c>
      <c r="G19" s="35">
        <f>Water!G20</f>
        <v>359.1</v>
      </c>
      <c r="H19" s="35">
        <f>Water!I20</f>
        <v>4.3469999999999995</v>
      </c>
      <c r="I19" s="35">
        <f>ELECT.!F20</f>
        <v>5573</v>
      </c>
      <c r="J19" s="35">
        <f>ELECT.!H20</f>
        <v>35995</v>
      </c>
      <c r="K19" s="35">
        <f>ELECT.!K20</f>
        <v>6700</v>
      </c>
      <c r="L19" s="35">
        <f>ELECT.!M20</f>
        <v>3953</v>
      </c>
      <c r="M19" s="35">
        <f>ELECT.!O20</f>
        <v>1502</v>
      </c>
      <c r="N19" s="35">
        <f>ELECT.!Q20</f>
        <v>7254</v>
      </c>
      <c r="O19" s="35">
        <f>ELECT.!S20</f>
        <v>8437</v>
      </c>
      <c r="P19" s="35">
        <f>ELECT.!W20*2</f>
        <v>16192</v>
      </c>
      <c r="Q19" s="35">
        <f>ELECT.!D20</f>
        <v>320</v>
      </c>
      <c r="R19" s="128">
        <f>BTU!C20</f>
        <v>4.4029999999984284</v>
      </c>
      <c r="S19" s="128">
        <f>BTU!F20</f>
        <v>0.83299999999962893</v>
      </c>
      <c r="T19" s="128">
        <f>BTU!I20</f>
        <v>5</v>
      </c>
      <c r="U19" s="128">
        <f>BTU!O20</f>
        <v>3.0529999999998836</v>
      </c>
      <c r="V19" s="128">
        <f>BTU!L20</f>
        <v>0.87999999999919964</v>
      </c>
      <c r="W19" s="128">
        <f>BTU!R20</f>
        <v>0.22000000000025466</v>
      </c>
      <c r="X19" s="33">
        <f>ELECT.!B20</f>
        <v>316</v>
      </c>
      <c r="Y19" s="33">
        <f t="shared" si="0"/>
        <v>-2470</v>
      </c>
      <c r="Z19">
        <f>'Mall, Citadel, Rotana'!C20+'Mall, Citadel, Rotana'!E20+'Mall, Citadel, Rotana'!G20+'Mall, Citadel, Rotana'!I20</f>
        <v>1219</v>
      </c>
      <c r="AA19">
        <f>'Mall, Citadel, Rotana'!K20+'Mall, Citadel, Rotana'!M20</f>
        <v>120</v>
      </c>
      <c r="AB19">
        <f>'Mall, Citadel, Rotana'!O20</f>
        <v>77</v>
      </c>
      <c r="AC19">
        <f>'Mall, Citadel, Rotana'!Q20+'Mall, Citadel, Rotana'!S20</f>
        <v>418</v>
      </c>
      <c r="AD19" s="33">
        <f t="shared" si="1"/>
        <v>66.117865399999999</v>
      </c>
      <c r="AE19" s="33">
        <f t="shared" si="2"/>
        <v>435.53513459999999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700</v>
      </c>
      <c r="F20" s="35">
        <f>Water!E21</f>
        <v>430</v>
      </c>
      <c r="G20" s="35">
        <f>Water!G21</f>
        <v>337.5</v>
      </c>
      <c r="H20" s="35">
        <f>Water!I21</f>
        <v>4.7519999999999998</v>
      </c>
      <c r="I20" s="35">
        <f>ELECT.!F21</f>
        <v>10433</v>
      </c>
      <c r="J20" s="35">
        <f>ELECT.!H21</f>
        <v>55211</v>
      </c>
      <c r="K20" s="35">
        <f>ELECT.!K21</f>
        <v>11328</v>
      </c>
      <c r="L20" s="35">
        <f>ELECT.!M21</f>
        <v>7215</v>
      </c>
      <c r="M20" s="35">
        <f>ELECT.!O21</f>
        <v>3022</v>
      </c>
      <c r="N20" s="35">
        <f>ELECT.!Q21</f>
        <v>9914</v>
      </c>
      <c r="O20" s="35">
        <f>ELECT.!S21</f>
        <v>12962</v>
      </c>
      <c r="P20" s="35">
        <f>ELECT.!W21*2</f>
        <v>20192</v>
      </c>
      <c r="Q20" s="35">
        <f>ELECT.!D21</f>
        <v>480</v>
      </c>
      <c r="R20" s="128">
        <f>BTU!C21</f>
        <v>4.5159999999996217</v>
      </c>
      <c r="S20" s="128">
        <f>BTU!F21</f>
        <v>1.23700000000008</v>
      </c>
      <c r="T20" s="128">
        <f>BTU!I21</f>
        <v>5</v>
      </c>
      <c r="U20" s="128">
        <f>BTU!O21</f>
        <v>2.8930000000000291</v>
      </c>
      <c r="V20" s="128">
        <f>BTU!L21</f>
        <v>0.78000000000065484</v>
      </c>
      <c r="W20" s="128">
        <f>BTU!R21</f>
        <v>5.0000000000181899E-2</v>
      </c>
      <c r="X20" s="33">
        <f>ELECT.!B21</f>
        <v>287</v>
      </c>
      <c r="Y20" s="33">
        <f t="shared" si="0"/>
        <v>1011</v>
      </c>
      <c r="Z20">
        <f>'Mall, Citadel, Rotana'!C21+'Mall, Citadel, Rotana'!E21+'Mall, Citadel, Rotana'!G21+'Mall, Citadel, Rotana'!I21</f>
        <v>1190</v>
      </c>
      <c r="AA20">
        <f>'Mall, Citadel, Rotana'!K21+'Mall, Citadel, Rotana'!M21</f>
        <v>240</v>
      </c>
      <c r="AB20">
        <f>'Mall, Citadel, Rotana'!O21</f>
        <v>121</v>
      </c>
      <c r="AC20">
        <f>'Mall, Citadel, Rotana'!Q21+'Mall, Citadel, Rotana'!S21</f>
        <v>0</v>
      </c>
      <c r="AD20" s="33">
        <f t="shared" si="1"/>
        <v>66.064486400000007</v>
      </c>
      <c r="AE20" s="33">
        <f t="shared" si="2"/>
        <v>435.18351360000008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1250</v>
      </c>
      <c r="F21" s="35">
        <f>Water!E22</f>
        <v>430</v>
      </c>
      <c r="G21" s="35">
        <f>Water!G22</f>
        <v>864</v>
      </c>
      <c r="H21" s="35">
        <f>Water!I22</f>
        <v>5.2379999999999995</v>
      </c>
      <c r="I21" s="35">
        <f>ELECT.!F22</f>
        <v>6556</v>
      </c>
      <c r="J21" s="35">
        <f>ELECT.!H22</f>
        <v>37484</v>
      </c>
      <c r="K21" s="35">
        <f>ELECT.!K22</f>
        <v>7960</v>
      </c>
      <c r="L21" s="35">
        <f>ELECT.!M22</f>
        <v>4992</v>
      </c>
      <c r="M21" s="35">
        <f>ELECT.!O22</f>
        <v>1424</v>
      </c>
      <c r="N21" s="35">
        <f>ELECT.!Q22</f>
        <v>7210</v>
      </c>
      <c r="O21" s="35">
        <f>ELECT.!S22</f>
        <v>8546</v>
      </c>
      <c r="P21" s="35">
        <f>ELECT.!W22*2</f>
        <v>22268</v>
      </c>
      <c r="Q21" s="35">
        <f>ELECT.!D22</f>
        <v>480</v>
      </c>
      <c r="R21" s="128">
        <f>BTU!C22</f>
        <v>3.4830000000001746</v>
      </c>
      <c r="S21" s="128">
        <f>BTU!F22</f>
        <v>1.066000000000713</v>
      </c>
      <c r="T21" s="128">
        <f>BTU!I22</f>
        <v>4</v>
      </c>
      <c r="U21" s="128">
        <f>BTU!O22</f>
        <v>2.4719999999997526</v>
      </c>
      <c r="V21" s="128">
        <f>BTU!L22</f>
        <v>0.6000000000003638</v>
      </c>
      <c r="W21" s="128">
        <f>BTU!R22</f>
        <v>1</v>
      </c>
      <c r="X21" s="33">
        <f>ELECT.!B22</f>
        <v>253</v>
      </c>
      <c r="Y21" s="33">
        <f t="shared" si="0"/>
        <v>-8360</v>
      </c>
      <c r="Z21">
        <f>'Mall, Citadel, Rotana'!C22+'Mall, Citadel, Rotana'!E22+'Mall, Citadel, Rotana'!G22+'Mall, Citadel, Rotana'!I22</f>
        <v>1362</v>
      </c>
      <c r="AA21">
        <f>'Mall, Citadel, Rotana'!K22+'Mall, Citadel, Rotana'!M22</f>
        <v>240</v>
      </c>
      <c r="AB21">
        <f>'Mall, Citadel, Rotana'!O22</f>
        <v>127</v>
      </c>
      <c r="AC21">
        <f>'Mall, Citadel, Rotana'!Q22+'Mall, Citadel, Rotana'!S22</f>
        <v>0</v>
      </c>
      <c r="AD21" s="33">
        <f t="shared" si="1"/>
        <v>138.49043159999999</v>
      </c>
      <c r="AE21" s="33">
        <f t="shared" si="2"/>
        <v>912.27156839999998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2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ref="Y30:Y32" si="4">I30+J30-(K30+L30+M30+N30+O30+P30)</f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ref="AD30:AD32" si="5">(E30-H30-194)*0.1318</f>
        <v>-25.569199999999999</v>
      </c>
      <c r="AE30" s="33">
        <f t="shared" ref="AE30:AE32" si="6">E30-H30-AD30-194</f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2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5"/>
        <v>-25.569199999999999</v>
      </c>
      <c r="AE31" s="33">
        <f t="shared" si="6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2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si="5"/>
        <v>-25.569199999999999</v>
      </c>
      <c r="AE32" s="33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showGridLines="0" zoomScale="120" zoomScaleNormal="120" workbookViewId="0">
      <pane ySplit="1" topLeftCell="A2" activePane="bottomLeft" state="frozen"/>
      <selection pane="bottomLeft" activeCell="K39" sqref="K3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191923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v>192043</v>
      </c>
      <c r="Q3" s="14">
        <f t="shared" ref="Q3:Q33" si="2">P3-P2</f>
        <v>120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192163</v>
      </c>
      <c r="Q4" s="14">
        <f t="shared" si="2"/>
        <v>120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v>192284</v>
      </c>
      <c r="Q5" s="14">
        <f t="shared" si="2"/>
        <v>121</v>
      </c>
      <c r="R5" s="31">
        <v>55047</v>
      </c>
      <c r="S5" s="14">
        <f t="shared" ref="S5:S33" si="12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v>192402</v>
      </c>
      <c r="Q6" s="14">
        <f t="shared" si="2"/>
        <v>118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v>48334</v>
      </c>
      <c r="C7" s="14">
        <f t="shared" si="3"/>
        <v>480</v>
      </c>
      <c r="D7" s="31">
        <v>41465</v>
      </c>
      <c r="E7" s="14">
        <f t="shared" si="4"/>
        <v>480</v>
      </c>
      <c r="F7" s="31">
        <v>22665</v>
      </c>
      <c r="G7" s="14">
        <f t="shared" si="5"/>
        <v>80</v>
      </c>
      <c r="H7" s="31">
        <v>262139</v>
      </c>
      <c r="I7" s="14">
        <f t="shared" si="6"/>
        <v>13</v>
      </c>
      <c r="J7" s="31">
        <v>349512</v>
      </c>
      <c r="K7" s="14">
        <f t="shared" si="7"/>
        <v>0</v>
      </c>
      <c r="L7" s="31">
        <v>27016</v>
      </c>
      <c r="M7" s="14">
        <f t="shared" si="8"/>
        <v>180</v>
      </c>
      <c r="N7" s="31">
        <v>234060</v>
      </c>
      <c r="O7" s="14">
        <f t="shared" si="9"/>
        <v>108</v>
      </c>
      <c r="P7" s="31">
        <v>192522</v>
      </c>
      <c r="Q7" s="14">
        <f t="shared" si="2"/>
        <v>120</v>
      </c>
      <c r="R7" s="31">
        <v>55047</v>
      </c>
      <c r="S7" s="14">
        <v>0</v>
      </c>
      <c r="T7" s="31">
        <v>4203</v>
      </c>
      <c r="U7" s="14">
        <f t="shared" si="11"/>
        <v>160</v>
      </c>
    </row>
    <row r="8" spans="1:24" ht="13.5" thickBot="1" x14ac:dyDescent="0.25">
      <c r="A8" s="9">
        <v>44991</v>
      </c>
      <c r="B8" s="31">
        <v>48338</v>
      </c>
      <c r="C8" s="14">
        <f t="shared" si="3"/>
        <v>640</v>
      </c>
      <c r="D8" s="31">
        <v>41467</v>
      </c>
      <c r="E8" s="14">
        <f t="shared" si="4"/>
        <v>320</v>
      </c>
      <c r="F8" s="31">
        <v>22671</v>
      </c>
      <c r="G8" s="14">
        <f t="shared" si="5"/>
        <v>120</v>
      </c>
      <c r="H8" s="31">
        <v>262139</v>
      </c>
      <c r="I8" s="14">
        <f t="shared" si="6"/>
        <v>0</v>
      </c>
      <c r="J8" s="31">
        <v>349512</v>
      </c>
      <c r="K8" s="14">
        <f t="shared" si="7"/>
        <v>0</v>
      </c>
      <c r="L8" s="31">
        <v>27020</v>
      </c>
      <c r="M8" s="14">
        <f t="shared" si="8"/>
        <v>240</v>
      </c>
      <c r="N8" s="31">
        <v>234119</v>
      </c>
      <c r="O8" s="14">
        <f t="shared" si="9"/>
        <v>59</v>
      </c>
      <c r="P8" s="31">
        <v>192641</v>
      </c>
      <c r="Q8" s="14">
        <f t="shared" si="2"/>
        <v>119</v>
      </c>
      <c r="R8" s="31">
        <v>55047</v>
      </c>
      <c r="S8" s="14">
        <f>R8-R7</f>
        <v>0</v>
      </c>
      <c r="T8" s="31">
        <v>4204</v>
      </c>
      <c r="U8" s="14">
        <f t="shared" si="11"/>
        <v>160</v>
      </c>
    </row>
    <row r="9" spans="1:24" ht="13.5" thickBot="1" x14ac:dyDescent="0.25">
      <c r="A9" s="9">
        <v>44992</v>
      </c>
      <c r="B9" s="31">
        <v>48345</v>
      </c>
      <c r="C9" s="14">
        <f t="shared" si="3"/>
        <v>1120</v>
      </c>
      <c r="D9" s="31">
        <v>41470</v>
      </c>
      <c r="E9" s="14">
        <f t="shared" si="4"/>
        <v>480</v>
      </c>
      <c r="F9" s="31">
        <v>22674</v>
      </c>
      <c r="G9" s="14">
        <f t="shared" si="5"/>
        <v>60</v>
      </c>
      <c r="H9" s="31">
        <v>262160</v>
      </c>
      <c r="I9" s="14">
        <f t="shared" si="6"/>
        <v>21</v>
      </c>
      <c r="J9" s="31">
        <v>349512</v>
      </c>
      <c r="K9" s="14">
        <v>0</v>
      </c>
      <c r="L9" s="31">
        <v>27023</v>
      </c>
      <c r="M9" s="14">
        <f t="shared" si="8"/>
        <v>180</v>
      </c>
      <c r="N9" s="31">
        <v>234229</v>
      </c>
      <c r="O9" s="14">
        <f t="shared" si="9"/>
        <v>110</v>
      </c>
      <c r="P9" s="31">
        <v>192822</v>
      </c>
      <c r="Q9" s="14">
        <f t="shared" si="2"/>
        <v>181</v>
      </c>
      <c r="R9" s="31">
        <f t="shared" si="10"/>
        <v>55047</v>
      </c>
      <c r="S9" s="14">
        <f>R9-R8</f>
        <v>0</v>
      </c>
      <c r="T9" s="31">
        <v>4205</v>
      </c>
      <c r="U9" s="14">
        <f t="shared" si="11"/>
        <v>160</v>
      </c>
    </row>
    <row r="10" spans="1:24" ht="13.5" thickBot="1" x14ac:dyDescent="0.25">
      <c r="A10" s="9">
        <v>44993</v>
      </c>
      <c r="B10" s="31">
        <v>48349</v>
      </c>
      <c r="C10" s="14">
        <f t="shared" si="3"/>
        <v>640</v>
      </c>
      <c r="D10" s="31">
        <v>41473</v>
      </c>
      <c r="E10" s="14">
        <f t="shared" si="4"/>
        <v>480</v>
      </c>
      <c r="F10" s="31">
        <v>22677</v>
      </c>
      <c r="G10" s="14">
        <f t="shared" si="5"/>
        <v>60</v>
      </c>
      <c r="H10" s="31">
        <v>262173</v>
      </c>
      <c r="I10" s="14">
        <f t="shared" si="6"/>
        <v>13</v>
      </c>
      <c r="J10" s="31">
        <v>349512</v>
      </c>
      <c r="K10" s="14">
        <f t="shared" si="7"/>
        <v>0</v>
      </c>
      <c r="L10" s="31">
        <v>27027</v>
      </c>
      <c r="M10" s="14">
        <f t="shared" si="8"/>
        <v>240</v>
      </c>
      <c r="N10" s="31">
        <v>234344</v>
      </c>
      <c r="O10" s="14">
        <f t="shared" si="9"/>
        <v>115</v>
      </c>
      <c r="P10" s="31">
        <v>192822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v>4208</v>
      </c>
      <c r="U10" s="14">
        <f t="shared" si="11"/>
        <v>480</v>
      </c>
    </row>
    <row r="11" spans="1:24" ht="13.5" thickBot="1" x14ac:dyDescent="0.25">
      <c r="A11" s="9">
        <v>44994</v>
      </c>
      <c r="B11" s="31">
        <v>48354</v>
      </c>
      <c r="C11" s="14">
        <f t="shared" si="3"/>
        <v>800</v>
      </c>
      <c r="D11" s="31">
        <v>41476</v>
      </c>
      <c r="E11" s="14">
        <f t="shared" si="4"/>
        <v>480</v>
      </c>
      <c r="F11" s="31">
        <v>22681</v>
      </c>
      <c r="G11" s="14">
        <f t="shared" si="5"/>
        <v>80</v>
      </c>
      <c r="H11" s="31">
        <v>262186</v>
      </c>
      <c r="I11" s="14">
        <f t="shared" si="6"/>
        <v>13</v>
      </c>
      <c r="J11" s="31">
        <v>349512</v>
      </c>
      <c r="K11" s="14">
        <f t="shared" si="7"/>
        <v>0</v>
      </c>
      <c r="L11" s="31">
        <v>27031</v>
      </c>
      <c r="M11" s="14">
        <f t="shared" si="8"/>
        <v>240</v>
      </c>
      <c r="N11" s="31">
        <v>234497</v>
      </c>
      <c r="O11" s="14">
        <f t="shared" si="9"/>
        <v>153</v>
      </c>
      <c r="P11" s="31">
        <v>193115</v>
      </c>
      <c r="Q11" s="14">
        <f t="shared" si="2"/>
        <v>293</v>
      </c>
      <c r="R11" s="31">
        <f t="shared" si="10"/>
        <v>55047</v>
      </c>
      <c r="S11" s="14">
        <f t="shared" si="12"/>
        <v>0</v>
      </c>
      <c r="T11" s="31">
        <v>4209</v>
      </c>
      <c r="U11" s="14">
        <f t="shared" si="11"/>
        <v>160</v>
      </c>
    </row>
    <row r="12" spans="1:24" ht="13.5" thickBot="1" x14ac:dyDescent="0.25">
      <c r="A12" s="9">
        <v>44995</v>
      </c>
      <c r="B12" s="31">
        <v>48359</v>
      </c>
      <c r="C12" s="14">
        <f t="shared" si="3"/>
        <v>800</v>
      </c>
      <c r="D12" s="31">
        <v>41479</v>
      </c>
      <c r="E12" s="14">
        <f t="shared" si="4"/>
        <v>480</v>
      </c>
      <c r="F12" s="31">
        <v>22684</v>
      </c>
      <c r="G12" s="14">
        <f t="shared" si="5"/>
        <v>60</v>
      </c>
      <c r="H12" s="31">
        <v>262195</v>
      </c>
      <c r="I12" s="14">
        <f t="shared" si="6"/>
        <v>9</v>
      </c>
      <c r="J12" s="31">
        <v>349512</v>
      </c>
      <c r="K12" s="14">
        <f t="shared" si="7"/>
        <v>0</v>
      </c>
      <c r="L12" s="31">
        <v>27033</v>
      </c>
      <c r="M12" s="14">
        <f t="shared" si="8"/>
        <v>120</v>
      </c>
      <c r="N12" s="31">
        <v>234543</v>
      </c>
      <c r="O12" s="14">
        <f t="shared" si="9"/>
        <v>46</v>
      </c>
      <c r="P12" s="31">
        <v>193260</v>
      </c>
      <c r="Q12" s="14">
        <f t="shared" si="2"/>
        <v>145</v>
      </c>
      <c r="R12" s="31">
        <f t="shared" si="10"/>
        <v>55047</v>
      </c>
      <c r="S12" s="14">
        <f t="shared" si="12"/>
        <v>0</v>
      </c>
      <c r="T12" s="31">
        <v>4210</v>
      </c>
      <c r="U12" s="14">
        <f t="shared" si="11"/>
        <v>160</v>
      </c>
    </row>
    <row r="13" spans="1:24" ht="13.5" thickBot="1" x14ac:dyDescent="0.25">
      <c r="A13" s="9">
        <v>44996</v>
      </c>
      <c r="B13" s="31">
        <v>48363</v>
      </c>
      <c r="C13" s="14">
        <f t="shared" si="3"/>
        <v>640</v>
      </c>
      <c r="D13" s="31">
        <v>41482</v>
      </c>
      <c r="E13" s="14">
        <f t="shared" si="4"/>
        <v>480</v>
      </c>
      <c r="F13" s="31">
        <v>22688</v>
      </c>
      <c r="G13" s="14">
        <f t="shared" si="5"/>
        <v>80</v>
      </c>
      <c r="H13" s="31">
        <v>262212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27035</v>
      </c>
      <c r="M13" s="14">
        <f t="shared" si="8"/>
        <v>120</v>
      </c>
      <c r="N13" s="31">
        <v>234641</v>
      </c>
      <c r="O13" s="14">
        <f t="shared" si="9"/>
        <v>98</v>
      </c>
      <c r="P13" s="31">
        <v>193372</v>
      </c>
      <c r="Q13" s="14">
        <f t="shared" si="2"/>
        <v>112</v>
      </c>
      <c r="R13" s="31">
        <f t="shared" si="10"/>
        <v>55047</v>
      </c>
      <c r="S13" s="14">
        <f t="shared" si="12"/>
        <v>0</v>
      </c>
      <c r="T13" s="31">
        <v>4211</v>
      </c>
      <c r="U13" s="14">
        <f t="shared" si="11"/>
        <v>160</v>
      </c>
    </row>
    <row r="14" spans="1:24" ht="13.5" thickBot="1" x14ac:dyDescent="0.25">
      <c r="A14" s="9">
        <v>44997</v>
      </c>
      <c r="B14" s="31">
        <v>48368</v>
      </c>
      <c r="C14" s="14">
        <f t="shared" si="3"/>
        <v>800</v>
      </c>
      <c r="D14" s="31">
        <v>41484</v>
      </c>
      <c r="E14" s="14">
        <f t="shared" si="4"/>
        <v>320</v>
      </c>
      <c r="F14" s="31">
        <v>22691</v>
      </c>
      <c r="G14" s="14">
        <f t="shared" si="5"/>
        <v>60</v>
      </c>
      <c r="H14" s="31">
        <v>262224</v>
      </c>
      <c r="I14" s="14">
        <f t="shared" si="6"/>
        <v>12</v>
      </c>
      <c r="J14" s="31">
        <v>349512</v>
      </c>
      <c r="K14" s="14">
        <f t="shared" si="7"/>
        <v>0</v>
      </c>
      <c r="L14" s="31">
        <v>27039</v>
      </c>
      <c r="M14" s="14">
        <f t="shared" si="8"/>
        <v>240</v>
      </c>
      <c r="N14" s="31">
        <v>234763</v>
      </c>
      <c r="O14" s="14">
        <f t="shared" si="9"/>
        <v>122</v>
      </c>
      <c r="P14" s="31">
        <f t="shared" ref="P14:P33" si="13">P13</f>
        <v>193372</v>
      </c>
      <c r="Q14" s="14">
        <f t="shared" si="2"/>
        <v>0</v>
      </c>
      <c r="R14" s="31">
        <f t="shared" si="10"/>
        <v>55047</v>
      </c>
      <c r="S14" s="14">
        <v>0</v>
      </c>
      <c r="T14" s="31">
        <v>4213</v>
      </c>
      <c r="U14" s="14">
        <f t="shared" si="11"/>
        <v>320</v>
      </c>
    </row>
    <row r="15" spans="1:24" ht="13.5" thickBot="1" x14ac:dyDescent="0.25">
      <c r="A15" s="9">
        <v>44998</v>
      </c>
      <c r="B15" s="31">
        <v>48373</v>
      </c>
      <c r="C15" s="14">
        <f t="shared" si="3"/>
        <v>800</v>
      </c>
      <c r="D15" s="31">
        <v>41487</v>
      </c>
      <c r="E15" s="14">
        <f t="shared" si="4"/>
        <v>480</v>
      </c>
      <c r="F15" s="31">
        <v>22694</v>
      </c>
      <c r="G15" s="14">
        <f t="shared" si="5"/>
        <v>60</v>
      </c>
      <c r="H15" s="31">
        <v>262238</v>
      </c>
      <c r="I15" s="14">
        <f t="shared" si="6"/>
        <v>14</v>
      </c>
      <c r="J15" s="31">
        <v>349512</v>
      </c>
      <c r="K15" s="14">
        <f t="shared" si="7"/>
        <v>0</v>
      </c>
      <c r="L15" s="31">
        <v>27042</v>
      </c>
      <c r="M15" s="14">
        <f t="shared" si="8"/>
        <v>180</v>
      </c>
      <c r="N15" s="31">
        <v>234879</v>
      </c>
      <c r="O15" s="14">
        <f t="shared" si="9"/>
        <v>116</v>
      </c>
      <c r="P15" s="31">
        <v>193633</v>
      </c>
      <c r="Q15" s="14">
        <f t="shared" si="2"/>
        <v>261</v>
      </c>
      <c r="R15" s="31">
        <v>55047</v>
      </c>
      <c r="S15" s="14">
        <v>0</v>
      </c>
      <c r="T15" s="31">
        <v>4214</v>
      </c>
      <c r="U15" s="14">
        <f t="shared" si="11"/>
        <v>160</v>
      </c>
      <c r="X15" t="s">
        <v>12</v>
      </c>
    </row>
    <row r="16" spans="1:24" ht="13.5" thickBot="1" x14ac:dyDescent="0.25">
      <c r="A16" s="9">
        <v>44999</v>
      </c>
      <c r="B16" s="31">
        <v>48377</v>
      </c>
      <c r="C16" s="14">
        <f t="shared" si="3"/>
        <v>640</v>
      </c>
      <c r="D16" s="31">
        <v>41490</v>
      </c>
      <c r="E16" s="14">
        <f t="shared" si="4"/>
        <v>480</v>
      </c>
      <c r="F16" s="31">
        <v>22697</v>
      </c>
      <c r="G16" s="14">
        <f t="shared" si="5"/>
        <v>60</v>
      </c>
      <c r="H16" s="31">
        <v>262255</v>
      </c>
      <c r="I16" s="14">
        <f t="shared" si="6"/>
        <v>17</v>
      </c>
      <c r="J16" s="31">
        <v>349512</v>
      </c>
      <c r="K16" s="14">
        <f t="shared" si="7"/>
        <v>0</v>
      </c>
      <c r="L16" s="31">
        <v>27045</v>
      </c>
      <c r="M16" s="14">
        <f t="shared" si="8"/>
        <v>180</v>
      </c>
      <c r="N16" s="31">
        <v>235000</v>
      </c>
      <c r="O16" s="14">
        <f t="shared" si="9"/>
        <v>121</v>
      </c>
      <c r="P16" s="31">
        <f t="shared" si="13"/>
        <v>193633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v>4215</v>
      </c>
      <c r="U16" s="14">
        <f t="shared" si="11"/>
        <v>160</v>
      </c>
      <c r="W16" t="s">
        <v>12</v>
      </c>
    </row>
    <row r="17" spans="1:23" ht="13.5" thickBot="1" x14ac:dyDescent="0.25">
      <c r="A17" s="9">
        <v>45000</v>
      </c>
      <c r="B17" s="31">
        <v>48382</v>
      </c>
      <c r="C17" s="14">
        <f t="shared" si="3"/>
        <v>800</v>
      </c>
      <c r="D17" s="31">
        <v>41493</v>
      </c>
      <c r="E17" s="14">
        <f t="shared" si="4"/>
        <v>480</v>
      </c>
      <c r="F17" s="31">
        <v>22701</v>
      </c>
      <c r="G17" s="14">
        <f t="shared" si="5"/>
        <v>80</v>
      </c>
      <c r="H17" s="31">
        <v>262271</v>
      </c>
      <c r="I17" s="14">
        <f t="shared" si="6"/>
        <v>16</v>
      </c>
      <c r="J17" s="31">
        <v>349512</v>
      </c>
      <c r="K17" s="14">
        <f t="shared" si="7"/>
        <v>0</v>
      </c>
      <c r="L17" s="31">
        <v>27049</v>
      </c>
      <c r="M17" s="14">
        <f t="shared" si="8"/>
        <v>240</v>
      </c>
      <c r="N17" s="31">
        <v>235121</v>
      </c>
      <c r="O17" s="14">
        <f t="shared" si="9"/>
        <v>121</v>
      </c>
      <c r="P17" s="31">
        <v>193857</v>
      </c>
      <c r="Q17" s="14">
        <f t="shared" si="2"/>
        <v>224</v>
      </c>
      <c r="R17" s="31">
        <f t="shared" si="10"/>
        <v>55047</v>
      </c>
      <c r="S17" s="14">
        <f>S16</f>
        <v>0</v>
      </c>
      <c r="T17" s="31">
        <v>4217</v>
      </c>
      <c r="U17" s="14">
        <f t="shared" si="11"/>
        <v>320</v>
      </c>
    </row>
    <row r="18" spans="1:23" ht="13.5" thickBot="1" x14ac:dyDescent="0.25">
      <c r="A18" s="9">
        <v>45001</v>
      </c>
      <c r="B18" s="31">
        <v>48386</v>
      </c>
      <c r="C18" s="14">
        <f t="shared" si="3"/>
        <v>640</v>
      </c>
      <c r="D18" s="31">
        <v>41496</v>
      </c>
      <c r="E18" s="14">
        <f t="shared" si="4"/>
        <v>480</v>
      </c>
      <c r="F18" s="31">
        <v>22705</v>
      </c>
      <c r="G18" s="14">
        <f t="shared" si="5"/>
        <v>80</v>
      </c>
      <c r="H18" s="31">
        <v>262293</v>
      </c>
      <c r="I18" s="14">
        <f t="shared" si="6"/>
        <v>22</v>
      </c>
      <c r="J18" s="31">
        <v>349512</v>
      </c>
      <c r="K18" s="14">
        <f t="shared" si="7"/>
        <v>0</v>
      </c>
      <c r="L18" s="31">
        <v>27052</v>
      </c>
      <c r="M18" s="14">
        <f t="shared" si="8"/>
        <v>180</v>
      </c>
      <c r="N18" s="31">
        <v>235235</v>
      </c>
      <c r="O18" s="14">
        <f t="shared" si="9"/>
        <v>114</v>
      </c>
      <c r="P18" s="31">
        <f t="shared" si="13"/>
        <v>193857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v>4218</v>
      </c>
      <c r="U18" s="14">
        <f t="shared" si="11"/>
        <v>160</v>
      </c>
    </row>
    <row r="19" spans="1:23" ht="13.5" thickBot="1" x14ac:dyDescent="0.25">
      <c r="A19" s="9">
        <v>45002</v>
      </c>
      <c r="B19" s="31">
        <v>48391</v>
      </c>
      <c r="C19" s="14">
        <f t="shared" si="3"/>
        <v>800</v>
      </c>
      <c r="D19" s="31">
        <v>41499</v>
      </c>
      <c r="E19" s="14">
        <f t="shared" si="4"/>
        <v>480</v>
      </c>
      <c r="F19" s="31">
        <v>22708</v>
      </c>
      <c r="G19" s="14">
        <f t="shared" si="5"/>
        <v>60</v>
      </c>
      <c r="H19" s="31">
        <v>262304</v>
      </c>
      <c r="I19" s="14">
        <f t="shared" si="6"/>
        <v>11</v>
      </c>
      <c r="J19" s="31">
        <v>349512</v>
      </c>
      <c r="K19" s="14">
        <f t="shared" si="7"/>
        <v>0</v>
      </c>
      <c r="L19" s="31">
        <v>27054</v>
      </c>
      <c r="M19" s="14">
        <f t="shared" si="8"/>
        <v>120</v>
      </c>
      <c r="N19" s="31">
        <v>235318</v>
      </c>
      <c r="O19" s="14">
        <f t="shared" si="9"/>
        <v>83</v>
      </c>
      <c r="P19" s="31">
        <f t="shared" si="13"/>
        <v>193857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v>4219</v>
      </c>
      <c r="U19" s="14">
        <f t="shared" si="11"/>
        <v>160</v>
      </c>
      <c r="W19" t="s">
        <v>12</v>
      </c>
    </row>
    <row r="20" spans="1:23" ht="13.5" thickBot="1" x14ac:dyDescent="0.25">
      <c r="A20" s="9">
        <v>45003</v>
      </c>
      <c r="B20" s="31">
        <v>48395</v>
      </c>
      <c r="C20" s="14">
        <f t="shared" si="3"/>
        <v>640</v>
      </c>
      <c r="D20" s="31">
        <v>41502</v>
      </c>
      <c r="E20" s="14">
        <f t="shared" si="4"/>
        <v>480</v>
      </c>
      <c r="F20" s="31">
        <v>22712</v>
      </c>
      <c r="G20" s="14">
        <f t="shared" si="5"/>
        <v>80</v>
      </c>
      <c r="H20" s="31">
        <v>262323</v>
      </c>
      <c r="I20" s="14">
        <f t="shared" si="6"/>
        <v>19</v>
      </c>
      <c r="J20" s="31">
        <f t="shared" ref="J20:J33" si="14">J19</f>
        <v>349512</v>
      </c>
      <c r="K20" s="14">
        <f t="shared" si="7"/>
        <v>0</v>
      </c>
      <c r="L20" s="31">
        <v>27056</v>
      </c>
      <c r="M20" s="14">
        <f t="shared" si="8"/>
        <v>120</v>
      </c>
      <c r="N20" s="31">
        <v>235395</v>
      </c>
      <c r="O20" s="14">
        <f t="shared" si="9"/>
        <v>77</v>
      </c>
      <c r="P20" s="31">
        <v>194275</v>
      </c>
      <c r="Q20" s="14">
        <f t="shared" si="2"/>
        <v>418</v>
      </c>
      <c r="R20" s="31">
        <v>55047</v>
      </c>
      <c r="S20" s="14">
        <f t="shared" si="12"/>
        <v>0</v>
      </c>
      <c r="T20" s="31">
        <v>4220</v>
      </c>
      <c r="U20" s="14">
        <f t="shared" si="11"/>
        <v>160</v>
      </c>
    </row>
    <row r="21" spans="1:23" ht="13.5" thickBot="1" x14ac:dyDescent="0.25">
      <c r="A21" s="9">
        <v>45004</v>
      </c>
      <c r="B21" s="31">
        <v>48399</v>
      </c>
      <c r="C21" s="14">
        <f t="shared" si="3"/>
        <v>640</v>
      </c>
      <c r="D21" s="31">
        <v>41505</v>
      </c>
      <c r="E21" s="14">
        <f t="shared" si="4"/>
        <v>480</v>
      </c>
      <c r="F21" s="31">
        <v>22715</v>
      </c>
      <c r="G21" s="14">
        <f t="shared" si="5"/>
        <v>60</v>
      </c>
      <c r="H21" s="31">
        <v>262333</v>
      </c>
      <c r="I21" s="14">
        <f t="shared" si="6"/>
        <v>10</v>
      </c>
      <c r="J21" s="31">
        <v>349512</v>
      </c>
      <c r="K21" s="14">
        <f t="shared" si="7"/>
        <v>0</v>
      </c>
      <c r="L21" s="31">
        <v>27060</v>
      </c>
      <c r="M21" s="14">
        <f t="shared" si="8"/>
        <v>240</v>
      </c>
      <c r="N21" s="31">
        <v>235516</v>
      </c>
      <c r="O21" s="14">
        <f t="shared" si="9"/>
        <v>121</v>
      </c>
      <c r="P21" s="31">
        <f t="shared" si="13"/>
        <v>194275</v>
      </c>
      <c r="Q21" s="14">
        <f t="shared" si="2"/>
        <v>0</v>
      </c>
      <c r="R21" s="31">
        <v>55047</v>
      </c>
      <c r="S21" s="14">
        <f t="shared" si="12"/>
        <v>0</v>
      </c>
      <c r="T21" s="31">
        <v>4222</v>
      </c>
      <c r="U21" s="14">
        <f t="shared" si="11"/>
        <v>320</v>
      </c>
    </row>
    <row r="22" spans="1:23" ht="13.5" thickBot="1" x14ac:dyDescent="0.25">
      <c r="A22" s="9">
        <v>45005</v>
      </c>
      <c r="B22" s="31">
        <v>48404</v>
      </c>
      <c r="C22" s="14">
        <f t="shared" si="3"/>
        <v>800</v>
      </c>
      <c r="D22" s="31">
        <v>41508</v>
      </c>
      <c r="E22" s="14">
        <f t="shared" si="4"/>
        <v>480</v>
      </c>
      <c r="F22" s="31">
        <v>22718</v>
      </c>
      <c r="G22" s="14">
        <f t="shared" si="5"/>
        <v>60</v>
      </c>
      <c r="H22" s="31">
        <v>262355</v>
      </c>
      <c r="I22" s="14">
        <f t="shared" si="6"/>
        <v>22</v>
      </c>
      <c r="J22" s="31">
        <v>349512</v>
      </c>
      <c r="K22" s="14">
        <f t="shared" si="7"/>
        <v>0</v>
      </c>
      <c r="L22" s="31">
        <v>27064</v>
      </c>
      <c r="M22" s="14">
        <f t="shared" si="8"/>
        <v>240</v>
      </c>
      <c r="N22" s="31">
        <v>235643</v>
      </c>
      <c r="O22" s="14">
        <f t="shared" si="9"/>
        <v>127</v>
      </c>
      <c r="P22" s="31">
        <f t="shared" si="13"/>
        <v>194275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v>4223</v>
      </c>
      <c r="U22" s="14">
        <f t="shared" si="11"/>
        <v>160</v>
      </c>
    </row>
    <row r="23" spans="1:23" ht="13.5" thickBot="1" x14ac:dyDescent="0.25">
      <c r="A23" s="9">
        <v>45006</v>
      </c>
      <c r="B23" s="31">
        <f t="shared" ref="B22:B33" si="15">B22</f>
        <v>48404</v>
      </c>
      <c r="C23" s="14">
        <f t="shared" si="3"/>
        <v>0</v>
      </c>
      <c r="D23" s="31">
        <f t="shared" ref="D22:D33" si="16">D22</f>
        <v>41508</v>
      </c>
      <c r="E23" s="14">
        <f t="shared" si="4"/>
        <v>0</v>
      </c>
      <c r="F23" s="31">
        <f t="shared" ref="F22:F33" si="17">F22</f>
        <v>22718</v>
      </c>
      <c r="G23" s="14">
        <f t="shared" si="5"/>
        <v>0</v>
      </c>
      <c r="H23" s="31">
        <f t="shared" ref="H22:H33" si="18">H22</f>
        <v>262355</v>
      </c>
      <c r="I23" s="14">
        <f t="shared" si="6"/>
        <v>0</v>
      </c>
      <c r="J23" s="31">
        <f t="shared" si="14"/>
        <v>349512</v>
      </c>
      <c r="K23" s="14">
        <f t="shared" si="7"/>
        <v>0</v>
      </c>
      <c r="L23" s="31">
        <f t="shared" ref="L22:L33" si="19">L22</f>
        <v>27064</v>
      </c>
      <c r="M23" s="14">
        <f t="shared" si="8"/>
        <v>0</v>
      </c>
      <c r="N23" s="31">
        <f t="shared" ref="N22:N33" si="20">N22</f>
        <v>235643</v>
      </c>
      <c r="O23" s="14">
        <f t="shared" si="9"/>
        <v>0</v>
      </c>
      <c r="P23" s="31">
        <f t="shared" si="13"/>
        <v>194275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ref="T22:T33" si="21">T22</f>
        <v>4223</v>
      </c>
      <c r="U23" s="14">
        <f t="shared" si="11"/>
        <v>0</v>
      </c>
    </row>
    <row r="24" spans="1:23" s="118" customFormat="1" ht="13.5" thickBot="1" x14ac:dyDescent="0.25">
      <c r="A24" s="9">
        <v>45007</v>
      </c>
      <c r="B24" s="31">
        <f t="shared" si="15"/>
        <v>48404</v>
      </c>
      <c r="C24" s="14">
        <f t="shared" si="3"/>
        <v>0</v>
      </c>
      <c r="D24" s="31">
        <f t="shared" si="16"/>
        <v>41508</v>
      </c>
      <c r="E24" s="14">
        <f t="shared" si="4"/>
        <v>0</v>
      </c>
      <c r="F24" s="31">
        <f t="shared" si="17"/>
        <v>22718</v>
      </c>
      <c r="G24" s="14">
        <f t="shared" si="5"/>
        <v>0</v>
      </c>
      <c r="H24" s="31">
        <f t="shared" si="18"/>
        <v>262355</v>
      </c>
      <c r="I24" s="14">
        <f t="shared" si="6"/>
        <v>0</v>
      </c>
      <c r="J24" s="31">
        <f t="shared" si="14"/>
        <v>349512</v>
      </c>
      <c r="K24" s="14">
        <f t="shared" si="7"/>
        <v>0</v>
      </c>
      <c r="L24" s="31">
        <f t="shared" si="19"/>
        <v>27064</v>
      </c>
      <c r="M24" s="14">
        <f t="shared" si="8"/>
        <v>0</v>
      </c>
      <c r="N24" s="31">
        <f t="shared" si="20"/>
        <v>235643</v>
      </c>
      <c r="O24" s="14">
        <f t="shared" si="9"/>
        <v>0</v>
      </c>
      <c r="P24" s="31">
        <f t="shared" si="13"/>
        <v>194275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1"/>
        <v>4223</v>
      </c>
      <c r="U24" s="14">
        <f t="shared" si="11"/>
        <v>0</v>
      </c>
    </row>
    <row r="25" spans="1:23" ht="13.5" thickBot="1" x14ac:dyDescent="0.25">
      <c r="A25" s="9">
        <v>45008</v>
      </c>
      <c r="B25" s="31">
        <f t="shared" si="15"/>
        <v>48404</v>
      </c>
      <c r="C25" s="14">
        <f t="shared" si="3"/>
        <v>0</v>
      </c>
      <c r="D25" s="31">
        <f t="shared" si="16"/>
        <v>41508</v>
      </c>
      <c r="E25" s="14">
        <f t="shared" si="4"/>
        <v>0</v>
      </c>
      <c r="F25" s="31">
        <f t="shared" si="17"/>
        <v>22718</v>
      </c>
      <c r="G25" s="14">
        <f t="shared" si="5"/>
        <v>0</v>
      </c>
      <c r="H25" s="31">
        <f t="shared" si="18"/>
        <v>262355</v>
      </c>
      <c r="I25" s="14">
        <f t="shared" si="6"/>
        <v>0</v>
      </c>
      <c r="J25" s="31">
        <f t="shared" si="14"/>
        <v>349512</v>
      </c>
      <c r="K25" s="14">
        <f t="shared" si="7"/>
        <v>0</v>
      </c>
      <c r="L25" s="31">
        <f t="shared" si="19"/>
        <v>27064</v>
      </c>
      <c r="M25" s="14">
        <f t="shared" si="8"/>
        <v>0</v>
      </c>
      <c r="N25" s="31">
        <f t="shared" si="20"/>
        <v>235643</v>
      </c>
      <c r="O25" s="14">
        <f t="shared" si="9"/>
        <v>0</v>
      </c>
      <c r="P25" s="31">
        <f t="shared" si="13"/>
        <v>194275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4223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5"/>
        <v>48404</v>
      </c>
      <c r="C26" s="14">
        <f t="shared" si="3"/>
        <v>0</v>
      </c>
      <c r="D26" s="31">
        <f t="shared" si="16"/>
        <v>41508</v>
      </c>
      <c r="E26" s="14">
        <f t="shared" si="4"/>
        <v>0</v>
      </c>
      <c r="F26" s="31">
        <f t="shared" si="17"/>
        <v>22718</v>
      </c>
      <c r="G26" s="14">
        <f t="shared" si="5"/>
        <v>0</v>
      </c>
      <c r="H26" s="31">
        <f t="shared" si="18"/>
        <v>262355</v>
      </c>
      <c r="I26" s="14">
        <f t="shared" si="6"/>
        <v>0</v>
      </c>
      <c r="J26" s="31">
        <f t="shared" si="14"/>
        <v>349512</v>
      </c>
      <c r="K26" s="14">
        <f t="shared" si="7"/>
        <v>0</v>
      </c>
      <c r="L26" s="31">
        <f t="shared" si="19"/>
        <v>27064</v>
      </c>
      <c r="M26" s="14">
        <f t="shared" si="8"/>
        <v>0</v>
      </c>
      <c r="N26" s="31">
        <f t="shared" si="20"/>
        <v>235643</v>
      </c>
      <c r="O26" s="14">
        <f t="shared" si="9"/>
        <v>0</v>
      </c>
      <c r="P26" s="31">
        <f t="shared" si="13"/>
        <v>194275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4223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5"/>
        <v>48404</v>
      </c>
      <c r="C27" s="14">
        <f t="shared" si="3"/>
        <v>0</v>
      </c>
      <c r="D27" s="31">
        <f t="shared" si="16"/>
        <v>41508</v>
      </c>
      <c r="E27" s="14">
        <f t="shared" si="4"/>
        <v>0</v>
      </c>
      <c r="F27" s="31">
        <f t="shared" si="17"/>
        <v>22718</v>
      </c>
      <c r="G27" s="14">
        <f t="shared" si="5"/>
        <v>0</v>
      </c>
      <c r="H27" s="31">
        <f t="shared" si="18"/>
        <v>262355</v>
      </c>
      <c r="I27" s="14">
        <f t="shared" si="6"/>
        <v>0</v>
      </c>
      <c r="J27" s="31">
        <f t="shared" si="14"/>
        <v>349512</v>
      </c>
      <c r="K27" s="14">
        <f t="shared" si="7"/>
        <v>0</v>
      </c>
      <c r="L27" s="31">
        <f t="shared" si="19"/>
        <v>27064</v>
      </c>
      <c r="M27" s="14">
        <f t="shared" si="8"/>
        <v>0</v>
      </c>
      <c r="N27" s="31">
        <f t="shared" si="20"/>
        <v>235643</v>
      </c>
      <c r="O27" s="14">
        <f t="shared" si="9"/>
        <v>0</v>
      </c>
      <c r="P27" s="31">
        <f t="shared" si="13"/>
        <v>194275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4223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5"/>
        <v>48404</v>
      </c>
      <c r="C28" s="14">
        <f t="shared" si="3"/>
        <v>0</v>
      </c>
      <c r="D28" s="31">
        <f t="shared" si="16"/>
        <v>41508</v>
      </c>
      <c r="E28" s="14">
        <f t="shared" si="4"/>
        <v>0</v>
      </c>
      <c r="F28" s="31">
        <f t="shared" si="17"/>
        <v>22718</v>
      </c>
      <c r="G28" s="14">
        <f t="shared" si="5"/>
        <v>0</v>
      </c>
      <c r="H28" s="31">
        <f t="shared" si="18"/>
        <v>262355</v>
      </c>
      <c r="I28" s="14">
        <f t="shared" si="6"/>
        <v>0</v>
      </c>
      <c r="J28" s="31">
        <f t="shared" si="14"/>
        <v>349512</v>
      </c>
      <c r="K28" s="14">
        <f t="shared" si="7"/>
        <v>0</v>
      </c>
      <c r="L28" s="31">
        <f t="shared" si="19"/>
        <v>27064</v>
      </c>
      <c r="M28" s="14">
        <f t="shared" si="8"/>
        <v>0</v>
      </c>
      <c r="N28" s="31">
        <f t="shared" si="20"/>
        <v>235643</v>
      </c>
      <c r="O28" s="14">
        <f t="shared" si="9"/>
        <v>0</v>
      </c>
      <c r="P28" s="31">
        <f t="shared" si="13"/>
        <v>194275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4223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5"/>
        <v>48404</v>
      </c>
      <c r="C29" s="14">
        <f t="shared" si="3"/>
        <v>0</v>
      </c>
      <c r="D29" s="31">
        <f t="shared" si="16"/>
        <v>41508</v>
      </c>
      <c r="E29" s="14">
        <f t="shared" si="4"/>
        <v>0</v>
      </c>
      <c r="F29" s="31">
        <f t="shared" si="17"/>
        <v>22718</v>
      </c>
      <c r="G29" s="14">
        <f t="shared" si="5"/>
        <v>0</v>
      </c>
      <c r="H29" s="31">
        <f t="shared" si="18"/>
        <v>262355</v>
      </c>
      <c r="I29" s="14">
        <f t="shared" si="6"/>
        <v>0</v>
      </c>
      <c r="J29" s="31">
        <f t="shared" si="14"/>
        <v>349512</v>
      </c>
      <c r="K29" s="14">
        <f t="shared" si="7"/>
        <v>0</v>
      </c>
      <c r="L29" s="31">
        <f t="shared" si="19"/>
        <v>27064</v>
      </c>
      <c r="M29" s="14">
        <f t="shared" si="8"/>
        <v>0</v>
      </c>
      <c r="N29" s="31">
        <f t="shared" si="20"/>
        <v>235643</v>
      </c>
      <c r="O29" s="14">
        <f t="shared" si="9"/>
        <v>0</v>
      </c>
      <c r="P29" s="31">
        <f t="shared" si="13"/>
        <v>194275</v>
      </c>
      <c r="Q29" s="14">
        <f t="shared" si="2"/>
        <v>0</v>
      </c>
      <c r="R29" s="31">
        <v>55047</v>
      </c>
      <c r="S29" s="14">
        <f t="shared" si="12"/>
        <v>0</v>
      </c>
      <c r="T29" s="31">
        <f t="shared" si="21"/>
        <v>4223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5"/>
        <v>48404</v>
      </c>
      <c r="C30" s="14">
        <f t="shared" si="3"/>
        <v>0</v>
      </c>
      <c r="D30" s="31">
        <f t="shared" si="16"/>
        <v>41508</v>
      </c>
      <c r="E30" s="14">
        <f t="shared" si="4"/>
        <v>0</v>
      </c>
      <c r="F30" s="31">
        <f t="shared" si="17"/>
        <v>22718</v>
      </c>
      <c r="G30" s="14">
        <f t="shared" si="5"/>
        <v>0</v>
      </c>
      <c r="H30" s="31">
        <f t="shared" si="18"/>
        <v>262355</v>
      </c>
      <c r="I30" s="14">
        <f t="shared" si="6"/>
        <v>0</v>
      </c>
      <c r="J30" s="31">
        <f t="shared" si="14"/>
        <v>349512</v>
      </c>
      <c r="K30" s="14">
        <f t="shared" si="7"/>
        <v>0</v>
      </c>
      <c r="L30" s="31">
        <f t="shared" si="19"/>
        <v>27064</v>
      </c>
      <c r="M30" s="14">
        <f t="shared" si="8"/>
        <v>0</v>
      </c>
      <c r="N30" s="31">
        <f t="shared" si="20"/>
        <v>235643</v>
      </c>
      <c r="O30" s="14">
        <f t="shared" si="9"/>
        <v>0</v>
      </c>
      <c r="P30" s="31">
        <f t="shared" si="13"/>
        <v>194275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4223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5"/>
        <v>48404</v>
      </c>
      <c r="C31" s="14">
        <f t="shared" si="3"/>
        <v>0</v>
      </c>
      <c r="D31" s="31">
        <f t="shared" si="16"/>
        <v>41508</v>
      </c>
      <c r="E31" s="14">
        <f t="shared" si="4"/>
        <v>0</v>
      </c>
      <c r="F31" s="31">
        <f t="shared" si="17"/>
        <v>22718</v>
      </c>
      <c r="G31" s="14">
        <f t="shared" si="5"/>
        <v>0</v>
      </c>
      <c r="H31" s="31">
        <f t="shared" si="18"/>
        <v>262355</v>
      </c>
      <c r="I31" s="14">
        <f t="shared" si="6"/>
        <v>0</v>
      </c>
      <c r="J31" s="31">
        <f t="shared" si="14"/>
        <v>349512</v>
      </c>
      <c r="K31" s="14">
        <f t="shared" si="7"/>
        <v>0</v>
      </c>
      <c r="L31" s="31">
        <f t="shared" si="19"/>
        <v>27064</v>
      </c>
      <c r="M31" s="14">
        <f t="shared" si="8"/>
        <v>0</v>
      </c>
      <c r="N31" s="31">
        <f t="shared" si="20"/>
        <v>235643</v>
      </c>
      <c r="O31" s="14">
        <f t="shared" si="9"/>
        <v>0</v>
      </c>
      <c r="P31" s="31">
        <f t="shared" si="13"/>
        <v>194275</v>
      </c>
      <c r="Q31" s="14">
        <f t="shared" si="2"/>
        <v>0</v>
      </c>
      <c r="R31" s="31">
        <f t="shared" si="10"/>
        <v>55047</v>
      </c>
      <c r="S31" s="14">
        <f t="shared" si="12"/>
        <v>0</v>
      </c>
      <c r="T31" s="31">
        <f t="shared" si="21"/>
        <v>4223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5"/>
        <v>48404</v>
      </c>
      <c r="C32" s="14">
        <f t="shared" si="3"/>
        <v>0</v>
      </c>
      <c r="D32" s="31">
        <f t="shared" si="16"/>
        <v>41508</v>
      </c>
      <c r="E32" s="14">
        <f t="shared" si="4"/>
        <v>0</v>
      </c>
      <c r="F32" s="31">
        <f t="shared" si="17"/>
        <v>22718</v>
      </c>
      <c r="G32" s="14">
        <f t="shared" si="5"/>
        <v>0</v>
      </c>
      <c r="H32" s="31">
        <f t="shared" si="18"/>
        <v>262355</v>
      </c>
      <c r="I32" s="14">
        <f t="shared" si="6"/>
        <v>0</v>
      </c>
      <c r="J32" s="31">
        <f t="shared" si="14"/>
        <v>349512</v>
      </c>
      <c r="K32" s="14">
        <f t="shared" si="7"/>
        <v>0</v>
      </c>
      <c r="L32" s="31">
        <f t="shared" si="19"/>
        <v>27064</v>
      </c>
      <c r="M32" s="14">
        <f t="shared" si="8"/>
        <v>0</v>
      </c>
      <c r="N32" s="31">
        <f t="shared" si="20"/>
        <v>235643</v>
      </c>
      <c r="O32" s="14">
        <f t="shared" si="9"/>
        <v>0</v>
      </c>
      <c r="P32" s="31">
        <f t="shared" si="13"/>
        <v>194275</v>
      </c>
      <c r="Q32" s="14">
        <f t="shared" si="2"/>
        <v>0</v>
      </c>
      <c r="R32" s="31">
        <f t="shared" si="10"/>
        <v>55047</v>
      </c>
      <c r="S32" s="14">
        <f t="shared" si="12"/>
        <v>0</v>
      </c>
      <c r="T32" s="31">
        <f t="shared" si="21"/>
        <v>4223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5"/>
        <v>48404</v>
      </c>
      <c r="C33" s="14">
        <f t="shared" si="3"/>
        <v>0</v>
      </c>
      <c r="D33" s="31">
        <f t="shared" si="16"/>
        <v>41508</v>
      </c>
      <c r="E33" s="14">
        <f t="shared" si="4"/>
        <v>0</v>
      </c>
      <c r="F33" s="31">
        <f t="shared" si="17"/>
        <v>22718</v>
      </c>
      <c r="G33" s="14">
        <f t="shared" si="5"/>
        <v>0</v>
      </c>
      <c r="H33" s="31">
        <f t="shared" si="18"/>
        <v>262355</v>
      </c>
      <c r="I33" s="14">
        <f t="shared" si="6"/>
        <v>0</v>
      </c>
      <c r="J33" s="31">
        <f t="shared" si="14"/>
        <v>349512</v>
      </c>
      <c r="K33" s="14">
        <f t="shared" si="7"/>
        <v>0</v>
      </c>
      <c r="L33" s="31">
        <f t="shared" si="19"/>
        <v>27064</v>
      </c>
      <c r="M33" s="14">
        <f t="shared" si="8"/>
        <v>0</v>
      </c>
      <c r="N33" s="31">
        <f t="shared" si="20"/>
        <v>235643</v>
      </c>
      <c r="O33" s="14">
        <f t="shared" si="9"/>
        <v>0</v>
      </c>
      <c r="P33" s="31">
        <f t="shared" si="13"/>
        <v>194275</v>
      </c>
      <c r="Q33" s="14">
        <f t="shared" si="2"/>
        <v>0</v>
      </c>
      <c r="R33" s="31">
        <f t="shared" si="10"/>
        <v>55047</v>
      </c>
      <c r="S33" s="14">
        <f t="shared" si="12"/>
        <v>0</v>
      </c>
      <c r="T33" s="31">
        <f t="shared" si="21"/>
        <v>4223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14240</v>
      </c>
      <c r="D34" s="14"/>
      <c r="E34" s="14">
        <f>SUM(E3:E33)</f>
        <v>9120</v>
      </c>
      <c r="F34" s="14"/>
      <c r="G34" s="14">
        <f>SUM(G3:G33)</f>
        <v>1340</v>
      </c>
      <c r="H34" s="14"/>
      <c r="I34" s="14">
        <f>SUM(I3:I33)</f>
        <v>293</v>
      </c>
      <c r="J34" s="14"/>
      <c r="K34" s="14">
        <f>SUM(K3:K33)</f>
        <v>0</v>
      </c>
      <c r="L34" s="14"/>
      <c r="M34" s="14">
        <f>SUM(M3:M33)</f>
        <v>3780</v>
      </c>
      <c r="N34" s="14"/>
      <c r="O34" s="14">
        <f>SUM(O3:O33)</f>
        <v>2153</v>
      </c>
      <c r="P34" s="14"/>
      <c r="Q34" s="14">
        <f>SUM(Q3:Q33)</f>
        <v>2352</v>
      </c>
      <c r="R34" s="14"/>
      <c r="S34" s="14">
        <f>SUM(S3:S33)</f>
        <v>0</v>
      </c>
      <c r="T34" s="14"/>
      <c r="U34" s="14">
        <f>SUM(U3:U33)</f>
        <v>4160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showGridLines="0" zoomScaleNormal="100" zoomScaleSheetLayoutView="110" workbookViewId="0">
      <pane ySplit="1" topLeftCell="A2" activePane="bottomLeft" state="frozen"/>
      <selection pane="bottomLeft" activeCell="B23" sqref="B23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>
        <v>318</v>
      </c>
      <c r="C7" s="130">
        <v>20599</v>
      </c>
      <c r="D7" s="37">
        <f t="shared" si="4"/>
        <v>320</v>
      </c>
      <c r="E7" s="131">
        <v>36028035</v>
      </c>
      <c r="F7" s="37">
        <f t="shared" si="5"/>
        <v>9121</v>
      </c>
      <c r="G7" s="132">
        <v>13330092</v>
      </c>
      <c r="H7" s="37">
        <f t="shared" si="6"/>
        <v>52240</v>
      </c>
      <c r="I7" s="133">
        <f t="shared" si="7"/>
        <v>61361</v>
      </c>
      <c r="J7" s="131">
        <v>1454432</v>
      </c>
      <c r="K7" s="37">
        <f t="shared" si="15"/>
        <v>10406</v>
      </c>
      <c r="L7" s="134">
        <v>1791996</v>
      </c>
      <c r="M7" s="37">
        <f t="shared" si="8"/>
        <v>6556</v>
      </c>
      <c r="N7" s="131">
        <v>8234840</v>
      </c>
      <c r="O7" s="37">
        <f t="shared" si="16"/>
        <v>2382</v>
      </c>
      <c r="P7" s="134">
        <v>9359285</v>
      </c>
      <c r="Q7" s="37">
        <f t="shared" si="9"/>
        <v>10675</v>
      </c>
      <c r="R7" s="131">
        <v>24220348</v>
      </c>
      <c r="S7" s="37">
        <f t="shared" si="10"/>
        <v>12361</v>
      </c>
      <c r="T7" s="131"/>
      <c r="U7" s="135"/>
      <c r="V7" s="131">
        <v>2232083</v>
      </c>
      <c r="W7" s="37">
        <f t="shared" si="11"/>
        <v>11459</v>
      </c>
      <c r="X7" s="19">
        <f t="shared" si="12"/>
        <v>53839</v>
      </c>
      <c r="Y7" s="150">
        <f>Y6</f>
        <v>6529</v>
      </c>
      <c r="Z7" s="3">
        <f t="shared" si="14"/>
        <v>7671.7118399999999</v>
      </c>
      <c r="AA7" s="3">
        <f>SUM(Z1:Z7)</f>
        <v>34457.326508800004</v>
      </c>
    </row>
    <row r="8" spans="1:27" ht="16.5" thickBot="1" x14ac:dyDescent="0.3">
      <c r="A8" s="9">
        <v>44991</v>
      </c>
      <c r="B8" s="37">
        <v>317</v>
      </c>
      <c r="C8" s="130">
        <v>20601</v>
      </c>
      <c r="D8" s="37">
        <f t="shared" si="4"/>
        <v>320</v>
      </c>
      <c r="E8" s="131">
        <v>36034073</v>
      </c>
      <c r="F8" s="37">
        <f t="shared" si="5"/>
        <v>6038</v>
      </c>
      <c r="G8" s="132">
        <v>13364008</v>
      </c>
      <c r="H8" s="37">
        <f t="shared" si="6"/>
        <v>33916</v>
      </c>
      <c r="I8" s="133">
        <f t="shared" si="7"/>
        <v>39954</v>
      </c>
      <c r="J8" s="131">
        <v>1457345</v>
      </c>
      <c r="K8" s="37">
        <f t="shared" si="15"/>
        <v>5826</v>
      </c>
      <c r="L8" s="134">
        <v>1796469</v>
      </c>
      <c r="M8" s="37">
        <f t="shared" si="8"/>
        <v>4473</v>
      </c>
      <c r="N8" s="131">
        <v>8235562</v>
      </c>
      <c r="O8" s="37">
        <f t="shared" si="16"/>
        <v>1444</v>
      </c>
      <c r="P8" s="134">
        <v>9366187</v>
      </c>
      <c r="Q8" s="37">
        <f t="shared" si="9"/>
        <v>6902</v>
      </c>
      <c r="R8" s="131">
        <v>24228442</v>
      </c>
      <c r="S8" s="37">
        <f t="shared" si="10"/>
        <v>8094</v>
      </c>
      <c r="T8" s="131"/>
      <c r="U8" s="135"/>
      <c r="V8" s="131">
        <v>2239561</v>
      </c>
      <c r="W8" s="37">
        <f t="shared" si="11"/>
        <v>7478</v>
      </c>
      <c r="X8" s="19">
        <f t="shared" si="12"/>
        <v>34217</v>
      </c>
      <c r="Y8" s="150">
        <f t="shared" si="13"/>
        <v>5737</v>
      </c>
      <c r="Z8" s="3">
        <f t="shared" si="14"/>
        <v>4987.7948224000011</v>
      </c>
      <c r="AA8" s="3">
        <f>SUM(Z1:Z8)</f>
        <v>39445.121331200004</v>
      </c>
    </row>
    <row r="9" spans="1:27" ht="16.5" thickBot="1" x14ac:dyDescent="0.3">
      <c r="A9" s="9">
        <v>44992</v>
      </c>
      <c r="B9" s="37">
        <v>319</v>
      </c>
      <c r="C9" s="130">
        <v>20604</v>
      </c>
      <c r="D9" s="37">
        <f t="shared" si="4"/>
        <v>480</v>
      </c>
      <c r="E9" s="131">
        <v>36043808</v>
      </c>
      <c r="F9" s="37">
        <f t="shared" si="5"/>
        <v>9735</v>
      </c>
      <c r="G9" s="132">
        <v>13422364</v>
      </c>
      <c r="H9" s="37">
        <f t="shared" si="6"/>
        <v>58356</v>
      </c>
      <c r="I9" s="133">
        <f t="shared" si="7"/>
        <v>68091</v>
      </c>
      <c r="J9" s="131">
        <v>1463483</v>
      </c>
      <c r="K9" s="37">
        <f t="shared" si="15"/>
        <v>12276</v>
      </c>
      <c r="L9" s="134">
        <v>1803744</v>
      </c>
      <c r="M9" s="37">
        <f t="shared" si="8"/>
        <v>7275</v>
      </c>
      <c r="N9" s="131">
        <v>8236698</v>
      </c>
      <c r="O9" s="37">
        <f t="shared" si="16"/>
        <v>2272</v>
      </c>
      <c r="P9" s="134">
        <v>9377757</v>
      </c>
      <c r="Q9" s="37">
        <f t="shared" si="9"/>
        <v>11570</v>
      </c>
      <c r="R9" s="131">
        <v>24241961</v>
      </c>
      <c r="S9" s="37">
        <f t="shared" si="10"/>
        <v>13519</v>
      </c>
      <c r="T9" s="131"/>
      <c r="U9" s="135"/>
      <c r="V9" s="131">
        <v>2252742</v>
      </c>
      <c r="W9" s="37">
        <f t="shared" si="11"/>
        <v>13181</v>
      </c>
      <c r="X9" s="19">
        <f t="shared" si="12"/>
        <v>60093</v>
      </c>
      <c r="Y9" s="150">
        <f t="shared" si="13"/>
        <v>7998</v>
      </c>
      <c r="Z9" s="3">
        <f t="shared" si="14"/>
        <v>8484.3744960000004</v>
      </c>
      <c r="AA9" s="3">
        <f>SUM(Z1:Z9)</f>
        <v>47929.495827200008</v>
      </c>
    </row>
    <row r="10" spans="1:27" ht="16.5" thickBot="1" x14ac:dyDescent="0.3">
      <c r="A10" s="9">
        <v>44993</v>
      </c>
      <c r="B10" s="37">
        <v>309</v>
      </c>
      <c r="C10" s="130">
        <v>20610</v>
      </c>
      <c r="D10" s="37">
        <f>IF((C10-C9)&lt;0,"0",(C10-C9))*160</f>
        <v>960</v>
      </c>
      <c r="E10" s="131">
        <v>36050853</v>
      </c>
      <c r="F10" s="37">
        <f t="shared" si="5"/>
        <v>7045</v>
      </c>
      <c r="G10" s="132">
        <v>13460457</v>
      </c>
      <c r="H10" s="37">
        <f t="shared" si="6"/>
        <v>38093</v>
      </c>
      <c r="I10" s="133">
        <f t="shared" si="7"/>
        <v>45138</v>
      </c>
      <c r="J10" s="131">
        <v>1467456</v>
      </c>
      <c r="K10" s="37">
        <f t="shared" si="15"/>
        <v>7946</v>
      </c>
      <c r="L10" s="134">
        <v>1808816</v>
      </c>
      <c r="M10" s="37">
        <f t="shared" si="8"/>
        <v>5072</v>
      </c>
      <c r="N10" s="131">
        <v>8237478</v>
      </c>
      <c r="O10" s="37">
        <f t="shared" si="16"/>
        <v>1560</v>
      </c>
      <c r="P10" s="134">
        <v>9385253</v>
      </c>
      <c r="Q10" s="37">
        <f t="shared" si="9"/>
        <v>7496</v>
      </c>
      <c r="R10" s="131">
        <v>24250715</v>
      </c>
      <c r="S10" s="37">
        <f t="shared" si="10"/>
        <v>8754</v>
      </c>
      <c r="T10" s="131"/>
      <c r="U10" s="135"/>
      <c r="V10" s="131">
        <v>2261311</v>
      </c>
      <c r="W10" s="37">
        <f t="shared" si="11"/>
        <v>8569</v>
      </c>
      <c r="X10" s="19">
        <f t="shared" si="12"/>
        <v>39397</v>
      </c>
      <c r="Y10" s="150">
        <f t="shared" si="13"/>
        <v>5741</v>
      </c>
      <c r="Z10" s="3">
        <f t="shared" si="14"/>
        <v>5515.5744175999998</v>
      </c>
      <c r="AA10" s="3">
        <f>SUM(Z1:Z10)</f>
        <v>53445.070244800008</v>
      </c>
    </row>
    <row r="11" spans="1:27" ht="15.75" customHeight="1" thickBot="1" x14ac:dyDescent="0.3">
      <c r="A11" s="9">
        <v>44994</v>
      </c>
      <c r="B11" s="37">
        <v>312</v>
      </c>
      <c r="C11" s="130">
        <v>20613</v>
      </c>
      <c r="D11" s="37">
        <f>IF((C11-C10)&lt;0,"0",(C11-C10))*160</f>
        <v>480</v>
      </c>
      <c r="E11" s="131">
        <v>36057637</v>
      </c>
      <c r="F11" s="37">
        <f t="shared" si="5"/>
        <v>6784</v>
      </c>
      <c r="G11" s="132">
        <v>13501444</v>
      </c>
      <c r="H11" s="37">
        <f t="shared" si="6"/>
        <v>40987</v>
      </c>
      <c r="I11" s="133">
        <f t="shared" si="7"/>
        <v>47771</v>
      </c>
      <c r="J11" s="131">
        <v>1471500</v>
      </c>
      <c r="K11" s="37">
        <f t="shared" si="15"/>
        <v>8088</v>
      </c>
      <c r="L11" s="134">
        <v>1813959</v>
      </c>
      <c r="M11" s="37">
        <f t="shared" si="8"/>
        <v>5143</v>
      </c>
      <c r="N11" s="131">
        <v>8238365</v>
      </c>
      <c r="O11" s="37">
        <f t="shared" si="16"/>
        <v>1774</v>
      </c>
      <c r="P11" s="134">
        <v>9393507</v>
      </c>
      <c r="Q11" s="37">
        <f t="shared" si="9"/>
        <v>8254</v>
      </c>
      <c r="R11" s="131">
        <v>24259926</v>
      </c>
      <c r="S11" s="37">
        <f t="shared" si="10"/>
        <v>9211</v>
      </c>
      <c r="T11" s="131"/>
      <c r="U11" s="135"/>
      <c r="V11" s="131">
        <v>2270650</v>
      </c>
      <c r="W11" s="37">
        <f t="shared" si="11"/>
        <v>9339</v>
      </c>
      <c r="X11" s="19">
        <f t="shared" si="12"/>
        <v>41809</v>
      </c>
      <c r="Y11" s="150">
        <f t="shared" si="13"/>
        <v>5962</v>
      </c>
      <c r="Z11" s="3">
        <f t="shared" si="14"/>
        <v>5954.100464000001</v>
      </c>
      <c r="AA11" s="3">
        <f>SUM(Z1:Z11)</f>
        <v>59399.170708800011</v>
      </c>
    </row>
    <row r="12" spans="1:27" ht="16.5" thickBot="1" x14ac:dyDescent="0.3">
      <c r="A12" s="9">
        <v>44995</v>
      </c>
      <c r="B12" s="37">
        <v>320</v>
      </c>
      <c r="C12" s="130">
        <v>20616</v>
      </c>
      <c r="D12" s="37">
        <f>IF((C12-C11)&lt;0,"0",(C12-C11))*160</f>
        <v>480</v>
      </c>
      <c r="E12" s="131">
        <v>36066416</v>
      </c>
      <c r="F12" s="37">
        <f t="shared" si="5"/>
        <v>8779</v>
      </c>
      <c r="G12" s="132">
        <v>13554331</v>
      </c>
      <c r="H12" s="37">
        <f t="shared" si="6"/>
        <v>52887</v>
      </c>
      <c r="I12" s="133">
        <f t="shared" si="7"/>
        <v>61666</v>
      </c>
      <c r="J12" s="131">
        <v>1476274</v>
      </c>
      <c r="K12" s="37">
        <f t="shared" si="15"/>
        <v>9548</v>
      </c>
      <c r="L12" s="134">
        <v>1820200</v>
      </c>
      <c r="M12" s="37">
        <f t="shared" si="8"/>
        <v>6241</v>
      </c>
      <c r="N12" s="131">
        <v>8239546</v>
      </c>
      <c r="O12" s="37">
        <f t="shared" si="16"/>
        <v>2362</v>
      </c>
      <c r="P12" s="134">
        <v>9404524</v>
      </c>
      <c r="Q12" s="37">
        <f t="shared" si="9"/>
        <v>11017</v>
      </c>
      <c r="R12" s="131">
        <v>24272286</v>
      </c>
      <c r="S12" s="37">
        <f t="shared" si="10"/>
        <v>12360</v>
      </c>
      <c r="T12" s="131"/>
      <c r="U12" s="135"/>
      <c r="V12" s="131">
        <v>2282520</v>
      </c>
      <c r="W12" s="37">
        <f t="shared" si="11"/>
        <v>11870</v>
      </c>
      <c r="X12" s="19">
        <f t="shared" si="12"/>
        <v>53398</v>
      </c>
      <c r="Y12" s="150">
        <f t="shared" si="13"/>
        <v>8268</v>
      </c>
      <c r="Z12" s="3">
        <f t="shared" si="14"/>
        <v>7817.8403680000001</v>
      </c>
      <c r="AA12" s="3">
        <f>SUM(Z1:Z12)</f>
        <v>67217.011076800016</v>
      </c>
    </row>
    <row r="13" spans="1:27" ht="16.5" thickBot="1" x14ac:dyDescent="0.3">
      <c r="A13" s="9">
        <v>44996</v>
      </c>
      <c r="B13" s="37">
        <v>310</v>
      </c>
      <c r="C13" s="130">
        <v>20619</v>
      </c>
      <c r="D13" s="37">
        <f t="shared" ref="D13" si="17">IF((C13-C12)&lt;0,"0",(C13-C12))*160</f>
        <v>480</v>
      </c>
      <c r="E13" s="131">
        <v>36074101</v>
      </c>
      <c r="F13" s="37">
        <f t="shared" ref="F13" si="18">IF((E13-E12)&lt;0,"0",(E13-E12))</f>
        <v>7685</v>
      </c>
      <c r="G13" s="132">
        <v>13599282</v>
      </c>
      <c r="H13" s="37">
        <f t="shared" si="6"/>
        <v>44951</v>
      </c>
      <c r="I13" s="133">
        <f t="shared" ref="I13" si="19">F13+H13</f>
        <v>52636</v>
      </c>
      <c r="J13" s="131">
        <v>1480480</v>
      </c>
      <c r="K13" s="37">
        <f t="shared" ref="K13" si="20">(IF((J13-J12)&lt;0,"0",(J13-J12)))*2</f>
        <v>8412</v>
      </c>
      <c r="L13" s="134">
        <v>1825658</v>
      </c>
      <c r="M13" s="37">
        <f t="shared" ref="M13" si="21">IF((L13-L12)&lt;0,"0",(L13-L12))</f>
        <v>5458</v>
      </c>
      <c r="N13" s="131">
        <v>8240579</v>
      </c>
      <c r="O13" s="37">
        <f t="shared" ref="O13" si="22">(IF((N13-N12)&lt;0,"0",(N13-N12)))*2</f>
        <v>2066</v>
      </c>
      <c r="P13" s="134">
        <v>9414227</v>
      </c>
      <c r="Q13" s="37">
        <f t="shared" ref="Q13" si="23">IF((P13-P12)&lt;0,"0",(P13-P12))</f>
        <v>9703</v>
      </c>
      <c r="R13" s="131">
        <v>24282129</v>
      </c>
      <c r="S13" s="37">
        <f t="shared" ref="S13" si="24">IF((R13-R12)&lt;0,"0",(R13-R12))</f>
        <v>9843</v>
      </c>
      <c r="T13" s="131"/>
      <c r="U13" s="135"/>
      <c r="V13" s="131">
        <v>2292701</v>
      </c>
      <c r="W13" s="37">
        <f t="shared" si="11"/>
        <v>10181</v>
      </c>
      <c r="X13" s="19">
        <f t="shared" ref="X13" si="25">K13+M13+O13+Q13+S13+U13+W13</f>
        <v>45663</v>
      </c>
      <c r="Y13" s="150">
        <f t="shared" si="13"/>
        <v>6973</v>
      </c>
      <c r="Z13" s="3">
        <f t="shared" ref="Z13" si="26">(0.93352*(W13+S13)+0.5568*(Q13+O13))*0.26</f>
        <v>6563.9037568000003</v>
      </c>
      <c r="AA13" s="3">
        <f>SUM(Z1:Z13)</f>
        <v>73780.914833600022</v>
      </c>
    </row>
    <row r="14" spans="1:27" ht="16.5" thickBot="1" x14ac:dyDescent="0.3">
      <c r="A14" s="9">
        <v>44997</v>
      </c>
      <c r="B14" s="37">
        <v>321</v>
      </c>
      <c r="C14" s="130">
        <v>20622</v>
      </c>
      <c r="D14" s="37">
        <f t="shared" si="4"/>
        <v>480</v>
      </c>
      <c r="E14" s="131">
        <v>36082645</v>
      </c>
      <c r="F14" s="37">
        <f t="shared" si="5"/>
        <v>8544</v>
      </c>
      <c r="G14" s="132">
        <v>13648377</v>
      </c>
      <c r="H14" s="37">
        <f t="shared" si="6"/>
        <v>49095</v>
      </c>
      <c r="I14" s="133">
        <f t="shared" si="7"/>
        <v>57639</v>
      </c>
      <c r="J14" s="131">
        <v>1485870</v>
      </c>
      <c r="K14" s="37">
        <f t="shared" si="15"/>
        <v>10780</v>
      </c>
      <c r="L14" s="134">
        <v>1831750</v>
      </c>
      <c r="M14" s="37">
        <f t="shared" si="8"/>
        <v>6092</v>
      </c>
      <c r="N14" s="131">
        <v>8241724</v>
      </c>
      <c r="O14" s="37">
        <f t="shared" si="16"/>
        <v>2290</v>
      </c>
      <c r="P14" s="134">
        <v>9424920</v>
      </c>
      <c r="Q14" s="37">
        <f t="shared" si="9"/>
        <v>10693</v>
      </c>
      <c r="R14" s="131">
        <v>24293244</v>
      </c>
      <c r="S14" s="37">
        <f>IF((R14-R13)&lt;0,"0",(R14-R13))</f>
        <v>11115</v>
      </c>
      <c r="T14" s="131"/>
      <c r="U14" s="135"/>
      <c r="V14" s="131">
        <v>2303568</v>
      </c>
      <c r="W14" s="37">
        <f t="shared" si="11"/>
        <v>10867</v>
      </c>
      <c r="X14" s="19">
        <f t="shared" si="12"/>
        <v>51837</v>
      </c>
      <c r="Y14" s="150">
        <f t="shared" si="13"/>
        <v>5802</v>
      </c>
      <c r="Z14" s="3">
        <f t="shared" si="14"/>
        <v>7214.8884704000002</v>
      </c>
      <c r="AA14" s="3">
        <f>SUM(Z1:Z14)</f>
        <v>80995.803304000015</v>
      </c>
    </row>
    <row r="15" spans="1:27" ht="16.5" thickBot="1" x14ac:dyDescent="0.3">
      <c r="A15" s="9">
        <v>44998</v>
      </c>
      <c r="B15" s="37">
        <v>308</v>
      </c>
      <c r="C15" s="130">
        <v>20625</v>
      </c>
      <c r="D15" s="37">
        <f t="shared" si="4"/>
        <v>480</v>
      </c>
      <c r="E15" s="131">
        <v>36092122</v>
      </c>
      <c r="F15" s="37">
        <f t="shared" si="5"/>
        <v>9477</v>
      </c>
      <c r="G15" s="132">
        <v>13702466</v>
      </c>
      <c r="H15" s="37">
        <f t="shared" si="6"/>
        <v>54089</v>
      </c>
      <c r="I15" s="133">
        <f t="shared" si="7"/>
        <v>63566</v>
      </c>
      <c r="J15" s="131">
        <v>1490146</v>
      </c>
      <c r="K15" s="37">
        <f t="shared" si="15"/>
        <v>8552</v>
      </c>
      <c r="L15" s="134">
        <v>1838393</v>
      </c>
      <c r="M15" s="37">
        <f t="shared" si="8"/>
        <v>6643</v>
      </c>
      <c r="N15" s="131">
        <v>8243054</v>
      </c>
      <c r="O15" s="37">
        <f t="shared" si="16"/>
        <v>2660</v>
      </c>
      <c r="P15" s="134">
        <v>9436334</v>
      </c>
      <c r="Q15" s="37">
        <f t="shared" si="9"/>
        <v>11414</v>
      </c>
      <c r="R15" s="131">
        <v>24305885</v>
      </c>
      <c r="S15" s="37">
        <f>IF((R15-R14)&lt;0,"0",(R15-R14))</f>
        <v>12641</v>
      </c>
      <c r="T15" s="131"/>
      <c r="U15" s="135"/>
      <c r="V15" s="131">
        <v>2315510</v>
      </c>
      <c r="W15" s="37">
        <f t="shared" si="11"/>
        <v>11942</v>
      </c>
      <c r="X15" s="19">
        <f t="shared" si="12"/>
        <v>53852</v>
      </c>
      <c r="Y15" s="150">
        <f t="shared" si="13"/>
        <v>9714</v>
      </c>
      <c r="Z15" s="3">
        <f t="shared" si="14"/>
        <v>8004.1325936000012</v>
      </c>
      <c r="AA15" s="3">
        <f>SUM(Z1:Z15)</f>
        <v>88999.935897600022</v>
      </c>
    </row>
    <row r="16" spans="1:27" ht="16.5" thickBot="1" x14ac:dyDescent="0.3">
      <c r="A16" s="9">
        <v>44999</v>
      </c>
      <c r="B16" s="37">
        <v>328</v>
      </c>
      <c r="C16" s="130">
        <v>20628</v>
      </c>
      <c r="D16" s="37">
        <f t="shared" si="4"/>
        <v>480</v>
      </c>
      <c r="E16" s="131">
        <v>36099613</v>
      </c>
      <c r="F16" s="37">
        <f t="shared" si="5"/>
        <v>7491</v>
      </c>
      <c r="G16" s="132">
        <v>13742060</v>
      </c>
      <c r="H16" s="37">
        <f t="shared" si="6"/>
        <v>39594</v>
      </c>
      <c r="I16" s="133">
        <f t="shared" si="7"/>
        <v>47085</v>
      </c>
      <c r="J16" s="131">
        <v>1494029</v>
      </c>
      <c r="K16" s="37">
        <f t="shared" si="15"/>
        <v>7766</v>
      </c>
      <c r="L16" s="134">
        <v>1843556</v>
      </c>
      <c r="M16" s="37">
        <f t="shared" si="8"/>
        <v>5163</v>
      </c>
      <c r="N16" s="131">
        <v>8244145</v>
      </c>
      <c r="O16" s="37">
        <f t="shared" si="16"/>
        <v>2182</v>
      </c>
      <c r="P16" s="134">
        <v>9443898</v>
      </c>
      <c r="Q16" s="37">
        <f t="shared" si="9"/>
        <v>7564</v>
      </c>
      <c r="R16" s="131">
        <v>24315260</v>
      </c>
      <c r="S16" s="37">
        <f t="shared" si="10"/>
        <v>9375</v>
      </c>
      <c r="T16" s="131"/>
      <c r="U16" s="135"/>
      <c r="V16" s="131">
        <v>2324483</v>
      </c>
      <c r="W16" s="37">
        <f t="shared" si="11"/>
        <v>8973</v>
      </c>
      <c r="X16" s="19">
        <f t="shared" si="12"/>
        <v>41023</v>
      </c>
      <c r="Y16" s="150">
        <f t="shared" si="13"/>
        <v>6062</v>
      </c>
      <c r="Z16" s="3">
        <f t="shared" si="14"/>
        <v>5864.2474176000005</v>
      </c>
      <c r="AA16" s="3">
        <f>SUM(Z1:Z16)</f>
        <v>94864.183315200018</v>
      </c>
    </row>
    <row r="17" spans="1:27" s="117" customFormat="1" ht="16.5" thickBot="1" x14ac:dyDescent="0.3">
      <c r="A17" s="9">
        <v>45000</v>
      </c>
      <c r="B17" s="37">
        <v>391</v>
      </c>
      <c r="C17" s="130">
        <v>20631</v>
      </c>
      <c r="D17" s="37">
        <f t="shared" ref="D17" si="27">IF((C17-C16)&lt;0,"0",(C17-C16))*160</f>
        <v>480</v>
      </c>
      <c r="E17" s="131">
        <v>36108650</v>
      </c>
      <c r="F17" s="37">
        <f t="shared" ref="F17" si="28">IF((E17-E16)&lt;0,"0",(E17-E16))</f>
        <v>9037</v>
      </c>
      <c r="G17" s="132">
        <v>13797167</v>
      </c>
      <c r="H17" s="37">
        <f t="shared" ref="H17" si="29">IF((G17-G16)&lt;0,"0",(G17-G16))</f>
        <v>55107</v>
      </c>
      <c r="I17" s="133">
        <f t="shared" ref="I17" si="30">F17+H17</f>
        <v>64144</v>
      </c>
      <c r="J17" s="131">
        <v>1499326</v>
      </c>
      <c r="K17" s="37">
        <f t="shared" ref="K17" si="31">(IF((J17-J16)&lt;0,"0",(J17-J16)))*2</f>
        <v>10594</v>
      </c>
      <c r="L17" s="134">
        <v>1850155</v>
      </c>
      <c r="M17" s="37">
        <f t="shared" ref="M17" si="32">IF((L17-L16)&lt;0,"0",(L17-L16))</f>
        <v>6599</v>
      </c>
      <c r="N17" s="131">
        <v>8245272</v>
      </c>
      <c r="O17" s="37">
        <f t="shared" ref="O17" si="33">(IF((N17-N16)&lt;0,"0",(N17-N16)))*2</f>
        <v>2254</v>
      </c>
      <c r="P17" s="134">
        <v>9454462</v>
      </c>
      <c r="Q17" s="37">
        <f t="shared" ref="Q17" si="34">IF((P17-P16)&lt;0,"0",(P17-P16))</f>
        <v>10564</v>
      </c>
      <c r="R17" s="131">
        <v>24328189</v>
      </c>
      <c r="S17" s="37">
        <f t="shared" ref="S17" si="35">IF((R17-R16)&lt;0,"0",(R17-R16))</f>
        <v>12929</v>
      </c>
      <c r="T17" s="131"/>
      <c r="U17" s="135"/>
      <c r="V17" s="131">
        <v>2337070</v>
      </c>
      <c r="W17" s="116">
        <f t="shared" si="11"/>
        <v>12587</v>
      </c>
      <c r="X17" s="19">
        <f t="shared" si="12"/>
        <v>55527</v>
      </c>
      <c r="Y17" s="137">
        <f t="shared" si="13"/>
        <v>8617</v>
      </c>
      <c r="Z17" s="138">
        <f t="shared" si="14"/>
        <v>8048.7572671999997</v>
      </c>
      <c r="AA17" s="3">
        <f>SUM(Z1:Z17)</f>
        <v>102912.94058240001</v>
      </c>
    </row>
    <row r="18" spans="1:27" s="117" customFormat="1" ht="16.5" thickBot="1" x14ac:dyDescent="0.3">
      <c r="A18" s="9">
        <v>45001</v>
      </c>
      <c r="B18" s="37">
        <v>344</v>
      </c>
      <c r="C18" s="130">
        <v>20634</v>
      </c>
      <c r="D18" s="37">
        <f t="shared" si="4"/>
        <v>480</v>
      </c>
      <c r="E18" s="131">
        <v>36114575</v>
      </c>
      <c r="F18" s="37">
        <f t="shared" si="5"/>
        <v>5925</v>
      </c>
      <c r="G18" s="132">
        <v>13831835</v>
      </c>
      <c r="H18" s="37">
        <f t="shared" si="6"/>
        <v>34668</v>
      </c>
      <c r="I18" s="136">
        <f t="shared" si="7"/>
        <v>40593</v>
      </c>
      <c r="J18" s="131">
        <v>1502689</v>
      </c>
      <c r="K18" s="116">
        <f t="shared" si="15"/>
        <v>6726</v>
      </c>
      <c r="L18" s="134">
        <v>1854527</v>
      </c>
      <c r="M18" s="116">
        <f t="shared" si="8"/>
        <v>4372</v>
      </c>
      <c r="N18" s="131">
        <v>8245988</v>
      </c>
      <c r="O18" s="116">
        <f t="shared" si="16"/>
        <v>1432</v>
      </c>
      <c r="P18" s="134">
        <v>9461305</v>
      </c>
      <c r="Q18" s="116">
        <f t="shared" si="9"/>
        <v>6843</v>
      </c>
      <c r="R18" s="131">
        <v>24336192</v>
      </c>
      <c r="S18" s="116">
        <f t="shared" si="10"/>
        <v>8003</v>
      </c>
      <c r="T18" s="137"/>
      <c r="U18" s="135"/>
      <c r="V18" s="131">
        <v>2344951</v>
      </c>
      <c r="W18" s="116">
        <f t="shared" si="11"/>
        <v>7881</v>
      </c>
      <c r="X18" s="19">
        <f t="shared" si="12"/>
        <v>35257</v>
      </c>
      <c r="Y18" s="137">
        <f t="shared" si="13"/>
        <v>5336</v>
      </c>
      <c r="Z18" s="138">
        <f t="shared" si="14"/>
        <v>5053.2434368000004</v>
      </c>
      <c r="AA18" s="3">
        <f>SUM(Z1:Z18)</f>
        <v>107966.18401920001</v>
      </c>
    </row>
    <row r="19" spans="1:27" s="117" customFormat="1" ht="16.5" thickBot="1" x14ac:dyDescent="0.3">
      <c r="A19" s="9">
        <v>45002</v>
      </c>
      <c r="B19" s="37">
        <v>187</v>
      </c>
      <c r="C19" s="130">
        <v>20636</v>
      </c>
      <c r="D19" s="37">
        <f t="shared" si="4"/>
        <v>320</v>
      </c>
      <c r="E19" s="131">
        <v>36123078</v>
      </c>
      <c r="F19" s="37">
        <f t="shared" si="5"/>
        <v>8503</v>
      </c>
      <c r="G19" s="132">
        <v>13883106</v>
      </c>
      <c r="H19" s="37">
        <f t="shared" si="6"/>
        <v>51271</v>
      </c>
      <c r="I19" s="136">
        <f t="shared" si="7"/>
        <v>59774</v>
      </c>
      <c r="J19" s="131">
        <v>1507136</v>
      </c>
      <c r="K19" s="116">
        <f t="shared" si="15"/>
        <v>8894</v>
      </c>
      <c r="L19" s="134">
        <v>1860571</v>
      </c>
      <c r="M19" s="116">
        <f t="shared" si="8"/>
        <v>6044</v>
      </c>
      <c r="N19" s="131">
        <v>8247120</v>
      </c>
      <c r="O19" s="116">
        <f t="shared" si="16"/>
        <v>2264</v>
      </c>
      <c r="P19" s="134">
        <v>9471918</v>
      </c>
      <c r="Q19" s="116">
        <f t="shared" si="9"/>
        <v>10613</v>
      </c>
      <c r="R19" s="131">
        <v>24347968</v>
      </c>
      <c r="S19" s="116">
        <f t="shared" si="10"/>
        <v>11776</v>
      </c>
      <c r="T19" s="137"/>
      <c r="U19" s="135"/>
      <c r="V19" s="131">
        <v>2356647</v>
      </c>
      <c r="W19" s="116">
        <f t="shared" si="11"/>
        <v>11696</v>
      </c>
      <c r="X19" s="19">
        <f t="shared" si="12"/>
        <v>51287</v>
      </c>
      <c r="Y19" s="137">
        <f t="shared" si="13"/>
        <v>8487</v>
      </c>
      <c r="Z19" s="138">
        <f t="shared" si="14"/>
        <v>7561.1887104000007</v>
      </c>
      <c r="AA19" s="3">
        <f>SUM(Z1:Z19)</f>
        <v>115527.37272960001</v>
      </c>
    </row>
    <row r="20" spans="1:27" s="117" customFormat="1" ht="16.5" thickBot="1" x14ac:dyDescent="0.3">
      <c r="A20" s="9">
        <v>45003</v>
      </c>
      <c r="B20" s="37">
        <v>316</v>
      </c>
      <c r="C20" s="130">
        <v>20638</v>
      </c>
      <c r="D20" s="37">
        <f t="shared" si="4"/>
        <v>320</v>
      </c>
      <c r="E20" s="131">
        <v>36128651</v>
      </c>
      <c r="F20" s="37">
        <f t="shared" si="5"/>
        <v>5573</v>
      </c>
      <c r="G20" s="132">
        <v>13919101</v>
      </c>
      <c r="H20" s="37">
        <f t="shared" si="6"/>
        <v>35995</v>
      </c>
      <c r="I20" s="136">
        <f t="shared" si="7"/>
        <v>41568</v>
      </c>
      <c r="J20" s="131">
        <v>1510486</v>
      </c>
      <c r="K20" s="116">
        <f t="shared" si="15"/>
        <v>6700</v>
      </c>
      <c r="L20" s="134">
        <v>1864524</v>
      </c>
      <c r="M20" s="116">
        <f t="shared" si="8"/>
        <v>3953</v>
      </c>
      <c r="N20" s="131">
        <v>8247871</v>
      </c>
      <c r="O20" s="116">
        <f t="shared" si="16"/>
        <v>1502</v>
      </c>
      <c r="P20" s="134">
        <v>9479172</v>
      </c>
      <c r="Q20" s="116">
        <f t="shared" si="9"/>
        <v>7254</v>
      </c>
      <c r="R20" s="131">
        <v>24356405</v>
      </c>
      <c r="S20" s="116">
        <f t="shared" si="10"/>
        <v>8437</v>
      </c>
      <c r="T20" s="137"/>
      <c r="U20" s="135"/>
      <c r="V20" s="131">
        <v>2364743</v>
      </c>
      <c r="W20" s="116">
        <f t="shared" si="11"/>
        <v>8096</v>
      </c>
      <c r="X20" s="19">
        <f t="shared" si="12"/>
        <v>35942</v>
      </c>
      <c r="Y20" s="137">
        <f t="shared" si="13"/>
        <v>5626</v>
      </c>
      <c r="Z20" s="138">
        <f t="shared" si="14"/>
        <v>5280.3990095999998</v>
      </c>
      <c r="AA20" s="3">
        <f>SUM(Z1:Z20)</f>
        <v>120807.77173920002</v>
      </c>
    </row>
    <row r="21" spans="1:27" s="117" customFormat="1" ht="16.5" thickBot="1" x14ac:dyDescent="0.3">
      <c r="A21" s="9">
        <v>45004</v>
      </c>
      <c r="B21" s="37">
        <v>287</v>
      </c>
      <c r="C21" s="130">
        <v>20641</v>
      </c>
      <c r="D21" s="37">
        <f t="shared" si="4"/>
        <v>480</v>
      </c>
      <c r="E21" s="131">
        <v>36139084</v>
      </c>
      <c r="F21" s="37">
        <f t="shared" si="5"/>
        <v>10433</v>
      </c>
      <c r="G21" s="132">
        <v>13974312</v>
      </c>
      <c r="H21" s="37">
        <f t="shared" si="6"/>
        <v>55211</v>
      </c>
      <c r="I21" s="136">
        <f t="shared" si="7"/>
        <v>65644</v>
      </c>
      <c r="J21" s="131">
        <v>1516150</v>
      </c>
      <c r="K21" s="116">
        <f t="shared" si="15"/>
        <v>11328</v>
      </c>
      <c r="L21" s="134">
        <v>1871739</v>
      </c>
      <c r="M21" s="116">
        <f t="shared" si="8"/>
        <v>7215</v>
      </c>
      <c r="N21" s="131">
        <v>8249382</v>
      </c>
      <c r="O21" s="116">
        <f t="shared" si="16"/>
        <v>3022</v>
      </c>
      <c r="P21" s="134">
        <v>9489086</v>
      </c>
      <c r="Q21" s="116">
        <f t="shared" si="9"/>
        <v>9914</v>
      </c>
      <c r="R21" s="131">
        <v>24369367</v>
      </c>
      <c r="S21" s="116">
        <f t="shared" si="10"/>
        <v>12962</v>
      </c>
      <c r="T21" s="137"/>
      <c r="U21" s="135"/>
      <c r="V21" s="131">
        <v>2374839</v>
      </c>
      <c r="W21" s="116">
        <f t="shared" si="11"/>
        <v>10096</v>
      </c>
      <c r="X21" s="19">
        <f t="shared" si="12"/>
        <v>54537</v>
      </c>
      <c r="Y21" s="137">
        <f t="shared" si="13"/>
        <v>11107</v>
      </c>
      <c r="Z21" s="138">
        <f t="shared" si="14"/>
        <v>7469.2459296000006</v>
      </c>
      <c r="AA21" s="3">
        <f>SUM(Z1:Z21)</f>
        <v>128277.01766880002</v>
      </c>
    </row>
    <row r="22" spans="1:27" ht="16.5" thickBot="1" x14ac:dyDescent="0.3">
      <c r="A22" s="9">
        <v>45005</v>
      </c>
      <c r="B22" s="37">
        <v>253</v>
      </c>
      <c r="C22" s="130">
        <v>20644</v>
      </c>
      <c r="D22" s="37">
        <f t="shared" si="4"/>
        <v>480</v>
      </c>
      <c r="E22" s="131">
        <v>36145640</v>
      </c>
      <c r="F22" s="37">
        <f t="shared" si="5"/>
        <v>6556</v>
      </c>
      <c r="G22" s="132">
        <v>14011796</v>
      </c>
      <c r="H22" s="37">
        <f t="shared" si="6"/>
        <v>37484</v>
      </c>
      <c r="I22" s="133">
        <f t="shared" si="7"/>
        <v>44040</v>
      </c>
      <c r="J22" s="131">
        <v>1520130</v>
      </c>
      <c r="K22" s="116">
        <f t="shared" si="15"/>
        <v>7960</v>
      </c>
      <c r="L22" s="134">
        <v>1876731</v>
      </c>
      <c r="M22" s="37">
        <f t="shared" si="8"/>
        <v>4992</v>
      </c>
      <c r="N22" s="131">
        <v>8250094</v>
      </c>
      <c r="O22" s="37">
        <f t="shared" si="16"/>
        <v>1424</v>
      </c>
      <c r="P22" s="134">
        <v>9496296</v>
      </c>
      <c r="Q22" s="37">
        <f t="shared" si="9"/>
        <v>7210</v>
      </c>
      <c r="R22" s="131">
        <v>24377913</v>
      </c>
      <c r="S22" s="37">
        <f t="shared" si="10"/>
        <v>8546</v>
      </c>
      <c r="T22" s="131"/>
      <c r="U22" s="135"/>
      <c r="V22" s="131">
        <v>2385973</v>
      </c>
      <c r="W22" s="37">
        <f t="shared" si="11"/>
        <v>11134</v>
      </c>
      <c r="X22" s="19">
        <f t="shared" si="12"/>
        <v>41266</v>
      </c>
      <c r="Y22" s="150">
        <f t="shared" si="13"/>
        <v>2774</v>
      </c>
      <c r="Z22" s="3">
        <f t="shared" si="14"/>
        <v>6026.5620480000007</v>
      </c>
      <c r="AA22" s="3">
        <f>SUM(Z1:Z22)</f>
        <v>134303.57971680001</v>
      </c>
    </row>
    <row r="23" spans="1:27" ht="16.5" thickBot="1" x14ac:dyDescent="0.3">
      <c r="A23" s="9">
        <v>45006</v>
      </c>
      <c r="B23" s="37"/>
      <c r="C23" s="130">
        <f t="shared" ref="C22:C33" si="36">C22</f>
        <v>20644</v>
      </c>
      <c r="D23" s="37">
        <f t="shared" si="4"/>
        <v>0</v>
      </c>
      <c r="E23" s="131">
        <f t="shared" ref="E22:E33" si="37">E22</f>
        <v>36145640</v>
      </c>
      <c r="F23" s="37">
        <f t="shared" si="5"/>
        <v>0</v>
      </c>
      <c r="G23" s="132">
        <f t="shared" ref="G22:G33" si="38">G22</f>
        <v>14011796</v>
      </c>
      <c r="H23" s="37">
        <f t="shared" si="6"/>
        <v>0</v>
      </c>
      <c r="I23" s="133">
        <f t="shared" si="7"/>
        <v>0</v>
      </c>
      <c r="J23" s="131">
        <f t="shared" ref="J22:J33" si="39">J22</f>
        <v>1520130</v>
      </c>
      <c r="K23" s="116">
        <f t="shared" si="15"/>
        <v>0</v>
      </c>
      <c r="L23" s="134">
        <f t="shared" ref="L22:L33" si="40">L22</f>
        <v>1876731</v>
      </c>
      <c r="M23" s="37">
        <f t="shared" si="8"/>
        <v>0</v>
      </c>
      <c r="N23" s="131">
        <f t="shared" ref="N22:N33" si="41">N22</f>
        <v>8250094</v>
      </c>
      <c r="O23" s="37">
        <f t="shared" si="16"/>
        <v>0</v>
      </c>
      <c r="P23" s="134">
        <f t="shared" ref="P22:P33" si="42">P22</f>
        <v>9496296</v>
      </c>
      <c r="Q23" s="37">
        <f t="shared" si="9"/>
        <v>0</v>
      </c>
      <c r="R23" s="131">
        <f t="shared" ref="R22:R33" si="43">R22</f>
        <v>24377913</v>
      </c>
      <c r="S23" s="37">
        <f t="shared" si="10"/>
        <v>0</v>
      </c>
      <c r="T23" s="131"/>
      <c r="U23" s="135"/>
      <c r="V23" s="131">
        <f t="shared" ref="V22:V33" si="44">V22</f>
        <v>2385973</v>
      </c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134303.57971680001</v>
      </c>
    </row>
    <row r="24" spans="1:27" ht="16.5" thickBot="1" x14ac:dyDescent="0.3">
      <c r="A24" s="9">
        <v>45007</v>
      </c>
      <c r="B24" s="37"/>
      <c r="C24" s="130">
        <f t="shared" si="36"/>
        <v>20644</v>
      </c>
      <c r="D24" s="37">
        <f t="shared" si="4"/>
        <v>0</v>
      </c>
      <c r="E24" s="131">
        <f t="shared" si="37"/>
        <v>36145640</v>
      </c>
      <c r="F24" s="37">
        <f t="shared" si="5"/>
        <v>0</v>
      </c>
      <c r="G24" s="132">
        <f t="shared" si="38"/>
        <v>14011796</v>
      </c>
      <c r="H24" s="37">
        <f t="shared" si="6"/>
        <v>0</v>
      </c>
      <c r="I24" s="133">
        <f t="shared" si="7"/>
        <v>0</v>
      </c>
      <c r="J24" s="131">
        <f t="shared" si="39"/>
        <v>1520130</v>
      </c>
      <c r="K24" s="116">
        <f t="shared" si="15"/>
        <v>0</v>
      </c>
      <c r="L24" s="134">
        <f t="shared" si="40"/>
        <v>1876731</v>
      </c>
      <c r="M24" s="37">
        <f t="shared" si="8"/>
        <v>0</v>
      </c>
      <c r="N24" s="131">
        <f t="shared" si="41"/>
        <v>8250094</v>
      </c>
      <c r="O24" s="37">
        <f t="shared" si="16"/>
        <v>0</v>
      </c>
      <c r="P24" s="134">
        <f t="shared" si="42"/>
        <v>9496296</v>
      </c>
      <c r="Q24" s="37">
        <f t="shared" si="9"/>
        <v>0</v>
      </c>
      <c r="R24" s="131">
        <f t="shared" si="43"/>
        <v>24377913</v>
      </c>
      <c r="S24" s="37">
        <f t="shared" si="10"/>
        <v>0</v>
      </c>
      <c r="T24" s="131"/>
      <c r="U24" s="135"/>
      <c r="V24" s="131">
        <f t="shared" si="44"/>
        <v>2385973</v>
      </c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134303.57971680001</v>
      </c>
    </row>
    <row r="25" spans="1:27" ht="16.5" thickBot="1" x14ac:dyDescent="0.3">
      <c r="A25" s="9">
        <v>45008</v>
      </c>
      <c r="B25" s="37"/>
      <c r="C25" s="130">
        <f t="shared" si="36"/>
        <v>20644</v>
      </c>
      <c r="D25" s="37">
        <f t="shared" si="4"/>
        <v>0</v>
      </c>
      <c r="E25" s="131">
        <f t="shared" si="37"/>
        <v>36145640</v>
      </c>
      <c r="F25" s="37">
        <f t="shared" si="5"/>
        <v>0</v>
      </c>
      <c r="G25" s="132">
        <f t="shared" si="38"/>
        <v>14011796</v>
      </c>
      <c r="H25" s="37">
        <f t="shared" si="6"/>
        <v>0</v>
      </c>
      <c r="I25" s="133">
        <f t="shared" si="7"/>
        <v>0</v>
      </c>
      <c r="J25" s="131">
        <f t="shared" si="39"/>
        <v>1520130</v>
      </c>
      <c r="K25" s="116">
        <f t="shared" si="15"/>
        <v>0</v>
      </c>
      <c r="L25" s="134">
        <f t="shared" si="40"/>
        <v>1876731</v>
      </c>
      <c r="M25" s="37">
        <f t="shared" si="8"/>
        <v>0</v>
      </c>
      <c r="N25" s="131">
        <f t="shared" si="41"/>
        <v>8250094</v>
      </c>
      <c r="O25" s="37">
        <f t="shared" si="16"/>
        <v>0</v>
      </c>
      <c r="P25" s="134">
        <f t="shared" si="42"/>
        <v>9496296</v>
      </c>
      <c r="Q25" s="37">
        <f t="shared" si="9"/>
        <v>0</v>
      </c>
      <c r="R25" s="131">
        <f t="shared" si="43"/>
        <v>24377913</v>
      </c>
      <c r="S25" s="37">
        <f t="shared" si="10"/>
        <v>0</v>
      </c>
      <c r="T25" s="131"/>
      <c r="U25" s="135"/>
      <c r="V25" s="131">
        <f t="shared" si="44"/>
        <v>2385973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134303.57971680001</v>
      </c>
    </row>
    <row r="26" spans="1:27" ht="16.5" thickBot="1" x14ac:dyDescent="0.3">
      <c r="A26" s="9">
        <v>45009</v>
      </c>
      <c r="B26" s="37"/>
      <c r="C26" s="130">
        <f t="shared" si="36"/>
        <v>20644</v>
      </c>
      <c r="D26" s="37">
        <f t="shared" si="4"/>
        <v>0</v>
      </c>
      <c r="E26" s="131">
        <f t="shared" si="37"/>
        <v>36145640</v>
      </c>
      <c r="F26" s="37">
        <f t="shared" si="5"/>
        <v>0</v>
      </c>
      <c r="G26" s="132">
        <f t="shared" si="38"/>
        <v>14011796</v>
      </c>
      <c r="H26" s="37">
        <f t="shared" si="6"/>
        <v>0</v>
      </c>
      <c r="I26" s="133">
        <f t="shared" si="7"/>
        <v>0</v>
      </c>
      <c r="J26" s="131">
        <f t="shared" si="39"/>
        <v>1520130</v>
      </c>
      <c r="K26" s="116">
        <f t="shared" si="15"/>
        <v>0</v>
      </c>
      <c r="L26" s="134">
        <f t="shared" si="40"/>
        <v>1876731</v>
      </c>
      <c r="M26" s="37">
        <f t="shared" si="8"/>
        <v>0</v>
      </c>
      <c r="N26" s="131">
        <f t="shared" si="41"/>
        <v>8250094</v>
      </c>
      <c r="O26" s="37">
        <f t="shared" si="16"/>
        <v>0</v>
      </c>
      <c r="P26" s="134">
        <f t="shared" si="42"/>
        <v>9496296</v>
      </c>
      <c r="Q26" s="37">
        <f t="shared" si="9"/>
        <v>0</v>
      </c>
      <c r="R26" s="131">
        <f t="shared" si="43"/>
        <v>24377913</v>
      </c>
      <c r="S26" s="37">
        <f t="shared" si="10"/>
        <v>0</v>
      </c>
      <c r="T26" s="131"/>
      <c r="U26" s="135"/>
      <c r="V26" s="131">
        <f t="shared" si="44"/>
        <v>2385973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134303.57971680001</v>
      </c>
    </row>
    <row r="27" spans="1:27" ht="16.5" thickBot="1" x14ac:dyDescent="0.3">
      <c r="A27" s="9">
        <v>45010</v>
      </c>
      <c r="B27" s="37"/>
      <c r="C27" s="130">
        <f t="shared" si="36"/>
        <v>20644</v>
      </c>
      <c r="D27" s="37">
        <f t="shared" si="4"/>
        <v>0</v>
      </c>
      <c r="E27" s="131">
        <f t="shared" si="37"/>
        <v>36145640</v>
      </c>
      <c r="F27" s="37">
        <f t="shared" si="5"/>
        <v>0</v>
      </c>
      <c r="G27" s="132">
        <f t="shared" si="38"/>
        <v>14011796</v>
      </c>
      <c r="H27" s="37">
        <f t="shared" si="6"/>
        <v>0</v>
      </c>
      <c r="I27" s="133">
        <f t="shared" si="7"/>
        <v>0</v>
      </c>
      <c r="J27" s="131">
        <f t="shared" si="39"/>
        <v>1520130</v>
      </c>
      <c r="K27" s="116">
        <f t="shared" si="15"/>
        <v>0</v>
      </c>
      <c r="L27" s="134">
        <f t="shared" si="40"/>
        <v>1876731</v>
      </c>
      <c r="M27" s="37">
        <f t="shared" si="8"/>
        <v>0</v>
      </c>
      <c r="N27" s="131">
        <f t="shared" si="41"/>
        <v>8250094</v>
      </c>
      <c r="O27" s="37">
        <f t="shared" si="16"/>
        <v>0</v>
      </c>
      <c r="P27" s="134">
        <f t="shared" si="42"/>
        <v>9496296</v>
      </c>
      <c r="Q27" s="37">
        <f t="shared" si="9"/>
        <v>0</v>
      </c>
      <c r="R27" s="131">
        <f t="shared" si="43"/>
        <v>24377913</v>
      </c>
      <c r="S27" s="37">
        <f t="shared" si="10"/>
        <v>0</v>
      </c>
      <c r="T27" s="131"/>
      <c r="U27" s="135"/>
      <c r="V27" s="131">
        <f t="shared" si="44"/>
        <v>2385973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134303.57971680001</v>
      </c>
    </row>
    <row r="28" spans="1:27" ht="16.5" thickBot="1" x14ac:dyDescent="0.3">
      <c r="A28" s="9">
        <v>45011</v>
      </c>
      <c r="B28" s="37"/>
      <c r="C28" s="130">
        <f t="shared" si="36"/>
        <v>20644</v>
      </c>
      <c r="D28" s="37">
        <f t="shared" si="4"/>
        <v>0</v>
      </c>
      <c r="E28" s="131">
        <f t="shared" si="37"/>
        <v>36145640</v>
      </c>
      <c r="F28" s="37">
        <f t="shared" si="5"/>
        <v>0</v>
      </c>
      <c r="G28" s="132">
        <f t="shared" si="38"/>
        <v>14011796</v>
      </c>
      <c r="H28" s="37">
        <f t="shared" si="6"/>
        <v>0</v>
      </c>
      <c r="I28" s="133">
        <f t="shared" si="7"/>
        <v>0</v>
      </c>
      <c r="J28" s="131">
        <f t="shared" si="39"/>
        <v>1520130</v>
      </c>
      <c r="K28" s="116">
        <f t="shared" si="15"/>
        <v>0</v>
      </c>
      <c r="L28" s="134">
        <f t="shared" si="40"/>
        <v>1876731</v>
      </c>
      <c r="M28" s="37">
        <f t="shared" si="8"/>
        <v>0</v>
      </c>
      <c r="N28" s="131">
        <f t="shared" si="41"/>
        <v>8250094</v>
      </c>
      <c r="O28" s="37">
        <f t="shared" si="16"/>
        <v>0</v>
      </c>
      <c r="P28" s="134">
        <f t="shared" si="42"/>
        <v>9496296</v>
      </c>
      <c r="Q28" s="37">
        <f t="shared" si="9"/>
        <v>0</v>
      </c>
      <c r="R28" s="131">
        <f t="shared" si="43"/>
        <v>24377913</v>
      </c>
      <c r="S28" s="37">
        <f t="shared" si="10"/>
        <v>0</v>
      </c>
      <c r="T28" s="131"/>
      <c r="U28" s="135"/>
      <c r="V28" s="131">
        <f t="shared" si="44"/>
        <v>2385973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134303.57971680001</v>
      </c>
    </row>
    <row r="29" spans="1:27" ht="16.5" thickBot="1" x14ac:dyDescent="0.3">
      <c r="A29" s="9">
        <v>45012</v>
      </c>
      <c r="B29" s="37"/>
      <c r="C29" s="130">
        <f t="shared" si="36"/>
        <v>20644</v>
      </c>
      <c r="D29" s="37">
        <f t="shared" si="4"/>
        <v>0</v>
      </c>
      <c r="E29" s="131">
        <f t="shared" si="37"/>
        <v>36145640</v>
      </c>
      <c r="F29" s="37">
        <f t="shared" si="5"/>
        <v>0</v>
      </c>
      <c r="G29" s="132">
        <f t="shared" si="38"/>
        <v>14011796</v>
      </c>
      <c r="H29" s="37">
        <f t="shared" si="6"/>
        <v>0</v>
      </c>
      <c r="I29" s="133">
        <f t="shared" si="7"/>
        <v>0</v>
      </c>
      <c r="J29" s="131">
        <f t="shared" si="39"/>
        <v>1520130</v>
      </c>
      <c r="K29" s="116">
        <f t="shared" si="15"/>
        <v>0</v>
      </c>
      <c r="L29" s="134">
        <f t="shared" si="40"/>
        <v>1876731</v>
      </c>
      <c r="M29" s="37">
        <f t="shared" si="8"/>
        <v>0</v>
      </c>
      <c r="N29" s="131">
        <f t="shared" si="41"/>
        <v>8250094</v>
      </c>
      <c r="O29" s="37">
        <f t="shared" si="16"/>
        <v>0</v>
      </c>
      <c r="P29" s="134">
        <f t="shared" si="42"/>
        <v>9496296</v>
      </c>
      <c r="Q29" s="37">
        <f t="shared" si="9"/>
        <v>0</v>
      </c>
      <c r="R29" s="131">
        <f t="shared" si="43"/>
        <v>24377913</v>
      </c>
      <c r="S29" s="37">
        <f t="shared" si="10"/>
        <v>0</v>
      </c>
      <c r="T29" s="131"/>
      <c r="U29" s="135"/>
      <c r="V29" s="131">
        <f t="shared" si="44"/>
        <v>2385973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134303.57971680001</v>
      </c>
    </row>
    <row r="30" spans="1:27" ht="16.5" thickBot="1" x14ac:dyDescent="0.3">
      <c r="A30" s="9">
        <v>45013</v>
      </c>
      <c r="B30" s="37"/>
      <c r="C30" s="130">
        <f t="shared" si="36"/>
        <v>20644</v>
      </c>
      <c r="D30" s="37">
        <f>IF((C30-C29)&lt;0,"0",(C30-C29))*160</f>
        <v>0</v>
      </c>
      <c r="E30" s="131">
        <f t="shared" si="37"/>
        <v>36145640</v>
      </c>
      <c r="F30" s="37">
        <f>IF((E30-E29)&lt;0,"0",(E30-E29))</f>
        <v>0</v>
      </c>
      <c r="G30" s="132">
        <f t="shared" si="38"/>
        <v>14011796</v>
      </c>
      <c r="H30" s="37">
        <f t="shared" si="6"/>
        <v>0</v>
      </c>
      <c r="I30" s="133">
        <f t="shared" si="7"/>
        <v>0</v>
      </c>
      <c r="J30" s="131">
        <f t="shared" si="39"/>
        <v>1520130</v>
      </c>
      <c r="K30" s="116">
        <f t="shared" si="15"/>
        <v>0</v>
      </c>
      <c r="L30" s="134">
        <f t="shared" si="40"/>
        <v>1876731</v>
      </c>
      <c r="M30" s="37">
        <f>IF((L30-L29)&lt;0,"0",(L30-L29))</f>
        <v>0</v>
      </c>
      <c r="N30" s="131">
        <f t="shared" si="41"/>
        <v>8250094</v>
      </c>
      <c r="O30" s="37">
        <f>(IF((N30-N29)&lt;0,"0",(N30-N29)))*2</f>
        <v>0</v>
      </c>
      <c r="P30" s="134">
        <f t="shared" si="42"/>
        <v>9496296</v>
      </c>
      <c r="Q30" s="37">
        <f>IF((P30-P29)&lt;0,"0",(P30-P29))</f>
        <v>0</v>
      </c>
      <c r="R30" s="131">
        <f t="shared" si="43"/>
        <v>24377913</v>
      </c>
      <c r="S30" s="37">
        <f t="shared" si="10"/>
        <v>0</v>
      </c>
      <c r="T30" s="131"/>
      <c r="U30" s="135"/>
      <c r="V30" s="131">
        <f t="shared" si="44"/>
        <v>2385973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134303.57971680001</v>
      </c>
    </row>
    <row r="31" spans="1:27" ht="16.5" thickBot="1" x14ac:dyDescent="0.3">
      <c r="A31" s="9">
        <v>45014</v>
      </c>
      <c r="B31" s="37"/>
      <c r="C31" s="130">
        <f t="shared" si="36"/>
        <v>20644</v>
      </c>
      <c r="D31" s="37">
        <f t="shared" ref="D31:D33" si="45">IF((C31-C30)&lt;0,"0",(C31-C30))*160</f>
        <v>0</v>
      </c>
      <c r="E31" s="131">
        <f t="shared" si="37"/>
        <v>36145640</v>
      </c>
      <c r="F31" s="37">
        <f t="shared" ref="F31:F33" si="46">IF((E31-E30)&lt;0,"0",(E31-E30))</f>
        <v>0</v>
      </c>
      <c r="G31" s="132">
        <f t="shared" si="38"/>
        <v>14011796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39"/>
        <v>1520130</v>
      </c>
      <c r="K31" s="116">
        <f t="shared" ref="K31:K33" si="49">(IF((J31-J30)&lt;0,"0",(J31-J30)))*2</f>
        <v>0</v>
      </c>
      <c r="L31" s="134">
        <f t="shared" si="40"/>
        <v>1876731</v>
      </c>
      <c r="M31" s="37">
        <f t="shared" ref="M31:M33" si="50">IF((L31-L30)&lt;0,"0",(L31-L30))</f>
        <v>0</v>
      </c>
      <c r="N31" s="131">
        <f t="shared" si="41"/>
        <v>8250094</v>
      </c>
      <c r="O31" s="37">
        <f t="shared" ref="O31:O33" si="51">(IF((N31-N30)&lt;0,"0",(N31-N30)))*2</f>
        <v>0</v>
      </c>
      <c r="P31" s="134">
        <f t="shared" si="42"/>
        <v>9496296</v>
      </c>
      <c r="Q31" s="37">
        <f t="shared" ref="Q31:Q33" si="52">IF((P31-P30)&lt;0,"0",(P31-P30))</f>
        <v>0</v>
      </c>
      <c r="R31" s="131">
        <f t="shared" si="43"/>
        <v>24377913</v>
      </c>
      <c r="S31" s="37">
        <f t="shared" ref="S31:S33" si="53">IF((R31-R30)&lt;0,"0",(R31-R30))</f>
        <v>0</v>
      </c>
      <c r="T31" s="131"/>
      <c r="U31" s="135"/>
      <c r="V31" s="131">
        <f t="shared" si="44"/>
        <v>2385973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134303.57971680001</v>
      </c>
    </row>
    <row r="32" spans="1:27" ht="16.5" thickBot="1" x14ac:dyDescent="0.3">
      <c r="A32" s="9">
        <v>45015</v>
      </c>
      <c r="B32" s="37"/>
      <c r="C32" s="130">
        <f t="shared" si="36"/>
        <v>20644</v>
      </c>
      <c r="D32" s="37">
        <f t="shared" si="45"/>
        <v>0</v>
      </c>
      <c r="E32" s="131">
        <f t="shared" si="37"/>
        <v>36145640</v>
      </c>
      <c r="F32" s="37">
        <f t="shared" si="46"/>
        <v>0</v>
      </c>
      <c r="G32" s="132">
        <f t="shared" si="38"/>
        <v>14011796</v>
      </c>
      <c r="H32" s="37">
        <f t="shared" si="47"/>
        <v>0</v>
      </c>
      <c r="I32" s="133">
        <f t="shared" si="48"/>
        <v>0</v>
      </c>
      <c r="J32" s="131">
        <f t="shared" si="39"/>
        <v>1520130</v>
      </c>
      <c r="K32" s="116">
        <f t="shared" si="49"/>
        <v>0</v>
      </c>
      <c r="L32" s="134">
        <f t="shared" si="40"/>
        <v>1876731</v>
      </c>
      <c r="M32" s="37">
        <f t="shared" si="50"/>
        <v>0</v>
      </c>
      <c r="N32" s="131">
        <f t="shared" si="41"/>
        <v>8250094</v>
      </c>
      <c r="O32" s="37">
        <f t="shared" si="51"/>
        <v>0</v>
      </c>
      <c r="P32" s="134">
        <f t="shared" si="42"/>
        <v>9496296</v>
      </c>
      <c r="Q32" s="37">
        <f t="shared" si="52"/>
        <v>0</v>
      </c>
      <c r="R32" s="131">
        <f t="shared" si="43"/>
        <v>24377913</v>
      </c>
      <c r="S32" s="37">
        <f t="shared" si="53"/>
        <v>0</v>
      </c>
      <c r="T32" s="131"/>
      <c r="U32" s="135"/>
      <c r="V32" s="131">
        <f t="shared" si="44"/>
        <v>2385973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134303.57971680001</v>
      </c>
    </row>
    <row r="33" spans="1:27" ht="16.5" thickBot="1" x14ac:dyDescent="0.3">
      <c r="A33" s="9">
        <v>45016</v>
      </c>
      <c r="B33" s="37"/>
      <c r="C33" s="130">
        <f t="shared" si="36"/>
        <v>20644</v>
      </c>
      <c r="D33" s="37">
        <f t="shared" si="45"/>
        <v>0</v>
      </c>
      <c r="E33" s="131">
        <f t="shared" si="37"/>
        <v>36145640</v>
      </c>
      <c r="F33" s="37">
        <f t="shared" si="46"/>
        <v>0</v>
      </c>
      <c r="G33" s="132">
        <f t="shared" si="38"/>
        <v>14011796</v>
      </c>
      <c r="H33" s="37">
        <f t="shared" si="47"/>
        <v>0</v>
      </c>
      <c r="I33" s="133">
        <f t="shared" si="48"/>
        <v>0</v>
      </c>
      <c r="J33" s="131">
        <f t="shared" si="39"/>
        <v>1520130</v>
      </c>
      <c r="K33" s="116">
        <f t="shared" si="49"/>
        <v>0</v>
      </c>
      <c r="L33" s="134">
        <f t="shared" si="40"/>
        <v>1876731</v>
      </c>
      <c r="M33" s="37">
        <f t="shared" si="50"/>
        <v>0</v>
      </c>
      <c r="N33" s="131">
        <f t="shared" si="41"/>
        <v>8250094</v>
      </c>
      <c r="O33" s="37">
        <f t="shared" si="51"/>
        <v>0</v>
      </c>
      <c r="P33" s="134">
        <f t="shared" si="42"/>
        <v>9496296</v>
      </c>
      <c r="Q33" s="37">
        <f t="shared" si="52"/>
        <v>0</v>
      </c>
      <c r="R33" s="131">
        <f t="shared" si="43"/>
        <v>24377913</v>
      </c>
      <c r="S33" s="37">
        <f t="shared" si="53"/>
        <v>0</v>
      </c>
      <c r="T33" s="131"/>
      <c r="U33" s="135"/>
      <c r="V33" s="131">
        <f t="shared" si="44"/>
        <v>2385973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125887.08425280001</v>
      </c>
    </row>
    <row r="34" spans="1:27" ht="16.5" thickBot="1" x14ac:dyDescent="0.3">
      <c r="A34" s="123" t="s">
        <v>23</v>
      </c>
      <c r="B34" s="123">
        <f>SUM(B3:B33)</f>
        <v>6144</v>
      </c>
      <c r="C34" s="123"/>
      <c r="D34" s="123">
        <f>SUM(D3:D33)</f>
        <v>8960</v>
      </c>
      <c r="E34" s="54"/>
      <c r="F34" s="123">
        <f>SUM(F3:F33)</f>
        <v>157429</v>
      </c>
      <c r="G34" s="54"/>
      <c r="H34" s="123">
        <f>SUM(H3:H33)</f>
        <v>915044</v>
      </c>
      <c r="I34" s="123">
        <f t="shared" ref="I34" si="59">F34+H34</f>
        <v>1072473</v>
      </c>
      <c r="J34" s="54"/>
      <c r="K34" s="123">
        <f>SUM(K3:K33)</f>
        <v>177264</v>
      </c>
      <c r="L34" s="54"/>
      <c r="M34" s="123">
        <f>SUM(M3:M33)</f>
        <v>112502</v>
      </c>
      <c r="N34" s="54"/>
      <c r="O34" s="123">
        <f>SUM(O3:O33)</f>
        <v>41760</v>
      </c>
      <c r="P34" s="54"/>
      <c r="Q34" s="123">
        <f>SUM(Q3:Q33)</f>
        <v>184644</v>
      </c>
      <c r="R34" s="54"/>
      <c r="S34" s="123">
        <f>SUM(S3:S33)</f>
        <v>213219</v>
      </c>
      <c r="T34" s="54"/>
      <c r="U34" s="123">
        <f>SUM(U3:U33)</f>
        <v>0</v>
      </c>
      <c r="V34" s="54"/>
      <c r="W34" s="123">
        <f>SUM(W3:W33)</f>
        <v>205080</v>
      </c>
      <c r="X34" s="123">
        <f>SUM(X3:X33)</f>
        <v>934469</v>
      </c>
      <c r="Y34" s="123">
        <f>SUM(Y3:Y33)</f>
        <v>137011</v>
      </c>
      <c r="Z34" s="123">
        <f>SUM(Z3:Z33)</f>
        <v>134303.57971680001</v>
      </c>
      <c r="AA34" s="123">
        <f>SUM(AA2:AA33)</f>
        <v>2887766.0598799996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B22" sqref="B2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18792643</v>
      </c>
      <c r="C7" s="43">
        <f t="shared" si="0"/>
        <v>2082</v>
      </c>
    </row>
    <row r="8" spans="1:9" ht="24" thickBot="1" x14ac:dyDescent="0.4">
      <c r="A8" s="9">
        <v>44991</v>
      </c>
      <c r="B8" s="119">
        <v>18794590</v>
      </c>
      <c r="C8" s="43">
        <f t="shared" si="0"/>
        <v>1947</v>
      </c>
    </row>
    <row r="9" spans="1:9" ht="24" thickBot="1" x14ac:dyDescent="0.4">
      <c r="A9" s="9">
        <v>44992</v>
      </c>
      <c r="B9" s="119">
        <v>18797034</v>
      </c>
      <c r="C9" s="43">
        <f t="shared" si="0"/>
        <v>2444</v>
      </c>
    </row>
    <row r="10" spans="1:9" ht="24" thickBot="1" x14ac:dyDescent="0.4">
      <c r="A10" s="9">
        <v>44993</v>
      </c>
      <c r="B10" s="119">
        <v>18798973</v>
      </c>
      <c r="C10" s="43">
        <f t="shared" si="0"/>
        <v>1939</v>
      </c>
    </row>
    <row r="11" spans="1:9" ht="24" thickBot="1" x14ac:dyDescent="0.4">
      <c r="A11" s="9">
        <v>44994</v>
      </c>
      <c r="B11" s="119">
        <v>18801023</v>
      </c>
      <c r="C11" s="43">
        <f t="shared" si="0"/>
        <v>2050</v>
      </c>
    </row>
    <row r="12" spans="1:9" ht="24" thickBot="1" x14ac:dyDescent="0.4">
      <c r="A12" s="9">
        <v>44995</v>
      </c>
      <c r="B12" s="119">
        <v>18802915</v>
      </c>
      <c r="C12" s="43">
        <f t="shared" si="0"/>
        <v>1892</v>
      </c>
    </row>
    <row r="13" spans="1:9" ht="24" thickBot="1" x14ac:dyDescent="0.4">
      <c r="A13" s="9">
        <v>44996</v>
      </c>
      <c r="B13" s="119">
        <v>18804914</v>
      </c>
      <c r="C13" s="43">
        <f t="shared" si="0"/>
        <v>1999</v>
      </c>
    </row>
    <row r="14" spans="1:9" ht="24" thickBot="1" x14ac:dyDescent="0.4">
      <c r="A14" s="9">
        <v>44997</v>
      </c>
      <c r="B14" s="119">
        <v>18807183</v>
      </c>
      <c r="C14" s="43">
        <f t="shared" si="0"/>
        <v>2269</v>
      </c>
      <c r="I14" s="33"/>
    </row>
    <row r="15" spans="1:9" ht="24" thickBot="1" x14ac:dyDescent="0.4">
      <c r="A15" s="9">
        <v>44998</v>
      </c>
      <c r="B15" s="119">
        <v>18809149</v>
      </c>
      <c r="C15" s="43">
        <f t="shared" si="0"/>
        <v>1966</v>
      </c>
      <c r="I15" t="s">
        <v>12</v>
      </c>
    </row>
    <row r="16" spans="1:9" ht="26.25" customHeight="1" thickBot="1" x14ac:dyDescent="0.4">
      <c r="A16" s="9">
        <v>44999</v>
      </c>
      <c r="B16" s="119">
        <v>18811514</v>
      </c>
      <c r="C16" s="43">
        <f t="shared" si="0"/>
        <v>2365</v>
      </c>
      <c r="F16" s="139"/>
    </row>
    <row r="17" spans="1:9" ht="25.5" customHeight="1" thickBot="1" x14ac:dyDescent="0.4">
      <c r="A17" s="9">
        <v>45000</v>
      </c>
      <c r="B17" s="119">
        <v>18815327</v>
      </c>
      <c r="C17" s="43">
        <f t="shared" si="0"/>
        <v>3813</v>
      </c>
    </row>
    <row r="18" spans="1:9" ht="24" thickBot="1" x14ac:dyDescent="0.4">
      <c r="A18" s="9">
        <v>45001</v>
      </c>
      <c r="B18" s="119">
        <v>18817548</v>
      </c>
      <c r="C18" s="43">
        <f t="shared" si="0"/>
        <v>2221</v>
      </c>
      <c r="I18" s="33"/>
    </row>
    <row r="19" spans="1:9" ht="24" thickBot="1" x14ac:dyDescent="0.4">
      <c r="A19" s="9">
        <v>45002</v>
      </c>
      <c r="B19" s="163">
        <v>18818727</v>
      </c>
      <c r="C19" s="43">
        <f t="shared" si="0"/>
        <v>1179</v>
      </c>
    </row>
    <row r="20" spans="1:9" ht="24" thickBot="1" x14ac:dyDescent="0.4">
      <c r="A20" s="9">
        <v>45003</v>
      </c>
      <c r="B20" s="119">
        <v>18819171</v>
      </c>
      <c r="C20" s="43">
        <f t="shared" si="0"/>
        <v>444</v>
      </c>
      <c r="I20" s="33"/>
    </row>
    <row r="21" spans="1:9" ht="24" thickBot="1" x14ac:dyDescent="0.4">
      <c r="A21" s="9">
        <v>45004</v>
      </c>
      <c r="B21" s="119">
        <v>18821162</v>
      </c>
      <c r="C21" s="43">
        <f t="shared" si="0"/>
        <v>1991</v>
      </c>
    </row>
    <row r="22" spans="1:9" ht="24" thickBot="1" x14ac:dyDescent="0.4">
      <c r="A22" s="9">
        <v>45005</v>
      </c>
      <c r="B22" s="119">
        <v>18823096</v>
      </c>
      <c r="C22" s="43">
        <f t="shared" si="0"/>
        <v>1934</v>
      </c>
    </row>
    <row r="23" spans="1:9" ht="24" thickBot="1" x14ac:dyDescent="0.4">
      <c r="A23" s="9">
        <v>45006</v>
      </c>
      <c r="B23" s="119"/>
      <c r="C23" s="43" t="str">
        <f t="shared" si="0"/>
        <v>0</v>
      </c>
      <c r="F23" t="s">
        <v>12</v>
      </c>
    </row>
    <row r="24" spans="1:9" ht="24" thickBot="1" x14ac:dyDescent="0.4">
      <c r="A24" s="9">
        <v>45007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45008</v>
      </c>
      <c r="B25" s="119"/>
      <c r="C25" s="43">
        <f t="shared" si="0"/>
        <v>0</v>
      </c>
    </row>
    <row r="26" spans="1:9" ht="24" thickBot="1" x14ac:dyDescent="0.4">
      <c r="A26" s="9">
        <v>45009</v>
      </c>
      <c r="B26" s="119"/>
      <c r="C26" s="43">
        <f t="shared" si="0"/>
        <v>0</v>
      </c>
    </row>
    <row r="27" spans="1:9" ht="24" thickBot="1" x14ac:dyDescent="0.4">
      <c r="A27" s="9">
        <v>45010</v>
      </c>
      <c r="B27" s="119"/>
      <c r="C27" s="43">
        <f t="shared" si="0"/>
        <v>0</v>
      </c>
    </row>
    <row r="28" spans="1:9" ht="24" thickBot="1" x14ac:dyDescent="0.4">
      <c r="A28" s="9">
        <v>45011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/>
      <c r="C29" s="43">
        <f t="shared" si="0"/>
        <v>0</v>
      </c>
    </row>
    <row r="30" spans="1:9" ht="24" thickBot="1" x14ac:dyDescent="0.4">
      <c r="A30" s="9">
        <v>45013</v>
      </c>
      <c r="B30" s="119"/>
      <c r="C30" s="43">
        <f t="shared" si="0"/>
        <v>0</v>
      </c>
    </row>
    <row r="31" spans="1:9" ht="24" thickBot="1" x14ac:dyDescent="0.4">
      <c r="A31" s="9">
        <v>45014</v>
      </c>
      <c r="B31" s="119"/>
      <c r="C31" s="43">
        <f t="shared" si="0"/>
        <v>0</v>
      </c>
    </row>
    <row r="32" spans="1:9" ht="24" thickBot="1" x14ac:dyDescent="0.4">
      <c r="A32" s="9">
        <v>45015</v>
      </c>
      <c r="B32" s="119"/>
      <c r="C32" s="43">
        <f t="shared" si="0"/>
        <v>0</v>
      </c>
    </row>
    <row r="33" spans="1:3" ht="24" thickBot="1" x14ac:dyDescent="0.4">
      <c r="A33" s="9">
        <v>45016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39067</v>
      </c>
    </row>
  </sheetData>
  <phoneticPr fontId="0" type="noConversion"/>
  <conditionalFormatting sqref="B34:C34 B20:B33 B17:B18">
    <cfRule type="cellIs" dxfId="8" priority="6" operator="lessThan">
      <formula>0</formula>
    </cfRule>
  </conditionalFormatting>
  <conditionalFormatting sqref="B2:C2 B3:B16 B19">
    <cfRule type="cellIs" dxfId="7" priority="2" operator="lessThan">
      <formula>0</formula>
    </cfRule>
  </conditionalFormatting>
  <conditionalFormatting sqref="C3:C33">
    <cfRule type="cellIs" dxfId="6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showGridLines="0" zoomScale="110" zoomScaleNormal="110" workbookViewId="0">
      <pane ySplit="1" topLeftCell="A2" activePane="bottomLeft" state="frozen"/>
      <selection pane="bottomLeft" activeCell="J24" sqref="J24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>
        <v>475623</v>
      </c>
      <c r="C7" s="37">
        <f t="shared" si="2"/>
        <v>760</v>
      </c>
      <c r="D7" s="3">
        <v>19964</v>
      </c>
      <c r="E7" s="37">
        <f t="shared" si="3"/>
        <v>430</v>
      </c>
      <c r="F7" s="3">
        <v>14148300</v>
      </c>
      <c r="G7" s="37">
        <f t="shared" si="4"/>
        <v>364.5</v>
      </c>
      <c r="H7" s="3">
        <v>841741</v>
      </c>
      <c r="I7" s="42">
        <f t="shared" si="5"/>
        <v>4.8600000000000003</v>
      </c>
      <c r="J7" s="19">
        <f t="shared" si="0"/>
        <v>1559.36</v>
      </c>
      <c r="K7" s="160">
        <f t="shared" si="1"/>
        <v>9137.8495999999996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>
        <v>475690</v>
      </c>
      <c r="C8" s="37">
        <f t="shared" si="2"/>
        <v>670</v>
      </c>
      <c r="D8" s="3">
        <v>20001</v>
      </c>
      <c r="E8" s="37">
        <f t="shared" si="3"/>
        <v>370</v>
      </c>
      <c r="F8" s="3">
        <v>14160600</v>
      </c>
      <c r="G8" s="37">
        <f t="shared" si="4"/>
        <v>332.1</v>
      </c>
      <c r="H8" s="3">
        <v>841902</v>
      </c>
      <c r="I8" s="42">
        <f t="shared" si="5"/>
        <v>4.3469999999999995</v>
      </c>
      <c r="J8" s="19">
        <f t="shared" si="0"/>
        <v>1376.4469999999999</v>
      </c>
      <c r="K8" s="160">
        <f t="shared" si="1"/>
        <v>8065.9794199999997</v>
      </c>
    </row>
    <row r="9" spans="1:14" ht="16.5" thickBot="1" x14ac:dyDescent="0.3">
      <c r="A9" s="9">
        <v>44992</v>
      </c>
      <c r="B9" s="3">
        <v>475764</v>
      </c>
      <c r="C9" s="37">
        <f t="shared" si="2"/>
        <v>740</v>
      </c>
      <c r="D9" s="3">
        <v>20039</v>
      </c>
      <c r="E9" s="37">
        <f t="shared" si="3"/>
        <v>380</v>
      </c>
      <c r="F9" s="3">
        <v>14174100</v>
      </c>
      <c r="G9" s="37">
        <f t="shared" si="4"/>
        <v>364.5</v>
      </c>
      <c r="H9" s="3">
        <v>842125</v>
      </c>
      <c r="I9" s="42">
        <f t="shared" si="5"/>
        <v>6.0209999999999999</v>
      </c>
      <c r="J9" s="19">
        <f t="shared" si="0"/>
        <v>1490.521</v>
      </c>
      <c r="K9" s="160">
        <f t="shared" si="1"/>
        <v>8734.4530599999998</v>
      </c>
    </row>
    <row r="10" spans="1:14" ht="16.5" thickBot="1" x14ac:dyDescent="0.3">
      <c r="A10" s="9">
        <v>44993</v>
      </c>
      <c r="B10" s="3">
        <v>475832</v>
      </c>
      <c r="C10" s="37">
        <f t="shared" si="2"/>
        <v>680</v>
      </c>
      <c r="D10" s="3">
        <v>20075</v>
      </c>
      <c r="E10" s="37">
        <f t="shared" si="3"/>
        <v>360</v>
      </c>
      <c r="F10" s="3">
        <v>14187400</v>
      </c>
      <c r="G10" s="37">
        <f t="shared" si="4"/>
        <v>359.1</v>
      </c>
      <c r="H10" s="3">
        <v>842332</v>
      </c>
      <c r="I10" s="42">
        <f t="shared" si="5"/>
        <v>5.5889999999999995</v>
      </c>
      <c r="J10" s="19">
        <f t="shared" si="0"/>
        <v>1404.6889999999999</v>
      </c>
      <c r="K10" s="160">
        <f t="shared" si="1"/>
        <v>8231.4775399999999</v>
      </c>
    </row>
    <row r="11" spans="1:14" ht="16.5" thickBot="1" x14ac:dyDescent="0.3">
      <c r="A11" s="9">
        <v>44994</v>
      </c>
      <c r="B11" s="3">
        <v>475910</v>
      </c>
      <c r="C11" s="37">
        <f t="shared" si="2"/>
        <v>780</v>
      </c>
      <c r="D11" s="3">
        <v>20117</v>
      </c>
      <c r="E11" s="37">
        <f t="shared" si="3"/>
        <v>420</v>
      </c>
      <c r="F11" s="3">
        <v>14200700</v>
      </c>
      <c r="G11" s="37">
        <f t="shared" si="4"/>
        <v>359.1</v>
      </c>
      <c r="H11" s="3">
        <v>842523</v>
      </c>
      <c r="I11" s="42">
        <f t="shared" si="5"/>
        <v>5.157</v>
      </c>
      <c r="J11" s="19">
        <f t="shared" si="0"/>
        <v>1564.2569999999998</v>
      </c>
      <c r="K11" s="160">
        <f t="shared" si="1"/>
        <v>9166.5460199999998</v>
      </c>
      <c r="N11" t="s">
        <v>12</v>
      </c>
    </row>
    <row r="12" spans="1:14" ht="16.5" thickBot="1" x14ac:dyDescent="0.3">
      <c r="A12" s="9">
        <v>44995</v>
      </c>
      <c r="B12" s="3">
        <v>475973</v>
      </c>
      <c r="C12" s="37">
        <f t="shared" si="2"/>
        <v>630</v>
      </c>
      <c r="D12" s="3">
        <v>20149</v>
      </c>
      <c r="E12" s="37">
        <f t="shared" si="3"/>
        <v>320</v>
      </c>
      <c r="F12" s="3">
        <v>14214400</v>
      </c>
      <c r="G12" s="37">
        <f t="shared" si="4"/>
        <v>369.9</v>
      </c>
      <c r="H12" s="3">
        <v>842663</v>
      </c>
      <c r="I12" s="42">
        <f t="shared" si="5"/>
        <v>3.78</v>
      </c>
      <c r="J12" s="19">
        <f t="shared" si="0"/>
        <v>1323.68</v>
      </c>
      <c r="K12" s="160">
        <f t="shared" si="1"/>
        <v>7756.7648000000008</v>
      </c>
    </row>
    <row r="13" spans="1:14" ht="16.5" thickBot="1" x14ac:dyDescent="0.3">
      <c r="A13" s="9">
        <v>44996</v>
      </c>
      <c r="B13" s="3">
        <v>476049</v>
      </c>
      <c r="C13" s="37">
        <f t="shared" si="2"/>
        <v>760</v>
      </c>
      <c r="D13" s="3">
        <v>20185</v>
      </c>
      <c r="E13" s="37">
        <f t="shared" si="3"/>
        <v>360</v>
      </c>
      <c r="F13" s="3">
        <v>14230100</v>
      </c>
      <c r="G13" s="37">
        <f t="shared" si="4"/>
        <v>423.9</v>
      </c>
      <c r="H13" s="3">
        <v>842831</v>
      </c>
      <c r="I13" s="42">
        <f t="shared" si="5"/>
        <v>4.5359999999999996</v>
      </c>
      <c r="J13" s="19">
        <f t="shared" si="0"/>
        <v>1548.4360000000001</v>
      </c>
      <c r="K13" s="160">
        <f t="shared" si="1"/>
        <v>9073.834960000002</v>
      </c>
    </row>
    <row r="14" spans="1:14" ht="16.5" thickBot="1" x14ac:dyDescent="0.3">
      <c r="A14" s="9">
        <v>44997</v>
      </c>
      <c r="B14" s="3">
        <v>476120</v>
      </c>
      <c r="C14" s="37">
        <f t="shared" si="2"/>
        <v>710</v>
      </c>
      <c r="D14" s="3">
        <v>20225</v>
      </c>
      <c r="E14" s="37">
        <f t="shared" si="3"/>
        <v>400</v>
      </c>
      <c r="F14" s="3">
        <v>14245300</v>
      </c>
      <c r="G14" s="37">
        <f t="shared" si="4"/>
        <v>410.4</v>
      </c>
      <c r="H14" s="3">
        <v>843018</v>
      </c>
      <c r="I14" s="42">
        <f t="shared" si="5"/>
        <v>5.0490000000000004</v>
      </c>
      <c r="J14" s="19">
        <f t="shared" si="0"/>
        <v>1525.4490000000001</v>
      </c>
      <c r="K14" s="160">
        <f t="shared" si="1"/>
        <v>8939.1311400000013</v>
      </c>
    </row>
    <row r="15" spans="1:14" ht="16.5" thickBot="1" x14ac:dyDescent="0.3">
      <c r="A15" s="9">
        <v>44998</v>
      </c>
      <c r="B15" s="3">
        <v>476197</v>
      </c>
      <c r="C15" s="37">
        <f t="shared" si="2"/>
        <v>770</v>
      </c>
      <c r="D15" s="3">
        <v>20261</v>
      </c>
      <c r="E15" s="37">
        <f t="shared" si="3"/>
        <v>360</v>
      </c>
      <c r="F15" s="3">
        <v>14259400</v>
      </c>
      <c r="G15" s="37">
        <f t="shared" si="4"/>
        <v>380.7</v>
      </c>
      <c r="H15" s="3">
        <v>843198</v>
      </c>
      <c r="I15" s="42">
        <f t="shared" si="5"/>
        <v>4.8600000000000003</v>
      </c>
      <c r="J15" s="19">
        <f t="shared" si="0"/>
        <v>1515.56</v>
      </c>
      <c r="K15" s="160">
        <f t="shared" si="1"/>
        <v>8881.1815999999999</v>
      </c>
      <c r="M15" s="33"/>
    </row>
    <row r="16" spans="1:14" ht="16.5" thickBot="1" x14ac:dyDescent="0.3">
      <c r="A16" s="9">
        <v>44999</v>
      </c>
      <c r="B16" s="3">
        <v>476282</v>
      </c>
      <c r="C16" s="37">
        <f t="shared" si="2"/>
        <v>850</v>
      </c>
      <c r="D16" s="3">
        <v>20309</v>
      </c>
      <c r="E16" s="37">
        <f t="shared" si="3"/>
        <v>480</v>
      </c>
      <c r="F16" s="3">
        <v>14273300</v>
      </c>
      <c r="G16" s="37">
        <f t="shared" si="4"/>
        <v>375.3</v>
      </c>
      <c r="H16" s="3">
        <v>843411</v>
      </c>
      <c r="I16" s="42">
        <f t="shared" si="5"/>
        <v>5.7510000000000003</v>
      </c>
      <c r="J16" s="19">
        <f t="shared" si="0"/>
        <v>1711.0509999999999</v>
      </c>
      <c r="K16" s="160">
        <f t="shared" si="1"/>
        <v>10026.75886</v>
      </c>
    </row>
    <row r="17" spans="1:25" ht="16.5" thickBot="1" x14ac:dyDescent="0.3">
      <c r="A17" s="9">
        <v>45000</v>
      </c>
      <c r="B17" s="3">
        <v>476361</v>
      </c>
      <c r="C17" s="37">
        <f t="shared" si="2"/>
        <v>790</v>
      </c>
      <c r="D17" s="3">
        <v>20355</v>
      </c>
      <c r="E17" s="37">
        <f t="shared" si="3"/>
        <v>460</v>
      </c>
      <c r="F17" s="3">
        <v>14286400</v>
      </c>
      <c r="G17" s="37">
        <f t="shared" si="4"/>
        <v>353.7</v>
      </c>
      <c r="H17" s="3">
        <v>843582</v>
      </c>
      <c r="I17" s="42">
        <f t="shared" si="5"/>
        <v>4.617</v>
      </c>
      <c r="J17" s="19">
        <f t="shared" si="0"/>
        <v>1608.317</v>
      </c>
      <c r="K17" s="160">
        <f t="shared" si="1"/>
        <v>9424.7376199999999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>
        <v>476437</v>
      </c>
      <c r="C18" s="37">
        <f t="shared" si="2"/>
        <v>760</v>
      </c>
      <c r="D18" s="3">
        <v>20397</v>
      </c>
      <c r="E18" s="37">
        <f t="shared" si="3"/>
        <v>420</v>
      </c>
      <c r="F18" s="3">
        <v>14299800</v>
      </c>
      <c r="G18" s="37">
        <f t="shared" si="4"/>
        <v>361.8</v>
      </c>
      <c r="H18" s="3">
        <v>843770</v>
      </c>
      <c r="I18" s="42">
        <f t="shared" si="5"/>
        <v>5.0759999999999996</v>
      </c>
      <c r="J18" s="19">
        <f t="shared" si="0"/>
        <v>1546.876</v>
      </c>
      <c r="K18" s="160">
        <f t="shared" si="1"/>
        <v>9064.6933600000011</v>
      </c>
      <c r="Q18" t="s">
        <v>43</v>
      </c>
    </row>
    <row r="19" spans="1:25" ht="16.5" thickBot="1" x14ac:dyDescent="0.3">
      <c r="A19" s="9">
        <v>45002</v>
      </c>
      <c r="B19" s="3">
        <v>476503</v>
      </c>
      <c r="C19" s="37">
        <f t="shared" si="2"/>
        <v>660</v>
      </c>
      <c r="D19" s="3">
        <v>20432</v>
      </c>
      <c r="E19" s="37">
        <f t="shared" si="3"/>
        <v>350</v>
      </c>
      <c r="F19" s="3">
        <v>14312400</v>
      </c>
      <c r="G19" s="37">
        <f t="shared" si="4"/>
        <v>340.2</v>
      </c>
      <c r="H19" s="3">
        <v>843930</v>
      </c>
      <c r="I19" s="42">
        <f t="shared" si="5"/>
        <v>4.32</v>
      </c>
      <c r="J19" s="19">
        <f t="shared" si="0"/>
        <v>1354.52</v>
      </c>
      <c r="K19" s="160">
        <f t="shared" si="1"/>
        <v>7937.4872000000005</v>
      </c>
      <c r="Q19" t="s">
        <v>12</v>
      </c>
    </row>
    <row r="20" spans="1:25" ht="16.5" thickBot="1" x14ac:dyDescent="0.3">
      <c r="A20" s="9">
        <v>45003</v>
      </c>
      <c r="B20" s="3">
        <v>476573</v>
      </c>
      <c r="C20" s="37">
        <f t="shared" si="2"/>
        <v>700</v>
      </c>
      <c r="D20" s="3">
        <v>20469</v>
      </c>
      <c r="E20" s="37">
        <f t="shared" si="3"/>
        <v>370</v>
      </c>
      <c r="F20" s="3">
        <v>14325700</v>
      </c>
      <c r="G20" s="37">
        <f t="shared" si="4"/>
        <v>359.1</v>
      </c>
      <c r="H20" s="3">
        <v>844091</v>
      </c>
      <c r="I20" s="42">
        <f t="shared" si="5"/>
        <v>4.3469999999999995</v>
      </c>
      <c r="J20" s="19">
        <f t="shared" si="0"/>
        <v>1433.4469999999999</v>
      </c>
      <c r="K20" s="160">
        <f t="shared" si="1"/>
        <v>8399.9994200000001</v>
      </c>
    </row>
    <row r="21" spans="1:25" ht="16.5" thickBot="1" x14ac:dyDescent="0.3">
      <c r="A21" s="9">
        <v>45004</v>
      </c>
      <c r="B21" s="3">
        <v>476643</v>
      </c>
      <c r="C21" s="37">
        <f t="shared" si="2"/>
        <v>700</v>
      </c>
      <c r="D21" s="3">
        <v>20512</v>
      </c>
      <c r="E21" s="37">
        <f t="shared" si="3"/>
        <v>430</v>
      </c>
      <c r="F21" s="3">
        <v>14338200</v>
      </c>
      <c r="G21" s="37">
        <f t="shared" si="4"/>
        <v>337.5</v>
      </c>
      <c r="H21" s="3">
        <v>844267</v>
      </c>
      <c r="I21" s="42">
        <f t="shared" si="5"/>
        <v>4.7519999999999998</v>
      </c>
      <c r="J21" s="19">
        <f t="shared" si="0"/>
        <v>1472.252</v>
      </c>
      <c r="K21" s="160">
        <f t="shared" si="1"/>
        <v>8627.3967200000006</v>
      </c>
    </row>
    <row r="22" spans="1:25" ht="16.5" thickBot="1" x14ac:dyDescent="0.3">
      <c r="A22" s="9">
        <v>45005</v>
      </c>
      <c r="B22" s="3">
        <v>476768</v>
      </c>
      <c r="C22" s="37">
        <f t="shared" si="2"/>
        <v>1250</v>
      </c>
      <c r="D22" s="3">
        <v>20555</v>
      </c>
      <c r="E22" s="37">
        <f t="shared" si="3"/>
        <v>430</v>
      </c>
      <c r="F22" s="3">
        <v>14370200</v>
      </c>
      <c r="G22" s="37">
        <f t="shared" si="4"/>
        <v>864</v>
      </c>
      <c r="H22" s="3">
        <v>844461</v>
      </c>
      <c r="I22" s="42">
        <f t="shared" si="5"/>
        <v>5.2379999999999995</v>
      </c>
      <c r="J22" s="19">
        <f t="shared" si="0"/>
        <v>2549.2379999999998</v>
      </c>
      <c r="K22" s="160">
        <f t="shared" si="1"/>
        <v>14938.534680000001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/>
      <c r="C23" s="37">
        <f t="shared" si="2"/>
        <v>0</v>
      </c>
      <c r="D23" s="3"/>
      <c r="E23" s="37">
        <f t="shared" si="3"/>
        <v>0</v>
      </c>
      <c r="F23" s="3"/>
      <c r="G23" s="37">
        <f t="shared" si="4"/>
        <v>0</v>
      </c>
      <c r="H23" s="3"/>
      <c r="I23" s="42">
        <f t="shared" si="5"/>
        <v>0</v>
      </c>
      <c r="J23" s="19">
        <f t="shared" si="0"/>
        <v>0</v>
      </c>
      <c r="K23" s="160">
        <f t="shared" si="1"/>
        <v>0</v>
      </c>
      <c r="Q23" t="s">
        <v>12</v>
      </c>
    </row>
    <row r="24" spans="1:25" ht="16.5" thickBot="1" x14ac:dyDescent="0.3">
      <c r="A24" s="9">
        <v>45007</v>
      </c>
      <c r="B24" s="3"/>
      <c r="C24" s="37">
        <f t="shared" si="2"/>
        <v>0</v>
      </c>
      <c r="D24" s="3"/>
      <c r="E24" s="37">
        <f t="shared" si="3"/>
        <v>0</v>
      </c>
      <c r="F24" s="3"/>
      <c r="G24" s="37">
        <f t="shared" si="4"/>
        <v>0</v>
      </c>
      <c r="H24" s="3"/>
      <c r="I24" s="42">
        <f t="shared" si="5"/>
        <v>0</v>
      </c>
      <c r="J24" s="19">
        <f t="shared" si="0"/>
        <v>0</v>
      </c>
      <c r="K24" s="160">
        <f t="shared" si="1"/>
        <v>0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15320</v>
      </c>
      <c r="D34" s="54"/>
      <c r="E34" s="54">
        <f t="shared" ref="E34:K34" si="6">SUM(E3:E33)</f>
        <v>8130</v>
      </c>
      <c r="F34" s="54"/>
      <c r="G34" s="54">
        <f t="shared" si="6"/>
        <v>7811.1</v>
      </c>
      <c r="H34" s="54"/>
      <c r="I34" s="54">
        <f t="shared" si="6"/>
        <v>97.766999999999996</v>
      </c>
      <c r="J34" s="54">
        <f t="shared" si="6"/>
        <v>31358.867000000002</v>
      </c>
      <c r="K34" s="54">
        <f t="shared" si="6"/>
        <v>183762.96062000003</v>
      </c>
    </row>
  </sheetData>
  <phoneticPr fontId="0" type="noConversion"/>
  <conditionalFormatting sqref="B34:K34">
    <cfRule type="cellIs" dxfId="5" priority="5" operator="lessThan">
      <formula>0</formula>
    </cfRule>
  </conditionalFormatting>
  <conditionalFormatting sqref="B2:K33">
    <cfRule type="cellIs" dxfId="4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O26" sqref="O26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4" t="s">
        <v>138</v>
      </c>
      <c r="X1" s="165"/>
      <c r="Y1" s="165"/>
      <c r="Z1" s="165"/>
      <c r="AA1" s="166"/>
      <c r="AB1" s="167" t="s">
        <v>139</v>
      </c>
      <c r="AC1" s="165"/>
      <c r="AD1" s="167" t="s">
        <v>140</v>
      </c>
      <c r="AE1" s="165"/>
      <c r="AF1" s="164" t="s">
        <v>141</v>
      </c>
      <c r="AG1" s="165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14381.22</v>
      </c>
      <c r="L6" s="42">
        <f t="shared" si="28"/>
        <v>1.5999999999985448</v>
      </c>
      <c r="M6" s="27">
        <f t="shared" si="29"/>
        <v>3039.9999999972351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5674.37</v>
      </c>
      <c r="R6" s="42">
        <f t="shared" si="32"/>
        <v>0.13000000000010914</v>
      </c>
      <c r="S6" s="27">
        <f t="shared" si="33"/>
        <v>247.00000000020736</v>
      </c>
      <c r="T6" s="8">
        <f t="shared" si="34"/>
        <v>18.634000000000924</v>
      </c>
      <c r="U6" s="29">
        <f t="shared" si="35"/>
        <v>35404.600000001759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v>25785.379000000001</v>
      </c>
      <c r="C7" s="42">
        <f t="shared" si="22"/>
        <v>3.2629999999990105</v>
      </c>
      <c r="D7" s="27">
        <f t="shared" si="23"/>
        <v>6199.6999999981199</v>
      </c>
      <c r="E7" s="1">
        <v>4752.0159999999996</v>
      </c>
      <c r="F7" s="42">
        <f t="shared" si="24"/>
        <v>1.1279999999997017</v>
      </c>
      <c r="G7" s="27">
        <f t="shared" si="25"/>
        <v>2143.1999999994332</v>
      </c>
      <c r="H7" s="1">
        <v>6879</v>
      </c>
      <c r="I7" s="42">
        <f t="shared" si="26"/>
        <v>4</v>
      </c>
      <c r="J7" s="27">
        <f t="shared" si="27"/>
        <v>7600</v>
      </c>
      <c r="K7" s="7">
        <v>14382.23</v>
      </c>
      <c r="L7" s="42">
        <f t="shared" si="28"/>
        <v>1.0100000000002183</v>
      </c>
      <c r="M7" s="27">
        <f t="shared" si="29"/>
        <v>1919.0000000004145</v>
      </c>
      <c r="N7" s="7">
        <v>4124.8239999999996</v>
      </c>
      <c r="O7" s="42">
        <f t="shared" si="30"/>
        <v>2.319999999999709</v>
      </c>
      <c r="P7" s="27">
        <f t="shared" si="31"/>
        <v>4407.999999999447</v>
      </c>
      <c r="Q7" s="7">
        <v>5674.5</v>
      </c>
      <c r="R7" s="42">
        <f t="shared" si="32"/>
        <v>0.13000000000010914</v>
      </c>
      <c r="S7" s="27">
        <f t="shared" si="33"/>
        <v>247.00000000020736</v>
      </c>
      <c r="T7" s="8">
        <f t="shared" si="34"/>
        <v>11.850999999998749</v>
      </c>
      <c r="U7" s="29">
        <f t="shared" si="35"/>
        <v>22516.899999997622</v>
      </c>
      <c r="W7" s="140">
        <v>44990</v>
      </c>
      <c r="X7" s="141">
        <v>229893</v>
      </c>
      <c r="Y7" s="146">
        <f t="shared" si="36"/>
        <v>56</v>
      </c>
      <c r="Z7" s="141">
        <v>10660</v>
      </c>
      <c r="AA7" s="146">
        <f t="shared" si="37"/>
        <v>4</v>
      </c>
      <c r="AB7" s="141">
        <f t="shared" si="38"/>
        <v>146.5</v>
      </c>
      <c r="AC7" s="146">
        <f t="shared" si="39"/>
        <v>0</v>
      </c>
      <c r="AD7" s="141">
        <v>988</v>
      </c>
      <c r="AE7" s="146">
        <f t="shared" si="40"/>
        <v>3</v>
      </c>
      <c r="AF7" s="141">
        <v>10464</v>
      </c>
      <c r="AG7" s="146">
        <f t="shared" si="41"/>
        <v>3</v>
      </c>
    </row>
    <row r="8" spans="1:33" ht="16.5" thickBot="1" x14ac:dyDescent="0.25">
      <c r="A8" s="162">
        <v>44991</v>
      </c>
      <c r="B8" s="143">
        <v>25790.31</v>
      </c>
      <c r="C8" s="42">
        <f t="shared" si="22"/>
        <v>4.9310000000004948</v>
      </c>
      <c r="D8" s="27">
        <f t="shared" si="23"/>
        <v>9368.9000000009401</v>
      </c>
      <c r="E8" s="1">
        <v>4753.8329999999996</v>
      </c>
      <c r="F8" s="42">
        <f t="shared" si="24"/>
        <v>1.8170000000000073</v>
      </c>
      <c r="G8" s="27">
        <f t="shared" si="25"/>
        <v>3452.3000000000134</v>
      </c>
      <c r="H8" s="1">
        <v>6884</v>
      </c>
      <c r="I8" s="42">
        <f t="shared" si="26"/>
        <v>5</v>
      </c>
      <c r="J8" s="27">
        <f t="shared" si="27"/>
        <v>9500</v>
      </c>
      <c r="K8" s="7">
        <v>14383.65</v>
      </c>
      <c r="L8" s="42">
        <f t="shared" si="28"/>
        <v>1.4200000000000728</v>
      </c>
      <c r="M8" s="27">
        <f t="shared" si="29"/>
        <v>2698.0000000001382</v>
      </c>
      <c r="N8" s="7">
        <v>4127.8630000000003</v>
      </c>
      <c r="O8" s="42">
        <f t="shared" si="30"/>
        <v>3.0390000000006694</v>
      </c>
      <c r="P8" s="27">
        <f t="shared" si="31"/>
        <v>5774.1000000012718</v>
      </c>
      <c r="Q8" s="7">
        <v>5674.83</v>
      </c>
      <c r="R8" s="42">
        <f t="shared" si="32"/>
        <v>0.32999999999992724</v>
      </c>
      <c r="S8" s="27">
        <f t="shared" si="33"/>
        <v>626.99999999986176</v>
      </c>
      <c r="T8" s="8">
        <f t="shared" si="34"/>
        <v>16.537000000001171</v>
      </c>
      <c r="U8" s="29">
        <f t="shared" si="35"/>
        <v>31420.300000002226</v>
      </c>
      <c r="W8" s="140">
        <v>44991</v>
      </c>
      <c r="X8" s="141">
        <v>229997</v>
      </c>
      <c r="Y8" s="146">
        <f t="shared" si="36"/>
        <v>104</v>
      </c>
      <c r="Z8" s="141">
        <v>10665</v>
      </c>
      <c r="AA8" s="146">
        <f t="shared" si="37"/>
        <v>5</v>
      </c>
      <c r="AB8" s="141">
        <f t="shared" si="38"/>
        <v>146.5</v>
      </c>
      <c r="AC8" s="146">
        <f t="shared" si="39"/>
        <v>0</v>
      </c>
      <c r="AD8" s="141">
        <v>991</v>
      </c>
      <c r="AE8" s="146">
        <f t="shared" si="40"/>
        <v>3</v>
      </c>
      <c r="AF8" s="141">
        <v>10468</v>
      </c>
      <c r="AG8" s="146">
        <f t="shared" si="41"/>
        <v>4</v>
      </c>
    </row>
    <row r="9" spans="1:33" ht="16.5" thickBot="1" x14ac:dyDescent="0.25">
      <c r="A9" s="162">
        <v>44992</v>
      </c>
      <c r="B9" s="143">
        <v>25793.608</v>
      </c>
      <c r="C9" s="42">
        <f t="shared" si="22"/>
        <v>3.297999999998865</v>
      </c>
      <c r="D9" s="27">
        <f t="shared" si="23"/>
        <v>6266.1999999978434</v>
      </c>
      <c r="E9" s="1">
        <v>4754.9449999999997</v>
      </c>
      <c r="F9" s="42">
        <f t="shared" si="24"/>
        <v>1.11200000000008</v>
      </c>
      <c r="G9" s="27">
        <f t="shared" si="25"/>
        <v>2112.8000000001521</v>
      </c>
      <c r="H9" s="1">
        <v>6888</v>
      </c>
      <c r="I9" s="42">
        <f t="shared" si="26"/>
        <v>4</v>
      </c>
      <c r="J9" s="27">
        <f t="shared" si="27"/>
        <v>7600</v>
      </c>
      <c r="K9" s="7">
        <v>14384.92</v>
      </c>
      <c r="L9" s="42">
        <f t="shared" si="28"/>
        <v>1.2700000000004366</v>
      </c>
      <c r="M9" s="27">
        <f t="shared" si="29"/>
        <v>2413.0000000008295</v>
      </c>
      <c r="N9" s="7">
        <v>4130.4690000000001</v>
      </c>
      <c r="O9" s="42">
        <f t="shared" si="30"/>
        <v>2.6059999999997672</v>
      </c>
      <c r="P9" s="27">
        <f t="shared" si="31"/>
        <v>4951.3999999995576</v>
      </c>
      <c r="Q9" s="7">
        <v>5674.95</v>
      </c>
      <c r="R9" s="42">
        <f t="shared" si="32"/>
        <v>0.11999999999989086</v>
      </c>
      <c r="S9" s="27">
        <f t="shared" si="33"/>
        <v>227.99999999979261</v>
      </c>
      <c r="T9" s="8">
        <f t="shared" si="34"/>
        <v>12.40599999999904</v>
      </c>
      <c r="U9" s="29">
        <f t="shared" si="35"/>
        <v>23571.399999998175</v>
      </c>
      <c r="W9" s="140">
        <v>44992</v>
      </c>
      <c r="X9" s="141">
        <v>230093</v>
      </c>
      <c r="Y9" s="146">
        <f t="shared" si="36"/>
        <v>96</v>
      </c>
      <c r="Z9" s="141">
        <v>10669</v>
      </c>
      <c r="AA9" s="146">
        <f t="shared" si="37"/>
        <v>4</v>
      </c>
      <c r="AB9" s="141">
        <f t="shared" si="38"/>
        <v>146.5</v>
      </c>
      <c r="AC9" s="146">
        <f t="shared" si="39"/>
        <v>0</v>
      </c>
      <c r="AD9" s="141">
        <v>993</v>
      </c>
      <c r="AE9" s="146">
        <f t="shared" si="40"/>
        <v>2</v>
      </c>
      <c r="AF9" s="141">
        <v>10473</v>
      </c>
      <c r="AG9" s="146">
        <f t="shared" si="41"/>
        <v>5</v>
      </c>
    </row>
    <row r="10" spans="1:33" ht="16.5" thickBot="1" x14ac:dyDescent="0.25">
      <c r="A10" s="162">
        <v>44993</v>
      </c>
      <c r="B10" s="143">
        <v>25797.17</v>
      </c>
      <c r="C10" s="42">
        <f t="shared" si="22"/>
        <v>3.5619999999980791</v>
      </c>
      <c r="D10" s="27">
        <f t="shared" si="23"/>
        <v>6767.7999999963495</v>
      </c>
      <c r="E10" s="1">
        <v>4756.2240000000002</v>
      </c>
      <c r="F10" s="42">
        <f t="shared" si="24"/>
        <v>1.2790000000004511</v>
      </c>
      <c r="G10" s="27">
        <f t="shared" si="25"/>
        <v>2430.1000000008571</v>
      </c>
      <c r="H10" s="1">
        <v>6893</v>
      </c>
      <c r="I10" s="42">
        <f t="shared" si="26"/>
        <v>5</v>
      </c>
      <c r="J10" s="27">
        <f t="shared" si="27"/>
        <v>9500</v>
      </c>
      <c r="K10" s="7">
        <v>14386.69</v>
      </c>
      <c r="L10" s="42">
        <f t="shared" si="28"/>
        <v>1.7700000000004366</v>
      </c>
      <c r="M10" s="27">
        <f t="shared" si="29"/>
        <v>3363.000000000829</v>
      </c>
      <c r="N10" s="7">
        <v>4133.5820000000003</v>
      </c>
      <c r="O10" s="42">
        <f t="shared" si="30"/>
        <v>3.1130000000002838</v>
      </c>
      <c r="P10" s="27">
        <f t="shared" si="31"/>
        <v>5914.7000000005391</v>
      </c>
      <c r="Q10" s="7">
        <v>5675.12</v>
      </c>
      <c r="R10" s="42">
        <f t="shared" si="32"/>
        <v>0.17000000000007276</v>
      </c>
      <c r="S10" s="27">
        <f t="shared" si="33"/>
        <v>323.00000000013824</v>
      </c>
      <c r="T10" s="8">
        <f t="shared" si="34"/>
        <v>14.893999999999323</v>
      </c>
      <c r="U10" s="29">
        <f t="shared" si="35"/>
        <v>28298.599999998714</v>
      </c>
      <c r="W10" s="140">
        <v>44993</v>
      </c>
      <c r="X10" s="141">
        <v>230114</v>
      </c>
      <c r="Y10" s="146">
        <f t="shared" si="36"/>
        <v>21</v>
      </c>
      <c r="Z10" s="141">
        <v>10674</v>
      </c>
      <c r="AA10" s="146">
        <f t="shared" si="37"/>
        <v>5</v>
      </c>
      <c r="AB10" s="141">
        <v>146.5</v>
      </c>
      <c r="AC10" s="146">
        <f t="shared" si="39"/>
        <v>0</v>
      </c>
      <c r="AD10" s="141">
        <v>995</v>
      </c>
      <c r="AE10" s="146">
        <f t="shared" si="40"/>
        <v>2</v>
      </c>
      <c r="AF10" s="141">
        <v>10476</v>
      </c>
      <c r="AG10" s="146">
        <f t="shared" si="41"/>
        <v>3</v>
      </c>
    </row>
    <row r="11" spans="1:33" ht="16.5" thickBot="1" x14ac:dyDescent="0.25">
      <c r="A11" s="162">
        <v>44994</v>
      </c>
      <c r="B11" s="143">
        <v>25800.687999999998</v>
      </c>
      <c r="C11" s="42">
        <f t="shared" si="22"/>
        <v>3.5180000000000291</v>
      </c>
      <c r="D11" s="27">
        <f t="shared" si="23"/>
        <v>6684.2000000000544</v>
      </c>
      <c r="E11" s="1">
        <v>4757.6310000000003</v>
      </c>
      <c r="F11" s="42">
        <f t="shared" si="24"/>
        <v>1.4070000000001528</v>
      </c>
      <c r="G11" s="27">
        <f t="shared" si="25"/>
        <v>2673.3000000002903</v>
      </c>
      <c r="H11" s="1">
        <v>6897</v>
      </c>
      <c r="I11" s="42">
        <f t="shared" si="26"/>
        <v>4</v>
      </c>
      <c r="J11" s="27">
        <f t="shared" si="27"/>
        <v>7600</v>
      </c>
      <c r="K11" s="7">
        <v>14388.41</v>
      </c>
      <c r="L11" s="42">
        <f t="shared" si="28"/>
        <v>1.7199999999993452</v>
      </c>
      <c r="M11" s="27">
        <f t="shared" si="29"/>
        <v>3267.9999999987554</v>
      </c>
      <c r="N11" s="7">
        <v>4136.7560000000003</v>
      </c>
      <c r="O11" s="42">
        <f t="shared" si="30"/>
        <v>3.1739999999999782</v>
      </c>
      <c r="P11" s="27">
        <f t="shared" si="31"/>
        <v>6030.5999999999576</v>
      </c>
      <c r="Q11" s="7">
        <v>5675.4</v>
      </c>
      <c r="R11" s="42">
        <f t="shared" si="32"/>
        <v>0.27999999999974534</v>
      </c>
      <c r="S11" s="27">
        <f t="shared" si="33"/>
        <v>531.99999999951604</v>
      </c>
      <c r="T11" s="8">
        <f t="shared" si="34"/>
        <v>14.098999999999251</v>
      </c>
      <c r="U11" s="29">
        <f t="shared" si="35"/>
        <v>26788.099999998576</v>
      </c>
      <c r="W11" s="140">
        <v>44994</v>
      </c>
      <c r="X11" s="141">
        <v>230196</v>
      </c>
      <c r="Y11" s="146">
        <f t="shared" si="36"/>
        <v>82</v>
      </c>
      <c r="Z11" s="141">
        <v>10676</v>
      </c>
      <c r="AA11" s="146">
        <f t="shared" si="37"/>
        <v>2</v>
      </c>
      <c r="AB11" s="141">
        <f t="shared" si="38"/>
        <v>146.5</v>
      </c>
      <c r="AC11" s="146">
        <f t="shared" si="39"/>
        <v>0</v>
      </c>
      <c r="AD11" s="141">
        <v>998</v>
      </c>
      <c r="AE11" s="146">
        <f t="shared" si="40"/>
        <v>3</v>
      </c>
      <c r="AF11" s="141">
        <v>10479</v>
      </c>
      <c r="AG11" s="146">
        <f t="shared" si="41"/>
        <v>3</v>
      </c>
    </row>
    <row r="12" spans="1:33" ht="16.5" thickBot="1" x14ac:dyDescent="0.25">
      <c r="A12" s="162">
        <v>44995</v>
      </c>
      <c r="B12" s="143">
        <v>25804.686000000002</v>
      </c>
      <c r="C12" s="42">
        <f t="shared" si="22"/>
        <v>3.9980000000032305</v>
      </c>
      <c r="D12" s="27">
        <f t="shared" si="23"/>
        <v>7596.200000006138</v>
      </c>
      <c r="E12" s="1">
        <v>4758.6610000000001</v>
      </c>
      <c r="F12" s="42">
        <f t="shared" si="24"/>
        <v>1.0299999999997453</v>
      </c>
      <c r="G12" s="27">
        <f t="shared" si="25"/>
        <v>1956.9999999995159</v>
      </c>
      <c r="H12" s="1">
        <v>6902</v>
      </c>
      <c r="I12" s="42">
        <f t="shared" si="26"/>
        <v>5</v>
      </c>
      <c r="J12" s="27">
        <f t="shared" si="27"/>
        <v>9500</v>
      </c>
      <c r="K12" s="7">
        <v>14390.11</v>
      </c>
      <c r="L12" s="42">
        <f t="shared" si="28"/>
        <v>1.7000000000007276</v>
      </c>
      <c r="M12" s="27">
        <f t="shared" si="29"/>
        <v>3230.0000000013824</v>
      </c>
      <c r="N12" s="7">
        <v>4140.0200000000004</v>
      </c>
      <c r="O12" s="42">
        <f t="shared" si="30"/>
        <v>3.2640000000001237</v>
      </c>
      <c r="P12" s="27">
        <f t="shared" si="31"/>
        <v>6201.6000000002341</v>
      </c>
      <c r="Q12" s="7">
        <v>5675.73</v>
      </c>
      <c r="R12" s="42">
        <f t="shared" si="32"/>
        <v>0.32999999999992724</v>
      </c>
      <c r="S12" s="27">
        <f t="shared" si="33"/>
        <v>626.99999999986176</v>
      </c>
      <c r="T12" s="8">
        <f t="shared" si="34"/>
        <v>15.322000000003754</v>
      </c>
      <c r="U12" s="29">
        <f t="shared" si="35"/>
        <v>29111.800000007133</v>
      </c>
      <c r="W12" s="140">
        <v>44995</v>
      </c>
      <c r="X12" s="141">
        <v>230266</v>
      </c>
      <c r="Y12" s="146">
        <f t="shared" si="36"/>
        <v>70</v>
      </c>
      <c r="Z12" s="141">
        <v>10683</v>
      </c>
      <c r="AA12" s="146">
        <f t="shared" si="37"/>
        <v>7</v>
      </c>
      <c r="AB12" s="141">
        <f t="shared" si="38"/>
        <v>146.5</v>
      </c>
      <c r="AC12" s="146">
        <f t="shared" si="39"/>
        <v>0</v>
      </c>
      <c r="AD12" s="141">
        <v>1003</v>
      </c>
      <c r="AE12" s="146">
        <f t="shared" si="40"/>
        <v>5</v>
      </c>
      <c r="AF12" s="141">
        <v>10484</v>
      </c>
      <c r="AG12" s="146">
        <f t="shared" si="41"/>
        <v>5</v>
      </c>
    </row>
    <row r="13" spans="1:33" ht="16.5" thickBot="1" x14ac:dyDescent="0.25">
      <c r="A13" s="162">
        <v>44996</v>
      </c>
      <c r="B13" s="143">
        <v>25809.433000000001</v>
      </c>
      <c r="C13" s="42">
        <f t="shared" si="22"/>
        <v>4.7469999999993888</v>
      </c>
      <c r="D13" s="27">
        <f t="shared" si="23"/>
        <v>9019.2999999988369</v>
      </c>
      <c r="E13" s="1">
        <v>4759.6350000000002</v>
      </c>
      <c r="F13" s="42">
        <f t="shared" si="24"/>
        <v>0.97400000000016007</v>
      </c>
      <c r="G13" s="27">
        <f t="shared" si="25"/>
        <v>1850.6000000003039</v>
      </c>
      <c r="H13" s="1">
        <v>6907</v>
      </c>
      <c r="I13" s="42">
        <f t="shared" si="26"/>
        <v>5</v>
      </c>
      <c r="J13" s="27">
        <f t="shared" si="27"/>
        <v>9500</v>
      </c>
      <c r="K13" s="7">
        <v>14391.88</v>
      </c>
      <c r="L13" s="42">
        <f t="shared" si="28"/>
        <v>1.7699999999986176</v>
      </c>
      <c r="M13" s="27">
        <f t="shared" si="29"/>
        <v>3362.9999999973734</v>
      </c>
      <c r="N13" s="7">
        <v>4143.2780000000002</v>
      </c>
      <c r="O13" s="42">
        <f t="shared" si="30"/>
        <v>3.2579999999998108</v>
      </c>
      <c r="P13" s="27">
        <f t="shared" si="31"/>
        <v>6190.1999999996406</v>
      </c>
      <c r="Q13" s="7">
        <v>5676.16</v>
      </c>
      <c r="R13" s="42">
        <f t="shared" si="32"/>
        <v>0.43000000000029104</v>
      </c>
      <c r="S13" s="27">
        <f t="shared" si="33"/>
        <v>817.00000000055297</v>
      </c>
      <c r="T13" s="8">
        <f t="shared" si="34"/>
        <v>16.178999999998268</v>
      </c>
      <c r="U13" s="29">
        <f t="shared" si="35"/>
        <v>30740.09999999671</v>
      </c>
      <c r="W13" s="140">
        <v>44996</v>
      </c>
      <c r="X13" s="141">
        <v>230390</v>
      </c>
      <c r="Y13" s="146">
        <f t="shared" si="36"/>
        <v>124</v>
      </c>
      <c r="Z13" s="141">
        <v>10689</v>
      </c>
      <c r="AA13" s="146">
        <f t="shared" si="37"/>
        <v>6</v>
      </c>
      <c r="AB13" s="141">
        <f t="shared" si="38"/>
        <v>146.5</v>
      </c>
      <c r="AC13" s="146">
        <f t="shared" si="39"/>
        <v>0</v>
      </c>
      <c r="AD13" s="141">
        <v>1005</v>
      </c>
      <c r="AE13" s="146">
        <f t="shared" si="40"/>
        <v>2</v>
      </c>
      <c r="AF13" s="141">
        <v>10489</v>
      </c>
      <c r="AG13" s="146">
        <f t="shared" si="41"/>
        <v>5</v>
      </c>
    </row>
    <row r="14" spans="1:33" ht="16.5" thickBot="1" x14ac:dyDescent="0.25">
      <c r="A14" s="162">
        <v>44997</v>
      </c>
      <c r="B14" s="143">
        <v>25814.339</v>
      </c>
      <c r="C14" s="42">
        <f t="shared" si="22"/>
        <v>4.9059999999990396</v>
      </c>
      <c r="D14" s="27">
        <f t="shared" si="23"/>
        <v>9321.3999999981752</v>
      </c>
      <c r="E14" s="1">
        <v>4760.9340000000002</v>
      </c>
      <c r="F14" s="42">
        <f t="shared" si="24"/>
        <v>1.2989999999999782</v>
      </c>
      <c r="G14" s="27">
        <f t="shared" si="25"/>
        <v>2468.0999999999585</v>
      </c>
      <c r="H14" s="1">
        <v>6912</v>
      </c>
      <c r="I14" s="42">
        <f t="shared" si="26"/>
        <v>5</v>
      </c>
      <c r="J14" s="27">
        <f t="shared" si="27"/>
        <v>9500</v>
      </c>
      <c r="K14" s="7">
        <v>14393.5</v>
      </c>
      <c r="L14" s="42">
        <f t="shared" si="28"/>
        <v>1.6200000000008004</v>
      </c>
      <c r="M14" s="27">
        <f t="shared" si="29"/>
        <v>3078.0000000015202</v>
      </c>
      <c r="N14" s="7">
        <v>4146.6909999999998</v>
      </c>
      <c r="O14" s="42">
        <f t="shared" si="30"/>
        <v>3.4129999999995562</v>
      </c>
      <c r="P14" s="27">
        <f t="shared" si="31"/>
        <v>6484.6999999991567</v>
      </c>
      <c r="Q14" s="7">
        <v>5676.56</v>
      </c>
      <c r="R14" s="42">
        <f t="shared" si="32"/>
        <v>0.4000000000005457</v>
      </c>
      <c r="S14" s="27">
        <f t="shared" si="33"/>
        <v>760.00000000103671</v>
      </c>
      <c r="T14" s="8">
        <f t="shared" si="34"/>
        <v>16.63799999999992</v>
      </c>
      <c r="U14" s="29">
        <f t="shared" si="35"/>
        <v>31612.199999999844</v>
      </c>
      <c r="W14" s="140">
        <v>44997</v>
      </c>
      <c r="X14" s="141">
        <v>230456</v>
      </c>
      <c r="Y14" s="146">
        <f t="shared" si="36"/>
        <v>66</v>
      </c>
      <c r="Z14" s="141">
        <v>10694</v>
      </c>
      <c r="AA14" s="146">
        <f t="shared" si="37"/>
        <v>5</v>
      </c>
      <c r="AB14" s="141">
        <f t="shared" si="38"/>
        <v>146.5</v>
      </c>
      <c r="AC14" s="146">
        <f t="shared" si="39"/>
        <v>0</v>
      </c>
      <c r="AD14" s="141">
        <v>1010</v>
      </c>
      <c r="AE14" s="146">
        <f t="shared" si="40"/>
        <v>5</v>
      </c>
      <c r="AF14" s="141">
        <v>10492</v>
      </c>
      <c r="AG14" s="146">
        <f t="shared" si="41"/>
        <v>3</v>
      </c>
    </row>
    <row r="15" spans="1:33" ht="16.5" thickBot="1" x14ac:dyDescent="0.25">
      <c r="A15" s="162">
        <v>44998</v>
      </c>
      <c r="B15" s="143">
        <v>25819.216</v>
      </c>
      <c r="C15" s="42">
        <f t="shared" si="22"/>
        <v>4.8770000000004075</v>
      </c>
      <c r="D15" s="27">
        <f t="shared" si="23"/>
        <v>9266.3000000007742</v>
      </c>
      <c r="E15" s="1">
        <v>4762.5820000000003</v>
      </c>
      <c r="F15" s="42">
        <f t="shared" si="24"/>
        <v>1.6480000000001382</v>
      </c>
      <c r="G15" s="27">
        <f t="shared" si="25"/>
        <v>3131.2000000002627</v>
      </c>
      <c r="H15" s="1">
        <v>6917</v>
      </c>
      <c r="I15" s="42">
        <f t="shared" si="26"/>
        <v>5</v>
      </c>
      <c r="J15" s="27">
        <f t="shared" si="27"/>
        <v>9500</v>
      </c>
      <c r="K15" s="7">
        <v>14395.06</v>
      </c>
      <c r="L15" s="42">
        <f t="shared" si="28"/>
        <v>1.5599999999994907</v>
      </c>
      <c r="M15" s="27">
        <f t="shared" si="29"/>
        <v>2963.9999999990323</v>
      </c>
      <c r="N15" s="7">
        <v>4149.7479999999996</v>
      </c>
      <c r="O15" s="42">
        <f t="shared" si="30"/>
        <v>3.056999999999789</v>
      </c>
      <c r="P15" s="27">
        <f t="shared" si="31"/>
        <v>5808.2999999995982</v>
      </c>
      <c r="Q15" s="7">
        <v>5676.99</v>
      </c>
      <c r="R15" s="42">
        <f t="shared" si="32"/>
        <v>0.42999999999938154</v>
      </c>
      <c r="S15" s="27">
        <f t="shared" si="33"/>
        <v>816.99999999882493</v>
      </c>
      <c r="T15" s="8">
        <f t="shared" si="34"/>
        <v>16.571999999999207</v>
      </c>
      <c r="U15" s="29">
        <f t="shared" si="35"/>
        <v>31486.799999998493</v>
      </c>
      <c r="W15" s="140">
        <v>44998</v>
      </c>
      <c r="X15" s="141">
        <v>230545</v>
      </c>
      <c r="Y15" s="146">
        <f t="shared" si="36"/>
        <v>89</v>
      </c>
      <c r="Z15" s="141">
        <v>10698</v>
      </c>
      <c r="AA15" s="146">
        <f t="shared" si="37"/>
        <v>4</v>
      </c>
      <c r="AB15" s="141">
        <f t="shared" si="38"/>
        <v>146.5</v>
      </c>
      <c r="AC15" s="146">
        <f t="shared" si="39"/>
        <v>0</v>
      </c>
      <c r="AD15" s="141">
        <v>1014</v>
      </c>
      <c r="AE15" s="146">
        <f t="shared" si="40"/>
        <v>4</v>
      </c>
      <c r="AF15" s="141">
        <v>10497</v>
      </c>
      <c r="AG15" s="146">
        <f t="shared" si="41"/>
        <v>5</v>
      </c>
    </row>
    <row r="16" spans="1:33" ht="16.5" thickBot="1" x14ac:dyDescent="0.25">
      <c r="A16" s="162">
        <v>44999</v>
      </c>
      <c r="B16" s="143">
        <v>25823.569</v>
      </c>
      <c r="C16" s="42">
        <f t="shared" si="22"/>
        <v>4.352999999999156</v>
      </c>
      <c r="D16" s="27">
        <f t="shared" si="23"/>
        <v>8270.6999999983964</v>
      </c>
      <c r="E16" s="1">
        <v>4764.183</v>
      </c>
      <c r="F16" s="42">
        <f t="shared" si="24"/>
        <v>1.600999999999658</v>
      </c>
      <c r="G16" s="27">
        <f t="shared" si="25"/>
        <v>3041.8999999993498</v>
      </c>
      <c r="H16" s="1">
        <v>6923</v>
      </c>
      <c r="I16" s="42">
        <f t="shared" si="26"/>
        <v>6</v>
      </c>
      <c r="J16" s="27">
        <f t="shared" si="27"/>
        <v>11399.999999999998</v>
      </c>
      <c r="K16" s="7">
        <v>14396.65</v>
      </c>
      <c r="L16" s="42">
        <f t="shared" si="28"/>
        <v>1.5900000000001455</v>
      </c>
      <c r="M16" s="27">
        <f t="shared" si="29"/>
        <v>3021.000000000276</v>
      </c>
      <c r="N16" s="7">
        <v>4153.0159999999996</v>
      </c>
      <c r="O16" s="42">
        <f t="shared" si="30"/>
        <v>3.2680000000000291</v>
      </c>
      <c r="P16" s="27">
        <f t="shared" si="31"/>
        <v>6209.2000000000553</v>
      </c>
      <c r="Q16" s="7">
        <v>5677.24</v>
      </c>
      <c r="R16" s="42">
        <f t="shared" si="32"/>
        <v>0.25</v>
      </c>
      <c r="S16" s="27">
        <f t="shared" si="33"/>
        <v>475</v>
      </c>
      <c r="T16" s="8">
        <f t="shared" si="34"/>
        <v>17.061999999998989</v>
      </c>
      <c r="U16" s="29">
        <f t="shared" si="35"/>
        <v>32417.799999998075</v>
      </c>
      <c r="W16" s="140">
        <v>44999</v>
      </c>
      <c r="X16" s="141">
        <v>230617</v>
      </c>
      <c r="Y16" s="146">
        <f t="shared" si="36"/>
        <v>72</v>
      </c>
      <c r="Z16" s="141">
        <v>10702</v>
      </c>
      <c r="AA16" s="146">
        <f t="shared" si="37"/>
        <v>4</v>
      </c>
      <c r="AB16" s="141">
        <f t="shared" si="38"/>
        <v>146.5</v>
      </c>
      <c r="AC16" s="146">
        <f t="shared" si="39"/>
        <v>0</v>
      </c>
      <c r="AD16" s="141">
        <v>1017</v>
      </c>
      <c r="AE16" s="146">
        <f t="shared" si="40"/>
        <v>3</v>
      </c>
      <c r="AF16" s="141">
        <v>10502</v>
      </c>
      <c r="AG16" s="146">
        <f t="shared" si="41"/>
        <v>5</v>
      </c>
    </row>
    <row r="17" spans="1:33" ht="16.5" thickBot="1" x14ac:dyDescent="0.25">
      <c r="A17" s="162">
        <v>45000</v>
      </c>
      <c r="B17" s="143">
        <v>25826.513999999999</v>
      </c>
      <c r="C17" s="42">
        <f t="shared" si="22"/>
        <v>2.944999999999709</v>
      </c>
      <c r="D17" s="27">
        <f t="shared" si="23"/>
        <v>5595.499999999447</v>
      </c>
      <c r="E17" s="1">
        <v>4765.2650000000003</v>
      </c>
      <c r="F17" s="42">
        <f t="shared" si="24"/>
        <v>1.0820000000003347</v>
      </c>
      <c r="G17" s="27">
        <f t="shared" si="25"/>
        <v>2055.8000000006359</v>
      </c>
      <c r="H17" s="1">
        <v>6927</v>
      </c>
      <c r="I17" s="42">
        <f t="shared" si="26"/>
        <v>4</v>
      </c>
      <c r="J17" s="27">
        <f t="shared" si="27"/>
        <v>7600</v>
      </c>
      <c r="K17" s="7">
        <v>14398.19</v>
      </c>
      <c r="L17" s="42">
        <f t="shared" si="28"/>
        <v>1.5400000000008731</v>
      </c>
      <c r="M17" s="27">
        <f t="shared" si="29"/>
        <v>2926.0000000016589</v>
      </c>
      <c r="N17" s="7">
        <v>4156.058</v>
      </c>
      <c r="O17" s="42">
        <f t="shared" si="30"/>
        <v>3.0420000000003711</v>
      </c>
      <c r="P17" s="27">
        <f t="shared" si="31"/>
        <v>5779.800000000705</v>
      </c>
      <c r="Q17" s="7">
        <v>5677.32</v>
      </c>
      <c r="R17" s="42">
        <f t="shared" si="32"/>
        <v>7.999999999992724E-2</v>
      </c>
      <c r="S17" s="27">
        <f t="shared" si="33"/>
        <v>151.99999999986176</v>
      </c>
      <c r="T17" s="8">
        <f t="shared" si="34"/>
        <v>12.689000000001215</v>
      </c>
      <c r="U17" s="29">
        <f t="shared" si="35"/>
        <v>24109.100000002309</v>
      </c>
      <c r="W17" s="140">
        <v>45000</v>
      </c>
      <c r="X17" s="141">
        <v>230672</v>
      </c>
      <c r="Y17" s="146">
        <f t="shared" si="36"/>
        <v>55</v>
      </c>
      <c r="Z17" s="141">
        <v>10705</v>
      </c>
      <c r="AA17" s="146">
        <f t="shared" si="37"/>
        <v>3</v>
      </c>
      <c r="AB17" s="141">
        <f t="shared" si="38"/>
        <v>146.5</v>
      </c>
      <c r="AC17" s="146">
        <f t="shared" si="39"/>
        <v>0</v>
      </c>
      <c r="AD17" s="141">
        <v>1020</v>
      </c>
      <c r="AE17" s="146">
        <f t="shared" si="40"/>
        <v>3</v>
      </c>
      <c r="AF17" s="141">
        <v>10506</v>
      </c>
      <c r="AG17" s="146">
        <f t="shared" si="41"/>
        <v>4</v>
      </c>
    </row>
    <row r="18" spans="1:33" ht="16.5" thickBot="1" x14ac:dyDescent="0.25">
      <c r="A18" s="162">
        <v>45001</v>
      </c>
      <c r="B18" s="143">
        <v>25830.597000000002</v>
      </c>
      <c r="C18" s="42">
        <f t="shared" si="22"/>
        <v>4.0830000000023574</v>
      </c>
      <c r="D18" s="27">
        <f t="shared" si="23"/>
        <v>7757.7000000044791</v>
      </c>
      <c r="E18" s="1">
        <v>4766.8789999999999</v>
      </c>
      <c r="F18" s="42">
        <f t="shared" si="24"/>
        <v>1.613999999999578</v>
      </c>
      <c r="G18" s="27">
        <f t="shared" si="25"/>
        <v>3066.5999999991982</v>
      </c>
      <c r="H18" s="1">
        <v>6932</v>
      </c>
      <c r="I18" s="42">
        <f t="shared" si="26"/>
        <v>5</v>
      </c>
      <c r="J18" s="27">
        <f t="shared" si="27"/>
        <v>9500</v>
      </c>
      <c r="K18" s="7">
        <v>14398.74</v>
      </c>
      <c r="L18" s="42">
        <f t="shared" si="28"/>
        <v>0.5499999999992724</v>
      </c>
      <c r="M18" s="27">
        <f t="shared" si="29"/>
        <v>1044.9999999986176</v>
      </c>
      <c r="N18" s="7">
        <v>4158.97</v>
      </c>
      <c r="O18" s="42">
        <f t="shared" si="30"/>
        <v>2.9120000000002619</v>
      </c>
      <c r="P18" s="27">
        <f t="shared" si="31"/>
        <v>5532.8000000004977</v>
      </c>
      <c r="Q18" s="7">
        <v>5677.49</v>
      </c>
      <c r="R18" s="42">
        <f t="shared" si="32"/>
        <v>0.17000000000007276</v>
      </c>
      <c r="S18" s="27">
        <f t="shared" si="33"/>
        <v>323.00000000013824</v>
      </c>
      <c r="T18" s="8">
        <f t="shared" si="34"/>
        <v>14.329000000001543</v>
      </c>
      <c r="U18" s="29">
        <f t="shared" si="35"/>
        <v>27225.100000002927</v>
      </c>
      <c r="W18" s="140">
        <v>45001</v>
      </c>
      <c r="X18" s="141">
        <v>230748</v>
      </c>
      <c r="Y18" s="146">
        <f t="shared" si="36"/>
        <v>76</v>
      </c>
      <c r="Z18" s="141">
        <v>10709</v>
      </c>
      <c r="AA18" s="146">
        <f t="shared" si="37"/>
        <v>4</v>
      </c>
      <c r="AB18" s="141">
        <f t="shared" si="38"/>
        <v>146.5</v>
      </c>
      <c r="AC18" s="146">
        <f t="shared" si="39"/>
        <v>0</v>
      </c>
      <c r="AD18" s="141">
        <v>1024</v>
      </c>
      <c r="AE18" s="146">
        <f t="shared" si="40"/>
        <v>4</v>
      </c>
      <c r="AF18" s="141">
        <v>10509</v>
      </c>
      <c r="AG18" s="146">
        <f t="shared" si="41"/>
        <v>3</v>
      </c>
    </row>
    <row r="19" spans="1:33" ht="16.5" thickBot="1" x14ac:dyDescent="0.25">
      <c r="A19" s="162">
        <v>45002</v>
      </c>
      <c r="B19" s="143">
        <v>25834.645</v>
      </c>
      <c r="C19" s="42">
        <f t="shared" si="22"/>
        <v>4.047999999998865</v>
      </c>
      <c r="D19" s="27">
        <f t="shared" si="23"/>
        <v>7691.1999999978425</v>
      </c>
      <c r="E19" s="1">
        <v>4767.75</v>
      </c>
      <c r="F19" s="42">
        <f t="shared" si="24"/>
        <v>0.87100000000009459</v>
      </c>
      <c r="G19" s="27">
        <f t="shared" si="25"/>
        <v>1654.9000000001797</v>
      </c>
      <c r="H19" s="1">
        <v>6937</v>
      </c>
      <c r="I19" s="42">
        <f t="shared" si="26"/>
        <v>5</v>
      </c>
      <c r="J19" s="27">
        <f t="shared" si="27"/>
        <v>9500</v>
      </c>
      <c r="K19" s="7">
        <v>14399.43</v>
      </c>
      <c r="L19" s="42">
        <f t="shared" si="28"/>
        <v>0.69000000000050932</v>
      </c>
      <c r="M19" s="27">
        <f t="shared" si="29"/>
        <v>1311.0000000009677</v>
      </c>
      <c r="N19" s="7">
        <v>4161.549</v>
      </c>
      <c r="O19" s="42">
        <f t="shared" si="30"/>
        <v>2.5789999999997235</v>
      </c>
      <c r="P19" s="27">
        <f t="shared" si="31"/>
        <v>4900.0999999994747</v>
      </c>
      <c r="Q19" s="7">
        <v>5677.82</v>
      </c>
      <c r="R19" s="42">
        <f t="shared" si="32"/>
        <v>0.32999999999992724</v>
      </c>
      <c r="S19" s="27">
        <f t="shared" si="33"/>
        <v>626.99999999986176</v>
      </c>
      <c r="T19" s="8">
        <f t="shared" si="34"/>
        <v>13.51799999999912</v>
      </c>
      <c r="U19" s="29">
        <f t="shared" si="35"/>
        <v>25684.199999998327</v>
      </c>
      <c r="W19" s="140">
        <v>45002</v>
      </c>
      <c r="X19" s="141">
        <v>230804</v>
      </c>
      <c r="Y19" s="146">
        <f t="shared" si="36"/>
        <v>56</v>
      </c>
      <c r="Z19" s="141">
        <v>10714</v>
      </c>
      <c r="AA19" s="146">
        <f t="shared" si="37"/>
        <v>5</v>
      </c>
      <c r="AB19" s="141">
        <f t="shared" si="38"/>
        <v>146.5</v>
      </c>
      <c r="AC19" s="146">
        <f t="shared" si="39"/>
        <v>0</v>
      </c>
      <c r="AD19" s="141">
        <v>1026</v>
      </c>
      <c r="AE19" s="146">
        <f t="shared" si="40"/>
        <v>2</v>
      </c>
      <c r="AF19" s="141">
        <v>10513</v>
      </c>
      <c r="AG19" s="146">
        <f t="shared" si="41"/>
        <v>4</v>
      </c>
    </row>
    <row r="20" spans="1:33" ht="16.5" thickBot="1" x14ac:dyDescent="0.25">
      <c r="A20" s="162">
        <v>45003</v>
      </c>
      <c r="B20" s="143">
        <v>25839.047999999999</v>
      </c>
      <c r="C20" s="42">
        <f t="shared" si="22"/>
        <v>4.4029999999984284</v>
      </c>
      <c r="D20" s="27">
        <f t="shared" si="23"/>
        <v>8365.6999999970139</v>
      </c>
      <c r="E20" s="1">
        <v>4768.5829999999996</v>
      </c>
      <c r="F20" s="42">
        <f t="shared" si="24"/>
        <v>0.83299999999962893</v>
      </c>
      <c r="G20" s="27">
        <f t="shared" si="25"/>
        <v>1582.6999999992947</v>
      </c>
      <c r="H20" s="1">
        <v>6942</v>
      </c>
      <c r="I20" s="42">
        <f t="shared" si="26"/>
        <v>5</v>
      </c>
      <c r="J20" s="27">
        <f t="shared" si="27"/>
        <v>9500</v>
      </c>
      <c r="K20" s="7">
        <v>14400.31</v>
      </c>
      <c r="L20" s="42">
        <f t="shared" si="28"/>
        <v>0.87999999999919964</v>
      </c>
      <c r="M20" s="27">
        <f t="shared" si="29"/>
        <v>1671.9999999984791</v>
      </c>
      <c r="N20" s="7">
        <v>4164.6019999999999</v>
      </c>
      <c r="O20" s="42">
        <f t="shared" si="30"/>
        <v>3.0529999999998836</v>
      </c>
      <c r="P20" s="27">
        <f t="shared" si="31"/>
        <v>5800.6999999997788</v>
      </c>
      <c r="Q20" s="7">
        <v>5678.04</v>
      </c>
      <c r="R20" s="42">
        <f t="shared" si="32"/>
        <v>0.22000000000025466</v>
      </c>
      <c r="S20" s="27">
        <f t="shared" si="33"/>
        <v>418.00000000048379</v>
      </c>
      <c r="T20" s="8">
        <f t="shared" si="34"/>
        <v>14.388999999997395</v>
      </c>
      <c r="U20" s="29">
        <f t="shared" si="35"/>
        <v>27339.099999995051</v>
      </c>
      <c r="W20" s="140">
        <v>45003</v>
      </c>
      <c r="X20" s="141">
        <v>230867</v>
      </c>
      <c r="Y20" s="146">
        <f t="shared" si="36"/>
        <v>63</v>
      </c>
      <c r="Z20" s="141">
        <v>10725</v>
      </c>
      <c r="AA20" s="146">
        <f t="shared" si="37"/>
        <v>11</v>
      </c>
      <c r="AB20" s="141">
        <f t="shared" si="38"/>
        <v>146.5</v>
      </c>
      <c r="AC20" s="146">
        <f t="shared" si="39"/>
        <v>0</v>
      </c>
      <c r="AD20" s="141">
        <v>1029</v>
      </c>
      <c r="AE20" s="146">
        <f t="shared" si="40"/>
        <v>3</v>
      </c>
      <c r="AF20" s="141">
        <v>10520</v>
      </c>
      <c r="AG20" s="146">
        <f t="shared" si="41"/>
        <v>7</v>
      </c>
    </row>
    <row r="21" spans="1:33" ht="16.5" thickBot="1" x14ac:dyDescent="0.25">
      <c r="A21" s="162">
        <v>45004</v>
      </c>
      <c r="B21" s="143">
        <v>25843.563999999998</v>
      </c>
      <c r="C21" s="42">
        <f t="shared" si="22"/>
        <v>4.5159999999996217</v>
      </c>
      <c r="D21" s="27">
        <f t="shared" si="23"/>
        <v>8580.3999999992811</v>
      </c>
      <c r="E21" s="1">
        <v>4769.82</v>
      </c>
      <c r="F21" s="42">
        <f t="shared" si="24"/>
        <v>1.23700000000008</v>
      </c>
      <c r="G21" s="27">
        <f t="shared" si="25"/>
        <v>2350.3000000001521</v>
      </c>
      <c r="H21" s="1">
        <v>6947</v>
      </c>
      <c r="I21" s="42">
        <f t="shared" si="26"/>
        <v>5</v>
      </c>
      <c r="J21" s="27">
        <f t="shared" si="27"/>
        <v>9500</v>
      </c>
      <c r="K21" s="7">
        <v>14401.09</v>
      </c>
      <c r="L21" s="42">
        <f t="shared" si="28"/>
        <v>0.78000000000065484</v>
      </c>
      <c r="M21" s="27">
        <f t="shared" si="29"/>
        <v>1482.0000000012442</v>
      </c>
      <c r="N21" s="7">
        <v>4167.4949999999999</v>
      </c>
      <c r="O21" s="42">
        <f t="shared" si="30"/>
        <v>2.8930000000000291</v>
      </c>
      <c r="P21" s="27">
        <f t="shared" si="31"/>
        <v>5496.7000000000544</v>
      </c>
      <c r="Q21" s="7">
        <v>5678.09</v>
      </c>
      <c r="R21" s="42">
        <f t="shared" si="32"/>
        <v>5.0000000000181899E-2</v>
      </c>
      <c r="S21" s="27">
        <f t="shared" si="33"/>
        <v>95.000000000345594</v>
      </c>
      <c r="T21" s="8">
        <f t="shared" si="34"/>
        <v>14.476000000000568</v>
      </c>
      <c r="U21" s="29">
        <f t="shared" si="35"/>
        <v>27504.400000001078</v>
      </c>
      <c r="W21" s="140">
        <v>45004</v>
      </c>
      <c r="X21" s="141">
        <v>230928</v>
      </c>
      <c r="Y21" s="146">
        <f t="shared" si="36"/>
        <v>61</v>
      </c>
      <c r="Z21" s="141">
        <v>10730</v>
      </c>
      <c r="AA21" s="146">
        <f t="shared" si="37"/>
        <v>5</v>
      </c>
      <c r="AB21" s="141">
        <v>147</v>
      </c>
      <c r="AC21" s="146">
        <f t="shared" si="39"/>
        <v>0.5</v>
      </c>
      <c r="AD21" s="141">
        <v>1032</v>
      </c>
      <c r="AE21" s="146">
        <f t="shared" si="40"/>
        <v>3</v>
      </c>
      <c r="AF21" s="141">
        <v>10528</v>
      </c>
      <c r="AG21" s="146">
        <f t="shared" si="41"/>
        <v>8</v>
      </c>
    </row>
    <row r="22" spans="1:33" ht="16.5" thickBot="1" x14ac:dyDescent="0.25">
      <c r="A22" s="162">
        <v>45005</v>
      </c>
      <c r="B22" s="143">
        <v>25847.046999999999</v>
      </c>
      <c r="C22" s="42">
        <f t="shared" si="22"/>
        <v>3.4830000000001746</v>
      </c>
      <c r="D22" s="27">
        <f t="shared" si="23"/>
        <v>6617.7000000003318</v>
      </c>
      <c r="E22" s="1">
        <v>4770.8860000000004</v>
      </c>
      <c r="F22" s="42">
        <f t="shared" si="24"/>
        <v>1.066000000000713</v>
      </c>
      <c r="G22" s="27">
        <f t="shared" si="25"/>
        <v>2025.4000000013548</v>
      </c>
      <c r="H22" s="1">
        <v>6951</v>
      </c>
      <c r="I22" s="42">
        <f t="shared" si="26"/>
        <v>4</v>
      </c>
      <c r="J22" s="27">
        <f t="shared" si="27"/>
        <v>7600</v>
      </c>
      <c r="K22" s="7">
        <v>14401.69</v>
      </c>
      <c r="L22" s="42">
        <f t="shared" si="28"/>
        <v>0.6000000000003638</v>
      </c>
      <c r="M22" s="27">
        <f t="shared" si="29"/>
        <v>1140.0000000006912</v>
      </c>
      <c r="N22" s="7">
        <v>4169.9669999999996</v>
      </c>
      <c r="O22" s="42">
        <f t="shared" si="30"/>
        <v>2.4719999999997526</v>
      </c>
      <c r="P22" s="27">
        <f t="shared" si="31"/>
        <v>4696.79999999953</v>
      </c>
      <c r="Q22" s="7">
        <v>5679.09</v>
      </c>
      <c r="R22" s="42">
        <f t="shared" si="32"/>
        <v>1</v>
      </c>
      <c r="S22" s="27">
        <f t="shared" si="33"/>
        <v>1900</v>
      </c>
      <c r="T22" s="8">
        <f t="shared" si="34"/>
        <v>12.621000000001004</v>
      </c>
      <c r="U22" s="29">
        <f t="shared" si="35"/>
        <v>23979.900000001904</v>
      </c>
      <c r="W22" s="140">
        <v>45005</v>
      </c>
      <c r="X22" s="141">
        <v>230980</v>
      </c>
      <c r="Y22" s="146">
        <f t="shared" si="36"/>
        <v>52</v>
      </c>
      <c r="Z22" s="141">
        <v>10737</v>
      </c>
      <c r="AA22" s="146">
        <f t="shared" si="37"/>
        <v>7</v>
      </c>
      <c r="AB22" s="141">
        <v>147</v>
      </c>
      <c r="AC22" s="146">
        <f t="shared" si="39"/>
        <v>0</v>
      </c>
      <c r="AD22" s="141">
        <v>1035</v>
      </c>
      <c r="AE22" s="146">
        <f t="shared" si="40"/>
        <v>3</v>
      </c>
      <c r="AF22" s="141">
        <v>10533</v>
      </c>
      <c r="AG22" s="146">
        <f t="shared" si="41"/>
        <v>5</v>
      </c>
    </row>
    <row r="23" spans="1:33" ht="16.5" thickBot="1" x14ac:dyDescent="0.25">
      <c r="A23" s="162">
        <v>45006</v>
      </c>
      <c r="B23" s="143">
        <f t="shared" ref="B22:B33" si="42">B22</f>
        <v>25847.046999999999</v>
      </c>
      <c r="C23" s="42">
        <f t="shared" si="22"/>
        <v>0</v>
      </c>
      <c r="D23" s="27">
        <f t="shared" si="23"/>
        <v>0</v>
      </c>
      <c r="E23" s="1">
        <f t="shared" ref="E22:E33" si="43">E22</f>
        <v>4770.8860000000004</v>
      </c>
      <c r="F23" s="42">
        <f t="shared" si="24"/>
        <v>0</v>
      </c>
      <c r="G23" s="27">
        <f t="shared" si="25"/>
        <v>0</v>
      </c>
      <c r="H23" s="1">
        <f t="shared" ref="H22:H33" si="44">H22</f>
        <v>6951</v>
      </c>
      <c r="I23" s="42">
        <f t="shared" si="26"/>
        <v>0</v>
      </c>
      <c r="J23" s="27">
        <f t="shared" si="27"/>
        <v>0</v>
      </c>
      <c r="K23" s="7">
        <f t="shared" ref="K22:K33" si="45">K22</f>
        <v>14401.69</v>
      </c>
      <c r="L23" s="42">
        <f t="shared" si="28"/>
        <v>0</v>
      </c>
      <c r="M23" s="27">
        <f t="shared" si="29"/>
        <v>0</v>
      </c>
      <c r="N23" s="7">
        <f t="shared" ref="N22:N33" si="46">N22</f>
        <v>4169.9669999999996</v>
      </c>
      <c r="O23" s="42">
        <f t="shared" si="30"/>
        <v>0</v>
      </c>
      <c r="P23" s="27">
        <f t="shared" si="31"/>
        <v>0</v>
      </c>
      <c r="Q23" s="7">
        <f t="shared" ref="Q22:Q33" si="47">Q22</f>
        <v>5679.09</v>
      </c>
      <c r="R23" s="42">
        <f t="shared" si="32"/>
        <v>0</v>
      </c>
      <c r="S23" s="27">
        <f t="shared" si="33"/>
        <v>0</v>
      </c>
      <c r="T23" s="8">
        <f t="shared" si="34"/>
        <v>0</v>
      </c>
      <c r="U23" s="29">
        <f t="shared" si="35"/>
        <v>0</v>
      </c>
      <c r="W23" s="140">
        <v>45006</v>
      </c>
      <c r="X23" s="141">
        <f t="shared" ref="X22:X33" si="48">X22</f>
        <v>230980</v>
      </c>
      <c r="Y23" s="146">
        <f t="shared" si="36"/>
        <v>0</v>
      </c>
      <c r="Z23" s="141">
        <f t="shared" ref="Z22:Z33" si="49">Z22</f>
        <v>10737</v>
      </c>
      <c r="AA23" s="146">
        <f t="shared" si="37"/>
        <v>0</v>
      </c>
      <c r="AB23" s="141">
        <f t="shared" si="38"/>
        <v>147</v>
      </c>
      <c r="AC23" s="146">
        <f t="shared" si="39"/>
        <v>0</v>
      </c>
      <c r="AD23" s="141">
        <f t="shared" ref="AD22:AD33" si="50">AD22</f>
        <v>1035</v>
      </c>
      <c r="AE23" s="146">
        <f t="shared" si="40"/>
        <v>0</v>
      </c>
      <c r="AF23" s="141">
        <f t="shared" ref="AF22:AF33" si="51">AF22</f>
        <v>10533</v>
      </c>
      <c r="AG23" s="146">
        <f t="shared" si="41"/>
        <v>0</v>
      </c>
    </row>
    <row r="24" spans="1:33" ht="16.5" thickBot="1" x14ac:dyDescent="0.25">
      <c r="A24" s="162">
        <v>45007</v>
      </c>
      <c r="B24" s="143">
        <f t="shared" si="42"/>
        <v>25847.046999999999</v>
      </c>
      <c r="C24" s="42">
        <f t="shared" si="22"/>
        <v>0</v>
      </c>
      <c r="D24" s="27">
        <f t="shared" si="23"/>
        <v>0</v>
      </c>
      <c r="E24" s="1">
        <f t="shared" si="43"/>
        <v>4770.8860000000004</v>
      </c>
      <c r="F24" s="42">
        <f t="shared" si="24"/>
        <v>0</v>
      </c>
      <c r="G24" s="27">
        <f t="shared" si="25"/>
        <v>0</v>
      </c>
      <c r="H24" s="1">
        <f t="shared" si="44"/>
        <v>6951</v>
      </c>
      <c r="I24" s="42">
        <f t="shared" si="26"/>
        <v>0</v>
      </c>
      <c r="J24" s="27">
        <f t="shared" si="27"/>
        <v>0</v>
      </c>
      <c r="K24" s="7">
        <f t="shared" si="45"/>
        <v>14401.69</v>
      </c>
      <c r="L24" s="42">
        <f t="shared" si="28"/>
        <v>0</v>
      </c>
      <c r="M24" s="27">
        <f t="shared" si="29"/>
        <v>0</v>
      </c>
      <c r="N24" s="7">
        <f t="shared" si="46"/>
        <v>4169.9669999999996</v>
      </c>
      <c r="O24" s="42">
        <f t="shared" si="30"/>
        <v>0</v>
      </c>
      <c r="P24" s="27">
        <f t="shared" si="31"/>
        <v>0</v>
      </c>
      <c r="Q24" s="7">
        <f t="shared" si="47"/>
        <v>5679.09</v>
      </c>
      <c r="R24" s="42">
        <f t="shared" si="32"/>
        <v>0</v>
      </c>
      <c r="S24" s="27">
        <f t="shared" si="33"/>
        <v>0</v>
      </c>
      <c r="T24" s="8">
        <f t="shared" si="34"/>
        <v>0</v>
      </c>
      <c r="U24" s="29">
        <f t="shared" si="35"/>
        <v>0</v>
      </c>
      <c r="W24" s="140">
        <v>45007</v>
      </c>
      <c r="X24" s="141">
        <f t="shared" si="48"/>
        <v>230980</v>
      </c>
      <c r="Y24" s="146">
        <f t="shared" si="36"/>
        <v>0</v>
      </c>
      <c r="Z24" s="141">
        <f t="shared" si="49"/>
        <v>10737</v>
      </c>
      <c r="AA24" s="146">
        <f t="shared" si="37"/>
        <v>0</v>
      </c>
      <c r="AB24" s="141">
        <f t="shared" si="38"/>
        <v>147</v>
      </c>
      <c r="AC24" s="146">
        <f t="shared" si="39"/>
        <v>0</v>
      </c>
      <c r="AD24" s="141">
        <f t="shared" si="50"/>
        <v>1035</v>
      </c>
      <c r="AE24" s="146">
        <f t="shared" si="40"/>
        <v>0</v>
      </c>
      <c r="AF24" s="141">
        <f t="shared" si="51"/>
        <v>10533</v>
      </c>
      <c r="AG24" s="146">
        <f t="shared" si="41"/>
        <v>0</v>
      </c>
    </row>
    <row r="25" spans="1:33" ht="16.5" thickBot="1" x14ac:dyDescent="0.25">
      <c r="A25" s="162">
        <v>45008</v>
      </c>
      <c r="B25" s="143">
        <f t="shared" si="42"/>
        <v>25847.046999999999</v>
      </c>
      <c r="C25" s="42">
        <f t="shared" si="22"/>
        <v>0</v>
      </c>
      <c r="D25" s="27">
        <f t="shared" si="23"/>
        <v>0</v>
      </c>
      <c r="E25" s="1">
        <f t="shared" si="43"/>
        <v>4770.8860000000004</v>
      </c>
      <c r="F25" s="42">
        <f t="shared" si="24"/>
        <v>0</v>
      </c>
      <c r="G25" s="27">
        <f t="shared" si="25"/>
        <v>0</v>
      </c>
      <c r="H25" s="1">
        <f t="shared" si="44"/>
        <v>6951</v>
      </c>
      <c r="I25" s="42">
        <f t="shared" si="26"/>
        <v>0</v>
      </c>
      <c r="J25" s="27">
        <f t="shared" si="27"/>
        <v>0</v>
      </c>
      <c r="K25" s="7">
        <f t="shared" si="45"/>
        <v>14401.69</v>
      </c>
      <c r="L25" s="42">
        <f t="shared" si="28"/>
        <v>0</v>
      </c>
      <c r="M25" s="27">
        <f t="shared" si="29"/>
        <v>0</v>
      </c>
      <c r="N25" s="7">
        <f t="shared" si="46"/>
        <v>4169.9669999999996</v>
      </c>
      <c r="O25" s="42">
        <f t="shared" si="30"/>
        <v>0</v>
      </c>
      <c r="P25" s="27">
        <f t="shared" si="31"/>
        <v>0</v>
      </c>
      <c r="Q25" s="7">
        <f t="shared" si="47"/>
        <v>5679.09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si="48"/>
        <v>230980</v>
      </c>
      <c r="Y25" s="146">
        <f t="shared" si="36"/>
        <v>0</v>
      </c>
      <c r="Z25" s="141">
        <f t="shared" si="49"/>
        <v>10737</v>
      </c>
      <c r="AA25" s="146">
        <f t="shared" si="37"/>
        <v>0</v>
      </c>
      <c r="AB25" s="141">
        <f t="shared" si="38"/>
        <v>147</v>
      </c>
      <c r="AC25" s="146">
        <f t="shared" si="39"/>
        <v>0</v>
      </c>
      <c r="AD25" s="141">
        <f t="shared" si="50"/>
        <v>1035</v>
      </c>
      <c r="AE25" s="146">
        <f t="shared" si="40"/>
        <v>0</v>
      </c>
      <c r="AF25" s="141">
        <f t="shared" si="51"/>
        <v>10533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25847.046999999999</v>
      </c>
      <c r="C26" s="42">
        <f t="shared" si="22"/>
        <v>0</v>
      </c>
      <c r="D26" s="27">
        <f t="shared" si="23"/>
        <v>0</v>
      </c>
      <c r="E26" s="1">
        <f t="shared" si="43"/>
        <v>4770.8860000000004</v>
      </c>
      <c r="F26" s="42">
        <f t="shared" si="24"/>
        <v>0</v>
      </c>
      <c r="G26" s="27">
        <f t="shared" si="25"/>
        <v>0</v>
      </c>
      <c r="H26" s="1">
        <f t="shared" si="44"/>
        <v>6951</v>
      </c>
      <c r="I26" s="42">
        <f t="shared" si="26"/>
        <v>0</v>
      </c>
      <c r="J26" s="27">
        <f t="shared" si="27"/>
        <v>0</v>
      </c>
      <c r="K26" s="7">
        <f t="shared" si="45"/>
        <v>14401.69</v>
      </c>
      <c r="L26" s="42">
        <f t="shared" si="28"/>
        <v>0</v>
      </c>
      <c r="M26" s="27">
        <f t="shared" si="29"/>
        <v>0</v>
      </c>
      <c r="N26" s="7">
        <f t="shared" si="46"/>
        <v>4169.9669999999996</v>
      </c>
      <c r="O26" s="42">
        <f t="shared" si="30"/>
        <v>0</v>
      </c>
      <c r="P26" s="27">
        <f t="shared" si="31"/>
        <v>0</v>
      </c>
      <c r="Q26" s="7">
        <f t="shared" si="47"/>
        <v>5679.09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230980</v>
      </c>
      <c r="Y26" s="146">
        <f t="shared" si="36"/>
        <v>0</v>
      </c>
      <c r="Z26" s="141">
        <f t="shared" si="49"/>
        <v>10737</v>
      </c>
      <c r="AA26" s="146">
        <f t="shared" si="37"/>
        <v>0</v>
      </c>
      <c r="AB26" s="141">
        <f t="shared" si="38"/>
        <v>147</v>
      </c>
      <c r="AC26" s="146">
        <f t="shared" si="39"/>
        <v>0</v>
      </c>
      <c r="AD26" s="141">
        <f t="shared" si="50"/>
        <v>1035</v>
      </c>
      <c r="AE26" s="146">
        <f t="shared" si="40"/>
        <v>0</v>
      </c>
      <c r="AF26" s="141">
        <f t="shared" si="51"/>
        <v>10533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25847.046999999999</v>
      </c>
      <c r="C27" s="42">
        <f t="shared" si="22"/>
        <v>0</v>
      </c>
      <c r="D27" s="27">
        <f t="shared" si="23"/>
        <v>0</v>
      </c>
      <c r="E27" s="1">
        <f t="shared" si="43"/>
        <v>4770.8860000000004</v>
      </c>
      <c r="F27" s="42">
        <f t="shared" si="24"/>
        <v>0</v>
      </c>
      <c r="G27" s="27">
        <f t="shared" si="25"/>
        <v>0</v>
      </c>
      <c r="H27" s="1">
        <f t="shared" si="44"/>
        <v>6951</v>
      </c>
      <c r="I27" s="42">
        <f t="shared" si="26"/>
        <v>0</v>
      </c>
      <c r="J27" s="27">
        <f t="shared" si="27"/>
        <v>0</v>
      </c>
      <c r="K27" s="7">
        <f t="shared" si="45"/>
        <v>14401.69</v>
      </c>
      <c r="L27" s="42">
        <f t="shared" si="28"/>
        <v>0</v>
      </c>
      <c r="M27" s="27">
        <f t="shared" si="29"/>
        <v>0</v>
      </c>
      <c r="N27" s="7">
        <f t="shared" si="46"/>
        <v>4169.9669999999996</v>
      </c>
      <c r="O27" s="42">
        <f t="shared" si="30"/>
        <v>0</v>
      </c>
      <c r="P27" s="27">
        <f t="shared" si="31"/>
        <v>0</v>
      </c>
      <c r="Q27" s="7">
        <f t="shared" si="47"/>
        <v>5679.09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230980</v>
      </c>
      <c r="Y27" s="146">
        <f t="shared" si="36"/>
        <v>0</v>
      </c>
      <c r="Z27" s="141">
        <f t="shared" si="49"/>
        <v>10737</v>
      </c>
      <c r="AA27" s="146">
        <f t="shared" si="37"/>
        <v>0</v>
      </c>
      <c r="AB27" s="141">
        <f t="shared" si="38"/>
        <v>147</v>
      </c>
      <c r="AC27" s="146">
        <f t="shared" si="39"/>
        <v>0</v>
      </c>
      <c r="AD27" s="141">
        <f t="shared" si="50"/>
        <v>1035</v>
      </c>
      <c r="AE27" s="146">
        <f t="shared" si="40"/>
        <v>0</v>
      </c>
      <c r="AF27" s="141">
        <f t="shared" si="51"/>
        <v>10533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25847.046999999999</v>
      </c>
      <c r="C28" s="42">
        <f t="shared" si="22"/>
        <v>0</v>
      </c>
      <c r="D28" s="27">
        <f t="shared" si="23"/>
        <v>0</v>
      </c>
      <c r="E28" s="1">
        <f t="shared" si="43"/>
        <v>4770.8860000000004</v>
      </c>
      <c r="F28" s="42">
        <f t="shared" si="24"/>
        <v>0</v>
      </c>
      <c r="G28" s="27">
        <f t="shared" si="25"/>
        <v>0</v>
      </c>
      <c r="H28" s="1">
        <f t="shared" si="44"/>
        <v>6951</v>
      </c>
      <c r="I28" s="42">
        <f t="shared" si="26"/>
        <v>0</v>
      </c>
      <c r="J28" s="27">
        <f t="shared" si="27"/>
        <v>0</v>
      </c>
      <c r="K28" s="7">
        <f t="shared" si="45"/>
        <v>14401.69</v>
      </c>
      <c r="L28" s="42">
        <f t="shared" si="28"/>
        <v>0</v>
      </c>
      <c r="M28" s="27">
        <f t="shared" si="29"/>
        <v>0</v>
      </c>
      <c r="N28" s="7">
        <f t="shared" si="46"/>
        <v>4169.9669999999996</v>
      </c>
      <c r="O28" s="42">
        <f t="shared" si="30"/>
        <v>0</v>
      </c>
      <c r="P28" s="27">
        <f t="shared" si="31"/>
        <v>0</v>
      </c>
      <c r="Q28" s="7">
        <f t="shared" si="47"/>
        <v>5679.09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230980</v>
      </c>
      <c r="Y28" s="146">
        <f t="shared" si="36"/>
        <v>0</v>
      </c>
      <c r="Z28" s="141">
        <f t="shared" si="49"/>
        <v>10737</v>
      </c>
      <c r="AA28" s="146">
        <f t="shared" si="37"/>
        <v>0</v>
      </c>
      <c r="AB28" s="141">
        <f t="shared" si="38"/>
        <v>147</v>
      </c>
      <c r="AC28" s="146">
        <f t="shared" si="39"/>
        <v>0</v>
      </c>
      <c r="AD28" s="141">
        <f t="shared" si="50"/>
        <v>1035</v>
      </c>
      <c r="AE28" s="146">
        <f t="shared" si="40"/>
        <v>0</v>
      </c>
      <c r="AF28" s="141">
        <f t="shared" si="51"/>
        <v>10533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25847.046999999999</v>
      </c>
      <c r="C29" s="42">
        <f t="shared" si="22"/>
        <v>0</v>
      </c>
      <c r="D29" s="27">
        <f t="shared" si="23"/>
        <v>0</v>
      </c>
      <c r="E29" s="1">
        <f t="shared" si="43"/>
        <v>4770.8860000000004</v>
      </c>
      <c r="F29" s="42">
        <f t="shared" si="24"/>
        <v>0</v>
      </c>
      <c r="G29" s="27">
        <f t="shared" si="25"/>
        <v>0</v>
      </c>
      <c r="H29" s="1">
        <f t="shared" si="44"/>
        <v>6951</v>
      </c>
      <c r="I29" s="42">
        <f t="shared" si="26"/>
        <v>0</v>
      </c>
      <c r="J29" s="27">
        <f t="shared" si="27"/>
        <v>0</v>
      </c>
      <c r="K29" s="7">
        <f t="shared" si="45"/>
        <v>14401.69</v>
      </c>
      <c r="L29" s="42">
        <f t="shared" si="28"/>
        <v>0</v>
      </c>
      <c r="M29" s="27">
        <f t="shared" si="29"/>
        <v>0</v>
      </c>
      <c r="N29" s="7">
        <f t="shared" si="46"/>
        <v>4169.9669999999996</v>
      </c>
      <c r="O29" s="42">
        <f t="shared" si="30"/>
        <v>0</v>
      </c>
      <c r="P29" s="27">
        <f t="shared" si="31"/>
        <v>0</v>
      </c>
      <c r="Q29" s="7">
        <f t="shared" si="47"/>
        <v>5679.09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230980</v>
      </c>
      <c r="Y29" s="146">
        <f t="shared" si="36"/>
        <v>0</v>
      </c>
      <c r="Z29" s="141">
        <f t="shared" si="49"/>
        <v>10737</v>
      </c>
      <c r="AA29" s="146">
        <f t="shared" si="37"/>
        <v>0</v>
      </c>
      <c r="AB29" s="141">
        <f t="shared" si="38"/>
        <v>147</v>
      </c>
      <c r="AC29" s="146">
        <f t="shared" si="39"/>
        <v>0</v>
      </c>
      <c r="AD29" s="141">
        <f t="shared" si="50"/>
        <v>1035</v>
      </c>
      <c r="AE29" s="146">
        <f t="shared" si="40"/>
        <v>0</v>
      </c>
      <c r="AF29" s="141">
        <f t="shared" si="51"/>
        <v>10533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25847.046999999999</v>
      </c>
      <c r="C30" s="42">
        <f t="shared" si="22"/>
        <v>0</v>
      </c>
      <c r="D30" s="27">
        <f t="shared" si="23"/>
        <v>0</v>
      </c>
      <c r="E30" s="1">
        <f t="shared" si="43"/>
        <v>4770.8860000000004</v>
      </c>
      <c r="F30" s="42">
        <f t="shared" si="24"/>
        <v>0</v>
      </c>
      <c r="G30" s="27">
        <f t="shared" si="25"/>
        <v>0</v>
      </c>
      <c r="H30" s="1">
        <f t="shared" si="44"/>
        <v>6951</v>
      </c>
      <c r="I30" s="42">
        <f t="shared" si="26"/>
        <v>0</v>
      </c>
      <c r="J30" s="27">
        <f t="shared" si="27"/>
        <v>0</v>
      </c>
      <c r="K30" s="7">
        <f t="shared" si="45"/>
        <v>14401.69</v>
      </c>
      <c r="L30" s="42">
        <f t="shared" si="28"/>
        <v>0</v>
      </c>
      <c r="M30" s="27">
        <f t="shared" si="29"/>
        <v>0</v>
      </c>
      <c r="N30" s="7">
        <f t="shared" si="46"/>
        <v>4169.9669999999996</v>
      </c>
      <c r="O30" s="42">
        <f t="shared" si="30"/>
        <v>0</v>
      </c>
      <c r="P30" s="27">
        <f t="shared" si="31"/>
        <v>0</v>
      </c>
      <c r="Q30" s="7">
        <f t="shared" si="47"/>
        <v>5679.09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230980</v>
      </c>
      <c r="Y30" s="146">
        <f t="shared" si="36"/>
        <v>0</v>
      </c>
      <c r="Z30" s="141">
        <f t="shared" si="49"/>
        <v>10737</v>
      </c>
      <c r="AA30" s="146">
        <f t="shared" si="37"/>
        <v>0</v>
      </c>
      <c r="AB30" s="141">
        <f t="shared" si="38"/>
        <v>147</v>
      </c>
      <c r="AC30" s="146">
        <f t="shared" si="39"/>
        <v>0</v>
      </c>
      <c r="AD30" s="141">
        <f t="shared" si="50"/>
        <v>1035</v>
      </c>
      <c r="AE30" s="146">
        <f t="shared" si="40"/>
        <v>0</v>
      </c>
      <c r="AF30" s="141">
        <f t="shared" si="51"/>
        <v>10533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25847.046999999999</v>
      </c>
      <c r="C31" s="42">
        <f t="shared" si="22"/>
        <v>0</v>
      </c>
      <c r="D31" s="27">
        <f t="shared" si="23"/>
        <v>0</v>
      </c>
      <c r="E31" s="1">
        <f t="shared" si="43"/>
        <v>4770.8860000000004</v>
      </c>
      <c r="F31" s="42">
        <f t="shared" si="24"/>
        <v>0</v>
      </c>
      <c r="G31" s="27">
        <f t="shared" si="25"/>
        <v>0</v>
      </c>
      <c r="H31" s="1">
        <f t="shared" si="44"/>
        <v>6951</v>
      </c>
      <c r="I31" s="42">
        <f t="shared" si="26"/>
        <v>0</v>
      </c>
      <c r="J31" s="27">
        <f t="shared" si="27"/>
        <v>0</v>
      </c>
      <c r="K31" s="7">
        <f t="shared" si="45"/>
        <v>14401.69</v>
      </c>
      <c r="L31" s="42">
        <f t="shared" si="28"/>
        <v>0</v>
      </c>
      <c r="M31" s="27">
        <f t="shared" si="29"/>
        <v>0</v>
      </c>
      <c r="N31" s="7">
        <f t="shared" si="46"/>
        <v>4169.9669999999996</v>
      </c>
      <c r="O31" s="42">
        <f t="shared" si="30"/>
        <v>0</v>
      </c>
      <c r="P31" s="27">
        <f t="shared" si="31"/>
        <v>0</v>
      </c>
      <c r="Q31" s="7">
        <f t="shared" si="47"/>
        <v>5679.09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230980</v>
      </c>
      <c r="Y31" s="146">
        <f t="shared" si="36"/>
        <v>0</v>
      </c>
      <c r="Z31" s="141">
        <f t="shared" si="49"/>
        <v>10737</v>
      </c>
      <c r="AA31" s="146">
        <f t="shared" si="37"/>
        <v>0</v>
      </c>
      <c r="AB31" s="141">
        <f t="shared" si="38"/>
        <v>147</v>
      </c>
      <c r="AC31" s="146">
        <f t="shared" si="39"/>
        <v>0</v>
      </c>
      <c r="AD31" s="141">
        <f t="shared" si="50"/>
        <v>1035</v>
      </c>
      <c r="AE31" s="146">
        <f t="shared" si="40"/>
        <v>0</v>
      </c>
      <c r="AF31" s="141">
        <f t="shared" si="51"/>
        <v>10533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25847.046999999999</v>
      </c>
      <c r="C32" s="42">
        <f t="shared" si="22"/>
        <v>0</v>
      </c>
      <c r="D32" s="27">
        <f t="shared" si="23"/>
        <v>0</v>
      </c>
      <c r="E32" s="1">
        <f t="shared" si="43"/>
        <v>4770.8860000000004</v>
      </c>
      <c r="F32" s="42">
        <f t="shared" si="24"/>
        <v>0</v>
      </c>
      <c r="G32" s="27">
        <f t="shared" si="25"/>
        <v>0</v>
      </c>
      <c r="H32" s="1">
        <f t="shared" si="44"/>
        <v>6951</v>
      </c>
      <c r="I32" s="42">
        <f t="shared" si="26"/>
        <v>0</v>
      </c>
      <c r="J32" s="27">
        <f t="shared" si="27"/>
        <v>0</v>
      </c>
      <c r="K32" s="7">
        <f t="shared" si="45"/>
        <v>14401.69</v>
      </c>
      <c r="L32" s="42">
        <f t="shared" si="28"/>
        <v>0</v>
      </c>
      <c r="M32" s="27">
        <f t="shared" si="29"/>
        <v>0</v>
      </c>
      <c r="N32" s="7">
        <f t="shared" si="46"/>
        <v>4169.9669999999996</v>
      </c>
      <c r="O32" s="42">
        <f t="shared" si="30"/>
        <v>0</v>
      </c>
      <c r="P32" s="27">
        <f t="shared" si="31"/>
        <v>0</v>
      </c>
      <c r="Q32" s="7">
        <f t="shared" si="47"/>
        <v>5679.09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230980</v>
      </c>
      <c r="Y32" s="146">
        <f t="shared" si="36"/>
        <v>0</v>
      </c>
      <c r="Z32" s="141">
        <f t="shared" si="49"/>
        <v>10737</v>
      </c>
      <c r="AA32" s="146">
        <f t="shared" si="37"/>
        <v>0</v>
      </c>
      <c r="AB32" s="141">
        <f t="shared" si="38"/>
        <v>147</v>
      </c>
      <c r="AC32" s="146">
        <f t="shared" si="39"/>
        <v>0</v>
      </c>
      <c r="AD32" s="141">
        <f t="shared" si="50"/>
        <v>1035</v>
      </c>
      <c r="AE32" s="146">
        <f t="shared" si="40"/>
        <v>0</v>
      </c>
      <c r="AF32" s="141">
        <f t="shared" si="51"/>
        <v>10533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25847.046999999999</v>
      </c>
      <c r="C33" s="42">
        <f t="shared" si="22"/>
        <v>0</v>
      </c>
      <c r="D33" s="27">
        <f t="shared" si="23"/>
        <v>0</v>
      </c>
      <c r="E33" s="1">
        <f t="shared" si="43"/>
        <v>4770.8860000000004</v>
      </c>
      <c r="F33" s="42">
        <f t="shared" si="24"/>
        <v>0</v>
      </c>
      <c r="G33" s="27">
        <f t="shared" si="25"/>
        <v>0</v>
      </c>
      <c r="H33" s="1">
        <f t="shared" si="44"/>
        <v>6951</v>
      </c>
      <c r="I33" s="42">
        <f t="shared" si="26"/>
        <v>0</v>
      </c>
      <c r="J33" s="27">
        <f t="shared" si="27"/>
        <v>0</v>
      </c>
      <c r="K33" s="7">
        <f t="shared" si="45"/>
        <v>14401.69</v>
      </c>
      <c r="L33" s="42">
        <f t="shared" si="28"/>
        <v>0</v>
      </c>
      <c r="M33" s="27">
        <f t="shared" si="29"/>
        <v>0</v>
      </c>
      <c r="N33" s="7">
        <f t="shared" si="46"/>
        <v>4169.9669999999996</v>
      </c>
      <c r="O33" s="42">
        <f t="shared" si="30"/>
        <v>0</v>
      </c>
      <c r="P33" s="27">
        <f t="shared" si="31"/>
        <v>0</v>
      </c>
      <c r="Q33" s="7">
        <f t="shared" si="47"/>
        <v>5679.09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230980</v>
      </c>
      <c r="Y33" s="146">
        <f t="shared" si="36"/>
        <v>0</v>
      </c>
      <c r="Z33" s="141">
        <f t="shared" si="49"/>
        <v>10737</v>
      </c>
      <c r="AA33" s="146">
        <f t="shared" si="37"/>
        <v>0</v>
      </c>
      <c r="AB33" s="141">
        <f t="shared" si="38"/>
        <v>147</v>
      </c>
      <c r="AC33" s="146">
        <f t="shared" si="39"/>
        <v>0</v>
      </c>
      <c r="AD33" s="141">
        <f t="shared" si="50"/>
        <v>1035</v>
      </c>
      <c r="AE33" s="146">
        <f t="shared" si="40"/>
        <v>0</v>
      </c>
      <c r="AF33" s="141">
        <f t="shared" si="51"/>
        <v>10533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82.422999999998865</v>
      </c>
      <c r="D34" s="123">
        <f>SUM(D3:D33)</f>
        <v>156603.69999999783</v>
      </c>
      <c r="E34" s="123"/>
      <c r="F34" s="123">
        <f t="shared" ref="F34:U34" si="52">SUM(F3:F33)</f>
        <v>24.347000000000662</v>
      </c>
      <c r="G34" s="123">
        <f t="shared" si="52"/>
        <v>46259.300000001262</v>
      </c>
      <c r="H34" s="123"/>
      <c r="I34" s="123">
        <f t="shared" si="52"/>
        <v>95</v>
      </c>
      <c r="J34" s="123">
        <f t="shared" si="52"/>
        <v>180500</v>
      </c>
      <c r="K34" s="123"/>
      <c r="L34" s="123">
        <f t="shared" si="52"/>
        <v>23.590000000000146</v>
      </c>
      <c r="M34" s="123">
        <f t="shared" si="52"/>
        <v>44821.000000000276</v>
      </c>
      <c r="N34" s="123"/>
      <c r="O34" s="123">
        <f t="shared" si="52"/>
        <v>60.835000000000036</v>
      </c>
      <c r="P34" s="123">
        <f t="shared" si="52"/>
        <v>115586.50000000006</v>
      </c>
      <c r="Q34" s="123"/>
      <c r="R34" s="123">
        <f t="shared" si="52"/>
        <v>5.3800000000001091</v>
      </c>
      <c r="S34" s="123">
        <f t="shared" si="52"/>
        <v>10222.000000000207</v>
      </c>
      <c r="T34" s="123">
        <f t="shared" si="52"/>
        <v>291.57499999999982</v>
      </c>
      <c r="U34" s="123">
        <f t="shared" si="52"/>
        <v>553992.49999999965</v>
      </c>
      <c r="V34"/>
      <c r="W34" s="140">
        <v>45017</v>
      </c>
      <c r="X34" s="123"/>
      <c r="Y34" s="123"/>
      <c r="Z34" s="123"/>
      <c r="AA34" s="123">
        <f t="shared" ref="AA34:AG34" si="53">SUM(AA3:AA33)</f>
        <v>115</v>
      </c>
      <c r="AB34" s="123"/>
      <c r="AC34" s="123">
        <f t="shared" si="53"/>
        <v>0.5</v>
      </c>
      <c r="AD34" s="123"/>
      <c r="AE34" s="123">
        <f t="shared" si="53"/>
        <v>62</v>
      </c>
      <c r="AF34" s="123"/>
      <c r="AG34" s="123">
        <f t="shared" si="53"/>
        <v>86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showGridLines="0"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3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3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3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74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74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74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5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5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5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3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3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3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74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74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74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5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5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5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3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3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3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74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74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74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5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5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5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3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3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3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74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74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74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5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5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5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3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3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3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74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74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74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5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5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5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3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3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3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74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74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74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5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5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5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3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3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3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74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74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74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5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5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5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3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3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3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74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74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74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5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5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5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3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3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3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74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74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74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5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5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5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3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3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3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74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74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74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5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5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5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3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3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3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74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74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74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5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5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5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3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3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3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74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74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74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5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5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5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3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3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3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74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74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74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5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5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5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3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3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3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74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74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74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5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5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5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3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3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3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74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74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74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3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3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3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74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74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74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3">
        <v>23</v>
      </c>
      <c r="C49" s="58" t="s">
        <v>81</v>
      </c>
      <c r="D49" s="59"/>
      <c r="E49" s="59"/>
      <c r="F49" s="60">
        <f t="shared" si="6"/>
        <v>0</v>
      </c>
      <c r="G49" s="61"/>
      <c r="I49" s="173">
        <v>23</v>
      </c>
      <c r="J49" s="58" t="s">
        <v>81</v>
      </c>
      <c r="K49" s="59"/>
      <c r="L49" s="59"/>
      <c r="M49" s="60">
        <f t="shared" si="7"/>
        <v>0</v>
      </c>
      <c r="N49" s="61"/>
      <c r="P49" s="173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74"/>
      <c r="C50" s="58" t="s">
        <v>80</v>
      </c>
      <c r="D50" s="59"/>
      <c r="E50" s="59"/>
      <c r="F50" s="60">
        <f t="shared" si="6"/>
        <v>0</v>
      </c>
      <c r="G50" s="61"/>
      <c r="I50" s="174"/>
      <c r="J50" s="58" t="s">
        <v>80</v>
      </c>
      <c r="K50" s="59"/>
      <c r="L50" s="59"/>
      <c r="M50" s="60">
        <f t="shared" si="7"/>
        <v>0</v>
      </c>
      <c r="N50" s="61"/>
      <c r="P50" s="174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76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76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76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77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77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77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78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78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78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3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3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3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5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5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5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3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3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3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5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5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5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3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3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3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5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5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5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3">
        <v>28</v>
      </c>
      <c r="C62" s="168" t="s">
        <v>84</v>
      </c>
      <c r="D62" s="59"/>
      <c r="E62" s="59"/>
      <c r="F62" s="60">
        <f t="shared" si="6"/>
        <v>0</v>
      </c>
      <c r="G62" s="170" t="s">
        <v>85</v>
      </c>
      <c r="H62" s="154"/>
      <c r="I62" s="173">
        <v>28</v>
      </c>
      <c r="J62" s="168" t="s">
        <v>84</v>
      </c>
      <c r="K62" s="59"/>
      <c r="L62" s="59"/>
      <c r="M62" s="60">
        <f t="shared" si="7"/>
        <v>0</v>
      </c>
      <c r="N62" s="170" t="s">
        <v>85</v>
      </c>
      <c r="P62" s="173">
        <v>28</v>
      </c>
      <c r="Q62" s="168" t="s">
        <v>84</v>
      </c>
      <c r="R62" s="59"/>
      <c r="S62" s="59"/>
      <c r="T62" s="60">
        <f t="shared" si="5"/>
        <v>0</v>
      </c>
      <c r="U62" s="170" t="s">
        <v>85</v>
      </c>
    </row>
    <row r="63" spans="1:21" ht="15" x14ac:dyDescent="0.2">
      <c r="A63" s="152"/>
      <c r="B63" s="175"/>
      <c r="C63" s="169"/>
      <c r="D63" s="59"/>
      <c r="E63" s="59"/>
      <c r="F63" s="60">
        <f t="shared" si="6"/>
        <v>0</v>
      </c>
      <c r="G63" s="171"/>
      <c r="H63" s="154"/>
      <c r="I63" s="175"/>
      <c r="J63" s="169"/>
      <c r="K63" s="59"/>
      <c r="L63" s="59"/>
      <c r="M63" s="60">
        <f t="shared" si="7"/>
        <v>0</v>
      </c>
      <c r="N63" s="171"/>
      <c r="P63" s="175"/>
      <c r="Q63" s="169"/>
      <c r="R63" s="59"/>
      <c r="S63" s="59"/>
      <c r="T63" s="60">
        <f t="shared" si="5"/>
        <v>0</v>
      </c>
      <c r="U63" s="171"/>
    </row>
    <row r="64" spans="1:21" x14ac:dyDescent="0.2">
      <c r="A64" s="152"/>
      <c r="B64" s="172" t="s">
        <v>86</v>
      </c>
      <c r="C64" s="172"/>
      <c r="D64" s="172"/>
      <c r="E64" s="172"/>
      <c r="F64" s="72">
        <f>SUM(F2:F63)</f>
        <v>32315</v>
      </c>
      <c r="G64" s="73"/>
      <c r="H64" s="154"/>
      <c r="I64" s="172" t="s">
        <v>86</v>
      </c>
      <c r="J64" s="172"/>
      <c r="K64" s="172"/>
      <c r="L64" s="172"/>
      <c r="M64" s="72">
        <f>SUM(M2:M63)</f>
        <v>41869</v>
      </c>
      <c r="N64" s="73"/>
      <c r="P64" s="172" t="s">
        <v>86</v>
      </c>
      <c r="Q64" s="172"/>
      <c r="R64" s="172"/>
      <c r="S64" s="172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9">
        <v>44927</v>
      </c>
      <c r="B69" s="180"/>
      <c r="C69" s="180"/>
      <c r="D69" s="181"/>
      <c r="E69" s="157"/>
      <c r="F69" s="179">
        <v>44958</v>
      </c>
      <c r="G69" s="180"/>
      <c r="H69" s="180"/>
      <c r="I69" s="181"/>
      <c r="J69" s="157"/>
      <c r="K69" s="182" t="s">
        <v>25</v>
      </c>
      <c r="L69" s="183"/>
      <c r="M69" s="183"/>
      <c r="N69" s="184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M15" sqref="M15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148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1"/>
      <c r="B2" s="82" t="s">
        <v>90</v>
      </c>
      <c r="C2" s="83">
        <f>K8+K9+K14</f>
        <v>247960</v>
      </c>
      <c r="D2" s="83">
        <f>C2*1.27</f>
        <v>314909.2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36145640</v>
      </c>
      <c r="K3" s="149">
        <f>J3-I3</f>
        <v>157429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14011796</v>
      </c>
      <c r="K4" s="149">
        <f>J4-I4</f>
        <v>915044</v>
      </c>
    </row>
    <row r="5" spans="1:13" ht="13.5" thickBot="1" x14ac:dyDescent="0.25">
      <c r="A5" s="81"/>
      <c r="B5" s="87" t="s">
        <v>27</v>
      </c>
      <c r="C5" s="91">
        <f>(K10+K12)*0.842284+K26</f>
        <v>534022.15763600008</v>
      </c>
      <c r="D5" s="91">
        <f t="shared" ref="D5:D11" si="0">C5*1.27</f>
        <v>678208.14019772015</v>
      </c>
      <c r="E5" s="92"/>
      <c r="F5" s="81"/>
      <c r="G5" s="81"/>
      <c r="H5" s="87" t="s">
        <v>23</v>
      </c>
      <c r="I5" s="93"/>
      <c r="J5" s="93"/>
      <c r="K5" s="113">
        <f>K3+K4</f>
        <v>1072473</v>
      </c>
    </row>
    <row r="6" spans="1:13" ht="13.5" thickBot="1" x14ac:dyDescent="0.25">
      <c r="A6" s="81"/>
      <c r="B6" s="87" t="s">
        <v>97</v>
      </c>
      <c r="C6" s="91">
        <f>(K10+K12+K26)*0.1488</f>
        <v>94092.043199999986</v>
      </c>
      <c r="D6" s="91">
        <f t="shared" si="0"/>
        <v>119496.89486399999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1520130</v>
      </c>
      <c r="K6" s="149">
        <f>J6-I6</f>
        <v>88632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151996</v>
      </c>
      <c r="D7" s="91">
        <f t="shared" si="0"/>
        <v>193034.92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1876731</v>
      </c>
      <c r="K7" s="149">
        <f>J7-I7</f>
        <v>112502</v>
      </c>
    </row>
    <row r="8" spans="1:13" ht="13.5" thickBot="1" x14ac:dyDescent="0.25">
      <c r="A8" s="81"/>
      <c r="B8" s="87" t="s">
        <v>101</v>
      </c>
      <c r="C8" s="91">
        <f>K21+K22+K23+K24</f>
        <v>21433</v>
      </c>
      <c r="D8" s="91">
        <f t="shared" si="0"/>
        <v>27219.91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8250094</v>
      </c>
      <c r="K8" s="78">
        <f>(J8-I8)*2</f>
        <v>41760</v>
      </c>
    </row>
    <row r="9" spans="1:13" ht="13.5" thickBot="1" x14ac:dyDescent="0.25">
      <c r="A9" s="81"/>
      <c r="B9" s="87" t="s">
        <v>135</v>
      </c>
      <c r="C9" s="91">
        <f>K25+K16+K17</f>
        <v>6313</v>
      </c>
      <c r="D9" s="91">
        <f t="shared" si="0"/>
        <v>8017.51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9496296</v>
      </c>
      <c r="K9" s="78">
        <f>J9-I9</f>
        <v>184644</v>
      </c>
    </row>
    <row r="10" spans="1:13" ht="13.5" thickBot="1" x14ac:dyDescent="0.25">
      <c r="A10" s="81"/>
      <c r="B10" s="87" t="s">
        <v>104</v>
      </c>
      <c r="C10" s="91">
        <f>K18</f>
        <v>10080</v>
      </c>
      <c r="D10" s="91">
        <f t="shared" si="0"/>
        <v>12801.6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24377913</v>
      </c>
      <c r="K10" s="78">
        <f>J10-I10</f>
        <v>213219</v>
      </c>
    </row>
    <row r="11" spans="1:13" ht="13.5" thickBot="1" x14ac:dyDescent="0.25">
      <c r="A11" s="81"/>
      <c r="B11" s="87" t="s">
        <v>106</v>
      </c>
      <c r="C11" s="91">
        <f>K19+K20</f>
        <v>2352</v>
      </c>
      <c r="D11" s="91">
        <f t="shared" si="0"/>
        <v>2987.04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2385973</v>
      </c>
      <c r="K12" s="78">
        <f>(J12-I12)*2</f>
        <v>410160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1050917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21556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4223</v>
      </c>
      <c r="K16" s="80">
        <f>(J16-I16)*160</f>
        <v>4160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27064</v>
      </c>
      <c r="K18" s="80">
        <f>(J18-I18)*160</f>
        <v>10080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6" t="s">
        <v>114</v>
      </c>
      <c r="F19" s="187"/>
      <c r="G19" s="81"/>
      <c r="H19" s="102" t="s">
        <v>115</v>
      </c>
      <c r="I19" s="103">
        <f>'Mall, Citadel, Rotana'!P2</f>
        <v>191923</v>
      </c>
      <c r="J19" s="103">
        <f>'Mall, Citadel, Rotana'!P30</f>
        <v>194275</v>
      </c>
      <c r="K19" s="80">
        <f>J19-I19</f>
        <v>2352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48404</v>
      </c>
      <c r="K21" s="80">
        <f>(J21-I21)*120</f>
        <v>10680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41508</v>
      </c>
      <c r="K22" s="80">
        <f>(J22-I22)*160</f>
        <v>9120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22718</v>
      </c>
      <c r="K23" s="80">
        <f>(J23-I23)*20</f>
        <v>1340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262355</v>
      </c>
      <c r="K24" s="80">
        <f>J24-I24</f>
        <v>293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235643</v>
      </c>
      <c r="K25" s="80">
        <f>J25-I25</f>
        <v>2153</v>
      </c>
    </row>
    <row r="26" spans="1:11" ht="13.5" thickBot="1" x14ac:dyDescent="0.25">
      <c r="A26" s="81"/>
      <c r="B26" s="87" t="s">
        <v>42</v>
      </c>
      <c r="C26" s="105">
        <f>K35</f>
        <v>-18781662</v>
      </c>
      <c r="D26" s="91">
        <f>C26*3.65</f>
        <v>-68553066.299999997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20644</v>
      </c>
      <c r="K26" s="80">
        <f>(J26-I26)*160</f>
        <v>8960</v>
      </c>
    </row>
    <row r="27" spans="1:11" ht="13.5" thickBot="1" x14ac:dyDescent="0.25">
      <c r="A27" s="81"/>
      <c r="B27" s="82" t="s">
        <v>122</v>
      </c>
      <c r="C27" s="105">
        <f>C26</f>
        <v>-18781662</v>
      </c>
      <c r="D27" s="91">
        <f>C27*3.65</f>
        <v>-68553066.299999997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0</v>
      </c>
      <c r="K35" s="111">
        <f>J35-I35</f>
        <v>-18781662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Gas</vt:lpstr>
      <vt:lpstr>Water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2023-03-21T00:35:39Z</dcterms:modified>
</cp:coreProperties>
</file>