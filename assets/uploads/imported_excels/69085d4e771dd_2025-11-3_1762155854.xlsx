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AAE4A77-F0F6-4CB7-A5B0-2678D3153123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1" i="2" l="1"/>
  <c r="Y31" i="2"/>
  <c r="W31" i="2"/>
  <c r="U31" i="2"/>
  <c r="N31" i="2"/>
  <c r="J31" i="2"/>
  <c r="H31" i="2"/>
  <c r="I31" i="2" s="1"/>
  <c r="G31" i="2"/>
  <c r="E31" i="2"/>
  <c r="C31" i="2"/>
  <c r="N32" i="2"/>
  <c r="Y30" i="2"/>
  <c r="P32" i="3" l="1"/>
  <c r="O32" i="3"/>
  <c r="M32" i="3"/>
  <c r="K32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2" i="3"/>
  <c r="I31" i="3"/>
  <c r="W30" i="2"/>
  <c r="W29" i="2"/>
  <c r="N30" i="2"/>
  <c r="C30" i="2"/>
  <c r="S31" i="2"/>
  <c r="K31" i="2"/>
  <c r="F31" i="3" l="1"/>
  <c r="E31" i="3"/>
  <c r="F32" i="3"/>
  <c r="E32" i="3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U21" i="2" s="1"/>
  <c r="S20" i="2"/>
  <c r="S19" i="2"/>
  <c r="U19" i="2" s="1"/>
  <c r="S18" i="2"/>
  <c r="U18" i="2" s="1"/>
  <c r="S17" i="2"/>
  <c r="U17" i="2" s="1"/>
  <c r="S16" i="2"/>
  <c r="S15" i="2"/>
  <c r="U15" i="2" s="1"/>
  <c r="S14" i="2"/>
  <c r="U14" i="2" s="1"/>
  <c r="S13" i="2"/>
  <c r="S12" i="2"/>
  <c r="U9" i="2"/>
  <c r="U8" i="2"/>
  <c r="U7" i="2"/>
  <c r="U5" i="2"/>
  <c r="S3" i="2"/>
  <c r="S2" i="2"/>
  <c r="U16" i="2" l="1"/>
  <c r="U24" i="2"/>
  <c r="G32" i="3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K31" i="3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3" i="2" s="1"/>
  <c r="H18" i="2"/>
  <c r="I18" i="2" s="1"/>
  <c r="J17" i="2" s="1"/>
  <c r="E33" i="2"/>
  <c r="H4" i="2"/>
  <c r="I4" i="2" s="1"/>
  <c r="I8" i="2"/>
  <c r="I12" i="2"/>
  <c r="C33" i="2"/>
  <c r="J24" i="2" l="1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<sst xmlns="http://schemas.openxmlformats.org/spreadsheetml/2006/main" count="77" uniqueCount="40">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</sst>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7" workbookViewId="0">
      <selection activeCell="I31" sqref="I31:I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IF('November 2025'!C4&lt;0,"0",'November 2025'!C4)+(IF('November 2025'!E4&lt;0,"0",'November 2025'!E4)-(IF('November 2025'!G4&lt;0,"0",'November 2025'!G4)))</f>
        <v>0</v>
      </c>
      <c r="F4" s="110" t="e">
        <f>('November 2025'!C4*0.27)/('November 2025'!C4+'November 2025'!E4)</f>
        <v>#DIV/0!</v>
      </c>
      <c r="G4" s="97" t="str">
        <f>'November 2025'!U4</f>
        <v>0</v>
      </c>
      <c r="H4" s="113">
        <v>0.62</v>
      </c>
      <c r="I4" s="98" t="str">
        <f>'November 2025'!W4</f>
        <v>0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132</v>
      </c>
      <c r="P4" s="100">
        <f>'November 2025'!AD4</f>
        <v>254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IF('November 2025'!C5&lt;0,"0",'November 2025'!C5)+(IF('November 2025'!E5&lt;0,"0",'November 2025'!E5)-(IF('November 2025'!G5&lt;0,"0",'November 2025'!G5)))</f>
        <v>0</v>
      </c>
      <c r="F5" s="110" t="e">
        <f>('November 2025'!C5*0.27)/('November 2025'!C5+'November 2025'!E5)</f>
        <v>#DIV/0!</v>
      </c>
      <c r="G5" s="97" t="str">
        <f>'November 2025'!U5</f>
        <v>0</v>
      </c>
      <c r="H5" s="113">
        <v>0.62</v>
      </c>
      <c r="I5" s="98">
        <f>'November 2025'!W5</f>
        <v>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0</v>
      </c>
      <c r="P5" s="100">
        <f>'November 2025'!AD5</f>
        <v>0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IF('November 2025'!C6&lt;0,"0",'November 2025'!C6)+(IF('November 2025'!E6&lt;0,"0",'November 2025'!E6)-(IF('November 2025'!G6&lt;0,"0",'November 2025'!G6)))</f>
        <v>0</v>
      </c>
      <c r="F6" s="110" t="e">
        <f>('November 2025'!C6*0.27)/('November 2025'!C6+'November 2025'!E6)</f>
        <v>#DIV/0!</v>
      </c>
      <c r="G6" s="97" t="str">
        <f>'November 2025'!U6</f>
        <v>0</v>
      </c>
      <c r="H6" s="113">
        <v>0.62</v>
      </c>
      <c r="I6" s="98">
        <f>'November 2025'!W6</f>
        <v>0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0</v>
      </c>
      <c r="P6" s="100">
        <f>'November 2025'!AD6</f>
        <v>0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IF('November 2025'!C7&lt;0,"0",'November 2025'!C7)+(IF('November 2025'!E7&lt;0,"0",'November 2025'!E7)-(IF('November 2025'!G7&lt;0,"0",'November 2025'!G7)))</f>
        <v>0</v>
      </c>
      <c r="F7" s="110" t="e">
        <f>('November 2025'!C7*0.27)/('November 2025'!C7+'November 2025'!E7)</f>
        <v>#DIV/0!</v>
      </c>
      <c r="G7" s="97" t="str">
        <f>'November 2025'!U7</f>
        <v>0</v>
      </c>
      <c r="H7" s="113">
        <v>0.62</v>
      </c>
      <c r="I7" s="98">
        <f>'November 2025'!W7</f>
        <v>0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0</v>
      </c>
      <c r="P7" s="100">
        <f>'November 2025'!AD7</f>
        <v>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IF('November 2025'!C8&lt;0,"0",'November 2025'!C8)+(IF('November 2025'!E8&lt;0,"0",'November 2025'!E8)-(IF('November 2025'!G8&lt;0,"0",'November 2025'!G8)))</f>
        <v>0</v>
      </c>
      <c r="F8" s="110" t="e">
        <f>('November 2025'!C8*0.27)/('November 2025'!C8+'November 2025'!E8)</f>
        <v>#DIV/0!</v>
      </c>
      <c r="G8" s="97" t="str">
        <f>'November 2025'!U8</f>
        <v>0</v>
      </c>
      <c r="H8" s="113">
        <v>0.62</v>
      </c>
      <c r="I8" s="98">
        <f>'November 2025'!W8</f>
        <v>0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0</v>
      </c>
      <c r="P8" s="100">
        <f>'November 2025'!AD8</f>
        <v>0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IF('November 2025'!C9&lt;0,"0",'November 2025'!C9)+(IF('November 2025'!E9&lt;0,"0",'November 2025'!E9)-(IF('November 2025'!G9&lt;0,"0",'November 2025'!G9)))</f>
        <v>0</v>
      </c>
      <c r="F9" s="110" t="e">
        <f>('November 2025'!C9*0.27)/('November 2025'!C9+'November 2025'!E9)</f>
        <v>#DIV/0!</v>
      </c>
      <c r="G9" s="97" t="str">
        <f>'November 2025'!U9</f>
        <v>0</v>
      </c>
      <c r="H9" s="113">
        <v>0.62</v>
      </c>
      <c r="I9" s="98">
        <f>'November 2025'!W9</f>
        <v>0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0</v>
      </c>
      <c r="P9" s="100">
        <f>'November 2025'!AD9</f>
        <v>0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0</v>
      </c>
      <c r="F10" s="110" t="e">
        <f>('November 2025'!C10*0.27)/('November 2025'!C10+'November 2025'!E10)</f>
        <v>#DIV/0!</v>
      </c>
      <c r="G10" s="97" t="str">
        <f>'November 2025'!U10</f>
        <v>0</v>
      </c>
      <c r="H10" s="113">
        <v>0.62</v>
      </c>
      <c r="I10" s="98">
        <f>'November 2025'!W10</f>
        <v>0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0</v>
      </c>
      <c r="P10" s="100">
        <f>'November 2025'!AD10</f>
        <v>0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0</v>
      </c>
      <c r="F11" s="110" t="e">
        <f>('November 2025'!C11*0.27)/('November 2025'!C11+'November 2025'!E11)</f>
        <v>#DIV/0!</v>
      </c>
      <c r="G11" s="97" t="str">
        <f>'November 2025'!U11</f>
        <v>0</v>
      </c>
      <c r="H11" s="113">
        <v>0.62</v>
      </c>
      <c r="I11" s="98">
        <f>'November 2025'!W11</f>
        <v>0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0</v>
      </c>
      <c r="N11" s="119">
        <v>0.88</v>
      </c>
      <c r="O11" s="100">
        <f>'November 2025'!AC11</f>
        <v>0</v>
      </c>
      <c r="P11" s="100">
        <f>'November 2025'!AD11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0</v>
      </c>
      <c r="F12" s="110" t="e">
        <f>('November 2025'!C12*0.27)/('November 2025'!C12+'November 2025'!E12)</f>
        <v>#DIV/0!</v>
      </c>
      <c r="G12" s="97" t="str">
        <f>'November 2025'!U12</f>
        <v>0</v>
      </c>
      <c r="H12" s="113">
        <v>0.62</v>
      </c>
      <c r="I12" s="98">
        <f>'November 2025'!W12</f>
        <v>0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0</v>
      </c>
      <c r="P12" s="100">
        <f>'November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0</v>
      </c>
      <c r="F13" s="110" t="e">
        <f>('November 2025'!C13*0.27)/('November 2025'!C13+'November 2025'!E13)</f>
        <v>#DIV/0!</v>
      </c>
      <c r="G13" s="97" t="str">
        <f>'November 2025'!U13</f>
        <v>0</v>
      </c>
      <c r="H13" s="113">
        <v>0.62</v>
      </c>
      <c r="I13" s="98">
        <f>'November 2025'!W13</f>
        <v>0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0</v>
      </c>
      <c r="P13" s="100">
        <f>'November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0</v>
      </c>
      <c r="F14" s="110" t="e">
        <f>('November 2025'!C14*0.27)/('November 2025'!C14+'November 2025'!E14)</f>
        <v>#DIV/0!</v>
      </c>
      <c r="G14" s="97" t="str">
        <f>'November 2025'!U14</f>
        <v>0</v>
      </c>
      <c r="H14" s="113">
        <v>0.62</v>
      </c>
      <c r="I14" s="98">
        <f>'November 2025'!W14</f>
        <v>0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0</v>
      </c>
      <c r="P14" s="100">
        <f>'November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0</v>
      </c>
      <c r="F15" s="110" t="e">
        <f>('November 2025'!C15*0.27)/('November 2025'!C15+'November 2025'!E15)</f>
        <v>#DIV/0!</v>
      </c>
      <c r="G15" s="97" t="str">
        <f>'November 2025'!U15</f>
        <v>0</v>
      </c>
      <c r="H15" s="113">
        <v>0.62</v>
      </c>
      <c r="I15" s="98">
        <f>'November 2025'!W15</f>
        <v>0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0</v>
      </c>
      <c r="P15" s="100">
        <f>'November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0</v>
      </c>
      <c r="F16" s="110" t="e">
        <f>('November 2025'!C16*0.27)/('November 2025'!C16+'November 2025'!E16)</f>
        <v>#DIV/0!</v>
      </c>
      <c r="G16" s="97" t="str">
        <f>'November 2025'!U16</f>
        <v>0</v>
      </c>
      <c r="H16" s="113">
        <v>0.62</v>
      </c>
      <c r="I16" s="98">
        <f>'November 2025'!W16</f>
        <v>0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0</v>
      </c>
      <c r="P16" s="100">
        <f>'November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0</v>
      </c>
      <c r="F17" s="110" t="e">
        <f>('November 2025'!C17*0.27)/('November 2025'!C17+'November 2025'!E17)</f>
        <v>#DIV/0!</v>
      </c>
      <c r="G17" s="97" t="str">
        <f>'November 2025'!U17</f>
        <v>0</v>
      </c>
      <c r="H17" s="113">
        <v>0.62</v>
      </c>
      <c r="I17" s="98">
        <f>'November 2025'!W17</f>
        <v>0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0</v>
      </c>
      <c r="P17" s="100">
        <f>'November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0</v>
      </c>
      <c r="F18" s="110" t="e">
        <f>('November 2025'!C18*0.27)/('November 2025'!C18+'November 2025'!E18)</f>
        <v>#DIV/0!</v>
      </c>
      <c r="G18" s="97" t="str">
        <f>'November 2025'!U18</f>
        <v>0</v>
      </c>
      <c r="H18" s="113">
        <v>0.62</v>
      </c>
      <c r="I18" s="98">
        <f>'November 2025'!W18</f>
        <v>0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0</v>
      </c>
      <c r="P18" s="100">
        <f>'November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0</v>
      </c>
      <c r="F19" s="110" t="e">
        <f>('November 2025'!C19*0.27)/('November 2025'!C19+'November 2025'!E19)</f>
        <v>#DIV/0!</v>
      </c>
      <c r="G19" s="97" t="str">
        <f>'November 2025'!U19</f>
        <v>0</v>
      </c>
      <c r="H19" s="113">
        <v>0.62</v>
      </c>
      <c r="I19" s="98">
        <f>'November 2025'!W19</f>
        <v>0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0</v>
      </c>
      <c r="P19" s="100">
        <f>'November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0</v>
      </c>
      <c r="F20" s="110" t="e">
        <f>('November 2025'!C20*0.27)/('November 2025'!C20+'November 2025'!E20)</f>
        <v>#DIV/0!</v>
      </c>
      <c r="G20" s="97" t="str">
        <f>'November 2025'!U20</f>
        <v>0</v>
      </c>
      <c r="H20" s="113">
        <v>0.62</v>
      </c>
      <c r="I20" s="98">
        <f>'November 2025'!W20</f>
        <v>0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0</v>
      </c>
      <c r="P20" s="100">
        <f>'November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0</v>
      </c>
      <c r="F21" s="110" t="e">
        <f>('November 2025'!C21*0.27)/('November 2025'!C21+'November 2025'!E21)</f>
        <v>#DIV/0!</v>
      </c>
      <c r="G21" s="97" t="str">
        <f>'November 2025'!U21</f>
        <v>0</v>
      </c>
      <c r="H21" s="113">
        <v>0.62</v>
      </c>
      <c r="I21" s="98">
        <f>'November 2025'!W21</f>
        <v>0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0</v>
      </c>
      <c r="P21" s="100">
        <f>'November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0</v>
      </c>
      <c r="P22" s="100">
        <f>'November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 t="e">
        <f>'November 2025'!#REF!*5.04</f>
        <v>#REF!</v>
      </c>
      <c r="L31" s="116">
        <v>0.11509999999999999</v>
      </c>
      <c r="M31" s="107" t="e">
        <f>'November 2025'!#REF!</f>
        <v>#REF!</v>
      </c>
      <c r="N31" s="119">
        <v>0.88</v>
      </c>
      <c r="O31" s="100" t="e">
        <f>'November 2025'!#REF!</f>
        <v>#REF!</v>
      </c>
      <c r="P31" s="100" t="e">
        <f>'November 2025'!#REF!</f>
        <v>#REF!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 t="e">
        <f>IF('November 2025'!#REF!&lt;0,"0",'November 2025'!#REF!)+(IF('November 2025'!#REF!&lt;0,"0",'November 2025'!#REF!)-(IF('November 2025'!#REF!&lt;0,"0",'November 2025'!#REF!)))</f>
        <v>#REF!</v>
      </c>
      <c r="F32" s="110" t="e">
        <f>('November 2025'!#REF!*0.27)/('November 2025'!#REF!+'November 2025'!#REF!)</f>
        <v>#REF!</v>
      </c>
      <c r="G32" s="97" t="e">
        <f>'November 2025'!#REF!</f>
        <v>#REF!</v>
      </c>
      <c r="H32" s="113">
        <v>0.62</v>
      </c>
      <c r="I32" s="98" t="e">
        <f>'November 2025'!#REF!</f>
        <v>#REF!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174</v>
      </c>
      <c r="P32" s="100">
        <f>'November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115" zoomScaleNormal="115" workbookViewId="0">
      <selection activeCell="J31" sqref="J31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1" si="5">C3+E3-G3</f>
        <v>5917</v>
      </c>
      <c r="I3" s="73">
        <f t="shared" ref="I3:I31" si="6">H3-K3-M3-O3-Q3</f>
        <v>-40047.130000000005</v>
      </c>
      <c r="J3" s="32">
        <f t="shared" si="0"/>
        <v>-5917.9099999999962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 t="str">
        <f t="shared" si="2"/>
        <v>0</v>
      </c>
      <c r="D4" s="11">
        <v>976742</v>
      </c>
      <c r="E4" s="14" t="str">
        <f t="shared" si="3"/>
        <v>0</v>
      </c>
      <c r="F4" s="27">
        <v>1704</v>
      </c>
      <c r="G4" s="67">
        <f t="shared" si="4"/>
        <v>0</v>
      </c>
      <c r="H4" s="69">
        <f t="shared" si="5"/>
        <v>0</v>
      </c>
      <c r="I4" s="73">
        <f t="shared" si="6"/>
        <v>-45965.04</v>
      </c>
      <c r="J4" s="32">
        <f t="shared" si="0"/>
        <v>4.0000000000873115E-2</v>
      </c>
      <c r="K4" s="20">
        <f t="shared" si="7"/>
        <v>45964</v>
      </c>
      <c r="L4" s="33">
        <v>2948</v>
      </c>
      <c r="M4" s="31">
        <v>0</v>
      </c>
      <c r="N4" s="32" t="str">
        <f t="shared" si="8"/>
        <v>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/>
      <c r="U4" s="32" t="str">
        <f t="shared" si="10"/>
        <v>0</v>
      </c>
      <c r="V4" s="41">
        <v>35431</v>
      </c>
      <c r="W4" s="32" t="str">
        <f t="shared" si="1"/>
        <v>0</v>
      </c>
      <c r="X4" s="43">
        <v>61265</v>
      </c>
      <c r="Y4" s="14" t="str">
        <f t="shared" si="11"/>
        <v>0</v>
      </c>
      <c r="Z4" s="46">
        <v>2405</v>
      </c>
      <c r="AA4" s="52"/>
      <c r="AB4" s="32" t="str">
        <f t="shared" si="12"/>
        <v>0</v>
      </c>
      <c r="AC4" s="13">
        <v>132</v>
      </c>
      <c r="AD4" s="18">
        <v>254</v>
      </c>
    </row>
    <row r="5" spans="1:30" ht="20.65" customHeight="1" x14ac:dyDescent="0.2">
      <c r="A5" s="19">
        <v>45965</v>
      </c>
      <c r="B5" s="10"/>
      <c r="C5" s="14">
        <f t="shared" si="2"/>
        <v>0</v>
      </c>
      <c r="D5" s="11"/>
      <c r="E5" s="14">
        <f t="shared" si="3"/>
        <v>0</v>
      </c>
      <c r="F5" s="27">
        <v>1704</v>
      </c>
      <c r="G5" s="67">
        <f t="shared" si="4"/>
        <v>0</v>
      </c>
      <c r="H5" s="69">
        <f t="shared" si="5"/>
        <v>0</v>
      </c>
      <c r="I5" s="73">
        <f t="shared" si="6"/>
        <v>-45965</v>
      </c>
      <c r="J5" s="32">
        <f t="shared" si="0"/>
        <v>-1</v>
      </c>
      <c r="K5" s="20">
        <f t="shared" si="7"/>
        <v>45965</v>
      </c>
      <c r="L5" s="33"/>
      <c r="M5" s="31">
        <v>0</v>
      </c>
      <c r="N5" s="32" t="str">
        <f t="shared" si="8"/>
        <v>0</v>
      </c>
      <c r="O5" s="85"/>
      <c r="P5" s="86"/>
      <c r="Q5" s="85"/>
      <c r="R5" s="86"/>
      <c r="S5" s="38">
        <f t="shared" si="9"/>
        <v>0</v>
      </c>
      <c r="T5" s="123"/>
      <c r="U5" s="32" t="str">
        <f t="shared" si="10"/>
        <v>0</v>
      </c>
      <c r="V5" s="41"/>
      <c r="W5" s="32">
        <f t="shared" si="1"/>
        <v>0</v>
      </c>
      <c r="X5" s="43"/>
      <c r="Y5" s="14">
        <f t="shared" si="11"/>
        <v>0</v>
      </c>
      <c r="Z5" s="46"/>
      <c r="AA5" s="52"/>
      <c r="AB5" s="32" t="str">
        <f t="shared" si="12"/>
        <v>0</v>
      </c>
      <c r="AC5" s="13"/>
      <c r="AD5" s="18"/>
    </row>
    <row r="6" spans="1:30" ht="20.65" customHeight="1" x14ac:dyDescent="0.2">
      <c r="A6" s="19">
        <v>45966</v>
      </c>
      <c r="B6" s="10"/>
      <c r="C6" s="14">
        <f t="shared" si="2"/>
        <v>0</v>
      </c>
      <c r="D6" s="11"/>
      <c r="E6" s="14">
        <f t="shared" si="3"/>
        <v>0</v>
      </c>
      <c r="F6" s="27">
        <v>1704</v>
      </c>
      <c r="G6" s="67">
        <f t="shared" si="4"/>
        <v>0</v>
      </c>
      <c r="H6" s="69">
        <f t="shared" si="5"/>
        <v>0</v>
      </c>
      <c r="I6" s="73">
        <f t="shared" si="6"/>
        <v>-45966</v>
      </c>
      <c r="J6" s="32">
        <f t="shared" si="0"/>
        <v>-1</v>
      </c>
      <c r="K6" s="20">
        <f t="shared" si="7"/>
        <v>45966</v>
      </c>
      <c r="L6" s="33"/>
      <c r="M6" s="31">
        <v>0</v>
      </c>
      <c r="N6" s="32" t="str">
        <f t="shared" si="8"/>
        <v>0</v>
      </c>
      <c r="O6" s="85"/>
      <c r="P6" s="86"/>
      <c r="Q6" s="85"/>
      <c r="R6" s="86"/>
      <c r="S6" s="38">
        <f t="shared" si="9"/>
        <v>0</v>
      </c>
      <c r="T6" s="123"/>
      <c r="U6" s="32" t="str">
        <f t="shared" si="10"/>
        <v>0</v>
      </c>
      <c r="V6" s="41"/>
      <c r="W6" s="32">
        <f t="shared" si="1"/>
        <v>0</v>
      </c>
      <c r="X6" s="43"/>
      <c r="Y6" s="14">
        <f t="shared" si="11"/>
        <v>0</v>
      </c>
      <c r="Z6" s="46"/>
      <c r="AA6" s="52"/>
      <c r="AB6" s="32" t="str">
        <f t="shared" si="12"/>
        <v>0</v>
      </c>
      <c r="AC6" s="13"/>
      <c r="AD6" s="18"/>
    </row>
    <row r="7" spans="1:30" ht="20.65" customHeight="1" x14ac:dyDescent="0.2">
      <c r="A7" s="19">
        <v>45967</v>
      </c>
      <c r="B7" s="10"/>
      <c r="C7" s="14">
        <f t="shared" si="2"/>
        <v>0</v>
      </c>
      <c r="D7" s="11"/>
      <c r="E7" s="14">
        <f t="shared" si="3"/>
        <v>0</v>
      </c>
      <c r="F7" s="27">
        <v>1704</v>
      </c>
      <c r="G7" s="67">
        <f t="shared" si="4"/>
        <v>0</v>
      </c>
      <c r="H7" s="69">
        <f t="shared" si="5"/>
        <v>0</v>
      </c>
      <c r="I7" s="73">
        <f t="shared" si="6"/>
        <v>-45967</v>
      </c>
      <c r="J7" s="32">
        <f t="shared" si="0"/>
        <v>-1</v>
      </c>
      <c r="K7" s="20">
        <f t="shared" si="7"/>
        <v>45967</v>
      </c>
      <c r="L7" s="33"/>
      <c r="M7" s="31">
        <v>0</v>
      </c>
      <c r="N7" s="32" t="str">
        <f t="shared" si="8"/>
        <v>0</v>
      </c>
      <c r="O7" s="85"/>
      <c r="P7" s="86"/>
      <c r="Q7" s="85"/>
      <c r="R7" s="86"/>
      <c r="S7" s="38">
        <f t="shared" si="9"/>
        <v>0</v>
      </c>
      <c r="T7" s="123"/>
      <c r="U7" s="32" t="str">
        <f t="shared" si="10"/>
        <v>0</v>
      </c>
      <c r="V7" s="41"/>
      <c r="W7" s="32">
        <f t="shared" si="1"/>
        <v>0</v>
      </c>
      <c r="X7" s="43"/>
      <c r="Y7" s="14">
        <f t="shared" si="11"/>
        <v>0</v>
      </c>
      <c r="Z7" s="46"/>
      <c r="AA7" s="52"/>
      <c r="AB7" s="32" t="str">
        <f t="shared" si="12"/>
        <v>0</v>
      </c>
      <c r="AC7" s="13"/>
      <c r="AD7" s="18"/>
    </row>
    <row r="8" spans="1:30" ht="20.65" customHeight="1" x14ac:dyDescent="0.2">
      <c r="A8" s="19">
        <v>45968</v>
      </c>
      <c r="B8" s="10"/>
      <c r="C8" s="14">
        <f t="shared" si="2"/>
        <v>0</v>
      </c>
      <c r="D8" s="11"/>
      <c r="E8" s="14">
        <f t="shared" si="3"/>
        <v>0</v>
      </c>
      <c r="F8" s="27">
        <v>1704</v>
      </c>
      <c r="G8" s="67">
        <f t="shared" si="4"/>
        <v>0</v>
      </c>
      <c r="H8" s="69">
        <f t="shared" si="5"/>
        <v>0</v>
      </c>
      <c r="I8" s="73">
        <f t="shared" si="6"/>
        <v>-45968</v>
      </c>
      <c r="J8" s="32">
        <f t="shared" si="0"/>
        <v>-1</v>
      </c>
      <c r="K8" s="20">
        <f t="shared" si="7"/>
        <v>45968</v>
      </c>
      <c r="L8" s="33"/>
      <c r="M8" s="31">
        <v>0</v>
      </c>
      <c r="N8" s="32" t="str">
        <f t="shared" si="8"/>
        <v>0</v>
      </c>
      <c r="O8" s="85"/>
      <c r="P8" s="86"/>
      <c r="Q8" s="85"/>
      <c r="R8" s="86"/>
      <c r="S8" s="38">
        <f t="shared" si="9"/>
        <v>0</v>
      </c>
      <c r="T8" s="123"/>
      <c r="U8" s="32" t="str">
        <f t="shared" si="10"/>
        <v>0</v>
      </c>
      <c r="V8" s="41"/>
      <c r="W8" s="32">
        <f t="shared" si="1"/>
        <v>0</v>
      </c>
      <c r="X8" s="43"/>
      <c r="Y8" s="14">
        <f t="shared" si="11"/>
        <v>0</v>
      </c>
      <c r="Z8" s="46"/>
      <c r="AA8" s="52"/>
      <c r="AB8" s="32" t="str">
        <f t="shared" si="12"/>
        <v>0</v>
      </c>
      <c r="AC8" s="13"/>
      <c r="AD8" s="18"/>
    </row>
    <row r="9" spans="1:30" ht="20.65" customHeight="1" x14ac:dyDescent="0.2">
      <c r="A9" s="19">
        <v>45969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-45969</v>
      </c>
      <c r="J9" s="32">
        <f t="shared" si="0"/>
        <v>-1</v>
      </c>
      <c r="K9" s="20">
        <f t="shared" si="7"/>
        <v>45969</v>
      </c>
      <c r="L9" s="33"/>
      <c r="M9" s="31">
        <v>0</v>
      </c>
      <c r="N9" s="32" t="str">
        <f t="shared" si="8"/>
        <v>0</v>
      </c>
      <c r="O9" s="85"/>
      <c r="P9" s="86"/>
      <c r="Q9" s="85"/>
      <c r="R9" s="86"/>
      <c r="S9" s="38">
        <f t="shared" si="9"/>
        <v>0</v>
      </c>
      <c r="T9" s="123"/>
      <c r="U9" s="32" t="str">
        <f t="shared" si="10"/>
        <v>0</v>
      </c>
      <c r="V9" s="41"/>
      <c r="W9" s="32">
        <f t="shared" si="1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65" customHeight="1" x14ac:dyDescent="0.2">
      <c r="A10" s="19">
        <v>45970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-45970</v>
      </c>
      <c r="J10" s="32">
        <f t="shared" si="0"/>
        <v>-1</v>
      </c>
      <c r="K10" s="20">
        <f t="shared" si="7"/>
        <v>45970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>
        <f t="shared" si="9"/>
        <v>0</v>
      </c>
      <c r="T10" s="123"/>
      <c r="U10" s="32" t="str">
        <f t="shared" si="10"/>
        <v>0</v>
      </c>
      <c r="V10" s="41"/>
      <c r="W10" s="32">
        <f t="shared" si="1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45971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-45971</v>
      </c>
      <c r="J11" s="32">
        <f t="shared" si="0"/>
        <v>-1</v>
      </c>
      <c r="K11" s="20">
        <f t="shared" si="7"/>
        <v>45971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45972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-45972</v>
      </c>
      <c r="J12" s="32">
        <f t="shared" si="0"/>
        <v>-1</v>
      </c>
      <c r="K12" s="20">
        <f t="shared" si="7"/>
        <v>45972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45973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-45973</v>
      </c>
      <c r="J13" s="32">
        <f t="shared" si="0"/>
        <v>-1</v>
      </c>
      <c r="K13" s="20">
        <f t="shared" si="7"/>
        <v>45973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45974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-45974</v>
      </c>
      <c r="J14" s="32">
        <f t="shared" si="0"/>
        <v>-1</v>
      </c>
      <c r="K14" s="20">
        <f t="shared" si="7"/>
        <v>45974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45975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-45975</v>
      </c>
      <c r="J15" s="32">
        <f t="shared" si="0"/>
        <v>-1</v>
      </c>
      <c r="K15" s="20">
        <f t="shared" si="7"/>
        <v>45975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45976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-45976</v>
      </c>
      <c r="J16" s="32">
        <f t="shared" si="0"/>
        <v>-1</v>
      </c>
      <c r="K16" s="20">
        <f t="shared" si="7"/>
        <v>45976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45977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-45977</v>
      </c>
      <c r="J17" s="32">
        <f t="shared" si="0"/>
        <v>-1</v>
      </c>
      <c r="K17" s="20">
        <f t="shared" si="7"/>
        <v>45977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45978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-45978</v>
      </c>
      <c r="J18" s="32">
        <f t="shared" si="0"/>
        <v>-1</v>
      </c>
      <c r="K18" s="20">
        <f t="shared" si="7"/>
        <v>45978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45979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-45979</v>
      </c>
      <c r="J19" s="32">
        <f t="shared" si="0"/>
        <v>-1</v>
      </c>
      <c r="K19" s="20">
        <f t="shared" si="7"/>
        <v>45979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45980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-45980</v>
      </c>
      <c r="J20" s="32">
        <f t="shared" si="0"/>
        <v>-1</v>
      </c>
      <c r="K20" s="20">
        <f t="shared" si="7"/>
        <v>45980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45981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-45981</v>
      </c>
      <c r="J21" s="32">
        <f t="shared" si="0"/>
        <v>-1</v>
      </c>
      <c r="K21" s="20">
        <f t="shared" si="7"/>
        <v>45981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45982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-45982</v>
      </c>
      <c r="J22" s="32">
        <f t="shared" si="0"/>
        <v>-1</v>
      </c>
      <c r="K22" s="20">
        <f t="shared" si="7"/>
        <v>45982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10241</v>
      </c>
      <c r="D33" s="77"/>
      <c r="E33" s="76">
        <f>SUM(E2:E32)</f>
        <v>1651</v>
      </c>
      <c r="F33" s="78"/>
      <c r="G33" s="76">
        <f>SUM(G2:G32)</f>
        <v>0</v>
      </c>
      <c r="H33" s="77">
        <f>SUM(H2:H32)</f>
        <v>11892</v>
      </c>
      <c r="I33" s="76">
        <f>SUM(I2:I31)</f>
        <v>-1367406.3900000001</v>
      </c>
      <c r="J33" s="76">
        <f>SUM(J2:J32)</f>
        <v>39988.22</v>
      </c>
      <c r="K33" s="75"/>
      <c r="L33" s="77"/>
      <c r="M33" s="77"/>
      <c r="N33" s="76">
        <f>SUM(N2:N32)</f>
        <v>572</v>
      </c>
      <c r="O33" s="75"/>
      <c r="P33" s="75"/>
      <c r="Q33" s="75"/>
      <c r="R33" s="75"/>
      <c r="S33" s="75"/>
      <c r="T33" s="77">
        <f>SUM(T2:T32)</f>
        <v>0</v>
      </c>
      <c r="U33" s="76">
        <f>SUM(U2:U32)</f>
        <v>275</v>
      </c>
      <c r="V33" s="75"/>
      <c r="W33" s="76">
        <f>SUM(W2:W32)</f>
        <v>210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600</v>
      </c>
      <c r="AD33" s="80">
        <f>SUM(AD2:AD32)</f>
        <v>1210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2025-11-03T07:37:37Z</dcterms:modified>
  <cp:category/>
  <cp:contentStatus/>
</cp:coreProperties>
</file>