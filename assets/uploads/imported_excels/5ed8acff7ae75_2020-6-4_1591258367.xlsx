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e.ElKhoury\Downloads\"/>
    </mc:Choice>
  </mc:AlternateContent>
  <bookViews>
    <workbookView xWindow="0" yWindow="0" windowWidth="25125" windowHeight="12435"/>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AI36" i="2" l="1"/>
  <c r="W33" i="3" l="1"/>
  <c r="J33" i="3"/>
  <c r="K33" i="3"/>
  <c r="L33" i="3"/>
  <c r="M33" i="3"/>
  <c r="N33" i="3"/>
  <c r="O33" i="3"/>
  <c r="P33" i="3"/>
  <c r="Q33" i="3"/>
  <c r="R33" i="3"/>
  <c r="S33" i="3"/>
  <c r="T33" i="3"/>
  <c r="U33" i="3"/>
  <c r="V33" i="3"/>
  <c r="I33" i="3"/>
  <c r="Z34" i="3"/>
  <c r="Y34" i="3"/>
  <c r="X31" i="3" l="1"/>
  <c r="W31" i="3"/>
  <c r="W32" i="3"/>
  <c r="V31" i="3"/>
  <c r="V32" i="3"/>
  <c r="U31" i="3"/>
  <c r="U32" i="3"/>
  <c r="T31" i="3"/>
  <c r="T32" i="3"/>
  <c r="S31" i="3"/>
  <c r="S32" i="3"/>
  <c r="R31" i="3"/>
  <c r="R32" i="3"/>
  <c r="Q31" i="3"/>
  <c r="Q32" i="3"/>
  <c r="P31" i="3"/>
  <c r="P32" i="3"/>
  <c r="O31" i="3"/>
  <c r="O32" i="3"/>
  <c r="N31" i="3"/>
  <c r="N32" i="3"/>
  <c r="M31" i="3"/>
  <c r="M32" i="3"/>
  <c r="L31" i="3"/>
  <c r="L32" i="3"/>
  <c r="K31" i="3"/>
  <c r="K32" i="3"/>
  <c r="J31" i="3"/>
  <c r="J32" i="3"/>
  <c r="I31" i="3"/>
  <c r="I32" i="3"/>
  <c r="AO35" i="2"/>
  <c r="AC36" i="2"/>
  <c r="Y33" i="3"/>
  <c r="Z33" i="3"/>
  <c r="AA34" i="2" l="1"/>
  <c r="AA35" i="2"/>
  <c r="AA36" i="2"/>
  <c r="Z35" i="2"/>
  <c r="Z36" i="2"/>
  <c r="AH34" i="2" l="1"/>
  <c r="M32" i="2" l="1"/>
  <c r="M31" i="2"/>
  <c r="R15" i="2" l="1"/>
  <c r="R16" i="2"/>
  <c r="R17" i="2"/>
  <c r="R18" i="2"/>
  <c r="R19" i="2"/>
  <c r="R20" i="2"/>
  <c r="R21" i="2"/>
  <c r="R22" i="2"/>
  <c r="R23" i="2"/>
  <c r="R24" i="2"/>
  <c r="R25" i="2"/>
  <c r="R26" i="2"/>
  <c r="R27" i="2"/>
  <c r="R28" i="2"/>
  <c r="R29" i="2"/>
  <c r="R30" i="2"/>
  <c r="R31" i="2"/>
  <c r="R32" i="2"/>
  <c r="R33" i="2"/>
  <c r="R34" i="2"/>
  <c r="R35" i="2"/>
  <c r="R36" i="2"/>
  <c r="R6" i="2"/>
  <c r="R7" i="2"/>
  <c r="R8" i="2"/>
  <c r="R9" i="2"/>
  <c r="R10" i="2"/>
  <c r="R11" i="2"/>
  <c r="R12" i="2"/>
  <c r="R13" i="2"/>
  <c r="R14" i="2"/>
  <c r="AC35" i="2" l="1"/>
  <c r="AD35" i="2" s="1"/>
  <c r="AI35" i="2"/>
  <c r="AK35" i="2"/>
  <c r="AL35" i="2" s="1"/>
  <c r="AE35" i="2" l="1"/>
  <c r="AE6" i="2"/>
  <c r="K36" i="2"/>
  <c r="L36" i="2" s="1"/>
  <c r="K35" i="2"/>
  <c r="L35" i="2" s="1"/>
  <c r="AM35" i="2" l="1"/>
  <c r="AM6" i="2"/>
  <c r="B32" i="3" l="1"/>
  <c r="B31" i="1"/>
  <c r="B32" i="1"/>
  <c r="S36" i="2"/>
  <c r="T36" i="2"/>
  <c r="U36" i="2" s="1"/>
  <c r="S35" i="2"/>
  <c r="T35" i="2"/>
  <c r="U35" i="2" s="1"/>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C9" i="2"/>
  <c r="AC10" i="2"/>
  <c r="AC11" i="2"/>
  <c r="AC12" i="2"/>
  <c r="AC13" i="2"/>
  <c r="AC14" i="2"/>
  <c r="AC15" i="2"/>
  <c r="AC16" i="2"/>
  <c r="AC17" i="2"/>
  <c r="AC18" i="2"/>
  <c r="AC19" i="2"/>
  <c r="AC20" i="2"/>
  <c r="AC21" i="2"/>
  <c r="AC22" i="2"/>
  <c r="AC23" i="2"/>
  <c r="AC24" i="2"/>
  <c r="AC25" i="2"/>
  <c r="AC26" i="2"/>
  <c r="AC27" i="2"/>
  <c r="AC28" i="2"/>
  <c r="AD28" i="2" s="1"/>
  <c r="AE28" i="2" s="1"/>
  <c r="AC29" i="2"/>
  <c r="AC30" i="2"/>
  <c r="AC31" i="2"/>
  <c r="AC32" i="2"/>
  <c r="AC33" i="2"/>
  <c r="AC34" i="2"/>
  <c r="AI8" i="2" l="1"/>
  <c r="AI7" i="2"/>
  <c r="AC8" i="2"/>
  <c r="AC7" i="2"/>
  <c r="AI6" i="2" l="1"/>
  <c r="AC6" i="2"/>
  <c r="Z14" i="2" l="1"/>
  <c r="AA14" i="2" s="1"/>
  <c r="T8" i="2"/>
  <c r="N4" i="3" s="1"/>
  <c r="T7" i="2"/>
  <c r="U7" i="2" s="1"/>
  <c r="S8" i="2"/>
  <c r="S7" i="2"/>
  <c r="O4" i="3"/>
  <c r="O3" i="3"/>
  <c r="K8" i="2"/>
  <c r="L8" i="2" s="1"/>
  <c r="K7" i="2"/>
  <c r="L7" i="2" s="1"/>
  <c r="M33" i="1"/>
  <c r="N33" i="1"/>
  <c r="Z6" i="2"/>
  <c r="AA6" i="2" s="1"/>
  <c r="AK8" i="2"/>
  <c r="AL8" i="2" s="1"/>
  <c r="AM8" i="2" s="1"/>
  <c r="AK7" i="2"/>
  <c r="AK9" i="2"/>
  <c r="X5" i="3" s="1"/>
  <c r="AK10" i="2"/>
  <c r="AL10" i="2" s="1"/>
  <c r="AM10" i="2" s="1"/>
  <c r="AK11" i="2"/>
  <c r="AD9" i="2"/>
  <c r="AE9" i="2" s="1"/>
  <c r="AD10" i="2"/>
  <c r="AE10" i="2" s="1"/>
  <c r="AD11" i="2"/>
  <c r="AE11" i="2" s="1"/>
  <c r="AD12" i="2"/>
  <c r="AE12" i="2" s="1"/>
  <c r="AD13" i="2"/>
  <c r="AD14" i="2"/>
  <c r="AE14" i="2" s="1"/>
  <c r="AD15" i="2"/>
  <c r="AE15" i="2" s="1"/>
  <c r="AD16" i="2"/>
  <c r="AE16" i="2" s="1"/>
  <c r="AD17" i="2"/>
  <c r="AD18" i="2"/>
  <c r="AE18" i="2" s="1"/>
  <c r="AD19" i="2"/>
  <c r="AE19" i="2" s="1"/>
  <c r="AD20" i="2"/>
  <c r="AE20" i="2" s="1"/>
  <c r="AD21" i="2"/>
  <c r="AE21" i="2" s="1"/>
  <c r="AD22" i="2"/>
  <c r="AE22" i="2" s="1"/>
  <c r="AD23" i="2"/>
  <c r="AE23" i="2" s="1"/>
  <c r="AD24" i="2"/>
  <c r="AE24" i="2" s="1"/>
  <c r="AD25" i="2"/>
  <c r="AD26" i="2"/>
  <c r="AE26" i="2" s="1"/>
  <c r="AD27" i="2"/>
  <c r="AE27" i="2" s="1"/>
  <c r="AD29" i="2"/>
  <c r="AE29" i="2" s="1"/>
  <c r="AD30" i="2"/>
  <c r="AE30" i="2" s="1"/>
  <c r="AD31" i="2"/>
  <c r="AE31" i="2" s="1"/>
  <c r="AD32" i="2"/>
  <c r="AE32" i="2" s="1"/>
  <c r="AD33" i="2"/>
  <c r="AE33" i="2" s="1"/>
  <c r="AD34" i="2"/>
  <c r="AE34" i="2" s="1"/>
  <c r="AD36" i="2"/>
  <c r="AE36" i="2" s="1"/>
  <c r="AD7" i="2"/>
  <c r="AE7" i="2" s="1"/>
  <c r="AN37" i="2"/>
  <c r="AG37" i="2"/>
  <c r="AH37" i="2"/>
  <c r="AF37" i="2"/>
  <c r="D37" i="2"/>
  <c r="J37" i="2"/>
  <c r="H37" i="2"/>
  <c r="I37" i="2"/>
  <c r="G37" i="2"/>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N2" i="3" s="1"/>
  <c r="K6" i="2"/>
  <c r="L6" i="2" s="1"/>
  <c r="Z20" i="2"/>
  <c r="P16" i="3" s="1"/>
  <c r="G16" i="1" s="1"/>
  <c r="Z21" i="2"/>
  <c r="AA21" i="2" s="1"/>
  <c r="Z22" i="2"/>
  <c r="AA22" i="2" s="1"/>
  <c r="Z23" i="2"/>
  <c r="AA23" i="2" s="1"/>
  <c r="Z24" i="2"/>
  <c r="P20" i="3" s="1"/>
  <c r="Z25" i="2"/>
  <c r="AA25" i="2" s="1"/>
  <c r="P21" i="3"/>
  <c r="G21" i="1" s="1"/>
  <c r="Z26" i="2"/>
  <c r="AA26" i="2" s="1"/>
  <c r="Z27" i="2"/>
  <c r="P23" i="3" s="1"/>
  <c r="G23" i="1" s="1"/>
  <c r="Z28" i="2"/>
  <c r="AA28" i="2" s="1"/>
  <c r="Z29" i="2"/>
  <c r="AA29" i="2" s="1"/>
  <c r="Z30" i="2"/>
  <c r="AA30" i="2" s="1"/>
  <c r="Z31" i="2"/>
  <c r="AA31" i="2" s="1"/>
  <c r="Z32" i="2"/>
  <c r="P28" i="3" s="1"/>
  <c r="Z33" i="2"/>
  <c r="P29" i="3" s="1"/>
  <c r="G29" i="1" s="1"/>
  <c r="Z34" i="2"/>
  <c r="G31" i="1"/>
  <c r="Z7" i="2"/>
  <c r="P3" i="3" s="1"/>
  <c r="Z8" i="2"/>
  <c r="AA8" i="2" s="1"/>
  <c r="Z9" i="2"/>
  <c r="P5" i="3" s="1"/>
  <c r="G5" i="1" s="1"/>
  <c r="Z10" i="2"/>
  <c r="P6" i="3" s="1"/>
  <c r="G6" i="1" s="1"/>
  <c r="Z11" i="2"/>
  <c r="AA11" i="2" s="1"/>
  <c r="Z12" i="2"/>
  <c r="P8" i="3" s="1"/>
  <c r="G8" i="1" s="1"/>
  <c r="Z13" i="2"/>
  <c r="P9" i="3" s="1"/>
  <c r="G9" i="1" s="1"/>
  <c r="Z15" i="2"/>
  <c r="AA15" i="2" s="1"/>
  <c r="Z16" i="2"/>
  <c r="AA16" i="2" s="1"/>
  <c r="Z17" i="2"/>
  <c r="P13" i="3" s="1"/>
  <c r="Z18" i="2"/>
  <c r="P14" i="3"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2" i="2"/>
  <c r="AK13" i="2"/>
  <c r="AK14" i="2"/>
  <c r="AL14" i="2" s="1"/>
  <c r="AM14" i="2" s="1"/>
  <c r="AK15" i="2"/>
  <c r="X11" i="3" s="1"/>
  <c r="AK16" i="2"/>
  <c r="AK17" i="2"/>
  <c r="AL17" i="2" s="1"/>
  <c r="AM17" i="2" s="1"/>
  <c r="AK19" i="2"/>
  <c r="AL19" i="2" s="1"/>
  <c r="AM19" i="2" s="1"/>
  <c r="AK20" i="2"/>
  <c r="X16" i="3" s="1"/>
  <c r="AK21" i="2"/>
  <c r="X17" i="3" s="1"/>
  <c r="AK22" i="2"/>
  <c r="AL22" i="2" s="1"/>
  <c r="AM22" i="2" s="1"/>
  <c r="AK23" i="2"/>
  <c r="X19" i="3" s="1"/>
  <c r="AK24" i="2"/>
  <c r="AK25" i="2"/>
  <c r="AK26" i="2"/>
  <c r="AK27" i="2"/>
  <c r="AL27" i="2" s="1"/>
  <c r="AM27" i="2" s="1"/>
  <c r="AK28" i="2"/>
  <c r="X24" i="3" s="1"/>
  <c r="AK29" i="2"/>
  <c r="X25" i="3" s="1"/>
  <c r="AK30" i="2"/>
  <c r="AL30" i="2" s="1"/>
  <c r="AM30" i="2" s="1"/>
  <c r="AK31" i="2"/>
  <c r="AL31" i="2" s="1"/>
  <c r="AM31" i="2" s="1"/>
  <c r="AK32" i="2"/>
  <c r="AL32" i="2" s="1"/>
  <c r="AM32" i="2" s="1"/>
  <c r="AK33" i="2"/>
  <c r="AK34" i="2"/>
  <c r="X30" i="3" s="1"/>
  <c r="AK36" i="2"/>
  <c r="X32" i="3" s="1"/>
  <c r="AD8" i="2"/>
  <c r="AE8" i="2" s="1"/>
  <c r="AK6" i="2"/>
  <c r="X2" i="3" s="1"/>
  <c r="AD6" i="2"/>
  <c r="T2" i="3" s="1"/>
  <c r="S6" i="2"/>
  <c r="O5" i="3"/>
  <c r="S9" i="2"/>
  <c r="O6" i="3"/>
  <c r="S10" i="2"/>
  <c r="O7" i="3"/>
  <c r="S11" i="2"/>
  <c r="O8" i="3"/>
  <c r="S12" i="2"/>
  <c r="O9" i="3"/>
  <c r="S13" i="2"/>
  <c r="O10" i="3"/>
  <c r="S14" i="2"/>
  <c r="O11" i="3"/>
  <c r="S15" i="2"/>
  <c r="O12" i="3"/>
  <c r="S16" i="2"/>
  <c r="O13" i="3"/>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R2" i="3"/>
  <c r="Q2" i="3"/>
  <c r="G2" i="3"/>
  <c r="H2" i="3"/>
  <c r="I2" i="3"/>
  <c r="J2" i="3"/>
  <c r="K2" i="3"/>
  <c r="L2" i="3"/>
  <c r="M2" i="3"/>
  <c r="F2" i="3"/>
  <c r="E2" i="3"/>
  <c r="S34" i="2"/>
  <c r="O30" i="3"/>
  <c r="S33" i="2"/>
  <c r="O29" i="3"/>
  <c r="S32" i="2"/>
  <c r="O28" i="3"/>
  <c r="S31" i="2"/>
  <c r="O27" i="3"/>
  <c r="S30" i="2"/>
  <c r="O26" i="3"/>
  <c r="S29" i="2"/>
  <c r="O25" i="3"/>
  <c r="S28" i="2"/>
  <c r="O24" i="3"/>
  <c r="S27" i="2"/>
  <c r="O23" i="3"/>
  <c r="S26" i="2"/>
  <c r="O22" i="3"/>
  <c r="S25" i="2"/>
  <c r="O21" i="3"/>
  <c r="S24" i="2"/>
  <c r="O20" i="3"/>
  <c r="S23" i="2"/>
  <c r="O19" i="3"/>
  <c r="S22" i="2"/>
  <c r="O18" i="3"/>
  <c r="S21" i="2"/>
  <c r="O17" i="3"/>
  <c r="S20" i="2"/>
  <c r="O16" i="3"/>
  <c r="S19" i="2"/>
  <c r="O15" i="3"/>
  <c r="S18" i="2"/>
  <c r="O14" i="3"/>
  <c r="B3" i="3"/>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U17" i="2"/>
  <c r="E31" i="1" l="1"/>
  <c r="T21" i="3"/>
  <c r="AE25" i="2"/>
  <c r="T13" i="3"/>
  <c r="AE17" i="2"/>
  <c r="T9" i="3"/>
  <c r="AE13" i="2"/>
  <c r="E32" i="1"/>
  <c r="P2" i="3"/>
  <c r="G2" i="1" s="1"/>
  <c r="U32" i="2"/>
  <c r="U12" i="2"/>
  <c r="AL18" i="2"/>
  <c r="AM18" i="2" s="1"/>
  <c r="P7" i="3"/>
  <c r="G7" i="1" s="1"/>
  <c r="AA10" i="2"/>
  <c r="AA27" i="2"/>
  <c r="P19" i="3"/>
  <c r="G19" i="1" s="1"/>
  <c r="AA12" i="2"/>
  <c r="U30" i="2"/>
  <c r="U10" i="2"/>
  <c r="AL11" i="2"/>
  <c r="AM11" i="2" s="1"/>
  <c r="X7" i="3"/>
  <c r="D40" i="2"/>
  <c r="G39" i="2"/>
  <c r="T28" i="3"/>
  <c r="AA32" i="2"/>
  <c r="AL6" i="2"/>
  <c r="AL20" i="2"/>
  <c r="AM20" i="2" s="1"/>
  <c r="K31" i="1"/>
  <c r="P30" i="3"/>
  <c r="X28" i="3"/>
  <c r="AA33" i="2"/>
  <c r="T27" i="3"/>
  <c r="AO31" i="2"/>
  <c r="U16" i="2"/>
  <c r="P26" i="3"/>
  <c r="G26" i="1" s="1"/>
  <c r="P25" i="3"/>
  <c r="G25" i="1" s="1"/>
  <c r="AA24" i="2"/>
  <c r="X18" i="3"/>
  <c r="P18" i="3"/>
  <c r="G18" i="1" s="1"/>
  <c r="AL21" i="2"/>
  <c r="AM21" i="2" s="1"/>
  <c r="AA20" i="2"/>
  <c r="P15" i="3"/>
  <c r="G15" i="1" s="1"/>
  <c r="U15" i="2"/>
  <c r="U11" i="2"/>
  <c r="P10" i="3"/>
  <c r="G10" i="1" s="1"/>
  <c r="P11" i="3"/>
  <c r="G11" i="1" s="1"/>
  <c r="AA13" i="2"/>
  <c r="AL12" i="2"/>
  <c r="AM12" i="2" s="1"/>
  <c r="X8" i="3"/>
  <c r="S8" i="3"/>
  <c r="S6" i="3"/>
  <c r="U9" i="2"/>
  <c r="K6" i="1"/>
  <c r="AL7" i="2"/>
  <c r="AM7" i="2" s="1"/>
  <c r="X3" i="3"/>
  <c r="X27" i="3"/>
  <c r="AL29" i="2"/>
  <c r="AM29" i="2" s="1"/>
  <c r="X4" i="3"/>
  <c r="X15" i="3"/>
  <c r="AL28" i="2"/>
  <c r="AM28" i="2" s="1"/>
  <c r="X13" i="3"/>
  <c r="X6" i="3"/>
  <c r="AO26" i="2"/>
  <c r="T22" i="3"/>
  <c r="AO28" i="2"/>
  <c r="T24" i="3"/>
  <c r="I24" i="1" s="1"/>
  <c r="T16" i="3"/>
  <c r="I16" i="1" s="1"/>
  <c r="T5" i="3"/>
  <c r="I5" i="1" s="1"/>
  <c r="T19" i="3"/>
  <c r="I19" i="1" s="1"/>
  <c r="AO23" i="2"/>
  <c r="G3" i="1"/>
  <c r="S3" i="3"/>
  <c r="AA7" i="2"/>
  <c r="S5" i="3"/>
  <c r="AA9" i="2"/>
  <c r="P24" i="3"/>
  <c r="G24" i="1" s="1"/>
  <c r="AA18" i="2"/>
  <c r="R37" i="2"/>
  <c r="N18" i="3"/>
  <c r="K18" i="1" s="1"/>
  <c r="U8" i="2"/>
  <c r="AO8" i="2" s="1"/>
  <c r="N17" i="3"/>
  <c r="K17" i="1" s="1"/>
  <c r="U29" i="2"/>
  <c r="K30" i="1"/>
  <c r="N10" i="3"/>
  <c r="K10" i="1" s="1"/>
  <c r="N20" i="3"/>
  <c r="K20" i="1" s="1"/>
  <c r="O2" i="3"/>
  <c r="K2" i="1" s="1"/>
  <c r="E16" i="1"/>
  <c r="E8" i="1"/>
  <c r="E2" i="1"/>
  <c r="E24" i="1"/>
  <c r="E25" i="1"/>
  <c r="AL36" i="2"/>
  <c r="AM36" i="2" s="1"/>
  <c r="U34" i="2"/>
  <c r="AO34" i="2" s="1"/>
  <c r="E30" i="1"/>
  <c r="AL34" i="2"/>
  <c r="AM34" i="2" s="1"/>
  <c r="T30" i="3"/>
  <c r="I30" i="1" s="1"/>
  <c r="N29" i="3"/>
  <c r="K29" i="1" s="1"/>
  <c r="E29" i="1"/>
  <c r="AL33" i="2"/>
  <c r="AM33" i="2" s="1"/>
  <c r="X29" i="3"/>
  <c r="T29" i="3"/>
  <c r="S29" i="3"/>
  <c r="K28" i="1"/>
  <c r="E28" i="1"/>
  <c r="S28" i="3"/>
  <c r="G28" i="1"/>
  <c r="N27" i="3"/>
  <c r="K27" i="1" s="1"/>
  <c r="E27" i="1"/>
  <c r="P27" i="3"/>
  <c r="K26" i="1"/>
  <c r="E26" i="1"/>
  <c r="AL13" i="2"/>
  <c r="AM13" i="2" s="1"/>
  <c r="X9" i="3"/>
  <c r="I9" i="1" s="1"/>
  <c r="X22" i="3"/>
  <c r="AL26" i="2"/>
  <c r="AM26" i="2" s="1"/>
  <c r="AL25" i="2"/>
  <c r="AM25" i="2" s="1"/>
  <c r="X21" i="3"/>
  <c r="I21" i="1" s="1"/>
  <c r="X20" i="3"/>
  <c r="AL24" i="2"/>
  <c r="AM24" i="2" s="1"/>
  <c r="AL16" i="2"/>
  <c r="AM16" i="2" s="1"/>
  <c r="X12" i="3"/>
  <c r="I2" i="1"/>
  <c r="AL15" i="2"/>
  <c r="AM15" i="2" s="1"/>
  <c r="X10" i="3"/>
  <c r="X26" i="3"/>
  <c r="AL23" i="2"/>
  <c r="AM23" i="2" s="1"/>
  <c r="AL9" i="2"/>
  <c r="AM9" i="2" s="1"/>
  <c r="T20" i="3"/>
  <c r="AO30" i="2"/>
  <c r="T26" i="3"/>
  <c r="T12" i="3"/>
  <c r="T25" i="3"/>
  <c r="I25" i="1" s="1"/>
  <c r="T11" i="3"/>
  <c r="I11" i="1" s="1"/>
  <c r="T8" i="3"/>
  <c r="AO22" i="2"/>
  <c r="T18" i="3"/>
  <c r="T15" i="3"/>
  <c r="T6" i="3"/>
  <c r="T3" i="3"/>
  <c r="AO21" i="2"/>
  <c r="T17" i="3"/>
  <c r="I17" i="1" s="1"/>
  <c r="T14" i="3"/>
  <c r="I14" i="1" s="1"/>
  <c r="T10" i="3"/>
  <c r="AO14" i="2"/>
  <c r="T7" i="3"/>
  <c r="T4" i="3"/>
  <c r="S13" i="3"/>
  <c r="G13" i="1"/>
  <c r="G20" i="1"/>
  <c r="S20" i="3"/>
  <c r="G14" i="1"/>
  <c r="S14" i="3"/>
  <c r="P4" i="3"/>
  <c r="P17" i="3"/>
  <c r="G17" i="1" s="1"/>
  <c r="S2" i="3"/>
  <c r="S25" i="3"/>
  <c r="S21" i="3"/>
  <c r="S9" i="3"/>
  <c r="AA17" i="2"/>
  <c r="P12" i="3"/>
  <c r="G12" i="1" s="1"/>
  <c r="S16" i="3"/>
  <c r="S23" i="3"/>
  <c r="K13" i="1"/>
  <c r="N16" i="3"/>
  <c r="K16" i="1" s="1"/>
  <c r="K21" i="1"/>
  <c r="N24" i="3"/>
  <c r="U19" i="2"/>
  <c r="N14" i="3"/>
  <c r="K14" i="1" s="1"/>
  <c r="N9" i="3"/>
  <c r="K9" i="1" s="1"/>
  <c r="N23" i="3"/>
  <c r="K23" i="1" s="1"/>
  <c r="K25" i="1"/>
  <c r="K8" i="1"/>
  <c r="U25" i="2"/>
  <c r="K15" i="1"/>
  <c r="K11" i="1"/>
  <c r="K5" i="1"/>
  <c r="K4" i="1"/>
  <c r="K12" i="1"/>
  <c r="K7" i="1"/>
  <c r="K24" i="1"/>
  <c r="N19" i="3"/>
  <c r="K19" i="1" s="1"/>
  <c r="T37" i="2"/>
  <c r="U6" i="2"/>
  <c r="N3" i="3"/>
  <c r="K3" i="1" s="1"/>
  <c r="E3" i="1"/>
  <c r="E15" i="1"/>
  <c r="E5" i="1"/>
  <c r="E20" i="1"/>
  <c r="E18" i="1"/>
  <c r="E17" i="1"/>
  <c r="E10" i="1"/>
  <c r="E9" i="1"/>
  <c r="E4" i="1"/>
  <c r="E23" i="1"/>
  <c r="E21" i="1"/>
  <c r="E19" i="1"/>
  <c r="E6" i="1"/>
  <c r="E12" i="1"/>
  <c r="E11" i="1"/>
  <c r="E7" i="1"/>
  <c r="E14" i="1"/>
  <c r="E13" i="1"/>
  <c r="X23" i="3"/>
  <c r="AK37" i="2"/>
  <c r="AD37" i="2"/>
  <c r="T23" i="3"/>
  <c r="Z37" i="2"/>
  <c r="P22" i="3"/>
  <c r="N22" i="3"/>
  <c r="K22" i="1" s="1"/>
  <c r="E22" i="1"/>
  <c r="L37" i="2"/>
  <c r="K37" i="2"/>
  <c r="I31" i="1" l="1"/>
  <c r="I18" i="1"/>
  <c r="I13" i="1"/>
  <c r="I10" i="1"/>
  <c r="AE37" i="2"/>
  <c r="I32" i="1"/>
  <c r="G32" i="1"/>
  <c r="U37" i="2"/>
  <c r="R39" i="2"/>
  <c r="AO17" i="2"/>
  <c r="S19" i="3"/>
  <c r="S15" i="3"/>
  <c r="AO32" i="2"/>
  <c r="S24" i="3"/>
  <c r="AO27" i="2"/>
  <c r="AO24" i="2"/>
  <c r="AO15" i="2"/>
  <c r="AO10" i="2"/>
  <c r="AO20" i="2"/>
  <c r="S7" i="3"/>
  <c r="AO13" i="2"/>
  <c r="I7" i="1"/>
  <c r="I6" i="1"/>
  <c r="I12" i="1"/>
  <c r="AO6" i="2"/>
  <c r="I8" i="1"/>
  <c r="I28" i="1"/>
  <c r="S26" i="3"/>
  <c r="AO12" i="2"/>
  <c r="S18" i="3"/>
  <c r="AO29" i="2"/>
  <c r="AO16" i="2"/>
  <c r="AO33" i="2"/>
  <c r="G30" i="1"/>
  <c r="S30" i="3"/>
  <c r="I27" i="1"/>
  <c r="I22" i="1"/>
  <c r="AO25" i="2"/>
  <c r="I20" i="1"/>
  <c r="S17" i="3"/>
  <c r="AO19" i="2"/>
  <c r="AO11" i="2"/>
  <c r="AO9" i="2"/>
  <c r="S11" i="3"/>
  <c r="S10" i="3"/>
  <c r="I3" i="1"/>
  <c r="AO7" i="2"/>
  <c r="AA37" i="2"/>
  <c r="I26" i="1"/>
  <c r="I4" i="1"/>
  <c r="I15" i="1"/>
  <c r="AO36" i="2"/>
  <c r="AO18" i="2"/>
  <c r="AM37" i="2"/>
  <c r="I29" i="1"/>
  <c r="S27" i="3"/>
  <c r="G27" i="1"/>
  <c r="AL37" i="2"/>
  <c r="S4" i="3"/>
  <c r="G4" i="1"/>
  <c r="S12" i="3"/>
  <c r="I23" i="1"/>
  <c r="S22" i="3"/>
  <c r="G22" i="1"/>
  <c r="U38" i="2" l="1"/>
  <c r="K32" i="1"/>
  <c r="AO37" i="2"/>
  <c r="U39" i="2" l="1"/>
  <c r="X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<sst xmlns="http://schemas.openxmlformats.org/spreadsheetml/2006/main" count="220" uniqueCount="103">
  <si>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</si>
  <si>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</si>
  <si>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</si>
  <si>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</si>
  <si>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</si>
  <si>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</si>
  <si>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</si>
  <si>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</si>
  <si>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</si>
  <si>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</si>
  <si>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</si>
  <si>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</si>
  <si>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</si>
  <si>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</si>
  <si>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</si>
  <si>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</si>
  <si>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</si>
  <si>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</si>
  <si>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</si>
  <si>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</si>
  <si>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</si>
  <si>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</si>
  <si>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</si>
  <si>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</si>
  <si>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</si>
  <si>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</si>
  <si>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</si>
  <si>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</si>
  <si>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</si>
  <si>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</si>
  <si>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</si>
  <si>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</si>
  <si>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</si>
  <si>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</si>
  <si>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</si>
  <si>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</si>
  <si>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</si>
  <si>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</si>
  <si>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</si>
  <si>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</si>
  <si>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</si>
  <si>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</si>
  <si>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</si>
  <si>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</si>
  <si>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</si>
  <si>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</si>
  <si>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</si>
  <si>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</si>
  <si>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</si>
  <si>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</si>
  <si>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</si>
  <si>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</si>
  <si>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</si>
  <si>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</si>
  <si>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</si>
  <si>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</si>
  <si>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</si>
  <si>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</si>
  <si>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</si>
  <si>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</si>
  <si>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</si>
  <si>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</si>
  <si>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</si>
  <si>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</si>
  <si>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</si>
  <si>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</si>
  <si>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</si>
  <si>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</si>
  <si>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</si>
  <si>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</si>
  <si>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</si>
  <si>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</si>
  <si>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</si>
  <si>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</si>
  <si>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</si>
  <si>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</si>
  <si>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</si>
  <si>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</si>
  <si>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</si>
  <si>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</si>
  <si>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</si>
  <si>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</si>
  <si>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</si>
  <si>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</si>
  <si>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</si>
  <si>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</si>
  <si>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</si>
  <si>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</si>
  <si>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</si>
  <si>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</si>
  <si>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</si>
  <si>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</si>
  <si>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</si>
  <si>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</si>
  <si>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</si>
  <si>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</si>
  <si>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</si>
  <si>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</si>
  <si>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</si>
  <si>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</si>
  <si>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</si>
  <si>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</si>
  <si>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AED. 0.333415/Ton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</si>
</sst>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s>
  <cellStyleXfs count="2">
    <xf numFmtId="0" fontId="0" fillId="0" borderId="0"/>
    <xf numFmtId="0" fontId="16" fillId="0" borderId="0"/>
  </cellStyleXfs>
  <cellXfs count="12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wrapText="1"/>
    </xf>
    <xf numFmtId="3" fontId="0" fillId="0" borderId="14" xfId="0" applyNumberFormat="1" applyBorder="1" applyAlignment="1">
      <alignment horizontal="center" vertical="center" wrapText="1"/>
    </xf>
    <xf numFmtId="0" fontId="0" fillId="0" borderId="14"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5" xfId="0" applyNumberFormat="1" applyBorder="1" applyAlignment="1">
      <alignment horizontal="center" vertical="center"/>
    </xf>
    <xf numFmtId="0" fontId="0" fillId="5" borderId="14" xfId="0" applyFill="1" applyBorder="1" applyAlignment="1">
      <alignment horizontal="center" vertical="center" wrapText="1"/>
    </xf>
    <xf numFmtId="0" fontId="0" fillId="0" borderId="15" xfId="0" applyBorder="1" applyAlignment="1">
      <alignment horizontal="center" vertical="center"/>
    </xf>
    <xf numFmtId="4" fontId="0" fillId="0" borderId="15"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 xfId="0" applyFill="1" applyBorder="1" applyAlignment="1">
      <alignment horizontal="center" vertical="center"/>
    </xf>
    <xf numFmtId="3" fontId="0" fillId="6" borderId="15"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5" fontId="9" fillId="0" borderId="0" xfId="0" applyNumberFormat="1" applyFont="1" applyBorder="1" applyAlignment="1">
      <alignment horizontal="center" vertical="center"/>
    </xf>
    <xf numFmtId="3" fontId="0" fillId="0" borderId="17" xfId="0" applyNumberFormat="1" applyBorder="1" applyAlignment="1">
      <alignment horizontal="center" vertical="center"/>
    </xf>
    <xf numFmtId="3" fontId="0" fillId="0" borderId="18" xfId="0" applyNumberFormat="1" applyBorder="1" applyAlignment="1">
      <alignment horizontal="center" vertical="center"/>
    </xf>
    <xf numFmtId="165" fontId="9" fillId="0" borderId="3" xfId="0" applyNumberFormat="1" applyFont="1" applyBorder="1" applyAlignment="1">
      <alignment horizontal="center" vertical="center"/>
    </xf>
    <xf numFmtId="165" fontId="9" fillId="0" borderId="19"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6"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8" xfId="0" applyNumberFormat="1" applyFill="1" applyBorder="1" applyAlignment="1">
      <alignment horizontal="center" vertical="center"/>
    </xf>
    <xf numFmtId="166" fontId="0" fillId="0" borderId="1" xfId="0" applyNumberFormat="1" applyBorder="1" applyAlignment="1">
      <alignment horizontal="center" vertical="center"/>
    </xf>
    <xf numFmtId="3" fontId="9" fillId="0" borderId="16"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P6" sqref="P6"/>
    </sheetView>
  </sheetViews>
  <sheetFormatPr defaultColWidth="11.5703125" defaultRowHeight="15" x14ac:dyDescent="0.25"/>
  <cols>
    <col min="1" max="1" width="18.42578125" style="3" customWidth="1"/>
    <col min="2" max="2" width="11.5703125" style="2"/>
    <col min="3" max="3" width="11.5703125" style="68"/>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87" t="s">
        <v>0</v>
      </c>
      <c r="B1" s="87" t="s">
        <v>1</v>
      </c>
      <c r="C1" s="88" t="s">
        <v>2</v>
      </c>
      <c r="D1" s="87" t="s">
        <v>3</v>
      </c>
      <c r="E1" s="89" t="s">
        <v>4</v>
      </c>
      <c r="F1" s="90" t="s">
        <v>5</v>
      </c>
      <c r="G1" s="89" t="s">
        <v>10</v>
      </c>
      <c r="H1" s="90" t="s">
        <v>11</v>
      </c>
      <c r="I1" s="91" t="s">
        <v>83</v>
      </c>
      <c r="J1" s="92" t="s">
        <v>84</v>
      </c>
      <c r="K1" s="89" t="s">
        <v>6</v>
      </c>
      <c r="L1" s="93" t="s">
        <v>7</v>
      </c>
      <c r="M1" s="89" t="s">
        <v>8</v>
      </c>
      <c r="N1" s="89" t="s">
        <v>9</v>
      </c>
    </row>
    <row r="2" spans="1:15" x14ac:dyDescent="0.25">
      <c r="A2" s="83" t="s">
        <v>81</v>
      </c>
      <c r="B2" s="84">
        <v>1</v>
      </c>
      <c r="C2" s="85">
        <v>5</v>
      </c>
      <c r="D2" s="84">
        <v>2020</v>
      </c>
      <c r="E2" s="82">
        <f>Submetering!E2+Submetering!F2+Submetering!G2+Submetering!H2+Submetering!I2+Submetering!J2+Submetering!K2</f>
        <v>16871</v>
      </c>
      <c r="F2" s="86">
        <v>0.2</v>
      </c>
      <c r="G2" s="82">
        <f>Submetering!P2</f>
        <v>169.09999999997672</v>
      </c>
      <c r="H2" s="86">
        <v>10.02</v>
      </c>
      <c r="I2" s="82">
        <f>Submetering!T2-Submetering!T2*15%-Submetering!X2</f>
        <v>29342.607799998543</v>
      </c>
      <c r="J2" s="81">
        <v>0.21</v>
      </c>
      <c r="K2" s="82">
        <f>Submetering!N2-Submetering!O2</f>
        <v>45.36</v>
      </c>
      <c r="L2" s="86">
        <v>7.84</v>
      </c>
      <c r="M2" s="82">
        <v>12</v>
      </c>
      <c r="N2" s="82">
        <v>21</v>
      </c>
    </row>
    <row r="3" spans="1:15" x14ac:dyDescent="0.25">
      <c r="A3" s="83" t="s">
        <v>81</v>
      </c>
      <c r="B3" s="84">
        <f>B2+1</f>
        <v>2</v>
      </c>
      <c r="C3" s="85">
        <v>5</v>
      </c>
      <c r="D3" s="84">
        <v>2020</v>
      </c>
      <c r="E3" s="82">
        <f>Submetering!E3+Submetering!F3+Submetering!G3+Submetering!H3+Submetering!I3+Submetering!J3+Submetering!K3</f>
        <v>16623</v>
      </c>
      <c r="F3" s="86">
        <v>0.2</v>
      </c>
      <c r="G3" s="82">
        <f>Submetering!P3</f>
        <v>169.40000000002328</v>
      </c>
      <c r="H3" s="86">
        <v>10.02</v>
      </c>
      <c r="I3" s="82">
        <f>Submetering!T3-Submetering!T3*15%-Submetering!X3</f>
        <v>27481.654799995631</v>
      </c>
      <c r="J3" s="81">
        <v>0.21</v>
      </c>
      <c r="K3" s="82">
        <f>Submetering!N3-Submetering!O3</f>
        <v>81.662000000000006</v>
      </c>
      <c r="L3" s="86">
        <v>7.84</v>
      </c>
      <c r="M3" s="82">
        <v>10</v>
      </c>
      <c r="N3" s="82">
        <v>15</v>
      </c>
    </row>
    <row r="4" spans="1:15" x14ac:dyDescent="0.25">
      <c r="A4" s="83" t="s">
        <v>81</v>
      </c>
      <c r="B4" s="84">
        <f t="shared" ref="B4:B32" si="0">B3+1</f>
        <v>3</v>
      </c>
      <c r="C4" s="85">
        <v>5</v>
      </c>
      <c r="D4" s="84">
        <v>2020</v>
      </c>
      <c r="E4" s="82">
        <f>Submetering!E4+Submetering!F4+Submetering!G4+Submetering!H4+Submetering!I4+Submetering!J4+Submetering!K4</f>
        <v>16779</v>
      </c>
      <c r="F4" s="86">
        <v>0.2</v>
      </c>
      <c r="G4" s="82">
        <f>Submetering!P4</f>
        <v>163.59999999997672</v>
      </c>
      <c r="H4" s="86">
        <v>10.02</v>
      </c>
      <c r="I4" s="82">
        <f>Submetering!T4-Submetering!T4*15%-Submetering!X4</f>
        <v>29506.939800001455</v>
      </c>
      <c r="J4" s="81">
        <v>0.21</v>
      </c>
      <c r="K4" s="82">
        <f>Submetering!N4-Submetering!O4</f>
        <v>37.012</v>
      </c>
      <c r="L4" s="86">
        <v>7.84</v>
      </c>
      <c r="M4" s="82">
        <v>11</v>
      </c>
      <c r="N4" s="82">
        <v>18</v>
      </c>
    </row>
    <row r="5" spans="1:15" x14ac:dyDescent="0.25">
      <c r="A5" s="83" t="s">
        <v>81</v>
      </c>
      <c r="B5" s="84">
        <f t="shared" si="0"/>
        <v>4</v>
      </c>
      <c r="C5" s="85">
        <v>5</v>
      </c>
      <c r="D5" s="84">
        <v>2020</v>
      </c>
      <c r="E5" s="82">
        <f>Submetering!E5+Submetering!F5+Submetering!G5+Submetering!H5+Submetering!I5+Submetering!J5+Submetering!K5</f>
        <v>17111</v>
      </c>
      <c r="F5" s="86">
        <v>0.2</v>
      </c>
      <c r="G5" s="82">
        <f>Submetering!P5</f>
        <v>164.5</v>
      </c>
      <c r="H5" s="86">
        <v>10.02</v>
      </c>
      <c r="I5" s="82">
        <f>Submetering!T5-Submetering!T5*15%-Submetering!X5</f>
        <v>27482.086200004363</v>
      </c>
      <c r="J5" s="81">
        <v>0.21</v>
      </c>
      <c r="K5" s="103">
        <f>Submetering!N5-Submetering!O5</f>
        <v>59.111000000000011</v>
      </c>
      <c r="L5" s="86">
        <v>7.84</v>
      </c>
      <c r="M5" s="82">
        <v>13</v>
      </c>
      <c r="N5" s="82">
        <v>20</v>
      </c>
    </row>
    <row r="6" spans="1:15" x14ac:dyDescent="0.25">
      <c r="A6" s="83" t="s">
        <v>81</v>
      </c>
      <c r="B6" s="84">
        <f t="shared" si="0"/>
        <v>5</v>
      </c>
      <c r="C6" s="85">
        <v>5</v>
      </c>
      <c r="D6" s="84">
        <v>2020</v>
      </c>
      <c r="E6" s="82">
        <f>Submetering!E6+Submetering!F6+Submetering!G6+Submetering!H6+Submetering!I6+Submetering!J6+Submetering!K6</f>
        <v>16726</v>
      </c>
      <c r="F6" s="86">
        <v>0.2</v>
      </c>
      <c r="G6" s="82">
        <f>Submetering!P6</f>
        <v>163.19999999995343</v>
      </c>
      <c r="H6" s="86">
        <v>10.02</v>
      </c>
      <c r="I6" s="82">
        <f>Submetering!T6-Submetering!T6*15%-Submetering!X6</f>
        <v>23447.239999994184</v>
      </c>
      <c r="J6" s="81">
        <v>0.21</v>
      </c>
      <c r="K6" s="82">
        <f>Submetering!N6-Submetering!O6</f>
        <v>65.564000000000007</v>
      </c>
      <c r="L6" s="86">
        <v>7.84</v>
      </c>
      <c r="M6" s="82">
        <v>14</v>
      </c>
      <c r="N6" s="82">
        <v>22</v>
      </c>
    </row>
    <row r="7" spans="1:15" x14ac:dyDescent="0.25">
      <c r="A7" s="83" t="s">
        <v>81</v>
      </c>
      <c r="B7" s="84">
        <f t="shared" si="0"/>
        <v>6</v>
      </c>
      <c r="C7" s="85">
        <v>5</v>
      </c>
      <c r="D7" s="84">
        <v>2020</v>
      </c>
      <c r="E7" s="82">
        <f>Submetering!E7+Submetering!F7+Submetering!G7+Submetering!H7+Submetering!I7+Submetering!J7+Submetering!K7</f>
        <v>16752</v>
      </c>
      <c r="F7" s="86">
        <v>0.2</v>
      </c>
      <c r="G7" s="82">
        <f>Submetering!P7</f>
        <v>164.40000000002328</v>
      </c>
      <c r="H7" s="86">
        <v>10.02</v>
      </c>
      <c r="I7" s="82">
        <f>Submetering!T7-Submetering!T7*15%-Submetering!X7</f>
        <v>27801.394000005821</v>
      </c>
      <c r="J7" s="81">
        <v>0.21</v>
      </c>
      <c r="K7" s="82">
        <f>Submetering!N7-Submetering!O7</f>
        <v>58.856999999999999</v>
      </c>
      <c r="L7" s="86">
        <v>7.84</v>
      </c>
      <c r="M7" s="82">
        <v>12</v>
      </c>
      <c r="N7" s="82">
        <v>19</v>
      </c>
    </row>
    <row r="8" spans="1:15" x14ac:dyDescent="0.25">
      <c r="A8" s="83" t="s">
        <v>81</v>
      </c>
      <c r="B8" s="84">
        <f t="shared" si="0"/>
        <v>7</v>
      </c>
      <c r="C8" s="85">
        <v>5</v>
      </c>
      <c r="D8" s="84">
        <v>2020</v>
      </c>
      <c r="E8" s="82">
        <f>Submetering!E8+Submetering!F8+Submetering!G8+Submetering!H8+Submetering!I8+Submetering!J8+Submetering!K8</f>
        <v>16981</v>
      </c>
      <c r="F8" s="86">
        <v>0.2</v>
      </c>
      <c r="G8" s="82">
        <f>Submetering!P8</f>
        <v>163</v>
      </c>
      <c r="H8" s="86">
        <v>10.02</v>
      </c>
      <c r="I8" s="82">
        <f>Submetering!T8-Submetering!T8*15%-Submetering!X8</f>
        <v>27358.803999998541</v>
      </c>
      <c r="J8" s="81">
        <v>0.21</v>
      </c>
      <c r="K8" s="82">
        <f>Submetering!N8-Submetering!O8</f>
        <v>29.646999999999998</v>
      </c>
      <c r="L8" s="86">
        <v>7.84</v>
      </c>
      <c r="M8" s="82">
        <v>11</v>
      </c>
      <c r="N8" s="82">
        <v>19</v>
      </c>
    </row>
    <row r="9" spans="1:15" x14ac:dyDescent="0.25">
      <c r="A9" s="83" t="s">
        <v>81</v>
      </c>
      <c r="B9" s="84">
        <f t="shared" si="0"/>
        <v>8</v>
      </c>
      <c r="C9" s="85">
        <v>5</v>
      </c>
      <c r="D9" s="84">
        <v>2020</v>
      </c>
      <c r="E9" s="82">
        <f>Submetering!E9+Submetering!F9+Submetering!G9+Submetering!H9+Submetering!I9+Submetering!J9+Submetering!K9</f>
        <v>17152</v>
      </c>
      <c r="F9" s="86">
        <v>0.2</v>
      </c>
      <c r="G9" s="82">
        <f>Submetering!P9</f>
        <v>167.5</v>
      </c>
      <c r="H9" s="86">
        <v>10.02</v>
      </c>
      <c r="I9" s="82">
        <f>Submetering!T9-Submetering!T9*15%-Submetering!X9</f>
        <v>28347.599199997087</v>
      </c>
      <c r="J9" s="81">
        <v>0.21</v>
      </c>
      <c r="K9" s="82">
        <f>Submetering!N9-Submetering!O9</f>
        <v>66.246000000000009</v>
      </c>
      <c r="L9" s="86">
        <v>7.84</v>
      </c>
      <c r="M9" s="82">
        <v>10</v>
      </c>
      <c r="N9" s="82">
        <v>17</v>
      </c>
      <c r="O9" s="1" t="s">
        <v>12</v>
      </c>
    </row>
    <row r="10" spans="1:15" x14ac:dyDescent="0.25">
      <c r="A10" s="83" t="s">
        <v>81</v>
      </c>
      <c r="B10" s="84">
        <f t="shared" si="0"/>
        <v>9</v>
      </c>
      <c r="C10" s="85">
        <v>5</v>
      </c>
      <c r="D10" s="84">
        <v>2020</v>
      </c>
      <c r="E10" s="82">
        <f>Submetering!E10+Submetering!F10+Submetering!G10+Submetering!H10+Submetering!I10+Submetering!J10+Submetering!K10</f>
        <v>16799</v>
      </c>
      <c r="F10" s="86">
        <v>0.2</v>
      </c>
      <c r="G10" s="82">
        <f>Submetering!P10</f>
        <v>163.90000000002328</v>
      </c>
      <c r="H10" s="86">
        <v>10.02</v>
      </c>
      <c r="I10" s="82">
        <f>Submetering!T10-Submetering!T10*15%-Submetering!X10</f>
        <v>26992.151000002908</v>
      </c>
      <c r="J10" s="81">
        <v>0.21</v>
      </c>
      <c r="K10" s="82">
        <f>Submetering!N10-Submetering!O10</f>
        <v>25.299999999999997</v>
      </c>
      <c r="L10" s="86">
        <v>7.84</v>
      </c>
      <c r="M10" s="82">
        <v>11</v>
      </c>
      <c r="N10" s="82">
        <v>18</v>
      </c>
    </row>
    <row r="11" spans="1:15" x14ac:dyDescent="0.25">
      <c r="A11" s="83" t="s">
        <v>81</v>
      </c>
      <c r="B11" s="84">
        <f t="shared" si="0"/>
        <v>10</v>
      </c>
      <c r="C11" s="85">
        <v>5</v>
      </c>
      <c r="D11" s="84">
        <v>2020</v>
      </c>
      <c r="E11" s="82">
        <f>Submetering!E11+Submetering!F11+Submetering!G11+Submetering!H11+Submetering!I11+Submetering!J11+Submetering!K11</f>
        <v>16623</v>
      </c>
      <c r="F11" s="86">
        <v>0.2</v>
      </c>
      <c r="G11" s="82">
        <f>Submetering!P11</f>
        <v>158.40000000002328</v>
      </c>
      <c r="H11" s="86">
        <v>10.02</v>
      </c>
      <c r="I11" s="82">
        <f>Submetering!T11-Submetering!T11*15%-Submetering!X11</f>
        <v>25730.920799998545</v>
      </c>
      <c r="J11" s="81">
        <v>0.21</v>
      </c>
      <c r="K11" s="82">
        <f>Submetering!N11-Submetering!O11</f>
        <v>58.445</v>
      </c>
      <c r="L11" s="86">
        <v>7.84</v>
      </c>
      <c r="M11" s="82">
        <v>11</v>
      </c>
      <c r="N11" s="82">
        <v>17</v>
      </c>
    </row>
    <row r="12" spans="1:15" x14ac:dyDescent="0.25">
      <c r="A12" s="83" t="s">
        <v>81</v>
      </c>
      <c r="B12" s="84">
        <f t="shared" si="0"/>
        <v>11</v>
      </c>
      <c r="C12" s="85">
        <v>5</v>
      </c>
      <c r="D12" s="84">
        <v>2020</v>
      </c>
      <c r="E12" s="82">
        <f>Submetering!E12+Submetering!F12+Submetering!G12+Submetering!H12+Submetering!I12+Submetering!J12+Submetering!K12</f>
        <v>16772</v>
      </c>
      <c r="F12" s="86">
        <v>0.2</v>
      </c>
      <c r="G12" s="82">
        <f>Submetering!P12</f>
        <v>165.39999999990687</v>
      </c>
      <c r="H12" s="86">
        <v>10.02</v>
      </c>
      <c r="I12" s="82">
        <f>Submetering!T12-Submetering!T12*15%-Submetering!X12</f>
        <v>29629.081999997084</v>
      </c>
      <c r="J12" s="81">
        <v>0.21</v>
      </c>
      <c r="K12" s="82">
        <f>Submetering!N12-Submetering!O12</f>
        <v>71.784000000000006</v>
      </c>
      <c r="L12" s="86">
        <v>7.84</v>
      </c>
      <c r="M12" s="82">
        <v>17</v>
      </c>
      <c r="N12" s="82">
        <v>22</v>
      </c>
    </row>
    <row r="13" spans="1:15" x14ac:dyDescent="0.25">
      <c r="A13" s="83" t="s">
        <v>81</v>
      </c>
      <c r="B13" s="84">
        <f t="shared" si="0"/>
        <v>12</v>
      </c>
      <c r="C13" s="85">
        <v>5</v>
      </c>
      <c r="D13" s="84">
        <v>2020</v>
      </c>
      <c r="E13" s="82">
        <f>Submetering!E13+Submetering!F13+Submetering!G13+Submetering!H13+Submetering!I13+Submetering!J13+Submetering!K13</f>
        <v>16604</v>
      </c>
      <c r="F13" s="86">
        <v>0.2</v>
      </c>
      <c r="G13" s="82">
        <f>Submetering!P13</f>
        <v>161.30000000004657</v>
      </c>
      <c r="H13" s="86">
        <v>10.02</v>
      </c>
      <c r="I13" s="82">
        <f>Submetering!T13-Submetering!T13*15%-Submetering!X13</f>
        <v>25777.68040000437</v>
      </c>
      <c r="J13" s="81">
        <v>0.21</v>
      </c>
      <c r="K13" s="82">
        <f>Submetering!N13-Submetering!O13</f>
        <v>58.275000000000006</v>
      </c>
      <c r="L13" s="86">
        <v>7.84</v>
      </c>
      <c r="M13" s="82">
        <v>14</v>
      </c>
      <c r="N13" s="82">
        <v>21</v>
      </c>
    </row>
    <row r="14" spans="1:15" x14ac:dyDescent="0.25">
      <c r="A14" s="83" t="s">
        <v>81</v>
      </c>
      <c r="B14" s="84">
        <f t="shared" si="0"/>
        <v>13</v>
      </c>
      <c r="C14" s="85">
        <v>5</v>
      </c>
      <c r="D14" s="84">
        <v>2020</v>
      </c>
      <c r="E14" s="82">
        <f>Submetering!E14+Submetering!F14+Submetering!G14+Submetering!H14+Submetering!I14+Submetering!J14+Submetering!K14</f>
        <v>16772</v>
      </c>
      <c r="F14" s="86">
        <v>0.2</v>
      </c>
      <c r="G14" s="82">
        <f>Submetering!P14</f>
        <v>166.80000000004657</v>
      </c>
      <c r="H14" s="86">
        <v>10.02</v>
      </c>
      <c r="I14" s="82">
        <f>Submetering!T14-Submetering!T14*15%-Submetering!X14</f>
        <v>24325.374999998545</v>
      </c>
      <c r="J14" s="81">
        <v>0.21</v>
      </c>
      <c r="K14" s="82">
        <f>Submetering!N14-Submetering!O14</f>
        <v>27.302</v>
      </c>
      <c r="L14" s="86">
        <v>7.84</v>
      </c>
      <c r="M14" s="82">
        <v>15</v>
      </c>
      <c r="N14" s="82">
        <v>21</v>
      </c>
    </row>
    <row r="15" spans="1:15" x14ac:dyDescent="0.25">
      <c r="A15" s="83" t="s">
        <v>81</v>
      </c>
      <c r="B15" s="84">
        <f t="shared" si="0"/>
        <v>14</v>
      </c>
      <c r="C15" s="85">
        <v>5</v>
      </c>
      <c r="D15" s="84">
        <v>2020</v>
      </c>
      <c r="E15" s="82">
        <f>Submetering!E15+Submetering!F15+Submetering!G15+Submetering!H15+Submetering!I15+Submetering!J15+Submetering!K15</f>
        <v>17678</v>
      </c>
      <c r="F15" s="86">
        <v>0.2</v>
      </c>
      <c r="G15" s="82">
        <f>Submetering!P15</f>
        <v>170.39999999990687</v>
      </c>
      <c r="H15" s="86">
        <v>10.02</v>
      </c>
      <c r="I15" s="82">
        <f>Submetering!T15-Submetering!T15*15%-Submetering!X15</f>
        <v>27255.661199998547</v>
      </c>
      <c r="J15" s="81">
        <v>0.21</v>
      </c>
      <c r="K15" s="103">
        <f>Submetering!N15-Submetering!O15</f>
        <v>62.819000000000003</v>
      </c>
      <c r="L15" s="86">
        <v>7.84</v>
      </c>
      <c r="M15" s="82">
        <v>11</v>
      </c>
      <c r="N15" s="82">
        <v>15</v>
      </c>
    </row>
    <row r="16" spans="1:15" x14ac:dyDescent="0.25">
      <c r="A16" s="83" t="s">
        <v>81</v>
      </c>
      <c r="B16" s="84">
        <f t="shared" si="0"/>
        <v>15</v>
      </c>
      <c r="C16" s="85">
        <v>5</v>
      </c>
      <c r="D16" s="84">
        <v>2020</v>
      </c>
      <c r="E16" s="82">
        <f>Submetering!E16+Submetering!F16+Submetering!G16+Submetering!H16+Submetering!I16+Submetering!J16+Submetering!K16</f>
        <v>17271</v>
      </c>
      <c r="F16" s="86">
        <v>0.2</v>
      </c>
      <c r="G16" s="82">
        <f>Submetering!P16</f>
        <v>174.90000000002328</v>
      </c>
      <c r="H16" s="86">
        <v>10.02</v>
      </c>
      <c r="I16" s="82">
        <f>Submetering!T16-Submetering!T16*15%-Submetering!X16</f>
        <v>28401.71220000145</v>
      </c>
      <c r="J16" s="81">
        <v>0.21</v>
      </c>
      <c r="K16" s="82">
        <f>Submetering!N16-Submetering!O16</f>
        <v>40.514000000000003</v>
      </c>
      <c r="L16" s="86">
        <v>7.84</v>
      </c>
      <c r="M16" s="82">
        <v>15</v>
      </c>
      <c r="N16" s="82">
        <v>22</v>
      </c>
    </row>
    <row r="17" spans="1:14" x14ac:dyDescent="0.25">
      <c r="A17" s="83" t="s">
        <v>81</v>
      </c>
      <c r="B17" s="84">
        <f t="shared" si="0"/>
        <v>16</v>
      </c>
      <c r="C17" s="85">
        <v>5</v>
      </c>
      <c r="D17" s="84">
        <v>2020</v>
      </c>
      <c r="E17" s="82">
        <f>Submetering!E17+Submetering!F17+Submetering!G17+Submetering!H17+Submetering!I17+Submetering!J17+Submetering!K17</f>
        <v>17882</v>
      </c>
      <c r="F17" s="86">
        <v>0.2</v>
      </c>
      <c r="G17" s="82">
        <f>Submetering!P17</f>
        <v>186.20000000006985</v>
      </c>
      <c r="H17" s="86">
        <v>10.02</v>
      </c>
      <c r="I17" s="82">
        <f>Submetering!T17-Submetering!T17*15%-Submetering!X17</f>
        <v>31241.549799998545</v>
      </c>
      <c r="J17" s="81">
        <v>0.21</v>
      </c>
      <c r="K17" s="82">
        <f>Submetering!N17-Submetering!O17</f>
        <v>70.359999999999985</v>
      </c>
      <c r="L17" s="86">
        <v>7.84</v>
      </c>
      <c r="M17" s="82">
        <v>13</v>
      </c>
      <c r="N17" s="82">
        <v>19</v>
      </c>
    </row>
    <row r="18" spans="1:14" x14ac:dyDescent="0.25">
      <c r="A18" s="83" t="s">
        <v>81</v>
      </c>
      <c r="B18" s="84">
        <f t="shared" si="0"/>
        <v>17</v>
      </c>
      <c r="C18" s="85">
        <v>5</v>
      </c>
      <c r="D18" s="84">
        <v>2020</v>
      </c>
      <c r="E18" s="82">
        <f>Submetering!E18+Submetering!F18+Submetering!G18+Submetering!H18+Submetering!I18+Submetering!J18+Submetering!K18</f>
        <v>17855</v>
      </c>
      <c r="F18" s="86">
        <v>0.2</v>
      </c>
      <c r="G18" s="82">
        <f>Submetering!P18</f>
        <v>192.89999999990687</v>
      </c>
      <c r="H18" s="86">
        <v>10.02</v>
      </c>
      <c r="I18" s="82">
        <f>Submetering!T18-Submetering!T18*15%-Submetering!X18</f>
        <v>31276.077800004365</v>
      </c>
      <c r="J18" s="81">
        <v>0.21</v>
      </c>
      <c r="K18" s="82">
        <f>Submetering!N18-Submetering!O18</f>
        <v>46.262999999999998</v>
      </c>
      <c r="L18" s="86">
        <v>7.84</v>
      </c>
      <c r="M18" s="82">
        <v>12</v>
      </c>
      <c r="N18" s="82">
        <v>17</v>
      </c>
    </row>
    <row r="19" spans="1:14" x14ac:dyDescent="0.25">
      <c r="A19" s="83" t="s">
        <v>81</v>
      </c>
      <c r="B19" s="84">
        <f t="shared" si="0"/>
        <v>18</v>
      </c>
      <c r="C19" s="85">
        <v>5</v>
      </c>
      <c r="D19" s="84">
        <v>2020</v>
      </c>
      <c r="E19" s="82">
        <f>Submetering!E19+Submetering!F19+Submetering!G19+Submetering!H19+Submetering!I19+Submetering!J19+Submetering!K19</f>
        <v>16788</v>
      </c>
      <c r="F19" s="86">
        <v>0.2</v>
      </c>
      <c r="G19" s="82">
        <f>Submetering!P19</f>
        <v>185.10000000009313</v>
      </c>
      <c r="H19" s="86">
        <v>10.02</v>
      </c>
      <c r="I19" s="82">
        <f>Submetering!T19-Submetering!T19*15%-Submetering!X19</f>
        <v>27531.752399994184</v>
      </c>
      <c r="J19" s="81">
        <v>0.21</v>
      </c>
      <c r="K19" s="82">
        <f>Submetering!N19-Submetering!O19</f>
        <v>25.128000000000004</v>
      </c>
      <c r="L19" s="86">
        <v>7.84</v>
      </c>
      <c r="M19" s="82">
        <v>11</v>
      </c>
      <c r="N19" s="82">
        <v>17</v>
      </c>
    </row>
    <row r="20" spans="1:14" x14ac:dyDescent="0.25">
      <c r="A20" s="83" t="s">
        <v>81</v>
      </c>
      <c r="B20" s="84">
        <f t="shared" si="0"/>
        <v>19</v>
      </c>
      <c r="C20" s="85">
        <v>5</v>
      </c>
      <c r="D20" s="84">
        <v>2020</v>
      </c>
      <c r="E20" s="82">
        <f>Submetering!E20+Submetering!F20+Submetering!G20+Submetering!H20+Submetering!I20+Submetering!J20+Submetering!K20</f>
        <v>16812</v>
      </c>
      <c r="F20" s="86">
        <v>0.2</v>
      </c>
      <c r="G20" s="82">
        <f>Submetering!P20</f>
        <v>178.69999999995343</v>
      </c>
      <c r="H20" s="86">
        <v>10.02</v>
      </c>
      <c r="I20" s="82">
        <f>Submetering!T20-Submetering!T20*15%-Submetering!X20</f>
        <v>28562.542200001459</v>
      </c>
      <c r="J20" s="81">
        <v>0.21</v>
      </c>
      <c r="K20" s="82">
        <f>Submetering!N20-Submetering!O20</f>
        <v>48.679000000000002</v>
      </c>
      <c r="L20" s="86">
        <v>7.84</v>
      </c>
      <c r="M20" s="82">
        <v>11</v>
      </c>
      <c r="N20" s="82">
        <v>18</v>
      </c>
    </row>
    <row r="21" spans="1:14" x14ac:dyDescent="0.25">
      <c r="A21" s="83" t="s">
        <v>81</v>
      </c>
      <c r="B21" s="84">
        <f t="shared" si="0"/>
        <v>20</v>
      </c>
      <c r="C21" s="85">
        <v>5</v>
      </c>
      <c r="D21" s="84">
        <v>2020</v>
      </c>
      <c r="E21" s="82">
        <f>Submetering!E21+Submetering!F21+Submetering!G21+Submetering!H21+Submetering!I21+Submetering!J21+Submetering!K21</f>
        <v>16608</v>
      </c>
      <c r="F21" s="86">
        <v>0.2</v>
      </c>
      <c r="G21" s="82">
        <f>Submetering!P21</f>
        <v>188.30000000004657</v>
      </c>
      <c r="H21" s="86">
        <v>10.02</v>
      </c>
      <c r="I21" s="82">
        <f>Submetering!T21-Submetering!T21*15%-Submetering!X21</f>
        <v>24660.847800004369</v>
      </c>
      <c r="J21" s="81">
        <v>0.21</v>
      </c>
      <c r="K21" s="82">
        <f>Submetering!N21-Submetering!O21</f>
        <v>38.732999999999997</v>
      </c>
      <c r="L21" s="86">
        <v>7.84</v>
      </c>
      <c r="M21" s="82">
        <v>10</v>
      </c>
      <c r="N21" s="82">
        <v>16</v>
      </c>
    </row>
    <row r="22" spans="1:14" x14ac:dyDescent="0.25">
      <c r="A22" s="83" t="s">
        <v>81</v>
      </c>
      <c r="B22" s="84">
        <f t="shared" si="0"/>
        <v>21</v>
      </c>
      <c r="C22" s="85">
        <v>5</v>
      </c>
      <c r="D22" s="84">
        <v>2020</v>
      </c>
      <c r="E22" s="82">
        <f>Submetering!E22+Submetering!F22+Submetering!G22+Submetering!H22+Submetering!I22+Submetering!J22+Submetering!K22</f>
        <v>16657</v>
      </c>
      <c r="F22" s="86">
        <v>0.2</v>
      </c>
      <c r="G22" s="82">
        <f>Submetering!P22</f>
        <v>206.09999999997672</v>
      </c>
      <c r="H22" s="86">
        <v>10.02</v>
      </c>
      <c r="I22" s="82">
        <f>Submetering!T22-Submetering!T22*15%-Submetering!X22</f>
        <v>26432.615199998545</v>
      </c>
      <c r="J22" s="81">
        <v>0.21</v>
      </c>
      <c r="K22" s="82">
        <f>Submetering!N22-Submetering!O22</f>
        <v>27.133000000000003</v>
      </c>
      <c r="L22" s="86">
        <v>7.84</v>
      </c>
      <c r="M22" s="82">
        <v>11</v>
      </c>
      <c r="N22" s="82">
        <v>15</v>
      </c>
    </row>
    <row r="23" spans="1:14" x14ac:dyDescent="0.25">
      <c r="A23" s="83" t="s">
        <v>81</v>
      </c>
      <c r="B23" s="84">
        <f t="shared" si="0"/>
        <v>22</v>
      </c>
      <c r="C23" s="85">
        <v>5</v>
      </c>
      <c r="D23" s="84">
        <v>2020</v>
      </c>
      <c r="E23" s="82">
        <f>Submetering!E23+Submetering!F23+Submetering!G23+Submetering!H23+Submetering!I23+Submetering!J23+Submetering!K23</f>
        <v>16695</v>
      </c>
      <c r="F23" s="86">
        <v>0.2</v>
      </c>
      <c r="G23" s="82">
        <f>Submetering!P23</f>
        <v>177</v>
      </c>
      <c r="H23" s="86">
        <v>10.02</v>
      </c>
      <c r="I23" s="82">
        <f>Submetering!T23-Submetering!T23*15%-Submetering!X23</f>
        <v>29526.093399998543</v>
      </c>
      <c r="J23" s="81">
        <v>0.21</v>
      </c>
      <c r="K23" s="82">
        <f>Submetering!N23-Submetering!O23</f>
        <v>45.28</v>
      </c>
      <c r="L23" s="86">
        <v>7.84</v>
      </c>
      <c r="M23" s="82">
        <v>12</v>
      </c>
      <c r="N23" s="82">
        <v>17</v>
      </c>
    </row>
    <row r="24" spans="1:14" x14ac:dyDescent="0.25">
      <c r="A24" s="83" t="s">
        <v>81</v>
      </c>
      <c r="B24" s="84">
        <f t="shared" si="0"/>
        <v>23</v>
      </c>
      <c r="C24" s="85">
        <v>5</v>
      </c>
      <c r="D24" s="84">
        <v>2020</v>
      </c>
      <c r="E24" s="82">
        <f>Submetering!E24+Submetering!F24+Submetering!G24+Submetering!H24+Submetering!I24+Submetering!J24+Submetering!K24</f>
        <v>17103</v>
      </c>
      <c r="F24" s="86">
        <v>0.2</v>
      </c>
      <c r="G24" s="82">
        <f>Submetering!P24</f>
        <v>180.29999999993015</v>
      </c>
      <c r="H24" s="86">
        <v>10.02</v>
      </c>
      <c r="I24" s="82">
        <f>Submetering!T24-Submetering!T24*15%-Submetering!X24</f>
        <v>31520.157200002912</v>
      </c>
      <c r="J24" s="81">
        <v>0.21</v>
      </c>
      <c r="K24" s="82">
        <f>Submetering!N24-Submetering!O24</f>
        <v>79.716999999999999</v>
      </c>
      <c r="L24" s="86">
        <v>7.84</v>
      </c>
      <c r="M24" s="82">
        <v>13</v>
      </c>
      <c r="N24" s="82">
        <v>18</v>
      </c>
    </row>
    <row r="25" spans="1:14" x14ac:dyDescent="0.25">
      <c r="A25" s="83" t="s">
        <v>81</v>
      </c>
      <c r="B25" s="84">
        <f t="shared" si="0"/>
        <v>24</v>
      </c>
      <c r="C25" s="85">
        <v>5</v>
      </c>
      <c r="D25" s="84">
        <v>2020</v>
      </c>
      <c r="E25" s="82">
        <f>Submetering!E25+Submetering!F25+Submetering!G25+Submetering!H25+Submetering!I25+Submetering!J25+Submetering!K25</f>
        <v>18070</v>
      </c>
      <c r="F25" s="86">
        <v>0.2</v>
      </c>
      <c r="G25" s="82">
        <f>Submetering!P25</f>
        <v>179.10000000009313</v>
      </c>
      <c r="H25" s="86">
        <v>10.02</v>
      </c>
      <c r="I25" s="82">
        <f>Submetering!T25-Submetering!T25*15%-Submetering!X25</f>
        <v>34570.89119999564</v>
      </c>
      <c r="J25" s="81">
        <v>0.21</v>
      </c>
      <c r="K25" s="82">
        <f>Submetering!N25-Submetering!O25</f>
        <v>41.050999999999988</v>
      </c>
      <c r="L25" s="86">
        <v>7.84</v>
      </c>
      <c r="M25" s="82">
        <v>20</v>
      </c>
      <c r="N25" s="82">
        <v>30</v>
      </c>
    </row>
    <row r="26" spans="1:14" x14ac:dyDescent="0.25">
      <c r="A26" s="83" t="s">
        <v>81</v>
      </c>
      <c r="B26" s="84">
        <f>B25+1</f>
        <v>25</v>
      </c>
      <c r="C26" s="85">
        <v>5</v>
      </c>
      <c r="D26" s="84">
        <v>2020</v>
      </c>
      <c r="E26" s="82">
        <f>Submetering!E26+Submetering!F26+Submetering!G26+Submetering!H26+Submetering!I26+Submetering!J26+Submetering!K26</f>
        <v>17805</v>
      </c>
      <c r="F26" s="86">
        <v>0.2</v>
      </c>
      <c r="G26" s="82">
        <f>Submetering!P26</f>
        <v>192.69999999995343</v>
      </c>
      <c r="H26" s="86">
        <v>10.02</v>
      </c>
      <c r="I26" s="82">
        <f>Submetering!T26-Submetering!T26*15%-Submetering!X26</f>
        <v>35328.855600000003</v>
      </c>
      <c r="J26" s="81">
        <v>0.21</v>
      </c>
      <c r="K26" s="82">
        <f>Submetering!N26-Submetering!O26</f>
        <v>36.564</v>
      </c>
      <c r="L26" s="86">
        <v>7.84</v>
      </c>
      <c r="M26" s="82">
        <v>19</v>
      </c>
      <c r="N26" s="82">
        <v>28</v>
      </c>
    </row>
    <row r="27" spans="1:14" x14ac:dyDescent="0.25">
      <c r="A27" s="83" t="s">
        <v>81</v>
      </c>
      <c r="B27" s="84">
        <f t="shared" si="0"/>
        <v>26</v>
      </c>
      <c r="C27" s="85">
        <v>5</v>
      </c>
      <c r="D27" s="84">
        <v>2020</v>
      </c>
      <c r="E27" s="82">
        <f>Submetering!E27+Submetering!F27+Submetering!G27+Submetering!H27+Submetering!I27+Submetering!J27+Submetering!K27</f>
        <v>17862</v>
      </c>
      <c r="F27" s="86">
        <v>0.2</v>
      </c>
      <c r="G27" s="82">
        <f>Submetering!P27</f>
        <v>200.5</v>
      </c>
      <c r="H27" s="86">
        <v>10.02</v>
      </c>
      <c r="I27" s="82">
        <f>Submetering!T27-Submetering!T27*15%-Submetering!X27</f>
        <v>34732.275600002904</v>
      </c>
      <c r="J27" s="81">
        <v>0.21</v>
      </c>
      <c r="K27" s="82">
        <f>Submetering!N27-Submetering!O27</f>
        <v>89.346999999998417</v>
      </c>
      <c r="L27" s="86">
        <v>7.84</v>
      </c>
      <c r="M27" s="82">
        <v>18</v>
      </c>
      <c r="N27" s="82">
        <v>26</v>
      </c>
    </row>
    <row r="28" spans="1:14" x14ac:dyDescent="0.25">
      <c r="A28" s="83" t="s">
        <v>81</v>
      </c>
      <c r="B28" s="84">
        <f t="shared" si="0"/>
        <v>27</v>
      </c>
      <c r="C28" s="85">
        <v>5</v>
      </c>
      <c r="D28" s="84">
        <v>2020</v>
      </c>
      <c r="E28" s="82">
        <f>Submetering!E28+Submetering!F28+Submetering!G28+Submetering!H28+Submetering!I28+Submetering!J28+Submetering!K28</f>
        <v>18041</v>
      </c>
      <c r="F28" s="86">
        <v>0.2</v>
      </c>
      <c r="G28" s="82">
        <f>Submetering!P28</f>
        <v>176.5</v>
      </c>
      <c r="H28" s="86">
        <v>10.02</v>
      </c>
      <c r="I28" s="82">
        <f>Submetering!T28-Submetering!T28*15%-Submetering!X28</f>
        <v>36640.850999999995</v>
      </c>
      <c r="J28" s="81">
        <v>0.21</v>
      </c>
      <c r="K28" s="82">
        <f>Submetering!N28-Submetering!O28</f>
        <v>30.38300000000233</v>
      </c>
      <c r="L28" s="86">
        <v>7.84</v>
      </c>
      <c r="M28" s="82">
        <v>20</v>
      </c>
      <c r="N28" s="82">
        <v>26</v>
      </c>
    </row>
    <row r="29" spans="1:14" x14ac:dyDescent="0.25">
      <c r="A29" s="83" t="s">
        <v>81</v>
      </c>
      <c r="B29" s="84">
        <f t="shared" si="0"/>
        <v>28</v>
      </c>
      <c r="C29" s="85">
        <v>5</v>
      </c>
      <c r="D29" s="84">
        <v>2020</v>
      </c>
      <c r="E29" s="82">
        <f>Submetering!E29+Submetering!F29+Submetering!G29+Submetering!H29+Submetering!I29+Submetering!J29+Submetering!K29</f>
        <v>18668</v>
      </c>
      <c r="F29" s="86">
        <v>0.2</v>
      </c>
      <c r="G29" s="82">
        <f>Submetering!P29</f>
        <v>201.5</v>
      </c>
      <c r="H29" s="86">
        <v>10.02</v>
      </c>
      <c r="I29" s="82">
        <f>Submetering!T29-Submetering!T29*15%-Submetering!X29</f>
        <v>36306.127799999995</v>
      </c>
      <c r="J29" s="81">
        <v>0.21</v>
      </c>
      <c r="K29" s="82">
        <f>Submetering!N29-Submetering!O29</f>
        <v>54.862000000000009</v>
      </c>
      <c r="L29" s="86">
        <v>7.84</v>
      </c>
      <c r="M29" s="82">
        <v>12</v>
      </c>
      <c r="N29" s="82">
        <v>19</v>
      </c>
    </row>
    <row r="30" spans="1:14" x14ac:dyDescent="0.25">
      <c r="A30" s="83" t="s">
        <v>81</v>
      </c>
      <c r="B30" s="84">
        <f t="shared" si="0"/>
        <v>29</v>
      </c>
      <c r="C30" s="85">
        <v>5</v>
      </c>
      <c r="D30" s="84">
        <v>2020</v>
      </c>
      <c r="E30" s="82">
        <f>Submetering!E30+Submetering!F30+Submetering!G30+Submetering!H30+Submetering!I30+Submetering!J30+Submetering!K30</f>
        <v>17283</v>
      </c>
      <c r="F30" s="86">
        <v>0.2</v>
      </c>
      <c r="G30" s="82">
        <f>Submetering!P30</f>
        <v>185.59999999997672</v>
      </c>
      <c r="H30" s="86">
        <v>10.02</v>
      </c>
      <c r="I30" s="82">
        <f>Submetering!T30-Submetering!T30*15%-Submetering!X30</f>
        <v>35854.376800001453</v>
      </c>
      <c r="J30" s="81">
        <v>0.21</v>
      </c>
      <c r="K30" s="82">
        <f>Submetering!N30-Submetering!O30</f>
        <v>53.675000000000004</v>
      </c>
      <c r="L30" s="86">
        <v>7.84</v>
      </c>
      <c r="M30" s="82">
        <v>16</v>
      </c>
      <c r="N30" s="82">
        <v>27</v>
      </c>
    </row>
    <row r="31" spans="1:14" x14ac:dyDescent="0.25">
      <c r="A31" s="83" t="s">
        <v>81</v>
      </c>
      <c r="B31" s="84">
        <f t="shared" si="0"/>
        <v>30</v>
      </c>
      <c r="C31" s="85">
        <v>5</v>
      </c>
      <c r="D31" s="84">
        <v>2020</v>
      </c>
      <c r="E31" s="82">
        <f>Submetering!E31+Submetering!F31+Submetering!G31+Submetering!H31+Submetering!I31+Submetering!J31+Submetering!K31</f>
        <v>19539</v>
      </c>
      <c r="F31" s="86">
        <v>0.2</v>
      </c>
      <c r="G31" s="82">
        <f>Submetering!P31</f>
        <v>210.30000000004657</v>
      </c>
      <c r="H31" s="86">
        <v>10.02</v>
      </c>
      <c r="I31" s="82">
        <f>Submetering!T31-Submetering!T31*15%-Submetering!X31</f>
        <v>39836.177799995632</v>
      </c>
      <c r="J31" s="81">
        <v>0.21</v>
      </c>
      <c r="K31" s="82">
        <f>Submetering!N31-Submetering!O31</f>
        <v>55.403000000000006</v>
      </c>
      <c r="L31" s="86">
        <v>7.84</v>
      </c>
      <c r="M31" s="82">
        <v>15</v>
      </c>
      <c r="N31" s="82">
        <v>25</v>
      </c>
    </row>
    <row r="32" spans="1:14" x14ac:dyDescent="0.25">
      <c r="A32" s="83" t="s">
        <v>81</v>
      </c>
      <c r="B32" s="84">
        <f t="shared" si="0"/>
        <v>31</v>
      </c>
      <c r="C32" s="85">
        <v>5</v>
      </c>
      <c r="D32" s="84">
        <v>2020</v>
      </c>
      <c r="E32" s="82">
        <f>Submetering!E32+Submetering!F32+Submetering!G32+Submetering!H32+Submetering!I32+Submetering!J32+Submetering!K32</f>
        <v>10479</v>
      </c>
      <c r="F32" s="86">
        <v>0.2</v>
      </c>
      <c r="G32" s="82">
        <f>Submetering!P32</f>
        <v>215</v>
      </c>
      <c r="H32" s="86">
        <v>10.02</v>
      </c>
      <c r="I32" s="82">
        <f>Submetering!T32-Submetering!T32*15%-Submetering!X32</f>
        <v>44584.909000001455</v>
      </c>
      <c r="J32" s="81">
        <v>0.21</v>
      </c>
      <c r="K32" s="82">
        <f>Submetering!N32-Submetering!O32</f>
        <v>66</v>
      </c>
      <c r="L32" s="86">
        <v>7.84</v>
      </c>
      <c r="M32" s="82">
        <v>24</v>
      </c>
      <c r="N32" s="82">
        <v>40</v>
      </c>
    </row>
    <row r="33" spans="13:14" x14ac:dyDescent="0.25">
      <c r="M33" s="4">
        <f>SUM(M2:M32)</f>
        <v>424</v>
      </c>
      <c r="N33" s="4">
        <f>SUM(N2:N32)</f>
        <v>645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I10125" activePane="bottomRight" state="frozen"/>
      <selection pane="topRight" activeCell="C1" sqref="C1"/>
      <selection pane="bottomLeft" activeCell="A2" sqref="A2"/>
      <selection pane="bottomRight" activeCell="Q10128" sqref="Q10128"/>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7"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92</v>
      </c>
      <c r="T1" s="8" t="s">
        <v>87</v>
      </c>
      <c r="U1" s="8" t="s">
        <v>88</v>
      </c>
      <c r="V1" s="8" t="s">
        <v>89</v>
      </c>
      <c r="W1" s="8" t="s">
        <v>90</v>
      </c>
      <c r="X1" s="8" t="s">
        <v>91</v>
      </c>
      <c r="Y1" s="7" t="s">
        <v>8</v>
      </c>
      <c r="Z1" s="8" t="s">
        <v>9</v>
      </c>
    </row>
    <row r="2" spans="1:26" x14ac:dyDescent="0.25">
      <c r="A2" s="79" t="s">
        <v>81</v>
      </c>
      <c r="B2" s="80">
        <v>1</v>
      </c>
      <c r="C2" s="81">
        <v>1</v>
      </c>
      <c r="D2" s="80">
        <v>2020</v>
      </c>
      <c r="E2" s="82">
        <f>'FS-AD Daily '!B6</f>
        <v>2261</v>
      </c>
      <c r="F2" s="82">
        <f>'FS-AD Daily '!C6</f>
        <v>1394</v>
      </c>
      <c r="G2" s="82">
        <f>'FS-AD Daily '!D6</f>
        <v>282</v>
      </c>
      <c r="H2" s="82">
        <f>'FS-AD Daily '!E6</f>
        <v>3217</v>
      </c>
      <c r="I2" s="82">
        <f>'FS-AD Daily '!F6</f>
        <v>4477</v>
      </c>
      <c r="J2" s="82">
        <f>'FS-AD Daily '!G6</f>
        <v>1969</v>
      </c>
      <c r="K2" s="82">
        <f>'FS-AD Daily '!H6</f>
        <v>3271</v>
      </c>
      <c r="L2" s="82">
        <f>'FS-AD Daily '!I6</f>
        <v>2866</v>
      </c>
      <c r="M2" s="82">
        <f>'FS-AD Daily '!J6</f>
        <v>4560</v>
      </c>
      <c r="N2" s="82">
        <f>'FS-AD Daily '!T6</f>
        <v>74.661000000000001</v>
      </c>
      <c r="O2" s="82">
        <f>'FS-AD Daily '!R6</f>
        <v>29.300999999999998</v>
      </c>
      <c r="P2" s="82">
        <f>'FS-AD Daily '!Z6</f>
        <v>169.09999999997672</v>
      </c>
      <c r="Q2" s="82">
        <f>'FS-AD Daily '!V6</f>
        <v>101.3</v>
      </c>
      <c r="R2" s="82">
        <f>'FS-AD Daily '!W6</f>
        <v>0</v>
      </c>
      <c r="S2" s="82">
        <f>P2-Q2-R2</f>
        <v>67.79999999997672</v>
      </c>
      <c r="T2" s="82">
        <f>'FS-AD Daily '!AD6*3.516</f>
        <v>54403.067999999999</v>
      </c>
      <c r="U2" s="82">
        <f>('FS-AD Daily '!AF6)*1000</f>
        <v>22500</v>
      </c>
      <c r="V2" s="82">
        <f>('FS-AD Daily '!AG6)*1000</f>
        <v>13100</v>
      </c>
      <c r="W2" s="82">
        <f>'FS-AD Daily '!AH6*1000</f>
        <v>15700</v>
      </c>
      <c r="X2" s="82">
        <f>('FS-AD Daily '!AK6)*1000</f>
        <v>16900.000000001455</v>
      </c>
      <c r="Y2" s="82">
        <v>12</v>
      </c>
      <c r="Z2" s="82">
        <v>21</v>
      </c>
    </row>
    <row r="3" spans="1:26" x14ac:dyDescent="0.25">
      <c r="A3" s="79" t="s">
        <v>81</v>
      </c>
      <c r="B3" s="80">
        <f>B2+1</f>
        <v>2</v>
      </c>
      <c r="C3" s="81">
        <v>1</v>
      </c>
      <c r="D3" s="80">
        <v>2020</v>
      </c>
      <c r="E3" s="82">
        <f>'FS-AD Daily '!B7</f>
        <v>2244</v>
      </c>
      <c r="F3" s="82">
        <f>'FS-AD Daily '!C7</f>
        <v>1307</v>
      </c>
      <c r="G3" s="82">
        <f>'FS-AD Daily '!D7</f>
        <v>243</v>
      </c>
      <c r="H3" s="82">
        <f>'FS-AD Daily '!E7</f>
        <v>3265</v>
      </c>
      <c r="I3" s="82">
        <f>'FS-AD Daily '!F7</f>
        <v>4369</v>
      </c>
      <c r="J3" s="82">
        <f>'FS-AD Daily '!G7</f>
        <v>1967</v>
      </c>
      <c r="K3" s="82">
        <f>'FS-AD Daily '!H7</f>
        <v>3228</v>
      </c>
      <c r="L3" s="82">
        <f>'FS-AD Daily '!I7</f>
        <v>2810</v>
      </c>
      <c r="M3" s="82">
        <f>'FS-AD Daily '!J7</f>
        <v>4585</v>
      </c>
      <c r="N3" s="82">
        <f>'FS-AD Daily '!T7</f>
        <v>111.583</v>
      </c>
      <c r="O3" s="82">
        <f>'FS-AD Daily '!R7</f>
        <v>29.920999999999999</v>
      </c>
      <c r="P3" s="82">
        <f>'FS-AD Daily '!Z7</f>
        <v>169.40000000002328</v>
      </c>
      <c r="Q3" s="82">
        <f>'FS-AD Daily '!V7</f>
        <v>105.8</v>
      </c>
      <c r="R3" s="82">
        <f>'FS-AD Daily '!W7</f>
        <v>0</v>
      </c>
      <c r="S3" s="82">
        <f t="shared" ref="S3:S32" si="0">P3-Q3-R3</f>
        <v>63.600000000023286</v>
      </c>
      <c r="T3" s="82">
        <f>'FS-AD Daily '!AD7*3.516</f>
        <v>53154.887999999999</v>
      </c>
      <c r="U3" s="82">
        <f>('FS-AD Daily '!AF7)*1000</f>
        <v>21400</v>
      </c>
      <c r="V3" s="82">
        <f>('FS-AD Daily '!AG7)*1000</f>
        <v>12300</v>
      </c>
      <c r="W3" s="82">
        <f>'FS-AD Daily '!AH7*1000</f>
        <v>15700</v>
      </c>
      <c r="X3" s="82">
        <f>('FS-AD Daily '!AK7)*1000</f>
        <v>17700.000000004366</v>
      </c>
      <c r="Y3" s="82">
        <v>10</v>
      </c>
      <c r="Z3" s="82">
        <v>15</v>
      </c>
    </row>
    <row r="4" spans="1:26" x14ac:dyDescent="0.25">
      <c r="A4" s="79" t="s">
        <v>81</v>
      </c>
      <c r="B4" s="80">
        <f t="shared" ref="B4:B32" si="1">B3+1</f>
        <v>3</v>
      </c>
      <c r="C4" s="81">
        <v>1</v>
      </c>
      <c r="D4" s="80">
        <v>2020</v>
      </c>
      <c r="E4" s="82">
        <f>'FS-AD Daily '!B8</f>
        <v>2160</v>
      </c>
      <c r="F4" s="82">
        <f>'FS-AD Daily '!C8</f>
        <v>1386</v>
      </c>
      <c r="G4" s="82">
        <f>'FS-AD Daily '!D8</f>
        <v>225</v>
      </c>
      <c r="H4" s="82">
        <f>'FS-AD Daily '!E8</f>
        <v>3289</v>
      </c>
      <c r="I4" s="82">
        <f>'FS-AD Daily '!F8</f>
        <v>4465</v>
      </c>
      <c r="J4" s="82">
        <f>'FS-AD Daily '!G8</f>
        <v>1981</v>
      </c>
      <c r="K4" s="82">
        <f>'FS-AD Daily '!H8</f>
        <v>3273</v>
      </c>
      <c r="L4" s="82">
        <f>'FS-AD Daily '!I8</f>
        <v>2931</v>
      </c>
      <c r="M4" s="82">
        <f>'FS-AD Daily '!J8</f>
        <v>4545</v>
      </c>
      <c r="N4" s="82">
        <f>'FS-AD Daily '!T8</f>
        <v>53.747</v>
      </c>
      <c r="O4" s="82">
        <f>'FS-AD Daily '!R8</f>
        <v>16.734999999999999</v>
      </c>
      <c r="P4" s="82">
        <f>'FS-AD Daily '!Z8</f>
        <v>163.59999999997672</v>
      </c>
      <c r="Q4" s="82">
        <f>'FS-AD Daily '!V8</f>
        <v>104.7</v>
      </c>
      <c r="R4" s="82">
        <f>'FS-AD Daily '!W8</f>
        <v>0</v>
      </c>
      <c r="S4" s="82">
        <f t="shared" si="0"/>
        <v>58.899999999976714</v>
      </c>
      <c r="T4" s="82">
        <f>'FS-AD Daily '!AD8*3.516</f>
        <v>53066.987999999998</v>
      </c>
      <c r="U4" s="82">
        <f>('FS-AD Daily '!AF8)*1000</f>
        <v>21500</v>
      </c>
      <c r="V4" s="82">
        <f>('FS-AD Daily '!AG8)*1000</f>
        <v>15200</v>
      </c>
      <c r="W4" s="82">
        <f>'FS-AD Daily '!AH8*1000</f>
        <v>14900</v>
      </c>
      <c r="X4" s="82">
        <f>('FS-AD Daily '!AK8)*1000</f>
        <v>15599.999999998545</v>
      </c>
      <c r="Y4" s="82">
        <v>11</v>
      </c>
      <c r="Z4" s="82">
        <v>18</v>
      </c>
    </row>
    <row r="5" spans="1:26" x14ac:dyDescent="0.25">
      <c r="A5" s="79" t="s">
        <v>81</v>
      </c>
      <c r="B5" s="80">
        <f t="shared" si="1"/>
        <v>4</v>
      </c>
      <c r="C5" s="81">
        <v>1</v>
      </c>
      <c r="D5" s="80">
        <v>2020</v>
      </c>
      <c r="E5" s="82">
        <f>'FS-AD Daily '!B9</f>
        <v>2219</v>
      </c>
      <c r="F5" s="82">
        <f>'FS-AD Daily '!C9</f>
        <v>1502</v>
      </c>
      <c r="G5" s="82">
        <f>'FS-AD Daily '!D9</f>
        <v>266</v>
      </c>
      <c r="H5" s="82">
        <f>'FS-AD Daily '!E9</f>
        <v>3373</v>
      </c>
      <c r="I5" s="82">
        <f>'FS-AD Daily '!F9</f>
        <v>4527</v>
      </c>
      <c r="J5" s="82">
        <f>'FS-AD Daily '!G9</f>
        <v>1909</v>
      </c>
      <c r="K5" s="82">
        <f>'FS-AD Daily '!H9</f>
        <v>3315</v>
      </c>
      <c r="L5" s="82">
        <f>'FS-AD Daily '!I9</f>
        <v>2818</v>
      </c>
      <c r="M5" s="82">
        <f>'FS-AD Daily '!J9</f>
        <v>4268</v>
      </c>
      <c r="N5" s="82">
        <f>'FS-AD Daily '!T9</f>
        <v>86.937000000000012</v>
      </c>
      <c r="O5" s="82">
        <f>'FS-AD Daily '!R9</f>
        <v>27.826000000000001</v>
      </c>
      <c r="P5" s="82">
        <f>'FS-AD Daily '!Z9</f>
        <v>164.5</v>
      </c>
      <c r="Q5" s="82">
        <f>'FS-AD Daily '!V9</f>
        <v>100.7</v>
      </c>
      <c r="R5" s="82">
        <f>'FS-AD Daily '!W9</f>
        <v>0</v>
      </c>
      <c r="S5" s="82">
        <f t="shared" si="0"/>
        <v>63.8</v>
      </c>
      <c r="T5" s="82">
        <f>'FS-AD Daily '!AD9*3.516</f>
        <v>52096.572</v>
      </c>
      <c r="U5" s="82">
        <f>('FS-AD Daily '!AF9)*1000</f>
        <v>23100</v>
      </c>
      <c r="V5" s="82">
        <f>('FS-AD Daily '!AG9)*1000</f>
        <v>13000</v>
      </c>
      <c r="W5" s="82">
        <f>'FS-AD Daily '!AH9*1000</f>
        <v>15000</v>
      </c>
      <c r="X5" s="82">
        <f>('FS-AD Daily '!AK9)*1000</f>
        <v>16799.999999995634</v>
      </c>
      <c r="Y5" s="82">
        <v>13</v>
      </c>
      <c r="Z5" s="82">
        <v>20</v>
      </c>
    </row>
    <row r="6" spans="1:26" x14ac:dyDescent="0.25">
      <c r="A6" s="79" t="s">
        <v>81</v>
      </c>
      <c r="B6" s="80">
        <f t="shared" si="1"/>
        <v>5</v>
      </c>
      <c r="C6" s="81">
        <v>1</v>
      </c>
      <c r="D6" s="80">
        <v>2020</v>
      </c>
      <c r="E6" s="82">
        <f>'FS-AD Daily '!B10</f>
        <v>2163</v>
      </c>
      <c r="F6" s="82">
        <f>'FS-AD Daily '!C10</f>
        <v>1366</v>
      </c>
      <c r="G6" s="82">
        <f>'FS-AD Daily '!D10</f>
        <v>239</v>
      </c>
      <c r="H6" s="82">
        <f>'FS-AD Daily '!E10</f>
        <v>3371</v>
      </c>
      <c r="I6" s="82">
        <f>'FS-AD Daily '!F10</f>
        <v>4425</v>
      </c>
      <c r="J6" s="82">
        <f>'FS-AD Daily '!G10</f>
        <v>1897</v>
      </c>
      <c r="K6" s="82">
        <f>'FS-AD Daily '!H10</f>
        <v>3265</v>
      </c>
      <c r="L6" s="82">
        <f>'FS-AD Daily '!I10</f>
        <v>2777</v>
      </c>
      <c r="M6" s="82">
        <f>'FS-AD Daily '!J10</f>
        <v>4196</v>
      </c>
      <c r="N6" s="82">
        <f>'FS-AD Daily '!T10</f>
        <v>86.647000000000006</v>
      </c>
      <c r="O6" s="82">
        <f>'FS-AD Daily '!R10</f>
        <v>21.082999999999998</v>
      </c>
      <c r="P6" s="82">
        <f>'FS-AD Daily '!Z10</f>
        <v>163.19999999995343</v>
      </c>
      <c r="Q6" s="82">
        <f>'FS-AD Daily '!V10</f>
        <v>95.2</v>
      </c>
      <c r="R6" s="82">
        <f>'FS-AD Daily '!W10</f>
        <v>0</v>
      </c>
      <c r="S6" s="82">
        <f t="shared" si="0"/>
        <v>67.999999999953431</v>
      </c>
      <c r="T6" s="82">
        <f>'FS-AD Daily '!AD10*3.516</f>
        <v>47114.400000000001</v>
      </c>
      <c r="U6" s="82">
        <f>('FS-AD Daily '!AF10)*1000</f>
        <v>21100</v>
      </c>
      <c r="V6" s="82">
        <f>('FS-AD Daily '!AG10)*1000</f>
        <v>10900</v>
      </c>
      <c r="W6" s="82">
        <f>'FS-AD Daily '!AH10*1000</f>
        <v>13900</v>
      </c>
      <c r="X6" s="82">
        <f>('FS-AD Daily '!AK10)*1000</f>
        <v>16600.000000005821</v>
      </c>
      <c r="Y6" s="82">
        <v>14</v>
      </c>
      <c r="Z6" s="82">
        <v>22</v>
      </c>
    </row>
    <row r="7" spans="1:26" x14ac:dyDescent="0.25">
      <c r="A7" s="79" t="s">
        <v>81</v>
      </c>
      <c r="B7" s="80">
        <f t="shared" si="1"/>
        <v>6</v>
      </c>
      <c r="C7" s="81">
        <v>1</v>
      </c>
      <c r="D7" s="80">
        <v>2020</v>
      </c>
      <c r="E7" s="82">
        <f>'FS-AD Daily '!B11</f>
        <v>2178</v>
      </c>
      <c r="F7" s="82">
        <f>'FS-AD Daily '!C11</f>
        <v>1367</v>
      </c>
      <c r="G7" s="82">
        <f>'FS-AD Daily '!D11</f>
        <v>225</v>
      </c>
      <c r="H7" s="82">
        <f>'FS-AD Daily '!E11</f>
        <v>3388</v>
      </c>
      <c r="I7" s="82">
        <f>'FS-AD Daily '!F11</f>
        <v>4364</v>
      </c>
      <c r="J7" s="82">
        <f>'FS-AD Daily '!G11</f>
        <v>2035</v>
      </c>
      <c r="K7" s="82">
        <f>'FS-AD Daily '!H11</f>
        <v>3195</v>
      </c>
      <c r="L7" s="82">
        <f>'FS-AD Daily '!I11</f>
        <v>2772</v>
      </c>
      <c r="M7" s="82">
        <f>'FS-AD Daily '!J11</f>
        <v>4119</v>
      </c>
      <c r="N7" s="82">
        <f>'FS-AD Daily '!T11</f>
        <v>78.474000000000004</v>
      </c>
      <c r="O7" s="82">
        <f>'FS-AD Daily '!R11</f>
        <v>19.617000000000001</v>
      </c>
      <c r="P7" s="82">
        <f>'FS-AD Daily '!Z11</f>
        <v>164.40000000002328</v>
      </c>
      <c r="Q7" s="82">
        <f>'FS-AD Daily '!V11</f>
        <v>102.5</v>
      </c>
      <c r="R7" s="82">
        <f>'FS-AD Daily '!W11</f>
        <v>0</v>
      </c>
      <c r="S7" s="82">
        <f t="shared" si="0"/>
        <v>61.900000000023283</v>
      </c>
      <c r="T7" s="82">
        <f>'FS-AD Daily '!AD11*3.516</f>
        <v>52001.64</v>
      </c>
      <c r="U7" s="82">
        <f>('FS-AD Daily '!AF11)*1000</f>
        <v>22600</v>
      </c>
      <c r="V7" s="82">
        <f>('FS-AD Daily '!AG11)*1000</f>
        <v>15400</v>
      </c>
      <c r="W7" s="82">
        <f>'FS-AD Daily '!AH11*1000</f>
        <v>13800</v>
      </c>
      <c r="X7" s="82">
        <f>('FS-AD Daily '!AK11)*1000</f>
        <v>16399.999999994179</v>
      </c>
      <c r="Y7" s="82">
        <v>12</v>
      </c>
      <c r="Z7" s="82">
        <v>19</v>
      </c>
    </row>
    <row r="8" spans="1:26" x14ac:dyDescent="0.25">
      <c r="A8" s="79" t="s">
        <v>81</v>
      </c>
      <c r="B8" s="80">
        <f t="shared" si="1"/>
        <v>7</v>
      </c>
      <c r="C8" s="81">
        <v>1</v>
      </c>
      <c r="D8" s="80">
        <v>2020</v>
      </c>
      <c r="E8" s="82">
        <f>'FS-AD Daily '!B12</f>
        <v>2266</v>
      </c>
      <c r="F8" s="82">
        <f>'FS-AD Daily '!C12</f>
        <v>1322</v>
      </c>
      <c r="G8" s="82">
        <f>'FS-AD Daily '!D12</f>
        <v>207</v>
      </c>
      <c r="H8" s="82">
        <f>'FS-AD Daily '!E12</f>
        <v>3373</v>
      </c>
      <c r="I8" s="82">
        <f>'FS-AD Daily '!F12</f>
        <v>4487</v>
      </c>
      <c r="J8" s="82">
        <f>'FS-AD Daily '!G12</f>
        <v>2102</v>
      </c>
      <c r="K8" s="82">
        <f>'FS-AD Daily '!H12</f>
        <v>3224</v>
      </c>
      <c r="L8" s="82">
        <f>'FS-AD Daily '!I12</f>
        <v>2748</v>
      </c>
      <c r="M8" s="82">
        <f>'FS-AD Daily '!J12</f>
        <v>4015</v>
      </c>
      <c r="N8" s="82">
        <f>'FS-AD Daily '!T12</f>
        <v>53.158999999999999</v>
      </c>
      <c r="O8" s="82">
        <f>'FS-AD Daily '!R12</f>
        <v>23.512</v>
      </c>
      <c r="P8" s="82">
        <f>'FS-AD Daily '!Z12</f>
        <v>163</v>
      </c>
      <c r="Q8" s="82">
        <f>'FS-AD Daily '!V12</f>
        <v>119.7</v>
      </c>
      <c r="R8" s="82">
        <f>'FS-AD Daily '!W12</f>
        <v>0</v>
      </c>
      <c r="S8" s="82">
        <f t="shared" si="0"/>
        <v>43.3</v>
      </c>
      <c r="T8" s="82">
        <f>'FS-AD Daily '!AD12*3.516</f>
        <v>49716.24</v>
      </c>
      <c r="U8" s="82">
        <f>('FS-AD Daily '!AF12)*1000</f>
        <v>21500</v>
      </c>
      <c r="V8" s="82">
        <f>('FS-AD Daily '!AG12)*1000</f>
        <v>14600</v>
      </c>
      <c r="W8" s="82">
        <f>'FS-AD Daily '!AH12*1000</f>
        <v>13800</v>
      </c>
      <c r="X8" s="82">
        <f>('FS-AD Daily '!AK12)*1000</f>
        <v>14900.000000001455</v>
      </c>
      <c r="Y8" s="82">
        <v>11</v>
      </c>
      <c r="Z8" s="82">
        <v>19</v>
      </c>
    </row>
    <row r="9" spans="1:26" x14ac:dyDescent="0.25">
      <c r="A9" s="79" t="s">
        <v>81</v>
      </c>
      <c r="B9" s="80">
        <f t="shared" si="1"/>
        <v>8</v>
      </c>
      <c r="C9" s="81">
        <v>1</v>
      </c>
      <c r="D9" s="80">
        <v>2020</v>
      </c>
      <c r="E9" s="82">
        <f>'FS-AD Daily '!B13</f>
        <v>2294</v>
      </c>
      <c r="F9" s="82">
        <f>'FS-AD Daily '!C13</f>
        <v>1352</v>
      </c>
      <c r="G9" s="82">
        <f>'FS-AD Daily '!D13</f>
        <v>264</v>
      </c>
      <c r="H9" s="82">
        <f>'FS-AD Daily '!E13</f>
        <v>3511</v>
      </c>
      <c r="I9" s="82">
        <f>'FS-AD Daily '!F13</f>
        <v>4444</v>
      </c>
      <c r="J9" s="82">
        <f>'FS-AD Daily '!G13</f>
        <v>2013</v>
      </c>
      <c r="K9" s="82">
        <f>'FS-AD Daily '!H13</f>
        <v>3274</v>
      </c>
      <c r="L9" s="82">
        <f>'FS-AD Daily '!I13</f>
        <v>2810</v>
      </c>
      <c r="M9" s="82">
        <f>'FS-AD Daily '!J13</f>
        <v>4270</v>
      </c>
      <c r="N9" s="82">
        <f>'FS-AD Daily '!T13</f>
        <v>84.305000000000007</v>
      </c>
      <c r="O9" s="82">
        <f>'FS-AD Daily '!R13</f>
        <v>18.058999999999997</v>
      </c>
      <c r="P9" s="82">
        <f>'FS-AD Daily '!Z13</f>
        <v>167.5</v>
      </c>
      <c r="Q9" s="82">
        <f>'FS-AD Daily '!V13</f>
        <v>79.900000000000006</v>
      </c>
      <c r="R9" s="82">
        <f>'FS-AD Daily '!W13</f>
        <v>0</v>
      </c>
      <c r="S9" s="82">
        <f t="shared" si="0"/>
        <v>87.6</v>
      </c>
      <c r="T9" s="82">
        <f>'FS-AD Daily '!AD13*3.516</f>
        <v>51938.351999999999</v>
      </c>
      <c r="U9" s="82">
        <f>('FS-AD Daily '!AF13)*1000</f>
        <v>23300</v>
      </c>
      <c r="V9" s="82">
        <f>('FS-AD Daily '!AG13)*1000</f>
        <v>13100</v>
      </c>
      <c r="W9" s="82">
        <f>'FS-AD Daily '!AH13*1000</f>
        <v>13900</v>
      </c>
      <c r="X9" s="82">
        <f>('FS-AD Daily '!AK13)*1000</f>
        <v>15800.00000000291</v>
      </c>
      <c r="Y9" s="82">
        <v>10</v>
      </c>
      <c r="Z9" s="82">
        <v>17</v>
      </c>
    </row>
    <row r="10" spans="1:26" x14ac:dyDescent="0.25">
      <c r="A10" s="79" t="s">
        <v>81</v>
      </c>
      <c r="B10" s="80">
        <f t="shared" si="1"/>
        <v>9</v>
      </c>
      <c r="C10" s="81">
        <v>1</v>
      </c>
      <c r="D10" s="80">
        <v>2020</v>
      </c>
      <c r="E10" s="82">
        <f>'FS-AD Daily '!B14</f>
        <v>2291</v>
      </c>
      <c r="F10" s="82">
        <f>'FS-AD Daily '!C14</f>
        <v>1355</v>
      </c>
      <c r="G10" s="82">
        <f>'FS-AD Daily '!D14</f>
        <v>262</v>
      </c>
      <c r="H10" s="82">
        <f>'FS-AD Daily '!E14</f>
        <v>3272</v>
      </c>
      <c r="I10" s="82">
        <f>'FS-AD Daily '!F14</f>
        <v>4340</v>
      </c>
      <c r="J10" s="82">
        <f>'FS-AD Daily '!G14</f>
        <v>1962</v>
      </c>
      <c r="K10" s="82">
        <f>'FS-AD Daily '!H14</f>
        <v>3317</v>
      </c>
      <c r="L10" s="82">
        <f>'FS-AD Daily '!I14</f>
        <v>2843</v>
      </c>
      <c r="M10" s="82">
        <f>'FS-AD Daily '!J14</f>
        <v>4130</v>
      </c>
      <c r="N10" s="82">
        <f>'FS-AD Daily '!T14</f>
        <v>49.256999999999998</v>
      </c>
      <c r="O10" s="82">
        <f>'FS-AD Daily '!R14</f>
        <v>23.957000000000001</v>
      </c>
      <c r="P10" s="82">
        <f>'FS-AD Daily '!Z14</f>
        <v>163.90000000002328</v>
      </c>
      <c r="Q10" s="82">
        <f>'FS-AD Daily '!V14</f>
        <v>98.8</v>
      </c>
      <c r="R10" s="82">
        <f>'FS-AD Daily '!W14</f>
        <v>0</v>
      </c>
      <c r="S10" s="82">
        <f t="shared" si="0"/>
        <v>65.100000000023286</v>
      </c>
      <c r="T10" s="82">
        <f>'FS-AD Daily '!AD14*3.516</f>
        <v>50226.06</v>
      </c>
      <c r="U10" s="82">
        <f>('FS-AD Daily '!AF14)*1000</f>
        <v>22300</v>
      </c>
      <c r="V10" s="82">
        <f>('FS-AD Daily '!AG14)*1000</f>
        <v>12000</v>
      </c>
      <c r="W10" s="82">
        <f>'FS-AD Daily '!AH14*1000</f>
        <v>13800</v>
      </c>
      <c r="X10" s="82">
        <f>('FS-AD Daily '!AK14)*1000</f>
        <v>15699.99999999709</v>
      </c>
      <c r="Y10" s="82">
        <v>11</v>
      </c>
      <c r="Z10" s="82">
        <v>18</v>
      </c>
    </row>
    <row r="11" spans="1:26" x14ac:dyDescent="0.25">
      <c r="A11" s="79" t="s">
        <v>81</v>
      </c>
      <c r="B11" s="80">
        <f t="shared" si="1"/>
        <v>10</v>
      </c>
      <c r="C11" s="81">
        <v>1</v>
      </c>
      <c r="D11" s="80">
        <v>2020</v>
      </c>
      <c r="E11" s="82">
        <f>'FS-AD Daily '!B15</f>
        <v>2145</v>
      </c>
      <c r="F11" s="82">
        <f>'FS-AD Daily '!C15</f>
        <v>1273</v>
      </c>
      <c r="G11" s="82">
        <f>'FS-AD Daily '!D15</f>
        <v>218</v>
      </c>
      <c r="H11" s="82">
        <f>'FS-AD Daily '!E15</f>
        <v>3334</v>
      </c>
      <c r="I11" s="82">
        <f>'FS-AD Daily '!F15</f>
        <v>4448</v>
      </c>
      <c r="J11" s="82">
        <f>'FS-AD Daily '!G15</f>
        <v>1984</v>
      </c>
      <c r="K11" s="82">
        <f>'FS-AD Daily '!H15</f>
        <v>3221</v>
      </c>
      <c r="L11" s="82">
        <f>'FS-AD Daily '!I15</f>
        <v>2871</v>
      </c>
      <c r="M11" s="82">
        <f>'FS-AD Daily '!J15</f>
        <v>4016</v>
      </c>
      <c r="N11" s="82">
        <f>'FS-AD Daily '!T15</f>
        <v>78.429000000000002</v>
      </c>
      <c r="O11" s="82">
        <f>'FS-AD Daily '!R15</f>
        <v>19.984000000000002</v>
      </c>
      <c r="P11" s="82">
        <f>'FS-AD Daily '!Z15</f>
        <v>158.40000000002328</v>
      </c>
      <c r="Q11" s="82">
        <f>'FS-AD Daily '!V15</f>
        <v>96.8</v>
      </c>
      <c r="R11" s="82">
        <f>'FS-AD Daily '!W15</f>
        <v>0</v>
      </c>
      <c r="S11" s="82">
        <f t="shared" si="0"/>
        <v>61.600000000023286</v>
      </c>
      <c r="T11" s="82">
        <f>'FS-AD Daily '!AD15*3.516</f>
        <v>47212.847999999998</v>
      </c>
      <c r="U11" s="82">
        <f>('FS-AD Daily '!AF15)*1000</f>
        <v>20400</v>
      </c>
      <c r="V11" s="82">
        <f>('FS-AD Daily '!AG15)*1000</f>
        <v>11500</v>
      </c>
      <c r="W11" s="82">
        <f>'FS-AD Daily '!AH15*1000</f>
        <v>14100</v>
      </c>
      <c r="X11" s="82">
        <f>('FS-AD Daily '!AK15)*1000</f>
        <v>14400.000000001455</v>
      </c>
      <c r="Y11" s="82">
        <v>11</v>
      </c>
      <c r="Z11" s="82">
        <v>17</v>
      </c>
    </row>
    <row r="12" spans="1:26" x14ac:dyDescent="0.25">
      <c r="A12" s="79" t="s">
        <v>81</v>
      </c>
      <c r="B12" s="80">
        <f t="shared" si="1"/>
        <v>11</v>
      </c>
      <c r="C12" s="81">
        <v>1</v>
      </c>
      <c r="D12" s="80">
        <v>2020</v>
      </c>
      <c r="E12" s="82">
        <f>'FS-AD Daily '!B16</f>
        <v>2099</v>
      </c>
      <c r="F12" s="82">
        <f>'FS-AD Daily '!C16</f>
        <v>1241</v>
      </c>
      <c r="G12" s="82">
        <f>'FS-AD Daily '!D16</f>
        <v>218</v>
      </c>
      <c r="H12" s="82">
        <f>'FS-AD Daily '!E16</f>
        <v>3362</v>
      </c>
      <c r="I12" s="82">
        <f>'FS-AD Daily '!F16</f>
        <v>4457</v>
      </c>
      <c r="J12" s="82">
        <f>'FS-AD Daily '!G16</f>
        <v>1942</v>
      </c>
      <c r="K12" s="82">
        <f>'FS-AD Daily '!H16</f>
        <v>3453</v>
      </c>
      <c r="L12" s="82">
        <f>'FS-AD Daily '!I16</f>
        <v>2885</v>
      </c>
      <c r="M12" s="82">
        <f>'FS-AD Daily '!J16</f>
        <v>3984</v>
      </c>
      <c r="N12" s="82">
        <f>'FS-AD Daily '!T16</f>
        <v>91.888000000000005</v>
      </c>
      <c r="O12" s="82">
        <f>'FS-AD Daily '!R16</f>
        <v>20.103999999999999</v>
      </c>
      <c r="P12" s="82">
        <f>'FS-AD Daily '!Z16</f>
        <v>165.39999999990687</v>
      </c>
      <c r="Q12" s="82">
        <f>'FS-AD Daily '!V16</f>
        <v>108.2</v>
      </c>
      <c r="R12" s="82">
        <f>'FS-AD Daily '!W16</f>
        <v>0</v>
      </c>
      <c r="S12" s="82">
        <f t="shared" si="0"/>
        <v>57.199999999906865</v>
      </c>
      <c r="T12" s="82">
        <f>'FS-AD Daily '!AD16*3.516</f>
        <v>55798.92</v>
      </c>
      <c r="U12" s="82">
        <f>('FS-AD Daily '!AF16)*1000</f>
        <v>24400</v>
      </c>
      <c r="V12" s="82">
        <f>('FS-AD Daily '!AG16)*1000</f>
        <v>12800</v>
      </c>
      <c r="W12" s="82">
        <f>'FS-AD Daily '!AH16*1000</f>
        <v>15400</v>
      </c>
      <c r="X12" s="82">
        <f>('FS-AD Daily '!AK16)*1000</f>
        <v>17800.00000000291</v>
      </c>
      <c r="Y12" s="82">
        <v>17</v>
      </c>
      <c r="Z12" s="82">
        <v>22</v>
      </c>
    </row>
    <row r="13" spans="1:26" x14ac:dyDescent="0.25">
      <c r="A13" s="79" t="s">
        <v>81</v>
      </c>
      <c r="B13" s="80">
        <f t="shared" si="1"/>
        <v>12</v>
      </c>
      <c r="C13" s="81">
        <v>1</v>
      </c>
      <c r="D13" s="80">
        <v>2020</v>
      </c>
      <c r="E13" s="82">
        <f>'FS-AD Daily '!B17</f>
        <v>2029</v>
      </c>
      <c r="F13" s="82">
        <f>'FS-AD Daily '!C17</f>
        <v>1165</v>
      </c>
      <c r="G13" s="82">
        <f>'FS-AD Daily '!D17</f>
        <v>201</v>
      </c>
      <c r="H13" s="82">
        <f>'FS-AD Daily '!E17</f>
        <v>3423</v>
      </c>
      <c r="I13" s="82">
        <f>'FS-AD Daily '!F17</f>
        <v>4447</v>
      </c>
      <c r="J13" s="82">
        <f>'FS-AD Daily '!G17</f>
        <v>1987</v>
      </c>
      <c r="K13" s="82">
        <f>'FS-AD Daily '!H17</f>
        <v>3352</v>
      </c>
      <c r="L13" s="82">
        <f>'FS-AD Daily '!I17</f>
        <v>2810</v>
      </c>
      <c r="M13" s="82">
        <f>'FS-AD Daily '!J17</f>
        <v>3822</v>
      </c>
      <c r="N13" s="82">
        <f>'FS-AD Daily '!T17</f>
        <v>77.969000000000008</v>
      </c>
      <c r="O13" s="82">
        <f>'FS-AD Daily '!R17</f>
        <v>19.693999999999999</v>
      </c>
      <c r="P13" s="82">
        <f>'FS-AD Daily '!Z17</f>
        <v>161.30000000004657</v>
      </c>
      <c r="Q13" s="82">
        <f>'FS-AD Daily '!V17</f>
        <v>109</v>
      </c>
      <c r="R13" s="82">
        <f>'FS-AD Daily '!W17</f>
        <v>0</v>
      </c>
      <c r="S13" s="82">
        <f t="shared" si="0"/>
        <v>52.300000000046566</v>
      </c>
      <c r="T13" s="82">
        <f>'FS-AD Daily '!AD17*3.516</f>
        <v>50679.624000000003</v>
      </c>
      <c r="U13" s="82">
        <f>('FS-AD Daily '!AF17)*1000</f>
        <v>22800</v>
      </c>
      <c r="V13" s="82">
        <f>('FS-AD Daily '!AG17)*1000</f>
        <v>11600</v>
      </c>
      <c r="W13" s="82">
        <f>'FS-AD Daily '!AH17*1000</f>
        <v>14100</v>
      </c>
      <c r="X13" s="82">
        <f>('FS-AD Daily '!AK17)*1000</f>
        <v>17299.999999995634</v>
      </c>
      <c r="Y13" s="82">
        <v>14</v>
      </c>
      <c r="Z13" s="82">
        <v>21</v>
      </c>
    </row>
    <row r="14" spans="1:26" x14ac:dyDescent="0.25">
      <c r="A14" s="79" t="s">
        <v>81</v>
      </c>
      <c r="B14" s="80">
        <f t="shared" si="1"/>
        <v>13</v>
      </c>
      <c r="C14" s="81">
        <v>1</v>
      </c>
      <c r="D14" s="80">
        <v>2020</v>
      </c>
      <c r="E14" s="82">
        <f>'FS-AD Daily '!B18</f>
        <v>2144</v>
      </c>
      <c r="F14" s="82">
        <f>'FS-AD Daily '!C18</f>
        <v>1311</v>
      </c>
      <c r="G14" s="82">
        <f>'FS-AD Daily '!D18</f>
        <v>147</v>
      </c>
      <c r="H14" s="82">
        <f>'FS-AD Daily '!E18</f>
        <v>3464</v>
      </c>
      <c r="I14" s="82">
        <f>'FS-AD Daily '!F18</f>
        <v>4389</v>
      </c>
      <c r="J14" s="82">
        <f>'FS-AD Daily '!G18</f>
        <v>2042</v>
      </c>
      <c r="K14" s="82">
        <f>'FS-AD Daily '!H18</f>
        <v>3275</v>
      </c>
      <c r="L14" s="82">
        <f>'FS-AD Daily '!I18</f>
        <v>2752</v>
      </c>
      <c r="M14" s="82">
        <f>'FS-AD Daily '!J18</f>
        <v>3928</v>
      </c>
      <c r="N14" s="82">
        <f>'FS-AD Daily '!T18</f>
        <v>57.847000000000001</v>
      </c>
      <c r="O14" s="82">
        <f>'FS-AD Daily '!R18</f>
        <v>30.545000000000002</v>
      </c>
      <c r="P14" s="82">
        <f>'FS-AD Daily '!Z18</f>
        <v>166.80000000004657</v>
      </c>
      <c r="Q14" s="82">
        <f>'FS-AD Daily '!V18</f>
        <v>104</v>
      </c>
      <c r="R14" s="82">
        <f>'FS-AD Daily '!W18</f>
        <v>0</v>
      </c>
      <c r="S14" s="82">
        <f t="shared" si="0"/>
        <v>62.800000000046566</v>
      </c>
      <c r="T14" s="82">
        <f>'FS-AD Daily '!AD18*3.516</f>
        <v>46147.5</v>
      </c>
      <c r="U14" s="82">
        <f>('FS-AD Daily '!AF18)*1000</f>
        <v>20500</v>
      </c>
      <c r="V14" s="82">
        <f>('FS-AD Daily '!AG18)*1000</f>
        <v>11300</v>
      </c>
      <c r="W14" s="82">
        <f>'FS-AD Daily '!AH18*1000</f>
        <v>12900</v>
      </c>
      <c r="X14" s="82">
        <f>('FS-AD Daily '!AK18)*1000</f>
        <v>14900.000000001455</v>
      </c>
      <c r="Y14" s="82">
        <v>15</v>
      </c>
      <c r="Z14" s="82">
        <v>21</v>
      </c>
    </row>
    <row r="15" spans="1:26" x14ac:dyDescent="0.25">
      <c r="A15" s="79" t="s">
        <v>81</v>
      </c>
      <c r="B15" s="80">
        <f t="shared" si="1"/>
        <v>14</v>
      </c>
      <c r="C15" s="81">
        <v>1</v>
      </c>
      <c r="D15" s="80">
        <v>2020</v>
      </c>
      <c r="E15" s="82">
        <f>'FS-AD Daily '!B19</f>
        <v>2280</v>
      </c>
      <c r="F15" s="82">
        <f>'FS-AD Daily '!C19</f>
        <v>1682</v>
      </c>
      <c r="G15" s="82">
        <f>'FS-AD Daily '!D19</f>
        <v>148</v>
      </c>
      <c r="H15" s="82">
        <f>'FS-AD Daily '!E19</f>
        <v>3555</v>
      </c>
      <c r="I15" s="82">
        <f>'FS-AD Daily '!F19</f>
        <v>4424</v>
      </c>
      <c r="J15" s="82">
        <f>'FS-AD Daily '!G19</f>
        <v>2169</v>
      </c>
      <c r="K15" s="82">
        <f>'FS-AD Daily '!H19</f>
        <v>3420</v>
      </c>
      <c r="L15" s="82">
        <f>'FS-AD Daily '!I19</f>
        <v>2798</v>
      </c>
      <c r="M15" s="82">
        <f>'FS-AD Daily '!J19</f>
        <v>4577</v>
      </c>
      <c r="N15" s="82">
        <f>'FS-AD Daily '!T19</f>
        <v>91.263000000000005</v>
      </c>
      <c r="O15" s="82">
        <f>'FS-AD Daily '!R19</f>
        <v>28.443999999999999</v>
      </c>
      <c r="P15" s="82">
        <f>'FS-AD Daily '!Z19</f>
        <v>170.39999999990687</v>
      </c>
      <c r="Q15" s="82">
        <f>'FS-AD Daily '!V19</f>
        <v>112.5</v>
      </c>
      <c r="R15" s="82">
        <f>'FS-AD Daily '!W19</f>
        <v>0</v>
      </c>
      <c r="S15" s="82">
        <f t="shared" si="0"/>
        <v>57.899999999906868</v>
      </c>
      <c r="T15" s="82">
        <f>'FS-AD Daily '!AD19*3.516</f>
        <v>52536.072</v>
      </c>
      <c r="U15" s="82">
        <f>('FS-AD Daily '!AF19)*1000</f>
        <v>24500</v>
      </c>
      <c r="V15" s="82">
        <f>('FS-AD Daily '!AG19)*1000</f>
        <v>11200</v>
      </c>
      <c r="W15" s="82">
        <f>'FS-AD Daily '!AH19*1000</f>
        <v>13500</v>
      </c>
      <c r="X15" s="82">
        <f>('FS-AD Daily '!AK19)*1000</f>
        <v>17400.000000001455</v>
      </c>
      <c r="Y15" s="82">
        <v>11</v>
      </c>
      <c r="Z15" s="82">
        <v>15</v>
      </c>
    </row>
    <row r="16" spans="1:26" x14ac:dyDescent="0.25">
      <c r="A16" s="79" t="s">
        <v>81</v>
      </c>
      <c r="B16" s="80">
        <f t="shared" si="1"/>
        <v>15</v>
      </c>
      <c r="C16" s="81">
        <v>1</v>
      </c>
      <c r="D16" s="80">
        <v>2020</v>
      </c>
      <c r="E16" s="82">
        <f>'FS-AD Daily '!B20</f>
        <v>2157</v>
      </c>
      <c r="F16" s="82">
        <f>'FS-AD Daily '!C20</f>
        <v>1902</v>
      </c>
      <c r="G16" s="82">
        <f>'FS-AD Daily '!D20</f>
        <v>149</v>
      </c>
      <c r="H16" s="82">
        <f>'FS-AD Daily '!E20</f>
        <v>3220</v>
      </c>
      <c r="I16" s="82">
        <f>'FS-AD Daily '!F20</f>
        <v>4200</v>
      </c>
      <c r="J16" s="82">
        <f>'FS-AD Daily '!G20</f>
        <v>2040</v>
      </c>
      <c r="K16" s="82">
        <f>'FS-AD Daily '!H20</f>
        <v>3603</v>
      </c>
      <c r="L16" s="82">
        <f>'FS-AD Daily '!I20</f>
        <v>2874</v>
      </c>
      <c r="M16" s="82">
        <f>'FS-AD Daily '!J20</f>
        <v>4645</v>
      </c>
      <c r="N16" s="82">
        <f>'FS-AD Daily '!T20</f>
        <v>77.600999999999999</v>
      </c>
      <c r="O16" s="82">
        <f>'FS-AD Daily '!R20</f>
        <v>37.086999999999996</v>
      </c>
      <c r="P16" s="82">
        <f>'FS-AD Daily '!Z20</f>
        <v>174.90000000002328</v>
      </c>
      <c r="Q16" s="82">
        <f>'FS-AD Daily '!V20</f>
        <v>111.2</v>
      </c>
      <c r="R16" s="82">
        <f>'FS-AD Daily '!W20</f>
        <v>0</v>
      </c>
      <c r="S16" s="82">
        <f t="shared" si="0"/>
        <v>63.70000000002328</v>
      </c>
      <c r="T16" s="82">
        <f>'FS-AD Daily '!AD20*3.516</f>
        <v>55296.131999999998</v>
      </c>
      <c r="U16" s="82">
        <f>('FS-AD Daily '!AF20)*1000</f>
        <v>25100</v>
      </c>
      <c r="V16" s="82">
        <f>('FS-AD Daily '!AG20)*1000</f>
        <v>11600</v>
      </c>
      <c r="W16" s="82">
        <f>'FS-AD Daily '!AH20*1000</f>
        <v>13700</v>
      </c>
      <c r="X16" s="82">
        <f>('FS-AD Daily '!AK20)*1000</f>
        <v>18599.999999998545</v>
      </c>
      <c r="Y16" s="82">
        <v>15</v>
      </c>
      <c r="Z16" s="82">
        <v>22</v>
      </c>
    </row>
    <row r="17" spans="1:26" x14ac:dyDescent="0.25">
      <c r="A17" s="79" t="s">
        <v>81</v>
      </c>
      <c r="B17" s="80">
        <f t="shared" si="1"/>
        <v>16</v>
      </c>
      <c r="C17" s="81">
        <v>1</v>
      </c>
      <c r="D17" s="80">
        <v>2020</v>
      </c>
      <c r="E17" s="82">
        <f>'FS-AD Daily '!B21</f>
        <v>2236</v>
      </c>
      <c r="F17" s="82">
        <f>'FS-AD Daily '!C21</f>
        <v>1904</v>
      </c>
      <c r="G17" s="82">
        <f>'FS-AD Daily '!D21</f>
        <v>194</v>
      </c>
      <c r="H17" s="82">
        <f>'FS-AD Daily '!E21</f>
        <v>3364</v>
      </c>
      <c r="I17" s="82">
        <f>'FS-AD Daily '!F21</f>
        <v>4398</v>
      </c>
      <c r="J17" s="82">
        <f>'FS-AD Daily '!G21</f>
        <v>2146</v>
      </c>
      <c r="K17" s="82">
        <f>'FS-AD Daily '!H21</f>
        <v>3640</v>
      </c>
      <c r="L17" s="82">
        <f>'FS-AD Daily '!I21</f>
        <v>2830</v>
      </c>
      <c r="M17" s="82">
        <f>'FS-AD Daily '!J21</f>
        <v>4791</v>
      </c>
      <c r="N17" s="82">
        <f>'FS-AD Daily '!T21</f>
        <v>105.53399999999999</v>
      </c>
      <c r="O17" s="82">
        <f>'FS-AD Daily '!R21</f>
        <v>35.173999999999999</v>
      </c>
      <c r="P17" s="82">
        <f>'FS-AD Daily '!Z21</f>
        <v>186.20000000006985</v>
      </c>
      <c r="Q17" s="82">
        <f>'FS-AD Daily '!V21</f>
        <v>116.7</v>
      </c>
      <c r="R17" s="82">
        <f>'FS-AD Daily '!W21</f>
        <v>0</v>
      </c>
      <c r="S17" s="82">
        <f t="shared" si="0"/>
        <v>69.500000000069846</v>
      </c>
      <c r="T17" s="82">
        <f>'FS-AD Daily '!AD21*3.516</f>
        <v>57813.588000000003</v>
      </c>
      <c r="U17" s="82">
        <f>('FS-AD Daily '!AF21)*1000</f>
        <v>26400</v>
      </c>
      <c r="V17" s="82">
        <f>('FS-AD Daily '!AG21)*1000</f>
        <v>12500</v>
      </c>
      <c r="W17" s="82">
        <f>'FS-AD Daily '!AH21*1000</f>
        <v>14900</v>
      </c>
      <c r="X17" s="82">
        <f>('FS-AD Daily '!AK21)*1000</f>
        <v>17900.000000001455</v>
      </c>
      <c r="Y17" s="82">
        <v>13</v>
      </c>
      <c r="Z17" s="82">
        <v>19</v>
      </c>
    </row>
    <row r="18" spans="1:26" x14ac:dyDescent="0.25">
      <c r="A18" s="79" t="s">
        <v>81</v>
      </c>
      <c r="B18" s="80">
        <f t="shared" si="1"/>
        <v>17</v>
      </c>
      <c r="C18" s="81">
        <v>1</v>
      </c>
      <c r="D18" s="80">
        <v>2020</v>
      </c>
      <c r="E18" s="82">
        <f>'FS-AD Daily '!B22</f>
        <v>2280</v>
      </c>
      <c r="F18" s="82">
        <f>'FS-AD Daily '!C22</f>
        <v>1942</v>
      </c>
      <c r="G18" s="82">
        <f>'FS-AD Daily '!D22</f>
        <v>169</v>
      </c>
      <c r="H18" s="82">
        <f>'FS-AD Daily '!E22</f>
        <v>3289</v>
      </c>
      <c r="I18" s="82">
        <f>'FS-AD Daily '!F22</f>
        <v>4460</v>
      </c>
      <c r="J18" s="82">
        <f>'FS-AD Daily '!G22</f>
        <v>2131</v>
      </c>
      <c r="K18" s="82">
        <f>'FS-AD Daily '!H22</f>
        <v>3584</v>
      </c>
      <c r="L18" s="82">
        <f>'FS-AD Daily '!I22</f>
        <v>2877</v>
      </c>
      <c r="M18" s="82">
        <f>'FS-AD Daily '!J22</f>
        <v>4858</v>
      </c>
      <c r="N18" s="82">
        <f>'FS-AD Daily '!T22</f>
        <v>74.650999999999996</v>
      </c>
      <c r="O18" s="82">
        <f>'FS-AD Daily '!R22</f>
        <v>28.387999999999998</v>
      </c>
      <c r="P18" s="82">
        <f>'FS-AD Daily '!Z22</f>
        <v>192.89999999990687</v>
      </c>
      <c r="Q18" s="82">
        <f>'FS-AD Daily '!V22</f>
        <v>124.2</v>
      </c>
      <c r="R18" s="82">
        <f>'FS-AD Daily '!W22</f>
        <v>0</v>
      </c>
      <c r="S18" s="82">
        <f t="shared" si="0"/>
        <v>68.699999999906865</v>
      </c>
      <c r="T18" s="82">
        <f>'FS-AD Daily '!AD22*3.516</f>
        <v>59501.268000000004</v>
      </c>
      <c r="U18" s="82">
        <f>('FS-AD Daily '!AF22)*1000</f>
        <v>26100</v>
      </c>
      <c r="V18" s="82">
        <f>('FS-AD Daily '!AG22)*1000</f>
        <v>13100</v>
      </c>
      <c r="W18" s="82">
        <f>'FS-AD Daily '!AH22*1000</f>
        <v>15600</v>
      </c>
      <c r="X18" s="82">
        <f>('FS-AD Daily '!AK22)*1000</f>
        <v>19299.999999995634</v>
      </c>
      <c r="Y18" s="82">
        <v>12</v>
      </c>
      <c r="Z18" s="82">
        <v>17</v>
      </c>
    </row>
    <row r="19" spans="1:26" x14ac:dyDescent="0.25">
      <c r="A19" s="79" t="s">
        <v>81</v>
      </c>
      <c r="B19" s="80">
        <f t="shared" si="1"/>
        <v>18</v>
      </c>
      <c r="C19" s="81">
        <v>1</v>
      </c>
      <c r="D19" s="80">
        <v>2020</v>
      </c>
      <c r="E19" s="82">
        <f>'FS-AD Daily '!B23</f>
        <v>2073</v>
      </c>
      <c r="F19" s="82">
        <f>'FS-AD Daily '!C23</f>
        <v>1379</v>
      </c>
      <c r="G19" s="82">
        <f>'FS-AD Daily '!D23</f>
        <v>152</v>
      </c>
      <c r="H19" s="82">
        <f>'FS-AD Daily '!E23</f>
        <v>3199</v>
      </c>
      <c r="I19" s="82">
        <f>'FS-AD Daily '!F23</f>
        <v>4413</v>
      </c>
      <c r="J19" s="82">
        <f>'FS-AD Daily '!G23</f>
        <v>2168</v>
      </c>
      <c r="K19" s="82">
        <f>'FS-AD Daily '!H23</f>
        <v>3404</v>
      </c>
      <c r="L19" s="82">
        <f>'FS-AD Daily '!I23</f>
        <v>2795</v>
      </c>
      <c r="M19" s="82">
        <f>'FS-AD Daily '!J23</f>
        <v>4808</v>
      </c>
      <c r="N19" s="82">
        <f>'FS-AD Daily '!T23</f>
        <v>55.873000000000005</v>
      </c>
      <c r="O19" s="82">
        <f>'FS-AD Daily '!R23</f>
        <v>30.745000000000001</v>
      </c>
      <c r="P19" s="82">
        <f>'FS-AD Daily '!Z23</f>
        <v>185.10000000009313</v>
      </c>
      <c r="Q19" s="82">
        <f>'FS-AD Daily '!V23</f>
        <v>118.2</v>
      </c>
      <c r="R19" s="82">
        <f>'FS-AD Daily '!W23</f>
        <v>0</v>
      </c>
      <c r="S19" s="82">
        <f t="shared" si="0"/>
        <v>66.900000000093129</v>
      </c>
      <c r="T19" s="82">
        <f>'FS-AD Daily '!AD23*3.516</f>
        <v>52507.944000000003</v>
      </c>
      <c r="U19" s="82">
        <f>('FS-AD Daily '!AF23)*1000</f>
        <v>21400</v>
      </c>
      <c r="V19" s="82">
        <f>('FS-AD Daily '!AG23)*1000</f>
        <v>12700</v>
      </c>
      <c r="W19" s="82">
        <f>'FS-AD Daily '!AH23*1000</f>
        <v>14300</v>
      </c>
      <c r="X19" s="82">
        <f>('FS-AD Daily '!AK23)*1000</f>
        <v>17100.000000005821</v>
      </c>
      <c r="Y19" s="82">
        <v>11</v>
      </c>
      <c r="Z19" s="82">
        <v>17</v>
      </c>
    </row>
    <row r="20" spans="1:26" x14ac:dyDescent="0.25">
      <c r="A20" s="79" t="s">
        <v>81</v>
      </c>
      <c r="B20" s="80">
        <f t="shared" si="1"/>
        <v>19</v>
      </c>
      <c r="C20" s="81">
        <v>1</v>
      </c>
      <c r="D20" s="80">
        <v>2020</v>
      </c>
      <c r="E20" s="82">
        <f>'FS-AD Daily '!B24</f>
        <v>2351</v>
      </c>
      <c r="F20" s="82">
        <f>'FS-AD Daily '!C24</f>
        <v>1395</v>
      </c>
      <c r="G20" s="82">
        <f>'FS-AD Daily '!D24</f>
        <v>176</v>
      </c>
      <c r="H20" s="82">
        <f>'FS-AD Daily '!E24</f>
        <v>3212</v>
      </c>
      <c r="I20" s="82">
        <f>'FS-AD Daily '!F24</f>
        <v>4335</v>
      </c>
      <c r="J20" s="82">
        <f>'FS-AD Daily '!G24</f>
        <v>2166</v>
      </c>
      <c r="K20" s="82">
        <f>'FS-AD Daily '!H24</f>
        <v>3177</v>
      </c>
      <c r="L20" s="82">
        <f>'FS-AD Daily '!I24</f>
        <v>2828</v>
      </c>
      <c r="M20" s="82">
        <f>'FS-AD Daily '!J24</f>
        <v>4619</v>
      </c>
      <c r="N20" s="82">
        <f>'FS-AD Daily '!T24</f>
        <v>78.98</v>
      </c>
      <c r="O20" s="82">
        <f>'FS-AD Daily '!R24</f>
        <v>30.301000000000002</v>
      </c>
      <c r="P20" s="82">
        <f>'FS-AD Daily '!Z24</f>
        <v>178.69999999995343</v>
      </c>
      <c r="Q20" s="82">
        <f>'FS-AD Daily '!V24</f>
        <v>117.3</v>
      </c>
      <c r="R20" s="82">
        <f>'FS-AD Daily '!W24</f>
        <v>0</v>
      </c>
      <c r="S20" s="82">
        <f t="shared" si="0"/>
        <v>61.399999999953437</v>
      </c>
      <c r="T20" s="82">
        <f>'FS-AD Daily '!AD24*3.516</f>
        <v>51955.932000000001</v>
      </c>
      <c r="U20" s="82">
        <f>('FS-AD Daily '!AF24)*1000</f>
        <v>23300</v>
      </c>
      <c r="V20" s="82">
        <f>('FS-AD Daily '!AG24)*1000</f>
        <v>12500</v>
      </c>
      <c r="W20" s="82">
        <f>'FS-AD Daily '!AH24*1000</f>
        <v>14200</v>
      </c>
      <c r="X20" s="82">
        <f>('FS-AD Daily '!AK24)*1000</f>
        <v>15599.999999998545</v>
      </c>
      <c r="Y20" s="82">
        <v>11</v>
      </c>
      <c r="Z20" s="82">
        <v>18</v>
      </c>
    </row>
    <row r="21" spans="1:26" x14ac:dyDescent="0.25">
      <c r="A21" s="79" t="s">
        <v>81</v>
      </c>
      <c r="B21" s="80">
        <f t="shared" si="1"/>
        <v>20</v>
      </c>
      <c r="C21" s="81">
        <v>1</v>
      </c>
      <c r="D21" s="80">
        <v>2020</v>
      </c>
      <c r="E21" s="82">
        <f>'FS-AD Daily '!B25</f>
        <v>2123</v>
      </c>
      <c r="F21" s="82">
        <f>'FS-AD Daily '!C25</f>
        <v>1217</v>
      </c>
      <c r="G21" s="82">
        <f>'FS-AD Daily '!D25</f>
        <v>135</v>
      </c>
      <c r="H21" s="82">
        <f>'FS-AD Daily '!E25</f>
        <v>3364</v>
      </c>
      <c r="I21" s="82">
        <f>'FS-AD Daily '!F25</f>
        <v>4520</v>
      </c>
      <c r="J21" s="82">
        <f>'FS-AD Daily '!G25</f>
        <v>2113</v>
      </c>
      <c r="K21" s="82">
        <f>'FS-AD Daily '!H25</f>
        <v>3136</v>
      </c>
      <c r="L21" s="82">
        <f>'FS-AD Daily '!I25</f>
        <v>2737</v>
      </c>
      <c r="M21" s="82">
        <f>'FS-AD Daily '!J25</f>
        <v>4631</v>
      </c>
      <c r="N21" s="82">
        <f>'FS-AD Daily '!T25</f>
        <v>77.754999999999995</v>
      </c>
      <c r="O21" s="82">
        <f>'FS-AD Daily '!R25</f>
        <v>39.021999999999998</v>
      </c>
      <c r="P21" s="82">
        <f>'FS-AD Daily '!Z25</f>
        <v>188.30000000004657</v>
      </c>
      <c r="Q21" s="82">
        <f>'FS-AD Daily '!V25</f>
        <v>120.9</v>
      </c>
      <c r="R21" s="82">
        <f>'FS-AD Daily '!W25</f>
        <v>0</v>
      </c>
      <c r="S21" s="82">
        <f t="shared" si="0"/>
        <v>67.40000000004656</v>
      </c>
      <c r="T21" s="82">
        <f>'FS-AD Daily '!AD25*3.516</f>
        <v>48777.468000000001</v>
      </c>
      <c r="U21" s="82">
        <f>('FS-AD Daily '!AF25)*1000</f>
        <v>20600</v>
      </c>
      <c r="V21" s="82">
        <f>('FS-AD Daily '!AG25)*1000</f>
        <v>12200</v>
      </c>
      <c r="W21" s="82">
        <f>'FS-AD Daily '!AH25*1000</f>
        <v>13900</v>
      </c>
      <c r="X21" s="82">
        <f>('FS-AD Daily '!AK25)*1000</f>
        <v>16799.999999995634</v>
      </c>
      <c r="Y21" s="82">
        <v>10</v>
      </c>
      <c r="Z21" s="82">
        <v>16</v>
      </c>
    </row>
    <row r="22" spans="1:26" x14ac:dyDescent="0.25">
      <c r="A22" s="79" t="s">
        <v>81</v>
      </c>
      <c r="B22" s="80">
        <f t="shared" si="1"/>
        <v>21</v>
      </c>
      <c r="C22" s="81">
        <v>1</v>
      </c>
      <c r="D22" s="80">
        <v>2020</v>
      </c>
      <c r="E22" s="82">
        <f>'FS-AD Daily '!B26</f>
        <v>2292</v>
      </c>
      <c r="F22" s="82">
        <f>'FS-AD Daily '!C26</f>
        <v>1253</v>
      </c>
      <c r="G22" s="82">
        <f>'FS-AD Daily '!D26</f>
        <v>139</v>
      </c>
      <c r="H22" s="82">
        <f>'FS-AD Daily '!E26</f>
        <v>3221</v>
      </c>
      <c r="I22" s="82">
        <f>'FS-AD Daily '!F26</f>
        <v>4453</v>
      </c>
      <c r="J22" s="82">
        <f>'FS-AD Daily '!G26</f>
        <v>2149</v>
      </c>
      <c r="K22" s="82">
        <f>'FS-AD Daily '!H26</f>
        <v>3150</v>
      </c>
      <c r="L22" s="82">
        <f>'FS-AD Daily '!I26</f>
        <v>2758</v>
      </c>
      <c r="M22" s="82">
        <f>'FS-AD Daily '!J26</f>
        <v>4697</v>
      </c>
      <c r="N22" s="82">
        <f>'FS-AD Daily '!T26</f>
        <v>61.426000000000002</v>
      </c>
      <c r="O22" s="82">
        <f>'FS-AD Daily '!R26</f>
        <v>34.292999999999999</v>
      </c>
      <c r="P22" s="82">
        <f>'FS-AD Daily '!Z26</f>
        <v>206.09999999997672</v>
      </c>
      <c r="Q22" s="82">
        <f>'FS-AD Daily '!V26</f>
        <v>120.1</v>
      </c>
      <c r="R22" s="82">
        <f>'FS-AD Daily '!W26</f>
        <v>0</v>
      </c>
      <c r="S22" s="82">
        <f t="shared" si="0"/>
        <v>85.999999999976723</v>
      </c>
      <c r="T22" s="82">
        <f>'FS-AD Daily '!AD26*3.516</f>
        <v>50391.311999999998</v>
      </c>
      <c r="U22" s="82">
        <f>('FS-AD Daily '!AF26)*1000</f>
        <v>23000</v>
      </c>
      <c r="V22" s="82">
        <f>('FS-AD Daily '!AG26)*1000</f>
        <v>12000</v>
      </c>
      <c r="W22" s="82">
        <f>'FS-AD Daily '!AH26*1000</f>
        <v>14000</v>
      </c>
      <c r="X22" s="82">
        <f>('FS-AD Daily '!AK26)*1000</f>
        <v>16400.000000001455</v>
      </c>
      <c r="Y22" s="82">
        <v>11</v>
      </c>
      <c r="Z22" s="82">
        <v>15</v>
      </c>
    </row>
    <row r="23" spans="1:26" x14ac:dyDescent="0.25">
      <c r="A23" s="79" t="s">
        <v>81</v>
      </c>
      <c r="B23" s="80">
        <f t="shared" si="1"/>
        <v>22</v>
      </c>
      <c r="C23" s="81">
        <v>1</v>
      </c>
      <c r="D23" s="80">
        <v>2020</v>
      </c>
      <c r="E23" s="82">
        <f>'FS-AD Daily '!B27</f>
        <v>2228</v>
      </c>
      <c r="F23" s="82">
        <f>'FS-AD Daily '!C27</f>
        <v>1306</v>
      </c>
      <c r="G23" s="82">
        <f>'FS-AD Daily '!D27</f>
        <v>142</v>
      </c>
      <c r="H23" s="82">
        <f>'FS-AD Daily '!E27</f>
        <v>3160</v>
      </c>
      <c r="I23" s="82">
        <f>'FS-AD Daily '!F27</f>
        <v>4387</v>
      </c>
      <c r="J23" s="82">
        <f>'FS-AD Daily '!G27</f>
        <v>2197</v>
      </c>
      <c r="K23" s="82">
        <f>'FS-AD Daily '!H27</f>
        <v>3275</v>
      </c>
      <c r="L23" s="82">
        <f>'FS-AD Daily '!I27</f>
        <v>2791</v>
      </c>
      <c r="M23" s="82">
        <f>'FS-AD Daily '!J27</f>
        <v>4811</v>
      </c>
      <c r="N23" s="82">
        <f>'FS-AD Daily '!T27</f>
        <v>80.929000000000002</v>
      </c>
      <c r="O23" s="82">
        <f>'FS-AD Daily '!R27</f>
        <v>35.649000000000001</v>
      </c>
      <c r="P23" s="82">
        <f>'FS-AD Daily '!Z27</f>
        <v>177</v>
      </c>
      <c r="Q23" s="82">
        <f>'FS-AD Daily '!V27</f>
        <v>116.3</v>
      </c>
      <c r="R23" s="82">
        <f>'FS-AD Daily '!W27</f>
        <v>0</v>
      </c>
      <c r="S23" s="82">
        <f t="shared" si="0"/>
        <v>60.7</v>
      </c>
      <c r="T23" s="82">
        <f>'FS-AD Daily '!AD27*3.516</f>
        <v>55795.404000000002</v>
      </c>
      <c r="U23" s="82">
        <f>('FS-AD Daily '!AF27)*1000</f>
        <v>24700</v>
      </c>
      <c r="V23" s="82">
        <f>('FS-AD Daily '!AG27)*1000</f>
        <v>12700</v>
      </c>
      <c r="W23" s="82">
        <f>'FS-AD Daily '!AH27*1000</f>
        <v>15000</v>
      </c>
      <c r="X23" s="82">
        <f>('FS-AD Daily '!AK27)*1000</f>
        <v>17900.000000001455</v>
      </c>
      <c r="Y23" s="82">
        <v>12</v>
      </c>
      <c r="Z23" s="82">
        <v>17</v>
      </c>
    </row>
    <row r="24" spans="1:26" x14ac:dyDescent="0.25">
      <c r="A24" s="79" t="s">
        <v>81</v>
      </c>
      <c r="B24" s="80">
        <f t="shared" si="1"/>
        <v>23</v>
      </c>
      <c r="C24" s="81">
        <v>1</v>
      </c>
      <c r="D24" s="80">
        <v>2020</v>
      </c>
      <c r="E24" s="82">
        <f>'FS-AD Daily '!B28</f>
        <v>2262</v>
      </c>
      <c r="F24" s="82">
        <f>'FS-AD Daily '!C28</f>
        <v>1255</v>
      </c>
      <c r="G24" s="82">
        <f>'FS-AD Daily '!D28</f>
        <v>134</v>
      </c>
      <c r="H24" s="82">
        <f>'FS-AD Daily '!E28</f>
        <v>3289</v>
      </c>
      <c r="I24" s="82">
        <f>'FS-AD Daily '!F28</f>
        <v>4533</v>
      </c>
      <c r="J24" s="82">
        <f>'FS-AD Daily '!G28</f>
        <v>2295</v>
      </c>
      <c r="K24" s="82">
        <f>'FS-AD Daily '!H28</f>
        <v>3335</v>
      </c>
      <c r="L24" s="82">
        <f>'FS-AD Daily '!I28</f>
        <v>2841</v>
      </c>
      <c r="M24" s="82">
        <f>'FS-AD Daily '!J28</f>
        <v>4861</v>
      </c>
      <c r="N24" s="82">
        <f>'FS-AD Daily '!T28</f>
        <v>110.631</v>
      </c>
      <c r="O24" s="82">
        <f>'FS-AD Daily '!R28</f>
        <v>30.914000000000001</v>
      </c>
      <c r="P24" s="82">
        <f>'FS-AD Daily '!Z28</f>
        <v>180.29999999993015</v>
      </c>
      <c r="Q24" s="82">
        <f>'FS-AD Daily '!V28</f>
        <v>117.6</v>
      </c>
      <c r="R24" s="82">
        <f>'FS-AD Daily '!W28</f>
        <v>0</v>
      </c>
      <c r="S24" s="82">
        <f t="shared" si="0"/>
        <v>62.699999999930156</v>
      </c>
      <c r="T24" s="82">
        <f>'FS-AD Daily '!AD28*3.516</f>
        <v>57317.832000000002</v>
      </c>
      <c r="U24" s="82">
        <f>('FS-AD Daily '!AF28)*1000</f>
        <v>25500</v>
      </c>
      <c r="V24" s="82">
        <f>('FS-AD Daily '!AG28)*1000</f>
        <v>13000</v>
      </c>
      <c r="W24" s="82">
        <f>'FS-AD Daily '!AH28*1000</f>
        <v>15500</v>
      </c>
      <c r="X24" s="82">
        <f>('FS-AD Daily '!AK28)*1000</f>
        <v>17199.99999999709</v>
      </c>
      <c r="Y24" s="82">
        <v>13</v>
      </c>
      <c r="Z24" s="82">
        <v>18</v>
      </c>
    </row>
    <row r="25" spans="1:26" x14ac:dyDescent="0.25">
      <c r="A25" s="79" t="s">
        <v>81</v>
      </c>
      <c r="B25" s="80">
        <f t="shared" si="1"/>
        <v>24</v>
      </c>
      <c r="C25" s="81">
        <v>1</v>
      </c>
      <c r="D25" s="80">
        <v>2020</v>
      </c>
      <c r="E25" s="82">
        <f>'FS-AD Daily '!B29</f>
        <v>2496</v>
      </c>
      <c r="F25" s="82">
        <f>'FS-AD Daily '!C29</f>
        <v>1375</v>
      </c>
      <c r="G25" s="82">
        <f>'FS-AD Daily '!D29</f>
        <v>136</v>
      </c>
      <c r="H25" s="82">
        <f>'FS-AD Daily '!E29</f>
        <v>3566</v>
      </c>
      <c r="I25" s="82">
        <f>'FS-AD Daily '!F29</f>
        <v>4627</v>
      </c>
      <c r="J25" s="82">
        <f>'FS-AD Daily '!G29</f>
        <v>2395</v>
      </c>
      <c r="K25" s="82">
        <f>'FS-AD Daily '!H29</f>
        <v>3475</v>
      </c>
      <c r="L25" s="82">
        <f>'FS-AD Daily '!I29</f>
        <v>2911</v>
      </c>
      <c r="M25" s="82">
        <f>'FS-AD Daily '!J29</f>
        <v>4728</v>
      </c>
      <c r="N25" s="82">
        <f>'FS-AD Daily '!T29</f>
        <v>76.157999999999987</v>
      </c>
      <c r="O25" s="82">
        <f>'FS-AD Daily '!R29</f>
        <v>35.106999999999999</v>
      </c>
      <c r="P25" s="82">
        <f>'FS-AD Daily '!Z29</f>
        <v>179.10000000009313</v>
      </c>
      <c r="Q25" s="82">
        <f>'FS-AD Daily '!V29</f>
        <v>115.3</v>
      </c>
      <c r="R25" s="82">
        <f>'FS-AD Daily '!W29</f>
        <v>0</v>
      </c>
      <c r="S25" s="82">
        <f t="shared" si="0"/>
        <v>63.800000000093135</v>
      </c>
      <c r="T25" s="82">
        <f>'FS-AD Daily '!AD29*3.516</f>
        <v>63259.872000000003</v>
      </c>
      <c r="U25" s="82">
        <f>('FS-AD Daily '!AF29)*1000</f>
        <v>29500</v>
      </c>
      <c r="V25" s="82">
        <f>('FS-AD Daily '!AG29)*1000</f>
        <v>13700</v>
      </c>
      <c r="W25" s="82">
        <f>'FS-AD Daily '!AH29*1000</f>
        <v>15800</v>
      </c>
      <c r="X25" s="82">
        <f>('FS-AD Daily '!AK29)*1000</f>
        <v>19200.000000004366</v>
      </c>
      <c r="Y25" s="82">
        <v>20</v>
      </c>
      <c r="Z25" s="82">
        <v>30</v>
      </c>
    </row>
    <row r="26" spans="1:26" x14ac:dyDescent="0.25">
      <c r="A26" s="79" t="s">
        <v>81</v>
      </c>
      <c r="B26" s="80">
        <f>B25+1</f>
        <v>25</v>
      </c>
      <c r="C26" s="81">
        <v>1</v>
      </c>
      <c r="D26" s="80">
        <v>2020</v>
      </c>
      <c r="E26" s="82">
        <f>'FS-AD Daily '!B30</f>
        <v>2457</v>
      </c>
      <c r="F26" s="82">
        <f>'FS-AD Daily '!C30</f>
        <v>1416</v>
      </c>
      <c r="G26" s="82">
        <f>'FS-AD Daily '!D30</f>
        <v>124</v>
      </c>
      <c r="H26" s="82">
        <f>'FS-AD Daily '!E30</f>
        <v>3321</v>
      </c>
      <c r="I26" s="82">
        <f>'FS-AD Daily '!F30</f>
        <v>4661</v>
      </c>
      <c r="J26" s="82">
        <f>'FS-AD Daily '!G30</f>
        <v>2358</v>
      </c>
      <c r="K26" s="82">
        <f>'FS-AD Daily '!H30</f>
        <v>3468</v>
      </c>
      <c r="L26" s="82">
        <f>'FS-AD Daily '!I30</f>
        <v>2805</v>
      </c>
      <c r="M26" s="82">
        <f>'FS-AD Daily '!J30</f>
        <v>4745</v>
      </c>
      <c r="N26" s="82">
        <f>'FS-AD Daily '!T30</f>
        <v>65.459000000000003</v>
      </c>
      <c r="O26" s="82">
        <f>'FS-AD Daily '!R30</f>
        <v>28.895000000000003</v>
      </c>
      <c r="P26" s="82">
        <f>'FS-AD Daily '!Z30</f>
        <v>192.69999999995343</v>
      </c>
      <c r="Q26" s="82">
        <f>'FS-AD Daily '!V30</f>
        <v>127.4</v>
      </c>
      <c r="R26" s="82">
        <f>'FS-AD Daily '!W30</f>
        <v>0</v>
      </c>
      <c r="S26" s="82">
        <f t="shared" si="0"/>
        <v>65.299999999953428</v>
      </c>
      <c r="T26" s="82">
        <f>'FS-AD Daily '!AD30*3.516</f>
        <v>64504.536</v>
      </c>
      <c r="U26" s="82">
        <f>('FS-AD Daily '!AF30)*1000</f>
        <v>29000</v>
      </c>
      <c r="V26" s="82">
        <f>('FS-AD Daily '!AG30)*1000</f>
        <v>14300</v>
      </c>
      <c r="W26" s="82">
        <f>'FS-AD Daily '!AH30*1000</f>
        <v>16800</v>
      </c>
      <c r="X26" s="82">
        <f>('FS-AD Daily '!AK30)*1000</f>
        <v>19500</v>
      </c>
      <c r="Y26" s="82">
        <v>19</v>
      </c>
      <c r="Z26" s="82">
        <v>28</v>
      </c>
    </row>
    <row r="27" spans="1:26" x14ac:dyDescent="0.25">
      <c r="A27" s="79" t="s">
        <v>81</v>
      </c>
      <c r="B27" s="80">
        <f t="shared" si="1"/>
        <v>26</v>
      </c>
      <c r="C27" s="81">
        <v>1</v>
      </c>
      <c r="D27" s="80">
        <v>2020</v>
      </c>
      <c r="E27" s="82">
        <f>'FS-AD Daily '!B31</f>
        <v>2292</v>
      </c>
      <c r="F27" s="82">
        <f>'FS-AD Daily '!C31</f>
        <v>1569</v>
      </c>
      <c r="G27" s="82">
        <f>'FS-AD Daily '!D31</f>
        <v>144</v>
      </c>
      <c r="H27" s="82">
        <f>'FS-AD Daily '!E31</f>
        <v>3446</v>
      </c>
      <c r="I27" s="82">
        <f>'FS-AD Daily '!F31</f>
        <v>4792</v>
      </c>
      <c r="J27" s="82">
        <f>'FS-AD Daily '!G31</f>
        <v>2262</v>
      </c>
      <c r="K27" s="82">
        <f>'FS-AD Daily '!H31</f>
        <v>3357</v>
      </c>
      <c r="L27" s="82">
        <f>'FS-AD Daily '!I31</f>
        <v>2802</v>
      </c>
      <c r="M27" s="82">
        <f>'FS-AD Daily '!J31</f>
        <v>4906</v>
      </c>
      <c r="N27" s="82">
        <f>'FS-AD Daily '!T31</f>
        <v>121.59599999999843</v>
      </c>
      <c r="O27" s="82">
        <f>'FS-AD Daily '!R31</f>
        <v>32.249000000000002</v>
      </c>
      <c r="P27" s="82">
        <f>'FS-AD Daily '!Z31</f>
        <v>200.5</v>
      </c>
      <c r="Q27" s="82">
        <f>'FS-AD Daily '!V31</f>
        <v>119.9</v>
      </c>
      <c r="R27" s="82">
        <f>'FS-AD Daily '!W31</f>
        <v>0</v>
      </c>
      <c r="S27" s="82">
        <f t="shared" si="0"/>
        <v>80.599999999999994</v>
      </c>
      <c r="T27" s="82">
        <f>'FS-AD Daily '!AD31*3.516</f>
        <v>63449.735999999997</v>
      </c>
      <c r="U27" s="82">
        <f>('FS-AD Daily '!AF31)*1000</f>
        <v>28600</v>
      </c>
      <c r="V27" s="82">
        <f>('FS-AD Daily '!AG31)*1000</f>
        <v>13400</v>
      </c>
      <c r="W27" s="82">
        <f>'FS-AD Daily '!AH31*1000</f>
        <v>16700</v>
      </c>
      <c r="X27" s="82">
        <f>('FS-AD Daily '!AK31)*1000</f>
        <v>19199.99999999709</v>
      </c>
      <c r="Y27" s="82">
        <v>18</v>
      </c>
      <c r="Z27" s="82">
        <v>26</v>
      </c>
    </row>
    <row r="28" spans="1:26" x14ac:dyDescent="0.25">
      <c r="A28" s="79" t="s">
        <v>81</v>
      </c>
      <c r="B28" s="80">
        <f t="shared" si="1"/>
        <v>27</v>
      </c>
      <c r="C28" s="81">
        <v>1</v>
      </c>
      <c r="D28" s="80">
        <v>2020</v>
      </c>
      <c r="E28" s="82">
        <f>'FS-AD Daily '!B32</f>
        <v>2433</v>
      </c>
      <c r="F28" s="82">
        <f>'FS-AD Daily '!C32</f>
        <v>1451</v>
      </c>
      <c r="G28" s="82">
        <f>'FS-AD Daily '!D32</f>
        <v>209</v>
      </c>
      <c r="H28" s="82">
        <f>'FS-AD Daily '!E32</f>
        <v>3408</v>
      </c>
      <c r="I28" s="82">
        <f>'FS-AD Daily '!F32</f>
        <v>4671</v>
      </c>
      <c r="J28" s="82">
        <f>'FS-AD Daily '!G32</f>
        <v>2214</v>
      </c>
      <c r="K28" s="82">
        <f>'FS-AD Daily '!H32</f>
        <v>3655</v>
      </c>
      <c r="L28" s="82">
        <f>'FS-AD Daily '!I32</f>
        <v>2783</v>
      </c>
      <c r="M28" s="82">
        <f>'FS-AD Daily '!J32</f>
        <v>4978</v>
      </c>
      <c r="N28" s="82">
        <f>'FS-AD Daily '!T32</f>
        <v>56.99400000000233</v>
      </c>
      <c r="O28" s="82">
        <f>'FS-AD Daily '!R32</f>
        <v>26.611000000000001</v>
      </c>
      <c r="P28" s="82">
        <f>'FS-AD Daily '!Z32</f>
        <v>176.5</v>
      </c>
      <c r="Q28" s="82">
        <f>'FS-AD Daily '!V32</f>
        <v>127.7</v>
      </c>
      <c r="R28" s="82">
        <f>'FS-AD Daily '!W32</f>
        <v>0</v>
      </c>
      <c r="S28" s="82">
        <f t="shared" si="0"/>
        <v>48.8</v>
      </c>
      <c r="T28" s="82">
        <f>'FS-AD Daily '!AD32*3.516</f>
        <v>66048.06</v>
      </c>
      <c r="U28" s="82">
        <f>('FS-AD Daily '!AF32)*1000</f>
        <v>31000</v>
      </c>
      <c r="V28" s="82">
        <f>('FS-AD Daily '!AG32)*1000</f>
        <v>13500</v>
      </c>
      <c r="W28" s="82">
        <f>'FS-AD Daily '!AH32*1000</f>
        <v>16300</v>
      </c>
      <c r="X28" s="82">
        <f>('FS-AD Daily '!AK32)*1000</f>
        <v>19500</v>
      </c>
      <c r="Y28" s="82">
        <v>20</v>
      </c>
      <c r="Z28" s="82">
        <v>26</v>
      </c>
    </row>
    <row r="29" spans="1:26" x14ac:dyDescent="0.25">
      <c r="A29" s="79" t="s">
        <v>81</v>
      </c>
      <c r="B29" s="80">
        <f t="shared" si="1"/>
        <v>28</v>
      </c>
      <c r="C29" s="81">
        <v>1</v>
      </c>
      <c r="D29" s="80">
        <v>2020</v>
      </c>
      <c r="E29" s="82">
        <f>'FS-AD Daily '!B33</f>
        <v>2375</v>
      </c>
      <c r="F29" s="82">
        <f>'FS-AD Daily '!C33</f>
        <v>2065</v>
      </c>
      <c r="G29" s="82">
        <f>'FS-AD Daily '!D33</f>
        <v>159</v>
      </c>
      <c r="H29" s="82">
        <f>'FS-AD Daily '!E33</f>
        <v>3431</v>
      </c>
      <c r="I29" s="82">
        <f>'FS-AD Daily '!F33</f>
        <v>4712</v>
      </c>
      <c r="J29" s="82">
        <f>'FS-AD Daily '!G33</f>
        <v>2133</v>
      </c>
      <c r="K29" s="82">
        <f>'FS-AD Daily '!H33</f>
        <v>3793</v>
      </c>
      <c r="L29" s="82">
        <f>'FS-AD Daily '!I33</f>
        <v>2872</v>
      </c>
      <c r="M29" s="82">
        <f>'FS-AD Daily '!J33</f>
        <v>4831</v>
      </c>
      <c r="N29" s="82">
        <f>'FS-AD Daily '!T33</f>
        <v>86.156000000000006</v>
      </c>
      <c r="O29" s="82">
        <f>'FS-AD Daily '!R33</f>
        <v>31.293999999999997</v>
      </c>
      <c r="P29" s="82">
        <f>'FS-AD Daily '!Z33</f>
        <v>201.5</v>
      </c>
      <c r="Q29" s="82">
        <f>'FS-AD Daily '!V33</f>
        <v>118.4</v>
      </c>
      <c r="R29" s="82">
        <f>'FS-AD Daily '!W33</f>
        <v>0</v>
      </c>
      <c r="S29" s="82">
        <f t="shared" si="0"/>
        <v>83.1</v>
      </c>
      <c r="T29" s="82">
        <f>'FS-AD Daily '!AD33*3.516</f>
        <v>65654.267999999996</v>
      </c>
      <c r="U29" s="82">
        <f>('FS-AD Daily '!AF33)*1000</f>
        <v>29800</v>
      </c>
      <c r="V29" s="82">
        <f>('FS-AD Daily '!AG33)*1000</f>
        <v>14100</v>
      </c>
      <c r="W29" s="82">
        <f>'FS-AD Daily '!AH33*1000</f>
        <v>16900</v>
      </c>
      <c r="X29" s="82">
        <f>('FS-AD Daily '!AK33)*1000</f>
        <v>19500</v>
      </c>
      <c r="Y29" s="82">
        <v>12</v>
      </c>
      <c r="Z29" s="82">
        <v>19</v>
      </c>
    </row>
    <row r="30" spans="1:26" x14ac:dyDescent="0.25">
      <c r="A30" s="79" t="s">
        <v>81</v>
      </c>
      <c r="B30" s="80">
        <f t="shared" si="1"/>
        <v>29</v>
      </c>
      <c r="C30" s="81">
        <v>1</v>
      </c>
      <c r="D30" s="80">
        <v>2020</v>
      </c>
      <c r="E30" s="82">
        <f>'FS-AD Daily '!B34</f>
        <v>2313</v>
      </c>
      <c r="F30" s="82">
        <f>'FS-AD Daily '!C34</f>
        <v>1513</v>
      </c>
      <c r="G30" s="82">
        <f>'FS-AD Daily '!D34</f>
        <v>180</v>
      </c>
      <c r="H30" s="82">
        <f>'FS-AD Daily '!E34</f>
        <v>3190</v>
      </c>
      <c r="I30" s="82">
        <f>'FS-AD Daily '!F34</f>
        <v>4499</v>
      </c>
      <c r="J30" s="82">
        <f>'FS-AD Daily '!G34</f>
        <v>2125</v>
      </c>
      <c r="K30" s="82">
        <f>'FS-AD Daily '!H34</f>
        <v>3463</v>
      </c>
      <c r="L30" s="82">
        <f>'FS-AD Daily '!I34</f>
        <v>2794</v>
      </c>
      <c r="M30" s="82">
        <f>'FS-AD Daily '!J34</f>
        <v>4832</v>
      </c>
      <c r="N30" s="82">
        <f>'FS-AD Daily '!T34</f>
        <v>86.768000000000001</v>
      </c>
      <c r="O30" s="82">
        <f>'FS-AD Daily '!R34</f>
        <v>33.092999999999996</v>
      </c>
      <c r="P30" s="82">
        <f>'FS-AD Daily '!Z34</f>
        <v>185.59999999997672</v>
      </c>
      <c r="Q30" s="82">
        <f>'FS-AD Daily '!V34</f>
        <v>121.4</v>
      </c>
      <c r="R30" s="82">
        <f>'FS-AD Daily '!W34</f>
        <v>0</v>
      </c>
      <c r="S30" s="82">
        <f t="shared" si="0"/>
        <v>64.199999999976711</v>
      </c>
      <c r="T30" s="82">
        <f>'FS-AD Daily '!AD34*3.516</f>
        <v>64652.207999999999</v>
      </c>
      <c r="U30" s="82">
        <f>('FS-AD Daily '!AF34)*1000</f>
        <v>29400</v>
      </c>
      <c r="V30" s="82">
        <f>('FS-AD Daily '!AG34)*1000</f>
        <v>14100</v>
      </c>
      <c r="W30" s="82">
        <f>'FS-AD Daily '!AH34*1000</f>
        <v>16599.999999998545</v>
      </c>
      <c r="X30" s="82">
        <f>('FS-AD Daily '!AK34)*1000</f>
        <v>19099.999999998545</v>
      </c>
      <c r="Y30" s="82">
        <v>16</v>
      </c>
      <c r="Z30" s="82">
        <v>27</v>
      </c>
    </row>
    <row r="31" spans="1:26" x14ac:dyDescent="0.25">
      <c r="A31" s="79" t="s">
        <v>81</v>
      </c>
      <c r="B31" s="80">
        <f t="shared" si="1"/>
        <v>30</v>
      </c>
      <c r="C31" s="81">
        <v>1</v>
      </c>
      <c r="D31" s="80">
        <v>2020</v>
      </c>
      <c r="E31" s="82">
        <f>'FS-AD Daily '!B36</f>
        <v>2972</v>
      </c>
      <c r="F31" s="82">
        <f>'FS-AD Daily '!C36</f>
        <v>2110</v>
      </c>
      <c r="G31" s="82">
        <f>'FS-AD Daily '!D36</f>
        <v>403</v>
      </c>
      <c r="H31" s="82">
        <f>'FS-AD Daily '!E36</f>
        <v>3466</v>
      </c>
      <c r="I31" s="82">
        <f>'FS-AD Daily '!F35</f>
        <v>4681</v>
      </c>
      <c r="J31" s="82">
        <f>'FS-AD Daily '!G35</f>
        <v>2232</v>
      </c>
      <c r="K31" s="82">
        <f>'FS-AD Daily '!H35</f>
        <v>3675</v>
      </c>
      <c r="L31" s="82">
        <f>'FS-AD Daily '!I35</f>
        <v>2966</v>
      </c>
      <c r="M31" s="82">
        <f>'FS-AD Daily '!J35</f>
        <v>5146</v>
      </c>
      <c r="N31" s="82">
        <f>'FS-AD Daily '!T35</f>
        <v>85.969000000000008</v>
      </c>
      <c r="O31" s="82">
        <f>'FS-AD Daily '!R35</f>
        <v>30.565999999999999</v>
      </c>
      <c r="P31" s="82">
        <f>'FS-AD Daily '!Z35</f>
        <v>210.30000000004657</v>
      </c>
      <c r="Q31" s="82">
        <f>'FS-AD Daily '!V35</f>
        <v>127.9</v>
      </c>
      <c r="R31" s="82">
        <f>'FS-AD Daily '!W35</f>
        <v>0</v>
      </c>
      <c r="S31" s="82">
        <f t="shared" si="0"/>
        <v>82.40000000004656</v>
      </c>
      <c r="T31" s="82">
        <f>'FS-AD Daily '!AD35*3.516</f>
        <v>71807.267999999996</v>
      </c>
      <c r="U31" s="82">
        <f>('FS-AD Daily '!AF35)*1000</f>
        <v>33500</v>
      </c>
      <c r="V31" s="82">
        <f>('FS-AD Daily '!AG35)*1000</f>
        <v>14800</v>
      </c>
      <c r="W31" s="82">
        <f>'FS-AD Daily '!AH35*1000</f>
        <v>18200</v>
      </c>
      <c r="X31" s="82">
        <f>('FS-AD Daily '!AK35)*1000</f>
        <v>21200.000000004366</v>
      </c>
      <c r="Y31" s="82">
        <v>15</v>
      </c>
      <c r="Z31" s="82">
        <v>25</v>
      </c>
    </row>
    <row r="32" spans="1:26" x14ac:dyDescent="0.25">
      <c r="A32" s="79" t="s">
        <v>81</v>
      </c>
      <c r="B32" s="80">
        <f t="shared" si="1"/>
        <v>31</v>
      </c>
      <c r="C32" s="81"/>
      <c r="D32" s="80"/>
      <c r="E32" s="82"/>
      <c r="F32" s="82"/>
      <c r="G32" s="82"/>
      <c r="H32" s="82"/>
      <c r="I32" s="82">
        <f>'FS-AD Daily '!F36</f>
        <v>4545</v>
      </c>
      <c r="J32" s="82">
        <f>'FS-AD Daily '!G36</f>
        <v>2424</v>
      </c>
      <c r="K32" s="82">
        <f>'FS-AD Daily '!H36</f>
        <v>3510</v>
      </c>
      <c r="L32" s="82">
        <f>'FS-AD Daily '!I36</f>
        <v>2877</v>
      </c>
      <c r="M32" s="82">
        <f>'FS-AD Daily '!J36</f>
        <v>5358</v>
      </c>
      <c r="N32" s="82">
        <f>'FS-AD Daily '!T36</f>
        <v>99.8</v>
      </c>
      <c r="O32" s="82">
        <f>'FS-AD Daily '!R36</f>
        <v>33.799999999999997</v>
      </c>
      <c r="P32" s="82">
        <f>'FS-AD Daily '!Z36</f>
        <v>215</v>
      </c>
      <c r="Q32" s="82">
        <f>'FS-AD Daily '!V36</f>
        <v>144.5</v>
      </c>
      <c r="R32" s="82">
        <f>'FS-AD Daily '!W36</f>
        <v>0</v>
      </c>
      <c r="S32" s="82">
        <f t="shared" si="0"/>
        <v>70.5</v>
      </c>
      <c r="T32" s="82">
        <f>'FS-AD Daily '!AD36*3.516</f>
        <v>80217.539999999994</v>
      </c>
      <c r="U32" s="82">
        <f>('FS-AD Daily '!AF36)*1000</f>
        <v>40100</v>
      </c>
      <c r="V32" s="82">
        <f>('FS-AD Daily '!AG36)*1000</f>
        <v>15500</v>
      </c>
      <c r="W32" s="82">
        <f>'FS-AD Daily '!AH36*1000</f>
        <v>18200</v>
      </c>
      <c r="X32" s="82">
        <f>('FS-AD Daily '!AK36)*1000</f>
        <v>23599.999999998545</v>
      </c>
      <c r="Y32" s="82">
        <v>24</v>
      </c>
      <c r="Z32" s="82">
        <v>40</v>
      </c>
    </row>
    <row r="33" spans="9:26" x14ac:dyDescent="0.25">
      <c r="I33" s="4">
        <f>SUM(I2:I32)</f>
        <v>138950</v>
      </c>
      <c r="J33" s="4">
        <f t="shared" ref="J33:V33" si="2">SUM(J2:J32)</f>
        <v>65507</v>
      </c>
      <c r="K33" s="4">
        <f t="shared" si="2"/>
        <v>104783</v>
      </c>
      <c r="L33" s="4">
        <f t="shared" si="2"/>
        <v>87632</v>
      </c>
      <c r="M33" s="4">
        <f t="shared" si="2"/>
        <v>141260</v>
      </c>
      <c r="N33" s="4">
        <f t="shared" si="2"/>
        <v>2478.4460000000013</v>
      </c>
      <c r="O33" s="4">
        <f t="shared" si="2"/>
        <v>881.96999999999991</v>
      </c>
      <c r="P33" s="4">
        <f t="shared" si="2"/>
        <v>5541.5999999999767</v>
      </c>
      <c r="Q33" s="4">
        <f t="shared" si="2"/>
        <v>3504.1000000000004</v>
      </c>
      <c r="R33" s="4">
        <f t="shared" si="2"/>
        <v>0</v>
      </c>
      <c r="S33" s="4">
        <f t="shared" si="2"/>
        <v>2037.4999999999764</v>
      </c>
      <c r="T33" s="4">
        <f t="shared" si="2"/>
        <v>1745043.5400000003</v>
      </c>
      <c r="U33" s="4">
        <f t="shared" si="2"/>
        <v>778900</v>
      </c>
      <c r="V33" s="4">
        <f t="shared" si="2"/>
        <v>403700</v>
      </c>
      <c r="W33" s="4">
        <f>SUM(W2:W32)</f>
        <v>467099.99999999854</v>
      </c>
      <c r="X33" s="4">
        <f>'FS-AD Daily '!U38</f>
        <v>12516.371840000011</v>
      </c>
      <c r="Y33" s="4">
        <f>'FS-AD Daily '!V38</f>
        <v>0</v>
      </c>
      <c r="Z33" s="4">
        <f>'FS-AD Daily '!W38</f>
        <v>0</v>
      </c>
    </row>
    <row r="34" spans="9:26" x14ac:dyDescent="0.25">
      <c r="Y34" s="4">
        <f>SUM(Y2:Y32)</f>
        <v>424</v>
      </c>
      <c r="Z34" s="4">
        <f>SUM(Z2:Z32)</f>
        <v>645</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Normal="100" workbookViewId="0">
      <pane xSplit="7" ySplit="4" topLeftCell="AD23" activePane="bottomRight" state="frozen"/>
      <selection pane="topRight" activeCell="H1" sqref="H1"/>
      <selection pane="bottomLeft" activeCell="A5" sqref="A5"/>
      <selection pane="bottomRight" activeCell="AJ36" sqref="AJ36"/>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19" t="s">
        <v>14</v>
      </c>
      <c r="C1" s="119"/>
      <c r="D1" s="119"/>
      <c r="E1" s="119"/>
      <c r="F1" s="119"/>
      <c r="G1" s="119"/>
      <c r="H1" s="119"/>
      <c r="I1" s="119"/>
      <c r="J1" s="119"/>
      <c r="K1" s="32" t="s">
        <v>15</v>
      </c>
      <c r="L1" s="33" t="s">
        <v>16</v>
      </c>
      <c r="M1" s="34" t="s">
        <v>17</v>
      </c>
      <c r="N1" s="35" t="s">
        <v>18</v>
      </c>
      <c r="O1" s="35" t="s">
        <v>19</v>
      </c>
      <c r="P1" s="73" t="s">
        <v>20</v>
      </c>
      <c r="Q1" s="37" t="s">
        <v>21</v>
      </c>
      <c r="R1" s="38" t="s">
        <v>22</v>
      </c>
      <c r="S1" s="36" t="s">
        <v>23</v>
      </c>
      <c r="T1" s="39" t="s">
        <v>24</v>
      </c>
      <c r="U1" s="40" t="s">
        <v>25</v>
      </c>
      <c r="V1" s="39" t="s">
        <v>26</v>
      </c>
      <c r="W1" s="39" t="s">
        <v>27</v>
      </c>
      <c r="X1" s="120" t="s">
        <v>28</v>
      </c>
      <c r="Y1" s="120"/>
      <c r="Z1" s="41" t="s">
        <v>29</v>
      </c>
      <c r="AA1" s="42" t="s">
        <v>30</v>
      </c>
      <c r="AB1" s="43" t="s">
        <v>31</v>
      </c>
      <c r="AC1" s="43" t="s">
        <v>32</v>
      </c>
      <c r="AD1" s="32" t="s">
        <v>33</v>
      </c>
      <c r="AE1" s="40" t="s">
        <v>34</v>
      </c>
      <c r="AF1" s="32" t="s">
        <v>78</v>
      </c>
      <c r="AG1" s="32" t="s">
        <v>77</v>
      </c>
      <c r="AH1" s="32" t="s">
        <v>79</v>
      </c>
      <c r="AI1" s="53" t="s">
        <v>35</v>
      </c>
      <c r="AJ1" s="53"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5" t="s">
        <v>42</v>
      </c>
      <c r="L2" s="114" t="s">
        <v>43</v>
      </c>
      <c r="M2" s="13"/>
      <c r="N2" s="13"/>
      <c r="O2" s="13"/>
      <c r="P2" s="13"/>
      <c r="Q2" s="13"/>
      <c r="R2" s="13"/>
      <c r="S2" s="123"/>
      <c r="T2" s="54"/>
      <c r="U2" s="117"/>
      <c r="V2" s="52"/>
      <c r="W2" s="52"/>
      <c r="X2" s="29">
        <v>1</v>
      </c>
      <c r="Y2" s="29">
        <v>2</v>
      </c>
      <c r="Z2" s="30"/>
      <c r="AA2" s="114" t="s">
        <v>100</v>
      </c>
      <c r="AB2" s="50"/>
      <c r="AC2" s="115" t="s">
        <v>44</v>
      </c>
      <c r="AD2" s="116"/>
      <c r="AE2" s="117" t="s">
        <v>102</v>
      </c>
      <c r="AF2" s="52"/>
      <c r="AG2" s="52"/>
      <c r="AH2" s="52"/>
      <c r="AI2" s="51"/>
      <c r="AJ2" s="51"/>
      <c r="AK2" s="51"/>
      <c r="AL2" s="51"/>
      <c r="AM2" s="117" t="s">
        <v>102</v>
      </c>
      <c r="AN2" s="118"/>
      <c r="AO2" s="113"/>
    </row>
    <row r="3" spans="1:44" ht="15" customHeight="1" x14ac:dyDescent="0.25">
      <c r="A3" s="12"/>
      <c r="B3" s="14" t="s">
        <v>45</v>
      </c>
      <c r="C3" s="14" t="s">
        <v>46</v>
      </c>
      <c r="D3" s="14" t="s">
        <v>47</v>
      </c>
      <c r="E3" s="14" t="s">
        <v>48</v>
      </c>
      <c r="F3" s="14" t="s">
        <v>49</v>
      </c>
      <c r="G3" s="14" t="s">
        <v>50</v>
      </c>
      <c r="H3" s="14" t="s">
        <v>51</v>
      </c>
      <c r="I3" s="14" t="s">
        <v>52</v>
      </c>
      <c r="J3" s="14" t="s">
        <v>53</v>
      </c>
      <c r="K3" s="121"/>
      <c r="L3" s="122"/>
      <c r="M3" s="13"/>
      <c r="N3" s="13"/>
      <c r="O3" s="13"/>
      <c r="P3" s="13"/>
      <c r="Q3" s="13"/>
      <c r="R3" s="13"/>
      <c r="S3" s="123"/>
      <c r="T3" s="54"/>
      <c r="U3" s="117"/>
      <c r="V3" s="52"/>
      <c r="W3" s="52"/>
      <c r="X3" s="14"/>
      <c r="Y3" s="14"/>
      <c r="Z3" s="15"/>
      <c r="AA3" s="114"/>
      <c r="AB3" s="50"/>
      <c r="AC3" s="115"/>
      <c r="AD3" s="116"/>
      <c r="AE3" s="117"/>
      <c r="AF3" s="52"/>
      <c r="AG3" s="52"/>
      <c r="AH3" s="52"/>
      <c r="AI3" s="16"/>
      <c r="AJ3" s="51"/>
      <c r="AK3" s="51"/>
      <c r="AL3" s="51"/>
      <c r="AM3" s="117"/>
      <c r="AN3" s="118"/>
      <c r="AO3" s="113"/>
    </row>
    <row r="4" spans="1:44" ht="30.75" thickBot="1" x14ac:dyDescent="0.3">
      <c r="A4" s="56"/>
      <c r="B4" s="57" t="s">
        <v>54</v>
      </c>
      <c r="C4" s="57" t="s">
        <v>55</v>
      </c>
      <c r="D4" s="57" t="s">
        <v>56</v>
      </c>
      <c r="E4" s="70" t="s">
        <v>57</v>
      </c>
      <c r="F4" s="57" t="s">
        <v>58</v>
      </c>
      <c r="G4" s="70" t="s">
        <v>59</v>
      </c>
      <c r="H4" s="70" t="s">
        <v>60</v>
      </c>
      <c r="I4" s="70" t="s">
        <v>61</v>
      </c>
      <c r="J4" s="70" t="s">
        <v>62</v>
      </c>
      <c r="K4" s="57"/>
      <c r="L4" s="58"/>
      <c r="M4" s="13"/>
      <c r="N4" s="13"/>
      <c r="O4" s="13"/>
      <c r="P4" s="13"/>
      <c r="Q4" s="13"/>
      <c r="R4" s="13"/>
      <c r="S4" s="123"/>
      <c r="T4" s="54"/>
      <c r="U4" s="117"/>
      <c r="V4" s="52"/>
      <c r="W4" s="52"/>
      <c r="X4" s="59"/>
      <c r="Y4" s="59">
        <v>652219.80000000005</v>
      </c>
      <c r="Z4" s="15"/>
      <c r="AA4" s="114"/>
      <c r="AB4" s="50">
        <v>38266300</v>
      </c>
      <c r="AC4" s="115"/>
      <c r="AD4" s="116"/>
      <c r="AE4" s="117"/>
      <c r="AF4" s="52"/>
      <c r="AG4" s="52"/>
      <c r="AH4" s="52"/>
      <c r="AI4" s="50"/>
      <c r="AJ4" s="50">
        <v>34557.699999999997</v>
      </c>
      <c r="AK4" s="50"/>
      <c r="AL4" s="50"/>
      <c r="AM4" s="117"/>
      <c r="AN4" s="118"/>
      <c r="AO4" s="113"/>
      <c r="AP4" s="9">
        <v>0.33341500000000002</v>
      </c>
    </row>
    <row r="5" spans="1:44" ht="90.75" thickBot="1" x14ac:dyDescent="0.3">
      <c r="A5" s="60" t="s">
        <v>63</v>
      </c>
      <c r="B5" s="61"/>
      <c r="C5" s="61"/>
      <c r="D5" s="61"/>
      <c r="E5" s="74" t="s">
        <v>93</v>
      </c>
      <c r="F5" s="61"/>
      <c r="G5" s="75" t="s">
        <v>96</v>
      </c>
      <c r="H5" s="74" t="s">
        <v>97</v>
      </c>
      <c r="I5" s="74" t="s">
        <v>98</v>
      </c>
      <c r="J5" s="75"/>
      <c r="K5" s="62" t="s">
        <v>12</v>
      </c>
      <c r="L5" s="62" t="s">
        <v>12</v>
      </c>
      <c r="M5" s="77" t="s">
        <v>12</v>
      </c>
      <c r="N5" s="77" t="s">
        <v>12</v>
      </c>
      <c r="O5" s="77" t="s">
        <v>12</v>
      </c>
      <c r="P5" s="77" t="s">
        <v>12</v>
      </c>
      <c r="Q5" s="77" t="s">
        <v>12</v>
      </c>
      <c r="R5" s="62" t="s">
        <v>12</v>
      </c>
      <c r="S5" s="62" t="s">
        <v>12</v>
      </c>
      <c r="T5" s="62" t="s">
        <v>12</v>
      </c>
      <c r="U5" s="62" t="s">
        <v>12</v>
      </c>
      <c r="V5" s="62" t="s">
        <v>12</v>
      </c>
      <c r="W5" s="62" t="s">
        <v>12</v>
      </c>
      <c r="X5" s="63" t="s">
        <v>86</v>
      </c>
      <c r="Y5" s="61"/>
      <c r="Z5" s="61" t="s">
        <v>12</v>
      </c>
      <c r="AA5" s="62" t="e">
        <f>SUM(#REF!)</f>
        <v>#REF!</v>
      </c>
      <c r="AB5" s="61"/>
      <c r="AC5" s="61" t="s">
        <v>12</v>
      </c>
      <c r="AD5" s="61" t="s">
        <v>12</v>
      </c>
      <c r="AE5" s="64" t="e">
        <f>SUM(#REF!)</f>
        <v>#REF!</v>
      </c>
      <c r="AF5" s="64"/>
      <c r="AG5" s="64"/>
      <c r="AH5" s="64"/>
      <c r="AI5" s="61"/>
      <c r="AJ5" s="61"/>
      <c r="AK5" s="61" t="e">
        <f>SUM(#REF!)</f>
        <v>#REF!</v>
      </c>
      <c r="AL5" s="61"/>
      <c r="AM5" s="64"/>
      <c r="AN5" s="65"/>
      <c r="AO5" s="62" t="e">
        <f>SUM(#REF!)</f>
        <v>#REF!</v>
      </c>
    </row>
    <row r="6" spans="1:44" x14ac:dyDescent="0.25">
      <c r="A6" s="102">
        <v>43952</v>
      </c>
      <c r="B6" s="108">
        <v>2261</v>
      </c>
      <c r="C6" s="108">
        <v>1394</v>
      </c>
      <c r="D6" s="108">
        <v>282</v>
      </c>
      <c r="E6" s="108">
        <v>3217</v>
      </c>
      <c r="F6" s="108">
        <v>4477</v>
      </c>
      <c r="G6" s="108">
        <v>1969</v>
      </c>
      <c r="H6" s="108">
        <v>3271</v>
      </c>
      <c r="I6" s="108">
        <v>2866</v>
      </c>
      <c r="J6" s="108">
        <v>4560</v>
      </c>
      <c r="K6" s="71">
        <f>SUM(B6:H6)</f>
        <v>16871</v>
      </c>
      <c r="L6" s="47">
        <f>K6*0.2</f>
        <v>3374.2000000000003</v>
      </c>
      <c r="M6" s="107">
        <v>67.641000000000005</v>
      </c>
      <c r="N6" s="107">
        <v>0.25600000000000001</v>
      </c>
      <c r="O6" s="107">
        <v>4.1159999999999997</v>
      </c>
      <c r="P6" s="105">
        <v>24.928999999999998</v>
      </c>
      <c r="Q6" s="107">
        <v>7.02</v>
      </c>
      <c r="R6" s="106">
        <f t="shared" ref="R6:R36" si="0">N6+O6+P6</f>
        <v>29.300999999999998</v>
      </c>
      <c r="S6" s="19">
        <f t="shared" ref="S6:S34" si="1">(N6+O6+P6)*7.84</f>
        <v>229.71983999999998</v>
      </c>
      <c r="T6" s="72">
        <f t="shared" ref="T6:T34" si="2">M6+Q6</f>
        <v>74.661000000000001</v>
      </c>
      <c r="U6" s="19">
        <f t="shared" ref="U6:U37" si="3">T6*7.84</f>
        <v>585.34223999999995</v>
      </c>
      <c r="V6" s="107">
        <v>101.3</v>
      </c>
      <c r="W6" s="107">
        <v>0</v>
      </c>
      <c r="X6" s="17" t="s">
        <v>64</v>
      </c>
      <c r="Y6" s="108">
        <v>652388.9</v>
      </c>
      <c r="Z6" s="69">
        <f>IF((Y6-Y5&lt;0), "0",Y6-Y4)</f>
        <v>169.09999999997672</v>
      </c>
      <c r="AA6" s="47">
        <f>Z6*10.07</f>
        <v>1702.8369999997656</v>
      </c>
      <c r="AB6" s="17">
        <v>38281773</v>
      </c>
      <c r="AC6" s="17">
        <f>AB4</f>
        <v>38266300</v>
      </c>
      <c r="AD6" s="48">
        <f>IF((AB6-AC6&lt;0), "0",AB6-AC6)</f>
        <v>15473</v>
      </c>
      <c r="AE6" s="19">
        <f>AD6*0.333415</f>
        <v>5158.9302950000001</v>
      </c>
      <c r="AF6" s="19">
        <v>22.5</v>
      </c>
      <c r="AG6" s="19">
        <v>13.1</v>
      </c>
      <c r="AH6" s="19">
        <v>15.7</v>
      </c>
      <c r="AI6" s="94">
        <f>AJ4</f>
        <v>34557.699999999997</v>
      </c>
      <c r="AJ6" s="94">
        <v>34574.6</v>
      </c>
      <c r="AK6" s="66">
        <f>IF((AJ6-AI6)&lt;0, "0",AJ6-AI6)</f>
        <v>16.900000000001455</v>
      </c>
      <c r="AL6" s="17">
        <f t="shared" ref="AL6:AL36" si="4">AK6*(284.34513609)</f>
        <v>4805.4327999214138</v>
      </c>
      <c r="AM6" s="19">
        <f>AL6*0.333415</f>
        <v>1602.2033769857983</v>
      </c>
      <c r="AN6" s="48">
        <v>12</v>
      </c>
      <c r="AO6" s="99">
        <f t="shared" ref="AO6:AO36" si="5">L6+U6+AA6+AE6</f>
        <v>10821.309534999766</v>
      </c>
    </row>
    <row r="7" spans="1:44" x14ac:dyDescent="0.25">
      <c r="A7" s="101">
        <v>43953</v>
      </c>
      <c r="B7" s="109">
        <v>2244</v>
      </c>
      <c r="C7" s="109">
        <v>1307</v>
      </c>
      <c r="D7" s="109">
        <v>243</v>
      </c>
      <c r="E7" s="109">
        <v>3265</v>
      </c>
      <c r="F7" s="109">
        <v>4369</v>
      </c>
      <c r="G7" s="109">
        <v>1967</v>
      </c>
      <c r="H7" s="109">
        <v>3228</v>
      </c>
      <c r="I7" s="109">
        <v>2810</v>
      </c>
      <c r="J7" s="109">
        <v>4585</v>
      </c>
      <c r="K7" s="95">
        <f>SUM(B7:H7)</f>
        <v>16623</v>
      </c>
      <c r="L7" s="18">
        <f>K7*0.2</f>
        <v>3324.6000000000004</v>
      </c>
      <c r="M7" s="106">
        <v>101.232</v>
      </c>
      <c r="N7" s="106">
        <v>0.436</v>
      </c>
      <c r="O7" s="106">
        <v>4.1059999999999999</v>
      </c>
      <c r="P7" s="104">
        <v>25.379000000000001</v>
      </c>
      <c r="Q7" s="106">
        <v>10.351000000000001</v>
      </c>
      <c r="R7" s="106">
        <f t="shared" si="0"/>
        <v>29.920999999999999</v>
      </c>
      <c r="S7" s="96">
        <f>(N7+O7+P7)*7.84</f>
        <v>234.58063999999999</v>
      </c>
      <c r="T7" s="96">
        <f>M7+Q7</f>
        <v>111.583</v>
      </c>
      <c r="U7" s="96">
        <f>T7*7.84</f>
        <v>874.81071999999995</v>
      </c>
      <c r="V7" s="106">
        <v>105.8</v>
      </c>
      <c r="W7" s="106">
        <v>0</v>
      </c>
      <c r="X7" s="95" t="s">
        <v>64</v>
      </c>
      <c r="Y7" s="109">
        <v>652558.30000000005</v>
      </c>
      <c r="Z7" s="5">
        <f t="shared" ref="Z7:Z36" si="6">IF((Y7-Y6&lt;0), "0",Y7-Y6)</f>
        <v>169.40000000002328</v>
      </c>
      <c r="AA7" s="18">
        <f>Z7*10.07</f>
        <v>1705.8580000002346</v>
      </c>
      <c r="AB7" s="109">
        <v>38296891</v>
      </c>
      <c r="AC7" s="95">
        <f>AB6</f>
        <v>38281773</v>
      </c>
      <c r="AD7" s="5">
        <f t="shared" ref="AD7:AD36" si="7">IF((AB7-AC7&lt;0), "0",AB7-AC7)</f>
        <v>15118</v>
      </c>
      <c r="AE7" s="96">
        <f>AD7*0.333415</f>
        <v>5040.5679700000001</v>
      </c>
      <c r="AF7" s="96">
        <v>21.4</v>
      </c>
      <c r="AG7" s="96">
        <v>12.3</v>
      </c>
      <c r="AH7" s="96">
        <v>15.7</v>
      </c>
      <c r="AI7" s="78">
        <f>AJ6</f>
        <v>34574.6</v>
      </c>
      <c r="AJ7" s="109">
        <v>34592.300000000003</v>
      </c>
      <c r="AK7" s="55">
        <f t="shared" ref="AK7:AK36" si="8">IF((AJ7-AI7)&lt;0, "0",AJ7-AI7)</f>
        <v>17.700000000004366</v>
      </c>
      <c r="AL7" s="112">
        <f t="shared" si="4"/>
        <v>5032.9089087942411</v>
      </c>
      <c r="AM7" s="96">
        <f>AL7*0.333415</f>
        <v>1678.047323825632</v>
      </c>
      <c r="AN7" s="5">
        <v>10</v>
      </c>
      <c r="AO7" s="100">
        <f t="shared" si="5"/>
        <v>10945.836690000235</v>
      </c>
    </row>
    <row r="8" spans="1:44" x14ac:dyDescent="0.25">
      <c r="A8" s="101">
        <v>43954</v>
      </c>
      <c r="B8" s="109">
        <v>2160</v>
      </c>
      <c r="C8" s="109">
        <v>1386</v>
      </c>
      <c r="D8" s="109">
        <v>225</v>
      </c>
      <c r="E8" s="109">
        <v>3289</v>
      </c>
      <c r="F8" s="109">
        <v>4465</v>
      </c>
      <c r="G8" s="109">
        <v>1981</v>
      </c>
      <c r="H8" s="109">
        <v>3273</v>
      </c>
      <c r="I8" s="109">
        <v>2931</v>
      </c>
      <c r="J8" s="109">
        <v>4545</v>
      </c>
      <c r="K8" s="95">
        <f>SUM(B8:H8)</f>
        <v>16779</v>
      </c>
      <c r="L8" s="18">
        <f t="shared" ref="L8:L36" si="9">K8*0.2</f>
        <v>3355.8</v>
      </c>
      <c r="M8" s="106">
        <v>46.271000000000001</v>
      </c>
      <c r="N8" s="106">
        <v>0.66300000000000003</v>
      </c>
      <c r="O8" s="106">
        <v>4.1539999999999999</v>
      </c>
      <c r="P8" s="104">
        <v>11.917999999999999</v>
      </c>
      <c r="Q8" s="106">
        <v>7.476</v>
      </c>
      <c r="R8" s="106">
        <f t="shared" si="0"/>
        <v>16.734999999999999</v>
      </c>
      <c r="S8" s="96">
        <f>(N8+O8+P8)*7.84</f>
        <v>131.20239999999998</v>
      </c>
      <c r="T8" s="96">
        <f>M8+Q8</f>
        <v>53.747</v>
      </c>
      <c r="U8" s="96">
        <f>T8*7.84</f>
        <v>421.37648000000002</v>
      </c>
      <c r="V8" s="106">
        <v>104.7</v>
      </c>
      <c r="W8" s="106">
        <v>0</v>
      </c>
      <c r="X8" s="95" t="s">
        <v>64</v>
      </c>
      <c r="Y8" s="109">
        <v>652721.9</v>
      </c>
      <c r="Z8" s="5">
        <f t="shared" si="6"/>
        <v>163.59999999997672</v>
      </c>
      <c r="AA8" s="18">
        <f>Z8*10.07</f>
        <v>1647.4519999997656</v>
      </c>
      <c r="AB8" s="109">
        <v>38311984</v>
      </c>
      <c r="AC8" s="95">
        <f t="shared" ref="AC8:AC34" si="10">AB7</f>
        <v>38296891</v>
      </c>
      <c r="AD8" s="5">
        <f t="shared" si="7"/>
        <v>15093</v>
      </c>
      <c r="AE8" s="106">
        <f t="shared" ref="AE8:AE36" si="11">AD8*0.333415</f>
        <v>5032.2325950000004</v>
      </c>
      <c r="AF8" s="96">
        <v>21.5</v>
      </c>
      <c r="AG8" s="96">
        <v>15.2</v>
      </c>
      <c r="AH8" s="96">
        <v>14.9</v>
      </c>
      <c r="AI8" s="78">
        <f>AJ7</f>
        <v>34592.300000000003</v>
      </c>
      <c r="AJ8" s="109">
        <v>34607.9</v>
      </c>
      <c r="AK8" s="55">
        <f t="shared" si="8"/>
        <v>15.599999999998545</v>
      </c>
      <c r="AL8" s="112">
        <f t="shared" si="4"/>
        <v>4435.7841230035856</v>
      </c>
      <c r="AM8" s="106">
        <f t="shared" ref="AM8:AM36" si="12">AL8*0.333415</f>
        <v>1478.9569633712406</v>
      </c>
      <c r="AN8" s="5">
        <v>11</v>
      </c>
      <c r="AO8" s="100">
        <f t="shared" si="5"/>
        <v>10456.861074999766</v>
      </c>
    </row>
    <row r="9" spans="1:44" x14ac:dyDescent="0.25">
      <c r="A9" s="101">
        <v>43955</v>
      </c>
      <c r="B9" s="109">
        <v>2219</v>
      </c>
      <c r="C9" s="109">
        <v>1502</v>
      </c>
      <c r="D9" s="109">
        <v>266</v>
      </c>
      <c r="E9" s="109">
        <v>3373</v>
      </c>
      <c r="F9" s="109">
        <v>4527</v>
      </c>
      <c r="G9" s="109">
        <v>1909</v>
      </c>
      <c r="H9" s="109">
        <v>3315</v>
      </c>
      <c r="I9" s="109">
        <v>2818</v>
      </c>
      <c r="J9" s="109">
        <v>4268</v>
      </c>
      <c r="K9" s="95">
        <f t="shared" ref="K9:K36" si="13">SUM(B9:H9)</f>
        <v>17111</v>
      </c>
      <c r="L9" s="18">
        <f t="shared" si="9"/>
        <v>3422.2000000000003</v>
      </c>
      <c r="M9" s="106">
        <v>77.903000000000006</v>
      </c>
      <c r="N9" s="106">
        <v>1.5009999999999999</v>
      </c>
      <c r="O9" s="106">
        <v>4.0670000000000002</v>
      </c>
      <c r="P9" s="104">
        <v>22.257999999999999</v>
      </c>
      <c r="Q9" s="106">
        <v>9.0340000000000007</v>
      </c>
      <c r="R9" s="106">
        <f t="shared" si="0"/>
        <v>27.826000000000001</v>
      </c>
      <c r="S9" s="96">
        <f t="shared" si="1"/>
        <v>218.15584000000001</v>
      </c>
      <c r="T9" s="96">
        <f t="shared" si="2"/>
        <v>86.937000000000012</v>
      </c>
      <c r="U9" s="96">
        <f t="shared" si="3"/>
        <v>681.58608000000004</v>
      </c>
      <c r="V9" s="106">
        <v>100.7</v>
      </c>
      <c r="W9" s="106">
        <v>0</v>
      </c>
      <c r="X9" s="95" t="s">
        <v>64</v>
      </c>
      <c r="Y9" s="110">
        <v>652886.4</v>
      </c>
      <c r="Z9" s="5">
        <f t="shared" si="6"/>
        <v>164.5</v>
      </c>
      <c r="AA9" s="18">
        <f t="shared" ref="AA9:AA36" si="14">Z9*10.07</f>
        <v>1656.5150000000001</v>
      </c>
      <c r="AB9" s="109">
        <v>38326801</v>
      </c>
      <c r="AC9" s="95">
        <f t="shared" si="10"/>
        <v>38311984</v>
      </c>
      <c r="AD9" s="5">
        <f t="shared" si="7"/>
        <v>14817</v>
      </c>
      <c r="AE9" s="106">
        <f t="shared" si="11"/>
        <v>4940.2100550000005</v>
      </c>
      <c r="AF9" s="96">
        <v>23.1</v>
      </c>
      <c r="AG9" s="96">
        <v>13</v>
      </c>
      <c r="AH9" s="96">
        <v>15</v>
      </c>
      <c r="AI9" s="78">
        <f t="shared" ref="AI9:AI35" si="15">AJ8</f>
        <v>34607.9</v>
      </c>
      <c r="AJ9" s="110">
        <v>34624.699999999997</v>
      </c>
      <c r="AK9" s="55">
        <f t="shared" si="8"/>
        <v>16.799999999995634</v>
      </c>
      <c r="AL9" s="112">
        <f t="shared" si="4"/>
        <v>4776.998286310758</v>
      </c>
      <c r="AM9" s="106">
        <f t="shared" si="12"/>
        <v>1592.7228836303013</v>
      </c>
      <c r="AN9" s="5">
        <v>13</v>
      </c>
      <c r="AO9" s="100">
        <f t="shared" si="5"/>
        <v>10700.511135000001</v>
      </c>
    </row>
    <row r="10" spans="1:44" x14ac:dyDescent="0.25">
      <c r="A10" s="101">
        <v>43956</v>
      </c>
      <c r="B10" s="109">
        <v>2163</v>
      </c>
      <c r="C10" s="109">
        <v>1366</v>
      </c>
      <c r="D10" s="109">
        <v>239</v>
      </c>
      <c r="E10" s="109">
        <v>3371</v>
      </c>
      <c r="F10" s="109">
        <v>4425</v>
      </c>
      <c r="G10" s="109">
        <v>1897</v>
      </c>
      <c r="H10" s="109">
        <v>3265</v>
      </c>
      <c r="I10" s="109">
        <v>2777</v>
      </c>
      <c r="J10" s="109">
        <v>4196</v>
      </c>
      <c r="K10" s="95">
        <f t="shared" si="13"/>
        <v>16726</v>
      </c>
      <c r="L10" s="18">
        <f t="shared" si="9"/>
        <v>3345.2000000000003</v>
      </c>
      <c r="M10" s="106">
        <v>80.128</v>
      </c>
      <c r="N10" s="106">
        <v>1.1080000000000001</v>
      </c>
      <c r="O10" s="106">
        <v>4.1479999999999997</v>
      </c>
      <c r="P10" s="104">
        <v>15.827</v>
      </c>
      <c r="Q10" s="106">
        <v>6.5190000000000001</v>
      </c>
      <c r="R10" s="106">
        <f t="shared" si="0"/>
        <v>21.082999999999998</v>
      </c>
      <c r="S10" s="96">
        <f t="shared" si="1"/>
        <v>165.29071999999999</v>
      </c>
      <c r="T10" s="96">
        <f t="shared" si="2"/>
        <v>86.647000000000006</v>
      </c>
      <c r="U10" s="96">
        <f t="shared" si="3"/>
        <v>679.31248000000005</v>
      </c>
      <c r="V10" s="106">
        <v>95.2</v>
      </c>
      <c r="W10" s="106">
        <v>0</v>
      </c>
      <c r="X10" s="95" t="s">
        <v>64</v>
      </c>
      <c r="Y10" s="110">
        <v>653049.59999999998</v>
      </c>
      <c r="Z10" s="5">
        <f t="shared" si="6"/>
        <v>163.19999999995343</v>
      </c>
      <c r="AA10" s="18">
        <f t="shared" si="14"/>
        <v>1643.4239999995311</v>
      </c>
      <c r="AB10" s="109">
        <v>38340201</v>
      </c>
      <c r="AC10" s="95">
        <f t="shared" si="10"/>
        <v>38326801</v>
      </c>
      <c r="AD10" s="5">
        <f t="shared" si="7"/>
        <v>13400</v>
      </c>
      <c r="AE10" s="106">
        <f t="shared" si="11"/>
        <v>4467.7610000000004</v>
      </c>
      <c r="AF10" s="96">
        <v>21.1</v>
      </c>
      <c r="AG10" s="96">
        <v>10.9</v>
      </c>
      <c r="AH10" s="96">
        <v>13.9</v>
      </c>
      <c r="AI10" s="78">
        <f t="shared" si="15"/>
        <v>34624.699999999997</v>
      </c>
      <c r="AJ10" s="110">
        <v>34641.300000000003</v>
      </c>
      <c r="AK10" s="55">
        <f t="shared" si="8"/>
        <v>16.600000000005821</v>
      </c>
      <c r="AL10" s="112">
        <f t="shared" si="4"/>
        <v>4720.1292590956546</v>
      </c>
      <c r="AM10" s="106">
        <f t="shared" si="12"/>
        <v>1573.7618969213777</v>
      </c>
      <c r="AN10" s="5">
        <v>14</v>
      </c>
      <c r="AO10" s="100">
        <f t="shared" si="5"/>
        <v>10135.697479999531</v>
      </c>
    </row>
    <row r="11" spans="1:44" x14ac:dyDescent="0.25">
      <c r="A11" s="101">
        <v>43957</v>
      </c>
      <c r="B11" s="109">
        <v>2178</v>
      </c>
      <c r="C11" s="109">
        <v>1367</v>
      </c>
      <c r="D11" s="109">
        <v>225</v>
      </c>
      <c r="E11" s="109">
        <v>3388</v>
      </c>
      <c r="F11" s="109">
        <v>4364</v>
      </c>
      <c r="G11" s="109">
        <v>2035</v>
      </c>
      <c r="H11" s="109">
        <v>3195</v>
      </c>
      <c r="I11" s="109">
        <v>2772</v>
      </c>
      <c r="J11" s="109">
        <v>4119</v>
      </c>
      <c r="K11" s="95">
        <f t="shared" si="13"/>
        <v>16752</v>
      </c>
      <c r="L11" s="18">
        <f t="shared" si="9"/>
        <v>3350.4</v>
      </c>
      <c r="M11" s="106">
        <v>72.771000000000001</v>
      </c>
      <c r="N11" s="106">
        <v>0.96799999999999997</v>
      </c>
      <c r="O11" s="106">
        <v>4.1310000000000002</v>
      </c>
      <c r="P11" s="104">
        <v>14.518000000000001</v>
      </c>
      <c r="Q11" s="106">
        <v>5.7030000000000003</v>
      </c>
      <c r="R11" s="106">
        <f t="shared" si="0"/>
        <v>19.617000000000001</v>
      </c>
      <c r="S11" s="96">
        <f t="shared" si="1"/>
        <v>153.79728</v>
      </c>
      <c r="T11" s="96">
        <f t="shared" si="2"/>
        <v>78.474000000000004</v>
      </c>
      <c r="U11" s="96">
        <f t="shared" si="3"/>
        <v>615.23616000000004</v>
      </c>
      <c r="V11" s="106">
        <v>102.5</v>
      </c>
      <c r="W11" s="106">
        <v>0</v>
      </c>
      <c r="X11" s="95" t="s">
        <v>64</v>
      </c>
      <c r="Y11" s="110">
        <v>653214</v>
      </c>
      <c r="Z11" s="5">
        <f t="shared" si="6"/>
        <v>164.40000000002328</v>
      </c>
      <c r="AA11" s="18">
        <f t="shared" si="14"/>
        <v>1655.5080000002345</v>
      </c>
      <c r="AB11" s="109">
        <v>38354991</v>
      </c>
      <c r="AC11" s="95">
        <f t="shared" si="10"/>
        <v>38340201</v>
      </c>
      <c r="AD11" s="5">
        <f t="shared" si="7"/>
        <v>14790</v>
      </c>
      <c r="AE11" s="106">
        <f t="shared" si="11"/>
        <v>4931.2078500000007</v>
      </c>
      <c r="AF11" s="96">
        <v>22.6</v>
      </c>
      <c r="AG11" s="96">
        <v>15.4</v>
      </c>
      <c r="AH11" s="96">
        <v>13.8</v>
      </c>
      <c r="AI11" s="78">
        <f t="shared" si="15"/>
        <v>34641.300000000003</v>
      </c>
      <c r="AJ11" s="110">
        <v>34657.699999999997</v>
      </c>
      <c r="AK11" s="55">
        <f t="shared" si="8"/>
        <v>16.399999999994179</v>
      </c>
      <c r="AL11" s="112">
        <f t="shared" si="4"/>
        <v>4663.2602318743448</v>
      </c>
      <c r="AM11" s="106">
        <f t="shared" si="12"/>
        <v>1554.8009102103847</v>
      </c>
      <c r="AN11" s="5">
        <v>12</v>
      </c>
      <c r="AO11" s="100">
        <f t="shared" si="5"/>
        <v>10552.352010000235</v>
      </c>
    </row>
    <row r="12" spans="1:44" x14ac:dyDescent="0.25">
      <c r="A12" s="101">
        <v>43958</v>
      </c>
      <c r="B12" s="109">
        <v>2266</v>
      </c>
      <c r="C12" s="109">
        <v>1322</v>
      </c>
      <c r="D12" s="109">
        <v>207</v>
      </c>
      <c r="E12" s="109">
        <v>3373</v>
      </c>
      <c r="F12" s="109">
        <v>4487</v>
      </c>
      <c r="G12" s="109">
        <v>2102</v>
      </c>
      <c r="H12" s="109">
        <v>3224</v>
      </c>
      <c r="I12" s="109">
        <v>2748</v>
      </c>
      <c r="J12" s="109">
        <v>4015</v>
      </c>
      <c r="K12" s="95">
        <f t="shared" si="13"/>
        <v>16981</v>
      </c>
      <c r="L12" s="18">
        <f t="shared" si="9"/>
        <v>3396.2000000000003</v>
      </c>
      <c r="M12" s="106">
        <v>50.93</v>
      </c>
      <c r="N12" s="106">
        <v>0.68700000000000006</v>
      </c>
      <c r="O12" s="106">
        <v>4.12</v>
      </c>
      <c r="P12" s="104">
        <v>18.704999999999998</v>
      </c>
      <c r="Q12" s="106">
        <v>2.2290000000000001</v>
      </c>
      <c r="R12" s="106">
        <f t="shared" si="0"/>
        <v>23.512</v>
      </c>
      <c r="S12" s="96">
        <f t="shared" si="1"/>
        <v>184.33408</v>
      </c>
      <c r="T12" s="96">
        <f t="shared" si="2"/>
        <v>53.158999999999999</v>
      </c>
      <c r="U12" s="96">
        <f t="shared" si="3"/>
        <v>416.76655999999997</v>
      </c>
      <c r="V12" s="106">
        <v>119.7</v>
      </c>
      <c r="W12" s="106">
        <v>0</v>
      </c>
      <c r="X12" s="95" t="s">
        <v>64</v>
      </c>
      <c r="Y12" s="110">
        <v>653377</v>
      </c>
      <c r="Z12" s="5">
        <f t="shared" si="6"/>
        <v>163</v>
      </c>
      <c r="AA12" s="18">
        <f t="shared" si="14"/>
        <v>1641.41</v>
      </c>
      <c r="AB12" s="109">
        <v>38369131</v>
      </c>
      <c r="AC12" s="95">
        <f t="shared" si="10"/>
        <v>38354991</v>
      </c>
      <c r="AD12" s="5">
        <f t="shared" si="7"/>
        <v>14140</v>
      </c>
      <c r="AE12" s="106">
        <f t="shared" si="11"/>
        <v>4714.4881000000005</v>
      </c>
      <c r="AF12" s="96">
        <v>21.5</v>
      </c>
      <c r="AG12" s="96">
        <v>14.6</v>
      </c>
      <c r="AH12" s="96">
        <v>13.8</v>
      </c>
      <c r="AI12" s="78">
        <f t="shared" si="15"/>
        <v>34657.699999999997</v>
      </c>
      <c r="AJ12" s="110">
        <v>34672.6</v>
      </c>
      <c r="AK12" s="55">
        <f t="shared" si="8"/>
        <v>14.900000000001455</v>
      </c>
      <c r="AL12" s="112">
        <f t="shared" si="4"/>
        <v>4236.7425277414131</v>
      </c>
      <c r="AM12" s="106">
        <f t="shared" si="12"/>
        <v>1412.5935098869033</v>
      </c>
      <c r="AN12" s="5">
        <v>11</v>
      </c>
      <c r="AO12" s="100">
        <f t="shared" si="5"/>
        <v>10168.864660000001</v>
      </c>
    </row>
    <row r="13" spans="1:44" x14ac:dyDescent="0.25">
      <c r="A13" s="101">
        <v>43959</v>
      </c>
      <c r="B13" s="109">
        <v>2294</v>
      </c>
      <c r="C13" s="109">
        <v>1352</v>
      </c>
      <c r="D13" s="109">
        <v>264</v>
      </c>
      <c r="E13" s="109">
        <v>3511</v>
      </c>
      <c r="F13" s="109">
        <v>4444</v>
      </c>
      <c r="G13" s="109">
        <v>2013</v>
      </c>
      <c r="H13" s="109">
        <v>3274</v>
      </c>
      <c r="I13" s="109">
        <v>2810</v>
      </c>
      <c r="J13" s="109">
        <v>4270</v>
      </c>
      <c r="K13" s="95">
        <f t="shared" si="13"/>
        <v>17152</v>
      </c>
      <c r="L13" s="18">
        <f t="shared" si="9"/>
        <v>3430.4</v>
      </c>
      <c r="M13" s="106">
        <v>79.016000000000005</v>
      </c>
      <c r="N13" s="106">
        <v>1.2310000000000001</v>
      </c>
      <c r="O13" s="106">
        <v>4.1379999999999999</v>
      </c>
      <c r="P13" s="104">
        <v>12.69</v>
      </c>
      <c r="Q13" s="106">
        <v>5.2889999999999997</v>
      </c>
      <c r="R13" s="106">
        <f t="shared" si="0"/>
        <v>18.058999999999997</v>
      </c>
      <c r="S13" s="96">
        <f t="shared" si="1"/>
        <v>141.58255999999997</v>
      </c>
      <c r="T13" s="96">
        <f t="shared" si="2"/>
        <v>84.305000000000007</v>
      </c>
      <c r="U13" s="96">
        <f t="shared" si="3"/>
        <v>660.95120000000009</v>
      </c>
      <c r="V13" s="106">
        <v>79.900000000000006</v>
      </c>
      <c r="W13" s="106">
        <v>0</v>
      </c>
      <c r="X13" s="95" t="s">
        <v>64</v>
      </c>
      <c r="Y13" s="110">
        <v>653544.5</v>
      </c>
      <c r="Z13" s="5">
        <f t="shared" si="6"/>
        <v>167.5</v>
      </c>
      <c r="AA13" s="18">
        <f t="shared" si="14"/>
        <v>1686.7250000000001</v>
      </c>
      <c r="AB13" s="109">
        <v>38383903</v>
      </c>
      <c r="AC13" s="95">
        <f t="shared" si="10"/>
        <v>38369131</v>
      </c>
      <c r="AD13" s="5">
        <f t="shared" si="7"/>
        <v>14772</v>
      </c>
      <c r="AE13" s="106">
        <f t="shared" si="11"/>
        <v>4925.2063800000005</v>
      </c>
      <c r="AF13" s="96">
        <v>23.3</v>
      </c>
      <c r="AG13" s="96">
        <v>13.1</v>
      </c>
      <c r="AH13" s="96">
        <v>13.9</v>
      </c>
      <c r="AI13" s="78">
        <f t="shared" si="15"/>
        <v>34672.6</v>
      </c>
      <c r="AJ13" s="110">
        <v>34688.400000000001</v>
      </c>
      <c r="AK13" s="55">
        <f t="shared" si="8"/>
        <v>15.80000000000291</v>
      </c>
      <c r="AL13" s="112">
        <f t="shared" si="4"/>
        <v>4492.6531502228272</v>
      </c>
      <c r="AM13" s="106">
        <f t="shared" si="12"/>
        <v>1497.9179500815439</v>
      </c>
      <c r="AN13" s="5">
        <v>10</v>
      </c>
      <c r="AO13" s="100">
        <f t="shared" si="5"/>
        <v>10703.282580000001</v>
      </c>
    </row>
    <row r="14" spans="1:44" x14ac:dyDescent="0.25">
      <c r="A14" s="101">
        <v>43960</v>
      </c>
      <c r="B14" s="109">
        <v>2291</v>
      </c>
      <c r="C14" s="109">
        <v>1355</v>
      </c>
      <c r="D14" s="109">
        <v>262</v>
      </c>
      <c r="E14" s="109">
        <v>3272</v>
      </c>
      <c r="F14" s="109">
        <v>4340</v>
      </c>
      <c r="G14" s="109">
        <v>1962</v>
      </c>
      <c r="H14" s="109">
        <v>3317</v>
      </c>
      <c r="I14" s="109">
        <v>2843</v>
      </c>
      <c r="J14" s="109">
        <v>4130</v>
      </c>
      <c r="K14" s="95">
        <f t="shared" si="13"/>
        <v>16799</v>
      </c>
      <c r="L14" s="18">
        <f t="shared" si="9"/>
        <v>3359.8</v>
      </c>
      <c r="M14" s="106">
        <v>40.792999999999999</v>
      </c>
      <c r="N14" s="106">
        <v>1.0649999999999999</v>
      </c>
      <c r="O14" s="106">
        <v>4.12</v>
      </c>
      <c r="P14" s="104">
        <v>18.771999999999998</v>
      </c>
      <c r="Q14" s="106">
        <v>8.4640000000000004</v>
      </c>
      <c r="R14" s="106">
        <f>N14+O14+P14</f>
        <v>23.957000000000001</v>
      </c>
      <c r="S14" s="96">
        <f t="shared" si="1"/>
        <v>187.82288</v>
      </c>
      <c r="T14" s="96">
        <f t="shared" si="2"/>
        <v>49.256999999999998</v>
      </c>
      <c r="U14" s="96">
        <f t="shared" si="3"/>
        <v>386.17487999999997</v>
      </c>
      <c r="V14" s="106">
        <v>98.8</v>
      </c>
      <c r="W14" s="106">
        <v>0</v>
      </c>
      <c r="X14" s="95" t="s">
        <v>64</v>
      </c>
      <c r="Y14" s="110">
        <v>653708.4</v>
      </c>
      <c r="Z14" s="5">
        <f>IF((Y14-Y13&lt;0), "0",Y14-Y13)</f>
        <v>163.90000000002328</v>
      </c>
      <c r="AA14" s="18">
        <f t="shared" si="14"/>
        <v>1650.4730000002346</v>
      </c>
      <c r="AB14" s="109">
        <v>38398188</v>
      </c>
      <c r="AC14" s="95">
        <f t="shared" si="10"/>
        <v>38383903</v>
      </c>
      <c r="AD14" s="5">
        <f t="shared" si="7"/>
        <v>14285</v>
      </c>
      <c r="AE14" s="106">
        <f t="shared" si="11"/>
        <v>4762.833275</v>
      </c>
      <c r="AF14" s="96">
        <v>22.3</v>
      </c>
      <c r="AG14" s="96">
        <v>12</v>
      </c>
      <c r="AH14" s="96">
        <v>13.8</v>
      </c>
      <c r="AI14" s="78">
        <f t="shared" si="15"/>
        <v>34688.400000000001</v>
      </c>
      <c r="AJ14" s="110">
        <v>34704.1</v>
      </c>
      <c r="AK14" s="55">
        <f t="shared" si="8"/>
        <v>15.69999999999709</v>
      </c>
      <c r="AL14" s="112">
        <f t="shared" si="4"/>
        <v>4464.2186366121723</v>
      </c>
      <c r="AM14" s="106">
        <f t="shared" si="12"/>
        <v>1488.4374567260475</v>
      </c>
      <c r="AN14" s="5">
        <v>11</v>
      </c>
      <c r="AO14" s="100">
        <f t="shared" si="5"/>
        <v>10159.281155000233</v>
      </c>
    </row>
    <row r="15" spans="1:44" x14ac:dyDescent="0.25">
      <c r="A15" s="101">
        <v>43961</v>
      </c>
      <c r="B15" s="109">
        <v>2145</v>
      </c>
      <c r="C15" s="109">
        <v>1273</v>
      </c>
      <c r="D15" s="109">
        <v>218</v>
      </c>
      <c r="E15" s="109">
        <v>3334</v>
      </c>
      <c r="F15" s="109">
        <v>4448</v>
      </c>
      <c r="G15" s="109">
        <v>1984</v>
      </c>
      <c r="H15" s="109">
        <v>3221</v>
      </c>
      <c r="I15" s="109">
        <v>2871</v>
      </c>
      <c r="J15" s="109">
        <v>4016</v>
      </c>
      <c r="K15" s="95">
        <f t="shared" si="13"/>
        <v>16623</v>
      </c>
      <c r="L15" s="18">
        <f t="shared" si="9"/>
        <v>3324.6000000000004</v>
      </c>
      <c r="M15" s="106">
        <v>73.111999999999995</v>
      </c>
      <c r="N15" s="106">
        <v>1.4530000000000001</v>
      </c>
      <c r="O15" s="106">
        <v>4.0860000000000003</v>
      </c>
      <c r="P15" s="104">
        <v>14.445</v>
      </c>
      <c r="Q15" s="106">
        <v>5.3170000000000002</v>
      </c>
      <c r="R15" s="106">
        <f t="shared" si="0"/>
        <v>19.984000000000002</v>
      </c>
      <c r="S15" s="96">
        <f t="shared" si="1"/>
        <v>156.67456000000001</v>
      </c>
      <c r="T15" s="96">
        <f t="shared" si="2"/>
        <v>78.429000000000002</v>
      </c>
      <c r="U15" s="96">
        <f t="shared" si="3"/>
        <v>614.88336000000004</v>
      </c>
      <c r="V15" s="106">
        <v>96.8</v>
      </c>
      <c r="W15" s="106">
        <v>0</v>
      </c>
      <c r="X15" s="95" t="s">
        <v>64</v>
      </c>
      <c r="Y15" s="110">
        <v>653866.80000000005</v>
      </c>
      <c r="Z15" s="5">
        <f t="shared" si="6"/>
        <v>158.40000000002328</v>
      </c>
      <c r="AA15" s="18">
        <f t="shared" si="14"/>
        <v>1595.0880000002346</v>
      </c>
      <c r="AB15" s="109">
        <v>38411616</v>
      </c>
      <c r="AC15" s="95">
        <f t="shared" si="10"/>
        <v>38398188</v>
      </c>
      <c r="AD15" s="5">
        <f t="shared" si="7"/>
        <v>13428</v>
      </c>
      <c r="AE15" s="106">
        <f t="shared" si="11"/>
        <v>4477.0966200000003</v>
      </c>
      <c r="AF15" s="96">
        <v>20.399999999999999</v>
      </c>
      <c r="AG15" s="96">
        <v>11.5</v>
      </c>
      <c r="AH15" s="96">
        <v>14.1</v>
      </c>
      <c r="AI15" s="78">
        <f t="shared" si="15"/>
        <v>34704.1</v>
      </c>
      <c r="AJ15" s="110">
        <v>34718.5</v>
      </c>
      <c r="AK15" s="55">
        <f t="shared" si="8"/>
        <v>14.400000000001455</v>
      </c>
      <c r="AL15" s="112">
        <f t="shared" si="4"/>
        <v>4094.5699596964137</v>
      </c>
      <c r="AM15" s="106">
        <f t="shared" si="12"/>
        <v>1365.1910431121798</v>
      </c>
      <c r="AN15" s="5">
        <v>11</v>
      </c>
      <c r="AO15" s="111">
        <f t="shared" si="5"/>
        <v>10011.667980000235</v>
      </c>
    </row>
    <row r="16" spans="1:44" x14ac:dyDescent="0.25">
      <c r="A16" s="101">
        <v>43962</v>
      </c>
      <c r="B16" s="109">
        <v>2099</v>
      </c>
      <c r="C16" s="109">
        <v>1241</v>
      </c>
      <c r="D16" s="109">
        <v>218</v>
      </c>
      <c r="E16" s="109">
        <v>3362</v>
      </c>
      <c r="F16" s="109">
        <v>4457</v>
      </c>
      <c r="G16" s="109">
        <v>1942</v>
      </c>
      <c r="H16" s="109">
        <v>3453</v>
      </c>
      <c r="I16" s="109">
        <v>2885</v>
      </c>
      <c r="J16" s="109">
        <v>3984</v>
      </c>
      <c r="K16" s="95">
        <f t="shared" si="13"/>
        <v>16772</v>
      </c>
      <c r="L16" s="18">
        <f t="shared" si="9"/>
        <v>3354.4</v>
      </c>
      <c r="M16" s="106">
        <v>82.528000000000006</v>
      </c>
      <c r="N16" s="106">
        <v>0.98499999999999999</v>
      </c>
      <c r="O16" s="106">
        <v>4.1580000000000004</v>
      </c>
      <c r="P16" s="104">
        <v>14.961</v>
      </c>
      <c r="Q16" s="106">
        <v>9.36</v>
      </c>
      <c r="R16" s="106">
        <f t="shared" si="0"/>
        <v>20.103999999999999</v>
      </c>
      <c r="S16" s="96">
        <f t="shared" si="1"/>
        <v>157.61535999999998</v>
      </c>
      <c r="T16" s="96">
        <f t="shared" si="2"/>
        <v>91.888000000000005</v>
      </c>
      <c r="U16" s="96">
        <f t="shared" si="3"/>
        <v>720.40192000000002</v>
      </c>
      <c r="V16" s="106">
        <v>108.2</v>
      </c>
      <c r="W16" s="106">
        <v>0</v>
      </c>
      <c r="X16" s="95" t="s">
        <v>64</v>
      </c>
      <c r="Y16" s="110">
        <v>654032.19999999995</v>
      </c>
      <c r="Z16" s="5">
        <f t="shared" si="6"/>
        <v>165.39999999990687</v>
      </c>
      <c r="AA16" s="18">
        <f t="shared" si="14"/>
        <v>1665.5779999990623</v>
      </c>
      <c r="AB16" s="109">
        <v>38427486</v>
      </c>
      <c r="AC16" s="95">
        <f t="shared" si="10"/>
        <v>38411616</v>
      </c>
      <c r="AD16" s="5">
        <f t="shared" si="7"/>
        <v>15870</v>
      </c>
      <c r="AE16" s="106">
        <f t="shared" si="11"/>
        <v>5291.2960499999999</v>
      </c>
      <c r="AF16" s="96">
        <v>24.4</v>
      </c>
      <c r="AG16" s="96">
        <v>12.8</v>
      </c>
      <c r="AH16" s="96">
        <v>15.4</v>
      </c>
      <c r="AI16" s="78">
        <f t="shared" si="15"/>
        <v>34718.5</v>
      </c>
      <c r="AJ16" s="110">
        <v>34736.300000000003</v>
      </c>
      <c r="AK16" s="55">
        <f t="shared" si="8"/>
        <v>17.80000000000291</v>
      </c>
      <c r="AL16" s="112">
        <f t="shared" si="4"/>
        <v>5061.3434224028269</v>
      </c>
      <c r="AM16" s="106">
        <f t="shared" si="12"/>
        <v>1687.5278171804387</v>
      </c>
      <c r="AN16" s="5">
        <v>17</v>
      </c>
      <c r="AO16" s="100">
        <f t="shared" si="5"/>
        <v>11031.675969999062</v>
      </c>
    </row>
    <row r="17" spans="1:41" x14ac:dyDescent="0.25">
      <c r="A17" s="101">
        <v>43963</v>
      </c>
      <c r="B17" s="109">
        <v>2029</v>
      </c>
      <c r="C17" s="109">
        <v>1165</v>
      </c>
      <c r="D17" s="109">
        <v>201</v>
      </c>
      <c r="E17" s="109">
        <v>3423</v>
      </c>
      <c r="F17" s="109">
        <v>4447</v>
      </c>
      <c r="G17" s="109">
        <v>1987</v>
      </c>
      <c r="H17" s="109">
        <v>3352</v>
      </c>
      <c r="I17" s="109">
        <v>2810</v>
      </c>
      <c r="J17" s="109">
        <v>3822</v>
      </c>
      <c r="K17" s="95">
        <f t="shared" si="13"/>
        <v>16604</v>
      </c>
      <c r="L17" s="18">
        <f t="shared" si="9"/>
        <v>3320.8</v>
      </c>
      <c r="M17" s="106">
        <v>71.933000000000007</v>
      </c>
      <c r="N17" s="106">
        <v>1.0209999999999999</v>
      </c>
      <c r="O17" s="106">
        <v>4.1459999999999999</v>
      </c>
      <c r="P17" s="104">
        <v>14.526999999999999</v>
      </c>
      <c r="Q17" s="106">
        <v>6.0359999999999996</v>
      </c>
      <c r="R17" s="106">
        <f t="shared" si="0"/>
        <v>19.693999999999999</v>
      </c>
      <c r="S17" s="96">
        <f t="shared" si="1"/>
        <v>154.40096</v>
      </c>
      <c r="T17" s="96">
        <f t="shared" si="2"/>
        <v>77.969000000000008</v>
      </c>
      <c r="U17" s="96">
        <f t="shared" si="3"/>
        <v>611.27696000000003</v>
      </c>
      <c r="V17" s="106">
        <v>109</v>
      </c>
      <c r="W17" s="106">
        <v>0</v>
      </c>
      <c r="X17" s="95" t="s">
        <v>64</v>
      </c>
      <c r="Y17" s="110">
        <v>654193.5</v>
      </c>
      <c r="Z17" s="5">
        <f t="shared" si="6"/>
        <v>161.30000000004657</v>
      </c>
      <c r="AA17" s="18">
        <f t="shared" si="14"/>
        <v>1624.291000000469</v>
      </c>
      <c r="AB17" s="109">
        <v>38441900</v>
      </c>
      <c r="AC17" s="95">
        <f t="shared" si="10"/>
        <v>38427486</v>
      </c>
      <c r="AD17" s="5">
        <f t="shared" si="7"/>
        <v>14414</v>
      </c>
      <c r="AE17" s="106">
        <f t="shared" si="11"/>
        <v>4805.8438100000003</v>
      </c>
      <c r="AF17" s="96">
        <v>22.8</v>
      </c>
      <c r="AG17" s="96">
        <v>11.6</v>
      </c>
      <c r="AH17" s="96">
        <v>14.1</v>
      </c>
      <c r="AI17" s="78">
        <f t="shared" si="15"/>
        <v>34736.300000000003</v>
      </c>
      <c r="AJ17" s="110">
        <v>34753.599999999999</v>
      </c>
      <c r="AK17" s="55">
        <f t="shared" si="8"/>
        <v>17.299999999995634</v>
      </c>
      <c r="AL17" s="112">
        <f t="shared" si="4"/>
        <v>4919.1708543557588</v>
      </c>
      <c r="AM17" s="106">
        <f t="shared" si="12"/>
        <v>1640.1253504050253</v>
      </c>
      <c r="AN17" s="5">
        <v>14</v>
      </c>
      <c r="AO17" s="100">
        <f t="shared" si="5"/>
        <v>10362.211770000469</v>
      </c>
    </row>
    <row r="18" spans="1:41" x14ac:dyDescent="0.25">
      <c r="A18" s="101">
        <v>43964</v>
      </c>
      <c r="B18" s="109">
        <v>2144</v>
      </c>
      <c r="C18" s="109">
        <v>1311</v>
      </c>
      <c r="D18" s="109">
        <v>147</v>
      </c>
      <c r="E18" s="109">
        <v>3464</v>
      </c>
      <c r="F18" s="109">
        <v>4389</v>
      </c>
      <c r="G18" s="109">
        <v>2042</v>
      </c>
      <c r="H18" s="109">
        <v>3275</v>
      </c>
      <c r="I18" s="109">
        <v>2752</v>
      </c>
      <c r="J18" s="109">
        <v>3928</v>
      </c>
      <c r="K18" s="95">
        <f t="shared" si="13"/>
        <v>16772</v>
      </c>
      <c r="L18" s="18">
        <f t="shared" si="9"/>
        <v>3354.4</v>
      </c>
      <c r="M18" s="106">
        <v>47.609000000000002</v>
      </c>
      <c r="N18" s="106">
        <v>3.0960000000000001</v>
      </c>
      <c r="O18" s="106">
        <v>4.0069999999999997</v>
      </c>
      <c r="P18" s="104">
        <v>23.442</v>
      </c>
      <c r="Q18" s="106">
        <v>10.238</v>
      </c>
      <c r="R18" s="106">
        <f t="shared" si="0"/>
        <v>30.545000000000002</v>
      </c>
      <c r="S18" s="96">
        <f t="shared" si="1"/>
        <v>239.47280000000001</v>
      </c>
      <c r="T18" s="96">
        <f t="shared" si="2"/>
        <v>57.847000000000001</v>
      </c>
      <c r="U18" s="96">
        <f t="shared" si="3"/>
        <v>453.52048000000002</v>
      </c>
      <c r="V18" s="106">
        <v>104</v>
      </c>
      <c r="W18" s="106">
        <v>0</v>
      </c>
      <c r="X18" s="95" t="s">
        <v>64</v>
      </c>
      <c r="Y18" s="110">
        <v>654360.30000000005</v>
      </c>
      <c r="Z18" s="5">
        <f t="shared" si="6"/>
        <v>166.80000000004657</v>
      </c>
      <c r="AA18" s="18">
        <f t="shared" si="14"/>
        <v>1679.676000000469</v>
      </c>
      <c r="AB18" s="109">
        <v>38455025</v>
      </c>
      <c r="AC18" s="95">
        <f t="shared" si="10"/>
        <v>38441900</v>
      </c>
      <c r="AD18" s="5">
        <f t="shared" si="7"/>
        <v>13125</v>
      </c>
      <c r="AE18" s="106">
        <f t="shared" si="11"/>
        <v>4376.0718750000005</v>
      </c>
      <c r="AF18" s="97">
        <v>20.5</v>
      </c>
      <c r="AG18" s="97">
        <v>11.3</v>
      </c>
      <c r="AH18" s="97">
        <v>12.9</v>
      </c>
      <c r="AI18" s="78">
        <f t="shared" si="15"/>
        <v>34753.599999999999</v>
      </c>
      <c r="AJ18" s="110">
        <v>34768.5</v>
      </c>
      <c r="AK18" s="55">
        <f t="shared" si="8"/>
        <v>14.900000000001455</v>
      </c>
      <c r="AL18" s="112">
        <f t="shared" si="4"/>
        <v>4236.7425277414131</v>
      </c>
      <c r="AM18" s="106">
        <f t="shared" si="12"/>
        <v>1412.5935098869033</v>
      </c>
      <c r="AN18" s="5">
        <v>15</v>
      </c>
      <c r="AO18" s="100">
        <f t="shared" si="5"/>
        <v>9863.6683550004709</v>
      </c>
    </row>
    <row r="19" spans="1:41" x14ac:dyDescent="0.25">
      <c r="A19" s="101">
        <v>43965</v>
      </c>
      <c r="B19" s="109">
        <v>2280</v>
      </c>
      <c r="C19" s="109">
        <v>1682</v>
      </c>
      <c r="D19" s="109">
        <v>148</v>
      </c>
      <c r="E19" s="109">
        <v>3555</v>
      </c>
      <c r="F19" s="109">
        <v>4424</v>
      </c>
      <c r="G19" s="109">
        <v>2169</v>
      </c>
      <c r="H19" s="109">
        <v>3420</v>
      </c>
      <c r="I19" s="109">
        <v>2798</v>
      </c>
      <c r="J19" s="109">
        <v>4577</v>
      </c>
      <c r="K19" s="95">
        <f t="shared" si="13"/>
        <v>17678</v>
      </c>
      <c r="L19" s="18">
        <f t="shared" si="9"/>
        <v>3535.6000000000004</v>
      </c>
      <c r="M19" s="106">
        <v>81.832999999999998</v>
      </c>
      <c r="N19" s="106">
        <v>1.048</v>
      </c>
      <c r="O19" s="106">
        <v>4.0620000000000003</v>
      </c>
      <c r="P19" s="104">
        <v>23.334</v>
      </c>
      <c r="Q19" s="106">
        <v>9.43</v>
      </c>
      <c r="R19" s="106">
        <f t="shared" si="0"/>
        <v>28.443999999999999</v>
      </c>
      <c r="S19" s="96">
        <f t="shared" si="1"/>
        <v>223.00095999999999</v>
      </c>
      <c r="T19" s="96">
        <f t="shared" si="2"/>
        <v>91.263000000000005</v>
      </c>
      <c r="U19" s="96">
        <f t="shared" si="3"/>
        <v>715.50192000000004</v>
      </c>
      <c r="V19" s="106">
        <v>112.5</v>
      </c>
      <c r="W19" s="106">
        <v>0</v>
      </c>
      <c r="X19" s="95" t="s">
        <v>64</v>
      </c>
      <c r="Y19" s="110">
        <v>654530.69999999995</v>
      </c>
      <c r="Z19" s="5">
        <f t="shared" si="6"/>
        <v>170.39999999990687</v>
      </c>
      <c r="AA19" s="18">
        <f t="shared" si="14"/>
        <v>1715.9279999990622</v>
      </c>
      <c r="AB19" s="109">
        <v>38469967</v>
      </c>
      <c r="AC19" s="95">
        <f t="shared" si="10"/>
        <v>38455025</v>
      </c>
      <c r="AD19" s="5">
        <f t="shared" si="7"/>
        <v>14942</v>
      </c>
      <c r="AE19" s="106">
        <f t="shared" si="11"/>
        <v>4981.8869300000006</v>
      </c>
      <c r="AF19" s="96">
        <v>24.5</v>
      </c>
      <c r="AG19" s="96">
        <v>11.2</v>
      </c>
      <c r="AH19" s="96">
        <v>13.5</v>
      </c>
      <c r="AI19" s="78">
        <f t="shared" si="15"/>
        <v>34768.5</v>
      </c>
      <c r="AJ19" s="110">
        <v>34785.9</v>
      </c>
      <c r="AK19" s="55">
        <f t="shared" si="8"/>
        <v>17.400000000001455</v>
      </c>
      <c r="AL19" s="112">
        <f t="shared" si="4"/>
        <v>4947.6053679664137</v>
      </c>
      <c r="AM19" s="106">
        <f t="shared" si="12"/>
        <v>1649.605843760522</v>
      </c>
      <c r="AN19" s="5">
        <v>11</v>
      </c>
      <c r="AO19" s="100">
        <f t="shared" si="5"/>
        <v>10948.916849999063</v>
      </c>
    </row>
    <row r="20" spans="1:41" x14ac:dyDescent="0.25">
      <c r="A20" s="101">
        <v>43966</v>
      </c>
      <c r="B20" s="109">
        <v>2157</v>
      </c>
      <c r="C20" s="109">
        <v>1902</v>
      </c>
      <c r="D20" s="109">
        <v>149</v>
      </c>
      <c r="E20" s="109">
        <v>3220</v>
      </c>
      <c r="F20" s="109">
        <v>4200</v>
      </c>
      <c r="G20" s="109">
        <v>2040</v>
      </c>
      <c r="H20" s="109">
        <v>3603</v>
      </c>
      <c r="I20" s="109">
        <v>2874</v>
      </c>
      <c r="J20" s="109">
        <v>4645</v>
      </c>
      <c r="K20" s="95">
        <f t="shared" si="13"/>
        <v>17271</v>
      </c>
      <c r="L20" s="18">
        <f t="shared" si="9"/>
        <v>3454.2000000000003</v>
      </c>
      <c r="M20" s="106">
        <v>72.19</v>
      </c>
      <c r="N20" s="106">
        <v>1.113</v>
      </c>
      <c r="O20" s="106">
        <v>3.9780000000000002</v>
      </c>
      <c r="P20" s="104">
        <v>31.995999999999999</v>
      </c>
      <c r="Q20" s="106">
        <v>5.4109999999999996</v>
      </c>
      <c r="R20" s="106">
        <f t="shared" si="0"/>
        <v>37.086999999999996</v>
      </c>
      <c r="S20" s="96">
        <f t="shared" si="1"/>
        <v>290.76207999999997</v>
      </c>
      <c r="T20" s="96">
        <f t="shared" si="2"/>
        <v>77.600999999999999</v>
      </c>
      <c r="U20" s="96">
        <f t="shared" si="3"/>
        <v>608.39184</v>
      </c>
      <c r="V20" s="106">
        <v>111.2</v>
      </c>
      <c r="W20" s="106">
        <v>0</v>
      </c>
      <c r="X20" s="95" t="s">
        <v>64</v>
      </c>
      <c r="Y20" s="110">
        <v>654705.6</v>
      </c>
      <c r="Z20" s="5">
        <f t="shared" si="6"/>
        <v>174.90000000002328</v>
      </c>
      <c r="AA20" s="18">
        <f t="shared" si="14"/>
        <v>1761.2430000002346</v>
      </c>
      <c r="AB20" s="109">
        <v>38485694</v>
      </c>
      <c r="AC20" s="95">
        <f t="shared" si="10"/>
        <v>38469967</v>
      </c>
      <c r="AD20" s="5">
        <f t="shared" si="7"/>
        <v>15727</v>
      </c>
      <c r="AE20" s="106">
        <f t="shared" si="11"/>
        <v>5243.6177050000006</v>
      </c>
      <c r="AF20" s="96">
        <v>25.1</v>
      </c>
      <c r="AG20" s="96">
        <v>11.6</v>
      </c>
      <c r="AH20" s="96">
        <v>13.7</v>
      </c>
      <c r="AI20" s="78">
        <f t="shared" si="15"/>
        <v>34785.9</v>
      </c>
      <c r="AJ20" s="110">
        <v>34804.5</v>
      </c>
      <c r="AK20" s="55">
        <f t="shared" si="8"/>
        <v>18.599999999998545</v>
      </c>
      <c r="AL20" s="112">
        <f t="shared" si="4"/>
        <v>5288.8195312735861</v>
      </c>
      <c r="AM20" s="106">
        <f t="shared" si="12"/>
        <v>1763.3717640195828</v>
      </c>
      <c r="AN20" s="5">
        <v>15</v>
      </c>
      <c r="AO20" s="100">
        <f t="shared" si="5"/>
        <v>11067.452545000235</v>
      </c>
    </row>
    <row r="21" spans="1:41" x14ac:dyDescent="0.25">
      <c r="A21" s="101">
        <v>43967</v>
      </c>
      <c r="B21" s="109">
        <v>2236</v>
      </c>
      <c r="C21" s="109">
        <v>1904</v>
      </c>
      <c r="D21" s="109">
        <v>194</v>
      </c>
      <c r="E21" s="109">
        <v>3364</v>
      </c>
      <c r="F21" s="109">
        <v>4398</v>
      </c>
      <c r="G21" s="109">
        <v>2146</v>
      </c>
      <c r="H21" s="109">
        <v>3640</v>
      </c>
      <c r="I21" s="109">
        <v>2830</v>
      </c>
      <c r="J21" s="109">
        <v>4791</v>
      </c>
      <c r="K21" s="95">
        <f t="shared" si="13"/>
        <v>17882</v>
      </c>
      <c r="L21" s="18">
        <f t="shared" si="9"/>
        <v>3576.4</v>
      </c>
      <c r="M21" s="106">
        <v>82.49</v>
      </c>
      <c r="N21" s="106">
        <v>3.27</v>
      </c>
      <c r="O21" s="106">
        <v>3.976</v>
      </c>
      <c r="P21" s="104">
        <v>27.928000000000001</v>
      </c>
      <c r="Q21" s="106">
        <v>23.044</v>
      </c>
      <c r="R21" s="106">
        <f t="shared" si="0"/>
        <v>35.173999999999999</v>
      </c>
      <c r="S21" s="96">
        <f t="shared" si="1"/>
        <v>275.76416</v>
      </c>
      <c r="T21" s="96">
        <f t="shared" si="2"/>
        <v>105.53399999999999</v>
      </c>
      <c r="U21" s="96">
        <f t="shared" si="3"/>
        <v>827.38655999999992</v>
      </c>
      <c r="V21" s="106">
        <v>116.7</v>
      </c>
      <c r="W21" s="106">
        <v>0</v>
      </c>
      <c r="X21" s="95" t="s">
        <v>64</v>
      </c>
      <c r="Y21" s="110">
        <v>654891.80000000005</v>
      </c>
      <c r="Z21" s="5">
        <f t="shared" si="6"/>
        <v>186.20000000006985</v>
      </c>
      <c r="AA21" s="18">
        <f t="shared" si="14"/>
        <v>1875.0340000007034</v>
      </c>
      <c r="AB21" s="109">
        <v>38502137</v>
      </c>
      <c r="AC21" s="95">
        <f t="shared" si="10"/>
        <v>38485694</v>
      </c>
      <c r="AD21" s="5">
        <f t="shared" si="7"/>
        <v>16443</v>
      </c>
      <c r="AE21" s="106">
        <f t="shared" si="11"/>
        <v>5482.3428450000001</v>
      </c>
      <c r="AF21" s="96">
        <v>26.4</v>
      </c>
      <c r="AG21" s="96">
        <v>12.5</v>
      </c>
      <c r="AH21" s="96">
        <v>14.9</v>
      </c>
      <c r="AI21" s="78">
        <f t="shared" si="15"/>
        <v>34804.5</v>
      </c>
      <c r="AJ21" s="110">
        <v>34822.400000000001</v>
      </c>
      <c r="AK21" s="55">
        <f t="shared" si="8"/>
        <v>17.900000000001455</v>
      </c>
      <c r="AL21" s="112">
        <f t="shared" si="4"/>
        <v>5089.7779360114137</v>
      </c>
      <c r="AM21" s="106">
        <f t="shared" si="12"/>
        <v>1697.0083105352455</v>
      </c>
      <c r="AN21" s="5">
        <v>13</v>
      </c>
      <c r="AO21" s="100">
        <f t="shared" si="5"/>
        <v>11761.163405000705</v>
      </c>
    </row>
    <row r="22" spans="1:41" x14ac:dyDescent="0.25">
      <c r="A22" s="101">
        <v>43968</v>
      </c>
      <c r="B22" s="109">
        <v>2280</v>
      </c>
      <c r="C22" s="109">
        <v>1942</v>
      </c>
      <c r="D22" s="109">
        <v>169</v>
      </c>
      <c r="E22" s="109">
        <v>3289</v>
      </c>
      <c r="F22" s="109">
        <v>4460</v>
      </c>
      <c r="G22" s="109">
        <v>2131</v>
      </c>
      <c r="H22" s="109">
        <v>3584</v>
      </c>
      <c r="I22" s="109">
        <v>2877</v>
      </c>
      <c r="J22" s="109">
        <v>4858</v>
      </c>
      <c r="K22" s="95">
        <f t="shared" si="13"/>
        <v>17855</v>
      </c>
      <c r="L22" s="18">
        <f t="shared" si="9"/>
        <v>3571</v>
      </c>
      <c r="M22" s="106">
        <v>73.141999999999996</v>
      </c>
      <c r="N22" s="106">
        <v>0.70899999999999996</v>
      </c>
      <c r="O22" s="106">
        <v>4.3140000000000001</v>
      </c>
      <c r="P22" s="104">
        <v>23.364999999999998</v>
      </c>
      <c r="Q22" s="106">
        <v>1.5089999999999999</v>
      </c>
      <c r="R22" s="106">
        <f t="shared" si="0"/>
        <v>28.387999999999998</v>
      </c>
      <c r="S22" s="96">
        <f t="shared" si="1"/>
        <v>222.56191999999999</v>
      </c>
      <c r="T22" s="96">
        <f t="shared" si="2"/>
        <v>74.650999999999996</v>
      </c>
      <c r="U22" s="96">
        <f t="shared" si="3"/>
        <v>585.26383999999996</v>
      </c>
      <c r="V22" s="106">
        <v>124.2</v>
      </c>
      <c r="W22" s="106">
        <v>0</v>
      </c>
      <c r="X22" s="95" t="s">
        <v>64</v>
      </c>
      <c r="Y22" s="109">
        <v>655084.69999999995</v>
      </c>
      <c r="Z22" s="5">
        <f t="shared" si="6"/>
        <v>192.89999999990687</v>
      </c>
      <c r="AA22" s="18">
        <f t="shared" si="14"/>
        <v>1942.5029999990622</v>
      </c>
      <c r="AB22" s="109">
        <v>38519060</v>
      </c>
      <c r="AC22" s="95">
        <f t="shared" si="10"/>
        <v>38502137</v>
      </c>
      <c r="AD22" s="5">
        <f t="shared" si="7"/>
        <v>16923</v>
      </c>
      <c r="AE22" s="106">
        <f t="shared" si="11"/>
        <v>5642.3820450000003</v>
      </c>
      <c r="AF22" s="96">
        <v>26.1</v>
      </c>
      <c r="AG22" s="96">
        <v>13.1</v>
      </c>
      <c r="AH22" s="96">
        <v>15.6</v>
      </c>
      <c r="AI22" s="78">
        <f t="shared" si="15"/>
        <v>34822.400000000001</v>
      </c>
      <c r="AJ22" s="109">
        <v>34841.699999999997</v>
      </c>
      <c r="AK22" s="55">
        <f t="shared" si="8"/>
        <v>19.299999999995634</v>
      </c>
      <c r="AL22" s="112">
        <f t="shared" si="4"/>
        <v>5487.8611265357586</v>
      </c>
      <c r="AM22" s="106">
        <f t="shared" si="12"/>
        <v>1829.73521750392</v>
      </c>
      <c r="AN22" s="5">
        <v>12</v>
      </c>
      <c r="AO22" s="100">
        <f t="shared" si="5"/>
        <v>11741.148884999062</v>
      </c>
    </row>
    <row r="23" spans="1:41" x14ac:dyDescent="0.25">
      <c r="A23" s="101">
        <v>43969</v>
      </c>
      <c r="B23" s="109">
        <v>2073</v>
      </c>
      <c r="C23" s="109">
        <v>1379</v>
      </c>
      <c r="D23" s="109">
        <v>152</v>
      </c>
      <c r="E23" s="109">
        <v>3199</v>
      </c>
      <c r="F23" s="109">
        <v>4413</v>
      </c>
      <c r="G23" s="109">
        <v>2168</v>
      </c>
      <c r="H23" s="109">
        <v>3404</v>
      </c>
      <c r="I23" s="109">
        <v>2795</v>
      </c>
      <c r="J23" s="109">
        <v>4808</v>
      </c>
      <c r="K23" s="95">
        <f t="shared" si="13"/>
        <v>16788</v>
      </c>
      <c r="L23" s="18">
        <f t="shared" si="9"/>
        <v>3357.6000000000004</v>
      </c>
      <c r="M23" s="106">
        <v>45.511000000000003</v>
      </c>
      <c r="N23" s="106">
        <v>2.173</v>
      </c>
      <c r="O23" s="106">
        <v>4.101</v>
      </c>
      <c r="P23" s="104">
        <v>24.471</v>
      </c>
      <c r="Q23" s="106">
        <v>10.362</v>
      </c>
      <c r="R23" s="106">
        <f t="shared" si="0"/>
        <v>30.745000000000001</v>
      </c>
      <c r="S23" s="96">
        <f t="shared" si="1"/>
        <v>241.04079999999999</v>
      </c>
      <c r="T23" s="96">
        <f t="shared" si="2"/>
        <v>55.873000000000005</v>
      </c>
      <c r="U23" s="96">
        <f t="shared" si="3"/>
        <v>438.04432000000003</v>
      </c>
      <c r="V23" s="106">
        <v>118.2</v>
      </c>
      <c r="W23" s="106">
        <v>0</v>
      </c>
      <c r="X23" s="95" t="s">
        <v>64</v>
      </c>
      <c r="Y23" s="109">
        <v>655269.80000000005</v>
      </c>
      <c r="Z23" s="5">
        <f t="shared" si="6"/>
        <v>185.10000000009313</v>
      </c>
      <c r="AA23" s="18">
        <f t="shared" si="14"/>
        <v>1863.9570000009378</v>
      </c>
      <c r="AB23" s="109">
        <v>38533994</v>
      </c>
      <c r="AC23" s="95">
        <f t="shared" si="10"/>
        <v>38519060</v>
      </c>
      <c r="AD23" s="5">
        <f t="shared" si="7"/>
        <v>14934</v>
      </c>
      <c r="AE23" s="106">
        <f t="shared" si="11"/>
        <v>4979.2196100000001</v>
      </c>
      <c r="AF23" s="96">
        <v>21.4</v>
      </c>
      <c r="AG23" s="96">
        <v>12.7</v>
      </c>
      <c r="AH23" s="96">
        <v>14.3</v>
      </c>
      <c r="AI23" s="78">
        <f t="shared" si="15"/>
        <v>34841.699999999997</v>
      </c>
      <c r="AJ23" s="109">
        <v>34858.800000000003</v>
      </c>
      <c r="AK23" s="55">
        <f t="shared" si="8"/>
        <v>17.100000000005821</v>
      </c>
      <c r="AL23" s="112">
        <f t="shared" si="4"/>
        <v>4862.3018271406545</v>
      </c>
      <c r="AM23" s="106">
        <f t="shared" si="12"/>
        <v>1621.1643636961014</v>
      </c>
      <c r="AN23" s="5">
        <v>11</v>
      </c>
      <c r="AO23" s="100">
        <f t="shared" si="5"/>
        <v>10638.820930000938</v>
      </c>
    </row>
    <row r="24" spans="1:41" x14ac:dyDescent="0.25">
      <c r="A24" s="101">
        <v>43970</v>
      </c>
      <c r="B24" s="109">
        <v>2351</v>
      </c>
      <c r="C24" s="109">
        <v>1395</v>
      </c>
      <c r="D24" s="109">
        <v>176</v>
      </c>
      <c r="E24" s="109">
        <v>3212</v>
      </c>
      <c r="F24" s="109">
        <v>4335</v>
      </c>
      <c r="G24" s="109">
        <v>2166</v>
      </c>
      <c r="H24" s="109">
        <v>3177</v>
      </c>
      <c r="I24" s="109">
        <v>2828</v>
      </c>
      <c r="J24" s="109">
        <v>4619</v>
      </c>
      <c r="K24" s="95">
        <f t="shared" si="13"/>
        <v>16812</v>
      </c>
      <c r="L24" s="18">
        <f t="shared" si="9"/>
        <v>3362.4</v>
      </c>
      <c r="M24" s="106">
        <v>73.009</v>
      </c>
      <c r="N24" s="106">
        <v>0.91100000000000003</v>
      </c>
      <c r="O24" s="106">
        <v>4.0339999999999998</v>
      </c>
      <c r="P24" s="104">
        <v>25.356000000000002</v>
      </c>
      <c r="Q24" s="106">
        <v>5.9710000000000001</v>
      </c>
      <c r="R24" s="106">
        <f t="shared" si="0"/>
        <v>30.301000000000002</v>
      </c>
      <c r="S24" s="96">
        <f t="shared" si="1"/>
        <v>237.55984000000001</v>
      </c>
      <c r="T24" s="96">
        <f t="shared" si="2"/>
        <v>78.98</v>
      </c>
      <c r="U24" s="96">
        <f t="shared" si="3"/>
        <v>619.20320000000004</v>
      </c>
      <c r="V24" s="106">
        <v>117.3</v>
      </c>
      <c r="W24" s="106">
        <v>0</v>
      </c>
      <c r="X24" s="95" t="s">
        <v>64</v>
      </c>
      <c r="Y24" s="109">
        <v>655448.5</v>
      </c>
      <c r="Z24" s="5">
        <f t="shared" si="6"/>
        <v>178.69999999995343</v>
      </c>
      <c r="AA24" s="18">
        <f t="shared" si="14"/>
        <v>1799.5089999995312</v>
      </c>
      <c r="AB24" s="109">
        <v>38548771</v>
      </c>
      <c r="AC24" s="95">
        <f t="shared" si="10"/>
        <v>38533994</v>
      </c>
      <c r="AD24" s="5">
        <f t="shared" si="7"/>
        <v>14777</v>
      </c>
      <c r="AE24" s="106">
        <f t="shared" si="11"/>
        <v>4926.8734549999999</v>
      </c>
      <c r="AF24" s="96">
        <v>23.3</v>
      </c>
      <c r="AG24" s="96">
        <v>12.5</v>
      </c>
      <c r="AH24" s="96">
        <v>14.2</v>
      </c>
      <c r="AI24" s="78">
        <f t="shared" si="15"/>
        <v>34858.800000000003</v>
      </c>
      <c r="AJ24" s="109">
        <v>34874.400000000001</v>
      </c>
      <c r="AK24" s="55">
        <f t="shared" si="8"/>
        <v>15.599999999998545</v>
      </c>
      <c r="AL24" s="112">
        <f t="shared" si="4"/>
        <v>4435.7841230035856</v>
      </c>
      <c r="AM24" s="106">
        <f t="shared" si="12"/>
        <v>1478.9569633712406</v>
      </c>
      <c r="AN24" s="5">
        <v>11</v>
      </c>
      <c r="AO24" s="100">
        <f t="shared" si="5"/>
        <v>10707.985654999531</v>
      </c>
    </row>
    <row r="25" spans="1:41" x14ac:dyDescent="0.25">
      <c r="A25" s="101">
        <v>43971</v>
      </c>
      <c r="B25" s="109">
        <v>2123</v>
      </c>
      <c r="C25" s="109">
        <v>1217</v>
      </c>
      <c r="D25" s="109">
        <v>135</v>
      </c>
      <c r="E25" s="109">
        <v>3364</v>
      </c>
      <c r="F25" s="109">
        <v>4520</v>
      </c>
      <c r="G25" s="109">
        <v>2113</v>
      </c>
      <c r="H25" s="109">
        <v>3136</v>
      </c>
      <c r="I25" s="109">
        <v>2737</v>
      </c>
      <c r="J25" s="109">
        <v>4631</v>
      </c>
      <c r="K25" s="95">
        <f t="shared" si="13"/>
        <v>16608</v>
      </c>
      <c r="L25" s="18">
        <f t="shared" si="9"/>
        <v>3321.6000000000004</v>
      </c>
      <c r="M25" s="106">
        <v>68.543999999999997</v>
      </c>
      <c r="N25" s="106">
        <v>0.92900000000000005</v>
      </c>
      <c r="O25" s="106">
        <v>4.0839999999999996</v>
      </c>
      <c r="P25" s="104">
        <v>34.009</v>
      </c>
      <c r="Q25" s="106">
        <v>9.2110000000000003</v>
      </c>
      <c r="R25" s="106">
        <f t="shared" si="0"/>
        <v>39.021999999999998</v>
      </c>
      <c r="S25" s="96">
        <f t="shared" si="1"/>
        <v>305.93248</v>
      </c>
      <c r="T25" s="96">
        <f t="shared" si="2"/>
        <v>77.754999999999995</v>
      </c>
      <c r="U25" s="96">
        <f t="shared" si="3"/>
        <v>609.5992</v>
      </c>
      <c r="V25" s="106">
        <v>120.9</v>
      </c>
      <c r="W25" s="106">
        <v>0</v>
      </c>
      <c r="X25" s="95" t="s">
        <v>64</v>
      </c>
      <c r="Y25" s="109">
        <v>655636.80000000005</v>
      </c>
      <c r="Z25" s="5">
        <f t="shared" si="6"/>
        <v>188.30000000004657</v>
      </c>
      <c r="AA25" s="18">
        <f t="shared" si="14"/>
        <v>1896.1810000004689</v>
      </c>
      <c r="AB25" s="109">
        <v>38562644</v>
      </c>
      <c r="AC25" s="95">
        <f t="shared" si="10"/>
        <v>38548771</v>
      </c>
      <c r="AD25" s="5">
        <f t="shared" si="7"/>
        <v>13873</v>
      </c>
      <c r="AE25" s="106">
        <f t="shared" si="11"/>
        <v>4625.4662950000002</v>
      </c>
      <c r="AF25" s="96">
        <v>20.6</v>
      </c>
      <c r="AG25" s="96">
        <v>12.2</v>
      </c>
      <c r="AH25" s="96">
        <v>13.9</v>
      </c>
      <c r="AI25" s="78">
        <f t="shared" si="15"/>
        <v>34874.400000000001</v>
      </c>
      <c r="AJ25" s="109">
        <v>34891.199999999997</v>
      </c>
      <c r="AK25" s="55">
        <f t="shared" si="8"/>
        <v>16.799999999995634</v>
      </c>
      <c r="AL25" s="112">
        <f t="shared" si="4"/>
        <v>4776.998286310758</v>
      </c>
      <c r="AM25" s="106">
        <f t="shared" si="12"/>
        <v>1592.7228836303013</v>
      </c>
      <c r="AN25" s="5">
        <v>10</v>
      </c>
      <c r="AO25" s="100">
        <f t="shared" si="5"/>
        <v>10452.846495000469</v>
      </c>
    </row>
    <row r="26" spans="1:41" x14ac:dyDescent="0.25">
      <c r="A26" s="101">
        <v>43972</v>
      </c>
      <c r="B26" s="109">
        <v>2292</v>
      </c>
      <c r="C26" s="109">
        <v>1253</v>
      </c>
      <c r="D26" s="109">
        <v>139</v>
      </c>
      <c r="E26" s="109">
        <v>3221</v>
      </c>
      <c r="F26" s="109">
        <v>4453</v>
      </c>
      <c r="G26" s="109">
        <v>2149</v>
      </c>
      <c r="H26" s="109">
        <v>3150</v>
      </c>
      <c r="I26" s="109">
        <v>2758</v>
      </c>
      <c r="J26" s="109">
        <v>4697</v>
      </c>
      <c r="K26" s="95">
        <f t="shared" si="13"/>
        <v>16657</v>
      </c>
      <c r="L26" s="18">
        <f t="shared" si="9"/>
        <v>3331.4</v>
      </c>
      <c r="M26" s="106">
        <v>51.012</v>
      </c>
      <c r="N26" s="106">
        <v>0.64300000000000002</v>
      </c>
      <c r="O26" s="106">
        <v>4.0839999999999996</v>
      </c>
      <c r="P26" s="104">
        <v>29.565999999999999</v>
      </c>
      <c r="Q26" s="106">
        <v>10.414</v>
      </c>
      <c r="R26" s="106">
        <f t="shared" si="0"/>
        <v>34.292999999999999</v>
      </c>
      <c r="S26" s="96">
        <f t="shared" si="1"/>
        <v>268.85712000000001</v>
      </c>
      <c r="T26" s="96">
        <f t="shared" si="2"/>
        <v>61.426000000000002</v>
      </c>
      <c r="U26" s="96">
        <f t="shared" si="3"/>
        <v>481.57983999999999</v>
      </c>
      <c r="V26" s="106">
        <v>120.1</v>
      </c>
      <c r="W26" s="106">
        <v>0</v>
      </c>
      <c r="X26" s="95" t="s">
        <v>64</v>
      </c>
      <c r="Y26" s="78">
        <v>655842.9</v>
      </c>
      <c r="Z26" s="5">
        <f t="shared" si="6"/>
        <v>206.09999999997672</v>
      </c>
      <c r="AA26" s="18">
        <f t="shared" si="14"/>
        <v>2075.4269999997655</v>
      </c>
      <c r="AB26" s="95">
        <v>38576976</v>
      </c>
      <c r="AC26" s="95">
        <f t="shared" si="10"/>
        <v>38562644</v>
      </c>
      <c r="AD26" s="5">
        <f t="shared" si="7"/>
        <v>14332</v>
      </c>
      <c r="AE26" s="106">
        <f t="shared" si="11"/>
        <v>4778.50378</v>
      </c>
      <c r="AF26" s="96">
        <v>23</v>
      </c>
      <c r="AG26" s="96">
        <v>12</v>
      </c>
      <c r="AH26" s="96">
        <v>14</v>
      </c>
      <c r="AI26" s="78">
        <f t="shared" si="15"/>
        <v>34891.199999999997</v>
      </c>
      <c r="AJ26" s="78">
        <v>34907.599999999999</v>
      </c>
      <c r="AK26" s="55">
        <f t="shared" si="8"/>
        <v>16.400000000001455</v>
      </c>
      <c r="AL26" s="112">
        <f t="shared" si="4"/>
        <v>4663.2602318764139</v>
      </c>
      <c r="AM26" s="106">
        <f t="shared" si="12"/>
        <v>1554.8009102110746</v>
      </c>
      <c r="AN26" s="5">
        <v>11</v>
      </c>
      <c r="AO26" s="100">
        <f t="shared" si="5"/>
        <v>10666.910619999766</v>
      </c>
    </row>
    <row r="27" spans="1:41" x14ac:dyDescent="0.25">
      <c r="A27" s="101">
        <v>43973</v>
      </c>
      <c r="B27" s="109">
        <v>2228</v>
      </c>
      <c r="C27" s="109">
        <v>1306</v>
      </c>
      <c r="D27" s="109">
        <v>142</v>
      </c>
      <c r="E27" s="109">
        <v>3160</v>
      </c>
      <c r="F27" s="109">
        <v>4387</v>
      </c>
      <c r="G27" s="109">
        <v>2197</v>
      </c>
      <c r="H27" s="109">
        <v>3275</v>
      </c>
      <c r="I27" s="109">
        <v>2791</v>
      </c>
      <c r="J27" s="109">
        <v>4811</v>
      </c>
      <c r="K27" s="95">
        <f t="shared" si="13"/>
        <v>16695</v>
      </c>
      <c r="L27" s="18">
        <f t="shared" si="9"/>
        <v>3339</v>
      </c>
      <c r="M27" s="106">
        <v>73.611000000000004</v>
      </c>
      <c r="N27" s="106">
        <v>0.47299999999999998</v>
      </c>
      <c r="O27" s="106">
        <v>4.0709999999999997</v>
      </c>
      <c r="P27" s="104">
        <v>31.105</v>
      </c>
      <c r="Q27" s="106">
        <v>7.3179999999999996</v>
      </c>
      <c r="R27" s="106">
        <f t="shared" si="0"/>
        <v>35.649000000000001</v>
      </c>
      <c r="S27" s="96">
        <f t="shared" si="1"/>
        <v>279.48815999999999</v>
      </c>
      <c r="T27" s="96">
        <f t="shared" si="2"/>
        <v>80.929000000000002</v>
      </c>
      <c r="U27" s="96">
        <f t="shared" si="3"/>
        <v>634.48335999999995</v>
      </c>
      <c r="V27" s="106">
        <v>116.3</v>
      </c>
      <c r="W27" s="106">
        <v>0</v>
      </c>
      <c r="X27" s="95" t="s">
        <v>64</v>
      </c>
      <c r="Y27" s="78">
        <v>656019.9</v>
      </c>
      <c r="Z27" s="5">
        <f t="shared" si="6"/>
        <v>177</v>
      </c>
      <c r="AA27" s="18">
        <f t="shared" si="14"/>
        <v>1782.39</v>
      </c>
      <c r="AB27" s="95">
        <v>38592845</v>
      </c>
      <c r="AC27" s="95">
        <f t="shared" si="10"/>
        <v>38576976</v>
      </c>
      <c r="AD27" s="5">
        <f t="shared" si="7"/>
        <v>15869</v>
      </c>
      <c r="AE27" s="106">
        <f t="shared" si="11"/>
        <v>5290.9626349999999</v>
      </c>
      <c r="AF27" s="96">
        <v>24.7</v>
      </c>
      <c r="AG27" s="96">
        <v>12.7</v>
      </c>
      <c r="AH27" s="96">
        <v>15</v>
      </c>
      <c r="AI27" s="78">
        <f t="shared" si="15"/>
        <v>34907.599999999999</v>
      </c>
      <c r="AJ27" s="78">
        <v>34925.5</v>
      </c>
      <c r="AK27" s="55">
        <f t="shared" si="8"/>
        <v>17.900000000001455</v>
      </c>
      <c r="AL27" s="112">
        <f t="shared" si="4"/>
        <v>5089.7779360114137</v>
      </c>
      <c r="AM27" s="106">
        <f t="shared" si="12"/>
        <v>1697.0083105352455</v>
      </c>
      <c r="AN27" s="5">
        <v>12</v>
      </c>
      <c r="AO27" s="100">
        <f t="shared" si="5"/>
        <v>11046.835995000001</v>
      </c>
    </row>
    <row r="28" spans="1:41" x14ac:dyDescent="0.25">
      <c r="A28" s="101">
        <v>43974</v>
      </c>
      <c r="B28" s="109">
        <v>2262</v>
      </c>
      <c r="C28" s="109">
        <v>1255</v>
      </c>
      <c r="D28" s="109">
        <v>134</v>
      </c>
      <c r="E28" s="109">
        <v>3289</v>
      </c>
      <c r="F28" s="109">
        <v>4533</v>
      </c>
      <c r="G28" s="109">
        <v>2295</v>
      </c>
      <c r="H28" s="109">
        <v>3335</v>
      </c>
      <c r="I28" s="109">
        <v>2841</v>
      </c>
      <c r="J28" s="109">
        <v>4861</v>
      </c>
      <c r="K28" s="95">
        <f t="shared" si="13"/>
        <v>17103</v>
      </c>
      <c r="L28" s="18">
        <f t="shared" si="9"/>
        <v>3420.6000000000004</v>
      </c>
      <c r="M28" s="106">
        <v>94.265000000000001</v>
      </c>
      <c r="N28" s="106">
        <v>0.74299999999999999</v>
      </c>
      <c r="O28" s="106">
        <v>4.18</v>
      </c>
      <c r="P28" s="104">
        <v>25.991</v>
      </c>
      <c r="Q28" s="106">
        <v>16.366</v>
      </c>
      <c r="R28" s="106">
        <f t="shared" si="0"/>
        <v>30.914000000000001</v>
      </c>
      <c r="S28" s="96">
        <f t="shared" si="1"/>
        <v>242.36575999999999</v>
      </c>
      <c r="T28" s="96">
        <f t="shared" si="2"/>
        <v>110.631</v>
      </c>
      <c r="U28" s="96">
        <f t="shared" si="3"/>
        <v>867.34703999999999</v>
      </c>
      <c r="V28" s="106">
        <v>117.6</v>
      </c>
      <c r="W28" s="106">
        <v>0</v>
      </c>
      <c r="X28" s="95" t="s">
        <v>64</v>
      </c>
      <c r="Y28" s="110">
        <v>656200.19999999995</v>
      </c>
      <c r="Z28" s="5">
        <f t="shared" si="6"/>
        <v>180.29999999993015</v>
      </c>
      <c r="AA28" s="18">
        <f t="shared" si="14"/>
        <v>1815.6209999992966</v>
      </c>
      <c r="AB28" s="95">
        <v>38609147</v>
      </c>
      <c r="AC28" s="95">
        <f t="shared" si="10"/>
        <v>38592845</v>
      </c>
      <c r="AD28" s="5">
        <f t="shared" si="7"/>
        <v>16302</v>
      </c>
      <c r="AE28" s="106">
        <f t="shared" si="11"/>
        <v>5435.33133</v>
      </c>
      <c r="AF28" s="96">
        <v>25.5</v>
      </c>
      <c r="AG28" s="96">
        <v>13</v>
      </c>
      <c r="AH28" s="96">
        <v>15.5</v>
      </c>
      <c r="AI28" s="78">
        <f t="shared" si="15"/>
        <v>34925.5</v>
      </c>
      <c r="AJ28" s="78">
        <v>34942.699999999997</v>
      </c>
      <c r="AK28" s="55">
        <f t="shared" si="8"/>
        <v>17.19999999999709</v>
      </c>
      <c r="AL28" s="112">
        <f t="shared" si="4"/>
        <v>4890.7363407471721</v>
      </c>
      <c r="AM28" s="106">
        <f t="shared" si="12"/>
        <v>1630.6448570502184</v>
      </c>
      <c r="AN28" s="5">
        <v>13</v>
      </c>
      <c r="AO28" s="100">
        <f t="shared" si="5"/>
        <v>11538.899369999297</v>
      </c>
    </row>
    <row r="29" spans="1:41" x14ac:dyDescent="0.25">
      <c r="A29" s="101">
        <v>43975</v>
      </c>
      <c r="B29" s="109">
        <v>2496</v>
      </c>
      <c r="C29" s="109">
        <v>1375</v>
      </c>
      <c r="D29" s="109">
        <v>136</v>
      </c>
      <c r="E29" s="109">
        <v>3566</v>
      </c>
      <c r="F29" s="109">
        <v>4627</v>
      </c>
      <c r="G29" s="109">
        <v>2395</v>
      </c>
      <c r="H29" s="109">
        <v>3475</v>
      </c>
      <c r="I29" s="109">
        <v>2911</v>
      </c>
      <c r="J29" s="109">
        <v>4728</v>
      </c>
      <c r="K29" s="95">
        <f t="shared" si="13"/>
        <v>18070</v>
      </c>
      <c r="L29" s="18">
        <f t="shared" si="9"/>
        <v>3614</v>
      </c>
      <c r="M29" s="106">
        <v>66.861999999999995</v>
      </c>
      <c r="N29" s="106">
        <v>2.7709999999999999</v>
      </c>
      <c r="O29" s="106">
        <v>4.1870000000000003</v>
      </c>
      <c r="P29" s="104">
        <v>28.149000000000001</v>
      </c>
      <c r="Q29" s="106">
        <v>9.2959999999999994</v>
      </c>
      <c r="R29" s="106">
        <f t="shared" si="0"/>
        <v>35.106999999999999</v>
      </c>
      <c r="S29" s="96">
        <f t="shared" si="1"/>
        <v>275.23887999999999</v>
      </c>
      <c r="T29" s="96">
        <f t="shared" si="2"/>
        <v>76.157999999999987</v>
      </c>
      <c r="U29" s="96">
        <f t="shared" si="3"/>
        <v>597.07871999999986</v>
      </c>
      <c r="V29" s="106">
        <v>115.3</v>
      </c>
      <c r="W29" s="106">
        <v>0</v>
      </c>
      <c r="X29" s="95" t="s">
        <v>64</v>
      </c>
      <c r="Y29" s="110">
        <v>656379.30000000005</v>
      </c>
      <c r="Z29" s="5">
        <f t="shared" si="6"/>
        <v>179.10000000009313</v>
      </c>
      <c r="AA29" s="18">
        <f t="shared" si="14"/>
        <v>1803.537000000938</v>
      </c>
      <c r="AB29" s="95">
        <v>38627139</v>
      </c>
      <c r="AC29" s="95">
        <f t="shared" si="10"/>
        <v>38609147</v>
      </c>
      <c r="AD29" s="5">
        <f t="shared" si="7"/>
        <v>17992</v>
      </c>
      <c r="AE29" s="106">
        <f t="shared" si="11"/>
        <v>5998.8026800000007</v>
      </c>
      <c r="AF29" s="96">
        <v>29.5</v>
      </c>
      <c r="AG29" s="96">
        <v>13.7</v>
      </c>
      <c r="AH29" s="96">
        <v>15.8</v>
      </c>
      <c r="AI29" s="78">
        <f t="shared" si="15"/>
        <v>34942.699999999997</v>
      </c>
      <c r="AJ29" s="78">
        <v>34961.9</v>
      </c>
      <c r="AK29" s="55">
        <f t="shared" si="8"/>
        <v>19.200000000004366</v>
      </c>
      <c r="AL29" s="112">
        <f t="shared" si="4"/>
        <v>5459.4266129292409</v>
      </c>
      <c r="AM29" s="106">
        <f t="shared" si="12"/>
        <v>1820.254724149803</v>
      </c>
      <c r="AN29" s="5">
        <v>20</v>
      </c>
      <c r="AO29" s="100">
        <f t="shared" si="5"/>
        <v>12013.418400000937</v>
      </c>
    </row>
    <row r="30" spans="1:41" x14ac:dyDescent="0.25">
      <c r="A30" s="101">
        <v>43976</v>
      </c>
      <c r="B30" s="109">
        <v>2457</v>
      </c>
      <c r="C30" s="109">
        <v>1416</v>
      </c>
      <c r="D30" s="109">
        <v>124</v>
      </c>
      <c r="E30" s="109">
        <v>3321</v>
      </c>
      <c r="F30" s="109">
        <v>4661</v>
      </c>
      <c r="G30" s="109">
        <v>2358</v>
      </c>
      <c r="H30" s="109">
        <v>3468</v>
      </c>
      <c r="I30" s="109">
        <v>2805</v>
      </c>
      <c r="J30" s="109">
        <v>4745</v>
      </c>
      <c r="K30" s="95">
        <f t="shared" si="13"/>
        <v>17805</v>
      </c>
      <c r="L30" s="18">
        <f t="shared" si="9"/>
        <v>3561</v>
      </c>
      <c r="M30" s="106">
        <v>52.99</v>
      </c>
      <c r="N30" s="106">
        <v>0.68200000000000005</v>
      </c>
      <c r="O30" s="106">
        <v>4.2560000000000002</v>
      </c>
      <c r="P30" s="104">
        <v>23.957000000000001</v>
      </c>
      <c r="Q30" s="106">
        <v>12.468999999999999</v>
      </c>
      <c r="R30" s="106">
        <f t="shared" si="0"/>
        <v>28.895000000000003</v>
      </c>
      <c r="S30" s="96">
        <f t="shared" si="1"/>
        <v>226.53680000000003</v>
      </c>
      <c r="T30" s="96">
        <f t="shared" si="2"/>
        <v>65.459000000000003</v>
      </c>
      <c r="U30" s="96">
        <f t="shared" si="3"/>
        <v>513.19856000000004</v>
      </c>
      <c r="V30" s="106">
        <v>127.4</v>
      </c>
      <c r="W30" s="106">
        <v>0</v>
      </c>
      <c r="X30" s="95" t="s">
        <v>64</v>
      </c>
      <c r="Y30" s="110">
        <v>656572</v>
      </c>
      <c r="Z30" s="5">
        <f t="shared" si="6"/>
        <v>192.69999999995343</v>
      </c>
      <c r="AA30" s="18">
        <f t="shared" si="14"/>
        <v>1940.4889999995312</v>
      </c>
      <c r="AB30" s="95">
        <v>38645485</v>
      </c>
      <c r="AC30" s="95">
        <f t="shared" si="10"/>
        <v>38627139</v>
      </c>
      <c r="AD30" s="5">
        <f t="shared" si="7"/>
        <v>18346</v>
      </c>
      <c r="AE30" s="106">
        <f t="shared" si="11"/>
        <v>6116.8315900000007</v>
      </c>
      <c r="AF30" s="96">
        <v>29</v>
      </c>
      <c r="AG30" s="96">
        <v>14.3</v>
      </c>
      <c r="AH30" s="96">
        <v>16.8</v>
      </c>
      <c r="AI30" s="78">
        <f t="shared" si="15"/>
        <v>34961.9</v>
      </c>
      <c r="AJ30" s="78">
        <v>34981.4</v>
      </c>
      <c r="AK30" s="55">
        <f t="shared" si="8"/>
        <v>19.5</v>
      </c>
      <c r="AL30" s="112">
        <f t="shared" si="4"/>
        <v>5544.7301537549993</v>
      </c>
      <c r="AM30" s="106">
        <f t="shared" si="12"/>
        <v>1848.6962042142231</v>
      </c>
      <c r="AN30" s="5">
        <v>19</v>
      </c>
      <c r="AO30" s="100">
        <f t="shared" si="5"/>
        <v>12131.519149999531</v>
      </c>
    </row>
    <row r="31" spans="1:41" x14ac:dyDescent="0.25">
      <c r="A31" s="101">
        <v>43977</v>
      </c>
      <c r="B31" s="109">
        <v>2292</v>
      </c>
      <c r="C31" s="109">
        <v>1569</v>
      </c>
      <c r="D31" s="109">
        <v>144</v>
      </c>
      <c r="E31" s="109">
        <v>3446</v>
      </c>
      <c r="F31" s="109">
        <v>4792</v>
      </c>
      <c r="G31" s="109">
        <v>2262</v>
      </c>
      <c r="H31" s="109">
        <v>3357</v>
      </c>
      <c r="I31" s="109">
        <v>2802</v>
      </c>
      <c r="J31" s="109">
        <v>4906</v>
      </c>
      <c r="K31" s="95">
        <f t="shared" si="13"/>
        <v>17862</v>
      </c>
      <c r="L31" s="18">
        <f t="shared" si="9"/>
        <v>3572.4</v>
      </c>
      <c r="M31" s="106">
        <f>30316.725-30199.947</f>
        <v>116.77799999999843</v>
      </c>
      <c r="N31" s="106">
        <v>1.88</v>
      </c>
      <c r="O31" s="106">
        <v>4.25</v>
      </c>
      <c r="P31" s="104">
        <v>26.119</v>
      </c>
      <c r="Q31" s="106">
        <v>4.8179999999999996</v>
      </c>
      <c r="R31" s="106">
        <f t="shared" si="0"/>
        <v>32.249000000000002</v>
      </c>
      <c r="S31" s="96">
        <f t="shared" si="1"/>
        <v>252.83216000000002</v>
      </c>
      <c r="T31" s="96">
        <f t="shared" si="2"/>
        <v>121.59599999999843</v>
      </c>
      <c r="U31" s="96">
        <f t="shared" si="3"/>
        <v>953.3126399999876</v>
      </c>
      <c r="V31" s="96">
        <v>119.9</v>
      </c>
      <c r="W31" s="96">
        <v>0</v>
      </c>
      <c r="X31" s="95" t="s">
        <v>64</v>
      </c>
      <c r="Y31" s="78">
        <v>656772.5</v>
      </c>
      <c r="Z31" s="5">
        <f t="shared" si="6"/>
        <v>200.5</v>
      </c>
      <c r="AA31" s="18">
        <f t="shared" si="14"/>
        <v>2019.0350000000001</v>
      </c>
      <c r="AB31" s="95">
        <v>38663531</v>
      </c>
      <c r="AC31" s="95">
        <f t="shared" si="10"/>
        <v>38645485</v>
      </c>
      <c r="AD31" s="5">
        <f t="shared" si="7"/>
        <v>18046</v>
      </c>
      <c r="AE31" s="106">
        <f t="shared" si="11"/>
        <v>6016.8070900000002</v>
      </c>
      <c r="AF31" s="96">
        <v>28.6</v>
      </c>
      <c r="AG31" s="96">
        <v>13.4</v>
      </c>
      <c r="AH31" s="96">
        <v>16.7</v>
      </c>
      <c r="AI31" s="78">
        <f t="shared" si="15"/>
        <v>34981.4</v>
      </c>
      <c r="AJ31" s="78">
        <v>35000.6</v>
      </c>
      <c r="AK31" s="55">
        <f t="shared" si="8"/>
        <v>19.19999999999709</v>
      </c>
      <c r="AL31" s="112">
        <f t="shared" si="4"/>
        <v>5459.4266129271718</v>
      </c>
      <c r="AM31" s="106">
        <f t="shared" si="12"/>
        <v>1820.2547241491131</v>
      </c>
      <c r="AN31" s="5">
        <v>18</v>
      </c>
      <c r="AO31" s="100">
        <f t="shared" si="5"/>
        <v>12561.554729999989</v>
      </c>
    </row>
    <row r="32" spans="1:41" x14ac:dyDescent="0.25">
      <c r="A32" s="101">
        <v>43978</v>
      </c>
      <c r="B32" s="109">
        <v>2433</v>
      </c>
      <c r="C32" s="109">
        <v>1451</v>
      </c>
      <c r="D32" s="109">
        <v>209</v>
      </c>
      <c r="E32" s="109">
        <v>3408</v>
      </c>
      <c r="F32" s="109">
        <v>4671</v>
      </c>
      <c r="G32" s="109">
        <v>2214</v>
      </c>
      <c r="H32" s="109">
        <v>3655</v>
      </c>
      <c r="I32" s="109">
        <v>2783</v>
      </c>
      <c r="J32" s="109">
        <v>4978</v>
      </c>
      <c r="K32" s="95">
        <f t="shared" si="13"/>
        <v>18041</v>
      </c>
      <c r="L32" s="18">
        <f t="shared" si="9"/>
        <v>3608.2000000000003</v>
      </c>
      <c r="M32" s="106">
        <f>30365.415-30316.725</f>
        <v>48.690000000002328</v>
      </c>
      <c r="N32" s="106">
        <v>0.84599999999999997</v>
      </c>
      <c r="O32" s="106">
        <v>4.16</v>
      </c>
      <c r="P32" s="104">
        <v>21.605</v>
      </c>
      <c r="Q32" s="106">
        <v>8.3040000000000003</v>
      </c>
      <c r="R32" s="106">
        <f t="shared" si="0"/>
        <v>26.611000000000001</v>
      </c>
      <c r="S32" s="96">
        <f t="shared" si="1"/>
        <v>208.63024000000001</v>
      </c>
      <c r="T32" s="96">
        <f t="shared" si="2"/>
        <v>56.99400000000233</v>
      </c>
      <c r="U32" s="96">
        <f t="shared" si="3"/>
        <v>446.83296000001826</v>
      </c>
      <c r="V32" s="96">
        <v>127.7</v>
      </c>
      <c r="W32" s="96">
        <v>0</v>
      </c>
      <c r="X32" s="95" t="s">
        <v>64</v>
      </c>
      <c r="Y32" s="78">
        <v>656949</v>
      </c>
      <c r="Z32" s="5">
        <f t="shared" si="6"/>
        <v>176.5</v>
      </c>
      <c r="AA32" s="18">
        <f t="shared" si="14"/>
        <v>1777.355</v>
      </c>
      <c r="AB32" s="95">
        <v>38682316</v>
      </c>
      <c r="AC32" s="95">
        <f t="shared" si="10"/>
        <v>38663531</v>
      </c>
      <c r="AD32" s="5">
        <f t="shared" si="7"/>
        <v>18785</v>
      </c>
      <c r="AE32" s="106">
        <f t="shared" si="11"/>
        <v>6263.2007750000002</v>
      </c>
      <c r="AF32" s="96">
        <v>31</v>
      </c>
      <c r="AG32" s="96">
        <v>13.5</v>
      </c>
      <c r="AH32" s="96">
        <v>16.3</v>
      </c>
      <c r="AI32" s="78">
        <f t="shared" si="15"/>
        <v>35000.6</v>
      </c>
      <c r="AJ32" s="78">
        <v>35020.1</v>
      </c>
      <c r="AK32" s="55">
        <f t="shared" si="8"/>
        <v>19.5</v>
      </c>
      <c r="AL32" s="112">
        <f t="shared" si="4"/>
        <v>5544.7301537549993</v>
      </c>
      <c r="AM32" s="106">
        <f t="shared" si="12"/>
        <v>1848.6962042142231</v>
      </c>
      <c r="AN32" s="5">
        <v>20</v>
      </c>
      <c r="AO32" s="100">
        <f t="shared" si="5"/>
        <v>12095.588735000019</v>
      </c>
    </row>
    <row r="33" spans="1:41" x14ac:dyDescent="0.25">
      <c r="A33" s="101">
        <v>43979</v>
      </c>
      <c r="B33" s="109">
        <v>2375</v>
      </c>
      <c r="C33" s="109">
        <v>2065</v>
      </c>
      <c r="D33" s="109">
        <v>159</v>
      </c>
      <c r="E33" s="109">
        <v>3431</v>
      </c>
      <c r="F33" s="109">
        <v>4712</v>
      </c>
      <c r="G33" s="109">
        <v>2133</v>
      </c>
      <c r="H33" s="109">
        <v>3793</v>
      </c>
      <c r="I33" s="109">
        <v>2872</v>
      </c>
      <c r="J33" s="109">
        <v>4831</v>
      </c>
      <c r="K33" s="95">
        <f t="shared" si="13"/>
        <v>18668</v>
      </c>
      <c r="L33" s="18">
        <f t="shared" si="9"/>
        <v>3733.6000000000004</v>
      </c>
      <c r="M33" s="106">
        <v>76.046000000000006</v>
      </c>
      <c r="N33" s="106">
        <v>2.8479999999999999</v>
      </c>
      <c r="O33" s="106">
        <v>4.226</v>
      </c>
      <c r="P33" s="104">
        <v>24.22</v>
      </c>
      <c r="Q33" s="106">
        <v>10.11</v>
      </c>
      <c r="R33" s="106">
        <f t="shared" si="0"/>
        <v>31.293999999999997</v>
      </c>
      <c r="S33" s="96">
        <f t="shared" si="1"/>
        <v>245.34495999999996</v>
      </c>
      <c r="T33" s="96">
        <f t="shared" si="2"/>
        <v>86.156000000000006</v>
      </c>
      <c r="U33" s="96">
        <f t="shared" si="3"/>
        <v>675.46303999999998</v>
      </c>
      <c r="V33" s="96">
        <v>118.4</v>
      </c>
      <c r="W33" s="96">
        <v>0</v>
      </c>
      <c r="X33" s="95" t="s">
        <v>64</v>
      </c>
      <c r="Y33" s="78">
        <v>657150.5</v>
      </c>
      <c r="Z33" s="5">
        <f t="shared" si="6"/>
        <v>201.5</v>
      </c>
      <c r="AA33" s="18">
        <f t="shared" si="14"/>
        <v>2029.105</v>
      </c>
      <c r="AB33" s="95">
        <v>38700989</v>
      </c>
      <c r="AC33" s="95">
        <f t="shared" si="10"/>
        <v>38682316</v>
      </c>
      <c r="AD33" s="5">
        <f t="shared" si="7"/>
        <v>18673</v>
      </c>
      <c r="AE33" s="106">
        <f t="shared" si="11"/>
        <v>6225.858295</v>
      </c>
      <c r="AF33" s="96">
        <v>29.8</v>
      </c>
      <c r="AG33" s="96">
        <v>14.1</v>
      </c>
      <c r="AH33" s="96">
        <v>16.899999999999999</v>
      </c>
      <c r="AI33" s="78">
        <f t="shared" si="15"/>
        <v>35020.1</v>
      </c>
      <c r="AJ33" s="78">
        <v>35039.599999999999</v>
      </c>
      <c r="AK33" s="55">
        <f t="shared" si="8"/>
        <v>19.5</v>
      </c>
      <c r="AL33" s="112">
        <f t="shared" si="4"/>
        <v>5544.7301537549993</v>
      </c>
      <c r="AM33" s="106">
        <f t="shared" si="12"/>
        <v>1848.6962042142231</v>
      </c>
      <c r="AN33" s="5">
        <v>12</v>
      </c>
      <c r="AO33" s="100">
        <f t="shared" si="5"/>
        <v>12664.026335</v>
      </c>
    </row>
    <row r="34" spans="1:41" x14ac:dyDescent="0.25">
      <c r="A34" s="101">
        <v>43980</v>
      </c>
      <c r="B34" s="109">
        <v>2313</v>
      </c>
      <c r="C34" s="109">
        <v>1513</v>
      </c>
      <c r="D34" s="109">
        <v>180</v>
      </c>
      <c r="E34" s="109">
        <v>3190</v>
      </c>
      <c r="F34" s="109">
        <v>4499</v>
      </c>
      <c r="G34" s="109">
        <v>2125</v>
      </c>
      <c r="H34" s="109">
        <v>3463</v>
      </c>
      <c r="I34" s="109">
        <v>2794</v>
      </c>
      <c r="J34" s="109">
        <v>4832</v>
      </c>
      <c r="K34" s="95">
        <f t="shared" si="13"/>
        <v>17283</v>
      </c>
      <c r="L34" s="18">
        <f t="shared" si="9"/>
        <v>3456.6000000000004</v>
      </c>
      <c r="M34" s="106">
        <v>78.320999999999998</v>
      </c>
      <c r="N34" s="106">
        <v>0.61599999999999999</v>
      </c>
      <c r="O34" s="106">
        <v>4.1959999999999997</v>
      </c>
      <c r="P34" s="104">
        <v>28.280999999999999</v>
      </c>
      <c r="Q34" s="106">
        <v>8.4469999999999992</v>
      </c>
      <c r="R34" s="106">
        <f t="shared" si="0"/>
        <v>33.092999999999996</v>
      </c>
      <c r="S34" s="96">
        <f t="shared" si="1"/>
        <v>259.44911999999999</v>
      </c>
      <c r="T34" s="96">
        <f t="shared" si="2"/>
        <v>86.768000000000001</v>
      </c>
      <c r="U34" s="96">
        <f t="shared" si="3"/>
        <v>680.26112000000001</v>
      </c>
      <c r="V34" s="96">
        <v>121.4</v>
      </c>
      <c r="W34" s="96">
        <v>0</v>
      </c>
      <c r="X34" s="95" t="s">
        <v>64</v>
      </c>
      <c r="Y34" s="78">
        <v>657336.1</v>
      </c>
      <c r="Z34" s="5">
        <f t="shared" si="6"/>
        <v>185.59999999997672</v>
      </c>
      <c r="AA34" s="18">
        <f t="shared" si="14"/>
        <v>1868.9919999997655</v>
      </c>
      <c r="AB34" s="95">
        <v>38719377</v>
      </c>
      <c r="AC34" s="95">
        <f t="shared" si="10"/>
        <v>38700989</v>
      </c>
      <c r="AD34" s="5">
        <f t="shared" si="7"/>
        <v>18388</v>
      </c>
      <c r="AE34" s="106">
        <f t="shared" si="11"/>
        <v>6130.8350200000004</v>
      </c>
      <c r="AF34" s="96">
        <v>29.4</v>
      </c>
      <c r="AG34" s="96">
        <v>14.1</v>
      </c>
      <c r="AH34" s="96">
        <f>22331.3-22314.7</f>
        <v>16.599999999998545</v>
      </c>
      <c r="AI34" s="78">
        <f t="shared" si="15"/>
        <v>35039.599999999999</v>
      </c>
      <c r="AJ34" s="78">
        <v>35058.699999999997</v>
      </c>
      <c r="AK34" s="55">
        <f t="shared" si="8"/>
        <v>19.099999999998545</v>
      </c>
      <c r="AL34" s="112">
        <f t="shared" si="4"/>
        <v>5430.992099318586</v>
      </c>
      <c r="AM34" s="106">
        <f t="shared" si="12"/>
        <v>1810.7742307943065</v>
      </c>
      <c r="AN34" s="5">
        <v>16</v>
      </c>
      <c r="AO34" s="100">
        <f t="shared" si="5"/>
        <v>12136.688139999766</v>
      </c>
    </row>
    <row r="35" spans="1:41" x14ac:dyDescent="0.25">
      <c r="A35" s="101">
        <v>43981</v>
      </c>
      <c r="B35" s="109">
        <v>2540</v>
      </c>
      <c r="C35" s="109">
        <v>1718</v>
      </c>
      <c r="D35" s="109">
        <v>287</v>
      </c>
      <c r="E35" s="109">
        <v>3449</v>
      </c>
      <c r="F35" s="109">
        <v>4681</v>
      </c>
      <c r="G35" s="109">
        <v>2232</v>
      </c>
      <c r="H35" s="109">
        <v>3675</v>
      </c>
      <c r="I35" s="109">
        <v>2966</v>
      </c>
      <c r="J35" s="109">
        <v>5146</v>
      </c>
      <c r="K35" s="109">
        <f t="shared" si="13"/>
        <v>18582</v>
      </c>
      <c r="L35" s="18">
        <f t="shared" si="9"/>
        <v>3716.4</v>
      </c>
      <c r="M35" s="106">
        <v>78.453000000000003</v>
      </c>
      <c r="N35" s="106">
        <v>1.054</v>
      </c>
      <c r="O35" s="106">
        <v>4.2939999999999996</v>
      </c>
      <c r="P35" s="104">
        <v>25.218</v>
      </c>
      <c r="Q35" s="106">
        <v>7.516</v>
      </c>
      <c r="R35" s="106">
        <f t="shared" si="0"/>
        <v>30.565999999999999</v>
      </c>
      <c r="S35" s="106">
        <f t="shared" ref="S35:S36" si="16">(N35+O35+P35)*7.84</f>
        <v>239.63744</v>
      </c>
      <c r="T35" s="106">
        <f t="shared" ref="T35:T36" si="17">M35+Q35</f>
        <v>85.969000000000008</v>
      </c>
      <c r="U35" s="106">
        <f t="shared" ref="U35:U36" si="18">T35*7.84</f>
        <v>673.99696000000006</v>
      </c>
      <c r="V35" s="106">
        <v>127.9</v>
      </c>
      <c r="W35" s="106">
        <v>0</v>
      </c>
      <c r="X35" s="109" t="s">
        <v>64</v>
      </c>
      <c r="Y35" s="110">
        <v>657546.4</v>
      </c>
      <c r="Z35" s="5">
        <f t="shared" si="6"/>
        <v>210.30000000004657</v>
      </c>
      <c r="AA35" s="18">
        <f t="shared" si="14"/>
        <v>2117.7210000004688</v>
      </c>
      <c r="AB35" s="109">
        <v>38739800</v>
      </c>
      <c r="AC35" s="109">
        <f t="shared" ref="AC35:AC36" si="19">AB34</f>
        <v>38719377</v>
      </c>
      <c r="AD35" s="5">
        <f t="shared" ref="AD35" si="20">IF((AB35-AC35&lt;0), "0",AB35-AC35)</f>
        <v>20423</v>
      </c>
      <c r="AE35" s="106">
        <f t="shared" si="11"/>
        <v>6809.3345450000006</v>
      </c>
      <c r="AF35" s="106">
        <v>33.5</v>
      </c>
      <c r="AG35" s="106">
        <v>14.8</v>
      </c>
      <c r="AH35" s="106">
        <v>18.2</v>
      </c>
      <c r="AI35" s="110">
        <f t="shared" si="15"/>
        <v>35058.699999999997</v>
      </c>
      <c r="AJ35" s="110">
        <v>35079.9</v>
      </c>
      <c r="AK35" s="55">
        <f t="shared" si="8"/>
        <v>21.200000000004366</v>
      </c>
      <c r="AL35" s="112">
        <f t="shared" si="4"/>
        <v>6028.1168851092407</v>
      </c>
      <c r="AM35" s="106">
        <f t="shared" si="12"/>
        <v>2009.8645912486975</v>
      </c>
      <c r="AN35" s="5">
        <v>15</v>
      </c>
      <c r="AO35" s="100">
        <f t="shared" si="5"/>
        <v>13317.45250500047</v>
      </c>
    </row>
    <row r="36" spans="1:41" x14ac:dyDescent="0.25">
      <c r="A36" s="101">
        <v>43982</v>
      </c>
      <c r="B36" s="95">
        <v>2972</v>
      </c>
      <c r="C36" s="95">
        <v>2110</v>
      </c>
      <c r="D36" s="95">
        <v>403</v>
      </c>
      <c r="E36" s="95">
        <v>3466</v>
      </c>
      <c r="F36" s="95">
        <v>4545</v>
      </c>
      <c r="G36" s="95">
        <v>2424</v>
      </c>
      <c r="H36" s="95">
        <v>3510</v>
      </c>
      <c r="I36" s="95">
        <v>2877</v>
      </c>
      <c r="J36" s="95">
        <v>5358</v>
      </c>
      <c r="K36" s="109">
        <f t="shared" si="13"/>
        <v>19430</v>
      </c>
      <c r="L36" s="18">
        <f t="shared" si="9"/>
        <v>3886</v>
      </c>
      <c r="M36" s="96">
        <v>88.3</v>
      </c>
      <c r="N36" s="96">
        <v>1.9</v>
      </c>
      <c r="O36" s="96">
        <v>4.4000000000000004</v>
      </c>
      <c r="P36" s="97">
        <v>27.5</v>
      </c>
      <c r="Q36" s="96">
        <v>11.5</v>
      </c>
      <c r="R36" s="106">
        <f t="shared" si="0"/>
        <v>33.799999999999997</v>
      </c>
      <c r="S36" s="106">
        <f t="shared" si="16"/>
        <v>264.99199999999996</v>
      </c>
      <c r="T36" s="106">
        <f t="shared" si="17"/>
        <v>99.8</v>
      </c>
      <c r="U36" s="106">
        <f t="shared" si="18"/>
        <v>782.43200000000002</v>
      </c>
      <c r="V36" s="96">
        <v>144.5</v>
      </c>
      <c r="W36" s="96">
        <v>0</v>
      </c>
      <c r="X36" s="95" t="s">
        <v>64</v>
      </c>
      <c r="Y36" s="78">
        <v>657761.4</v>
      </c>
      <c r="Z36" s="5">
        <f t="shared" si="6"/>
        <v>215</v>
      </c>
      <c r="AA36" s="18">
        <f t="shared" si="14"/>
        <v>2165.0500000000002</v>
      </c>
      <c r="AB36" s="95">
        <v>38762615</v>
      </c>
      <c r="AC36" s="109">
        <f t="shared" si="19"/>
        <v>38739800</v>
      </c>
      <c r="AD36" s="5">
        <f t="shared" si="7"/>
        <v>22815</v>
      </c>
      <c r="AE36" s="106">
        <f t="shared" si="11"/>
        <v>7606.8632250000001</v>
      </c>
      <c r="AF36" s="96">
        <v>40.1</v>
      </c>
      <c r="AG36" s="96">
        <v>15.5</v>
      </c>
      <c r="AH36" s="96">
        <v>18.2</v>
      </c>
      <c r="AI36" s="78">
        <f>AJ35</f>
        <v>35079.9</v>
      </c>
      <c r="AJ36" s="78">
        <v>35103.5</v>
      </c>
      <c r="AK36" s="55">
        <f t="shared" si="8"/>
        <v>23.599999999998545</v>
      </c>
      <c r="AL36" s="112">
        <f t="shared" si="4"/>
        <v>6710.5452117235855</v>
      </c>
      <c r="AM36" s="106">
        <f t="shared" si="12"/>
        <v>2237.3964317668192</v>
      </c>
      <c r="AN36" s="5">
        <v>24</v>
      </c>
      <c r="AO36" s="100">
        <f t="shared" si="5"/>
        <v>14440.345225000001</v>
      </c>
    </row>
    <row r="37" spans="1:41" x14ac:dyDescent="0.25">
      <c r="A37" s="98"/>
      <c r="D37" s="9">
        <f>SUM(D6:D36)</f>
        <v>6177</v>
      </c>
      <c r="E37" s="9" t="s">
        <v>94</v>
      </c>
      <c r="G37" s="9">
        <f t="shared" ref="G37:L37" si="21">SUM(G6:G36)</f>
        <v>65507</v>
      </c>
      <c r="H37" s="9">
        <f t="shared" si="21"/>
        <v>104783</v>
      </c>
      <c r="I37" s="9">
        <f t="shared" si="21"/>
        <v>87632</v>
      </c>
      <c r="J37" s="9">
        <f t="shared" si="21"/>
        <v>141260</v>
      </c>
      <c r="K37" s="9">
        <f t="shared" si="21"/>
        <v>535655</v>
      </c>
      <c r="L37" s="9">
        <f t="shared" si="21"/>
        <v>107131.00000000001</v>
      </c>
      <c r="R37" s="21">
        <f>SUM(R6:R36)</f>
        <v>881.96999999999991</v>
      </c>
      <c r="T37" s="21">
        <f>SUM(T6:T36)</f>
        <v>2478.4460000000013</v>
      </c>
      <c r="U37" s="21">
        <f t="shared" si="3"/>
        <v>19431.016640000009</v>
      </c>
      <c r="Z37" s="23">
        <f>SUM(Z6:Z36)</f>
        <v>5541.5999999999767</v>
      </c>
      <c r="AA37" s="23">
        <f>SUM(AA6:AA36)</f>
        <v>55803.911999999771</v>
      </c>
      <c r="AD37" s="23">
        <f>SUM(AD6:AD36)</f>
        <v>496315</v>
      </c>
      <c r="AE37" s="21">
        <f>AD37*0.334569</f>
        <v>166051.613235</v>
      </c>
      <c r="AF37" s="21">
        <f>SUM(AF6:AF36)</f>
        <v>778.9</v>
      </c>
      <c r="AG37" s="21">
        <f>SUM(AG6:AG36)</f>
        <v>403.7</v>
      </c>
      <c r="AH37" s="21">
        <f>SUM(AH6:AH36)</f>
        <v>467.09999999999849</v>
      </c>
      <c r="AK37" s="49">
        <f>SUM(AK6:AK36)</f>
        <v>545.80000000000291</v>
      </c>
      <c r="AL37" s="49">
        <f>SUM(AL6:AL36)</f>
        <v>155195.57527792282</v>
      </c>
      <c r="AM37" s="49">
        <f>SUM(AM6:AM36)</f>
        <v>51744.532731288644</v>
      </c>
      <c r="AN37" s="49">
        <f>SUM(AN6:AN36)</f>
        <v>424</v>
      </c>
      <c r="AO37" s="49">
        <f>SUM(AO6:AO36)</f>
        <v>347844.79436499975</v>
      </c>
    </row>
    <row r="38" spans="1:41" x14ac:dyDescent="0.25">
      <c r="D38" s="9" t="e">
        <f>#REF!*24</f>
        <v>#REF!</v>
      </c>
      <c r="E38" s="9" t="s">
        <v>1</v>
      </c>
      <c r="R38" s="21">
        <v>7.84</v>
      </c>
      <c r="T38" s="21" t="s">
        <v>101</v>
      </c>
      <c r="U38" s="21">
        <f>U37-R39</f>
        <v>12516.371840000011</v>
      </c>
    </row>
    <row r="39" spans="1:41" x14ac:dyDescent="0.25">
      <c r="D39" s="9" t="e">
        <f>D38*31</f>
        <v>#REF!</v>
      </c>
      <c r="E39" s="9" t="s">
        <v>2</v>
      </c>
      <c r="F39" s="9" t="s">
        <v>95</v>
      </c>
      <c r="G39" s="9" t="e">
        <f>D39*0.2</f>
        <v>#REF!</v>
      </c>
      <c r="R39" s="21">
        <f>R37*R38</f>
        <v>6914.6447999999991</v>
      </c>
      <c r="U39" s="21">
        <f>U38/R38</f>
        <v>1596.4760000000015</v>
      </c>
    </row>
    <row r="40" spans="1:41" x14ac:dyDescent="0.25">
      <c r="D40" s="20" t="e">
        <f>D39*0.2</f>
        <v>#REF!</v>
      </c>
    </row>
    <row r="41" spans="1:41" x14ac:dyDescent="0.25">
      <c r="E41" s="76" t="s">
        <v>99</v>
      </c>
    </row>
    <row r="42" spans="1:41" x14ac:dyDescent="0.25">
      <c r="AD42" s="9">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2020-06-04T08:05:56Z</dcterms:modified>
</cp:coreProperties>
</file>