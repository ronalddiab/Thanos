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13_ncr:1_{EE1F7240-FAD1-47C8-9B51-B9DE13F16C4A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TOTAL" sheetId="3" r:id="rId1"/>
    <sheet name="Submetering " sheetId="4" r:id="rId2"/>
    <sheet name="FS Seychelles" sheetId="1" r:id="rId3"/>
  </sheets>
  <calcPr calcId="191028"/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R7" i="1"/>
  <c r="R8" i="1"/>
  <c r="R9" i="1"/>
  <c r="R10" i="1"/>
  <c r="R11" i="1"/>
  <c r="R12" i="1"/>
  <c r="R6" i="1"/>
  <c r="Q32" i="1"/>
  <c r="AB15" i="1"/>
  <c r="AB9" i="1"/>
  <c r="AB5" i="1"/>
  <c r="AB6" i="1"/>
  <c r="AB7" i="1"/>
  <c r="AB8" i="1"/>
  <c r="Q27" i="1"/>
  <c r="Q28" i="1"/>
  <c r="Q29" i="1"/>
  <c r="Q30" i="1"/>
  <c r="Q31" i="1"/>
  <c r="Q33" i="1"/>
  <c r="Q26" i="1"/>
  <c r="Q24" i="1"/>
  <c r="Q22" i="1"/>
  <c r="Q23" i="1"/>
  <c r="Q25" i="1"/>
  <c r="Q20" i="1"/>
  <c r="Q21" i="1"/>
  <c r="Q11" i="1"/>
  <c r="Q10" i="1"/>
  <c r="Q19" i="1"/>
  <c r="Q17" i="1"/>
  <c r="Q16" i="1"/>
  <c r="Q18" i="1"/>
  <c r="Q15" i="1"/>
  <c r="Q14" i="1"/>
  <c r="Q13" i="1"/>
  <c r="Q12" i="1"/>
  <c r="Q9" i="1"/>
  <c r="Q8" i="1"/>
  <c r="Q7" i="1"/>
  <c r="Q6" i="1"/>
  <c r="Q5" i="1"/>
  <c r="Q4" i="1"/>
  <c r="Q3" i="1"/>
  <c r="AB3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2" i="4"/>
  <c r="T3" i="4"/>
  <c r="O3" i="4"/>
  <c r="P3" i="4"/>
  <c r="Q3" i="4"/>
  <c r="R3" i="4"/>
  <c r="S3" i="4"/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I32" i="3"/>
  <c r="I31" i="3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E31" i="4"/>
  <c r="F31" i="4"/>
  <c r="G31" i="4"/>
  <c r="H31" i="4"/>
  <c r="I31" i="4"/>
  <c r="J31" i="4"/>
  <c r="K31" i="4"/>
  <c r="L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E32" i="4"/>
  <c r="F32" i="4"/>
  <c r="G32" i="4"/>
  <c r="H32" i="4"/>
  <c r="I32" i="4"/>
  <c r="J32" i="4"/>
  <c r="K32" i="4"/>
  <c r="L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K32" i="3" s="1"/>
  <c r="AA32" i="4"/>
  <c r="T17" i="4"/>
  <c r="T15" i="4"/>
  <c r="T20" i="4"/>
  <c r="T22" i="4"/>
  <c r="T25" i="4"/>
  <c r="T24" i="4"/>
  <c r="T30" i="4"/>
  <c r="T14" i="4"/>
  <c r="T2" i="4"/>
  <c r="T5" i="4"/>
  <c r="T10" i="4"/>
  <c r="T13" i="4"/>
  <c r="T8" i="4"/>
  <c r="T7" i="4"/>
  <c r="T6" i="4"/>
  <c r="T4" i="4"/>
  <c r="T28" i="4"/>
  <c r="T12" i="4"/>
  <c r="T11" i="4"/>
  <c r="T29" i="4"/>
  <c r="T27" i="4"/>
  <c r="T26" i="4"/>
  <c r="T19" i="4"/>
  <c r="T18" i="4"/>
  <c r="T9" i="4"/>
  <c r="T23" i="4"/>
  <c r="T21" i="4"/>
  <c r="E2" i="4"/>
  <c r="F2" i="4"/>
  <c r="G2" i="4"/>
  <c r="H2" i="4"/>
  <c r="I2" i="4"/>
  <c r="J2" i="4"/>
  <c r="K2" i="4"/>
  <c r="L2" i="4"/>
  <c r="N2" i="4"/>
  <c r="O2" i="4"/>
  <c r="P2" i="4"/>
  <c r="Q2" i="4"/>
  <c r="R2" i="4"/>
  <c r="S2" i="4"/>
  <c r="U2" i="4"/>
  <c r="V2" i="4"/>
  <c r="W2" i="4"/>
  <c r="X2" i="4"/>
  <c r="Y2" i="4"/>
  <c r="Z2" i="4"/>
  <c r="K2" i="3" s="1"/>
  <c r="AA2" i="4"/>
  <c r="B3" i="4"/>
  <c r="E3" i="4"/>
  <c r="F3" i="4"/>
  <c r="G3" i="4"/>
  <c r="H3" i="4"/>
  <c r="I3" i="4"/>
  <c r="J3" i="4"/>
  <c r="K3" i="4"/>
  <c r="L3" i="4"/>
  <c r="N3" i="4"/>
  <c r="U3" i="4"/>
  <c r="V3" i="4"/>
  <c r="W3" i="4"/>
  <c r="X3" i="4"/>
  <c r="Y3" i="4"/>
  <c r="Z3" i="4"/>
  <c r="K3" i="3" s="1"/>
  <c r="AA3" i="4"/>
  <c r="B4" i="4"/>
  <c r="E4" i="4"/>
  <c r="F4" i="4"/>
  <c r="G4" i="4"/>
  <c r="H4" i="4"/>
  <c r="I4" i="4"/>
  <c r="J4" i="4"/>
  <c r="K4" i="4"/>
  <c r="L4" i="4"/>
  <c r="N4" i="4"/>
  <c r="O4" i="4"/>
  <c r="P4" i="4"/>
  <c r="Q4" i="4"/>
  <c r="R4" i="4"/>
  <c r="S4" i="4"/>
  <c r="U4" i="4"/>
  <c r="V4" i="4"/>
  <c r="W4" i="4"/>
  <c r="X4" i="4"/>
  <c r="Y4" i="4"/>
  <c r="Z4" i="4"/>
  <c r="K4" i="3" s="1"/>
  <c r="AA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E5" i="4"/>
  <c r="F5" i="4"/>
  <c r="G5" i="4"/>
  <c r="H5" i="4"/>
  <c r="I5" i="4"/>
  <c r="J5" i="4"/>
  <c r="K5" i="4"/>
  <c r="L5" i="4"/>
  <c r="N5" i="4"/>
  <c r="O5" i="4"/>
  <c r="P5" i="4"/>
  <c r="Q5" i="4"/>
  <c r="R5" i="4"/>
  <c r="S5" i="4"/>
  <c r="U5" i="4"/>
  <c r="V5" i="4"/>
  <c r="W5" i="4"/>
  <c r="X5" i="4"/>
  <c r="Y5" i="4"/>
  <c r="Z5" i="4"/>
  <c r="K5" i="3" s="1"/>
  <c r="AA5" i="4"/>
  <c r="E6" i="4"/>
  <c r="F6" i="4"/>
  <c r="G6" i="4"/>
  <c r="H6" i="4"/>
  <c r="I6" i="4"/>
  <c r="J6" i="4"/>
  <c r="K6" i="4"/>
  <c r="L6" i="4"/>
  <c r="N6" i="4"/>
  <c r="O6" i="4"/>
  <c r="P6" i="4"/>
  <c r="Q6" i="4"/>
  <c r="R6" i="4"/>
  <c r="S6" i="4"/>
  <c r="U6" i="4"/>
  <c r="V6" i="4"/>
  <c r="W6" i="4"/>
  <c r="X6" i="4"/>
  <c r="Y6" i="4"/>
  <c r="Z6" i="4"/>
  <c r="K6" i="3"/>
  <c r="AA6" i="4"/>
  <c r="E7" i="4"/>
  <c r="F7" i="4"/>
  <c r="G7" i="4"/>
  <c r="H7" i="4"/>
  <c r="I7" i="4"/>
  <c r="J7" i="4"/>
  <c r="K7" i="4"/>
  <c r="L7" i="4"/>
  <c r="N7" i="4"/>
  <c r="O7" i="4"/>
  <c r="P7" i="4"/>
  <c r="Q7" i="4"/>
  <c r="R7" i="4"/>
  <c r="S7" i="4"/>
  <c r="U7" i="4"/>
  <c r="V7" i="4"/>
  <c r="W7" i="4"/>
  <c r="X7" i="4"/>
  <c r="Y7" i="4"/>
  <c r="Z7" i="4"/>
  <c r="K7" i="3" s="1"/>
  <c r="AA7" i="4"/>
  <c r="E8" i="4"/>
  <c r="F8" i="4"/>
  <c r="G8" i="4"/>
  <c r="H8" i="4"/>
  <c r="I8" i="4"/>
  <c r="J8" i="4"/>
  <c r="K8" i="4"/>
  <c r="L8" i="4"/>
  <c r="N8" i="4"/>
  <c r="O8" i="4"/>
  <c r="P8" i="4"/>
  <c r="Q8" i="4"/>
  <c r="R8" i="4"/>
  <c r="S8" i="4"/>
  <c r="U8" i="4"/>
  <c r="V8" i="4"/>
  <c r="W8" i="4"/>
  <c r="X8" i="4"/>
  <c r="Y8" i="4"/>
  <c r="Z8" i="4"/>
  <c r="K8" i="3" s="1"/>
  <c r="AA8" i="4"/>
  <c r="E9" i="4"/>
  <c r="F9" i="4"/>
  <c r="G9" i="4"/>
  <c r="H9" i="4"/>
  <c r="I9" i="4"/>
  <c r="J9" i="4"/>
  <c r="K9" i="4"/>
  <c r="L9" i="4"/>
  <c r="N9" i="4"/>
  <c r="O9" i="4"/>
  <c r="P9" i="4"/>
  <c r="Q9" i="4"/>
  <c r="R9" i="4"/>
  <c r="S9" i="4"/>
  <c r="U9" i="4"/>
  <c r="V9" i="4"/>
  <c r="W9" i="4"/>
  <c r="X9" i="4"/>
  <c r="Y9" i="4"/>
  <c r="Z9" i="4"/>
  <c r="K9" i="3" s="1"/>
  <c r="AA9" i="4"/>
  <c r="E10" i="4"/>
  <c r="F10" i="4"/>
  <c r="G10" i="4"/>
  <c r="H10" i="4"/>
  <c r="I10" i="4"/>
  <c r="J10" i="4"/>
  <c r="K10" i="4"/>
  <c r="L10" i="4"/>
  <c r="N10" i="4"/>
  <c r="O10" i="4"/>
  <c r="P10" i="4"/>
  <c r="Q10" i="4"/>
  <c r="R10" i="4"/>
  <c r="S10" i="4"/>
  <c r="U10" i="4"/>
  <c r="V10" i="4"/>
  <c r="W10" i="4"/>
  <c r="X10" i="4"/>
  <c r="Y10" i="4"/>
  <c r="Z10" i="4"/>
  <c r="K10" i="3" s="1"/>
  <c r="AA10" i="4"/>
  <c r="E11" i="4"/>
  <c r="F11" i="4"/>
  <c r="G11" i="4"/>
  <c r="H11" i="4"/>
  <c r="I11" i="4"/>
  <c r="J11" i="4"/>
  <c r="K11" i="4"/>
  <c r="L11" i="4"/>
  <c r="N11" i="4"/>
  <c r="O11" i="4"/>
  <c r="P11" i="4"/>
  <c r="Q11" i="4"/>
  <c r="R11" i="4"/>
  <c r="S11" i="4"/>
  <c r="U11" i="4"/>
  <c r="V11" i="4"/>
  <c r="W11" i="4"/>
  <c r="X11" i="4"/>
  <c r="Y11" i="4"/>
  <c r="Z11" i="4"/>
  <c r="K11" i="3" s="1"/>
  <c r="AA11" i="4"/>
  <c r="E12" i="4"/>
  <c r="F12" i="4"/>
  <c r="G12" i="4"/>
  <c r="H12" i="4"/>
  <c r="I12" i="4"/>
  <c r="J12" i="4"/>
  <c r="K12" i="4"/>
  <c r="L12" i="4"/>
  <c r="N12" i="4"/>
  <c r="O12" i="4"/>
  <c r="P12" i="4"/>
  <c r="Q12" i="4"/>
  <c r="R12" i="4"/>
  <c r="S12" i="4"/>
  <c r="U12" i="4"/>
  <c r="V12" i="4"/>
  <c r="W12" i="4"/>
  <c r="X12" i="4"/>
  <c r="Y12" i="4"/>
  <c r="Z12" i="4"/>
  <c r="K12" i="3" s="1"/>
  <c r="AA12" i="4"/>
  <c r="E13" i="4"/>
  <c r="F13" i="4"/>
  <c r="G13" i="4"/>
  <c r="H13" i="4"/>
  <c r="I13" i="4"/>
  <c r="J13" i="4"/>
  <c r="K13" i="4"/>
  <c r="L13" i="4"/>
  <c r="N13" i="4"/>
  <c r="O13" i="4"/>
  <c r="P13" i="4"/>
  <c r="Q13" i="4"/>
  <c r="R13" i="4"/>
  <c r="S13" i="4"/>
  <c r="U13" i="4"/>
  <c r="V13" i="4"/>
  <c r="W13" i="4"/>
  <c r="X13" i="4"/>
  <c r="Y13" i="4"/>
  <c r="Z13" i="4"/>
  <c r="K13" i="3" s="1"/>
  <c r="AA13" i="4"/>
  <c r="E14" i="4"/>
  <c r="F14" i="4"/>
  <c r="G14" i="4"/>
  <c r="H14" i="4"/>
  <c r="I14" i="4"/>
  <c r="J14" i="4"/>
  <c r="K14" i="4"/>
  <c r="L14" i="4"/>
  <c r="N14" i="4"/>
  <c r="O14" i="4"/>
  <c r="P14" i="4"/>
  <c r="Q14" i="4"/>
  <c r="R14" i="4"/>
  <c r="S14" i="4"/>
  <c r="U14" i="4"/>
  <c r="V14" i="4"/>
  <c r="W14" i="4"/>
  <c r="X14" i="4"/>
  <c r="Y14" i="4"/>
  <c r="Z14" i="4"/>
  <c r="K14" i="3" s="1"/>
  <c r="AA14" i="4"/>
  <c r="E15" i="4"/>
  <c r="F15" i="4"/>
  <c r="G15" i="4"/>
  <c r="H15" i="4"/>
  <c r="I15" i="4"/>
  <c r="J15" i="4"/>
  <c r="K15" i="4"/>
  <c r="L15" i="4"/>
  <c r="N15" i="4"/>
  <c r="O15" i="4"/>
  <c r="P15" i="4"/>
  <c r="Q15" i="4"/>
  <c r="R15" i="4"/>
  <c r="S15" i="4"/>
  <c r="U15" i="4"/>
  <c r="V15" i="4"/>
  <c r="W15" i="4"/>
  <c r="X15" i="4"/>
  <c r="Y15" i="4"/>
  <c r="Z15" i="4"/>
  <c r="K15" i="3" s="1"/>
  <c r="AA15" i="4"/>
  <c r="E16" i="4"/>
  <c r="F16" i="4"/>
  <c r="G16" i="4"/>
  <c r="H16" i="4"/>
  <c r="I16" i="4"/>
  <c r="J16" i="4"/>
  <c r="K16" i="4"/>
  <c r="L16" i="4"/>
  <c r="N16" i="4"/>
  <c r="O16" i="4"/>
  <c r="P16" i="4"/>
  <c r="Q16" i="4"/>
  <c r="R16" i="4"/>
  <c r="S16" i="4"/>
  <c r="U16" i="4"/>
  <c r="V16" i="4"/>
  <c r="W16" i="4"/>
  <c r="X16" i="4"/>
  <c r="Y16" i="4"/>
  <c r="Z16" i="4"/>
  <c r="K16" i="3" s="1"/>
  <c r="AA16" i="4"/>
  <c r="E17" i="4"/>
  <c r="F17" i="4"/>
  <c r="G17" i="4"/>
  <c r="H17" i="4"/>
  <c r="I17" i="4"/>
  <c r="J17" i="4"/>
  <c r="K17" i="4"/>
  <c r="L17" i="4"/>
  <c r="N17" i="4"/>
  <c r="O17" i="4"/>
  <c r="P17" i="4"/>
  <c r="Q17" i="4"/>
  <c r="R17" i="4"/>
  <c r="S17" i="4"/>
  <c r="U17" i="4"/>
  <c r="V17" i="4"/>
  <c r="W17" i="4"/>
  <c r="X17" i="4"/>
  <c r="Y17" i="4"/>
  <c r="Z17" i="4"/>
  <c r="K17" i="3" s="1"/>
  <c r="AA17" i="4"/>
  <c r="E18" i="4"/>
  <c r="F18" i="4"/>
  <c r="G18" i="4"/>
  <c r="H18" i="4"/>
  <c r="I18" i="4"/>
  <c r="J18" i="4"/>
  <c r="K18" i="4"/>
  <c r="L18" i="4"/>
  <c r="N18" i="4"/>
  <c r="O18" i="4"/>
  <c r="P18" i="4"/>
  <c r="Q18" i="4"/>
  <c r="R18" i="4"/>
  <c r="S18" i="4"/>
  <c r="U18" i="4"/>
  <c r="V18" i="4"/>
  <c r="W18" i="4"/>
  <c r="X18" i="4"/>
  <c r="Y18" i="4"/>
  <c r="Z18" i="4"/>
  <c r="K18" i="3" s="1"/>
  <c r="AA18" i="4"/>
  <c r="E19" i="4"/>
  <c r="F19" i="4"/>
  <c r="G19" i="4"/>
  <c r="H19" i="4"/>
  <c r="I19" i="4"/>
  <c r="J19" i="4"/>
  <c r="K19" i="4"/>
  <c r="L19" i="4"/>
  <c r="N19" i="4"/>
  <c r="O19" i="4"/>
  <c r="P19" i="4"/>
  <c r="Q19" i="4"/>
  <c r="R19" i="4"/>
  <c r="S19" i="4"/>
  <c r="U19" i="4"/>
  <c r="V19" i="4"/>
  <c r="W19" i="4"/>
  <c r="X19" i="4"/>
  <c r="Y19" i="4"/>
  <c r="Z19" i="4"/>
  <c r="K19" i="3" s="1"/>
  <c r="AA19" i="4"/>
  <c r="E20" i="4"/>
  <c r="F20" i="4"/>
  <c r="G20" i="4"/>
  <c r="H20" i="4"/>
  <c r="I20" i="4"/>
  <c r="J20" i="4"/>
  <c r="K20" i="4"/>
  <c r="L20" i="4"/>
  <c r="N20" i="4"/>
  <c r="O20" i="4"/>
  <c r="P20" i="4"/>
  <c r="Q20" i="4"/>
  <c r="R20" i="4"/>
  <c r="S20" i="4"/>
  <c r="U20" i="4"/>
  <c r="V20" i="4"/>
  <c r="W20" i="4"/>
  <c r="X20" i="4"/>
  <c r="Y20" i="4"/>
  <c r="Z20" i="4"/>
  <c r="K20" i="3" s="1"/>
  <c r="AA20" i="4"/>
  <c r="E21" i="4"/>
  <c r="F21" i="4"/>
  <c r="G21" i="4"/>
  <c r="H21" i="4"/>
  <c r="I21" i="4"/>
  <c r="J21" i="4"/>
  <c r="K21" i="4"/>
  <c r="L21" i="4"/>
  <c r="N21" i="4"/>
  <c r="O21" i="4"/>
  <c r="P21" i="4"/>
  <c r="Q21" i="4"/>
  <c r="R21" i="4"/>
  <c r="S21" i="4"/>
  <c r="U21" i="4"/>
  <c r="V21" i="4"/>
  <c r="W21" i="4"/>
  <c r="X21" i="4"/>
  <c r="Y21" i="4"/>
  <c r="Z21" i="4"/>
  <c r="K21" i="3" s="1"/>
  <c r="AA21" i="4"/>
  <c r="E22" i="4"/>
  <c r="F22" i="4"/>
  <c r="G22" i="4"/>
  <c r="H22" i="4"/>
  <c r="I22" i="4"/>
  <c r="J22" i="4"/>
  <c r="K22" i="4"/>
  <c r="L22" i="4"/>
  <c r="N22" i="4"/>
  <c r="O22" i="4"/>
  <c r="P22" i="4"/>
  <c r="Q22" i="4"/>
  <c r="R22" i="4"/>
  <c r="S22" i="4"/>
  <c r="U22" i="4"/>
  <c r="V22" i="4"/>
  <c r="W22" i="4"/>
  <c r="X22" i="4"/>
  <c r="Y22" i="4"/>
  <c r="Z22" i="4"/>
  <c r="K22" i="3" s="1"/>
  <c r="AA22" i="4"/>
  <c r="E23" i="4"/>
  <c r="F23" i="4"/>
  <c r="G23" i="4"/>
  <c r="H23" i="4"/>
  <c r="I23" i="4"/>
  <c r="J23" i="4"/>
  <c r="K23" i="4"/>
  <c r="L23" i="4"/>
  <c r="N23" i="4"/>
  <c r="O23" i="4"/>
  <c r="P23" i="4"/>
  <c r="Q23" i="4"/>
  <c r="R23" i="4"/>
  <c r="S23" i="4"/>
  <c r="U23" i="4"/>
  <c r="V23" i="4"/>
  <c r="W23" i="4"/>
  <c r="X23" i="4"/>
  <c r="Y23" i="4"/>
  <c r="Z23" i="4"/>
  <c r="K23" i="3" s="1"/>
  <c r="AA23" i="4"/>
  <c r="E24" i="4"/>
  <c r="F24" i="4"/>
  <c r="G24" i="4"/>
  <c r="H24" i="4"/>
  <c r="I24" i="4"/>
  <c r="J24" i="4"/>
  <c r="K24" i="4"/>
  <c r="L24" i="4"/>
  <c r="N24" i="4"/>
  <c r="O24" i="4"/>
  <c r="P24" i="4"/>
  <c r="Q24" i="4"/>
  <c r="R24" i="4"/>
  <c r="S24" i="4"/>
  <c r="U24" i="4"/>
  <c r="V24" i="4"/>
  <c r="W24" i="4"/>
  <c r="X24" i="4"/>
  <c r="Y24" i="4"/>
  <c r="Z24" i="4"/>
  <c r="K24" i="3" s="1"/>
  <c r="AA24" i="4"/>
  <c r="E25" i="4"/>
  <c r="F25" i="4"/>
  <c r="G25" i="4"/>
  <c r="H25" i="4"/>
  <c r="I25" i="4"/>
  <c r="J25" i="4"/>
  <c r="K25" i="4"/>
  <c r="L25" i="4"/>
  <c r="N25" i="4"/>
  <c r="O25" i="4"/>
  <c r="P25" i="4"/>
  <c r="Q25" i="4"/>
  <c r="R25" i="4"/>
  <c r="S25" i="4"/>
  <c r="U25" i="4"/>
  <c r="V25" i="4"/>
  <c r="W25" i="4"/>
  <c r="X25" i="4"/>
  <c r="Y25" i="4"/>
  <c r="Z25" i="4"/>
  <c r="K25" i="3" s="1"/>
  <c r="AA25" i="4"/>
  <c r="E26" i="4"/>
  <c r="F26" i="4"/>
  <c r="G26" i="4"/>
  <c r="H26" i="4"/>
  <c r="I26" i="4"/>
  <c r="J26" i="4"/>
  <c r="K26" i="4"/>
  <c r="L26" i="4"/>
  <c r="N26" i="4"/>
  <c r="O26" i="4"/>
  <c r="P26" i="4"/>
  <c r="Q26" i="4"/>
  <c r="R26" i="4"/>
  <c r="S26" i="4"/>
  <c r="U26" i="4"/>
  <c r="V26" i="4"/>
  <c r="W26" i="4"/>
  <c r="X26" i="4"/>
  <c r="Y26" i="4"/>
  <c r="Z26" i="4"/>
  <c r="K26" i="3" s="1"/>
  <c r="AA26" i="4"/>
  <c r="E27" i="4"/>
  <c r="F27" i="4"/>
  <c r="G27" i="4"/>
  <c r="H27" i="4"/>
  <c r="I27" i="4"/>
  <c r="J27" i="4"/>
  <c r="K27" i="4"/>
  <c r="L27" i="4"/>
  <c r="N27" i="4"/>
  <c r="O27" i="4"/>
  <c r="P27" i="4"/>
  <c r="Q27" i="4"/>
  <c r="R27" i="4"/>
  <c r="S27" i="4"/>
  <c r="U27" i="4"/>
  <c r="V27" i="4"/>
  <c r="W27" i="4"/>
  <c r="X27" i="4"/>
  <c r="Y27" i="4"/>
  <c r="Z27" i="4"/>
  <c r="K27" i="3" s="1"/>
  <c r="AA27" i="4"/>
  <c r="E28" i="4"/>
  <c r="F28" i="4"/>
  <c r="G28" i="4"/>
  <c r="H28" i="4"/>
  <c r="I28" i="4"/>
  <c r="J28" i="4"/>
  <c r="K28" i="4"/>
  <c r="L28" i="4"/>
  <c r="N28" i="4"/>
  <c r="O28" i="4"/>
  <c r="P28" i="4"/>
  <c r="Q28" i="4"/>
  <c r="R28" i="4"/>
  <c r="S28" i="4"/>
  <c r="U28" i="4"/>
  <c r="V28" i="4"/>
  <c r="W28" i="4"/>
  <c r="X28" i="4"/>
  <c r="Y28" i="4"/>
  <c r="Z28" i="4"/>
  <c r="K28" i="3" s="1"/>
  <c r="AA28" i="4"/>
  <c r="E29" i="4"/>
  <c r="F29" i="4"/>
  <c r="G29" i="4"/>
  <c r="H29" i="4"/>
  <c r="I29" i="4"/>
  <c r="J29" i="4"/>
  <c r="K29" i="4"/>
  <c r="L29" i="4"/>
  <c r="N29" i="4"/>
  <c r="O29" i="4"/>
  <c r="P29" i="4"/>
  <c r="Q29" i="4"/>
  <c r="R29" i="4"/>
  <c r="S29" i="4"/>
  <c r="U29" i="4"/>
  <c r="V29" i="4"/>
  <c r="W29" i="4"/>
  <c r="X29" i="4"/>
  <c r="Y29" i="4"/>
  <c r="Z29" i="4"/>
  <c r="K29" i="3" s="1"/>
  <c r="AA29" i="4"/>
  <c r="E30" i="4"/>
  <c r="F30" i="4"/>
  <c r="G30" i="4"/>
  <c r="H30" i="4"/>
  <c r="I30" i="4"/>
  <c r="J30" i="4"/>
  <c r="K30" i="4"/>
  <c r="L30" i="4"/>
  <c r="N30" i="4"/>
  <c r="O30" i="4"/>
  <c r="P30" i="4"/>
  <c r="Q30" i="4"/>
  <c r="R30" i="4"/>
  <c r="S30" i="4"/>
  <c r="U30" i="4"/>
  <c r="V30" i="4"/>
  <c r="W30" i="4"/>
  <c r="X30" i="4"/>
  <c r="Y30" i="4"/>
  <c r="Z30" i="4"/>
  <c r="K30" i="3" s="1"/>
  <c r="AA30" i="4"/>
  <c r="K31" i="3"/>
  <c r="I2" i="3"/>
  <c r="B3" i="3"/>
  <c r="H3" i="3"/>
  <c r="I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H4" i="3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T16" i="4"/>
  <c r="E4" i="3" l="1"/>
  <c r="F4" i="3" s="1"/>
  <c r="E25" i="3"/>
  <c r="F25" i="3" s="1"/>
  <c r="Q33" i="4"/>
  <c r="P33" i="4"/>
  <c r="O33" i="4"/>
  <c r="R33" i="4"/>
  <c r="E26" i="3"/>
  <c r="F26" i="3" s="1"/>
  <c r="E19" i="3"/>
  <c r="F19" i="3" s="1"/>
  <c r="E18" i="3"/>
  <c r="F18" i="3" s="1"/>
  <c r="E17" i="3"/>
  <c r="F17" i="3" s="1"/>
  <c r="E16" i="3"/>
  <c r="F16" i="3" s="1"/>
  <c r="E15" i="3"/>
  <c r="F15" i="3" s="1"/>
  <c r="E11" i="3"/>
  <c r="F11" i="3" s="1"/>
  <c r="E9" i="3"/>
  <c r="F9" i="3" s="1"/>
  <c r="E7" i="3"/>
  <c r="F7" i="3" s="1"/>
  <c r="E6" i="3"/>
  <c r="F6" i="3" s="1"/>
  <c r="E3" i="3"/>
  <c r="F3" i="3" s="1"/>
  <c r="E2" i="3"/>
  <c r="F2" i="3" s="1"/>
  <c r="E32" i="3"/>
  <c r="F32" i="3" s="1"/>
  <c r="E28" i="3"/>
  <c r="F28" i="3" s="1"/>
  <c r="E24" i="3"/>
  <c r="F24" i="3" s="1"/>
  <c r="E22" i="3"/>
  <c r="F22" i="3" s="1"/>
  <c r="E8" i="3"/>
  <c r="F8" i="3" s="1"/>
  <c r="E20" i="3"/>
  <c r="F20" i="3" s="1"/>
  <c r="E12" i="3"/>
  <c r="F12" i="3" s="1"/>
  <c r="E5" i="3"/>
  <c r="F5" i="3" s="1"/>
  <c r="E29" i="3"/>
  <c r="F29" i="3" s="1"/>
  <c r="E13" i="3"/>
  <c r="F13" i="3" s="1"/>
  <c r="E31" i="3"/>
  <c r="F31" i="3" s="1"/>
  <c r="E27" i="3"/>
  <c r="F27" i="3" s="1"/>
  <c r="E21" i="3"/>
  <c r="F21" i="3" s="1"/>
  <c r="E30" i="3"/>
  <c r="F30" i="3" s="1"/>
  <c r="E23" i="3"/>
  <c r="F23" i="3" s="1"/>
  <c r="E14" i="3"/>
  <c r="F14" i="3" s="1"/>
  <c r="E10" i="3"/>
  <c r="F10" i="3" s="1"/>
  <c r="R35" i="4" l="1"/>
</calcChain>
</file>

<file path=xl/sharedStrings.xml><?xml version="1.0" encoding="utf-8"?>
<sst xmlns="http://schemas.openxmlformats.org/spreadsheetml/2006/main" count="139" uniqueCount="71">
  <si>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</si>
  <si>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</si>
  <si>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</si>
  <si>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</si>
  <si>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</si>
  <si>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</si>
  <si>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</si>
  <si>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</si>
  <si>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</si>
  <si>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</si>
  <si>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</si>
  <si>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</si>
  <si>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</si>
  <si>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</si>
  <si>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</si>
  <si>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</si>
  <si>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</si>
  <si>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</si>
  <si>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</si>
  <si>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</si>
  <si>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</si>
  <si>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</si>
  <si>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</si>
  <si>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</si>
  <si>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</si>
  <si>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</si>
  <si>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</si>
  <si>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</si>
  <si>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</si>
  <si>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</si>
  <si>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</si>
  <si>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</si>
  <si>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</si>
  <si>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</si>
  <si>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</si>
  <si>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</si>
  <si>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</si>
  <si>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LPG (Kg)</t>
  </si>
  <si>
    <t>DATE</t>
  </si>
  <si>
    <t>SS-A (KWH)</t>
  </si>
  <si>
    <t>SS-B (KWH)</t>
  </si>
  <si>
    <t>SS-C (KWH)</t>
  </si>
  <si>
    <t>SS-D1 (KWH)</t>
  </si>
  <si>
    <t>SS-D2 (KWH)</t>
  </si>
  <si>
    <t>SS-E (KWH)</t>
  </si>
  <si>
    <t>FIRE PUMP (KWH)</t>
  </si>
  <si>
    <t>CASINO (KWH)</t>
  </si>
  <si>
    <t>BOH (KWH)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</si>
  <si>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</si>
  <si>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</si>
  <si>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</si>
  <si>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</si>
  <si>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</si>
  <si>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</si>
  <si>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($/Liter)</t>
  </si>
  <si>
    <t>BOH Water (m3)</t>
  </si>
  <si>
    <t>E-Resort (m3)</t>
  </si>
  <si>
    <t>North RVs (m3)</t>
  </si>
  <si>
    <t xml:space="preserve">WT59 (m3) </t>
  </si>
  <si>
    <t>WT08 (m3)</t>
  </si>
  <si>
    <t>PUC HOH (m3)</t>
  </si>
  <si>
    <t>PUC Eresort (m3)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</si>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</sst>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;[Red]0.00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4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14" fontId="12" fillId="0" borderId="2" xfId="0" applyNumberFormat="1" applyFont="1" applyBorder="1"/>
    <xf numFmtId="4" fontId="12" fillId="0" borderId="2" xfId="0" applyNumberFormat="1" applyFont="1" applyBorder="1"/>
    <xf numFmtId="4" fontId="12" fillId="0" borderId="0" xfId="0" applyNumberFormat="1" applyFont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0" fontId="13" fillId="0" borderId="2" xfId="0" applyFont="1" applyBorder="1" applyAlignment="1">
      <alignment vertical="center"/>
    </xf>
    <xf numFmtId="4" fontId="12" fillId="0" borderId="2" xfId="0" applyNumberFormat="1" applyFont="1" applyBorder="1" applyAlignment="1">
      <alignment horizontal="right"/>
    </xf>
    <xf numFmtId="0" fontId="12" fillId="0" borderId="0" xfId="0" applyNumberFormat="1" applyFont="1"/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/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12" fillId="0" borderId="0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13" fillId="3" borderId="2" xfId="0" applyNumberFormat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2" fontId="13" fillId="4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4" xfId="0" applyFont="1" applyBorder="1" applyAlignment="1"/>
    <xf numFmtId="0" fontId="12" fillId="0" borderId="5" xfId="0" applyFont="1" applyBorder="1" applyAlignment="1"/>
    <xf numFmtId="0" fontId="12" fillId="0" borderId="1" xfId="0" applyFont="1" applyBorder="1" applyAlignment="1"/>
    <xf numFmtId="0" fontId="12" fillId="0" borderId="6" xfId="0" applyFont="1" applyBorder="1" applyAlignment="1"/>
    <xf numFmtId="0" fontId="12" fillId="0" borderId="2" xfId="0" applyFont="1" applyBorder="1" applyAlignment="1"/>
    <xf numFmtId="3" fontId="12" fillId="0" borderId="2" xfId="0" applyNumberFormat="1" applyFont="1" applyBorder="1" applyAlignment="1">
      <alignment horizontal="right"/>
    </xf>
    <xf numFmtId="0" fontId="12" fillId="0" borderId="11" xfId="0" applyNumberFormat="1" applyFont="1" applyBorder="1"/>
    <xf numFmtId="2" fontId="12" fillId="0" borderId="11" xfId="0" applyNumberFormat="1" applyFont="1" applyBorder="1" applyAlignment="1">
      <alignment vertical="center" wrapText="1"/>
    </xf>
    <xf numFmtId="165" fontId="14" fillId="0" borderId="11" xfId="0" applyNumberFormat="1" applyFont="1" applyBorder="1" applyAlignment="1">
      <alignment horizontal="right"/>
    </xf>
    <xf numFmtId="4" fontId="12" fillId="0" borderId="7" xfId="0" applyNumberFormat="1" applyFont="1" applyBorder="1"/>
    <xf numFmtId="4" fontId="15" fillId="0" borderId="2" xfId="0" applyNumberFormat="1" applyFont="1" applyBorder="1" applyAlignment="1">
      <alignment horizontal="right"/>
    </xf>
    <xf numFmtId="2" fontId="12" fillId="0" borderId="11" xfId="0" applyNumberFormat="1" applyFont="1" applyBorder="1"/>
    <xf numFmtId="4" fontId="15" fillId="0" borderId="7" xfId="0" applyNumberFormat="1" applyFont="1" applyBorder="1" applyAlignment="1">
      <alignment horizontal="right"/>
    </xf>
    <xf numFmtId="165" fontId="14" fillId="0" borderId="11" xfId="0" applyNumberFormat="1" applyFont="1" applyBorder="1" applyAlignment="1">
      <alignment horizontal="right" wrapText="1"/>
    </xf>
    <xf numFmtId="4" fontId="15" fillId="0" borderId="12" xfId="0" applyNumberFormat="1" applyFont="1" applyBorder="1" applyAlignment="1">
      <alignment horizontal="right"/>
    </xf>
    <xf numFmtId="4" fontId="15" fillId="0" borderId="10" xfId="0" applyNumberFormat="1" applyFont="1" applyBorder="1" applyAlignment="1">
      <alignment horizontal="right"/>
    </xf>
    <xf numFmtId="2" fontId="15" fillId="0" borderId="13" xfId="0" applyNumberFormat="1" applyFont="1" applyBorder="1"/>
    <xf numFmtId="2" fontId="15" fillId="0" borderId="11" xfId="0" applyNumberFormat="1" applyFont="1" applyBorder="1"/>
    <xf numFmtId="2" fontId="15" fillId="0" borderId="6" xfId="0" applyNumberFormat="1" applyFont="1" applyBorder="1"/>
    <xf numFmtId="2" fontId="15" fillId="0" borderId="9" xfId="0" applyNumberFormat="1" applyFont="1" applyBorder="1"/>
    <xf numFmtId="4" fontId="15" fillId="0" borderId="9" xfId="0" applyNumberFormat="1" applyFont="1" applyBorder="1" applyAlignment="1">
      <alignment horizontal="right"/>
    </xf>
    <xf numFmtId="3" fontId="12" fillId="0" borderId="9" xfId="0" applyNumberFormat="1" applyFont="1" applyBorder="1"/>
    <xf numFmtId="1" fontId="8" fillId="0" borderId="0" xfId="0" applyNumberFormat="1" applyFont="1"/>
    <xf numFmtId="4" fontId="12" fillId="0" borderId="2" xfId="0" applyNumberFormat="1" applyFont="1" applyBorder="1" applyAlignment="1">
      <alignment horizontal="right" vertic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/>
    </xf>
    <xf numFmtId="0" fontId="13" fillId="7" borderId="10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</cellXfs>
  <cellStyles count="2">
    <cellStyle name="Milliers_Classeur1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workbookViewId="0">
      <selection activeCell="G2" sqref="G2:G32"/>
    </sheetView>
  </sheetViews>
  <sheetFormatPr defaultColWidth="11.5703125" defaultRowHeight="15" x14ac:dyDescent="0.2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31"/>
    <col min="12" max="12" width="11.5703125" style="17"/>
  </cols>
  <sheetData>
    <row r="1" spans="1:13" s="9" customFormat="1" ht="60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9" t="s">
        <v>10</v>
      </c>
      <c r="L1" s="6" t="s">
        <v>11</v>
      </c>
      <c r="M1" s="8" t="s">
        <v>12</v>
      </c>
    </row>
    <row r="2" spans="1:13" s="13" customFormat="1" x14ac:dyDescent="0.25">
      <c r="A2" s="1" t="s">
        <v>13</v>
      </c>
      <c r="B2" s="10">
        <v>1</v>
      </c>
      <c r="C2" s="11">
        <v>1</v>
      </c>
      <c r="D2" s="1">
        <v>2021</v>
      </c>
      <c r="E2" s="12">
        <f>'Submetering '!O2+'Submetering '!P2+'Submetering '!Q2+'Submetering '!R2+'Submetering '!S2</f>
        <v>23741</v>
      </c>
      <c r="F2" s="11">
        <f>('FS Seychelles'!Q3*'FS Seychelles'!R3)/TOTAL!E2</f>
        <v>0.23994945453013775</v>
      </c>
      <c r="G2" s="12">
        <f>('FS Seychelles'!$AB$9+'FS Seychelles'!$AB$15)/31</f>
        <v>144.74193548387098</v>
      </c>
      <c r="H2" s="11">
        <v>18.899999999999999</v>
      </c>
      <c r="I2" s="12">
        <f>'FS Seychelles'!S3+'FS Seychelles'!U3+'FS Seychelles'!V3+'FS Seychelles'!W3</f>
        <v>401</v>
      </c>
      <c r="J2" s="11">
        <v>0</v>
      </c>
      <c r="K2" s="30">
        <f>'Submetering '!Z2</f>
        <v>62</v>
      </c>
      <c r="L2" s="11">
        <v>0</v>
      </c>
      <c r="M2" s="75">
        <f>'FS Seychelles'!B3</f>
        <v>20.29</v>
      </c>
    </row>
    <row r="3" spans="1:13" s="15" customFormat="1" x14ac:dyDescent="0.25">
      <c r="A3" s="1" t="s">
        <v>13</v>
      </c>
      <c r="B3" s="14">
        <f>B2+1</f>
        <v>2</v>
      </c>
      <c r="C3" s="11">
        <v>1</v>
      </c>
      <c r="D3" s="1">
        <v>2021</v>
      </c>
      <c r="E3" s="12">
        <f>'Submetering '!O3+'Submetering '!P3+'Submetering '!Q3+'Submetering '!R3+'Submetering '!S3</f>
        <v>25138</v>
      </c>
      <c r="F3" s="11">
        <f>('FS Seychelles'!Q4*'FS Seychelles'!R4)/TOTAL!E3</f>
        <v>0.24221497334712389</v>
      </c>
      <c r="G3" s="12">
        <f>('FS Seychelles'!$AB$9+'FS Seychelles'!$AB$15)/31</f>
        <v>144.74193548387098</v>
      </c>
      <c r="H3" s="11">
        <f>H2</f>
        <v>18.899999999999999</v>
      </c>
      <c r="I3" s="12">
        <f>'FS Seychelles'!S4+'FS Seychelles'!U4+'FS Seychelles'!V4+'FS Seychelles'!W4</f>
        <v>382</v>
      </c>
      <c r="J3" s="11">
        <f>J2</f>
        <v>0</v>
      </c>
      <c r="K3" s="30">
        <f>'Submetering '!Z3</f>
        <v>0</v>
      </c>
      <c r="L3" s="11">
        <f>L2</f>
        <v>0</v>
      </c>
      <c r="M3" s="75">
        <f>'FS Seychelles'!B4</f>
        <v>19.11</v>
      </c>
    </row>
    <row r="4" spans="1:13" s="15" customFormat="1" x14ac:dyDescent="0.25">
      <c r="A4" s="1" t="s">
        <v>13</v>
      </c>
      <c r="B4" s="14">
        <f t="shared" ref="B4:B32" si="0">B3+1</f>
        <v>3</v>
      </c>
      <c r="C4" s="11">
        <v>1</v>
      </c>
      <c r="D4" s="1">
        <v>2021</v>
      </c>
      <c r="E4" s="12">
        <f>'Submetering '!O4+'Submetering '!P4+'Submetering '!Q4+'Submetering '!R4+'Submetering '!S4</f>
        <v>22451</v>
      </c>
      <c r="F4" s="11">
        <f>('FS Seychelles'!Q5*'FS Seychelles'!R5)/TOTAL!E4</f>
        <v>0.23795465680815997</v>
      </c>
      <c r="G4" s="12">
        <f>('FS Seychelles'!$AB$9+'FS Seychelles'!$AB$15)/31</f>
        <v>144.74193548387098</v>
      </c>
      <c r="H4" s="11">
        <f t="shared" ref="H4:H32" si="1">H3</f>
        <v>18.899999999999999</v>
      </c>
      <c r="I4" s="12">
        <f>'FS Seychelles'!S5+'FS Seychelles'!U5+'FS Seychelles'!V5+'FS Seychelles'!W5</f>
        <v>356</v>
      </c>
      <c r="J4" s="11">
        <f t="shared" ref="J4:L32" si="2">J3</f>
        <v>0</v>
      </c>
      <c r="K4" s="30">
        <f>'Submetering '!Z4</f>
        <v>61</v>
      </c>
      <c r="L4" s="11">
        <f t="shared" si="2"/>
        <v>0</v>
      </c>
      <c r="M4" s="75">
        <f>'FS Seychelles'!B5</f>
        <v>24.62</v>
      </c>
    </row>
    <row r="5" spans="1:13" s="15" customFormat="1" x14ac:dyDescent="0.25">
      <c r="A5" s="1" t="s">
        <v>13</v>
      </c>
      <c r="B5" s="14">
        <f t="shared" si="0"/>
        <v>4</v>
      </c>
      <c r="C5" s="11">
        <v>1</v>
      </c>
      <c r="D5" s="1">
        <v>2021</v>
      </c>
      <c r="E5" s="12">
        <f>'Submetering '!O5+'Submetering '!P5+'Submetering '!Q5+'Submetering '!R5+'Submetering '!S5</f>
        <v>22715</v>
      </c>
      <c r="F5" s="11">
        <f>('FS Seychelles'!Q6*'FS Seychelles'!R6)/TOTAL!E5</f>
        <v>0.22796479590504298</v>
      </c>
      <c r="G5" s="12">
        <f>('FS Seychelles'!$AB$9+'FS Seychelles'!$AB$15)/31</f>
        <v>144.74193548387098</v>
      </c>
      <c r="H5" s="11">
        <f t="shared" si="1"/>
        <v>18.899999999999999</v>
      </c>
      <c r="I5" s="12">
        <f>'FS Seychelles'!S6+'FS Seychelles'!U6+'FS Seychelles'!V6+'FS Seychelles'!W6</f>
        <v>378</v>
      </c>
      <c r="J5" s="11">
        <f t="shared" si="2"/>
        <v>0</v>
      </c>
      <c r="K5" s="30">
        <f>'Submetering '!Z5</f>
        <v>0</v>
      </c>
      <c r="L5" s="11">
        <f t="shared" si="2"/>
        <v>0</v>
      </c>
      <c r="M5" s="75">
        <f>'FS Seychelles'!B6</f>
        <v>25</v>
      </c>
    </row>
    <row r="6" spans="1:13" s="15" customFormat="1" x14ac:dyDescent="0.25">
      <c r="A6" s="1" t="s">
        <v>13</v>
      </c>
      <c r="B6" s="14">
        <f t="shared" si="0"/>
        <v>5</v>
      </c>
      <c r="C6" s="11">
        <v>1</v>
      </c>
      <c r="D6" s="1">
        <v>2021</v>
      </c>
      <c r="E6" s="12">
        <f>'Submetering '!O6+'Submetering '!P6+'Submetering '!Q6+'Submetering '!R6+'Submetering '!S6</f>
        <v>20150</v>
      </c>
      <c r="F6" s="11">
        <f>('FS Seychelles'!Q7*'FS Seychelles'!R7)/TOTAL!E6</f>
        <v>0.22807825489618819</v>
      </c>
      <c r="G6" s="12">
        <f>('FS Seychelles'!$AB$9+'FS Seychelles'!$AB$15)/31</f>
        <v>144.74193548387098</v>
      </c>
      <c r="H6" s="11">
        <f t="shared" si="1"/>
        <v>18.899999999999999</v>
      </c>
      <c r="I6" s="12">
        <f>'FS Seychelles'!S7+'FS Seychelles'!U7+'FS Seychelles'!V7+'FS Seychelles'!W7</f>
        <v>397</v>
      </c>
      <c r="J6" s="11">
        <f t="shared" si="2"/>
        <v>0</v>
      </c>
      <c r="K6" s="30">
        <f>'Submetering '!Z6</f>
        <v>0</v>
      </c>
      <c r="L6" s="11">
        <f t="shared" si="2"/>
        <v>0</v>
      </c>
      <c r="M6" s="75">
        <f>'FS Seychelles'!B7</f>
        <v>21.54</v>
      </c>
    </row>
    <row r="7" spans="1:13" s="15" customFormat="1" x14ac:dyDescent="0.25">
      <c r="A7" s="1" t="s">
        <v>13</v>
      </c>
      <c r="B7" s="14">
        <f t="shared" si="0"/>
        <v>6</v>
      </c>
      <c r="C7" s="11">
        <v>1</v>
      </c>
      <c r="D7" s="1">
        <v>2021</v>
      </c>
      <c r="E7" s="12">
        <f>'Submetering '!O7+'Submetering '!P7+'Submetering '!Q7+'Submetering '!R7+'Submetering '!S7</f>
        <v>23755</v>
      </c>
      <c r="F7" s="11">
        <f>('FS Seychelles'!Q8*'FS Seychelles'!R8)/TOTAL!E7</f>
        <v>0.2292594957707387</v>
      </c>
      <c r="G7" s="12">
        <f>('FS Seychelles'!$AB$9+'FS Seychelles'!$AB$15)/31</f>
        <v>144.74193548387098</v>
      </c>
      <c r="H7" s="11">
        <f t="shared" si="1"/>
        <v>18.899999999999999</v>
      </c>
      <c r="I7" s="12">
        <f>'FS Seychelles'!S8+'FS Seychelles'!U8+'FS Seychelles'!V8+'FS Seychelles'!W8</f>
        <v>361</v>
      </c>
      <c r="J7" s="11">
        <f t="shared" si="2"/>
        <v>0</v>
      </c>
      <c r="K7" s="30">
        <f>'Submetering '!Z7</f>
        <v>0</v>
      </c>
      <c r="L7" s="11">
        <f t="shared" si="2"/>
        <v>0</v>
      </c>
      <c r="M7" s="75">
        <f>'FS Seychelles'!B8</f>
        <v>20.9</v>
      </c>
    </row>
    <row r="8" spans="1:13" s="15" customFormat="1" x14ac:dyDescent="0.25">
      <c r="A8" s="1" t="s">
        <v>13</v>
      </c>
      <c r="B8" s="14">
        <f t="shared" si="0"/>
        <v>7</v>
      </c>
      <c r="C8" s="11">
        <v>1</v>
      </c>
      <c r="D8" s="1">
        <v>2021</v>
      </c>
      <c r="E8" s="12">
        <f>'Submetering '!O8+'Submetering '!P8+'Submetering '!Q8+'Submetering '!R8+'Submetering '!S8</f>
        <v>22317</v>
      </c>
      <c r="F8" s="11">
        <f>('FS Seychelles'!Q9*'FS Seychelles'!R9)/TOTAL!E8</f>
        <v>0.23069679849340866</v>
      </c>
      <c r="G8" s="12">
        <f>('FS Seychelles'!$AB$9+'FS Seychelles'!$AB$15)/31</f>
        <v>144.74193548387098</v>
      </c>
      <c r="H8" s="11">
        <f t="shared" si="1"/>
        <v>18.899999999999999</v>
      </c>
      <c r="I8" s="12">
        <f>'FS Seychelles'!S9+'FS Seychelles'!U9+'FS Seychelles'!V9+'FS Seychelles'!W9</f>
        <v>362</v>
      </c>
      <c r="J8" s="11">
        <f t="shared" si="2"/>
        <v>0</v>
      </c>
      <c r="K8" s="30">
        <f>'Submetering '!Z8</f>
        <v>0</v>
      </c>
      <c r="L8" s="11">
        <f t="shared" si="2"/>
        <v>0</v>
      </c>
      <c r="M8" s="75">
        <f>'FS Seychelles'!B9</f>
        <v>21.54</v>
      </c>
    </row>
    <row r="9" spans="1:13" s="15" customFormat="1" x14ac:dyDescent="0.25">
      <c r="A9" s="1" t="s">
        <v>13</v>
      </c>
      <c r="B9" s="14">
        <f t="shared" si="0"/>
        <v>8</v>
      </c>
      <c r="C9" s="11">
        <v>1</v>
      </c>
      <c r="D9" s="1">
        <v>2021</v>
      </c>
      <c r="E9" s="12">
        <f>'Submetering '!O9+'Submetering '!P9+'Submetering '!Q9+'Submetering '!R9+'Submetering '!S9</f>
        <v>22786</v>
      </c>
      <c r="F9" s="11">
        <f>('FS Seychelles'!Q10*'FS Seychelles'!R10)/TOTAL!E9</f>
        <v>0.22837394951107354</v>
      </c>
      <c r="G9" s="12">
        <f>('FS Seychelles'!$AB$9+'FS Seychelles'!$AB$15)/31</f>
        <v>144.74193548387098</v>
      </c>
      <c r="H9" s="11">
        <f t="shared" si="1"/>
        <v>18.899999999999999</v>
      </c>
      <c r="I9" s="12">
        <f>'FS Seychelles'!S10+'FS Seychelles'!U10+'FS Seychelles'!V10+'FS Seychelles'!W10</f>
        <v>407</v>
      </c>
      <c r="J9" s="11">
        <f t="shared" si="2"/>
        <v>0</v>
      </c>
      <c r="K9" s="30">
        <f>'Submetering '!Z9</f>
        <v>136</v>
      </c>
      <c r="L9" s="11">
        <f t="shared" si="2"/>
        <v>0</v>
      </c>
      <c r="M9" s="75">
        <f>'FS Seychelles'!B10</f>
        <v>11.69</v>
      </c>
    </row>
    <row r="10" spans="1:13" s="15" customFormat="1" x14ac:dyDescent="0.25">
      <c r="A10" s="1" t="s">
        <v>13</v>
      </c>
      <c r="B10" s="14">
        <f t="shared" si="0"/>
        <v>9</v>
      </c>
      <c r="C10" s="11">
        <v>1</v>
      </c>
      <c r="D10" s="1">
        <v>2021</v>
      </c>
      <c r="E10" s="12">
        <f>'Submetering '!O10+'Submetering '!P10+'Submetering '!Q10+'Submetering '!R10+'Submetering '!S10</f>
        <v>17303</v>
      </c>
      <c r="F10" s="11">
        <f>('FS Seychelles'!Q11*'FS Seychelles'!R11)/TOTAL!E10</f>
        <v>0.23435226117674637</v>
      </c>
      <c r="G10" s="12">
        <f>('FS Seychelles'!$AB$9+'FS Seychelles'!$AB$15)/31</f>
        <v>144.74193548387098</v>
      </c>
      <c r="H10" s="11">
        <f t="shared" si="1"/>
        <v>18.899999999999999</v>
      </c>
      <c r="I10" s="12">
        <f>'FS Seychelles'!S11+'FS Seychelles'!U11+'FS Seychelles'!V11+'FS Seychelles'!W11</f>
        <v>400</v>
      </c>
      <c r="J10" s="11">
        <f t="shared" si="2"/>
        <v>0</v>
      </c>
      <c r="K10" s="30">
        <f>'Submetering '!Z10</f>
        <v>6</v>
      </c>
      <c r="L10" s="11">
        <f t="shared" si="2"/>
        <v>0</v>
      </c>
      <c r="M10" s="75">
        <f>'FS Seychelles'!B11</f>
        <v>11.69</v>
      </c>
    </row>
    <row r="11" spans="1:13" s="15" customFormat="1" x14ac:dyDescent="0.25">
      <c r="A11" s="1" t="s">
        <v>13</v>
      </c>
      <c r="B11" s="14">
        <f t="shared" si="0"/>
        <v>10</v>
      </c>
      <c r="C11" s="11">
        <v>1</v>
      </c>
      <c r="D11" s="1">
        <v>2021</v>
      </c>
      <c r="E11" s="12">
        <f>'Submetering '!O11+'Submetering '!P11+'Submetering '!Q11+'Submetering '!R11+'Submetering '!S11</f>
        <v>23275</v>
      </c>
      <c r="F11" s="11">
        <f>('FS Seychelles'!Q12*'FS Seychelles'!R12)/TOTAL!E11</f>
        <v>0.23870014018096089</v>
      </c>
      <c r="G11" s="12">
        <f>('FS Seychelles'!$AB$9+'FS Seychelles'!$AB$15)/31</f>
        <v>144.74193548387098</v>
      </c>
      <c r="H11" s="11">
        <f t="shared" si="1"/>
        <v>18.899999999999999</v>
      </c>
      <c r="I11" s="12">
        <f>'FS Seychelles'!S12+'FS Seychelles'!U12+'FS Seychelles'!V12+'FS Seychelles'!W12</f>
        <v>423</v>
      </c>
      <c r="J11" s="11">
        <f t="shared" si="2"/>
        <v>0</v>
      </c>
      <c r="K11" s="30">
        <f>'Submetering '!Z11</f>
        <v>0</v>
      </c>
      <c r="L11" s="11">
        <f t="shared" si="2"/>
        <v>0</v>
      </c>
      <c r="M11" s="75">
        <f>'FS Seychelles'!B12</f>
        <v>11.69</v>
      </c>
    </row>
    <row r="12" spans="1:13" s="15" customFormat="1" x14ac:dyDescent="0.25">
      <c r="A12" s="1" t="s">
        <v>13</v>
      </c>
      <c r="B12" s="14">
        <f t="shared" si="0"/>
        <v>11</v>
      </c>
      <c r="C12" s="11">
        <v>1</v>
      </c>
      <c r="D12" s="1">
        <v>2021</v>
      </c>
      <c r="E12" s="12">
        <f>'Submetering '!O12+'Submetering '!P12+'Submetering '!Q12+'Submetering '!R12+'Submetering '!S12</f>
        <v>24225</v>
      </c>
      <c r="F12" s="11">
        <f>('FS Seychelles'!Q13*'FS Seychelles'!R13)/TOTAL!E12</f>
        <v>0.238030959752322</v>
      </c>
      <c r="G12" s="12">
        <f>('FS Seychelles'!$AB$9+'FS Seychelles'!$AB$15)/31</f>
        <v>144.74193548387098</v>
      </c>
      <c r="H12" s="11">
        <f t="shared" si="1"/>
        <v>18.899999999999999</v>
      </c>
      <c r="I12" s="12">
        <f>'FS Seychelles'!S13+'FS Seychelles'!U13+'FS Seychelles'!V13+'FS Seychelles'!W13</f>
        <v>447</v>
      </c>
      <c r="J12" s="11">
        <f t="shared" si="2"/>
        <v>0</v>
      </c>
      <c r="K12" s="30">
        <f>'Submetering '!Z12</f>
        <v>88</v>
      </c>
      <c r="L12" s="11">
        <f t="shared" si="2"/>
        <v>0</v>
      </c>
      <c r="M12" s="75">
        <f>'FS Seychelles'!B13</f>
        <v>11.69</v>
      </c>
    </row>
    <row r="13" spans="1:13" s="15" customFormat="1" x14ac:dyDescent="0.25">
      <c r="A13" s="1" t="s">
        <v>13</v>
      </c>
      <c r="B13" s="14">
        <f t="shared" si="0"/>
        <v>12</v>
      </c>
      <c r="C13" s="11">
        <v>1</v>
      </c>
      <c r="D13" s="1">
        <v>2021</v>
      </c>
      <c r="E13" s="12">
        <f>'Submetering '!O13+'Submetering '!P13+'Submetering '!Q13+'Submetering '!R13+'Submetering '!S13</f>
        <v>24632</v>
      </c>
      <c r="F13" s="11">
        <f>('FS Seychelles'!Q14*'FS Seychelles'!R14)/TOTAL!E13</f>
        <v>0.24966303994803507</v>
      </c>
      <c r="G13" s="12">
        <f>('FS Seychelles'!$AB$9+'FS Seychelles'!$AB$15)/31</f>
        <v>144.74193548387098</v>
      </c>
      <c r="H13" s="11">
        <f t="shared" si="1"/>
        <v>18.899999999999999</v>
      </c>
      <c r="I13" s="12">
        <f>'FS Seychelles'!S14+'FS Seychelles'!U14+'FS Seychelles'!V14+'FS Seychelles'!W14</f>
        <v>398</v>
      </c>
      <c r="J13" s="11">
        <f t="shared" si="2"/>
        <v>0</v>
      </c>
      <c r="K13" s="30">
        <f>'Submetering '!Z13</f>
        <v>96</v>
      </c>
      <c r="L13" s="11">
        <f t="shared" si="2"/>
        <v>0</v>
      </c>
      <c r="M13" s="75">
        <f>'FS Seychelles'!B14</f>
        <v>11.69</v>
      </c>
    </row>
    <row r="14" spans="1:13" s="15" customFormat="1" x14ac:dyDescent="0.25">
      <c r="A14" s="1" t="s">
        <v>13</v>
      </c>
      <c r="B14" s="14">
        <f t="shared" si="0"/>
        <v>13</v>
      </c>
      <c r="C14" s="11">
        <v>1</v>
      </c>
      <c r="D14" s="1">
        <v>2021</v>
      </c>
      <c r="E14" s="12">
        <f>'Submetering '!O14+'Submetering '!P14+'Submetering '!Q14+'Submetering '!R14+'Submetering '!S14</f>
        <v>20853</v>
      </c>
      <c r="F14" s="11">
        <f>('FS Seychelles'!Q15*'FS Seychelles'!R15)/TOTAL!E14</f>
        <v>0.24432455761760899</v>
      </c>
      <c r="G14" s="12">
        <f>('FS Seychelles'!$AB$9+'FS Seychelles'!$AB$15)/31</f>
        <v>144.74193548387098</v>
      </c>
      <c r="H14" s="11">
        <f t="shared" si="1"/>
        <v>18.899999999999999</v>
      </c>
      <c r="I14" s="12">
        <f>'FS Seychelles'!S15+'FS Seychelles'!U15+'FS Seychelles'!V15+'FS Seychelles'!W15</f>
        <v>408</v>
      </c>
      <c r="J14" s="11">
        <f t="shared" si="2"/>
        <v>0</v>
      </c>
      <c r="K14" s="30">
        <f>'Submetering '!Z14</f>
        <v>95</v>
      </c>
      <c r="L14" s="11">
        <f t="shared" si="2"/>
        <v>0</v>
      </c>
      <c r="M14" s="75">
        <f>'FS Seychelles'!B15</f>
        <v>11.69</v>
      </c>
    </row>
    <row r="15" spans="1:13" s="15" customFormat="1" x14ac:dyDescent="0.25">
      <c r="A15" s="1" t="s">
        <v>13</v>
      </c>
      <c r="B15" s="14">
        <f t="shared" si="0"/>
        <v>14</v>
      </c>
      <c r="C15" s="11">
        <v>1</v>
      </c>
      <c r="D15" s="1">
        <v>2021</v>
      </c>
      <c r="E15" s="12">
        <f>'Submetering '!O15+'Submetering '!P15+'Submetering '!Q15+'Submetering '!R15+'Submetering '!S15</f>
        <v>24107</v>
      </c>
      <c r="F15" s="11">
        <f>('FS Seychelles'!Q16*'FS Seychelles'!R16)/TOTAL!E15</f>
        <v>0.24860413987638447</v>
      </c>
      <c r="G15" s="12">
        <f>('FS Seychelles'!$AB$9+'FS Seychelles'!$AB$15)/31</f>
        <v>144.74193548387098</v>
      </c>
      <c r="H15" s="11">
        <f t="shared" si="1"/>
        <v>18.899999999999999</v>
      </c>
      <c r="I15" s="12">
        <f>'FS Seychelles'!S16+'FS Seychelles'!U16+'FS Seychelles'!V16+'FS Seychelles'!W16</f>
        <v>416</v>
      </c>
      <c r="J15" s="11">
        <f t="shared" si="2"/>
        <v>0</v>
      </c>
      <c r="K15" s="30">
        <f>'Submetering '!Z15</f>
        <v>62</v>
      </c>
      <c r="L15" s="11">
        <f t="shared" si="2"/>
        <v>0</v>
      </c>
      <c r="M15" s="75">
        <f>'FS Seychelles'!B16</f>
        <v>11.76</v>
      </c>
    </row>
    <row r="16" spans="1:13" s="15" customFormat="1" x14ac:dyDescent="0.25">
      <c r="A16" s="1" t="s">
        <v>13</v>
      </c>
      <c r="B16" s="14">
        <f t="shared" si="0"/>
        <v>15</v>
      </c>
      <c r="C16" s="11">
        <v>1</v>
      </c>
      <c r="D16" s="1">
        <v>2021</v>
      </c>
      <c r="E16" s="12">
        <f>'Submetering '!O16+'Submetering '!P16+'Submetering '!Q16+'Submetering '!R16+'Submetering '!S16</f>
        <v>27383</v>
      </c>
      <c r="F16" s="11">
        <f>('FS Seychelles'!Q17*'FS Seychelles'!R17)/TOTAL!E16</f>
        <v>0.21442500821677685</v>
      </c>
      <c r="G16" s="12">
        <f>('FS Seychelles'!$AB$9+'FS Seychelles'!$AB$15)/31</f>
        <v>144.74193548387098</v>
      </c>
      <c r="H16" s="11">
        <f t="shared" si="1"/>
        <v>18.899999999999999</v>
      </c>
      <c r="I16" s="12">
        <f>'FS Seychelles'!S17+'FS Seychelles'!U17+'FS Seychelles'!V17+'FS Seychelles'!W17</f>
        <v>396</v>
      </c>
      <c r="J16" s="11">
        <f t="shared" si="2"/>
        <v>0</v>
      </c>
      <c r="K16" s="30">
        <f>'Submetering '!Z16</f>
        <v>32</v>
      </c>
      <c r="L16" s="11">
        <f t="shared" si="2"/>
        <v>0</v>
      </c>
      <c r="M16" s="75">
        <f>'FS Seychelles'!B17</f>
        <v>8.82</v>
      </c>
    </row>
    <row r="17" spans="1:13" s="15" customFormat="1" x14ac:dyDescent="0.25">
      <c r="A17" s="1" t="s">
        <v>13</v>
      </c>
      <c r="B17" s="14">
        <f t="shared" si="0"/>
        <v>16</v>
      </c>
      <c r="C17" s="11">
        <v>1</v>
      </c>
      <c r="D17" s="1">
        <v>2021</v>
      </c>
      <c r="E17" s="12">
        <f>'Submetering '!O17+'Submetering '!P17+'Submetering '!Q17+'Submetering '!R17+'Submetering '!S17</f>
        <v>24162</v>
      </c>
      <c r="F17" s="11">
        <f>('FS Seychelles'!Q18*'FS Seychelles'!R18)/TOTAL!E17</f>
        <v>0.25064564191705985</v>
      </c>
      <c r="G17" s="12">
        <f>('FS Seychelles'!$AB$9+'FS Seychelles'!$AB$15)/31</f>
        <v>144.74193548387098</v>
      </c>
      <c r="H17" s="11">
        <f t="shared" si="1"/>
        <v>18.899999999999999</v>
      </c>
      <c r="I17" s="12">
        <f>'FS Seychelles'!S18+'FS Seychelles'!U18+'FS Seychelles'!V18+'FS Seychelles'!W18</f>
        <v>378</v>
      </c>
      <c r="J17" s="11">
        <f t="shared" si="2"/>
        <v>0</v>
      </c>
      <c r="K17" s="30">
        <f>'Submetering '!Z17</f>
        <v>52</v>
      </c>
      <c r="L17" s="11">
        <f t="shared" si="2"/>
        <v>0</v>
      </c>
      <c r="M17" s="75">
        <f>'FS Seychelles'!B18</f>
        <v>10.29</v>
      </c>
    </row>
    <row r="18" spans="1:13" s="15" customFormat="1" x14ac:dyDescent="0.25">
      <c r="A18" s="1" t="s">
        <v>13</v>
      </c>
      <c r="B18" s="14">
        <f t="shared" si="0"/>
        <v>17</v>
      </c>
      <c r="C18" s="11">
        <v>1</v>
      </c>
      <c r="D18" s="1">
        <v>2021</v>
      </c>
      <c r="E18" s="12">
        <f>'Submetering '!O18+'Submetering '!P18+'Submetering '!Q18+'Submetering '!R18+'Submetering '!S18</f>
        <v>23116</v>
      </c>
      <c r="F18" s="11">
        <f>('FS Seychelles'!Q19*'FS Seychelles'!R19)/TOTAL!E18</f>
        <v>0.24727028897733175</v>
      </c>
      <c r="G18" s="12">
        <f>('FS Seychelles'!$AB$9+'FS Seychelles'!$AB$15)/31</f>
        <v>144.74193548387098</v>
      </c>
      <c r="H18" s="11">
        <f t="shared" si="1"/>
        <v>18.899999999999999</v>
      </c>
      <c r="I18" s="12">
        <f>'FS Seychelles'!S19+'FS Seychelles'!U19+'FS Seychelles'!V19+'FS Seychelles'!W19</f>
        <v>496</v>
      </c>
      <c r="J18" s="11">
        <f t="shared" si="2"/>
        <v>0</v>
      </c>
      <c r="K18" s="30">
        <f>'Submetering '!Z18</f>
        <v>69</v>
      </c>
      <c r="L18" s="11">
        <f t="shared" si="2"/>
        <v>0</v>
      </c>
      <c r="M18" s="75">
        <f>'FS Seychelles'!B19</f>
        <v>8.82</v>
      </c>
    </row>
    <row r="19" spans="1:13" s="15" customFormat="1" x14ac:dyDescent="0.25">
      <c r="A19" s="1" t="s">
        <v>13</v>
      </c>
      <c r="B19" s="14">
        <f t="shared" si="0"/>
        <v>18</v>
      </c>
      <c r="C19" s="11">
        <v>1</v>
      </c>
      <c r="D19" s="1">
        <v>2021</v>
      </c>
      <c r="E19" s="12">
        <f>'Submetering '!O19+'Submetering '!P19+'Submetering '!Q19+'Submetering '!R19+'Submetering '!S19</f>
        <v>14322</v>
      </c>
      <c r="F19" s="11">
        <f>('FS Seychelles'!Q20*'FS Seychelles'!R20)/TOTAL!E19</f>
        <v>0.25255550900712193</v>
      </c>
      <c r="G19" s="12">
        <f>('FS Seychelles'!$AB$9+'FS Seychelles'!$AB$15)/31</f>
        <v>144.74193548387098</v>
      </c>
      <c r="H19" s="11">
        <f t="shared" si="1"/>
        <v>18.899999999999999</v>
      </c>
      <c r="I19" s="12">
        <f>'FS Seychelles'!S20+'FS Seychelles'!U20+'FS Seychelles'!V20+'FS Seychelles'!W20</f>
        <v>416</v>
      </c>
      <c r="J19" s="11">
        <f t="shared" si="2"/>
        <v>0</v>
      </c>
      <c r="K19" s="30">
        <f>'Submetering '!Z19</f>
        <v>117</v>
      </c>
      <c r="L19" s="11">
        <f t="shared" si="2"/>
        <v>0</v>
      </c>
      <c r="M19" s="75">
        <f>'FS Seychelles'!B20</f>
        <v>9.35</v>
      </c>
    </row>
    <row r="20" spans="1:13" s="15" customFormat="1" x14ac:dyDescent="0.25">
      <c r="A20" s="1" t="s">
        <v>13</v>
      </c>
      <c r="B20" s="14">
        <f t="shared" si="0"/>
        <v>19</v>
      </c>
      <c r="C20" s="11">
        <v>1</v>
      </c>
      <c r="D20" s="1">
        <v>2021</v>
      </c>
      <c r="E20" s="12">
        <f>'Submetering '!O20+'Submetering '!P20+'Submetering '!Q20+'Submetering '!R20+'Submetering '!S20</f>
        <v>21961</v>
      </c>
      <c r="F20" s="11">
        <f>('FS Seychelles'!Q21*'FS Seychelles'!R21)/TOTAL!E20</f>
        <v>0.23691544100906153</v>
      </c>
      <c r="G20" s="12">
        <f>('FS Seychelles'!$AB$9+'FS Seychelles'!$AB$15)/31</f>
        <v>144.74193548387098</v>
      </c>
      <c r="H20" s="11">
        <f t="shared" si="1"/>
        <v>18.899999999999999</v>
      </c>
      <c r="I20" s="12">
        <f>'FS Seychelles'!S21+'FS Seychelles'!U21+'FS Seychelles'!V21+'FS Seychelles'!W21</f>
        <v>420</v>
      </c>
      <c r="J20" s="11">
        <f t="shared" si="2"/>
        <v>0</v>
      </c>
      <c r="K20" s="30">
        <f>'Submetering '!Z20</f>
        <v>93</v>
      </c>
      <c r="L20" s="11">
        <f t="shared" si="2"/>
        <v>0</v>
      </c>
      <c r="M20" s="75">
        <f>'FS Seychelles'!B21</f>
        <v>7.69</v>
      </c>
    </row>
    <row r="21" spans="1:13" s="15" customFormat="1" x14ac:dyDescent="0.25">
      <c r="A21" s="1" t="s">
        <v>13</v>
      </c>
      <c r="B21" s="14">
        <f t="shared" si="0"/>
        <v>20</v>
      </c>
      <c r="C21" s="11">
        <v>1</v>
      </c>
      <c r="D21" s="1">
        <v>2021</v>
      </c>
      <c r="E21" s="12">
        <f>'Submetering '!O21+'Submetering '!P21+'Submetering '!Q21+'Submetering '!R21+'Submetering '!S21</f>
        <v>23649</v>
      </c>
      <c r="F21" s="11">
        <f>('FS Seychelles'!Q22*'FS Seychelles'!R22)/TOTAL!E21</f>
        <v>0.25204871241912974</v>
      </c>
      <c r="G21" s="12">
        <f>('FS Seychelles'!$AB$9+'FS Seychelles'!$AB$15)/31</f>
        <v>144.74193548387098</v>
      </c>
      <c r="H21" s="11">
        <f t="shared" si="1"/>
        <v>18.899999999999999</v>
      </c>
      <c r="I21" s="12">
        <f>'FS Seychelles'!S22+'FS Seychelles'!U22+'FS Seychelles'!V22+'FS Seychelles'!W22</f>
        <v>414</v>
      </c>
      <c r="J21" s="11">
        <f t="shared" si="2"/>
        <v>0</v>
      </c>
      <c r="K21" s="30">
        <f>'Submetering '!Z21</f>
        <v>10</v>
      </c>
      <c r="L21" s="11">
        <f t="shared" si="2"/>
        <v>0</v>
      </c>
      <c r="M21" s="75">
        <f>'FS Seychelles'!B22</f>
        <v>7.69</v>
      </c>
    </row>
    <row r="22" spans="1:13" s="15" customFormat="1" x14ac:dyDescent="0.25">
      <c r="A22" s="1" t="s">
        <v>13</v>
      </c>
      <c r="B22" s="14">
        <f t="shared" si="0"/>
        <v>21</v>
      </c>
      <c r="C22" s="11">
        <v>1</v>
      </c>
      <c r="D22" s="1">
        <v>2021</v>
      </c>
      <c r="E22" s="12">
        <f>'Submetering '!O22+'Submetering '!P22+'Submetering '!Q22+'Submetering '!R22+'Submetering '!S22</f>
        <v>22356</v>
      </c>
      <c r="F22" s="11">
        <f>('FS Seychelles'!Q23*'FS Seychelles'!R23)/TOTAL!E22</f>
        <v>0.25398550724637681</v>
      </c>
      <c r="G22" s="12">
        <f>('FS Seychelles'!$AB$9+'FS Seychelles'!$AB$15)/31</f>
        <v>144.74193548387098</v>
      </c>
      <c r="H22" s="11">
        <f t="shared" si="1"/>
        <v>18.899999999999999</v>
      </c>
      <c r="I22" s="12">
        <f>'FS Seychelles'!S23+'FS Seychelles'!U23+'FS Seychelles'!V23+'FS Seychelles'!W23</f>
        <v>373</v>
      </c>
      <c r="J22" s="11">
        <f t="shared" si="2"/>
        <v>0</v>
      </c>
      <c r="K22" s="30">
        <f>'Submetering '!Z22</f>
        <v>0</v>
      </c>
      <c r="L22" s="11">
        <f t="shared" si="2"/>
        <v>0</v>
      </c>
      <c r="M22" s="75">
        <f>'FS Seychelles'!B23</f>
        <v>7.81</v>
      </c>
    </row>
    <row r="23" spans="1:13" s="15" customFormat="1" x14ac:dyDescent="0.25">
      <c r="A23" s="1" t="s">
        <v>13</v>
      </c>
      <c r="B23" s="14">
        <f t="shared" si="0"/>
        <v>22</v>
      </c>
      <c r="C23" s="11">
        <v>1</v>
      </c>
      <c r="D23" s="1">
        <v>2021</v>
      </c>
      <c r="E23" s="12">
        <f>'Submetering '!O23+'Submetering '!P23+'Submetering '!Q23+'Submetering '!R23+'Submetering '!S23</f>
        <v>22683</v>
      </c>
      <c r="F23" s="11">
        <f>('FS Seychelles'!Q24*'FS Seychelles'!R24)/TOTAL!E23</f>
        <v>0.24476921042190189</v>
      </c>
      <c r="G23" s="12">
        <f>('FS Seychelles'!$AB$9+'FS Seychelles'!$AB$15)/31</f>
        <v>144.74193548387098</v>
      </c>
      <c r="H23" s="11">
        <f t="shared" si="1"/>
        <v>18.899999999999999</v>
      </c>
      <c r="I23" s="12">
        <f>'FS Seychelles'!S24+'FS Seychelles'!U24+'FS Seychelles'!V24+'FS Seychelles'!W24</f>
        <v>433</v>
      </c>
      <c r="J23" s="11">
        <f t="shared" si="2"/>
        <v>0</v>
      </c>
      <c r="K23" s="30">
        <f>'Submetering '!Z23</f>
        <v>114</v>
      </c>
      <c r="L23" s="11">
        <f t="shared" si="2"/>
        <v>0</v>
      </c>
      <c r="M23" s="75">
        <f>'FS Seychelles'!B24</f>
        <v>5.26</v>
      </c>
    </row>
    <row r="24" spans="1:13" s="15" customFormat="1" x14ac:dyDescent="0.25">
      <c r="A24" s="1" t="s">
        <v>13</v>
      </c>
      <c r="B24" s="14">
        <f t="shared" si="0"/>
        <v>23</v>
      </c>
      <c r="C24" s="11">
        <v>1</v>
      </c>
      <c r="D24" s="1">
        <v>2021</v>
      </c>
      <c r="E24" s="12">
        <f>'Submetering '!O24+'Submetering '!P24+'Submetering '!Q24+'Submetering '!R24+'Submetering '!S24</f>
        <v>23879</v>
      </c>
      <c r="F24" s="11">
        <f>('FS Seychelles'!Q25*'FS Seychelles'!R25)/TOTAL!E24</f>
        <v>0.24057540097994051</v>
      </c>
      <c r="G24" s="12">
        <f>('FS Seychelles'!$AB$9+'FS Seychelles'!$AB$15)/31</f>
        <v>144.74193548387098</v>
      </c>
      <c r="H24" s="11">
        <f t="shared" si="1"/>
        <v>18.899999999999999</v>
      </c>
      <c r="I24" s="12">
        <f>'FS Seychelles'!S25+'FS Seychelles'!U25+'FS Seychelles'!V25+'FS Seychelles'!W25</f>
        <v>451</v>
      </c>
      <c r="J24" s="11">
        <f t="shared" si="2"/>
        <v>0</v>
      </c>
      <c r="K24" s="30">
        <f>'Submetering '!Z24</f>
        <v>118</v>
      </c>
      <c r="L24" s="11">
        <f t="shared" si="2"/>
        <v>0</v>
      </c>
      <c r="M24" s="75">
        <f>'FS Seychelles'!B25</f>
        <v>3.95</v>
      </c>
    </row>
    <row r="25" spans="1:13" s="15" customFormat="1" x14ac:dyDescent="0.25">
      <c r="A25" s="1" t="s">
        <v>13</v>
      </c>
      <c r="B25" s="14">
        <f t="shared" si="0"/>
        <v>24</v>
      </c>
      <c r="C25" s="11">
        <v>1</v>
      </c>
      <c r="D25" s="1">
        <v>2021</v>
      </c>
      <c r="E25" s="12">
        <f>'Submetering '!O25+'Submetering '!P25+'Submetering '!Q25+'Submetering '!R25+'Submetering '!S25</f>
        <v>21674</v>
      </c>
      <c r="F25" s="11">
        <f>('FS Seychelles'!Q26*'FS Seychelles'!R26)/TOTAL!E25</f>
        <v>0.25616406754636895</v>
      </c>
      <c r="G25" s="12">
        <f>('FS Seychelles'!$AB$9+'FS Seychelles'!$AB$15)/31</f>
        <v>144.74193548387098</v>
      </c>
      <c r="H25" s="11">
        <f t="shared" si="1"/>
        <v>18.899999999999999</v>
      </c>
      <c r="I25" s="12">
        <f>'FS Seychelles'!S26+'FS Seychelles'!U26+'FS Seychelles'!V26+'FS Seychelles'!W26</f>
        <v>358</v>
      </c>
      <c r="J25" s="11">
        <f t="shared" si="2"/>
        <v>0</v>
      </c>
      <c r="K25" s="30">
        <f>'Submetering '!Z25</f>
        <v>82</v>
      </c>
      <c r="L25" s="11">
        <f t="shared" si="2"/>
        <v>0</v>
      </c>
      <c r="M25" s="75">
        <f>'FS Seychelles'!B26</f>
        <v>3.95</v>
      </c>
    </row>
    <row r="26" spans="1:13" s="15" customFormat="1" x14ac:dyDescent="0.25">
      <c r="A26" s="1" t="s">
        <v>13</v>
      </c>
      <c r="B26" s="14">
        <f>B25+1</f>
        <v>25</v>
      </c>
      <c r="C26" s="11">
        <v>1</v>
      </c>
      <c r="D26" s="1">
        <v>2021</v>
      </c>
      <c r="E26" s="12">
        <f>'Submetering '!O26+'Submetering '!P26+'Submetering '!Q26+'Submetering '!R26+'Submetering '!S26</f>
        <v>20442</v>
      </c>
      <c r="F26" s="11">
        <f>('FS Seychelles'!Q27*'FS Seychelles'!R27)/TOTAL!E26</f>
        <v>0.25760199589081306</v>
      </c>
      <c r="G26" s="12">
        <f>('FS Seychelles'!$AB$9+'FS Seychelles'!$AB$15)/31</f>
        <v>144.74193548387098</v>
      </c>
      <c r="H26" s="11">
        <f t="shared" si="1"/>
        <v>18.899999999999999</v>
      </c>
      <c r="I26" s="12">
        <f>'FS Seychelles'!S27+'FS Seychelles'!U27+'FS Seychelles'!V27+'FS Seychelles'!W27</f>
        <v>425</v>
      </c>
      <c r="J26" s="11">
        <f t="shared" si="2"/>
        <v>0</v>
      </c>
      <c r="K26" s="30">
        <f>'Submetering '!Z26</f>
        <v>87</v>
      </c>
      <c r="L26" s="11">
        <f t="shared" si="2"/>
        <v>0</v>
      </c>
      <c r="M26" s="75">
        <f>'FS Seychelles'!B27</f>
        <v>5.26</v>
      </c>
    </row>
    <row r="27" spans="1:13" s="15" customFormat="1" x14ac:dyDescent="0.25">
      <c r="A27" s="1" t="s">
        <v>13</v>
      </c>
      <c r="B27" s="14">
        <f t="shared" si="0"/>
        <v>26</v>
      </c>
      <c r="C27" s="11">
        <v>1</v>
      </c>
      <c r="D27" s="1">
        <v>2021</v>
      </c>
      <c r="E27" s="12">
        <f>'Submetering '!O27+'Submetering '!P27+'Submetering '!Q27+'Submetering '!R27+'Submetering '!S27</f>
        <v>28390</v>
      </c>
      <c r="F27" s="11">
        <f>('FS Seychelles'!Q28*'FS Seychelles'!R28)/TOTAL!E27</f>
        <v>0.24730186685452626</v>
      </c>
      <c r="G27" s="12">
        <f>('FS Seychelles'!$AB$9+'FS Seychelles'!$AB$15)/31</f>
        <v>144.74193548387098</v>
      </c>
      <c r="H27" s="11">
        <f t="shared" si="1"/>
        <v>18.899999999999999</v>
      </c>
      <c r="I27" s="12">
        <f>'FS Seychelles'!S28+'FS Seychelles'!U28+'FS Seychelles'!V28+'FS Seychelles'!W28</f>
        <v>451</v>
      </c>
      <c r="J27" s="11">
        <f t="shared" si="2"/>
        <v>0</v>
      </c>
      <c r="K27" s="30">
        <f>'Submetering '!Z27</f>
        <v>123</v>
      </c>
      <c r="L27" s="11">
        <f t="shared" si="2"/>
        <v>0</v>
      </c>
      <c r="M27" s="75">
        <f>'FS Seychelles'!B28</f>
        <v>5.26</v>
      </c>
    </row>
    <row r="28" spans="1:13" s="15" customFormat="1" x14ac:dyDescent="0.25">
      <c r="A28" s="1" t="s">
        <v>13</v>
      </c>
      <c r="B28" s="14">
        <f t="shared" si="0"/>
        <v>27</v>
      </c>
      <c r="C28" s="11">
        <v>1</v>
      </c>
      <c r="D28" s="1">
        <v>2021</v>
      </c>
      <c r="E28" s="12">
        <f>'Submetering '!O28+'Submetering '!P28+'Submetering '!Q28+'Submetering '!R28+'Submetering '!S28</f>
        <v>22874</v>
      </c>
      <c r="F28" s="11">
        <f>('FS Seychelles'!Q29*'FS Seychelles'!R29)/TOTAL!E28</f>
        <v>0.25216840080440678</v>
      </c>
      <c r="G28" s="12">
        <f>('FS Seychelles'!$AB$9+'FS Seychelles'!$AB$15)/31</f>
        <v>144.74193548387098</v>
      </c>
      <c r="H28" s="11">
        <f t="shared" si="1"/>
        <v>18.899999999999999</v>
      </c>
      <c r="I28" s="12">
        <f>'FS Seychelles'!S29+'FS Seychelles'!U29+'FS Seychelles'!V29+'FS Seychelles'!W29</f>
        <v>420</v>
      </c>
      <c r="J28" s="11">
        <f t="shared" si="2"/>
        <v>0</v>
      </c>
      <c r="K28" s="30">
        <f>'Submetering '!Z28</f>
        <v>83</v>
      </c>
      <c r="L28" s="11">
        <f t="shared" si="2"/>
        <v>0</v>
      </c>
      <c r="M28" s="75">
        <f>'FS Seychelles'!B29</f>
        <v>20.97</v>
      </c>
    </row>
    <row r="29" spans="1:13" s="15" customFormat="1" x14ac:dyDescent="0.25">
      <c r="A29" s="1" t="s">
        <v>13</v>
      </c>
      <c r="B29" s="14">
        <f t="shared" si="0"/>
        <v>28</v>
      </c>
      <c r="C29" s="11">
        <v>1</v>
      </c>
      <c r="D29" s="1">
        <v>2021</v>
      </c>
      <c r="E29" s="12">
        <f>'Submetering '!O29+'Submetering '!P29+'Submetering '!Q29+'Submetering '!R29+'Submetering '!S29</f>
        <v>25758</v>
      </c>
      <c r="F29" s="11">
        <f>('FS Seychelles'!Q30*'FS Seychelles'!R30)/TOTAL!E29</f>
        <v>0.25366876310272535</v>
      </c>
      <c r="G29" s="12">
        <f>('FS Seychelles'!$AB$9+'FS Seychelles'!$AB$15)/31</f>
        <v>144.74193548387098</v>
      </c>
      <c r="H29" s="11">
        <f t="shared" si="1"/>
        <v>18.899999999999999</v>
      </c>
      <c r="I29" s="12">
        <f>'FS Seychelles'!S30+'FS Seychelles'!U30+'FS Seychelles'!V30+'FS Seychelles'!W30</f>
        <v>452</v>
      </c>
      <c r="J29" s="11">
        <f t="shared" si="2"/>
        <v>0</v>
      </c>
      <c r="K29" s="30">
        <f>'Submetering '!Z29</f>
        <v>113</v>
      </c>
      <c r="L29" s="11">
        <f t="shared" si="2"/>
        <v>0</v>
      </c>
      <c r="M29" s="75">
        <f>'FS Seychelles'!B30</f>
        <v>27.42</v>
      </c>
    </row>
    <row r="30" spans="1:13" s="15" customFormat="1" x14ac:dyDescent="0.25">
      <c r="A30" s="1" t="s">
        <v>13</v>
      </c>
      <c r="B30" s="14">
        <f t="shared" si="0"/>
        <v>29</v>
      </c>
      <c r="C30" s="11">
        <v>1</v>
      </c>
      <c r="D30" s="1">
        <v>2021</v>
      </c>
      <c r="E30" s="12">
        <f>'Submetering '!O30+'Submetering '!P30+'Submetering '!Q30+'Submetering '!R30+'Submetering '!S30</f>
        <v>34544</v>
      </c>
      <c r="F30" s="11">
        <f>('FS Seychelles'!Q31*'FS Seychelles'!R31)/TOTAL!E30</f>
        <v>0.24493110236220472</v>
      </c>
      <c r="G30" s="12">
        <f>('FS Seychelles'!$AB$9+'FS Seychelles'!$AB$15)/31</f>
        <v>144.74193548387098</v>
      </c>
      <c r="H30" s="11">
        <f t="shared" si="1"/>
        <v>18.899999999999999</v>
      </c>
      <c r="I30" s="12">
        <f>'FS Seychelles'!S31+'FS Seychelles'!U31+'FS Seychelles'!V31+'FS Seychelles'!W31</f>
        <v>440</v>
      </c>
      <c r="J30" s="11">
        <f t="shared" si="2"/>
        <v>0</v>
      </c>
      <c r="K30" s="30">
        <f>'Submetering '!Z30</f>
        <v>71</v>
      </c>
      <c r="L30" s="11">
        <f t="shared" si="2"/>
        <v>0</v>
      </c>
      <c r="M30" s="75">
        <f>'FS Seychelles'!B31</f>
        <v>29.03</v>
      </c>
    </row>
    <row r="31" spans="1:13" s="13" customFormat="1" x14ac:dyDescent="0.25">
      <c r="A31" s="1" t="s">
        <v>13</v>
      </c>
      <c r="B31" s="14">
        <f t="shared" si="0"/>
        <v>30</v>
      </c>
      <c r="C31" s="11">
        <v>1</v>
      </c>
      <c r="D31" s="1">
        <v>2021</v>
      </c>
      <c r="E31" s="12">
        <f>'Submetering '!O31+'Submetering '!P31+'Submetering '!Q31+'Submetering '!R31+'Submetering '!S31</f>
        <v>18378</v>
      </c>
      <c r="F31" s="11">
        <f>('FS Seychelles'!Q32*'FS Seychelles'!R32)/TOTAL!E31</f>
        <v>0.23898139079333985</v>
      </c>
      <c r="G31" s="12">
        <f>('FS Seychelles'!$AB$9+'FS Seychelles'!$AB$15)/31</f>
        <v>144.74193548387098</v>
      </c>
      <c r="H31" s="11">
        <f t="shared" si="1"/>
        <v>18.899999999999999</v>
      </c>
      <c r="I31" s="12">
        <f>'FS Seychelles'!S32+'FS Seychelles'!U32+'FS Seychelles'!V32+'FS Seychelles'!W32</f>
        <v>445</v>
      </c>
      <c r="J31" s="11">
        <f t="shared" si="2"/>
        <v>0</v>
      </c>
      <c r="K31" s="30">
        <f>'Submetering '!Z31</f>
        <v>64</v>
      </c>
      <c r="L31" s="11">
        <f t="shared" si="2"/>
        <v>0</v>
      </c>
      <c r="M31" s="75">
        <f>'FS Seychelles'!B32</f>
        <v>29.03</v>
      </c>
    </row>
    <row r="32" spans="1:13" x14ac:dyDescent="0.25">
      <c r="A32" s="1" t="s">
        <v>13</v>
      </c>
      <c r="B32" s="14">
        <f t="shared" si="0"/>
        <v>31</v>
      </c>
      <c r="C32" s="11">
        <v>1</v>
      </c>
      <c r="D32" s="1">
        <v>2021</v>
      </c>
      <c r="E32" s="12">
        <f>'Submetering '!O32+'Submetering '!P32+'Submetering '!Q32+'Submetering '!R32+'Submetering '!S32</f>
        <v>25219</v>
      </c>
      <c r="F32" s="11">
        <f>('FS Seychelles'!Q33*'FS Seychelles'!R33)/TOTAL!E32</f>
        <v>0.25466513343114322</v>
      </c>
      <c r="G32" s="12">
        <f>('FS Seychelles'!$AB$9+'FS Seychelles'!$AB$15)/31</f>
        <v>144.74193548387098</v>
      </c>
      <c r="H32" s="11">
        <f t="shared" si="1"/>
        <v>18.899999999999999</v>
      </c>
      <c r="I32" s="12">
        <f>'FS Seychelles'!S33+'FS Seychelles'!U33+'FS Seychelles'!V33+'FS Seychelles'!W33</f>
        <v>364</v>
      </c>
      <c r="J32" s="11">
        <f t="shared" si="2"/>
        <v>0</v>
      </c>
      <c r="K32" s="30">
        <f>'Submetering '!Z32</f>
        <v>115</v>
      </c>
      <c r="L32" s="11">
        <f t="shared" si="2"/>
        <v>0</v>
      </c>
      <c r="M32" s="75">
        <f>'FS Seychelles'!B33</f>
        <v>26.98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5"/>
  <sheetViews>
    <sheetView workbookViewId="0">
      <selection activeCell="D2" sqref="D2"/>
    </sheetView>
  </sheetViews>
  <sheetFormatPr defaultColWidth="11.5703125" defaultRowHeight="15" x14ac:dyDescent="0.25"/>
  <cols>
    <col min="1" max="1" width="22.28515625" style="27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2" width="12.5703125" style="18" customWidth="1"/>
    <col min="23" max="28" width="16.5703125" style="18" customWidth="1"/>
  </cols>
  <sheetData>
    <row r="1" spans="1:28" s="9" customFormat="1" ht="30" x14ac:dyDescent="0.25">
      <c r="A1" s="28" t="s">
        <v>0</v>
      </c>
      <c r="B1" s="25" t="s">
        <v>1</v>
      </c>
      <c r="C1" s="25" t="s">
        <v>2</v>
      </c>
      <c r="D1" s="25" t="s">
        <v>3</v>
      </c>
      <c r="E1" s="26" t="s">
        <v>14</v>
      </c>
      <c r="F1" s="26" t="s">
        <v>15</v>
      </c>
      <c r="G1" s="26" t="s">
        <v>16</v>
      </c>
      <c r="H1" s="26" t="s">
        <v>17</v>
      </c>
      <c r="I1" s="26" t="s">
        <v>18</v>
      </c>
      <c r="J1" s="26" t="s">
        <v>19</v>
      </c>
      <c r="K1" s="26" t="s">
        <v>20</v>
      </c>
      <c r="L1" s="26" t="s">
        <v>21</v>
      </c>
      <c r="M1" s="26" t="s">
        <v>22</v>
      </c>
      <c r="N1" s="26" t="s">
        <v>23</v>
      </c>
      <c r="O1" s="26" t="s">
        <v>24</v>
      </c>
      <c r="P1" s="26" t="s">
        <v>25</v>
      </c>
      <c r="Q1" s="26" t="s">
        <v>26</v>
      </c>
      <c r="R1" s="26" t="s">
        <v>27</v>
      </c>
      <c r="S1" s="26" t="s">
        <v>28</v>
      </c>
      <c r="T1" s="26" t="s">
        <v>29</v>
      </c>
      <c r="U1" s="26" t="s">
        <v>30</v>
      </c>
      <c r="V1" s="26" t="s">
        <v>31</v>
      </c>
      <c r="W1" s="26" t="s">
        <v>32</v>
      </c>
      <c r="X1" s="26" t="s">
        <v>33</v>
      </c>
      <c r="Y1" s="26" t="s">
        <v>34</v>
      </c>
      <c r="Z1" s="26" t="s">
        <v>35</v>
      </c>
      <c r="AA1" s="26" t="s">
        <v>36</v>
      </c>
      <c r="AB1" s="26" t="s">
        <v>37</v>
      </c>
    </row>
    <row r="2" spans="1:28" x14ac:dyDescent="0.25">
      <c r="A2" s="1" t="s">
        <v>13</v>
      </c>
      <c r="B2" s="11">
        <v>1</v>
      </c>
      <c r="C2" s="11">
        <v>1</v>
      </c>
      <c r="D2" s="11">
        <v>2021</v>
      </c>
      <c r="E2" s="18">
        <f>'FS Seychelles'!B3</f>
        <v>20.29</v>
      </c>
      <c r="F2" s="18">
        <f>'FS Seychelles'!C3*1000</f>
        <v>2280.192</v>
      </c>
      <c r="G2" s="18">
        <f>'FS Seychelles'!D3*1000</f>
        <v>4297.2159999999994</v>
      </c>
      <c r="H2" s="18">
        <f>'FS Seychelles'!E3*1000</f>
        <v>4311.5519999999997</v>
      </c>
      <c r="I2" s="18">
        <f>'FS Seychelles'!F3*1000</f>
        <v>1755.904</v>
      </c>
      <c r="J2" s="18">
        <f>'FS Seychelles'!G3*1000</f>
        <v>2534.6559999999999</v>
      </c>
      <c r="K2" s="18">
        <f>'FS Seychelles'!H3*1000</f>
        <v>584</v>
      </c>
      <c r="L2" s="18">
        <f>'FS Seychelles'!I3*1000</f>
        <v>1348.2240000000002</v>
      </c>
      <c r="M2" s="18">
        <f>'FS Seychelles'!J3*1000</f>
        <v>1210.3680000000002</v>
      </c>
      <c r="N2" s="18">
        <f>'FS Seychelles'!K3*1000</f>
        <v>3289.6</v>
      </c>
      <c r="O2" s="18">
        <f>'FS Seychelles'!L3</f>
        <v>4264</v>
      </c>
      <c r="P2" s="18">
        <f>'FS Seychelles'!M3</f>
        <v>7608</v>
      </c>
      <c r="Q2" s="18">
        <f>'FS Seychelles'!N3</f>
        <v>7644</v>
      </c>
      <c r="R2" s="18">
        <f>'FS Seychelles'!O3</f>
        <v>4225</v>
      </c>
      <c r="S2" s="18">
        <f>'FS Seychelles'!P3</f>
        <v>0</v>
      </c>
      <c r="T2" s="18">
        <f>'FS Seychelles'!Q3</f>
        <v>6624</v>
      </c>
      <c r="U2" s="18">
        <f>'FS Seychelles'!S3</f>
        <v>30</v>
      </c>
      <c r="V2" s="18">
        <f>'FS Seychelles'!T3</f>
        <v>22</v>
      </c>
      <c r="W2" s="18">
        <f>'FS Seychelles'!U3</f>
        <v>101</v>
      </c>
      <c r="X2" s="18">
        <f>'FS Seychelles'!V3</f>
        <v>139</v>
      </c>
      <c r="Y2" s="18">
        <f>'FS Seychelles'!W3</f>
        <v>131</v>
      </c>
      <c r="Z2" s="18">
        <f>'FS Seychelles'!X3</f>
        <v>62</v>
      </c>
      <c r="AA2" s="18">
        <f>'FS Seychelles'!Y3</f>
        <v>0</v>
      </c>
      <c r="AB2" s="18">
        <f>('FS Seychelles'!AB9+'FS Seychelles'!AB15)/30</f>
        <v>149.56666666666666</v>
      </c>
    </row>
    <row r="3" spans="1:28" x14ac:dyDescent="0.25">
      <c r="A3" s="1" t="s">
        <v>13</v>
      </c>
      <c r="B3" s="11">
        <f>B2+1</f>
        <v>2</v>
      </c>
      <c r="C3" s="11">
        <v>1</v>
      </c>
      <c r="D3" s="11">
        <v>2021</v>
      </c>
      <c r="E3" s="18">
        <f>'FS Seychelles'!B4</f>
        <v>19.11</v>
      </c>
      <c r="F3" s="18">
        <f>'FS Seychelles'!C4*1000</f>
        <v>2533.12</v>
      </c>
      <c r="G3" s="18">
        <f>'FS Seychelles'!D4*1000</f>
        <v>4553.7280000000001</v>
      </c>
      <c r="H3" s="18">
        <f>'FS Seychelles'!E4*1000</f>
        <v>4253.6959999999999</v>
      </c>
      <c r="I3" s="18">
        <f>'FS Seychelles'!F4*1000</f>
        <v>1822.7199999999998</v>
      </c>
      <c r="J3" s="18">
        <f>'FS Seychelles'!G4*1000</f>
        <v>2586.3679999999999</v>
      </c>
      <c r="K3" s="18">
        <f>'FS Seychelles'!H4*1000</f>
        <v>598.27200000000005</v>
      </c>
      <c r="L3" s="18">
        <f>'FS Seychelles'!I4*1000</f>
        <v>1221.8880000000001</v>
      </c>
      <c r="M3" s="18">
        <f>'FS Seychelles'!J4*1000</f>
        <v>1553.4079999999999</v>
      </c>
      <c r="N3" s="18">
        <f>'FS Seychelles'!K4*1000</f>
        <v>3111.1680000000001</v>
      </c>
      <c r="O3" s="18">
        <f>'FS Seychelles'!L4</f>
        <v>8655</v>
      </c>
      <c r="P3" s="18">
        <f>'FS Seychelles'!M4</f>
        <v>4239</v>
      </c>
      <c r="Q3" s="18">
        <f>'FS Seychelles'!N4</f>
        <v>3939</v>
      </c>
      <c r="R3" s="18">
        <f>'FS Seychelles'!O4</f>
        <v>8305</v>
      </c>
      <c r="S3" s="18">
        <f>'FS Seychelles'!P4</f>
        <v>0</v>
      </c>
      <c r="T3" s="18">
        <f>'FS Seychelles'!Q4</f>
        <v>7080</v>
      </c>
      <c r="U3" s="18">
        <f>'FS Seychelles'!S4</f>
        <v>30</v>
      </c>
      <c r="V3" s="18">
        <f>'FS Seychelles'!T4</f>
        <v>35</v>
      </c>
      <c r="W3" s="18">
        <f>'FS Seychelles'!U4</f>
        <v>118</v>
      </c>
      <c r="X3" s="18">
        <f>'FS Seychelles'!V4</f>
        <v>142</v>
      </c>
      <c r="Y3" s="18">
        <f>'FS Seychelles'!W4</f>
        <v>92</v>
      </c>
      <c r="Z3" s="18">
        <f>'FS Seychelles'!X4</f>
        <v>0</v>
      </c>
      <c r="AA3" s="18">
        <f>'FS Seychelles'!Y4</f>
        <v>0</v>
      </c>
      <c r="AB3" s="18">
        <f>('FS Seychelles'!AB10+'FS Seychelles'!AB16)/30</f>
        <v>0</v>
      </c>
    </row>
    <row r="4" spans="1:28" x14ac:dyDescent="0.25">
      <c r="A4" s="1" t="s">
        <v>13</v>
      </c>
      <c r="B4" s="11">
        <f t="shared" ref="B4:B32" si="0">B3+1</f>
        <v>3</v>
      </c>
      <c r="C4" s="11">
        <v>1</v>
      </c>
      <c r="D4" s="11">
        <v>2021</v>
      </c>
      <c r="E4" s="18">
        <f>'FS Seychelles'!B5</f>
        <v>24.62</v>
      </c>
      <c r="F4" s="18">
        <f>'FS Seychelles'!C5*1000</f>
        <v>2213.8879999999999</v>
      </c>
      <c r="G4" s="18">
        <f>'FS Seychelles'!D5*1000</f>
        <v>4024.8319999999999</v>
      </c>
      <c r="H4" s="18">
        <f>'FS Seychelles'!E5*1000</f>
        <v>4097.5360000000001</v>
      </c>
      <c r="I4" s="18">
        <f>'FS Seychelles'!F5*1000</f>
        <v>1423.8720000000001</v>
      </c>
      <c r="J4" s="18">
        <f>'FS Seychelles'!G5*1000</f>
        <v>2567.9360000000001</v>
      </c>
      <c r="K4" s="18">
        <f>'FS Seychelles'!H5*1000</f>
        <v>465.72799999999995</v>
      </c>
      <c r="L4" s="18">
        <f>'FS Seychelles'!I5*1000</f>
        <v>1275.6479999999999</v>
      </c>
      <c r="M4" s="18">
        <f>'FS Seychelles'!J5*1000</f>
        <v>1455.8720000000001</v>
      </c>
      <c r="N4" s="18">
        <f>'FS Seychelles'!K5*1000</f>
        <v>3302.9120000000003</v>
      </c>
      <c r="O4" s="18">
        <f>'FS Seychelles'!L5</f>
        <v>10730</v>
      </c>
      <c r="P4" s="18">
        <f>'FS Seychelles'!M5</f>
        <v>5684</v>
      </c>
      <c r="Q4" s="18">
        <f>'FS Seychelles'!N5</f>
        <v>2568</v>
      </c>
      <c r="R4" s="18">
        <f>'FS Seychelles'!O5</f>
        <v>3469</v>
      </c>
      <c r="S4" s="18">
        <f>'FS Seychelles'!P5</f>
        <v>0</v>
      </c>
      <c r="T4" s="18">
        <f>'FS Seychelles'!Q5</f>
        <v>6212</v>
      </c>
      <c r="U4" s="18">
        <f>'FS Seychelles'!S5</f>
        <v>29</v>
      </c>
      <c r="V4" s="18">
        <f>'FS Seychelles'!T5</f>
        <v>16</v>
      </c>
      <c r="W4" s="18">
        <f>'FS Seychelles'!U5</f>
        <v>116</v>
      </c>
      <c r="X4" s="18">
        <f>'FS Seychelles'!V5</f>
        <v>123</v>
      </c>
      <c r="Y4" s="18">
        <f>'FS Seychelles'!W5</f>
        <v>88</v>
      </c>
      <c r="Z4" s="18">
        <f>'FS Seychelles'!X5</f>
        <v>61</v>
      </c>
      <c r="AA4" s="18">
        <f>'FS Seychelles'!Y5</f>
        <v>0</v>
      </c>
      <c r="AB4" s="18">
        <f>('FS Seychelles'!AB11+'FS Seychelles'!AB17)/30</f>
        <v>0</v>
      </c>
    </row>
    <row r="5" spans="1:28" x14ac:dyDescent="0.25">
      <c r="A5" s="1" t="s">
        <v>13</v>
      </c>
      <c r="B5" s="11">
        <f t="shared" si="0"/>
        <v>4</v>
      </c>
      <c r="C5" s="11">
        <v>1</v>
      </c>
      <c r="D5" s="11">
        <v>2021</v>
      </c>
      <c r="E5" s="18">
        <f>'FS Seychelles'!B6</f>
        <v>25</v>
      </c>
      <c r="F5" s="18">
        <f>'FS Seychelles'!C6*1000</f>
        <v>2459.136</v>
      </c>
      <c r="G5" s="18">
        <f>'FS Seychelles'!D6*1000</f>
        <v>3898.88</v>
      </c>
      <c r="H5" s="18">
        <f>'FS Seychelles'!E6*1000</f>
        <v>4250.6239999999998</v>
      </c>
      <c r="I5" s="18">
        <f>'FS Seychelles'!F6*1000</f>
        <v>1501.952</v>
      </c>
      <c r="J5" s="18">
        <f>'FS Seychelles'!G6*1000</f>
        <v>2774.0160000000001</v>
      </c>
      <c r="K5" s="18">
        <f>'FS Seychelles'!H6*1000</f>
        <v>513.21600000000001</v>
      </c>
      <c r="L5" s="18">
        <f>'FS Seychelles'!I6*1000</f>
        <v>1297.4079999999999</v>
      </c>
      <c r="M5" s="18">
        <f>'FS Seychelles'!J6*1000</f>
        <v>1375.7440000000001</v>
      </c>
      <c r="N5" s="18">
        <f>'FS Seychelles'!K6*1000</f>
        <v>3359.232</v>
      </c>
      <c r="O5" s="18">
        <f>'FS Seychelles'!L6</f>
        <v>6826</v>
      </c>
      <c r="P5" s="18">
        <f>'FS Seychelles'!M6</f>
        <v>4159</v>
      </c>
      <c r="Q5" s="18">
        <f>'FS Seychelles'!N6</f>
        <v>6700</v>
      </c>
      <c r="R5" s="18">
        <f>'FS Seychelles'!O6</f>
        <v>5030</v>
      </c>
      <c r="S5" s="18">
        <f>'FS Seychelles'!P6</f>
        <v>0</v>
      </c>
      <c r="T5" s="18">
        <f>'FS Seychelles'!Q6</f>
        <v>6090</v>
      </c>
      <c r="U5" s="18">
        <f>'FS Seychelles'!S6</f>
        <v>25</v>
      </c>
      <c r="V5" s="18">
        <f>'FS Seychelles'!T6</f>
        <v>42</v>
      </c>
      <c r="W5" s="18">
        <f>'FS Seychelles'!U6</f>
        <v>96</v>
      </c>
      <c r="X5" s="18">
        <f>'FS Seychelles'!V6</f>
        <v>143</v>
      </c>
      <c r="Y5" s="18">
        <f>'FS Seychelles'!W6</f>
        <v>114</v>
      </c>
      <c r="Z5" s="18">
        <f>'FS Seychelles'!X6</f>
        <v>0</v>
      </c>
      <c r="AA5" s="18">
        <f>'FS Seychelles'!Y6</f>
        <v>0</v>
      </c>
      <c r="AB5" s="18">
        <f>('FS Seychelles'!AB12+'FS Seychelles'!AB18)/30</f>
        <v>0</v>
      </c>
    </row>
    <row r="6" spans="1:28" x14ac:dyDescent="0.25">
      <c r="A6" s="1" t="s">
        <v>13</v>
      </c>
      <c r="B6" s="11">
        <f t="shared" si="0"/>
        <v>5</v>
      </c>
      <c r="C6" s="11">
        <v>1</v>
      </c>
      <c r="D6" s="11">
        <v>2021</v>
      </c>
      <c r="E6" s="18">
        <f>'FS Seychelles'!B7</f>
        <v>21.54</v>
      </c>
      <c r="F6" s="18">
        <f>'FS Seychelles'!C7*1000</f>
        <v>2469.1200000000003</v>
      </c>
      <c r="G6" s="18">
        <f>'FS Seychelles'!D7*1000</f>
        <v>3898.3679999999999</v>
      </c>
      <c r="H6" s="18">
        <f>'FS Seychelles'!E7*1000</f>
        <v>4216.8320000000003</v>
      </c>
      <c r="I6" s="18">
        <f>'FS Seychelles'!F7*1000</f>
        <v>1552.64</v>
      </c>
      <c r="J6" s="18">
        <f>'FS Seychelles'!G7*1000</f>
        <v>2746.6240000000003</v>
      </c>
      <c r="K6" s="18">
        <f>'FS Seychelles'!H7*1000</f>
        <v>548.928</v>
      </c>
      <c r="L6" s="18">
        <f>'FS Seychelles'!I7*1000</f>
        <v>1287.6799999999998</v>
      </c>
      <c r="M6" s="18">
        <f>'FS Seychelles'!J7*1000</f>
        <v>1329.4079999999999</v>
      </c>
      <c r="N6" s="18">
        <f>'FS Seychelles'!K7*1000</f>
        <v>3249.6640000000002</v>
      </c>
      <c r="O6" s="18">
        <f>'FS Seychelles'!L7</f>
        <v>7419</v>
      </c>
      <c r="P6" s="18">
        <f>'FS Seychelles'!M7</f>
        <v>7942</v>
      </c>
      <c r="Q6" s="18">
        <f>'FS Seychelles'!N7</f>
        <v>0</v>
      </c>
      <c r="R6" s="18">
        <f>'FS Seychelles'!O7</f>
        <v>4789</v>
      </c>
      <c r="S6" s="18">
        <f>'FS Seychelles'!P7</f>
        <v>0</v>
      </c>
      <c r="T6" s="18">
        <f>'FS Seychelles'!Q7</f>
        <v>5405</v>
      </c>
      <c r="U6" s="18">
        <f>'FS Seychelles'!S7</f>
        <v>23</v>
      </c>
      <c r="V6" s="18">
        <f>'FS Seychelles'!T7</f>
        <v>25</v>
      </c>
      <c r="W6" s="18">
        <f>'FS Seychelles'!U7</f>
        <v>104</v>
      </c>
      <c r="X6" s="18">
        <f>'FS Seychelles'!V7</f>
        <v>174</v>
      </c>
      <c r="Y6" s="18">
        <f>'FS Seychelles'!W7</f>
        <v>96</v>
      </c>
      <c r="Z6" s="18">
        <f>'FS Seychelles'!X7</f>
        <v>0</v>
      </c>
      <c r="AA6" s="18">
        <f>'FS Seychelles'!Y7</f>
        <v>0</v>
      </c>
      <c r="AB6" s="18">
        <f>('FS Seychelles'!AB13+'FS Seychelles'!AB19)/30</f>
        <v>0</v>
      </c>
    </row>
    <row r="7" spans="1:28" x14ac:dyDescent="0.25">
      <c r="A7" s="1" t="s">
        <v>13</v>
      </c>
      <c r="B7" s="11">
        <f t="shared" si="0"/>
        <v>6</v>
      </c>
      <c r="C7" s="11">
        <v>1</v>
      </c>
      <c r="D7" s="11">
        <v>2021</v>
      </c>
      <c r="E7" s="18">
        <f>'FS Seychelles'!B8</f>
        <v>20.9</v>
      </c>
      <c r="F7" s="18">
        <f>'FS Seychelles'!C8*1000</f>
        <v>2689.7920000000004</v>
      </c>
      <c r="G7" s="18">
        <f>'FS Seychelles'!D8*1000</f>
        <v>3894.7840000000001</v>
      </c>
      <c r="H7" s="18">
        <f>'FS Seychelles'!E8*1000</f>
        <v>4158.4639999999999</v>
      </c>
      <c r="I7" s="18">
        <f>'FS Seychelles'!F8*1000</f>
        <v>1627.6479999999999</v>
      </c>
      <c r="J7" s="18">
        <f>'FS Seychelles'!G8*1000</f>
        <v>2646.2720000000004</v>
      </c>
      <c r="K7" s="18">
        <f>'FS Seychelles'!H8*1000</f>
        <v>620.41599999999994</v>
      </c>
      <c r="L7" s="18">
        <f>'FS Seychelles'!I8*1000</f>
        <v>1273.3440000000001</v>
      </c>
      <c r="M7" s="18">
        <f>'FS Seychelles'!J8*1000</f>
        <v>1353.7280000000001</v>
      </c>
      <c r="N7" s="18">
        <f>'FS Seychelles'!K8*1000</f>
        <v>3137.0239999999999</v>
      </c>
      <c r="O7" s="18">
        <f>'FS Seychelles'!L8</f>
        <v>7713</v>
      </c>
      <c r="P7" s="18">
        <f>'FS Seychelles'!M8</f>
        <v>8295</v>
      </c>
      <c r="Q7" s="18">
        <f>'FS Seychelles'!N8</f>
        <v>3793</v>
      </c>
      <c r="R7" s="18">
        <f>'FS Seychelles'!O8</f>
        <v>3954</v>
      </c>
      <c r="S7" s="18">
        <f>'FS Seychelles'!P8</f>
        <v>0</v>
      </c>
      <c r="T7" s="18">
        <f>'FS Seychelles'!Q8</f>
        <v>6405</v>
      </c>
      <c r="U7" s="18">
        <f>'FS Seychelles'!S8</f>
        <v>25</v>
      </c>
      <c r="V7" s="18">
        <f>'FS Seychelles'!T8</f>
        <v>1</v>
      </c>
      <c r="W7" s="18">
        <f>'FS Seychelles'!U8</f>
        <v>99</v>
      </c>
      <c r="X7" s="18">
        <f>'FS Seychelles'!V8</f>
        <v>138</v>
      </c>
      <c r="Y7" s="18">
        <f>'FS Seychelles'!W8</f>
        <v>99</v>
      </c>
      <c r="Z7" s="18">
        <f>'FS Seychelles'!X8</f>
        <v>0</v>
      </c>
      <c r="AA7" s="18">
        <f>'FS Seychelles'!Y8</f>
        <v>0</v>
      </c>
      <c r="AB7" s="18">
        <f>('FS Seychelles'!AB14+'FS Seychelles'!AB20)/30</f>
        <v>0</v>
      </c>
    </row>
    <row r="8" spans="1:28" x14ac:dyDescent="0.25">
      <c r="A8" s="1" t="s">
        <v>13</v>
      </c>
      <c r="B8" s="11">
        <f t="shared" si="0"/>
        <v>7</v>
      </c>
      <c r="C8" s="11">
        <v>1</v>
      </c>
      <c r="D8" s="11">
        <v>2021</v>
      </c>
      <c r="E8" s="18">
        <f>'FS Seychelles'!B9</f>
        <v>21.54</v>
      </c>
      <c r="F8" s="18">
        <f>'FS Seychelles'!C9*1000</f>
        <v>2704.384</v>
      </c>
      <c r="G8" s="18">
        <f>'FS Seychelles'!D9*1000</f>
        <v>3973.6319999999996</v>
      </c>
      <c r="H8" s="18">
        <f>'FS Seychelles'!E9*1000</f>
        <v>4146.1759999999995</v>
      </c>
      <c r="I8" s="18">
        <f>'FS Seychelles'!F9*1000</f>
        <v>1695.4880000000001</v>
      </c>
      <c r="J8" s="18">
        <f>'FS Seychelles'!G9*1000</f>
        <v>2727.9360000000001</v>
      </c>
      <c r="K8" s="18">
        <f>'FS Seychelles'!H9*1000</f>
        <v>602.55999999999995</v>
      </c>
      <c r="L8" s="18">
        <f>'FS Seychelles'!I9*1000</f>
        <v>1298.816</v>
      </c>
      <c r="M8" s="18">
        <f>'FS Seychelles'!J9*1000</f>
        <v>1299.712</v>
      </c>
      <c r="N8" s="18">
        <f>'FS Seychelles'!K9*1000</f>
        <v>3381.2479999999996</v>
      </c>
      <c r="O8" s="18">
        <f>'FS Seychelles'!L9</f>
        <v>6701</v>
      </c>
      <c r="P8" s="18">
        <f>'FS Seychelles'!M9</f>
        <v>3643</v>
      </c>
      <c r="Q8" s="18">
        <f>'FS Seychelles'!N9</f>
        <v>9404</v>
      </c>
      <c r="R8" s="18">
        <f>'FS Seychelles'!O9</f>
        <v>2569</v>
      </c>
      <c r="S8" s="18">
        <f>'FS Seychelles'!P9</f>
        <v>0</v>
      </c>
      <c r="T8" s="18">
        <f>'FS Seychelles'!Q9</f>
        <v>6055</v>
      </c>
      <c r="U8" s="18">
        <f>'FS Seychelles'!S9</f>
        <v>25</v>
      </c>
      <c r="V8" s="18">
        <f>'FS Seychelles'!T9</f>
        <v>21</v>
      </c>
      <c r="W8" s="18">
        <f>'FS Seychelles'!U9</f>
        <v>96</v>
      </c>
      <c r="X8" s="18">
        <f>'FS Seychelles'!V9</f>
        <v>154</v>
      </c>
      <c r="Y8" s="18">
        <f>'FS Seychelles'!W9</f>
        <v>87</v>
      </c>
      <c r="Z8" s="18">
        <f>'FS Seychelles'!X9</f>
        <v>0</v>
      </c>
      <c r="AA8" s="18">
        <f>'FS Seychelles'!Y9</f>
        <v>0</v>
      </c>
      <c r="AB8" s="18">
        <f>('FS Seychelles'!AB15+'FS Seychelles'!AB21)/30</f>
        <v>113.33333333333333</v>
      </c>
    </row>
    <row r="9" spans="1:28" x14ac:dyDescent="0.25">
      <c r="A9" s="1" t="s">
        <v>13</v>
      </c>
      <c r="B9" s="11">
        <f t="shared" si="0"/>
        <v>8</v>
      </c>
      <c r="C9" s="11">
        <v>1</v>
      </c>
      <c r="D9" s="11">
        <v>2021</v>
      </c>
      <c r="E9" s="18">
        <f>'FS Seychelles'!B10</f>
        <v>11.69</v>
      </c>
      <c r="F9" s="18">
        <f>'FS Seychelles'!C10*1000</f>
        <v>2548.9920000000002</v>
      </c>
      <c r="G9" s="18">
        <f>'FS Seychelles'!D10*1000</f>
        <v>3608.5759999999996</v>
      </c>
      <c r="H9" s="18">
        <f>'FS Seychelles'!E10*1000</f>
        <v>4001.7919999999999</v>
      </c>
      <c r="I9" s="18">
        <f>'FS Seychelles'!F10*1000</f>
        <v>1536.7679999999998</v>
      </c>
      <c r="J9" s="18">
        <f>'FS Seychelles'!G10*1000</f>
        <v>2455.5520000000001</v>
      </c>
      <c r="K9" s="18">
        <f>'FS Seychelles'!H10*1000</f>
        <v>638.46400000000006</v>
      </c>
      <c r="L9" s="18">
        <f>'FS Seychelles'!I10*1000</f>
        <v>1288.32</v>
      </c>
      <c r="M9" s="18">
        <f>'FS Seychelles'!J10*1000</f>
        <v>1239.808</v>
      </c>
      <c r="N9" s="18">
        <f>'FS Seychelles'!K10*1000</f>
        <v>3264.768</v>
      </c>
      <c r="O9" s="18">
        <f>'FS Seychelles'!L10</f>
        <v>7771</v>
      </c>
      <c r="P9" s="18">
        <f>'FS Seychelles'!M10</f>
        <v>15015</v>
      </c>
      <c r="Q9" s="18">
        <f>'FS Seychelles'!N10</f>
        <v>0</v>
      </c>
      <c r="R9" s="18">
        <f>'FS Seychelles'!O10</f>
        <v>0</v>
      </c>
      <c r="S9" s="18">
        <f>'FS Seychelles'!P10</f>
        <v>0</v>
      </c>
      <c r="T9" s="18">
        <f>'FS Seychelles'!Q10</f>
        <v>6120</v>
      </c>
      <c r="U9" s="18">
        <f>'FS Seychelles'!S10</f>
        <v>28</v>
      </c>
      <c r="V9" s="18">
        <f>'FS Seychelles'!T10</f>
        <v>51</v>
      </c>
      <c r="W9" s="18">
        <f>'FS Seychelles'!U10</f>
        <v>104</v>
      </c>
      <c r="X9" s="18">
        <f>'FS Seychelles'!V10</f>
        <v>166</v>
      </c>
      <c r="Y9" s="18">
        <f>'FS Seychelles'!W10</f>
        <v>109</v>
      </c>
      <c r="Z9" s="18">
        <f>'FS Seychelles'!X10</f>
        <v>136</v>
      </c>
      <c r="AA9" s="18">
        <f>'FS Seychelles'!Y10</f>
        <v>0</v>
      </c>
      <c r="AB9" s="18">
        <f>('FS Seychelles'!AB16+'FS Seychelles'!AB22)/30</f>
        <v>0</v>
      </c>
    </row>
    <row r="10" spans="1:28" x14ac:dyDescent="0.25">
      <c r="A10" s="1" t="s">
        <v>13</v>
      </c>
      <c r="B10" s="11">
        <f t="shared" si="0"/>
        <v>9</v>
      </c>
      <c r="C10" s="11">
        <v>1</v>
      </c>
      <c r="D10" s="11">
        <v>2021</v>
      </c>
      <c r="E10" s="18">
        <f>'FS Seychelles'!B11</f>
        <v>11.69</v>
      </c>
      <c r="F10" s="18">
        <f>'FS Seychelles'!C11*1000</f>
        <v>2401.7919999999999</v>
      </c>
      <c r="G10" s="18">
        <f>'FS Seychelles'!D11*1000</f>
        <v>3430.9120000000003</v>
      </c>
      <c r="H10" s="18">
        <f>'FS Seychelles'!E11*1000</f>
        <v>3932.672</v>
      </c>
      <c r="I10" s="18">
        <f>'FS Seychelles'!F11*1000</f>
        <v>1369.0880000000002</v>
      </c>
      <c r="J10" s="18">
        <f>'FS Seychelles'!G11*1000</f>
        <v>2188.5439999999999</v>
      </c>
      <c r="K10" s="18">
        <f>'FS Seychelles'!H11*1000</f>
        <v>619.52</v>
      </c>
      <c r="L10" s="18">
        <f>'FS Seychelles'!I11*1000</f>
        <v>1181.952</v>
      </c>
      <c r="M10" s="18">
        <f>'FS Seychelles'!J11*1000</f>
        <v>1265.9199999999998</v>
      </c>
      <c r="N10" s="18">
        <f>'FS Seychelles'!K11*1000</f>
        <v>2956.5439999999999</v>
      </c>
      <c r="O10" s="18">
        <f>'FS Seychelles'!L11</f>
        <v>7872</v>
      </c>
      <c r="P10" s="18">
        <f>'FS Seychelles'!M11</f>
        <v>2865</v>
      </c>
      <c r="Q10" s="18">
        <f>'FS Seychelles'!N11</f>
        <v>0</v>
      </c>
      <c r="R10" s="18">
        <f>'FS Seychelles'!O11</f>
        <v>6566</v>
      </c>
      <c r="S10" s="18">
        <f>'FS Seychelles'!P11</f>
        <v>0</v>
      </c>
      <c r="T10" s="18">
        <f>'FS Seychelles'!Q11</f>
        <v>4769</v>
      </c>
      <c r="U10" s="18">
        <f>'FS Seychelles'!S11</f>
        <v>25</v>
      </c>
      <c r="V10" s="18">
        <f>'FS Seychelles'!T11</f>
        <v>0</v>
      </c>
      <c r="W10" s="18">
        <f>'FS Seychelles'!U11</f>
        <v>112</v>
      </c>
      <c r="X10" s="18">
        <f>'FS Seychelles'!V11</f>
        <v>152</v>
      </c>
      <c r="Y10" s="18">
        <f>'FS Seychelles'!W11</f>
        <v>111</v>
      </c>
      <c r="Z10" s="18">
        <f>'FS Seychelles'!X11</f>
        <v>6</v>
      </c>
      <c r="AA10" s="18">
        <f>'FS Seychelles'!Y11</f>
        <v>0</v>
      </c>
      <c r="AB10" s="18">
        <f>('FS Seychelles'!AB17+'FS Seychelles'!AB23)/30</f>
        <v>0</v>
      </c>
    </row>
    <row r="11" spans="1:28" x14ac:dyDescent="0.25">
      <c r="A11" s="1" t="s">
        <v>13</v>
      </c>
      <c r="B11" s="11">
        <f t="shared" si="0"/>
        <v>10</v>
      </c>
      <c r="C11" s="11">
        <v>1</v>
      </c>
      <c r="D11" s="11">
        <v>2021</v>
      </c>
      <c r="E11" s="18">
        <f>'FS Seychelles'!B12</f>
        <v>11.69</v>
      </c>
      <c r="F11" s="18">
        <f>'FS Seychelles'!C12*1000</f>
        <v>2820.3520000000003</v>
      </c>
      <c r="G11" s="18">
        <f>'FS Seychelles'!D12*1000</f>
        <v>3848.7040000000002</v>
      </c>
      <c r="H11" s="18">
        <f>'FS Seychelles'!E12*1000</f>
        <v>3998.7200000000003</v>
      </c>
      <c r="I11" s="18">
        <f>'FS Seychelles'!F12*1000</f>
        <v>1503.4879999999998</v>
      </c>
      <c r="J11" s="18">
        <f>'FS Seychelles'!G12*1000</f>
        <v>2397.9520000000002</v>
      </c>
      <c r="K11" s="18">
        <f>'FS Seychelles'!H12*1000</f>
        <v>790.52800000000002</v>
      </c>
      <c r="L11" s="18">
        <f>'FS Seychelles'!I12*1000</f>
        <v>1260.4159999999999</v>
      </c>
      <c r="M11" s="18">
        <f>'FS Seychelles'!J12*1000</f>
        <v>1267.4559999999999</v>
      </c>
      <c r="N11" s="18">
        <f>'FS Seychelles'!K12*1000</f>
        <v>3083.7759999999998</v>
      </c>
      <c r="O11" s="18">
        <f>'FS Seychelles'!L12</f>
        <v>8326</v>
      </c>
      <c r="P11" s="18">
        <f>'FS Seychelles'!M12</f>
        <v>4539</v>
      </c>
      <c r="Q11" s="18">
        <f>'FS Seychelles'!N12</f>
        <v>3671</v>
      </c>
      <c r="R11" s="18">
        <f>'FS Seychelles'!O12</f>
        <v>6739</v>
      </c>
      <c r="S11" s="18">
        <f>'FS Seychelles'!P12</f>
        <v>0</v>
      </c>
      <c r="T11" s="18">
        <f>'FS Seychelles'!Q12</f>
        <v>6534</v>
      </c>
      <c r="U11" s="18">
        <f>'FS Seychelles'!S12</f>
        <v>26</v>
      </c>
      <c r="V11" s="18">
        <f>'FS Seychelles'!T12</f>
        <v>44</v>
      </c>
      <c r="W11" s="18">
        <f>'FS Seychelles'!U12</f>
        <v>119</v>
      </c>
      <c r="X11" s="18">
        <f>'FS Seychelles'!V12</f>
        <v>171</v>
      </c>
      <c r="Y11" s="18">
        <f>'FS Seychelles'!W12</f>
        <v>107</v>
      </c>
      <c r="Z11" s="18">
        <f>'FS Seychelles'!X12</f>
        <v>0</v>
      </c>
      <c r="AA11" s="18">
        <f>'FS Seychelles'!Y12</f>
        <v>0</v>
      </c>
      <c r="AB11" s="18">
        <f>('FS Seychelles'!AB18+'FS Seychelles'!AB24)/30</f>
        <v>0</v>
      </c>
    </row>
    <row r="12" spans="1:28" x14ac:dyDescent="0.25">
      <c r="A12" s="1" t="s">
        <v>13</v>
      </c>
      <c r="B12" s="11">
        <f t="shared" si="0"/>
        <v>11</v>
      </c>
      <c r="C12" s="11">
        <v>1</v>
      </c>
      <c r="D12" s="11">
        <v>2021</v>
      </c>
      <c r="E12" s="18">
        <f>'FS Seychelles'!B13</f>
        <v>11.69</v>
      </c>
      <c r="F12" s="18">
        <f>'FS Seychelles'!C13*1000</f>
        <v>2753.28</v>
      </c>
      <c r="G12" s="18">
        <f>'FS Seychelles'!D13*1000</f>
        <v>3826.6879999999996</v>
      </c>
      <c r="H12" s="18">
        <f>'FS Seychelles'!E13*1000</f>
        <v>4165.6319999999996</v>
      </c>
      <c r="I12" s="18">
        <f>'FS Seychelles'!F13*1000</f>
        <v>1614.336</v>
      </c>
      <c r="J12" s="18">
        <f>'FS Seychelles'!G13*1000</f>
        <v>2428.4159999999997</v>
      </c>
      <c r="K12" s="18">
        <f>'FS Seychelles'!H13*1000</f>
        <v>854.78399999999999</v>
      </c>
      <c r="L12" s="18">
        <f>'FS Seychelles'!I13*1000</f>
        <v>1117.44</v>
      </c>
      <c r="M12" s="18">
        <f>'FS Seychelles'!J13*1000</f>
        <v>1268.2239999999999</v>
      </c>
      <c r="N12" s="18">
        <f>'FS Seychelles'!K13*1000</f>
        <v>3121.4080000000004</v>
      </c>
      <c r="O12" s="18">
        <f>'FS Seychelles'!L13</f>
        <v>9039</v>
      </c>
      <c r="P12" s="18">
        <f>'FS Seychelles'!M13</f>
        <v>7216</v>
      </c>
      <c r="Q12" s="18">
        <f>'FS Seychelles'!N13</f>
        <v>7970</v>
      </c>
      <c r="R12" s="18">
        <f>'FS Seychelles'!O13</f>
        <v>0</v>
      </c>
      <c r="S12" s="18">
        <f>'FS Seychelles'!P13</f>
        <v>0</v>
      </c>
      <c r="T12" s="18">
        <f>'FS Seychelles'!Q13</f>
        <v>6407</v>
      </c>
      <c r="U12" s="18">
        <f>'FS Seychelles'!S13</f>
        <v>33</v>
      </c>
      <c r="V12" s="18">
        <f>'FS Seychelles'!T13</f>
        <v>0</v>
      </c>
      <c r="W12" s="18">
        <f>'FS Seychelles'!U13</f>
        <v>145</v>
      </c>
      <c r="X12" s="18">
        <f>'FS Seychelles'!V13</f>
        <v>156</v>
      </c>
      <c r="Y12" s="18">
        <f>'FS Seychelles'!W13</f>
        <v>113</v>
      </c>
      <c r="Z12" s="18">
        <f>'FS Seychelles'!X13</f>
        <v>88</v>
      </c>
      <c r="AA12" s="18">
        <f>'FS Seychelles'!Y13</f>
        <v>0</v>
      </c>
      <c r="AB12" s="18">
        <f>('FS Seychelles'!AB19+'FS Seychelles'!AB25)/30</f>
        <v>0</v>
      </c>
    </row>
    <row r="13" spans="1:28" x14ac:dyDescent="0.25">
      <c r="A13" s="1" t="s">
        <v>13</v>
      </c>
      <c r="B13" s="11">
        <f t="shared" si="0"/>
        <v>12</v>
      </c>
      <c r="C13" s="11">
        <v>1</v>
      </c>
      <c r="D13" s="11">
        <v>2021</v>
      </c>
      <c r="E13" s="18">
        <f>'FS Seychelles'!B14</f>
        <v>11.69</v>
      </c>
      <c r="F13" s="18">
        <f>'FS Seychelles'!C14*1000</f>
        <v>2702.08</v>
      </c>
      <c r="G13" s="18">
        <f>'FS Seychelles'!D14*1000</f>
        <v>3908.096</v>
      </c>
      <c r="H13" s="18">
        <f>'FS Seychelles'!E14*1000</f>
        <v>4155.3919999999998</v>
      </c>
      <c r="I13" s="18">
        <f>'FS Seychelles'!F14*1000</f>
        <v>1579.008</v>
      </c>
      <c r="J13" s="18">
        <f>'FS Seychelles'!G14*1000</f>
        <v>2468.864</v>
      </c>
      <c r="K13" s="18">
        <f>'FS Seychelles'!H14*1000</f>
        <v>754.24</v>
      </c>
      <c r="L13" s="18">
        <f>'FS Seychelles'!I14*1000</f>
        <v>1279.4880000000001</v>
      </c>
      <c r="M13" s="18">
        <f>'FS Seychelles'!J14*1000</f>
        <v>1398.528</v>
      </c>
      <c r="N13" s="18">
        <f>'FS Seychelles'!K14*1000</f>
        <v>3320.0639999999999</v>
      </c>
      <c r="O13" s="18">
        <f>'FS Seychelles'!L14</f>
        <v>7183</v>
      </c>
      <c r="P13" s="18">
        <f>'FS Seychelles'!M14</f>
        <v>4759</v>
      </c>
      <c r="Q13" s="18">
        <f>'FS Seychelles'!N14</f>
        <v>4582</v>
      </c>
      <c r="R13" s="18">
        <f>'FS Seychelles'!O14</f>
        <v>8108</v>
      </c>
      <c r="S13" s="18">
        <f>'FS Seychelles'!P14</f>
        <v>0</v>
      </c>
      <c r="T13" s="18">
        <f>'FS Seychelles'!Q14</f>
        <v>6833</v>
      </c>
      <c r="U13" s="18">
        <f>'FS Seychelles'!S14</f>
        <v>29</v>
      </c>
      <c r="V13" s="18">
        <f>'FS Seychelles'!T14</f>
        <v>44</v>
      </c>
      <c r="W13" s="18">
        <f>'FS Seychelles'!U14</f>
        <v>104</v>
      </c>
      <c r="X13" s="18">
        <f>'FS Seychelles'!V14</f>
        <v>165</v>
      </c>
      <c r="Y13" s="18">
        <f>'FS Seychelles'!W14</f>
        <v>100</v>
      </c>
      <c r="Z13" s="18">
        <f>'FS Seychelles'!X14</f>
        <v>96</v>
      </c>
      <c r="AA13" s="18">
        <f>'FS Seychelles'!Y14</f>
        <v>0</v>
      </c>
      <c r="AB13" s="18">
        <f>('FS Seychelles'!AB20+'FS Seychelles'!AB26)/30</f>
        <v>0</v>
      </c>
    </row>
    <row r="14" spans="1:28" x14ac:dyDescent="0.25">
      <c r="A14" s="1" t="s">
        <v>13</v>
      </c>
      <c r="B14" s="11">
        <f t="shared" si="0"/>
        <v>13</v>
      </c>
      <c r="C14" s="11">
        <v>1</v>
      </c>
      <c r="D14" s="11">
        <v>2021</v>
      </c>
      <c r="E14" s="18">
        <f>'FS Seychelles'!B15</f>
        <v>11.69</v>
      </c>
      <c r="F14" s="18">
        <f>'FS Seychelles'!C15*1000</f>
        <v>2324.48</v>
      </c>
      <c r="G14" s="18">
        <f>'FS Seychelles'!D15*1000</f>
        <v>3510.7840000000001</v>
      </c>
      <c r="H14" s="18">
        <f>'FS Seychelles'!E15*1000</f>
        <v>4094.9760000000001</v>
      </c>
      <c r="I14" s="18">
        <f>'FS Seychelles'!F15*1000</f>
        <v>1293.3120000000001</v>
      </c>
      <c r="J14" s="18">
        <f>'FS Seychelles'!G15*1000</f>
        <v>1905.664</v>
      </c>
      <c r="K14" s="18">
        <f>'FS Seychelles'!H15*1000</f>
        <v>532.67200000000003</v>
      </c>
      <c r="L14" s="18">
        <f>'FS Seychelles'!I15*1000</f>
        <v>1325.8239999999998</v>
      </c>
      <c r="M14" s="18">
        <f>'FS Seychelles'!J15*1000</f>
        <v>1481.2160000000001</v>
      </c>
      <c r="N14" s="18">
        <f>'FS Seychelles'!K15*1000</f>
        <v>3303.1679999999997</v>
      </c>
      <c r="O14" s="18">
        <f>'FS Seychelles'!L15</f>
        <v>7242</v>
      </c>
      <c r="P14" s="18">
        <f>'FS Seychelles'!M15</f>
        <v>6804</v>
      </c>
      <c r="Q14" s="18">
        <f>'FS Seychelles'!N15</f>
        <v>6807</v>
      </c>
      <c r="R14" s="18">
        <f>'FS Seychelles'!O15</f>
        <v>0</v>
      </c>
      <c r="S14" s="18">
        <f>'FS Seychelles'!P15</f>
        <v>0</v>
      </c>
      <c r="T14" s="18">
        <f>'FS Seychelles'!Q15</f>
        <v>5661</v>
      </c>
      <c r="U14" s="18">
        <f>'FS Seychelles'!S15</f>
        <v>28</v>
      </c>
      <c r="V14" s="18">
        <f>'FS Seychelles'!T15</f>
        <v>25</v>
      </c>
      <c r="W14" s="18">
        <f>'FS Seychelles'!U15</f>
        <v>73</v>
      </c>
      <c r="X14" s="18">
        <f>'FS Seychelles'!V15</f>
        <v>168</v>
      </c>
      <c r="Y14" s="18">
        <f>'FS Seychelles'!W15</f>
        <v>139</v>
      </c>
      <c r="Z14" s="18">
        <f>'FS Seychelles'!X15</f>
        <v>95</v>
      </c>
      <c r="AA14" s="18">
        <f>'FS Seychelles'!Y15</f>
        <v>0</v>
      </c>
      <c r="AB14" s="18">
        <f>('FS Seychelles'!AB21+'FS Seychelles'!AB27)/30</f>
        <v>0</v>
      </c>
    </row>
    <row r="15" spans="1:28" x14ac:dyDescent="0.25">
      <c r="A15" s="1" t="s">
        <v>13</v>
      </c>
      <c r="B15" s="11">
        <f t="shared" si="0"/>
        <v>14</v>
      </c>
      <c r="C15" s="11">
        <v>1</v>
      </c>
      <c r="D15" s="11">
        <v>2021</v>
      </c>
      <c r="E15" s="18">
        <f>'FS Seychelles'!B16</f>
        <v>11.76</v>
      </c>
      <c r="F15" s="18">
        <f>'FS Seychelles'!C16*1000</f>
        <v>2456.8319999999999</v>
      </c>
      <c r="G15" s="18">
        <f>'FS Seychelles'!D16*1000</f>
        <v>3674.6240000000003</v>
      </c>
      <c r="H15" s="18">
        <f>'FS Seychelles'!E16*1000</f>
        <v>4199.424</v>
      </c>
      <c r="I15" s="18">
        <f>'FS Seychelles'!F16*1000</f>
        <v>1430.2719999999999</v>
      </c>
      <c r="J15" s="18">
        <f>'FS Seychelles'!G16*1000</f>
        <v>2021.8880000000001</v>
      </c>
      <c r="K15" s="18">
        <f>'FS Seychelles'!H16*1000</f>
        <v>665.98400000000004</v>
      </c>
      <c r="L15" s="18">
        <f>'FS Seychelles'!I16*1000</f>
        <v>1334.528</v>
      </c>
      <c r="M15" s="18">
        <f>'FS Seychelles'!J16*1000</f>
        <v>1474.5600000000002</v>
      </c>
      <c r="N15" s="18">
        <f>'FS Seychelles'!K16*1000</f>
        <v>3328.768</v>
      </c>
      <c r="O15" s="18">
        <f>'FS Seychelles'!L16</f>
        <v>1755</v>
      </c>
      <c r="P15" s="18">
        <f>'FS Seychelles'!M16</f>
        <v>7966</v>
      </c>
      <c r="Q15" s="18">
        <f>'FS Seychelles'!N16</f>
        <v>5906</v>
      </c>
      <c r="R15" s="18">
        <f>'FS Seychelles'!O16</f>
        <v>8480</v>
      </c>
      <c r="S15" s="18">
        <f>'FS Seychelles'!P16</f>
        <v>0</v>
      </c>
      <c r="T15" s="18">
        <f>'FS Seychelles'!Q17</f>
        <v>6524</v>
      </c>
      <c r="U15" s="18">
        <f>'FS Seychelles'!S16</f>
        <v>25</v>
      </c>
      <c r="V15" s="18">
        <f>'FS Seychelles'!T16</f>
        <v>45</v>
      </c>
      <c r="W15" s="18">
        <f>'FS Seychelles'!U16</f>
        <v>105</v>
      </c>
      <c r="X15" s="18">
        <f>'FS Seychelles'!V16</f>
        <v>178</v>
      </c>
      <c r="Y15" s="18">
        <f>'FS Seychelles'!W16</f>
        <v>108</v>
      </c>
      <c r="Z15" s="18">
        <f>'FS Seychelles'!X16</f>
        <v>62</v>
      </c>
      <c r="AA15" s="18">
        <f>'FS Seychelles'!Y16</f>
        <v>0</v>
      </c>
      <c r="AB15" s="18">
        <f>('FS Seychelles'!AB22+'FS Seychelles'!AB28)/30</f>
        <v>0</v>
      </c>
    </row>
    <row r="16" spans="1:28" x14ac:dyDescent="0.25">
      <c r="A16" s="1" t="s">
        <v>13</v>
      </c>
      <c r="B16" s="11">
        <f t="shared" si="0"/>
        <v>15</v>
      </c>
      <c r="C16" s="11">
        <v>1</v>
      </c>
      <c r="D16" s="11">
        <v>2021</v>
      </c>
      <c r="E16" s="18">
        <f>'FS Seychelles'!B17</f>
        <v>8.82</v>
      </c>
      <c r="F16" s="18">
        <f>'FS Seychelles'!C17*1000</f>
        <v>2671.1040000000003</v>
      </c>
      <c r="G16" s="18">
        <f>'FS Seychelles'!D17*1000</f>
        <v>3924.9920000000002</v>
      </c>
      <c r="H16" s="18">
        <f>'FS Seychelles'!E17*1000</f>
        <v>4273.6639999999998</v>
      </c>
      <c r="I16" s="18">
        <f>'FS Seychelles'!F17*1000</f>
        <v>1549.568</v>
      </c>
      <c r="J16" s="18">
        <f>'FS Seychelles'!G17*1000</f>
        <v>2265.6</v>
      </c>
      <c r="K16" s="18">
        <f>'FS Seychelles'!H17*1000</f>
        <v>727.80799999999999</v>
      </c>
      <c r="L16" s="18">
        <f>'FS Seychelles'!I17*1000</f>
        <v>1306.752</v>
      </c>
      <c r="M16" s="18">
        <f>'FS Seychelles'!J17*1000</f>
        <v>1506.816</v>
      </c>
      <c r="N16" s="18">
        <f>'FS Seychelles'!K17*1000</f>
        <v>3500.0320000000002</v>
      </c>
      <c r="O16" s="18">
        <f>'FS Seychelles'!L17</f>
        <v>9122</v>
      </c>
      <c r="P16" s="18">
        <f>'FS Seychelles'!M17</f>
        <v>8902</v>
      </c>
      <c r="Q16" s="18">
        <f>'FS Seychelles'!N17</f>
        <v>9359</v>
      </c>
      <c r="R16" s="18">
        <f>'FS Seychelles'!O17</f>
        <v>0</v>
      </c>
      <c r="S16" s="18">
        <f>'FS Seychelles'!P17</f>
        <v>0</v>
      </c>
      <c r="T16" s="18">
        <f>'FS Seychelles'!Q18</f>
        <v>6729</v>
      </c>
      <c r="U16" s="18">
        <f>'FS Seychelles'!S17</f>
        <v>26</v>
      </c>
      <c r="V16" s="18">
        <f>'FS Seychelles'!T17</f>
        <v>27</v>
      </c>
      <c r="W16" s="18">
        <f>'FS Seychelles'!U17</f>
        <v>123</v>
      </c>
      <c r="X16" s="18">
        <f>'FS Seychelles'!V17</f>
        <v>136</v>
      </c>
      <c r="Y16" s="18">
        <f>'FS Seychelles'!W17</f>
        <v>111</v>
      </c>
      <c r="Z16" s="18">
        <f>'FS Seychelles'!X17</f>
        <v>32</v>
      </c>
      <c r="AA16" s="18">
        <f>'FS Seychelles'!Y17</f>
        <v>0</v>
      </c>
      <c r="AB16" s="18">
        <f>('FS Seychelles'!AB23+'FS Seychelles'!AB29)/30</f>
        <v>0</v>
      </c>
    </row>
    <row r="17" spans="1:28" x14ac:dyDescent="0.25">
      <c r="A17" s="1" t="s">
        <v>13</v>
      </c>
      <c r="B17" s="11">
        <f t="shared" si="0"/>
        <v>16</v>
      </c>
      <c r="C17" s="11">
        <v>1</v>
      </c>
      <c r="D17" s="11">
        <v>2021</v>
      </c>
      <c r="E17" s="18">
        <f>'FS Seychelles'!B18</f>
        <v>10.29</v>
      </c>
      <c r="F17" s="18">
        <f>'FS Seychelles'!C18*1000</f>
        <v>2788.3520000000003</v>
      </c>
      <c r="G17" s="18">
        <f>'FS Seychelles'!D18*1000</f>
        <v>3904</v>
      </c>
      <c r="H17" s="18">
        <f>'FS Seychelles'!E18*1000</f>
        <v>4348.4160000000002</v>
      </c>
      <c r="I17" s="18">
        <f>'FS Seychelles'!F18*1000</f>
        <v>1607.9359999999999</v>
      </c>
      <c r="J17" s="18">
        <f>'FS Seychelles'!G18*1000</f>
        <v>2484.7359999999999</v>
      </c>
      <c r="K17" s="18">
        <f>'FS Seychelles'!H18*1000</f>
        <v>777.47200000000009</v>
      </c>
      <c r="L17" s="18">
        <f>'FS Seychelles'!I18*1000</f>
        <v>1309.6959999999999</v>
      </c>
      <c r="M17" s="18">
        <f>'FS Seychelles'!J18*1000</f>
        <v>1512.96</v>
      </c>
      <c r="N17" s="18">
        <f>'FS Seychelles'!K18*1000</f>
        <v>3373.3119999999999</v>
      </c>
      <c r="O17" s="18">
        <f>'FS Seychelles'!L18</f>
        <v>8113</v>
      </c>
      <c r="P17" s="18">
        <f>'FS Seychelles'!M18</f>
        <v>0</v>
      </c>
      <c r="Q17" s="18">
        <f>'FS Seychelles'!N18</f>
        <v>7277</v>
      </c>
      <c r="R17" s="18">
        <f>'FS Seychelles'!O18</f>
        <v>8772</v>
      </c>
      <c r="S17" s="18">
        <f>'FS Seychelles'!P18</f>
        <v>0</v>
      </c>
      <c r="T17" s="18">
        <f>'FS Seychelles'!Q18</f>
        <v>6729</v>
      </c>
      <c r="U17" s="18">
        <f>'FS Seychelles'!S18</f>
        <v>28</v>
      </c>
      <c r="V17" s="18">
        <f>'FS Seychelles'!T18</f>
        <v>25</v>
      </c>
      <c r="W17" s="18">
        <f>'FS Seychelles'!U18</f>
        <v>86</v>
      </c>
      <c r="X17" s="18">
        <f>'FS Seychelles'!V18</f>
        <v>149</v>
      </c>
      <c r="Y17" s="18">
        <f>'FS Seychelles'!W18</f>
        <v>115</v>
      </c>
      <c r="Z17" s="18">
        <f>'FS Seychelles'!X18</f>
        <v>52</v>
      </c>
      <c r="AA17" s="18">
        <f>'FS Seychelles'!Y18</f>
        <v>0</v>
      </c>
      <c r="AB17" s="18">
        <f>('FS Seychelles'!AB24+'FS Seychelles'!AB30)/30</f>
        <v>0</v>
      </c>
    </row>
    <row r="18" spans="1:28" x14ac:dyDescent="0.25">
      <c r="A18" s="1" t="s">
        <v>13</v>
      </c>
      <c r="B18" s="11">
        <f t="shared" si="0"/>
        <v>17</v>
      </c>
      <c r="C18" s="11">
        <v>1</v>
      </c>
      <c r="D18" s="11">
        <v>2021</v>
      </c>
      <c r="E18" s="18">
        <f>'FS Seychelles'!B19</f>
        <v>8.82</v>
      </c>
      <c r="F18" s="18">
        <f>'FS Seychelles'!C19*1000</f>
        <v>2745.8559999999998</v>
      </c>
      <c r="G18" s="18">
        <f>'FS Seychelles'!D19*1000</f>
        <v>3827.712</v>
      </c>
      <c r="H18" s="18">
        <f>'FS Seychelles'!E19*1000</f>
        <v>4032</v>
      </c>
      <c r="I18" s="18">
        <f>'FS Seychelles'!F19*1000</f>
        <v>1488.6399999999999</v>
      </c>
      <c r="J18" s="18">
        <f>'FS Seychelles'!G19*1000</f>
        <v>2498.56</v>
      </c>
      <c r="K18" s="18">
        <f>'FS Seychelles'!H19*1000</f>
        <v>715.77599999999995</v>
      </c>
      <c r="L18" s="18">
        <f>'FS Seychelles'!I19*1000</f>
        <v>1155.4560000000001</v>
      </c>
      <c r="M18" s="18">
        <f>'FS Seychelles'!J19*1000</f>
        <v>1453.0559999999998</v>
      </c>
      <c r="N18" s="18">
        <f>'FS Seychelles'!K19*1000</f>
        <v>3200</v>
      </c>
      <c r="O18" s="18">
        <f>'FS Seychelles'!L19</f>
        <v>8148</v>
      </c>
      <c r="P18" s="18">
        <f>'FS Seychelles'!M19</f>
        <v>7848</v>
      </c>
      <c r="Q18" s="18">
        <f>'FS Seychelles'!N19</f>
        <v>0</v>
      </c>
      <c r="R18" s="18">
        <f>'FS Seychelles'!O19</f>
        <v>7120</v>
      </c>
      <c r="S18" s="18">
        <f>'FS Seychelles'!P19</f>
        <v>0</v>
      </c>
      <c r="T18" s="18">
        <f>'FS Seychelles'!Q19</f>
        <v>6351</v>
      </c>
      <c r="U18" s="18">
        <f>'FS Seychelles'!S19</f>
        <v>24</v>
      </c>
      <c r="V18" s="18">
        <f>'FS Seychelles'!T19</f>
        <v>20</v>
      </c>
      <c r="W18" s="18">
        <f>'FS Seychelles'!U19</f>
        <v>96</v>
      </c>
      <c r="X18" s="18">
        <f>'FS Seychelles'!V19</f>
        <v>219</v>
      </c>
      <c r="Y18" s="18">
        <f>'FS Seychelles'!W19</f>
        <v>157</v>
      </c>
      <c r="Z18" s="18">
        <f>'FS Seychelles'!X19</f>
        <v>69</v>
      </c>
      <c r="AA18" s="18">
        <f>'FS Seychelles'!Y19</f>
        <v>0</v>
      </c>
      <c r="AB18" s="18">
        <f>('FS Seychelles'!AB25+'FS Seychelles'!AB31)/30</f>
        <v>0</v>
      </c>
    </row>
    <row r="19" spans="1:28" x14ac:dyDescent="0.25">
      <c r="A19" s="1" t="s">
        <v>13</v>
      </c>
      <c r="B19" s="11">
        <f t="shared" si="0"/>
        <v>18</v>
      </c>
      <c r="C19" s="11">
        <v>1</v>
      </c>
      <c r="D19" s="11">
        <v>2021</v>
      </c>
      <c r="E19" s="18">
        <f>'FS Seychelles'!B20</f>
        <v>9.35</v>
      </c>
      <c r="F19" s="18">
        <f>'FS Seychelles'!C20*1000</f>
        <v>2557.6959999999999</v>
      </c>
      <c r="G19" s="18">
        <f>'FS Seychelles'!D20*1000</f>
        <v>3610.6240000000003</v>
      </c>
      <c r="H19" s="18">
        <f>'FS Seychelles'!E20*1000</f>
        <v>4164.0959999999995</v>
      </c>
      <c r="I19" s="18">
        <f>'FS Seychelles'!F20*1000</f>
        <v>1574.6559999999999</v>
      </c>
      <c r="J19" s="18">
        <f>'FS Seychelles'!G20*1000</f>
        <v>2455.808</v>
      </c>
      <c r="K19" s="18">
        <f>'FS Seychelles'!H20*1000</f>
        <v>751.04000000000008</v>
      </c>
      <c r="L19" s="18">
        <f>'FS Seychelles'!I20*1000</f>
        <v>1272.192</v>
      </c>
      <c r="M19" s="18">
        <f>'FS Seychelles'!J20*1000</f>
        <v>1421.568</v>
      </c>
      <c r="N19" s="18">
        <f>'FS Seychelles'!K20*1000</f>
        <v>3423.232</v>
      </c>
      <c r="O19" s="18">
        <f>'FS Seychelles'!L20</f>
        <v>0</v>
      </c>
      <c r="P19" s="18">
        <f>'FS Seychelles'!M20</f>
        <v>6925</v>
      </c>
      <c r="Q19" s="18">
        <f>'FS Seychelles'!N20</f>
        <v>0</v>
      </c>
      <c r="R19" s="18">
        <f>'FS Seychelles'!O20</f>
        <v>7397</v>
      </c>
      <c r="S19" s="18">
        <f>'FS Seychelles'!P20</f>
        <v>0</v>
      </c>
      <c r="T19" s="18">
        <f>'FS Seychelles'!Q20</f>
        <v>4019</v>
      </c>
      <c r="U19" s="18">
        <f>'FS Seychelles'!S20</f>
        <v>29</v>
      </c>
      <c r="V19" s="18">
        <f>'FS Seychelles'!T20</f>
        <v>15</v>
      </c>
      <c r="W19" s="18">
        <f>'FS Seychelles'!U20</f>
        <v>75</v>
      </c>
      <c r="X19" s="18">
        <f>'FS Seychelles'!V20</f>
        <v>197</v>
      </c>
      <c r="Y19" s="18">
        <f>'FS Seychelles'!W20</f>
        <v>115</v>
      </c>
      <c r="Z19" s="18">
        <f>'FS Seychelles'!X20</f>
        <v>117</v>
      </c>
      <c r="AA19" s="18">
        <f>'FS Seychelles'!Y20</f>
        <v>0</v>
      </c>
      <c r="AB19" s="18">
        <f>('FS Seychelles'!AB26+'FS Seychelles'!AB32)/30</f>
        <v>0</v>
      </c>
    </row>
    <row r="20" spans="1:28" x14ac:dyDescent="0.25">
      <c r="A20" s="1" t="s">
        <v>13</v>
      </c>
      <c r="B20" s="11">
        <f t="shared" si="0"/>
        <v>19</v>
      </c>
      <c r="C20" s="11">
        <v>1</v>
      </c>
      <c r="D20" s="11">
        <v>2021</v>
      </c>
      <c r="E20" s="18">
        <f>'FS Seychelles'!B21</f>
        <v>7.69</v>
      </c>
      <c r="F20" s="18">
        <f>'FS Seychelles'!C21*1000</f>
        <v>2326.0160000000001</v>
      </c>
      <c r="G20" s="18">
        <f>'FS Seychelles'!D21*1000</f>
        <v>3243.52</v>
      </c>
      <c r="H20" s="18">
        <f>'FS Seychelles'!E21*1000</f>
        <v>3998.7200000000003</v>
      </c>
      <c r="I20" s="18">
        <f>'FS Seychelles'!F21*1000</f>
        <v>1580.0320000000002</v>
      </c>
      <c r="J20" s="18">
        <f>'FS Seychelles'!G21*1000</f>
        <v>2858.24</v>
      </c>
      <c r="K20" s="18">
        <f>'FS Seychelles'!H21*1000</f>
        <v>863.93600000000004</v>
      </c>
      <c r="L20" s="18">
        <f>'FS Seychelles'!I21*1000</f>
        <v>1268.6079999999999</v>
      </c>
      <c r="M20" s="18">
        <f>'FS Seychelles'!J21*1000</f>
        <v>1447.424</v>
      </c>
      <c r="N20" s="18">
        <f>'FS Seychelles'!K21*1000</f>
        <v>3364.864</v>
      </c>
      <c r="O20" s="18">
        <f>'FS Seychelles'!L21</f>
        <v>8509</v>
      </c>
      <c r="P20" s="18">
        <f>'FS Seychelles'!M21</f>
        <v>7704</v>
      </c>
      <c r="Q20" s="18">
        <f>'FS Seychelles'!N21</f>
        <v>0</v>
      </c>
      <c r="R20" s="18">
        <f>'FS Seychelles'!O21</f>
        <v>5748</v>
      </c>
      <c r="S20" s="18">
        <f>'FS Seychelles'!P21</f>
        <v>0</v>
      </c>
      <c r="T20" s="18">
        <f>'FS Seychelles'!Q21</f>
        <v>5781</v>
      </c>
      <c r="U20" s="18">
        <f>'FS Seychelles'!S21</f>
        <v>27</v>
      </c>
      <c r="V20" s="18">
        <f>'FS Seychelles'!T21</f>
        <v>32</v>
      </c>
      <c r="W20" s="18">
        <f>'FS Seychelles'!U21</f>
        <v>79</v>
      </c>
      <c r="X20" s="18">
        <f>'FS Seychelles'!V21</f>
        <v>180</v>
      </c>
      <c r="Y20" s="18">
        <f>'FS Seychelles'!W21</f>
        <v>134</v>
      </c>
      <c r="Z20" s="18">
        <f>'FS Seychelles'!X21</f>
        <v>93</v>
      </c>
      <c r="AA20" s="18">
        <f>'FS Seychelles'!Y21</f>
        <v>0</v>
      </c>
      <c r="AB20" s="18">
        <f>('FS Seychelles'!AB27+'FS Seychelles'!AB33)/30</f>
        <v>0</v>
      </c>
    </row>
    <row r="21" spans="1:28" x14ac:dyDescent="0.25">
      <c r="A21" s="1" t="s">
        <v>13</v>
      </c>
      <c r="B21" s="11">
        <f t="shared" si="0"/>
        <v>20</v>
      </c>
      <c r="C21" s="11">
        <v>1</v>
      </c>
      <c r="D21" s="11">
        <v>2021</v>
      </c>
      <c r="E21" s="18">
        <f>'FS Seychelles'!B22</f>
        <v>7.69</v>
      </c>
      <c r="F21" s="18">
        <f>'FS Seychelles'!C22*1000</f>
        <v>2355.9679999999998</v>
      </c>
      <c r="G21" s="18">
        <f>'FS Seychelles'!D22*1000</f>
        <v>2987.0079999999998</v>
      </c>
      <c r="H21" s="18">
        <f>'FS Seychelles'!E22*1000</f>
        <v>3575.808</v>
      </c>
      <c r="I21" s="18">
        <f>'FS Seychelles'!F22*1000</f>
        <v>1483.008</v>
      </c>
      <c r="J21" s="18">
        <f>'FS Seychelles'!G22*1000</f>
        <v>2417.152</v>
      </c>
      <c r="K21" s="18">
        <f>'FS Seychelles'!H22*1000</f>
        <v>824.06399999999996</v>
      </c>
      <c r="L21" s="18">
        <f>'FS Seychelles'!I22*1000</f>
        <v>1288.96</v>
      </c>
      <c r="M21" s="18">
        <f>'FS Seychelles'!J22*1000</f>
        <v>1401.856</v>
      </c>
      <c r="N21" s="18">
        <f>'FS Seychelles'!K22*1000</f>
        <v>3369.9839999999999</v>
      </c>
      <c r="O21" s="18">
        <f>'FS Seychelles'!L22</f>
        <v>9229</v>
      </c>
      <c r="P21" s="18">
        <f>'FS Seychelles'!M22</f>
        <v>7154</v>
      </c>
      <c r="Q21" s="18">
        <f>'FS Seychelles'!N22</f>
        <v>0</v>
      </c>
      <c r="R21" s="18">
        <f>'FS Seychelles'!O22</f>
        <v>7266</v>
      </c>
      <c r="S21" s="18">
        <f>'FS Seychelles'!P23</f>
        <v>0</v>
      </c>
      <c r="T21" s="18">
        <f>'FS Seychelles'!Q22</f>
        <v>6623</v>
      </c>
      <c r="U21" s="18">
        <f>'FS Seychelles'!S22</f>
        <v>26</v>
      </c>
      <c r="V21" s="18">
        <f>'FS Seychelles'!T22</f>
        <v>42</v>
      </c>
      <c r="W21" s="18">
        <f>'FS Seychelles'!U22</f>
        <v>85</v>
      </c>
      <c r="X21" s="18">
        <f>'FS Seychelles'!V22</f>
        <v>171</v>
      </c>
      <c r="Y21" s="18">
        <f>'FS Seychelles'!W22</f>
        <v>132</v>
      </c>
      <c r="Z21" s="18">
        <f>'FS Seychelles'!X22</f>
        <v>10</v>
      </c>
      <c r="AA21" s="18">
        <f>'FS Seychelles'!Y22</f>
        <v>0</v>
      </c>
      <c r="AB21" s="18">
        <f>('FS Seychelles'!AB28+'FS Seychelles'!AB34)/30</f>
        <v>0</v>
      </c>
    </row>
    <row r="22" spans="1:28" x14ac:dyDescent="0.25">
      <c r="A22" s="1" t="s">
        <v>13</v>
      </c>
      <c r="B22" s="11">
        <f t="shared" si="0"/>
        <v>21</v>
      </c>
      <c r="C22" s="11">
        <v>1</v>
      </c>
      <c r="D22" s="11">
        <v>2021</v>
      </c>
      <c r="E22" s="18">
        <f>'FS Seychelles'!B23</f>
        <v>7.81</v>
      </c>
      <c r="F22" s="18">
        <f>'FS Seychelles'!C23*1000</f>
        <v>2262.2719999999999</v>
      </c>
      <c r="G22" s="18">
        <f>'FS Seychelles'!D23*1000</f>
        <v>2907.136</v>
      </c>
      <c r="H22" s="18">
        <f>'FS Seychelles'!E23*1000</f>
        <v>3613.6959999999999</v>
      </c>
      <c r="I22" s="18">
        <f>'FS Seychelles'!F23*1000</f>
        <v>1532.1599999999999</v>
      </c>
      <c r="J22" s="18">
        <f>'FS Seychelles'!G23*1000</f>
        <v>2440.4479999999999</v>
      </c>
      <c r="K22" s="18">
        <f>'FS Seychelles'!H23*1000</f>
        <v>806.4</v>
      </c>
      <c r="L22" s="18">
        <f>'FS Seychelles'!I23*1000</f>
        <v>1290.1119999999999</v>
      </c>
      <c r="M22" s="18">
        <f>'FS Seychelles'!J23*1000</f>
        <v>1409.0240000000001</v>
      </c>
      <c r="N22" s="18">
        <f>'FS Seychelles'!K23*1000</f>
        <v>3457.0239999999999</v>
      </c>
      <c r="O22" s="18">
        <f>'FS Seychelles'!L23</f>
        <v>11330</v>
      </c>
      <c r="P22" s="18">
        <f>'FS Seychelles'!M23</f>
        <v>3230</v>
      </c>
      <c r="Q22" s="18">
        <f>'FS Seychelles'!N23</f>
        <v>0</v>
      </c>
      <c r="R22" s="18">
        <f>'FS Seychelles'!O23</f>
        <v>7796</v>
      </c>
      <c r="S22" s="18">
        <f>'FS Seychelles'!P24</f>
        <v>0</v>
      </c>
      <c r="T22" s="18">
        <f>'FS Seychelles'!Q23</f>
        <v>6309</v>
      </c>
      <c r="U22" s="18">
        <f>'FS Seychelles'!S23</f>
        <v>28</v>
      </c>
      <c r="V22" s="18">
        <f>'FS Seychelles'!T23</f>
        <v>9</v>
      </c>
      <c r="W22" s="18">
        <f>'FS Seychelles'!U23</f>
        <v>97</v>
      </c>
      <c r="X22" s="18">
        <f>'FS Seychelles'!V23</f>
        <v>119</v>
      </c>
      <c r="Y22" s="18">
        <f>'FS Seychelles'!W23</f>
        <v>129</v>
      </c>
      <c r="Z22" s="18">
        <f>'FS Seychelles'!X23</f>
        <v>0</v>
      </c>
      <c r="AA22" s="18">
        <f>'FS Seychelles'!Y23</f>
        <v>0</v>
      </c>
      <c r="AB22" s="18">
        <f>('FS Seychelles'!AB29+'FS Seychelles'!AB35)/30</f>
        <v>0</v>
      </c>
    </row>
    <row r="23" spans="1:28" x14ac:dyDescent="0.25">
      <c r="A23" s="1" t="s">
        <v>13</v>
      </c>
      <c r="B23" s="11">
        <f t="shared" si="0"/>
        <v>22</v>
      </c>
      <c r="C23" s="11">
        <v>1</v>
      </c>
      <c r="D23" s="11">
        <v>2021</v>
      </c>
      <c r="E23" s="18">
        <f>'FS Seychelles'!B24</f>
        <v>5.26</v>
      </c>
      <c r="F23" s="18">
        <f>'FS Seychelles'!C24*1000</f>
        <v>2407.6799999999998</v>
      </c>
      <c r="G23" s="18">
        <f>'FS Seychelles'!D24*1000</f>
        <v>3122.1759999999999</v>
      </c>
      <c r="H23" s="18">
        <f>'FS Seychelles'!E24*1000</f>
        <v>3905.5360000000001</v>
      </c>
      <c r="I23" s="18">
        <f>'FS Seychelles'!F24*1000</f>
        <v>1703.68</v>
      </c>
      <c r="J23" s="18">
        <f>'FS Seychelles'!G24*1000</f>
        <v>2711.2959999999998</v>
      </c>
      <c r="K23" s="18">
        <f>'FS Seychelles'!H24*1000</f>
        <v>897.59999999999991</v>
      </c>
      <c r="L23" s="18">
        <f>'FS Seychelles'!I24*1000</f>
        <v>1272.576</v>
      </c>
      <c r="M23" s="18">
        <f>'FS Seychelles'!J24*1000</f>
        <v>1441.5359999999998</v>
      </c>
      <c r="N23" s="18">
        <f>'FS Seychelles'!K24*1000</f>
        <v>3466.24</v>
      </c>
      <c r="O23" s="18">
        <f>'FS Seychelles'!L24</f>
        <v>5373</v>
      </c>
      <c r="P23" s="18">
        <f>'FS Seychelles'!M24</f>
        <v>7407</v>
      </c>
      <c r="Q23" s="18">
        <f>'FS Seychelles'!N24</f>
        <v>0</v>
      </c>
      <c r="R23" s="18">
        <f>'FS Seychelles'!O24</f>
        <v>9903</v>
      </c>
      <c r="S23" s="18">
        <f>'FS Seychelles'!P25</f>
        <v>0</v>
      </c>
      <c r="T23" s="18">
        <f>'FS Seychelles'!Q24</f>
        <v>6169</v>
      </c>
      <c r="U23" s="18">
        <f>'FS Seychelles'!S24</f>
        <v>26</v>
      </c>
      <c r="V23" s="18">
        <f>'FS Seychelles'!T24</f>
        <v>39</v>
      </c>
      <c r="W23" s="18">
        <f>'FS Seychelles'!U24</f>
        <v>77</v>
      </c>
      <c r="X23" s="18">
        <f>'FS Seychelles'!V24</f>
        <v>174</v>
      </c>
      <c r="Y23" s="18">
        <f>'FS Seychelles'!W24</f>
        <v>156</v>
      </c>
      <c r="Z23" s="18">
        <f>'FS Seychelles'!X24</f>
        <v>114</v>
      </c>
      <c r="AA23" s="18">
        <f>'FS Seychelles'!Y24</f>
        <v>0</v>
      </c>
      <c r="AB23" s="18">
        <f>('FS Seychelles'!AB30+'FS Seychelles'!AB36)/30</f>
        <v>0</v>
      </c>
    </row>
    <row r="24" spans="1:28" x14ac:dyDescent="0.25">
      <c r="A24" s="1" t="s">
        <v>13</v>
      </c>
      <c r="B24" s="11">
        <f t="shared" si="0"/>
        <v>23</v>
      </c>
      <c r="C24" s="11">
        <v>1</v>
      </c>
      <c r="D24" s="11">
        <v>2021</v>
      </c>
      <c r="E24" s="18">
        <f>'FS Seychelles'!B25</f>
        <v>3.95</v>
      </c>
      <c r="F24" s="18">
        <f>'FS Seychelles'!C25*1000</f>
        <v>2375.6799999999998</v>
      </c>
      <c r="G24" s="18">
        <f>'FS Seychelles'!D25*1000</f>
        <v>3122.6880000000001</v>
      </c>
      <c r="H24" s="18">
        <f>'FS Seychelles'!E25*1000</f>
        <v>4020.2239999999997</v>
      </c>
      <c r="I24" s="18">
        <f>'FS Seychelles'!F25*1000</f>
        <v>1601.7920000000001</v>
      </c>
      <c r="J24" s="18">
        <f>'FS Seychelles'!G25*1000</f>
        <v>2616.5759999999996</v>
      </c>
      <c r="K24" s="18">
        <f>'FS Seychelles'!H25*1000</f>
        <v>806.46399999999994</v>
      </c>
      <c r="L24" s="18">
        <f>'FS Seychelles'!I25*1000</f>
        <v>1288.8319999999999</v>
      </c>
      <c r="M24" s="18">
        <f>'FS Seychelles'!J25*1000</f>
        <v>1442.3040000000001</v>
      </c>
      <c r="N24" s="18">
        <f>'FS Seychelles'!K25*1000</f>
        <v>3353.3440000000001</v>
      </c>
      <c r="O24" s="18">
        <f>'FS Seychelles'!L25</f>
        <v>6370</v>
      </c>
      <c r="P24" s="18">
        <f>'FS Seychelles'!M25</f>
        <v>7915</v>
      </c>
      <c r="Q24" s="18">
        <f>'FS Seychelles'!N25</f>
        <v>9594</v>
      </c>
      <c r="R24" s="18">
        <f>'FS Seychelles'!O25</f>
        <v>0</v>
      </c>
      <c r="S24" s="18">
        <f>'FS Seychelles'!P25</f>
        <v>0</v>
      </c>
      <c r="T24" s="18">
        <f>'FS Seychelles'!Q25</f>
        <v>6383</v>
      </c>
      <c r="U24" s="18">
        <f>'FS Seychelles'!S25</f>
        <v>27</v>
      </c>
      <c r="V24" s="18">
        <f>'FS Seychelles'!T25</f>
        <v>38</v>
      </c>
      <c r="W24" s="18">
        <f>'FS Seychelles'!U25</f>
        <v>65</v>
      </c>
      <c r="X24" s="18">
        <f>'FS Seychelles'!V25</f>
        <v>194</v>
      </c>
      <c r="Y24" s="18">
        <f>'FS Seychelles'!W25</f>
        <v>165</v>
      </c>
      <c r="Z24" s="18">
        <f>'FS Seychelles'!X25</f>
        <v>118</v>
      </c>
      <c r="AA24" s="18">
        <f>'FS Seychelles'!Y25</f>
        <v>0</v>
      </c>
      <c r="AB24" s="18">
        <f>('FS Seychelles'!AB31+'FS Seychelles'!AB37)/30</f>
        <v>0</v>
      </c>
    </row>
    <row r="25" spans="1:28" x14ac:dyDescent="0.25">
      <c r="A25" s="1" t="s">
        <v>13</v>
      </c>
      <c r="B25" s="11">
        <f t="shared" si="0"/>
        <v>24</v>
      </c>
      <c r="C25" s="11">
        <v>1</v>
      </c>
      <c r="D25" s="11">
        <v>2021</v>
      </c>
      <c r="E25" s="18">
        <f>'FS Seychelles'!B26</f>
        <v>3.95</v>
      </c>
      <c r="F25" s="18">
        <f>'FS Seychelles'!C26*1000</f>
        <v>2042.624</v>
      </c>
      <c r="G25" s="18">
        <f>'FS Seychelles'!D26*1000</f>
        <v>2941.44</v>
      </c>
      <c r="H25" s="18">
        <f>'FS Seychelles'!E26*1000</f>
        <v>3497.4720000000002</v>
      </c>
      <c r="I25" s="18">
        <f>'FS Seychelles'!F26*1000</f>
        <v>1371.6479999999999</v>
      </c>
      <c r="J25" s="18">
        <f>'FS Seychelles'!G26*1000</f>
        <v>2185.7280000000001</v>
      </c>
      <c r="K25" s="18">
        <f>'FS Seychelles'!H26*1000</f>
        <v>654.976</v>
      </c>
      <c r="L25" s="18">
        <f>'FS Seychelles'!I26*1000</f>
        <v>1236.6079999999999</v>
      </c>
      <c r="M25" s="18">
        <f>'FS Seychelles'!J26*1000</f>
        <v>1383.424</v>
      </c>
      <c r="N25" s="18">
        <f>'FS Seychelles'!K26*1000</f>
        <v>3139.5840000000003</v>
      </c>
      <c r="O25" s="18">
        <f>'FS Seychelles'!L26</f>
        <v>589</v>
      </c>
      <c r="P25" s="18">
        <f>'FS Seychelles'!M26</f>
        <v>3775</v>
      </c>
      <c r="Q25" s="18">
        <f>'FS Seychelles'!N26</f>
        <v>788</v>
      </c>
      <c r="R25" s="18">
        <f>'FS Seychelles'!O26</f>
        <v>16522</v>
      </c>
      <c r="S25" s="18">
        <f>'FS Seychelles'!P26</f>
        <v>0</v>
      </c>
      <c r="T25" s="18">
        <f>'FS Seychelles'!Q26</f>
        <v>6169</v>
      </c>
      <c r="U25" s="18">
        <f>'FS Seychelles'!S26</f>
        <v>25</v>
      </c>
      <c r="V25" s="18">
        <f>'FS Seychelles'!T26</f>
        <v>14</v>
      </c>
      <c r="W25" s="18">
        <f>'FS Seychelles'!U26</f>
        <v>51</v>
      </c>
      <c r="X25" s="18">
        <f>'FS Seychelles'!V26</f>
        <v>148</v>
      </c>
      <c r="Y25" s="18">
        <f>'FS Seychelles'!W26</f>
        <v>134</v>
      </c>
      <c r="Z25" s="18">
        <f>'FS Seychelles'!X26</f>
        <v>82</v>
      </c>
      <c r="AA25" s="18">
        <f>'FS Seychelles'!Y26</f>
        <v>0</v>
      </c>
      <c r="AB25" s="18">
        <f>('FS Seychelles'!AB32+'FS Seychelles'!AB38)/30</f>
        <v>0</v>
      </c>
    </row>
    <row r="26" spans="1:28" x14ac:dyDescent="0.25">
      <c r="A26" s="1" t="s">
        <v>13</v>
      </c>
      <c r="B26" s="11">
        <f>B25+1</f>
        <v>25</v>
      </c>
      <c r="C26" s="11">
        <v>1</v>
      </c>
      <c r="D26" s="11">
        <v>2021</v>
      </c>
      <c r="E26" s="18">
        <f>'FS Seychelles'!B27</f>
        <v>5.26</v>
      </c>
      <c r="F26" s="18">
        <f>'FS Seychelles'!C27*1000</f>
        <v>2388.48</v>
      </c>
      <c r="G26" s="18">
        <f>'FS Seychelles'!D27*1000</f>
        <v>3278.3359999999998</v>
      </c>
      <c r="H26" s="18">
        <f>'FS Seychelles'!E27*1000</f>
        <v>3841.5360000000001</v>
      </c>
      <c r="I26" s="18">
        <f>'FS Seychelles'!F27*1000</f>
        <v>1591.296</v>
      </c>
      <c r="J26" s="18">
        <f>'FS Seychelles'!G27*1000</f>
        <v>2659.84</v>
      </c>
      <c r="K26" s="18">
        <f>'FS Seychelles'!H27*1000</f>
        <v>841.53599999999994</v>
      </c>
      <c r="L26" s="18">
        <f>'FS Seychelles'!I27*1000</f>
        <v>1160.0640000000001</v>
      </c>
      <c r="M26" s="18">
        <f>'FS Seychelles'!J27*1000</f>
        <v>1416.4479999999999</v>
      </c>
      <c r="N26" s="18">
        <f>'FS Seychelles'!K27*1000</f>
        <v>3218.944</v>
      </c>
      <c r="O26" s="18">
        <f>'FS Seychelles'!L27</f>
        <v>0</v>
      </c>
      <c r="P26" s="18">
        <f>'FS Seychelles'!M27</f>
        <v>8067</v>
      </c>
      <c r="Q26" s="18">
        <f>'FS Seychelles'!N27</f>
        <v>6397</v>
      </c>
      <c r="R26" s="18">
        <f>'FS Seychelles'!O27</f>
        <v>5978</v>
      </c>
      <c r="S26" s="18">
        <f>'FS Seychelles'!P27</f>
        <v>0</v>
      </c>
      <c r="T26" s="18">
        <f>'FS Seychelles'!Q27</f>
        <v>5851</v>
      </c>
      <c r="U26" s="18">
        <f>'FS Seychelles'!S27</f>
        <v>25</v>
      </c>
      <c r="V26" s="18">
        <f>'FS Seychelles'!T27</f>
        <v>68</v>
      </c>
      <c r="W26" s="18">
        <f>'FS Seychelles'!U27</f>
        <v>73</v>
      </c>
      <c r="X26" s="18">
        <f>'FS Seychelles'!V27</f>
        <v>170</v>
      </c>
      <c r="Y26" s="18">
        <f>'FS Seychelles'!W27</f>
        <v>157</v>
      </c>
      <c r="Z26" s="18">
        <f>'FS Seychelles'!X27</f>
        <v>87</v>
      </c>
      <c r="AA26" s="18">
        <f>'FS Seychelles'!Y27</f>
        <v>0</v>
      </c>
      <c r="AB26" s="18">
        <f>('FS Seychelles'!AB33+'FS Seychelles'!AB39)/30</f>
        <v>0</v>
      </c>
    </row>
    <row r="27" spans="1:28" x14ac:dyDescent="0.25">
      <c r="A27" s="1" t="s">
        <v>13</v>
      </c>
      <c r="B27" s="11">
        <f t="shared" si="0"/>
        <v>26</v>
      </c>
      <c r="C27" s="11">
        <v>1</v>
      </c>
      <c r="D27" s="11">
        <v>2021</v>
      </c>
      <c r="E27" s="18">
        <f>'FS Seychelles'!B28</f>
        <v>5.26</v>
      </c>
      <c r="F27" s="18">
        <f>'FS Seychelles'!C28*1000</f>
        <v>2829.056</v>
      </c>
      <c r="G27" s="18">
        <f>'FS Seychelles'!D28*1000</f>
        <v>3568.1280000000002</v>
      </c>
      <c r="H27" s="18">
        <f>'FS Seychelles'!E28*1000</f>
        <v>3867.136</v>
      </c>
      <c r="I27" s="18">
        <f>'FS Seychelles'!F28*1000</f>
        <v>1695.7439999999999</v>
      </c>
      <c r="J27" s="18">
        <f>'FS Seychelles'!G28*1000</f>
        <v>2777.6</v>
      </c>
      <c r="K27" s="18">
        <f>'FS Seychelles'!H28*1000</f>
        <v>932.22400000000005</v>
      </c>
      <c r="L27" s="18">
        <f>'FS Seychelles'!I28*1000</f>
        <v>1120.384</v>
      </c>
      <c r="M27" s="18">
        <f>'FS Seychelles'!J28*1000</f>
        <v>1378.816</v>
      </c>
      <c r="N27" s="18">
        <f>'FS Seychelles'!K28*1000</f>
        <v>3345.152</v>
      </c>
      <c r="O27" s="18">
        <f>'FS Seychelles'!L28</f>
        <v>2871</v>
      </c>
      <c r="P27" s="18">
        <f>'FS Seychelles'!M28</f>
        <v>11656</v>
      </c>
      <c r="Q27" s="18">
        <f>'FS Seychelles'!N28</f>
        <v>7629</v>
      </c>
      <c r="R27" s="18">
        <f>'FS Seychelles'!O28</f>
        <v>6234</v>
      </c>
      <c r="S27" s="18">
        <f>'FS Seychelles'!P28</f>
        <v>0</v>
      </c>
      <c r="T27" s="18">
        <f>'FS Seychelles'!Q28</f>
        <v>7801</v>
      </c>
      <c r="U27" s="18">
        <f>'FS Seychelles'!S28</f>
        <v>30</v>
      </c>
      <c r="V27" s="18">
        <f>'FS Seychelles'!T28</f>
        <v>0</v>
      </c>
      <c r="W27" s="18">
        <f>'FS Seychelles'!U28</f>
        <v>63</v>
      </c>
      <c r="X27" s="18">
        <f>'FS Seychelles'!V28</f>
        <v>197</v>
      </c>
      <c r="Y27" s="18">
        <f>'FS Seychelles'!W28</f>
        <v>161</v>
      </c>
      <c r="Z27" s="18">
        <f>'FS Seychelles'!X28</f>
        <v>123</v>
      </c>
      <c r="AA27" s="18">
        <f>'FS Seychelles'!Y28</f>
        <v>0</v>
      </c>
      <c r="AB27" s="18">
        <f>('FS Seychelles'!AB34+'FS Seychelles'!AB40)/30</f>
        <v>0</v>
      </c>
    </row>
    <row r="28" spans="1:28" x14ac:dyDescent="0.25">
      <c r="A28" s="1" t="s">
        <v>13</v>
      </c>
      <c r="B28" s="11">
        <f t="shared" si="0"/>
        <v>27</v>
      </c>
      <c r="C28" s="11">
        <v>1</v>
      </c>
      <c r="D28" s="11">
        <v>2021</v>
      </c>
      <c r="E28" s="18">
        <f>'FS Seychelles'!B29</f>
        <v>20.97</v>
      </c>
      <c r="F28" s="18">
        <f>'FS Seychelles'!C29*1000</f>
        <v>2353.4079999999999</v>
      </c>
      <c r="G28" s="18">
        <f>'FS Seychelles'!D29*1000</f>
        <v>3239.424</v>
      </c>
      <c r="H28" s="18">
        <f>'FS Seychelles'!E29*1000</f>
        <v>3622.3999999999996</v>
      </c>
      <c r="I28" s="18">
        <f>'FS Seychelles'!F29*1000</f>
        <v>1394.4319999999998</v>
      </c>
      <c r="J28" s="18">
        <f>'FS Seychelles'!G29*1000</f>
        <v>2674.1759999999999</v>
      </c>
      <c r="K28" s="18">
        <f>'FS Seychelles'!H29*1000</f>
        <v>633.66399999999999</v>
      </c>
      <c r="L28" s="18">
        <f>'FS Seychelles'!I29*1000</f>
        <v>1268.2239999999999</v>
      </c>
      <c r="M28" s="18">
        <f>'FS Seychelles'!J29*1000</f>
        <v>1297.152</v>
      </c>
      <c r="N28" s="18">
        <f>'FS Seychelles'!K29*1000</f>
        <v>3403.52</v>
      </c>
      <c r="O28" s="18">
        <f>'FS Seychelles'!L29</f>
        <v>1329</v>
      </c>
      <c r="P28" s="18">
        <f>'FS Seychelles'!M29</f>
        <v>6681</v>
      </c>
      <c r="Q28" s="18">
        <f>'FS Seychelles'!N29</f>
        <v>9871</v>
      </c>
      <c r="R28" s="18">
        <f>'FS Seychelles'!O29</f>
        <v>4993</v>
      </c>
      <c r="S28" s="18">
        <f>'FS Seychelles'!P29</f>
        <v>0</v>
      </c>
      <c r="T28" s="18">
        <f>'FS Seychelles'!Q29</f>
        <v>6409</v>
      </c>
      <c r="U28" s="18">
        <f>'FS Seychelles'!S29</f>
        <v>29</v>
      </c>
      <c r="V28" s="18">
        <f>'FS Seychelles'!T29</f>
        <v>32</v>
      </c>
      <c r="W28" s="18">
        <f>'FS Seychelles'!U29</f>
        <v>46</v>
      </c>
      <c r="X28" s="18">
        <f>'FS Seychelles'!V29</f>
        <v>177</v>
      </c>
      <c r="Y28" s="18">
        <f>'FS Seychelles'!W29</f>
        <v>168</v>
      </c>
      <c r="Z28" s="18">
        <f>'FS Seychelles'!X29</f>
        <v>83</v>
      </c>
      <c r="AA28" s="18">
        <f>'FS Seychelles'!Y29</f>
        <v>0</v>
      </c>
      <c r="AB28" s="18">
        <f>('FS Seychelles'!AB35+'FS Seychelles'!AB41)/30</f>
        <v>0</v>
      </c>
    </row>
    <row r="29" spans="1:28" x14ac:dyDescent="0.25">
      <c r="A29" s="1" t="s">
        <v>13</v>
      </c>
      <c r="B29" s="11">
        <f t="shared" si="0"/>
        <v>28</v>
      </c>
      <c r="C29" s="11">
        <v>1</v>
      </c>
      <c r="D29" s="11">
        <v>2021</v>
      </c>
      <c r="E29" s="18">
        <f>'FS Seychelles'!B30</f>
        <v>27.42</v>
      </c>
      <c r="F29" s="18">
        <f>'FS Seychelles'!C30*1000</f>
        <v>2891.2640000000001</v>
      </c>
      <c r="G29" s="18">
        <f>'FS Seychelles'!D30*1000</f>
        <v>3609.0879999999997</v>
      </c>
      <c r="H29" s="18">
        <f>'FS Seychelles'!E30*1000</f>
        <v>3960.3199999999997</v>
      </c>
      <c r="I29" s="18">
        <f>'FS Seychelles'!F30*1000</f>
        <v>1660.9279999999999</v>
      </c>
      <c r="J29" s="18">
        <f>'FS Seychelles'!G30*1000</f>
        <v>3079.9360000000001</v>
      </c>
      <c r="K29" s="18">
        <f>'FS Seychelles'!H30*1000</f>
        <v>878.27200000000005</v>
      </c>
      <c r="L29" s="18">
        <f>'FS Seychelles'!I30*1000</f>
        <v>1182.5920000000001</v>
      </c>
      <c r="M29" s="18">
        <f>'FS Seychelles'!J30*1000</f>
        <v>1347.5839999999998</v>
      </c>
      <c r="N29" s="18">
        <f>'FS Seychelles'!K30*1000</f>
        <v>3359.7440000000001</v>
      </c>
      <c r="O29" s="18">
        <f>'FS Seychelles'!L30</f>
        <v>8184</v>
      </c>
      <c r="P29" s="18">
        <f>'FS Seychelles'!M30</f>
        <v>621</v>
      </c>
      <c r="Q29" s="18">
        <f>'FS Seychelles'!N30</f>
        <v>5827</v>
      </c>
      <c r="R29" s="18">
        <f>'FS Seychelles'!O30</f>
        <v>11126</v>
      </c>
      <c r="S29" s="18">
        <f>'FS Seychelles'!P30</f>
        <v>0</v>
      </c>
      <c r="T29" s="18">
        <f>'FS Seychelles'!Q30</f>
        <v>7260</v>
      </c>
      <c r="U29" s="18">
        <f>'FS Seychelles'!S30</f>
        <v>31</v>
      </c>
      <c r="V29" s="18">
        <f>'FS Seychelles'!T30</f>
        <v>33</v>
      </c>
      <c r="W29" s="18">
        <f>'FS Seychelles'!U30</f>
        <v>44</v>
      </c>
      <c r="X29" s="18">
        <f>'FS Seychelles'!V30</f>
        <v>201</v>
      </c>
      <c r="Y29" s="18">
        <f>'FS Seychelles'!W30</f>
        <v>176</v>
      </c>
      <c r="Z29" s="18">
        <f>'FS Seychelles'!X30</f>
        <v>113</v>
      </c>
      <c r="AA29" s="18">
        <f>'FS Seychelles'!Y30</f>
        <v>0</v>
      </c>
      <c r="AB29" s="18">
        <f>('FS Seychelles'!AB36+'FS Seychelles'!AB42)/30</f>
        <v>0</v>
      </c>
    </row>
    <row r="30" spans="1:28" x14ac:dyDescent="0.25">
      <c r="A30" s="1" t="s">
        <v>13</v>
      </c>
      <c r="B30" s="11">
        <f t="shared" si="0"/>
        <v>29</v>
      </c>
      <c r="C30" s="11">
        <v>1</v>
      </c>
      <c r="D30" s="11">
        <v>2021</v>
      </c>
      <c r="E30" s="18">
        <f>'FS Seychelles'!B31</f>
        <v>29.03</v>
      </c>
      <c r="F30" s="18">
        <f>'FS Seychelles'!C31*1000</f>
        <v>2195.9680000000003</v>
      </c>
      <c r="G30" s="18">
        <f>'FS Seychelles'!D31*1000</f>
        <v>2856.4479999999999</v>
      </c>
      <c r="H30" s="18">
        <f>'FS Seychelles'!E31*1000</f>
        <v>3518.4639999999999</v>
      </c>
      <c r="I30" s="18">
        <f>'FS Seychelles'!F31*1000</f>
        <v>1250.816</v>
      </c>
      <c r="J30" s="18">
        <f>'FS Seychelles'!G31*1000</f>
        <v>2597.3760000000002</v>
      </c>
      <c r="K30" s="18">
        <f>'FS Seychelles'!H31*1000</f>
        <v>573.56799999999998</v>
      </c>
      <c r="L30" s="18">
        <f>'FS Seychelles'!I31*1000</f>
        <v>1333.76</v>
      </c>
      <c r="M30" s="18">
        <f>'FS Seychelles'!J31*1000</f>
        <v>1233.9199999999998</v>
      </c>
      <c r="N30" s="18">
        <f>'FS Seychelles'!K31*1000</f>
        <v>3445.248</v>
      </c>
      <c r="O30" s="18">
        <f>'FS Seychelles'!L31</f>
        <v>10879</v>
      </c>
      <c r="P30" s="18">
        <f>'FS Seychelles'!M31</f>
        <v>932</v>
      </c>
      <c r="Q30" s="18">
        <f>'FS Seychelles'!N31</f>
        <v>15831</v>
      </c>
      <c r="R30" s="18">
        <f>'FS Seychelles'!O31</f>
        <v>6902</v>
      </c>
      <c r="S30" s="18">
        <f>'FS Seychelles'!P31</f>
        <v>0</v>
      </c>
      <c r="T30" s="18">
        <f>'FS Seychelles'!Q31</f>
        <v>9401</v>
      </c>
      <c r="U30" s="18">
        <f>'FS Seychelles'!S31</f>
        <v>28</v>
      </c>
      <c r="V30" s="18">
        <f>'FS Seychelles'!T31</f>
        <v>35</v>
      </c>
      <c r="W30" s="18">
        <f>'FS Seychelles'!U31</f>
        <v>45</v>
      </c>
      <c r="X30" s="18">
        <f>'FS Seychelles'!V31</f>
        <v>177</v>
      </c>
      <c r="Y30" s="18">
        <f>'FS Seychelles'!W31</f>
        <v>190</v>
      </c>
      <c r="Z30" s="18">
        <f>'FS Seychelles'!X31</f>
        <v>71</v>
      </c>
      <c r="AA30" s="18">
        <f>'FS Seychelles'!Y31</f>
        <v>0</v>
      </c>
      <c r="AB30" s="18">
        <f>('FS Seychelles'!AB37+'FS Seychelles'!AB43)/30</f>
        <v>0</v>
      </c>
    </row>
    <row r="31" spans="1:28" x14ac:dyDescent="0.25">
      <c r="A31" s="1" t="s">
        <v>13</v>
      </c>
      <c r="B31" s="11">
        <f t="shared" si="0"/>
        <v>30</v>
      </c>
      <c r="C31" s="11">
        <v>1</v>
      </c>
      <c r="D31" s="11">
        <v>2021</v>
      </c>
      <c r="E31" s="18">
        <f>'FS Seychelles'!B32</f>
        <v>29.03</v>
      </c>
      <c r="F31" s="18">
        <f>'FS Seychelles'!C32*1000</f>
        <v>2431.4879999999998</v>
      </c>
      <c r="G31" s="18">
        <f>'FS Seychelles'!D32*1000</f>
        <v>3092.9920000000002</v>
      </c>
      <c r="H31" s="18">
        <f>'FS Seychelles'!E32*1000</f>
        <v>3539.9679999999998</v>
      </c>
      <c r="I31" s="18">
        <f>'FS Seychelles'!F32*1000</f>
        <v>1416.704</v>
      </c>
      <c r="J31" s="18">
        <f>'FS Seychelles'!G32*1000</f>
        <v>2883.328</v>
      </c>
      <c r="K31" s="18">
        <f>'FS Seychelles'!H32*1000</f>
        <v>660.60799999999995</v>
      </c>
      <c r="L31" s="18">
        <f>'FS Seychelles'!I32*1000</f>
        <v>1287.296</v>
      </c>
      <c r="M31" s="18">
        <f>'FS Seychelles'!J32*1000</f>
        <v>1264.896</v>
      </c>
      <c r="N31" s="18">
        <f>'FS Seychelles'!K32*1000</f>
        <v>3378.1759999999999</v>
      </c>
      <c r="O31" s="18">
        <f>'FS Seychelles'!L32</f>
        <v>4263</v>
      </c>
      <c r="P31" s="18">
        <f>'FS Seychelles'!M32</f>
        <v>874</v>
      </c>
      <c r="Q31" s="18">
        <f>'FS Seychelles'!N32</f>
        <v>13241</v>
      </c>
      <c r="R31" s="18">
        <f>'FS Seychelles'!O32</f>
        <v>0</v>
      </c>
      <c r="S31" s="18">
        <f>'FS Seychelles'!P32</f>
        <v>0</v>
      </c>
      <c r="T31" s="18">
        <f>'FS Seychelles'!Q32</f>
        <v>4880</v>
      </c>
      <c r="U31" s="18">
        <f>'FS Seychelles'!S32</f>
        <v>30</v>
      </c>
      <c r="V31" s="18">
        <f>'FS Seychelles'!T32</f>
        <v>23</v>
      </c>
      <c r="W31" s="18">
        <f>'FS Seychelles'!U32</f>
        <v>67</v>
      </c>
      <c r="X31" s="18">
        <f>'FS Seychelles'!V32</f>
        <v>157</v>
      </c>
      <c r="Y31" s="18">
        <f>'FS Seychelles'!W32</f>
        <v>191</v>
      </c>
      <c r="Z31" s="18">
        <f>'FS Seychelles'!X32</f>
        <v>64</v>
      </c>
      <c r="AA31" s="18">
        <f>'FS Seychelles'!Y32</f>
        <v>0</v>
      </c>
      <c r="AB31" s="18">
        <f>('FS Seychelles'!AB38+'FS Seychelles'!AB44)/30</f>
        <v>0</v>
      </c>
    </row>
    <row r="32" spans="1:28" x14ac:dyDescent="0.25">
      <c r="A32" s="1" t="s">
        <v>13</v>
      </c>
      <c r="B32" s="11">
        <f t="shared" si="0"/>
        <v>31</v>
      </c>
      <c r="C32" s="11">
        <v>1</v>
      </c>
      <c r="D32" s="11">
        <v>2021</v>
      </c>
      <c r="E32" s="18">
        <f>'FS Seychelles'!B33</f>
        <v>26.98</v>
      </c>
      <c r="F32" s="18">
        <f>'FS Seychelles'!C33*1000</f>
        <v>2992.6400000000003</v>
      </c>
      <c r="G32" s="18">
        <f>'FS Seychelles'!D33*1000</f>
        <v>3569.6639999999998</v>
      </c>
      <c r="H32" s="18">
        <f>'FS Seychelles'!E33*1000</f>
        <v>3639.808</v>
      </c>
      <c r="I32" s="18">
        <f>'FS Seychelles'!F33*1000</f>
        <v>1585.4079999999999</v>
      </c>
      <c r="J32" s="18">
        <f>'FS Seychelles'!G33*1000</f>
        <v>3311.1039999999998</v>
      </c>
      <c r="K32" s="18">
        <f>'FS Seychelles'!H33*1000</f>
        <v>896.38400000000001</v>
      </c>
      <c r="L32" s="18">
        <f>'FS Seychelles'!I33*1000</f>
        <v>1230.9760000000001</v>
      </c>
      <c r="M32" s="18">
        <f>'FS Seychelles'!J33*1000</f>
        <v>1340.9279999999999</v>
      </c>
      <c r="N32" s="18">
        <f>'FS Seychelles'!K33*1000</f>
        <v>3290.1120000000001</v>
      </c>
      <c r="O32" s="18">
        <f>'FS Seychelles'!L33</f>
        <v>6314</v>
      </c>
      <c r="P32" s="18">
        <f>'FS Seychelles'!M33</f>
        <v>8773</v>
      </c>
      <c r="Q32" s="18">
        <f>'FS Seychelles'!N33</f>
        <v>0</v>
      </c>
      <c r="R32" s="18">
        <f>'FS Seychelles'!O33</f>
        <v>10132</v>
      </c>
      <c r="S32" s="18">
        <f>'FS Seychelles'!P33</f>
        <v>0</v>
      </c>
      <c r="T32" s="18">
        <f>'FS Seychelles'!Q33</f>
        <v>7136</v>
      </c>
      <c r="U32" s="18">
        <f>'FS Seychelles'!S33</f>
        <v>33</v>
      </c>
      <c r="V32" s="18">
        <f>'FS Seychelles'!T33</f>
        <v>14</v>
      </c>
      <c r="W32" s="18">
        <f>'FS Seychelles'!U33</f>
        <v>50</v>
      </c>
      <c r="X32" s="18">
        <f>'FS Seychelles'!V33</f>
        <v>150</v>
      </c>
      <c r="Y32" s="18">
        <f>'FS Seychelles'!W33</f>
        <v>131</v>
      </c>
      <c r="Z32" s="18">
        <f>'FS Seychelles'!X33</f>
        <v>115</v>
      </c>
      <c r="AA32" s="18">
        <f>'FS Seychelles'!Y33</f>
        <v>0</v>
      </c>
      <c r="AB32" s="18">
        <f>('FS Seychelles'!AB39+'FS Seychelles'!AB45)/30</f>
        <v>0</v>
      </c>
    </row>
    <row r="33" spans="15:18" x14ac:dyDescent="0.25">
      <c r="O33" s="18">
        <f>SUM(O2:O32)</f>
        <v>202119</v>
      </c>
      <c r="P33" s="18">
        <f>SUM(P2:P32)</f>
        <v>189198</v>
      </c>
      <c r="Q33" s="18">
        <f>SUM(Q2:Q32)</f>
        <v>148798</v>
      </c>
      <c r="R33" s="18">
        <f>SUM(R2:R32)</f>
        <v>178123</v>
      </c>
    </row>
    <row r="35" spans="15:18" x14ac:dyDescent="0.25">
      <c r="R35" s="18">
        <f>SUM(O33:R33)</f>
        <v>718238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50"/>
  <sheetViews>
    <sheetView zoomScaleNormal="100" workbookViewId="0">
      <pane xSplit="1" topLeftCell="N1" activePane="topRight" state="frozen"/>
      <selection pane="topRight" activeCell="R19" sqref="R19:R33"/>
    </sheetView>
  </sheetViews>
  <sheetFormatPr defaultRowHeight="12.75" x14ac:dyDescent="0.2"/>
  <cols>
    <col min="1" max="1" width="10.42578125" style="19" bestFit="1" customWidth="1"/>
    <col min="2" max="2" width="12.7109375" style="35" customWidth="1"/>
    <col min="3" max="3" width="9.140625" style="19"/>
    <col min="4" max="11" width="9.140625" style="43"/>
    <col min="12" max="12" width="13.42578125" style="19" customWidth="1"/>
    <col min="13" max="13" width="11.42578125" style="19" customWidth="1"/>
    <col min="14" max="14" width="11.7109375" style="19" customWidth="1"/>
    <col min="15" max="15" width="11.5703125" style="19" customWidth="1"/>
    <col min="16" max="16" width="11.7109375" style="19" customWidth="1"/>
    <col min="17" max="18" width="12" style="19" customWidth="1"/>
    <col min="19" max="20" width="10.7109375" style="19" customWidth="1"/>
    <col min="21" max="21" width="9.42578125" style="19" bestFit="1" customWidth="1"/>
    <col min="22" max="22" width="9.140625" style="19"/>
    <col min="23" max="23" width="6" style="19" bestFit="1" customWidth="1"/>
    <col min="24" max="24" width="9.140625" style="19"/>
    <col min="25" max="25" width="11.85546875" style="19" customWidth="1"/>
    <col min="26" max="26" width="13.5703125" style="39" customWidth="1"/>
    <col min="27" max="28" width="9.140625" style="39"/>
    <col min="29" max="16384" width="9.140625" style="19"/>
  </cols>
  <sheetData>
    <row r="1" spans="1:28" x14ac:dyDescent="0.2">
      <c r="C1" s="86"/>
      <c r="D1" s="86"/>
      <c r="E1" s="86"/>
      <c r="F1" s="86"/>
      <c r="G1" s="86"/>
      <c r="H1" s="86"/>
      <c r="I1" s="86"/>
      <c r="J1" s="86"/>
      <c r="K1" s="86"/>
    </row>
    <row r="2" spans="1:28" s="24" customFormat="1" ht="31.5" customHeight="1" x14ac:dyDescent="0.2">
      <c r="A2" s="33" t="s">
        <v>38</v>
      </c>
      <c r="B2" s="46" t="s">
        <v>14</v>
      </c>
      <c r="C2" s="47" t="s">
        <v>39</v>
      </c>
      <c r="D2" s="48" t="s">
        <v>40</v>
      </c>
      <c r="E2" s="48" t="s">
        <v>41</v>
      </c>
      <c r="F2" s="48" t="s">
        <v>42</v>
      </c>
      <c r="G2" s="48" t="s">
        <v>43</v>
      </c>
      <c r="H2" s="48" t="s">
        <v>44</v>
      </c>
      <c r="I2" s="48" t="s">
        <v>45</v>
      </c>
      <c r="J2" s="48" t="s">
        <v>46</v>
      </c>
      <c r="K2" s="48" t="s">
        <v>47</v>
      </c>
      <c r="L2" s="49" t="s">
        <v>48</v>
      </c>
      <c r="M2" s="49" t="s">
        <v>49</v>
      </c>
      <c r="N2" s="49" t="s">
        <v>50</v>
      </c>
      <c r="O2" s="49" t="s">
        <v>51</v>
      </c>
      <c r="P2" s="49" t="s">
        <v>52</v>
      </c>
      <c r="Q2" s="50" t="s">
        <v>53</v>
      </c>
      <c r="R2" s="50" t="s">
        <v>54</v>
      </c>
      <c r="S2" s="45" t="s">
        <v>55</v>
      </c>
      <c r="T2" s="45" t="s">
        <v>56</v>
      </c>
      <c r="U2" s="45" t="s">
        <v>57</v>
      </c>
      <c r="V2" s="45" t="s">
        <v>58</v>
      </c>
      <c r="W2" s="45" t="s">
        <v>59</v>
      </c>
      <c r="X2" s="45" t="s">
        <v>60</v>
      </c>
      <c r="Y2" s="51" t="s">
        <v>61</v>
      </c>
      <c r="Z2" s="88" t="s">
        <v>37</v>
      </c>
      <c r="AA2" s="88"/>
      <c r="AB2" s="88"/>
    </row>
    <row r="3" spans="1:28" ht="15" customHeight="1" x14ac:dyDescent="0.2">
      <c r="A3" s="21">
        <v>44197</v>
      </c>
      <c r="B3" s="59">
        <v>20.29</v>
      </c>
      <c r="C3" s="60">
        <v>2.280192</v>
      </c>
      <c r="D3" s="61">
        <v>4.2972159999999997</v>
      </c>
      <c r="E3" s="61">
        <v>4.3115519999999998</v>
      </c>
      <c r="F3" s="61">
        <v>1.7559039999999999</v>
      </c>
      <c r="G3" s="61">
        <v>2.534656</v>
      </c>
      <c r="H3" s="61">
        <v>0.58399999999999996</v>
      </c>
      <c r="I3" s="61">
        <v>1.3482240000000001</v>
      </c>
      <c r="J3" s="61">
        <v>1.2103680000000001</v>
      </c>
      <c r="K3" s="61">
        <v>3.2896000000000001</v>
      </c>
      <c r="L3" s="34">
        <v>4264</v>
      </c>
      <c r="M3" s="34">
        <v>7608</v>
      </c>
      <c r="N3" s="34">
        <v>7644</v>
      </c>
      <c r="O3" s="34">
        <v>4225</v>
      </c>
      <c r="P3" s="34">
        <v>0</v>
      </c>
      <c r="Q3" s="22">
        <f>1253+2032+2067+1272</f>
        <v>6624</v>
      </c>
      <c r="R3" s="22">
        <v>0.86</v>
      </c>
      <c r="S3" s="32">
        <v>30</v>
      </c>
      <c r="T3" s="20">
        <v>22</v>
      </c>
      <c r="U3" s="20">
        <v>101</v>
      </c>
      <c r="V3" s="20">
        <v>139</v>
      </c>
      <c r="W3" s="20">
        <v>131</v>
      </c>
      <c r="X3" s="32">
        <v>62</v>
      </c>
      <c r="Y3" s="38">
        <v>0</v>
      </c>
      <c r="Z3" s="89" t="s">
        <v>62</v>
      </c>
      <c r="AA3" s="89"/>
      <c r="AB3" s="89"/>
    </row>
    <row r="4" spans="1:28" ht="16.5" customHeight="1" x14ac:dyDescent="0.2">
      <c r="A4" s="21">
        <v>44198</v>
      </c>
      <c r="B4" s="59">
        <v>19.11</v>
      </c>
      <c r="C4" s="60">
        <v>2.5331199999999998</v>
      </c>
      <c r="D4" s="61">
        <v>4.5537280000000004</v>
      </c>
      <c r="E4" s="61">
        <v>4.2536959999999997</v>
      </c>
      <c r="F4" s="61">
        <v>1.8227199999999999</v>
      </c>
      <c r="G4" s="61">
        <v>2.5863679999999998</v>
      </c>
      <c r="H4" s="61">
        <v>0.59827200000000003</v>
      </c>
      <c r="I4" s="61">
        <v>1.2218880000000001</v>
      </c>
      <c r="J4" s="61">
        <v>1.5534079999999999</v>
      </c>
      <c r="K4" s="61">
        <v>3.1111680000000002</v>
      </c>
      <c r="L4" s="76">
        <v>8655</v>
      </c>
      <c r="M4" s="34">
        <v>4239</v>
      </c>
      <c r="N4" s="34">
        <v>3939</v>
      </c>
      <c r="O4" s="34">
        <v>8305</v>
      </c>
      <c r="P4" s="34">
        <v>0</v>
      </c>
      <c r="Q4" s="22">
        <f>2380+1117+1089+2494</f>
        <v>7080</v>
      </c>
      <c r="R4" s="22">
        <v>0.86</v>
      </c>
      <c r="S4" s="32">
        <v>30</v>
      </c>
      <c r="T4" s="20">
        <v>35</v>
      </c>
      <c r="U4" s="20">
        <v>118</v>
      </c>
      <c r="V4" s="20">
        <v>142</v>
      </c>
      <c r="W4" s="20">
        <v>92</v>
      </c>
      <c r="X4" s="32">
        <v>0</v>
      </c>
      <c r="Y4" s="38">
        <v>0</v>
      </c>
      <c r="Z4" s="36" t="s">
        <v>63</v>
      </c>
      <c r="AA4" s="42" t="s">
        <v>64</v>
      </c>
      <c r="AB4" s="36" t="s">
        <v>65</v>
      </c>
    </row>
    <row r="5" spans="1:28" ht="15" x14ac:dyDescent="0.2">
      <c r="A5" s="21">
        <v>44199</v>
      </c>
      <c r="B5" s="59">
        <v>24.62</v>
      </c>
      <c r="C5" s="60">
        <v>2.2138879999999999</v>
      </c>
      <c r="D5" s="61">
        <v>4.024832</v>
      </c>
      <c r="E5" s="61">
        <v>4.0975359999999998</v>
      </c>
      <c r="F5" s="61">
        <v>1.423872</v>
      </c>
      <c r="G5" s="61">
        <v>2.567936</v>
      </c>
      <c r="H5" s="61">
        <v>0.46572799999999998</v>
      </c>
      <c r="I5" s="61">
        <v>1.2756479999999999</v>
      </c>
      <c r="J5" s="61">
        <v>1.4558720000000001</v>
      </c>
      <c r="K5" s="61">
        <v>3.3029120000000001</v>
      </c>
      <c r="L5" s="34">
        <v>10730</v>
      </c>
      <c r="M5" s="34">
        <v>5684</v>
      </c>
      <c r="N5" s="34">
        <v>2568</v>
      </c>
      <c r="O5" s="34">
        <v>3469</v>
      </c>
      <c r="P5" s="34">
        <v>0</v>
      </c>
      <c r="Q5" s="22">
        <f>2881+1577+690+1064</f>
        <v>6212</v>
      </c>
      <c r="R5" s="22">
        <v>0.86</v>
      </c>
      <c r="S5" s="32">
        <v>29</v>
      </c>
      <c r="T5" s="20">
        <v>16</v>
      </c>
      <c r="U5" s="20">
        <v>116</v>
      </c>
      <c r="V5" s="20">
        <v>123</v>
      </c>
      <c r="W5" s="20">
        <v>88</v>
      </c>
      <c r="X5" s="20">
        <v>61</v>
      </c>
      <c r="Y5" s="38">
        <v>0</v>
      </c>
      <c r="Z5" s="37">
        <v>4.5</v>
      </c>
      <c r="AA5" s="40">
        <v>2</v>
      </c>
      <c r="AB5" s="37">
        <f t="shared" ref="AB5:AB7" si="0">Z5*AA5</f>
        <v>9</v>
      </c>
    </row>
    <row r="6" spans="1:28" ht="15" x14ac:dyDescent="0.2">
      <c r="A6" s="21">
        <v>44200</v>
      </c>
      <c r="B6" s="64">
        <v>25</v>
      </c>
      <c r="C6" s="60">
        <v>2.459136</v>
      </c>
      <c r="D6" s="61">
        <v>3.8988800000000001</v>
      </c>
      <c r="E6" s="61">
        <v>4.2506240000000002</v>
      </c>
      <c r="F6" s="61">
        <v>1.501952</v>
      </c>
      <c r="G6" s="61">
        <v>2.774016</v>
      </c>
      <c r="H6" s="61">
        <v>0.51321600000000001</v>
      </c>
      <c r="I6" s="61">
        <v>1.2974079999999999</v>
      </c>
      <c r="J6" s="61">
        <v>1.3757440000000001</v>
      </c>
      <c r="K6" s="61">
        <v>3.359232</v>
      </c>
      <c r="L6" s="34">
        <v>6826</v>
      </c>
      <c r="M6" s="34">
        <v>4159</v>
      </c>
      <c r="N6" s="34">
        <v>6700</v>
      </c>
      <c r="O6" s="34">
        <v>5030</v>
      </c>
      <c r="P6" s="34">
        <v>0</v>
      </c>
      <c r="Q6" s="22">
        <f>1795+1126+1823+1346</f>
        <v>6090</v>
      </c>
      <c r="R6" s="22">
        <f>18.06/21.24</f>
        <v>0.85028248587570621</v>
      </c>
      <c r="S6" s="32">
        <v>25</v>
      </c>
      <c r="T6" s="20">
        <v>42</v>
      </c>
      <c r="U6" s="20">
        <v>96</v>
      </c>
      <c r="V6" s="20">
        <v>143</v>
      </c>
      <c r="W6" s="20">
        <v>114</v>
      </c>
      <c r="X6" s="20">
        <v>0</v>
      </c>
      <c r="Y6" s="38">
        <v>0</v>
      </c>
      <c r="Z6" s="37">
        <v>9</v>
      </c>
      <c r="AA6" s="40">
        <v>7</v>
      </c>
      <c r="AB6" s="37">
        <f t="shared" si="0"/>
        <v>63</v>
      </c>
    </row>
    <row r="7" spans="1:28" ht="15" x14ac:dyDescent="0.2">
      <c r="A7" s="21">
        <v>44201</v>
      </c>
      <c r="B7" s="59">
        <v>21.54</v>
      </c>
      <c r="C7" s="60">
        <v>2.4691200000000002</v>
      </c>
      <c r="D7" s="61">
        <v>3.8983680000000001</v>
      </c>
      <c r="E7" s="61">
        <v>4.2168320000000001</v>
      </c>
      <c r="F7" s="61">
        <v>1.55264</v>
      </c>
      <c r="G7" s="61">
        <v>2.7466240000000002</v>
      </c>
      <c r="H7" s="61">
        <v>0.54892799999999997</v>
      </c>
      <c r="I7" s="61">
        <v>1.2876799999999999</v>
      </c>
      <c r="J7" s="61">
        <v>1.3294079999999999</v>
      </c>
      <c r="K7" s="61">
        <v>3.2496640000000001</v>
      </c>
      <c r="L7" s="34">
        <v>7419</v>
      </c>
      <c r="M7" s="34">
        <v>7942</v>
      </c>
      <c r="N7" s="34">
        <v>0</v>
      </c>
      <c r="O7" s="34">
        <v>4789</v>
      </c>
      <c r="P7" s="34">
        <v>0</v>
      </c>
      <c r="Q7" s="22">
        <f>2089+2211+1105</f>
        <v>5405</v>
      </c>
      <c r="R7" s="22">
        <f t="shared" ref="R7:R12" si="1">18.06/21.24</f>
        <v>0.85028248587570621</v>
      </c>
      <c r="S7" s="32">
        <v>23</v>
      </c>
      <c r="T7" s="20">
        <v>25</v>
      </c>
      <c r="U7" s="20">
        <v>104</v>
      </c>
      <c r="V7" s="20">
        <v>174</v>
      </c>
      <c r="W7" s="20">
        <v>96</v>
      </c>
      <c r="X7" s="58">
        <v>0</v>
      </c>
      <c r="Y7" s="38">
        <v>0</v>
      </c>
      <c r="Z7" s="37">
        <v>5</v>
      </c>
      <c r="AA7" s="40">
        <v>11</v>
      </c>
      <c r="AB7" s="37">
        <f t="shared" si="0"/>
        <v>55</v>
      </c>
    </row>
    <row r="8" spans="1:28" ht="15" x14ac:dyDescent="0.2">
      <c r="A8" s="21">
        <v>44202</v>
      </c>
      <c r="B8" s="59">
        <v>20.9</v>
      </c>
      <c r="C8" s="60">
        <v>2.6897920000000002</v>
      </c>
      <c r="D8" s="61">
        <v>3.894784</v>
      </c>
      <c r="E8" s="61">
        <v>4.1584640000000004</v>
      </c>
      <c r="F8" s="61">
        <v>1.627648</v>
      </c>
      <c r="G8" s="61">
        <v>2.6462720000000002</v>
      </c>
      <c r="H8" s="61">
        <v>0.62041599999999997</v>
      </c>
      <c r="I8" s="61">
        <v>1.273344</v>
      </c>
      <c r="J8" s="61">
        <v>1.353728</v>
      </c>
      <c r="K8" s="61">
        <v>3.1370239999999998</v>
      </c>
      <c r="L8" s="34">
        <v>7713</v>
      </c>
      <c r="M8" s="34">
        <v>8295</v>
      </c>
      <c r="N8" s="34">
        <v>3793</v>
      </c>
      <c r="O8" s="34">
        <v>3954</v>
      </c>
      <c r="P8" s="34">
        <v>0</v>
      </c>
      <c r="Q8" s="22">
        <f>1893+2074+1057+1381</f>
        <v>6405</v>
      </c>
      <c r="R8" s="22">
        <f t="shared" si="1"/>
        <v>0.85028248587570621</v>
      </c>
      <c r="S8" s="58">
        <v>25</v>
      </c>
      <c r="T8" s="58">
        <v>1</v>
      </c>
      <c r="U8" s="58">
        <v>99</v>
      </c>
      <c r="V8" s="58">
        <v>138</v>
      </c>
      <c r="W8" s="58">
        <v>99</v>
      </c>
      <c r="X8" s="58">
        <v>0</v>
      </c>
      <c r="Y8" s="38">
        <v>0</v>
      </c>
      <c r="Z8" s="37">
        <v>20</v>
      </c>
      <c r="AA8" s="40">
        <v>48</v>
      </c>
      <c r="AB8" s="37">
        <f>Z8*AA8</f>
        <v>960</v>
      </c>
    </row>
    <row r="9" spans="1:28" ht="15" customHeight="1" x14ac:dyDescent="0.2">
      <c r="A9" s="21">
        <v>44203</v>
      </c>
      <c r="B9" s="59">
        <v>21.54</v>
      </c>
      <c r="C9" s="60">
        <v>2.7043840000000001</v>
      </c>
      <c r="D9" s="61">
        <v>3.9736319999999998</v>
      </c>
      <c r="E9" s="61">
        <v>4.1461759999999996</v>
      </c>
      <c r="F9" s="61">
        <v>1.6954880000000001</v>
      </c>
      <c r="G9" s="61">
        <v>2.7279360000000001</v>
      </c>
      <c r="H9" s="61">
        <v>0.60255999999999998</v>
      </c>
      <c r="I9" s="61">
        <v>1.298816</v>
      </c>
      <c r="J9" s="61">
        <v>1.299712</v>
      </c>
      <c r="K9" s="61">
        <v>3.3812479999999998</v>
      </c>
      <c r="L9" s="34">
        <v>6701</v>
      </c>
      <c r="M9" s="34">
        <v>3643</v>
      </c>
      <c r="N9" s="34">
        <v>9404</v>
      </c>
      <c r="O9" s="34">
        <v>2569</v>
      </c>
      <c r="P9" s="34">
        <v>0</v>
      </c>
      <c r="Q9" s="22">
        <f>1817+1012+2507+719</f>
        <v>6055</v>
      </c>
      <c r="R9" s="22">
        <f t="shared" si="1"/>
        <v>0.85028248587570621</v>
      </c>
      <c r="S9" s="32">
        <v>25</v>
      </c>
      <c r="T9" s="20">
        <v>21</v>
      </c>
      <c r="U9" s="20">
        <v>96</v>
      </c>
      <c r="V9" s="20">
        <v>154</v>
      </c>
      <c r="W9" s="20">
        <v>87</v>
      </c>
      <c r="X9" s="32">
        <v>0</v>
      </c>
      <c r="Y9" s="38">
        <v>0</v>
      </c>
      <c r="Z9" s="53"/>
      <c r="AA9" s="41" t="s">
        <v>66</v>
      </c>
      <c r="AB9" s="37">
        <f>SUM(AB5:AB8)</f>
        <v>1087</v>
      </c>
    </row>
    <row r="10" spans="1:28" ht="15.75" customHeight="1" x14ac:dyDescent="0.2">
      <c r="A10" s="21">
        <v>44204</v>
      </c>
      <c r="B10" s="59">
        <v>11.69</v>
      </c>
      <c r="C10" s="60">
        <v>2.5489920000000001</v>
      </c>
      <c r="D10" s="61">
        <v>3.6085759999999998</v>
      </c>
      <c r="E10" s="61">
        <v>4.001792</v>
      </c>
      <c r="F10" s="61">
        <v>1.5367679999999999</v>
      </c>
      <c r="G10" s="61">
        <v>2.455552</v>
      </c>
      <c r="H10" s="61">
        <v>0.63846400000000003</v>
      </c>
      <c r="I10" s="61">
        <v>1.2883199999999999</v>
      </c>
      <c r="J10" s="61">
        <v>1.239808</v>
      </c>
      <c r="K10" s="61">
        <v>3.2647680000000001</v>
      </c>
      <c r="L10" s="34">
        <v>7771</v>
      </c>
      <c r="M10" s="34">
        <v>15015</v>
      </c>
      <c r="N10" s="34">
        <v>0</v>
      </c>
      <c r="O10" s="34">
        <v>0</v>
      </c>
      <c r="P10" s="34">
        <v>0</v>
      </c>
      <c r="Q10" s="22">
        <f>2117+4003</f>
        <v>6120</v>
      </c>
      <c r="R10" s="22">
        <f t="shared" si="1"/>
        <v>0.85028248587570621</v>
      </c>
      <c r="S10" s="32">
        <v>28</v>
      </c>
      <c r="T10" s="20">
        <v>51</v>
      </c>
      <c r="U10" s="20">
        <v>104</v>
      </c>
      <c r="V10" s="20">
        <v>166</v>
      </c>
      <c r="W10" s="20">
        <v>109</v>
      </c>
      <c r="X10" s="32">
        <v>136</v>
      </c>
      <c r="Y10" s="38">
        <v>0</v>
      </c>
      <c r="Z10" s="54"/>
      <c r="AA10" s="55"/>
      <c r="AB10" s="56"/>
    </row>
    <row r="11" spans="1:28" ht="15" customHeight="1" x14ac:dyDescent="0.2">
      <c r="A11" s="21">
        <v>44205</v>
      </c>
      <c r="B11" s="59">
        <v>11.69</v>
      </c>
      <c r="C11" s="60">
        <v>2.4017919999999999</v>
      </c>
      <c r="D11" s="66">
        <v>3.4309120000000002</v>
      </c>
      <c r="E11" s="66">
        <v>3.9326720000000002</v>
      </c>
      <c r="F11" s="66">
        <v>1.3690880000000001</v>
      </c>
      <c r="G11" s="66">
        <v>2.1885439999999998</v>
      </c>
      <c r="H11" s="66">
        <v>0.61951999999999996</v>
      </c>
      <c r="I11" s="66">
        <v>1.1819519999999999</v>
      </c>
      <c r="J11" s="66">
        <v>1.2659199999999999</v>
      </c>
      <c r="K11" s="66">
        <v>2.9565440000000001</v>
      </c>
      <c r="L11" s="34">
        <v>7872</v>
      </c>
      <c r="M11" s="34">
        <v>2865</v>
      </c>
      <c r="N11" s="34">
        <v>0</v>
      </c>
      <c r="O11" s="34">
        <v>6566</v>
      </c>
      <c r="P11" s="34">
        <v>0</v>
      </c>
      <c r="Q11" s="22">
        <f>2129+721+1919</f>
        <v>4769</v>
      </c>
      <c r="R11" s="22">
        <f t="shared" si="1"/>
        <v>0.85028248587570621</v>
      </c>
      <c r="S11" s="32">
        <v>25</v>
      </c>
      <c r="T11" s="20">
        <v>0</v>
      </c>
      <c r="U11" s="20">
        <v>112</v>
      </c>
      <c r="V11" s="20">
        <v>152</v>
      </c>
      <c r="W11" s="20">
        <v>111</v>
      </c>
      <c r="X11" s="32">
        <v>6</v>
      </c>
      <c r="Y11" s="38">
        <v>0</v>
      </c>
      <c r="Z11" s="90" t="s">
        <v>67</v>
      </c>
      <c r="AA11" s="91"/>
      <c r="AB11" s="91"/>
    </row>
    <row r="12" spans="1:28" ht="15" customHeight="1" x14ac:dyDescent="0.2">
      <c r="A12" s="21">
        <v>44206</v>
      </c>
      <c r="B12" s="59">
        <v>11.69</v>
      </c>
      <c r="C12" s="60">
        <v>2.8203520000000002</v>
      </c>
      <c r="D12" s="61">
        <v>3.8487040000000001</v>
      </c>
      <c r="E12" s="61">
        <v>3.9987200000000001</v>
      </c>
      <c r="F12" s="61">
        <v>1.5034879999999999</v>
      </c>
      <c r="G12" s="61">
        <v>2.3979520000000001</v>
      </c>
      <c r="H12" s="61">
        <v>0.79052800000000001</v>
      </c>
      <c r="I12" s="61">
        <v>1.260416</v>
      </c>
      <c r="J12" s="61">
        <v>1.2674559999999999</v>
      </c>
      <c r="K12" s="61">
        <v>3.0837759999999999</v>
      </c>
      <c r="L12" s="34">
        <v>8326</v>
      </c>
      <c r="M12" s="34">
        <v>4539</v>
      </c>
      <c r="N12" s="34">
        <v>3671</v>
      </c>
      <c r="O12" s="34">
        <v>6739</v>
      </c>
      <c r="P12" s="34">
        <v>0</v>
      </c>
      <c r="Q12" s="22">
        <f>2267+1187+1107+1973</f>
        <v>6534</v>
      </c>
      <c r="R12" s="22">
        <f t="shared" si="1"/>
        <v>0.85028248587570621</v>
      </c>
      <c r="S12" s="32">
        <v>26</v>
      </c>
      <c r="T12" s="20">
        <v>44</v>
      </c>
      <c r="U12" s="20">
        <v>119</v>
      </c>
      <c r="V12" s="20">
        <v>171</v>
      </c>
      <c r="W12" s="20">
        <v>107</v>
      </c>
      <c r="X12" s="32">
        <v>0</v>
      </c>
      <c r="Y12" s="38">
        <v>0</v>
      </c>
      <c r="Z12" s="77"/>
      <c r="AA12" s="92" t="s">
        <v>68</v>
      </c>
      <c r="AB12" s="93"/>
    </row>
    <row r="13" spans="1:28" ht="15" customHeight="1" x14ac:dyDescent="0.2">
      <c r="A13" s="21">
        <v>44207</v>
      </c>
      <c r="B13" s="64">
        <v>11.69</v>
      </c>
      <c r="C13" s="60">
        <v>2.7532800000000002</v>
      </c>
      <c r="D13" s="61">
        <v>3.8266879999999999</v>
      </c>
      <c r="E13" s="61">
        <v>4.1656319999999996</v>
      </c>
      <c r="F13" s="61">
        <v>1.614336</v>
      </c>
      <c r="G13" s="61">
        <v>2.4284159999999999</v>
      </c>
      <c r="H13" s="61">
        <v>0.85478399999999999</v>
      </c>
      <c r="I13" s="61">
        <v>1.11744</v>
      </c>
      <c r="J13" s="61">
        <v>1.268224</v>
      </c>
      <c r="K13" s="61">
        <v>3.1214080000000002</v>
      </c>
      <c r="L13" s="34">
        <v>9039</v>
      </c>
      <c r="M13" s="34">
        <v>7216</v>
      </c>
      <c r="N13" s="34">
        <v>7970</v>
      </c>
      <c r="O13" s="34">
        <v>0</v>
      </c>
      <c r="P13" s="34">
        <v>0</v>
      </c>
      <c r="Q13" s="22">
        <f>2431+1901+2075</f>
        <v>6407</v>
      </c>
      <c r="R13" s="22">
        <v>0.9</v>
      </c>
      <c r="S13" s="32">
        <v>33</v>
      </c>
      <c r="T13" s="20">
        <v>0</v>
      </c>
      <c r="U13" s="20">
        <v>145</v>
      </c>
      <c r="V13" s="20">
        <v>156</v>
      </c>
      <c r="W13" s="20">
        <v>113</v>
      </c>
      <c r="X13" s="20">
        <v>88</v>
      </c>
      <c r="Y13" s="38">
        <v>0</v>
      </c>
      <c r="Z13" s="52" t="s">
        <v>69</v>
      </c>
      <c r="AA13" s="80">
        <v>2100</v>
      </c>
      <c r="AB13" s="81"/>
    </row>
    <row r="14" spans="1:28" ht="15" customHeight="1" x14ac:dyDescent="0.2">
      <c r="A14" s="21">
        <v>44208</v>
      </c>
      <c r="B14" s="64">
        <v>11.69</v>
      </c>
      <c r="C14" s="60">
        <v>2.70208</v>
      </c>
      <c r="D14" s="61">
        <v>3.908096</v>
      </c>
      <c r="E14" s="61">
        <v>4.155392</v>
      </c>
      <c r="F14" s="61">
        <v>1.579008</v>
      </c>
      <c r="G14" s="61">
        <v>2.4688639999999999</v>
      </c>
      <c r="H14" s="61">
        <v>0.75424000000000002</v>
      </c>
      <c r="I14" s="61">
        <v>1.279488</v>
      </c>
      <c r="J14" s="61">
        <v>1.398528</v>
      </c>
      <c r="K14" s="61">
        <v>3.3200639999999999</v>
      </c>
      <c r="L14" s="34">
        <v>7183</v>
      </c>
      <c r="M14" s="34">
        <v>4759</v>
      </c>
      <c r="N14" s="34">
        <v>4582</v>
      </c>
      <c r="O14" s="34">
        <v>8108</v>
      </c>
      <c r="P14" s="34">
        <v>0</v>
      </c>
      <c r="Q14" s="22">
        <f>1888+1273+1258+2414</f>
        <v>6833</v>
      </c>
      <c r="R14" s="22">
        <v>0.9</v>
      </c>
      <c r="S14" s="32">
        <v>29</v>
      </c>
      <c r="T14" s="20">
        <v>44</v>
      </c>
      <c r="U14" s="20">
        <v>104</v>
      </c>
      <c r="V14" s="20">
        <v>165</v>
      </c>
      <c r="W14" s="20">
        <v>100</v>
      </c>
      <c r="X14" s="20">
        <v>96</v>
      </c>
      <c r="Y14" s="38">
        <v>0</v>
      </c>
      <c r="Z14" s="52" t="s">
        <v>70</v>
      </c>
      <c r="AA14" s="80">
        <v>1300</v>
      </c>
      <c r="AB14" s="81"/>
    </row>
    <row r="15" spans="1:28" ht="15" x14ac:dyDescent="0.2">
      <c r="A15" s="21">
        <v>44209</v>
      </c>
      <c r="B15" s="64">
        <v>11.69</v>
      </c>
      <c r="C15" s="60">
        <v>2.3244799999999999</v>
      </c>
      <c r="D15" s="61">
        <v>3.5107840000000001</v>
      </c>
      <c r="E15" s="61">
        <v>4.0949759999999999</v>
      </c>
      <c r="F15" s="61">
        <v>1.293312</v>
      </c>
      <c r="G15" s="61">
        <v>1.905664</v>
      </c>
      <c r="H15" s="61">
        <v>0.53267200000000003</v>
      </c>
      <c r="I15" s="61">
        <v>1.3258239999999999</v>
      </c>
      <c r="J15" s="61">
        <v>1.4812160000000001</v>
      </c>
      <c r="K15" s="61">
        <v>3.3031679999999999</v>
      </c>
      <c r="L15" s="65">
        <v>7242</v>
      </c>
      <c r="M15" s="63">
        <v>6804</v>
      </c>
      <c r="N15" s="63">
        <v>6807</v>
      </c>
      <c r="O15" s="63">
        <v>0</v>
      </c>
      <c r="P15" s="63">
        <v>0</v>
      </c>
      <c r="Q15" s="63">
        <f>1937+1869+1855</f>
        <v>5661</v>
      </c>
      <c r="R15" s="22">
        <v>0.9</v>
      </c>
      <c r="S15" s="32">
        <v>28</v>
      </c>
      <c r="T15" s="32">
        <v>25</v>
      </c>
      <c r="U15" s="20">
        <v>73</v>
      </c>
      <c r="V15" s="20">
        <v>168</v>
      </c>
      <c r="W15" s="57">
        <v>139</v>
      </c>
      <c r="X15" s="20">
        <v>95</v>
      </c>
      <c r="Y15" s="38">
        <v>0</v>
      </c>
      <c r="Z15" s="78"/>
      <c r="AA15" s="41" t="s">
        <v>66</v>
      </c>
      <c r="AB15" s="37">
        <f>SUM(AA13:AB14)</f>
        <v>3400</v>
      </c>
    </row>
    <row r="16" spans="1:28" ht="15" customHeight="1" x14ac:dyDescent="0.2">
      <c r="A16" s="21">
        <v>44210</v>
      </c>
      <c r="B16" s="64">
        <v>11.76</v>
      </c>
      <c r="C16" s="60">
        <v>2.4568319999999999</v>
      </c>
      <c r="D16" s="61">
        <v>3.6746240000000001</v>
      </c>
      <c r="E16" s="61">
        <v>4.1994239999999996</v>
      </c>
      <c r="F16" s="61">
        <v>1.430272</v>
      </c>
      <c r="G16" s="61">
        <v>2.0218880000000001</v>
      </c>
      <c r="H16" s="61">
        <v>0.66598400000000002</v>
      </c>
      <c r="I16" s="61">
        <v>1.3345279999999999</v>
      </c>
      <c r="J16" s="61">
        <v>1.4745600000000001</v>
      </c>
      <c r="K16" s="61">
        <v>3.3287680000000002</v>
      </c>
      <c r="L16" s="65">
        <v>1755</v>
      </c>
      <c r="M16" s="63">
        <v>7966</v>
      </c>
      <c r="N16" s="63">
        <v>5906</v>
      </c>
      <c r="O16" s="63">
        <v>8480</v>
      </c>
      <c r="P16" s="63">
        <v>0</v>
      </c>
      <c r="Q16" s="63">
        <f>515+2056+1573+2515</f>
        <v>6659</v>
      </c>
      <c r="R16" s="22">
        <v>0.9</v>
      </c>
      <c r="S16" s="32">
        <v>25</v>
      </c>
      <c r="T16" s="32">
        <v>45</v>
      </c>
      <c r="U16" s="32">
        <v>105</v>
      </c>
      <c r="V16" s="32">
        <v>178</v>
      </c>
      <c r="W16" s="32">
        <v>108</v>
      </c>
      <c r="X16" s="32">
        <v>62</v>
      </c>
      <c r="Y16" s="38">
        <v>0</v>
      </c>
      <c r="Z16" s="82"/>
      <c r="AA16" s="83"/>
      <c r="AB16" s="84"/>
    </row>
    <row r="17" spans="1:29" ht="15" customHeight="1" x14ac:dyDescent="0.2">
      <c r="A17" s="21">
        <v>44211</v>
      </c>
      <c r="B17" s="64">
        <v>8.82</v>
      </c>
      <c r="C17" s="60">
        <v>2.6711040000000001</v>
      </c>
      <c r="D17" s="61">
        <v>3.924992</v>
      </c>
      <c r="E17" s="61">
        <v>4.2736640000000001</v>
      </c>
      <c r="F17" s="61">
        <v>1.5495680000000001</v>
      </c>
      <c r="G17" s="61">
        <v>2.2656000000000001</v>
      </c>
      <c r="H17" s="61">
        <v>0.72780800000000001</v>
      </c>
      <c r="I17" s="61">
        <v>1.3067519999999999</v>
      </c>
      <c r="J17" s="61">
        <v>1.5068159999999999</v>
      </c>
      <c r="K17" s="61">
        <v>3.500032</v>
      </c>
      <c r="L17" s="65">
        <v>9122</v>
      </c>
      <c r="M17" s="63">
        <v>8902</v>
      </c>
      <c r="N17" s="63">
        <v>9359</v>
      </c>
      <c r="O17" s="63">
        <v>0</v>
      </c>
      <c r="P17" s="63">
        <v>0</v>
      </c>
      <c r="Q17" s="63">
        <f>2459+2364+1701</f>
        <v>6524</v>
      </c>
      <c r="R17" s="22">
        <v>0.9</v>
      </c>
      <c r="S17" s="32">
        <v>26</v>
      </c>
      <c r="T17" s="32">
        <v>27</v>
      </c>
      <c r="U17" s="32">
        <v>123</v>
      </c>
      <c r="V17" s="32">
        <v>136</v>
      </c>
      <c r="W17" s="32">
        <v>111</v>
      </c>
      <c r="X17" s="32">
        <v>32</v>
      </c>
      <c r="Y17" s="38">
        <v>0</v>
      </c>
      <c r="Z17" s="82"/>
      <c r="AA17" s="83"/>
      <c r="AB17" s="84"/>
    </row>
    <row r="18" spans="1:29" ht="15" customHeight="1" x14ac:dyDescent="0.2">
      <c r="A18" s="21">
        <v>44212</v>
      </c>
      <c r="B18" s="64">
        <v>10.29</v>
      </c>
      <c r="C18" s="60">
        <v>2.7883520000000002</v>
      </c>
      <c r="D18" s="61">
        <v>3.9039999999999999</v>
      </c>
      <c r="E18" s="61">
        <v>4.3484160000000003</v>
      </c>
      <c r="F18" s="61">
        <v>1.607936</v>
      </c>
      <c r="G18" s="61">
        <v>2.4847359999999998</v>
      </c>
      <c r="H18" s="61">
        <v>0.77747200000000005</v>
      </c>
      <c r="I18" s="61">
        <v>1.309696</v>
      </c>
      <c r="J18" s="61">
        <v>1.5129600000000001</v>
      </c>
      <c r="K18" s="61">
        <v>3.3733119999999999</v>
      </c>
      <c r="L18" s="65">
        <v>8113</v>
      </c>
      <c r="M18" s="63">
        <v>0</v>
      </c>
      <c r="N18" s="63">
        <v>7277</v>
      </c>
      <c r="O18" s="63">
        <v>8772</v>
      </c>
      <c r="P18" s="63">
        <v>0</v>
      </c>
      <c r="Q18" s="63">
        <f>2200+1931+2598</f>
        <v>6729</v>
      </c>
      <c r="R18" s="22">
        <v>0.9</v>
      </c>
      <c r="S18" s="32">
        <v>28</v>
      </c>
      <c r="T18" s="32">
        <v>25</v>
      </c>
      <c r="U18" s="32">
        <v>86</v>
      </c>
      <c r="V18" s="32">
        <v>149</v>
      </c>
      <c r="W18" s="32">
        <v>115</v>
      </c>
      <c r="X18" s="32">
        <v>52</v>
      </c>
      <c r="Y18" s="38">
        <v>0</v>
      </c>
      <c r="Z18" s="82"/>
      <c r="AA18" s="83"/>
      <c r="AB18" s="84"/>
    </row>
    <row r="19" spans="1:29" ht="15" customHeight="1" x14ac:dyDescent="0.2">
      <c r="A19" s="21">
        <v>44213</v>
      </c>
      <c r="B19" s="64">
        <v>8.82</v>
      </c>
      <c r="C19" s="60">
        <v>2.7458559999999999</v>
      </c>
      <c r="D19" s="61">
        <v>3.827712</v>
      </c>
      <c r="E19" s="61">
        <v>4.032</v>
      </c>
      <c r="F19" s="61">
        <v>1.48864</v>
      </c>
      <c r="G19" s="61">
        <v>2.4985599999999999</v>
      </c>
      <c r="H19" s="61">
        <v>0.71577599999999997</v>
      </c>
      <c r="I19" s="61">
        <v>1.155456</v>
      </c>
      <c r="J19" s="61">
        <v>1.4530559999999999</v>
      </c>
      <c r="K19" s="61">
        <v>3.2</v>
      </c>
      <c r="L19" s="65">
        <v>8148</v>
      </c>
      <c r="M19" s="63">
        <v>7848</v>
      </c>
      <c r="N19" s="63">
        <v>0</v>
      </c>
      <c r="O19" s="63">
        <v>7120</v>
      </c>
      <c r="P19" s="63">
        <v>0</v>
      </c>
      <c r="Q19" s="63">
        <f>2158+2056+2137</f>
        <v>6351</v>
      </c>
      <c r="R19" s="22">
        <v>0.9</v>
      </c>
      <c r="S19" s="32">
        <v>24</v>
      </c>
      <c r="T19" s="32">
        <v>20</v>
      </c>
      <c r="U19" s="32">
        <v>96</v>
      </c>
      <c r="V19" s="32">
        <v>219</v>
      </c>
      <c r="W19" s="32">
        <v>157</v>
      </c>
      <c r="X19" s="32">
        <v>69</v>
      </c>
      <c r="Y19" s="38">
        <v>0</v>
      </c>
      <c r="Z19" s="82"/>
      <c r="AA19" s="83"/>
      <c r="AB19" s="84"/>
    </row>
    <row r="20" spans="1:29" ht="15" customHeight="1" x14ac:dyDescent="0.2">
      <c r="A20" s="21">
        <v>44214</v>
      </c>
      <c r="B20" s="64">
        <v>9.35</v>
      </c>
      <c r="C20" s="60">
        <v>2.557696</v>
      </c>
      <c r="D20" s="61">
        <v>3.6106240000000001</v>
      </c>
      <c r="E20" s="61">
        <v>4.1640959999999998</v>
      </c>
      <c r="F20" s="61">
        <v>1.5746560000000001</v>
      </c>
      <c r="G20" s="61">
        <v>2.4558080000000002</v>
      </c>
      <c r="H20" s="61">
        <v>0.75104000000000004</v>
      </c>
      <c r="I20" s="61">
        <v>1.272192</v>
      </c>
      <c r="J20" s="61">
        <v>1.4215679999999999</v>
      </c>
      <c r="K20" s="61">
        <v>3.4232320000000001</v>
      </c>
      <c r="L20" s="65">
        <v>0</v>
      </c>
      <c r="M20" s="63">
        <v>6925</v>
      </c>
      <c r="N20" s="63">
        <v>0</v>
      </c>
      <c r="O20" s="63">
        <v>7397</v>
      </c>
      <c r="P20" s="63">
        <v>0</v>
      </c>
      <c r="Q20" s="63">
        <f>1860+2159</f>
        <v>4019</v>
      </c>
      <c r="R20" s="22">
        <v>0.9</v>
      </c>
      <c r="S20" s="32">
        <v>29</v>
      </c>
      <c r="T20" s="32">
        <v>15</v>
      </c>
      <c r="U20" s="32">
        <v>75</v>
      </c>
      <c r="V20" s="32">
        <v>197</v>
      </c>
      <c r="W20" s="32">
        <v>115</v>
      </c>
      <c r="X20" s="32">
        <v>117</v>
      </c>
      <c r="Y20" s="38">
        <v>0</v>
      </c>
      <c r="Z20" s="82"/>
      <c r="AA20" s="83"/>
      <c r="AB20" s="84"/>
    </row>
    <row r="21" spans="1:29" ht="15" customHeight="1" x14ac:dyDescent="0.2">
      <c r="A21" s="21">
        <v>44215</v>
      </c>
      <c r="B21" s="64">
        <v>7.69</v>
      </c>
      <c r="C21" s="60">
        <v>2.3260160000000001</v>
      </c>
      <c r="D21" s="61">
        <v>3.2435200000000002</v>
      </c>
      <c r="E21" s="61">
        <v>3.9987200000000001</v>
      </c>
      <c r="F21" s="61">
        <v>1.5800320000000001</v>
      </c>
      <c r="G21" s="61">
        <v>2.8582399999999999</v>
      </c>
      <c r="H21" s="61">
        <v>0.86393600000000004</v>
      </c>
      <c r="I21" s="61">
        <v>1.268608</v>
      </c>
      <c r="J21" s="61">
        <v>1.447424</v>
      </c>
      <c r="K21" s="61">
        <v>3.3648639999999999</v>
      </c>
      <c r="L21" s="65">
        <v>8509</v>
      </c>
      <c r="M21" s="63">
        <v>7704</v>
      </c>
      <c r="N21" s="63">
        <v>0</v>
      </c>
      <c r="O21" s="63">
        <v>5748</v>
      </c>
      <c r="P21" s="63">
        <v>0</v>
      </c>
      <c r="Q21" s="63">
        <f>2279+1846+1656</f>
        <v>5781</v>
      </c>
      <c r="R21" s="22">
        <v>0.9</v>
      </c>
      <c r="S21" s="32">
        <v>27</v>
      </c>
      <c r="T21" s="32">
        <v>32</v>
      </c>
      <c r="U21" s="32">
        <v>79</v>
      </c>
      <c r="V21" s="32">
        <v>180</v>
      </c>
      <c r="W21" s="32">
        <v>134</v>
      </c>
      <c r="X21" s="32">
        <v>93</v>
      </c>
      <c r="Y21" s="38">
        <v>0</v>
      </c>
      <c r="Z21" s="82"/>
      <c r="AA21" s="83"/>
      <c r="AB21" s="84"/>
      <c r="AC21" s="23"/>
    </row>
    <row r="22" spans="1:29" ht="15" customHeight="1" x14ac:dyDescent="0.2">
      <c r="A22" s="21">
        <v>44216</v>
      </c>
      <c r="B22" s="59">
        <v>7.69</v>
      </c>
      <c r="C22" s="60">
        <v>2.3559679999999998</v>
      </c>
      <c r="D22" s="61">
        <v>2.9870079999999999</v>
      </c>
      <c r="E22" s="61">
        <v>3.5758079999999999</v>
      </c>
      <c r="F22" s="61">
        <v>1.4830080000000001</v>
      </c>
      <c r="G22" s="61">
        <v>2.4171520000000002</v>
      </c>
      <c r="H22" s="61">
        <v>0.82406400000000002</v>
      </c>
      <c r="I22" s="61">
        <v>1.2889600000000001</v>
      </c>
      <c r="J22" s="61">
        <v>1.401856</v>
      </c>
      <c r="K22" s="61">
        <v>3.3699840000000001</v>
      </c>
      <c r="L22" s="65">
        <v>9229</v>
      </c>
      <c r="M22" s="63">
        <v>7154</v>
      </c>
      <c r="N22" s="63">
        <v>0</v>
      </c>
      <c r="O22" s="63">
        <v>7266</v>
      </c>
      <c r="P22" s="63">
        <v>0</v>
      </c>
      <c r="Q22" s="63">
        <f>2465+2030+2128</f>
        <v>6623</v>
      </c>
      <c r="R22" s="22">
        <v>0.9</v>
      </c>
      <c r="S22" s="32">
        <v>26</v>
      </c>
      <c r="T22" s="32">
        <v>42</v>
      </c>
      <c r="U22" s="32">
        <v>85</v>
      </c>
      <c r="V22" s="32">
        <v>171</v>
      </c>
      <c r="W22" s="32">
        <v>132</v>
      </c>
      <c r="X22" s="32">
        <v>10</v>
      </c>
      <c r="Y22" s="38">
        <v>0</v>
      </c>
      <c r="Z22" s="82"/>
      <c r="AA22" s="83"/>
      <c r="AB22" s="84"/>
      <c r="AC22" s="23"/>
    </row>
    <row r="23" spans="1:29" ht="15" customHeight="1" x14ac:dyDescent="0.2">
      <c r="A23" s="21">
        <v>44217</v>
      </c>
      <c r="B23" s="59">
        <v>7.81</v>
      </c>
      <c r="C23" s="60">
        <v>2.2622719999999998</v>
      </c>
      <c r="D23" s="61">
        <v>2.9071359999999999</v>
      </c>
      <c r="E23" s="61">
        <v>3.613696</v>
      </c>
      <c r="F23" s="61">
        <v>1.53216</v>
      </c>
      <c r="G23" s="61">
        <v>2.440448</v>
      </c>
      <c r="H23" s="61">
        <v>0.80640000000000001</v>
      </c>
      <c r="I23" s="61">
        <v>1.2901119999999999</v>
      </c>
      <c r="J23" s="61">
        <v>1.4090240000000001</v>
      </c>
      <c r="K23" s="61">
        <v>3.4570240000000001</v>
      </c>
      <c r="L23" s="65">
        <v>11330</v>
      </c>
      <c r="M23" s="63">
        <v>3230</v>
      </c>
      <c r="N23" s="63">
        <v>0</v>
      </c>
      <c r="O23" s="63">
        <v>7796</v>
      </c>
      <c r="P23" s="63">
        <v>0</v>
      </c>
      <c r="Q23" s="63">
        <f>3091+913+2305</f>
        <v>6309</v>
      </c>
      <c r="R23" s="22">
        <v>0.9</v>
      </c>
      <c r="S23" s="32">
        <v>28</v>
      </c>
      <c r="T23" s="32">
        <v>9</v>
      </c>
      <c r="U23" s="32">
        <v>97</v>
      </c>
      <c r="V23" s="32">
        <v>119</v>
      </c>
      <c r="W23" s="32">
        <v>129</v>
      </c>
      <c r="X23" s="32">
        <v>0</v>
      </c>
      <c r="Y23" s="38">
        <v>0</v>
      </c>
      <c r="Z23" s="82"/>
      <c r="AA23" s="83"/>
      <c r="AB23" s="84"/>
      <c r="AC23" s="23"/>
    </row>
    <row r="24" spans="1:29" ht="15" customHeight="1" x14ac:dyDescent="0.2">
      <c r="A24" s="21">
        <v>44218</v>
      </c>
      <c r="B24" s="59">
        <v>5.26</v>
      </c>
      <c r="C24" s="60">
        <v>2.40768</v>
      </c>
      <c r="D24" s="61">
        <v>3.1221760000000001</v>
      </c>
      <c r="E24" s="61">
        <v>3.9055360000000001</v>
      </c>
      <c r="F24" s="61">
        <v>1.7036800000000001</v>
      </c>
      <c r="G24" s="61">
        <v>2.7112959999999999</v>
      </c>
      <c r="H24" s="61">
        <v>0.89759999999999995</v>
      </c>
      <c r="I24" s="61">
        <v>1.2725759999999999</v>
      </c>
      <c r="J24" s="61">
        <v>1.4415359999999999</v>
      </c>
      <c r="K24" s="61">
        <v>3.46624</v>
      </c>
      <c r="L24" s="62">
        <v>5373</v>
      </c>
      <c r="M24" s="32">
        <v>7407</v>
      </c>
      <c r="N24" s="22">
        <v>0</v>
      </c>
      <c r="O24" s="32">
        <v>9903</v>
      </c>
      <c r="P24" s="22">
        <v>0</v>
      </c>
      <c r="Q24" s="22">
        <f>1358+1906+2905</f>
        <v>6169</v>
      </c>
      <c r="R24" s="22">
        <v>0.9</v>
      </c>
      <c r="S24" s="32">
        <v>26</v>
      </c>
      <c r="T24" s="32">
        <v>39</v>
      </c>
      <c r="U24" s="32">
        <v>77</v>
      </c>
      <c r="V24" s="32">
        <v>174</v>
      </c>
      <c r="W24" s="32">
        <v>156</v>
      </c>
      <c r="X24" s="32">
        <v>114</v>
      </c>
      <c r="Y24" s="38">
        <v>0</v>
      </c>
      <c r="Z24" s="82"/>
      <c r="AA24" s="83"/>
      <c r="AB24" s="84"/>
      <c r="AC24" s="23"/>
    </row>
    <row r="25" spans="1:29" ht="15" customHeight="1" x14ac:dyDescent="0.2">
      <c r="A25" s="21">
        <v>44219</v>
      </c>
      <c r="B25" s="59">
        <v>3.95</v>
      </c>
      <c r="C25" s="60">
        <v>2.37568</v>
      </c>
      <c r="D25" s="61">
        <v>3.1226880000000001</v>
      </c>
      <c r="E25" s="61">
        <v>4.0202239999999998</v>
      </c>
      <c r="F25" s="61">
        <v>1.6017920000000001</v>
      </c>
      <c r="G25" s="61">
        <v>2.6165759999999998</v>
      </c>
      <c r="H25" s="61">
        <v>0.80646399999999996</v>
      </c>
      <c r="I25" s="61">
        <v>1.288832</v>
      </c>
      <c r="J25" s="61">
        <v>1.442304</v>
      </c>
      <c r="K25" s="61">
        <v>3.3533439999999999</v>
      </c>
      <c r="L25" s="65">
        <v>6370</v>
      </c>
      <c r="M25" s="63">
        <v>7915</v>
      </c>
      <c r="N25" s="63">
        <v>9594</v>
      </c>
      <c r="O25" s="63">
        <v>0</v>
      </c>
      <c r="P25" s="63">
        <v>0</v>
      </c>
      <c r="Q25" s="63">
        <f>1737+2076+2570</f>
        <v>6383</v>
      </c>
      <c r="R25" s="22">
        <v>0.9</v>
      </c>
      <c r="S25" s="32">
        <v>27</v>
      </c>
      <c r="T25" s="32">
        <v>38</v>
      </c>
      <c r="U25" s="20">
        <v>65</v>
      </c>
      <c r="V25" s="20">
        <v>194</v>
      </c>
      <c r="W25" s="20">
        <v>165</v>
      </c>
      <c r="X25" s="20">
        <v>118</v>
      </c>
      <c r="Y25" s="38">
        <v>0</v>
      </c>
      <c r="Z25" s="82"/>
      <c r="AA25" s="83"/>
      <c r="AB25" s="84"/>
      <c r="AC25" s="23"/>
    </row>
    <row r="26" spans="1:29" ht="15" customHeight="1" x14ac:dyDescent="0.2">
      <c r="A26" s="21">
        <v>44220</v>
      </c>
      <c r="B26" s="59">
        <v>3.95</v>
      </c>
      <c r="C26" s="60">
        <v>2.042624</v>
      </c>
      <c r="D26" s="61">
        <v>2.9414400000000001</v>
      </c>
      <c r="E26" s="61">
        <v>3.4974720000000001</v>
      </c>
      <c r="F26" s="61">
        <v>1.371648</v>
      </c>
      <c r="G26" s="61">
        <v>2.1857280000000001</v>
      </c>
      <c r="H26" s="61">
        <v>0.654976</v>
      </c>
      <c r="I26" s="61">
        <v>1.2366079999999999</v>
      </c>
      <c r="J26" s="61">
        <v>1.383424</v>
      </c>
      <c r="K26" s="61">
        <v>3.1395840000000002</v>
      </c>
      <c r="L26" s="65">
        <v>589</v>
      </c>
      <c r="M26" s="63">
        <v>3775</v>
      </c>
      <c r="N26" s="63">
        <v>788</v>
      </c>
      <c r="O26" s="63">
        <v>16522</v>
      </c>
      <c r="P26" s="63">
        <v>0</v>
      </c>
      <c r="Q26" s="63">
        <f>106+1000+232+4831</f>
        <v>6169</v>
      </c>
      <c r="R26" s="22">
        <v>0.9</v>
      </c>
      <c r="S26" s="32">
        <v>25</v>
      </c>
      <c r="T26" s="32">
        <v>14</v>
      </c>
      <c r="U26" s="20">
        <v>51</v>
      </c>
      <c r="V26" s="20">
        <v>148</v>
      </c>
      <c r="W26" s="20">
        <v>134</v>
      </c>
      <c r="X26" s="20">
        <v>82</v>
      </c>
      <c r="Y26" s="38">
        <v>0</v>
      </c>
      <c r="Z26" s="82"/>
      <c r="AA26" s="83"/>
      <c r="AB26" s="84"/>
      <c r="AC26" s="23"/>
    </row>
    <row r="27" spans="1:29" ht="15" customHeight="1" x14ac:dyDescent="0.2">
      <c r="A27" s="21">
        <v>44221</v>
      </c>
      <c r="B27" s="59">
        <v>5.26</v>
      </c>
      <c r="C27" s="60">
        <v>2.3884799999999999</v>
      </c>
      <c r="D27" s="61">
        <v>3.2783359999999999</v>
      </c>
      <c r="E27" s="61">
        <v>3.8415360000000001</v>
      </c>
      <c r="F27" s="61">
        <v>1.591296</v>
      </c>
      <c r="G27" s="61">
        <v>2.65984</v>
      </c>
      <c r="H27" s="61">
        <v>0.84153599999999995</v>
      </c>
      <c r="I27" s="61">
        <v>1.160064</v>
      </c>
      <c r="J27" s="61">
        <v>1.4164479999999999</v>
      </c>
      <c r="K27" s="61">
        <v>3.218944</v>
      </c>
      <c r="L27" s="65">
        <v>0</v>
      </c>
      <c r="M27" s="63">
        <v>8067</v>
      </c>
      <c r="N27" s="63">
        <v>6397</v>
      </c>
      <c r="O27" s="63">
        <v>5978</v>
      </c>
      <c r="P27" s="63">
        <v>0</v>
      </c>
      <c r="Q27" s="63">
        <f>2166+1733+1952</f>
        <v>5851</v>
      </c>
      <c r="R27" s="22">
        <v>0.9</v>
      </c>
      <c r="S27" s="32">
        <v>25</v>
      </c>
      <c r="T27" s="32">
        <v>68</v>
      </c>
      <c r="U27" s="20">
        <v>73</v>
      </c>
      <c r="V27" s="20">
        <v>170</v>
      </c>
      <c r="W27" s="20">
        <v>157</v>
      </c>
      <c r="X27" s="20">
        <v>87</v>
      </c>
      <c r="Y27" s="38">
        <v>0</v>
      </c>
      <c r="Z27" s="82"/>
      <c r="AA27" s="83"/>
      <c r="AB27" s="84"/>
      <c r="AC27" s="23"/>
    </row>
    <row r="28" spans="1:29" ht="15" customHeight="1" x14ac:dyDescent="0.2">
      <c r="A28" s="21">
        <v>44222</v>
      </c>
      <c r="B28" s="59">
        <v>5.26</v>
      </c>
      <c r="C28" s="60">
        <v>2.829056</v>
      </c>
      <c r="D28" s="61">
        <v>3.5681280000000002</v>
      </c>
      <c r="E28" s="61">
        <v>3.8671359999999999</v>
      </c>
      <c r="F28" s="61">
        <v>1.6957439999999999</v>
      </c>
      <c r="G28" s="61">
        <v>2.7776000000000001</v>
      </c>
      <c r="H28" s="61">
        <v>0.93222400000000005</v>
      </c>
      <c r="I28" s="61">
        <v>1.120384</v>
      </c>
      <c r="J28" s="61">
        <v>1.378816</v>
      </c>
      <c r="K28" s="61">
        <v>3.3451520000000001</v>
      </c>
      <c r="L28" s="65">
        <v>2871</v>
      </c>
      <c r="M28" s="63">
        <v>11656</v>
      </c>
      <c r="N28" s="63">
        <v>7629</v>
      </c>
      <c r="O28" s="63">
        <v>6234</v>
      </c>
      <c r="P28" s="63">
        <v>0</v>
      </c>
      <c r="Q28" s="63">
        <f>846+3092+2046+1817</f>
        <v>7801</v>
      </c>
      <c r="R28" s="22">
        <v>0.9</v>
      </c>
      <c r="S28" s="32">
        <v>30</v>
      </c>
      <c r="T28" s="32">
        <v>0</v>
      </c>
      <c r="U28" s="20">
        <v>63</v>
      </c>
      <c r="V28" s="20">
        <v>197</v>
      </c>
      <c r="W28" s="20">
        <v>161</v>
      </c>
      <c r="X28" s="20">
        <v>123</v>
      </c>
      <c r="Y28" s="38">
        <v>0</v>
      </c>
      <c r="Z28" s="82"/>
      <c r="AA28" s="83"/>
      <c r="AB28" s="84"/>
      <c r="AC28" s="23"/>
    </row>
    <row r="29" spans="1:29" ht="15" customHeight="1" x14ac:dyDescent="0.2">
      <c r="A29" s="21">
        <v>44223</v>
      </c>
      <c r="B29" s="59">
        <v>20.97</v>
      </c>
      <c r="C29" s="60">
        <v>2.3534079999999999</v>
      </c>
      <c r="D29" s="61">
        <v>3.2394240000000001</v>
      </c>
      <c r="E29" s="61">
        <v>3.6223999999999998</v>
      </c>
      <c r="F29" s="61">
        <v>1.3944319999999999</v>
      </c>
      <c r="G29" s="61">
        <v>2.6741760000000001</v>
      </c>
      <c r="H29" s="61">
        <v>0.63366400000000001</v>
      </c>
      <c r="I29" s="61">
        <v>1.268224</v>
      </c>
      <c r="J29" s="61">
        <v>1.2971520000000001</v>
      </c>
      <c r="K29" s="61">
        <v>3.4035199999999999</v>
      </c>
      <c r="L29" s="65">
        <v>1329</v>
      </c>
      <c r="M29" s="63">
        <v>6681</v>
      </c>
      <c r="N29" s="63">
        <v>9871</v>
      </c>
      <c r="O29" s="63">
        <v>4993</v>
      </c>
      <c r="P29" s="63">
        <v>0</v>
      </c>
      <c r="Q29" s="63">
        <f>414+1834+2690+1471</f>
        <v>6409</v>
      </c>
      <c r="R29" s="22">
        <v>0.9</v>
      </c>
      <c r="S29" s="32">
        <v>29</v>
      </c>
      <c r="T29" s="32">
        <v>32</v>
      </c>
      <c r="U29" s="32">
        <v>46</v>
      </c>
      <c r="V29" s="32">
        <v>177</v>
      </c>
      <c r="W29" s="32">
        <v>168</v>
      </c>
      <c r="X29" s="32">
        <v>83</v>
      </c>
      <c r="Y29" s="38">
        <v>0</v>
      </c>
      <c r="Z29" s="82"/>
      <c r="AA29" s="83"/>
      <c r="AB29" s="84"/>
      <c r="AC29" s="23"/>
    </row>
    <row r="30" spans="1:29" ht="15" customHeight="1" x14ac:dyDescent="0.2">
      <c r="A30" s="21">
        <v>44224</v>
      </c>
      <c r="B30" s="59">
        <v>27.42</v>
      </c>
      <c r="C30" s="60">
        <v>2.8912640000000001</v>
      </c>
      <c r="D30" s="61">
        <v>3.6090879999999999</v>
      </c>
      <c r="E30" s="61">
        <v>3.9603199999999998</v>
      </c>
      <c r="F30" s="61">
        <v>1.660928</v>
      </c>
      <c r="G30" s="61">
        <v>3.079936</v>
      </c>
      <c r="H30" s="61">
        <v>0.87827200000000005</v>
      </c>
      <c r="I30" s="61">
        <v>1.1825920000000001</v>
      </c>
      <c r="J30" s="61">
        <v>1.3475839999999999</v>
      </c>
      <c r="K30" s="61">
        <v>3.3597440000000001</v>
      </c>
      <c r="L30" s="65">
        <v>8184</v>
      </c>
      <c r="M30" s="63">
        <v>621</v>
      </c>
      <c r="N30" s="63">
        <v>5827</v>
      </c>
      <c r="O30" s="63">
        <v>11126</v>
      </c>
      <c r="P30" s="63">
        <v>0</v>
      </c>
      <c r="Q30" s="63">
        <f>2212+183+1577+3288</f>
        <v>7260</v>
      </c>
      <c r="R30" s="22">
        <v>0.9</v>
      </c>
      <c r="S30" s="32">
        <v>31</v>
      </c>
      <c r="T30" s="32">
        <v>33</v>
      </c>
      <c r="U30" s="20">
        <v>44</v>
      </c>
      <c r="V30" s="20">
        <v>201</v>
      </c>
      <c r="W30" s="20">
        <v>176</v>
      </c>
      <c r="X30" s="20">
        <v>113</v>
      </c>
      <c r="Y30" s="38">
        <v>0</v>
      </c>
      <c r="Z30" s="82"/>
      <c r="AA30" s="83"/>
      <c r="AB30" s="84"/>
      <c r="AC30" s="23"/>
    </row>
    <row r="31" spans="1:29" ht="15" customHeight="1" x14ac:dyDescent="0.2">
      <c r="A31" s="21">
        <v>44225</v>
      </c>
      <c r="B31" s="59">
        <v>29.03</v>
      </c>
      <c r="C31" s="60">
        <v>2.1959680000000001</v>
      </c>
      <c r="D31" s="61">
        <v>2.8564479999999999</v>
      </c>
      <c r="E31" s="61">
        <v>3.5184639999999998</v>
      </c>
      <c r="F31" s="61">
        <v>1.2508159999999999</v>
      </c>
      <c r="G31" s="61">
        <v>2.5973760000000001</v>
      </c>
      <c r="H31" s="61">
        <v>0.57356799999999997</v>
      </c>
      <c r="I31" s="61">
        <v>1.3337600000000001</v>
      </c>
      <c r="J31" s="61">
        <v>1.2339199999999999</v>
      </c>
      <c r="K31" s="61">
        <v>3.4452479999999999</v>
      </c>
      <c r="L31" s="67">
        <v>10879</v>
      </c>
      <c r="M31" s="68">
        <v>932</v>
      </c>
      <c r="N31" s="68">
        <v>15831</v>
      </c>
      <c r="O31" s="63">
        <v>6902</v>
      </c>
      <c r="P31" s="63">
        <v>0</v>
      </c>
      <c r="Q31" s="63">
        <f>2857+245+4225+2074</f>
        <v>9401</v>
      </c>
      <c r="R31" s="22">
        <v>0.9</v>
      </c>
      <c r="S31" s="32">
        <v>28</v>
      </c>
      <c r="T31" s="32">
        <v>35</v>
      </c>
      <c r="U31" s="32">
        <v>45</v>
      </c>
      <c r="V31" s="32">
        <v>177</v>
      </c>
      <c r="W31" s="32">
        <v>190</v>
      </c>
      <c r="X31" s="32">
        <v>71</v>
      </c>
      <c r="Y31" s="38">
        <v>0</v>
      </c>
      <c r="Z31" s="82"/>
      <c r="AA31" s="83"/>
      <c r="AB31" s="84"/>
      <c r="AC31" s="23"/>
    </row>
    <row r="32" spans="1:29" ht="15" customHeight="1" x14ac:dyDescent="0.2">
      <c r="A32" s="21">
        <v>44226</v>
      </c>
      <c r="B32" s="64">
        <v>29.03</v>
      </c>
      <c r="C32" s="60">
        <v>2.4314879999999999</v>
      </c>
      <c r="D32" s="61">
        <v>3.0929920000000002</v>
      </c>
      <c r="E32" s="61">
        <v>3.539968</v>
      </c>
      <c r="F32" s="61">
        <v>1.416704</v>
      </c>
      <c r="G32" s="61">
        <v>2.8833280000000001</v>
      </c>
      <c r="H32" s="61">
        <v>0.66060799999999997</v>
      </c>
      <c r="I32" s="61">
        <v>1.287296</v>
      </c>
      <c r="J32" s="61">
        <v>1.264896</v>
      </c>
      <c r="K32" s="61">
        <v>3.3781759999999998</v>
      </c>
      <c r="L32" s="69">
        <v>4263</v>
      </c>
      <c r="M32" s="70">
        <v>874</v>
      </c>
      <c r="N32" s="70">
        <v>13241</v>
      </c>
      <c r="O32" s="70">
        <v>0</v>
      </c>
      <c r="P32" s="70">
        <v>0</v>
      </c>
      <c r="Q32" s="63">
        <f>1555+2114+1211</f>
        <v>4880</v>
      </c>
      <c r="R32" s="22">
        <v>0.9</v>
      </c>
      <c r="S32" s="32">
        <v>30</v>
      </c>
      <c r="T32" s="32">
        <v>23</v>
      </c>
      <c r="U32" s="32">
        <v>67</v>
      </c>
      <c r="V32" s="32">
        <v>157</v>
      </c>
      <c r="W32" s="32">
        <v>191</v>
      </c>
      <c r="X32" s="32">
        <v>64</v>
      </c>
      <c r="Y32" s="38">
        <v>0</v>
      </c>
      <c r="Z32" s="82"/>
      <c r="AA32" s="83"/>
      <c r="AB32" s="84"/>
      <c r="AC32" s="23"/>
    </row>
    <row r="33" spans="1:28" ht="12.75" customHeight="1" x14ac:dyDescent="0.2">
      <c r="A33" s="21">
        <v>44227</v>
      </c>
      <c r="B33" s="59">
        <v>26.98</v>
      </c>
      <c r="C33" s="60">
        <v>2.9926400000000002</v>
      </c>
      <c r="D33" s="61">
        <v>3.5696639999999999</v>
      </c>
      <c r="E33" s="61">
        <v>3.6398079999999999</v>
      </c>
      <c r="F33" s="61">
        <v>1.5854079999999999</v>
      </c>
      <c r="G33" s="61">
        <v>3.3111039999999998</v>
      </c>
      <c r="H33" s="61">
        <v>0.89638399999999996</v>
      </c>
      <c r="I33" s="61">
        <v>1.2309760000000001</v>
      </c>
      <c r="J33" s="61">
        <v>1.3409279999999999</v>
      </c>
      <c r="K33" s="61">
        <v>3.2901120000000001</v>
      </c>
      <c r="L33" s="69">
        <v>6314</v>
      </c>
      <c r="M33" s="70">
        <v>8773</v>
      </c>
      <c r="N33" s="70">
        <v>0</v>
      </c>
      <c r="O33" s="71">
        <v>10132</v>
      </c>
      <c r="P33" s="72">
        <v>0</v>
      </c>
      <c r="Q33" s="73">
        <f>1726+2360+3050</f>
        <v>7136</v>
      </c>
      <c r="R33" s="22">
        <v>0.9</v>
      </c>
      <c r="S33" s="74">
        <v>33</v>
      </c>
      <c r="T33" s="74">
        <v>14</v>
      </c>
      <c r="U33" s="74">
        <v>50</v>
      </c>
      <c r="V33" s="74">
        <v>150</v>
      </c>
      <c r="W33" s="74">
        <v>131</v>
      </c>
      <c r="X33" s="74">
        <v>115</v>
      </c>
      <c r="Y33" s="38">
        <v>0</v>
      </c>
      <c r="Z33" s="85"/>
      <c r="AA33" s="86"/>
      <c r="AB33" s="87"/>
    </row>
    <row r="39" spans="1:28" x14ac:dyDescent="0.2">
      <c r="Y39" s="44"/>
      <c r="Z39" s="79"/>
      <c r="AA39" s="79"/>
    </row>
    <row r="40" spans="1:28" x14ac:dyDescent="0.2">
      <c r="Y40" s="44"/>
      <c r="Z40" s="79"/>
      <c r="AA40" s="79"/>
    </row>
    <row r="41" spans="1:28" x14ac:dyDescent="0.2">
      <c r="Y41" s="44"/>
      <c r="Z41" s="79"/>
      <c r="AA41" s="79"/>
    </row>
    <row r="42" spans="1:28" x14ac:dyDescent="0.2">
      <c r="Y42" s="44"/>
      <c r="Z42" s="79"/>
      <c r="AA42" s="79"/>
    </row>
    <row r="43" spans="1:28" x14ac:dyDescent="0.2">
      <c r="Y43" s="44"/>
      <c r="Z43" s="79"/>
      <c r="AA43" s="79"/>
    </row>
    <row r="44" spans="1:28" x14ac:dyDescent="0.2">
      <c r="Y44" s="44"/>
      <c r="Z44" s="79"/>
      <c r="AA44" s="79"/>
    </row>
    <row r="45" spans="1:28" x14ac:dyDescent="0.2">
      <c r="Y45" s="44"/>
      <c r="Z45" s="79"/>
      <c r="AA45" s="79"/>
    </row>
    <row r="46" spans="1:28" x14ac:dyDescent="0.2">
      <c r="Y46" s="44"/>
      <c r="Z46" s="79"/>
      <c r="AA46" s="79"/>
    </row>
    <row r="47" spans="1:28" x14ac:dyDescent="0.2">
      <c r="Y47" s="44"/>
      <c r="Z47" s="79"/>
      <c r="AA47" s="79"/>
    </row>
    <row r="48" spans="1:28" x14ac:dyDescent="0.2">
      <c r="Y48" s="44"/>
      <c r="Z48" s="79"/>
      <c r="AA48" s="79"/>
    </row>
    <row r="49" spans="25:27" x14ac:dyDescent="0.2">
      <c r="Y49" s="44"/>
      <c r="Z49" s="79"/>
      <c r="AA49" s="79"/>
    </row>
    <row r="50" spans="25:27" x14ac:dyDescent="0.2">
      <c r="Y50" s="44"/>
      <c r="Z50" s="79"/>
      <c r="AA50" s="79"/>
    </row>
  </sheetData>
  <mergeCells count="8">
    <mergeCell ref="AA13:AB13"/>
    <mergeCell ref="AA14:AB14"/>
    <mergeCell ref="Z16:AB33"/>
    <mergeCell ref="C1:K1"/>
    <mergeCell ref="Z2:AB2"/>
    <mergeCell ref="Z3:AB3"/>
    <mergeCell ref="Z11:AB11"/>
    <mergeCell ref="AA12:AB12"/>
  </mergeCells>
  <phoneticPr fontId="2" type="noConversion"/>
  <pageMargins left="0.7" right="0.7" top="0.75" bottom="0.75" header="0.3" footer="0.3"/>
  <pageSetup scale="89" orientation="portrait" r:id="rId1"/>
  <colBreaks count="1" manualBreakCount="1">
    <brk id="18" max="32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2" ma:contentTypeDescription="Create a new document." ma:contentTypeScope="" ma:versionID="0eaf907d2f6070ca37dafb69c50b4233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61189f769c577b9c04ae4f18061de57f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C1FFEE-54E3-4891-B98C-21C3BE451C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0F5833-E3D5-4465-B836-0DEADAE27D4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99E6936-EF7E-451B-BDFB-80F884242F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bb2215-5bf3-43e0-9dce-b3effc6cb50f"/>
    <ds:schemaRef ds:uri="8c44e1e5-30d2-450a-b924-ac87e029a2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FS Seychelles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>Joe J. El Khoury</cp:lastModifiedBy>
  <cp:revision/>
  <dcterms:created xsi:type="dcterms:W3CDTF">2019-08-14T08:16:24Z</dcterms:created>
  <dcterms:modified xsi:type="dcterms:W3CDTF">2021-02-08T12:30:49Z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</Properties>
</file>