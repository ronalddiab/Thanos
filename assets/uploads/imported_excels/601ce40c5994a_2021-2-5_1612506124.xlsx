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7" activeTab="1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H33" s="1"/>
  <c r="F33"/>
  <c r="G32"/>
  <c r="F32"/>
  <c r="G31"/>
  <c r="H31" s="1"/>
  <c r="F31"/>
  <c r="G30"/>
  <c r="F30"/>
  <c r="G29"/>
  <c r="H29" s="1"/>
  <c r="F29"/>
  <c r="G28"/>
  <c r="F28"/>
  <c r="G27"/>
  <c r="H27" s="1"/>
  <c r="F27"/>
  <c r="G26"/>
  <c r="F26"/>
  <c r="G25"/>
  <c r="H25" s="1"/>
  <c r="F25"/>
  <c r="G24"/>
  <c r="F24"/>
  <c r="G23"/>
  <c r="H23" s="1"/>
  <c r="F23"/>
  <c r="G22"/>
  <c r="F22"/>
  <c r="G21"/>
  <c r="H21" s="1"/>
  <c r="F21"/>
  <c r="G20"/>
  <c r="F20"/>
  <c r="G19"/>
  <c r="F19"/>
  <c r="G18"/>
  <c r="F18"/>
  <c r="G17"/>
  <c r="H17" s="1"/>
  <c r="F17"/>
  <c r="G16"/>
  <c r="F16"/>
  <c r="G15"/>
  <c r="H15" s="1"/>
  <c r="F15"/>
  <c r="G14"/>
  <c r="F14"/>
  <c r="G13"/>
  <c r="H13" s="1"/>
  <c r="F13"/>
  <c r="G12"/>
  <c r="H12" s="1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H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H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H20"/>
  <c r="E20"/>
  <c r="X19"/>
  <c r="T19"/>
  <c r="P19"/>
  <c r="M19"/>
  <c r="L19"/>
  <c r="I19"/>
  <c r="H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H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F8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S3"/>
  <c r="Q3"/>
  <c r="N3"/>
  <c r="M3"/>
  <c r="L3"/>
  <c r="K3"/>
  <c r="J8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I3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G3"/>
  <c r="E3"/>
  <c r="D3"/>
  <c r="C3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D7" i="3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S2"/>
  <c r="R2"/>
  <c r="R3" s="1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10" i="5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X10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T9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X6" i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H7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P4"/>
  <c r="P6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O4"/>
  <c r="N4"/>
  <c r="M4"/>
  <c r="M5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L4"/>
  <c r="K4"/>
  <c r="K5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J4"/>
  <c r="I4"/>
  <c r="H4"/>
  <c r="G4"/>
  <c r="F4"/>
  <c r="F7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E4"/>
  <c r="D4"/>
  <c r="C4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B4"/>
  <c r="L7" i="2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AG2"/>
  <c r="AF2"/>
  <c r="AE2"/>
  <c r="AD2"/>
  <c r="AC2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B2"/>
  <c r="AA2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R2"/>
  <c r="Q2"/>
  <c r="P2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O2"/>
  <c r="N2"/>
  <c r="M2"/>
  <c r="L2"/>
  <c r="K2"/>
  <c r="J2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I2"/>
  <c r="H2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G2"/>
  <c r="F2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E2"/>
  <c r="D2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C2"/>
  <c r="D24" i="73"/>
  <c r="AP24" i="5"/>
  <c r="AN24"/>
  <c r="AM24"/>
  <c r="K24"/>
  <c r="AJ23" i="1"/>
  <c r="A23"/>
  <c r="H37" i="74" l="1"/>
  <c r="H10"/>
  <c r="H8" i="79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3"/>
  <c r="H24" s="1"/>
  <c r="H25" s="1"/>
  <c r="H26" s="1"/>
  <c r="H27" s="1"/>
  <c r="H28" s="1"/>
  <c r="H29" s="1"/>
  <c r="H30" s="1"/>
  <c r="H31" s="1"/>
  <c r="W27" s="1"/>
  <c r="G22"/>
  <c r="F23"/>
  <c r="F24" s="1"/>
  <c r="F25" s="1"/>
  <c r="F26" s="1"/>
  <c r="F27" s="1"/>
  <c r="F28" s="1"/>
  <c r="F29" s="1"/>
  <c r="F30" s="1"/>
  <c r="F31" s="1"/>
  <c r="W28" s="1"/>
  <c r="C22"/>
  <c r="B23"/>
  <c r="B24" s="1"/>
  <c r="B25" s="1"/>
  <c r="B26" s="1"/>
  <c r="B27" s="1"/>
  <c r="B28" s="1"/>
  <c r="B29" s="1"/>
  <c r="B30" s="1"/>
  <c r="B31" s="1"/>
  <c r="C21" i="3"/>
  <c r="B22"/>
  <c r="B23" s="1"/>
  <c r="B24" s="1"/>
  <c r="B25" s="1"/>
  <c r="B26" s="1"/>
  <c r="B27" s="1"/>
  <c r="B28" s="1"/>
  <c r="B29" s="1"/>
  <c r="B30" s="1"/>
  <c r="BA24" i="5"/>
  <c r="AX25"/>
  <c r="AX26" s="1"/>
  <c r="AX27" s="1"/>
  <c r="AX28" s="1"/>
  <c r="AX29" s="1"/>
  <c r="AX30" s="1"/>
  <c r="AX31" s="1"/>
  <c r="AX32" s="1"/>
  <c r="AX33" s="1"/>
  <c r="AA24"/>
  <c r="Z25"/>
  <c r="Z26" s="1"/>
  <c r="Z27" s="1"/>
  <c r="Z28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7" s="1"/>
  <c r="G28" s="1"/>
  <c r="G29" s="1"/>
  <c r="G30" s="1"/>
  <c r="G31" s="1"/>
  <c r="G32" s="1"/>
  <c r="G33" s="1"/>
  <c r="H24"/>
  <c r="N23" i="1"/>
  <c r="M24"/>
  <c r="M25" s="1"/>
  <c r="M26" s="1"/>
  <c r="M27" s="1"/>
  <c r="M28" s="1"/>
  <c r="M29" s="1"/>
  <c r="M30" s="1"/>
  <c r="M31" s="1"/>
  <c r="M32" s="1"/>
  <c r="L23"/>
  <c r="K24"/>
  <c r="K25" s="1"/>
  <c r="K26" s="1"/>
  <c r="K27" s="1"/>
  <c r="K28" s="1"/>
  <c r="K29" s="1"/>
  <c r="K30" s="1"/>
  <c r="K31" s="1"/>
  <c r="K32" s="1"/>
  <c r="I23"/>
  <c r="H24"/>
  <c r="H25" s="1"/>
  <c r="H26" s="1"/>
  <c r="H27" s="1"/>
  <c r="H28" s="1"/>
  <c r="H29" s="1"/>
  <c r="H30" s="1"/>
  <c r="H31" s="1"/>
  <c r="H32" s="1"/>
  <c r="G23"/>
  <c r="J23" s="1"/>
  <c r="F24"/>
  <c r="F25" s="1"/>
  <c r="F26" s="1"/>
  <c r="F27" s="1"/>
  <c r="F28" s="1"/>
  <c r="F29" s="1"/>
  <c r="F30" s="1"/>
  <c r="F31" s="1"/>
  <c r="F32" s="1"/>
  <c r="D23"/>
  <c r="E23" s="1"/>
  <c r="C23"/>
  <c r="C24" s="1"/>
  <c r="C25" s="1"/>
  <c r="C26" s="1"/>
  <c r="C27" s="1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2"/>
  <c r="P23" s="1"/>
  <c r="P24" s="1"/>
  <c r="P25" s="1"/>
  <c r="P26" s="1"/>
  <c r="P27" s="1"/>
  <c r="P28" s="1"/>
  <c r="P29" s="1"/>
  <c r="P30" s="1"/>
  <c r="M21"/>
  <c r="L22"/>
  <c r="L23" s="1"/>
  <c r="L24" s="1"/>
  <c r="L25" s="1"/>
  <c r="L26" s="1"/>
  <c r="L27" s="1"/>
  <c r="L28" s="1"/>
  <c r="L29" s="1"/>
  <c r="L30" s="1"/>
  <c r="J22"/>
  <c r="J23" s="1"/>
  <c r="J24" s="1"/>
  <c r="J25" s="1"/>
  <c r="J26" s="1"/>
  <c r="J27" s="1"/>
  <c r="J28" s="1"/>
  <c r="J29" s="1"/>
  <c r="J30" s="1"/>
  <c r="K21"/>
  <c r="H22"/>
  <c r="H23" s="1"/>
  <c r="H24" s="1"/>
  <c r="H25" s="1"/>
  <c r="H26" s="1"/>
  <c r="H27" s="1"/>
  <c r="H28" s="1"/>
  <c r="H29" s="1"/>
  <c r="H30" s="1"/>
  <c r="I21"/>
  <c r="F22"/>
  <c r="F23" s="1"/>
  <c r="F24" s="1"/>
  <c r="F25" s="1"/>
  <c r="F26" s="1"/>
  <c r="F27" s="1"/>
  <c r="F28" s="1"/>
  <c r="F29" s="1"/>
  <c r="F30" s="1"/>
  <c r="G21"/>
  <c r="D22"/>
  <c r="D23" s="1"/>
  <c r="D24" s="1"/>
  <c r="D25" s="1"/>
  <c r="D26" s="1"/>
  <c r="D27" s="1"/>
  <c r="D28" s="1"/>
  <c r="D29" s="1"/>
  <c r="D30" s="1"/>
  <c r="E21"/>
  <c r="N21" l="1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E22" i="3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K36" s="1"/>
  <c r="AJ36"/>
  <c r="AM36" s="1"/>
  <c r="I35"/>
  <c r="G36"/>
  <c r="F6" i="77" l="1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2"/>
  <c r="X3" s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BB33" s="1"/>
  <c r="BE33" s="1"/>
  <c r="AY32"/>
  <c r="BB32" s="1"/>
  <c r="BE32" s="1"/>
  <c r="J28" i="81"/>
  <c r="AX32" i="1"/>
  <c r="J29" i="81" s="1"/>
  <c r="I29" i="63" l="1"/>
  <c r="BF33" i="5"/>
  <c r="BG33" s="1"/>
  <c r="G33" i="65" s="1"/>
  <c r="I28" i="63"/>
  <c r="BF32" i="5"/>
  <c r="BG32" s="1"/>
  <c r="G32" i="65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<sst xmlns="http://schemas.openxmlformats.org/spreadsheetml/2006/main" count="645" uniqueCount="417">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</sst>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5774208"/>
        <c:axId val="95775744"/>
      </c:lineChart>
      <c:catAx>
        <c:axId val="9577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5744"/>
        <c:crosses val="autoZero"/>
        <c:auto val="1"/>
        <c:lblAlgn val="ctr"/>
        <c:lblOffset val="100"/>
      </c:catAx>
      <c:valAx>
        <c:axId val="95775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6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5808512"/>
        <c:axId val="95810304"/>
      </c:lineChart>
      <c:catAx>
        <c:axId val="9580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10304"/>
        <c:crosses val="autoZero"/>
        <c:auto val="1"/>
        <c:lblAlgn val="ctr"/>
        <c:lblOffset val="100"/>
      </c:catAx>
      <c:valAx>
        <c:axId val="9581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0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2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628992"/>
        <c:axId val="146630528"/>
      </c:lineChart>
      <c:catAx>
        <c:axId val="14662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30528"/>
        <c:crosses val="autoZero"/>
        <c:auto val="1"/>
        <c:lblAlgn val="ctr"/>
        <c:lblOffset val="100"/>
      </c:catAx>
      <c:valAx>
        <c:axId val="146630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2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824"/>
          <c:y val="0.62975887529635965"/>
          <c:w val="7.9124755870162669E-2"/>
          <c:h val="4.49826989619496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421376"/>
        <c:axId val="96422912"/>
      </c:lineChart>
      <c:catAx>
        <c:axId val="9642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22912"/>
        <c:crosses val="autoZero"/>
        <c:auto val="1"/>
        <c:lblAlgn val="ctr"/>
        <c:lblOffset val="100"/>
      </c:catAx>
      <c:valAx>
        <c:axId val="96422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2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07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434816"/>
        <c:axId val="96452992"/>
      </c:lineChart>
      <c:catAx>
        <c:axId val="9643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52992"/>
        <c:crosses val="autoZero"/>
        <c:auto val="1"/>
        <c:lblAlgn val="ctr"/>
        <c:lblOffset val="100"/>
      </c:catAx>
      <c:valAx>
        <c:axId val="96452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3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31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727808"/>
        <c:axId val="96729344"/>
      </c:lineChart>
      <c:catAx>
        <c:axId val="9672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9344"/>
        <c:crosses val="autoZero"/>
        <c:auto val="1"/>
        <c:lblAlgn val="ctr"/>
        <c:lblOffset val="100"/>
      </c:catAx>
      <c:valAx>
        <c:axId val="9672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175872"/>
        <c:axId val="146177408"/>
      </c:lineChart>
      <c:catAx>
        <c:axId val="14617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77408"/>
        <c:crosses val="autoZero"/>
        <c:auto val="1"/>
        <c:lblAlgn val="ctr"/>
        <c:lblOffset val="100"/>
      </c:catAx>
      <c:valAx>
        <c:axId val="14617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7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201216"/>
        <c:axId val="96739712"/>
      </c:lineChart>
      <c:catAx>
        <c:axId val="14620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39712"/>
        <c:crosses val="autoZero"/>
        <c:auto val="1"/>
        <c:lblAlgn val="ctr"/>
        <c:lblOffset val="100"/>
      </c:catAx>
      <c:valAx>
        <c:axId val="9673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0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755712"/>
        <c:axId val="96757248"/>
      </c:lineChart>
      <c:catAx>
        <c:axId val="9675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7248"/>
        <c:crosses val="autoZero"/>
        <c:auto val="1"/>
        <c:lblAlgn val="ctr"/>
        <c:lblOffset val="100"/>
      </c:catAx>
      <c:valAx>
        <c:axId val="96757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728"/>
          <c:w val="0.1272403315177374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867456"/>
        <c:axId val="96868992"/>
      </c:lineChart>
      <c:catAx>
        <c:axId val="9686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8992"/>
        <c:crosses val="autoZero"/>
        <c:auto val="1"/>
        <c:lblAlgn val="ctr"/>
        <c:lblOffset val="100"/>
      </c:catAx>
      <c:valAx>
        <c:axId val="9686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6909568"/>
        <c:axId val="96911360"/>
      </c:lineChart>
      <c:catAx>
        <c:axId val="9690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11360"/>
        <c:crosses val="autoZero"/>
        <c:auto val="1"/>
        <c:lblAlgn val="ctr"/>
        <c:lblOffset val="100"/>
      </c:catAx>
      <c:valAx>
        <c:axId val="9691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0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728"/>
          <c:w val="0.135416885389355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923008"/>
        <c:axId val="96822400"/>
      </c:lineChart>
      <c:catAx>
        <c:axId val="9692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22400"/>
        <c:crosses val="autoZero"/>
        <c:auto val="1"/>
        <c:lblAlgn val="ctr"/>
        <c:lblOffset val="100"/>
      </c:catAx>
      <c:valAx>
        <c:axId val="96822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2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72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6846976"/>
        <c:axId val="96848512"/>
      </c:lineChart>
      <c:catAx>
        <c:axId val="9684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48512"/>
        <c:crosses val="autoZero"/>
        <c:auto val="1"/>
        <c:lblAlgn val="ctr"/>
        <c:lblOffset val="100"/>
      </c:catAx>
      <c:valAx>
        <c:axId val="96848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4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6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6934144"/>
        <c:axId val="96940032"/>
      </c:lineChart>
      <c:catAx>
        <c:axId val="9693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40032"/>
        <c:crosses val="autoZero"/>
        <c:auto val="1"/>
        <c:lblAlgn val="ctr"/>
        <c:lblOffset val="100"/>
      </c:catAx>
      <c:valAx>
        <c:axId val="96940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3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728"/>
          <c:w val="0.135416885389355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951680"/>
        <c:axId val="96982144"/>
      </c:lineChart>
      <c:catAx>
        <c:axId val="9695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82144"/>
        <c:crosses val="autoZero"/>
        <c:auto val="1"/>
        <c:lblAlgn val="ctr"/>
        <c:lblOffset val="100"/>
      </c:catAx>
      <c:valAx>
        <c:axId val="969821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5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7668"/>
          <c:y val="0.54325368498487869"/>
          <c:w val="0.11458355205599259"/>
          <c:h val="4.49826989619491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010432"/>
        <c:axId val="97011968"/>
      </c:lineChart>
      <c:catAx>
        <c:axId val="9701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1968"/>
        <c:crosses val="autoZero"/>
        <c:auto val="1"/>
        <c:lblAlgn val="ctr"/>
        <c:lblOffset val="100"/>
      </c:catAx>
      <c:valAx>
        <c:axId val="97011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05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036544"/>
        <c:axId val="97067008"/>
      </c:lineChart>
      <c:catAx>
        <c:axId val="9703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67008"/>
        <c:crosses val="autoZero"/>
        <c:auto val="1"/>
        <c:lblAlgn val="ctr"/>
        <c:lblOffset val="100"/>
      </c:catAx>
      <c:valAx>
        <c:axId val="9706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3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28"/>
          <c:h val="4.49826989619496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074560"/>
        <c:axId val="97088640"/>
      </c:lineChart>
      <c:catAx>
        <c:axId val="9707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8640"/>
        <c:crosses val="autoZero"/>
        <c:auto val="1"/>
        <c:lblAlgn val="ctr"/>
        <c:lblOffset val="100"/>
      </c:catAx>
      <c:valAx>
        <c:axId val="970886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7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6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30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194752"/>
        <c:axId val="97196288"/>
      </c:lineChart>
      <c:catAx>
        <c:axId val="9719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96288"/>
        <c:crosses val="autoZero"/>
        <c:auto val="1"/>
        <c:lblAlgn val="ctr"/>
        <c:lblOffset val="100"/>
      </c:catAx>
      <c:valAx>
        <c:axId val="97196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9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6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224576"/>
        <c:axId val="97226112"/>
      </c:lineChart>
      <c:catAx>
        <c:axId val="9722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26112"/>
        <c:crosses val="autoZero"/>
        <c:auto val="1"/>
        <c:lblAlgn val="ctr"/>
        <c:lblOffset val="100"/>
      </c:catAx>
      <c:valAx>
        <c:axId val="9722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2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22"/>
          <c:y val="0.62975887529635965"/>
          <c:w val="0.13250539334757044"/>
          <c:h val="4.49826989619496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254400"/>
        <c:axId val="97260288"/>
      </c:lineChart>
      <c:catAx>
        <c:axId val="9725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60288"/>
        <c:crosses val="autoZero"/>
        <c:auto val="1"/>
        <c:lblAlgn val="ctr"/>
        <c:lblOffset val="100"/>
      </c:catAx>
      <c:valAx>
        <c:axId val="9726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5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72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292672"/>
        <c:axId val="97294208"/>
      </c:lineChart>
      <c:catAx>
        <c:axId val="9729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94208"/>
        <c:crosses val="autoZero"/>
        <c:auto val="1"/>
        <c:lblAlgn val="ctr"/>
        <c:lblOffset val="100"/>
      </c:catAx>
      <c:valAx>
        <c:axId val="9729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9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075"/>
          <c:w val="0.1234311819809302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7327360"/>
        <c:axId val="97333248"/>
      </c:lineChart>
      <c:catAx>
        <c:axId val="973273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33248"/>
        <c:crosses val="autoZero"/>
        <c:auto val="1"/>
        <c:lblAlgn val="ctr"/>
        <c:lblOffset val="100"/>
      </c:catAx>
      <c:valAx>
        <c:axId val="973332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2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443"/>
          <c:w val="0.1569039853282192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344512"/>
        <c:axId val="97452800"/>
      </c:lineChart>
      <c:catAx>
        <c:axId val="9734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52800"/>
        <c:crosses val="autoZero"/>
        <c:auto val="1"/>
        <c:lblAlgn val="ctr"/>
        <c:lblOffset val="100"/>
      </c:catAx>
      <c:valAx>
        <c:axId val="97452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4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931"/>
          <c:h val="4.4982698961949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542912"/>
        <c:axId val="97544448"/>
      </c:lineChart>
      <c:catAx>
        <c:axId val="9754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44448"/>
        <c:crosses val="autoZero"/>
        <c:auto val="1"/>
        <c:lblAlgn val="ctr"/>
        <c:lblOffset val="100"/>
      </c:catAx>
      <c:valAx>
        <c:axId val="9754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4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57"/>
          <c:y val="0.62975887529635965"/>
          <c:w val="0.12164948453608219"/>
          <c:h val="4.4982698961949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945472"/>
        <c:axId val="97947008"/>
      </c:lineChart>
      <c:catAx>
        <c:axId val="9794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47008"/>
        <c:crosses val="autoZero"/>
        <c:auto val="1"/>
        <c:lblAlgn val="ctr"/>
        <c:lblOffset val="100"/>
      </c:catAx>
      <c:valAx>
        <c:axId val="97947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4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8090368"/>
        <c:axId val="98120832"/>
      </c:lineChart>
      <c:catAx>
        <c:axId val="9809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0832"/>
        <c:crosses val="autoZero"/>
        <c:auto val="1"/>
        <c:lblAlgn val="ctr"/>
        <c:lblOffset val="100"/>
      </c:catAx>
      <c:valAx>
        <c:axId val="9812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9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4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8359168"/>
        <c:axId val="98360704"/>
      </c:lineChart>
      <c:catAx>
        <c:axId val="983591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60704"/>
        <c:crosses val="autoZero"/>
        <c:auto val="1"/>
        <c:lblAlgn val="ctr"/>
        <c:lblOffset val="100"/>
      </c:catAx>
      <c:valAx>
        <c:axId val="983607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4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H33">
            <v>9617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5.2280881222090084E-2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4.7205954036133778E-2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4.2160253190424719E-2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4.9256157964881017E-2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0.1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0.1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0.1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0.1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0.1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0.1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0.1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0.1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0.1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0.1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0.1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0.1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0.1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0.1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0.1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0.1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0.1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0.1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0.1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0.1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0.1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0.1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topLeftCell="A10" workbookViewId="0">
      <selection activeCell="A30" sqref="A30:XF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T1" zoomScale="85" zoomScaleNormal="85" zoomScaleSheetLayoutView="100" workbookViewId="0">
      <pane ySplit="1" topLeftCell="A2" activePane="bottomLeft" state="frozen"/>
      <selection activeCell="C1" sqref="C1"/>
      <selection pane="bottomLeft" activeCell="AI6" sqref="AI6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536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44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44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44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44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f t="shared" ref="D6:L30" si="20">D6</f>
        <v>32592094</v>
      </c>
      <c r="E7" s="311">
        <f t="shared" si="10"/>
        <v>0</v>
      </c>
      <c r="F7" s="445">
        <f t="shared" si="20"/>
        <v>3956555</v>
      </c>
      <c r="G7" s="312">
        <f t="shared" si="0"/>
        <v>0</v>
      </c>
      <c r="H7" s="445">
        <f t="shared" si="20"/>
        <v>17783034</v>
      </c>
      <c r="I7" s="312">
        <f t="shared" si="11"/>
        <v>0</v>
      </c>
      <c r="J7" s="445">
        <f t="shared" si="20"/>
        <v>28881318</v>
      </c>
      <c r="K7" s="312">
        <f t="shared" si="12"/>
        <v>0</v>
      </c>
      <c r="L7" s="445">
        <f t="shared" si="20"/>
        <v>24005328</v>
      </c>
      <c r="M7" s="312">
        <f t="shared" si="13"/>
        <v>0</v>
      </c>
      <c r="N7" s="310">
        <f t="shared" si="14"/>
        <v>0</v>
      </c>
      <c r="O7" s="467">
        <f t="shared" si="1"/>
        <v>0</v>
      </c>
      <c r="P7" s="445">
        <f t="shared" ref="P6:P30" si="21">P6</f>
        <v>16585.395</v>
      </c>
      <c r="Q7" s="449">
        <f t="shared" si="2"/>
        <v>0</v>
      </c>
      <c r="R7" s="449">
        <f t="shared" si="18"/>
        <v>0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f t="shared" si="7"/>
        <v>35684</v>
      </c>
      <c r="AB7" s="449">
        <f t="shared" si="16"/>
        <v>0</v>
      </c>
      <c r="AC7" s="445">
        <f t="shared" si="7"/>
        <v>914499</v>
      </c>
      <c r="AD7" s="449">
        <f t="shared" si="17"/>
        <v>0</v>
      </c>
      <c r="AE7" s="472">
        <f t="shared" si="8"/>
        <v>0</v>
      </c>
      <c r="AF7" s="473">
        <f t="shared" si="9"/>
        <v>0</v>
      </c>
      <c r="AG7" s="465">
        <f t="shared" si="5"/>
        <v>0</v>
      </c>
      <c r="AI7" s="466">
        <f>R7-'EDl log'!B5</f>
        <v>-858354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f t="shared" si="20"/>
        <v>32592094</v>
      </c>
      <c r="E8" s="311">
        <f t="shared" si="10"/>
        <v>0</v>
      </c>
      <c r="F8" s="445">
        <f t="shared" si="20"/>
        <v>3956555</v>
      </c>
      <c r="G8" s="312">
        <f t="shared" si="0"/>
        <v>0</v>
      </c>
      <c r="H8" s="445">
        <f t="shared" si="20"/>
        <v>17783034</v>
      </c>
      <c r="I8" s="312">
        <f t="shared" si="11"/>
        <v>0</v>
      </c>
      <c r="J8" s="445">
        <f t="shared" si="20"/>
        <v>28881318</v>
      </c>
      <c r="K8" s="312">
        <f t="shared" si="12"/>
        <v>0</v>
      </c>
      <c r="L8" s="445">
        <f t="shared" si="20"/>
        <v>24005328</v>
      </c>
      <c r="M8" s="312">
        <f t="shared" si="13"/>
        <v>0</v>
      </c>
      <c r="N8" s="310">
        <f t="shared" si="14"/>
        <v>0</v>
      </c>
      <c r="O8" s="467">
        <f t="shared" si="1"/>
        <v>0</v>
      </c>
      <c r="P8" s="445">
        <f t="shared" si="21"/>
        <v>16585.395</v>
      </c>
      <c r="Q8" s="449">
        <f t="shared" si="2"/>
        <v>0</v>
      </c>
      <c r="R8" s="449">
        <f t="shared" si="18"/>
        <v>0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f t="shared" si="7"/>
        <v>35684</v>
      </c>
      <c r="AB8" s="449">
        <f t="shared" si="16"/>
        <v>0</v>
      </c>
      <c r="AC8" s="445">
        <f t="shared" si="7"/>
        <v>914499</v>
      </c>
      <c r="AD8" s="449">
        <f t="shared" si="17"/>
        <v>0</v>
      </c>
      <c r="AE8" s="472">
        <f t="shared" si="8"/>
        <v>0</v>
      </c>
      <c r="AF8" s="473">
        <f t="shared" si="9"/>
        <v>0</v>
      </c>
      <c r="AG8" s="465">
        <f t="shared" si="5"/>
        <v>0</v>
      </c>
      <c r="AI8" s="466">
        <f>R8-'EDl log'!B6</f>
        <v>-860441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f t="shared" si="20"/>
        <v>32592094</v>
      </c>
      <c r="E9" s="311">
        <f t="shared" si="10"/>
        <v>0</v>
      </c>
      <c r="F9" s="445">
        <f t="shared" si="20"/>
        <v>3956555</v>
      </c>
      <c r="G9" s="312">
        <f t="shared" si="0"/>
        <v>0</v>
      </c>
      <c r="H9" s="445">
        <f t="shared" si="20"/>
        <v>17783034</v>
      </c>
      <c r="I9" s="312">
        <f t="shared" si="11"/>
        <v>0</v>
      </c>
      <c r="J9" s="445">
        <f t="shared" si="20"/>
        <v>28881318</v>
      </c>
      <c r="K9" s="312">
        <f t="shared" si="12"/>
        <v>0</v>
      </c>
      <c r="L9" s="445">
        <f t="shared" si="20"/>
        <v>24005328</v>
      </c>
      <c r="M9" s="312">
        <f t="shared" si="13"/>
        <v>0</v>
      </c>
      <c r="N9" s="310">
        <f t="shared" si="14"/>
        <v>0</v>
      </c>
      <c r="O9" s="467">
        <f t="shared" si="1"/>
        <v>0</v>
      </c>
      <c r="P9" s="445">
        <f t="shared" si="21"/>
        <v>16585.395</v>
      </c>
      <c r="Q9" s="449">
        <f t="shared" si="2"/>
        <v>0</v>
      </c>
      <c r="R9" s="449">
        <f t="shared" si="18"/>
        <v>0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f t="shared" si="7"/>
        <v>32167</v>
      </c>
      <c r="X9" s="449">
        <f t="shared" ref="X9:X30" si="22">W9-W8</f>
        <v>0</v>
      </c>
      <c r="Y9" s="445">
        <f t="shared" si="7"/>
        <v>696352</v>
      </c>
      <c r="Z9" s="449">
        <f t="shared" si="19"/>
        <v>0</v>
      </c>
      <c r="AA9" s="445">
        <f t="shared" si="7"/>
        <v>35684</v>
      </c>
      <c r="AB9" s="449">
        <f t="shared" si="16"/>
        <v>0</v>
      </c>
      <c r="AC9" s="445">
        <f t="shared" si="7"/>
        <v>914499</v>
      </c>
      <c r="AD9" s="449">
        <f t="shared" si="17"/>
        <v>0</v>
      </c>
      <c r="AE9" s="472">
        <f t="shared" si="8"/>
        <v>0</v>
      </c>
      <c r="AF9" s="473">
        <f t="shared" si="9"/>
        <v>0</v>
      </c>
      <c r="AG9" s="465">
        <f t="shared" si="5"/>
        <v>0</v>
      </c>
      <c r="AI9" s="466">
        <f>R9-'EDl log'!B7</f>
        <v>-862596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f t="shared" si="20"/>
        <v>32592094</v>
      </c>
      <c r="E10" s="311">
        <f t="shared" si="10"/>
        <v>0</v>
      </c>
      <c r="F10" s="445">
        <f t="shared" si="20"/>
        <v>3956555</v>
      </c>
      <c r="G10" s="312">
        <f t="shared" si="0"/>
        <v>0</v>
      </c>
      <c r="H10" s="445">
        <f t="shared" si="20"/>
        <v>17783034</v>
      </c>
      <c r="I10" s="312">
        <f t="shared" si="11"/>
        <v>0</v>
      </c>
      <c r="J10" s="445">
        <f t="shared" si="20"/>
        <v>28881318</v>
      </c>
      <c r="K10" s="312">
        <f t="shared" si="12"/>
        <v>0</v>
      </c>
      <c r="L10" s="445">
        <f t="shared" si="20"/>
        <v>24005328</v>
      </c>
      <c r="M10" s="312">
        <f t="shared" si="13"/>
        <v>0</v>
      </c>
      <c r="N10" s="310">
        <f t="shared" si="14"/>
        <v>0</v>
      </c>
      <c r="O10" s="467">
        <f t="shared" ref="O10:O30" si="23">IF(B10&gt;0,N10/B10,0)</f>
        <v>0</v>
      </c>
      <c r="P10" s="445">
        <f t="shared" si="21"/>
        <v>16585.395</v>
      </c>
      <c r="Q10" s="449">
        <f t="shared" si="2"/>
        <v>0</v>
      </c>
      <c r="R10" s="449">
        <f t="shared" si="18"/>
        <v>0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f t="shared" si="7"/>
        <v>32167</v>
      </c>
      <c r="X10" s="449">
        <f t="shared" si="22"/>
        <v>0</v>
      </c>
      <c r="Y10" s="445">
        <f t="shared" si="7"/>
        <v>696352</v>
      </c>
      <c r="Z10" s="449">
        <f t="shared" si="19"/>
        <v>0</v>
      </c>
      <c r="AA10" s="445">
        <f t="shared" si="7"/>
        <v>35684</v>
      </c>
      <c r="AB10" s="449">
        <f t="shared" si="16"/>
        <v>0</v>
      </c>
      <c r="AC10" s="445">
        <f t="shared" si="7"/>
        <v>914499</v>
      </c>
      <c r="AD10" s="449">
        <f t="shared" si="17"/>
        <v>0</v>
      </c>
      <c r="AE10" s="472">
        <f t="shared" si="8"/>
        <v>0</v>
      </c>
      <c r="AF10" s="473">
        <f t="shared" si="9"/>
        <v>0</v>
      </c>
      <c r="AG10" s="465">
        <f t="shared" ref="AG10:AG30" si="24">IF(AE10&gt;0,AF10/AE10,0)</f>
        <v>0</v>
      </c>
      <c r="AI10" s="466">
        <f>R10-'EDl log'!B8</f>
        <v>-862596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f t="shared" si="20"/>
        <v>32592094</v>
      </c>
      <c r="E11" s="311">
        <f t="shared" si="10"/>
        <v>0</v>
      </c>
      <c r="F11" s="445">
        <f t="shared" si="20"/>
        <v>3956555</v>
      </c>
      <c r="G11" s="312">
        <f t="shared" si="0"/>
        <v>0</v>
      </c>
      <c r="H11" s="445">
        <f t="shared" si="20"/>
        <v>17783034</v>
      </c>
      <c r="I11" s="312">
        <f t="shared" si="11"/>
        <v>0</v>
      </c>
      <c r="J11" s="445">
        <f t="shared" si="20"/>
        <v>28881318</v>
      </c>
      <c r="K11" s="312">
        <f t="shared" si="12"/>
        <v>0</v>
      </c>
      <c r="L11" s="445">
        <f t="shared" si="20"/>
        <v>24005328</v>
      </c>
      <c r="M11" s="312">
        <f t="shared" si="13"/>
        <v>0</v>
      </c>
      <c r="N11" s="310">
        <f>M11+K11+I11+G11+E11</f>
        <v>0</v>
      </c>
      <c r="O11" s="467">
        <f t="shared" si="23"/>
        <v>0</v>
      </c>
      <c r="P11" s="445">
        <f t="shared" si="21"/>
        <v>16585.395</v>
      </c>
      <c r="Q11" s="449">
        <f t="shared" si="2"/>
        <v>0</v>
      </c>
      <c r="R11" s="449">
        <f t="shared" si="18"/>
        <v>0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f t="shared" si="7"/>
        <v>32167</v>
      </c>
      <c r="X11" s="449">
        <f t="shared" si="22"/>
        <v>0</v>
      </c>
      <c r="Y11" s="445">
        <f t="shared" si="7"/>
        <v>696352</v>
      </c>
      <c r="Z11" s="449">
        <f t="shared" si="19"/>
        <v>0</v>
      </c>
      <c r="AA11" s="445">
        <f t="shared" si="7"/>
        <v>35684</v>
      </c>
      <c r="AB11" s="449">
        <f t="shared" si="16"/>
        <v>0</v>
      </c>
      <c r="AC11" s="445">
        <f t="shared" si="7"/>
        <v>914499</v>
      </c>
      <c r="AD11" s="449">
        <f t="shared" si="17"/>
        <v>0</v>
      </c>
      <c r="AE11" s="472">
        <f t="shared" si="8"/>
        <v>0</v>
      </c>
      <c r="AF11" s="473">
        <f t="shared" si="9"/>
        <v>0</v>
      </c>
      <c r="AG11" s="465">
        <f t="shared" si="24"/>
        <v>0</v>
      </c>
      <c r="AI11" s="466">
        <f>R11-'EDl log'!B9</f>
        <v>-862596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f t="shared" si="20"/>
        <v>32592094</v>
      </c>
      <c r="E12" s="311">
        <f t="shared" si="10"/>
        <v>0</v>
      </c>
      <c r="F12" s="445">
        <f t="shared" si="20"/>
        <v>3956555</v>
      </c>
      <c r="G12" s="312">
        <f t="shared" si="0"/>
        <v>0</v>
      </c>
      <c r="H12" s="445">
        <f t="shared" si="20"/>
        <v>17783034</v>
      </c>
      <c r="I12" s="312">
        <f t="shared" si="11"/>
        <v>0</v>
      </c>
      <c r="J12" s="445">
        <f t="shared" si="20"/>
        <v>28881318</v>
      </c>
      <c r="K12" s="312">
        <f t="shared" si="12"/>
        <v>0</v>
      </c>
      <c r="L12" s="445">
        <f t="shared" si="20"/>
        <v>24005328</v>
      </c>
      <c r="M12" s="312">
        <f t="shared" si="13"/>
        <v>0</v>
      </c>
      <c r="N12" s="310">
        <f>M12+K12+I12+G12+E12</f>
        <v>0</v>
      </c>
      <c r="O12" s="467">
        <f t="shared" si="23"/>
        <v>0</v>
      </c>
      <c r="P12" s="445">
        <f t="shared" si="21"/>
        <v>16585.395</v>
      </c>
      <c r="Q12" s="449">
        <f t="shared" si="2"/>
        <v>0</v>
      </c>
      <c r="R12" s="449">
        <f t="shared" si="18"/>
        <v>0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f t="shared" si="7"/>
        <v>32167</v>
      </c>
      <c r="X12" s="449">
        <f t="shared" si="22"/>
        <v>0</v>
      </c>
      <c r="Y12" s="445">
        <f t="shared" si="7"/>
        <v>696352</v>
      </c>
      <c r="Z12" s="449">
        <f t="shared" si="19"/>
        <v>0</v>
      </c>
      <c r="AA12" s="445">
        <f t="shared" si="7"/>
        <v>35684</v>
      </c>
      <c r="AB12" s="449">
        <f t="shared" si="16"/>
        <v>0</v>
      </c>
      <c r="AC12" s="445">
        <f t="shared" si="7"/>
        <v>914499</v>
      </c>
      <c r="AD12" s="449">
        <f t="shared" si="17"/>
        <v>0</v>
      </c>
      <c r="AE12" s="472">
        <f t="shared" si="8"/>
        <v>0</v>
      </c>
      <c r="AF12" s="473">
        <f t="shared" si="9"/>
        <v>0</v>
      </c>
      <c r="AG12" s="465">
        <f t="shared" si="24"/>
        <v>0</v>
      </c>
      <c r="AI12" s="466">
        <f>R12-'EDl log'!B10</f>
        <v>-862596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f t="shared" si="20"/>
        <v>32592094</v>
      </c>
      <c r="E13" s="311">
        <f t="shared" si="10"/>
        <v>0</v>
      </c>
      <c r="F13" s="445">
        <f t="shared" si="20"/>
        <v>3956555</v>
      </c>
      <c r="G13" s="312">
        <f t="shared" si="0"/>
        <v>0</v>
      </c>
      <c r="H13" s="445">
        <f t="shared" si="20"/>
        <v>17783034</v>
      </c>
      <c r="I13" s="312">
        <f t="shared" si="11"/>
        <v>0</v>
      </c>
      <c r="J13" s="445">
        <f t="shared" si="20"/>
        <v>28881318</v>
      </c>
      <c r="K13" s="312">
        <f t="shared" si="12"/>
        <v>0</v>
      </c>
      <c r="L13" s="445">
        <f t="shared" si="20"/>
        <v>24005328</v>
      </c>
      <c r="M13" s="312">
        <f t="shared" si="13"/>
        <v>0</v>
      </c>
      <c r="N13" s="310">
        <f t="shared" si="14"/>
        <v>0</v>
      </c>
      <c r="O13" s="467">
        <f t="shared" si="23"/>
        <v>0</v>
      </c>
      <c r="P13" s="445">
        <f t="shared" si="21"/>
        <v>16585.395</v>
      </c>
      <c r="Q13" s="449">
        <f>(P13-P12)*1000</f>
        <v>0</v>
      </c>
      <c r="R13" s="449">
        <f t="shared" ref="R13" si="25">N13-Q13</f>
        <v>0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f t="shared" si="7"/>
        <v>32167</v>
      </c>
      <c r="X13" s="449">
        <f t="shared" si="22"/>
        <v>0</v>
      </c>
      <c r="Y13" s="445">
        <f t="shared" si="7"/>
        <v>696352</v>
      </c>
      <c r="Z13" s="449">
        <f t="shared" si="19"/>
        <v>0</v>
      </c>
      <c r="AA13" s="445">
        <f t="shared" si="7"/>
        <v>35684</v>
      </c>
      <c r="AB13" s="449">
        <f t="shared" si="16"/>
        <v>0</v>
      </c>
      <c r="AC13" s="445">
        <f t="shared" si="7"/>
        <v>914499</v>
      </c>
      <c r="AD13" s="449">
        <f t="shared" si="17"/>
        <v>0</v>
      </c>
      <c r="AE13" s="472">
        <f t="shared" si="8"/>
        <v>0</v>
      </c>
      <c r="AF13" s="473">
        <f t="shared" si="9"/>
        <v>0</v>
      </c>
      <c r="AG13" s="465">
        <f t="shared" si="24"/>
        <v>0</v>
      </c>
      <c r="AI13" s="466">
        <f>R13-'EDl log'!B11</f>
        <v>-862596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f t="shared" si="20"/>
        <v>32592094</v>
      </c>
      <c r="E14" s="311">
        <f t="shared" si="10"/>
        <v>0</v>
      </c>
      <c r="F14" s="445">
        <f t="shared" si="20"/>
        <v>3956555</v>
      </c>
      <c r="G14" s="312">
        <f t="shared" si="0"/>
        <v>0</v>
      </c>
      <c r="H14" s="445">
        <f t="shared" si="20"/>
        <v>17783034</v>
      </c>
      <c r="I14" s="312">
        <f t="shared" si="11"/>
        <v>0</v>
      </c>
      <c r="J14" s="445">
        <f t="shared" si="20"/>
        <v>28881318</v>
      </c>
      <c r="K14" s="312">
        <f t="shared" si="12"/>
        <v>0</v>
      </c>
      <c r="L14" s="445">
        <f t="shared" si="20"/>
        <v>24005328</v>
      </c>
      <c r="M14" s="312">
        <f t="shared" si="13"/>
        <v>0</v>
      </c>
      <c r="N14" s="310">
        <f t="shared" si="14"/>
        <v>0</v>
      </c>
      <c r="O14" s="467">
        <f t="shared" si="23"/>
        <v>0</v>
      </c>
      <c r="P14" s="445">
        <f t="shared" si="21"/>
        <v>16585.395</v>
      </c>
      <c r="Q14" s="449">
        <f t="shared" ref="Q14:Q30" si="26">(P14-P13)*1000</f>
        <v>0</v>
      </c>
      <c r="R14" s="449">
        <f t="shared" ref="R14:R30" si="27">N14-Q14</f>
        <v>0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f t="shared" si="7"/>
        <v>32167</v>
      </c>
      <c r="X14" s="449">
        <f t="shared" si="22"/>
        <v>0</v>
      </c>
      <c r="Y14" s="445">
        <f t="shared" si="7"/>
        <v>696352</v>
      </c>
      <c r="Z14" s="449">
        <f t="shared" si="19"/>
        <v>0</v>
      </c>
      <c r="AA14" s="445">
        <f t="shared" si="7"/>
        <v>35684</v>
      </c>
      <c r="AB14" s="449">
        <f t="shared" si="16"/>
        <v>0</v>
      </c>
      <c r="AC14" s="445">
        <f t="shared" si="7"/>
        <v>914499</v>
      </c>
      <c r="AD14" s="449">
        <f t="shared" si="17"/>
        <v>0</v>
      </c>
      <c r="AE14" s="472">
        <f t="shared" si="8"/>
        <v>0</v>
      </c>
      <c r="AF14" s="473">
        <f t="shared" si="9"/>
        <v>0</v>
      </c>
      <c r="AG14" s="465">
        <f t="shared" si="24"/>
        <v>0</v>
      </c>
      <c r="AI14" s="466">
        <f>R14-'EDl log'!B12</f>
        <v>-862596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f t="shared" si="20"/>
        <v>32592094</v>
      </c>
      <c r="E15" s="311">
        <f t="shared" si="10"/>
        <v>0</v>
      </c>
      <c r="F15" s="445">
        <f t="shared" si="20"/>
        <v>3956555</v>
      </c>
      <c r="G15" s="312">
        <f t="shared" si="0"/>
        <v>0</v>
      </c>
      <c r="H15" s="445">
        <f t="shared" si="20"/>
        <v>17783034</v>
      </c>
      <c r="I15" s="312">
        <f t="shared" si="11"/>
        <v>0</v>
      </c>
      <c r="J15" s="445">
        <f t="shared" si="20"/>
        <v>28881318</v>
      </c>
      <c r="K15" s="312">
        <f t="shared" si="12"/>
        <v>0</v>
      </c>
      <c r="L15" s="445">
        <f t="shared" si="20"/>
        <v>24005328</v>
      </c>
      <c r="M15" s="312">
        <f t="shared" si="13"/>
        <v>0</v>
      </c>
      <c r="N15" s="310">
        <f t="shared" si="14"/>
        <v>0</v>
      </c>
      <c r="O15" s="467">
        <f t="shared" si="23"/>
        <v>0</v>
      </c>
      <c r="P15" s="445">
        <f t="shared" si="21"/>
        <v>16585.395</v>
      </c>
      <c r="Q15" s="449">
        <f t="shared" si="26"/>
        <v>0</v>
      </c>
      <c r="R15" s="449">
        <f t="shared" si="27"/>
        <v>0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f t="shared" si="7"/>
        <v>32167</v>
      </c>
      <c r="X15" s="449">
        <f t="shared" si="22"/>
        <v>0</v>
      </c>
      <c r="Y15" s="445">
        <f t="shared" si="7"/>
        <v>696352</v>
      </c>
      <c r="Z15" s="449">
        <f t="shared" si="19"/>
        <v>0</v>
      </c>
      <c r="AA15" s="445">
        <f t="shared" si="7"/>
        <v>35684</v>
      </c>
      <c r="AB15" s="449">
        <f t="shared" si="16"/>
        <v>0</v>
      </c>
      <c r="AC15" s="445">
        <f t="shared" si="7"/>
        <v>914499</v>
      </c>
      <c r="AD15" s="449">
        <f t="shared" si="17"/>
        <v>0</v>
      </c>
      <c r="AE15" s="472">
        <f t="shared" si="8"/>
        <v>0</v>
      </c>
      <c r="AF15" s="473">
        <f t="shared" si="9"/>
        <v>0</v>
      </c>
      <c r="AG15" s="465">
        <f t="shared" si="24"/>
        <v>0</v>
      </c>
      <c r="AI15" s="466">
        <f>R15-'EDl log'!B13</f>
        <v>-862596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f t="shared" si="20"/>
        <v>32592094</v>
      </c>
      <c r="E16" s="311">
        <f t="shared" si="10"/>
        <v>0</v>
      </c>
      <c r="F16" s="445">
        <f t="shared" si="20"/>
        <v>3956555</v>
      </c>
      <c r="G16" s="312">
        <f t="shared" si="0"/>
        <v>0</v>
      </c>
      <c r="H16" s="445">
        <f t="shared" si="20"/>
        <v>17783034</v>
      </c>
      <c r="I16" s="312">
        <f t="shared" si="11"/>
        <v>0</v>
      </c>
      <c r="J16" s="445">
        <f t="shared" si="20"/>
        <v>28881318</v>
      </c>
      <c r="K16" s="312">
        <f t="shared" si="12"/>
        <v>0</v>
      </c>
      <c r="L16" s="445">
        <f t="shared" si="20"/>
        <v>24005328</v>
      </c>
      <c r="M16" s="312">
        <f t="shared" si="13"/>
        <v>0</v>
      </c>
      <c r="N16" s="310">
        <f t="shared" si="14"/>
        <v>0</v>
      </c>
      <c r="O16" s="467">
        <f t="shared" si="23"/>
        <v>0</v>
      </c>
      <c r="P16" s="445">
        <f t="shared" si="21"/>
        <v>16585.395</v>
      </c>
      <c r="Q16" s="449">
        <f t="shared" si="26"/>
        <v>0</v>
      </c>
      <c r="R16" s="449">
        <f t="shared" si="27"/>
        <v>0</v>
      </c>
      <c r="S16" s="445">
        <f t="shared" si="7"/>
        <v>10118</v>
      </c>
      <c r="T16" s="469">
        <f t="shared" si="3"/>
        <v>0</v>
      </c>
      <c r="U16" s="445">
        <f t="shared" si="7"/>
        <v>420722</v>
      </c>
      <c r="V16" s="449">
        <f t="shared" si="15"/>
        <v>0</v>
      </c>
      <c r="W16" s="445">
        <f t="shared" si="7"/>
        <v>32167</v>
      </c>
      <c r="X16" s="449">
        <f>W16-W15</f>
        <v>0</v>
      </c>
      <c r="Y16" s="445">
        <f t="shared" si="7"/>
        <v>696352</v>
      </c>
      <c r="Z16" s="449">
        <f>Y16-Y15</f>
        <v>0</v>
      </c>
      <c r="AA16" s="445">
        <f t="shared" si="7"/>
        <v>35684</v>
      </c>
      <c r="AB16" s="449">
        <f>AA16-AA15</f>
        <v>0</v>
      </c>
      <c r="AC16" s="445">
        <f t="shared" si="7"/>
        <v>914499</v>
      </c>
      <c r="AD16" s="449">
        <f t="shared" si="17"/>
        <v>0</v>
      </c>
      <c r="AE16" s="472">
        <f t="shared" si="8"/>
        <v>0</v>
      </c>
      <c r="AF16" s="473">
        <f t="shared" si="9"/>
        <v>0</v>
      </c>
      <c r="AG16" s="465">
        <f t="shared" si="24"/>
        <v>0</v>
      </c>
      <c r="AI16" s="466">
        <f>R16-'EDl log'!B14</f>
        <v>-862596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f t="shared" si="20"/>
        <v>32592094</v>
      </c>
      <c r="E17" s="311">
        <f t="shared" si="10"/>
        <v>0</v>
      </c>
      <c r="F17" s="445">
        <f t="shared" si="20"/>
        <v>3956555</v>
      </c>
      <c r="G17" s="312">
        <f t="shared" si="0"/>
        <v>0</v>
      </c>
      <c r="H17" s="445">
        <f t="shared" si="20"/>
        <v>17783034</v>
      </c>
      <c r="I17" s="312">
        <f t="shared" si="11"/>
        <v>0</v>
      </c>
      <c r="J17" s="445">
        <f t="shared" si="20"/>
        <v>28881318</v>
      </c>
      <c r="K17" s="312">
        <f t="shared" si="12"/>
        <v>0</v>
      </c>
      <c r="L17" s="445">
        <f t="shared" si="20"/>
        <v>24005328</v>
      </c>
      <c r="M17" s="312">
        <f t="shared" si="13"/>
        <v>0</v>
      </c>
      <c r="N17" s="310">
        <f t="shared" si="14"/>
        <v>0</v>
      </c>
      <c r="O17" s="467">
        <f t="shared" si="23"/>
        <v>0</v>
      </c>
      <c r="P17" s="445">
        <f t="shared" si="21"/>
        <v>16585.395</v>
      </c>
      <c r="Q17" s="449">
        <f t="shared" si="26"/>
        <v>0</v>
      </c>
      <c r="R17" s="449">
        <f t="shared" si="27"/>
        <v>0</v>
      </c>
      <c r="S17" s="445">
        <f t="shared" si="7"/>
        <v>10118</v>
      </c>
      <c r="T17" s="469">
        <f t="shared" si="3"/>
        <v>0</v>
      </c>
      <c r="U17" s="445">
        <f t="shared" si="7"/>
        <v>420722</v>
      </c>
      <c r="V17" s="449">
        <f t="shared" si="15"/>
        <v>0</v>
      </c>
      <c r="W17" s="445">
        <f t="shared" si="7"/>
        <v>32167</v>
      </c>
      <c r="X17" s="449">
        <f t="shared" si="22"/>
        <v>0</v>
      </c>
      <c r="Y17" s="445">
        <f t="shared" si="7"/>
        <v>696352</v>
      </c>
      <c r="Z17" s="449">
        <f t="shared" si="19"/>
        <v>0</v>
      </c>
      <c r="AA17" s="445">
        <f t="shared" si="7"/>
        <v>35684</v>
      </c>
      <c r="AB17" s="449">
        <f t="shared" si="16"/>
        <v>0</v>
      </c>
      <c r="AC17" s="445">
        <f t="shared" si="7"/>
        <v>914499</v>
      </c>
      <c r="AD17" s="449">
        <f t="shared" ref="AD17:AD30" si="28">AC17-AC16</f>
        <v>0</v>
      </c>
      <c r="AE17" s="472">
        <f t="shared" si="8"/>
        <v>0</v>
      </c>
      <c r="AF17" s="473">
        <f t="shared" si="9"/>
        <v>0</v>
      </c>
      <c r="AG17" s="465">
        <f t="shared" si="24"/>
        <v>0</v>
      </c>
      <c r="AI17" s="466">
        <f>R17-'EDl log'!B15</f>
        <v>-862596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f t="shared" si="20"/>
        <v>32592094</v>
      </c>
      <c r="E18" s="311">
        <f t="shared" si="10"/>
        <v>0</v>
      </c>
      <c r="F18" s="445">
        <f t="shared" si="20"/>
        <v>3956555</v>
      </c>
      <c r="G18" s="312">
        <f t="shared" si="0"/>
        <v>0</v>
      </c>
      <c r="H18" s="445">
        <f t="shared" si="20"/>
        <v>17783034</v>
      </c>
      <c r="I18" s="312">
        <f t="shared" si="11"/>
        <v>0</v>
      </c>
      <c r="J18" s="445">
        <f t="shared" si="20"/>
        <v>28881318</v>
      </c>
      <c r="K18" s="312">
        <f t="shared" si="12"/>
        <v>0</v>
      </c>
      <c r="L18" s="445">
        <f t="shared" si="20"/>
        <v>24005328</v>
      </c>
      <c r="M18" s="312">
        <f t="shared" si="13"/>
        <v>0</v>
      </c>
      <c r="N18" s="310">
        <f t="shared" si="14"/>
        <v>0</v>
      </c>
      <c r="O18" s="467">
        <f t="shared" si="23"/>
        <v>0</v>
      </c>
      <c r="P18" s="445">
        <f t="shared" si="21"/>
        <v>16585.395</v>
      </c>
      <c r="Q18" s="449">
        <f t="shared" si="26"/>
        <v>0</v>
      </c>
      <c r="R18" s="449">
        <f t="shared" si="27"/>
        <v>0</v>
      </c>
      <c r="S18" s="445">
        <f t="shared" si="7"/>
        <v>10118</v>
      </c>
      <c r="T18" s="469">
        <f t="shared" si="3"/>
        <v>0</v>
      </c>
      <c r="U18" s="445">
        <f t="shared" si="7"/>
        <v>420722</v>
      </c>
      <c r="V18" s="449">
        <f t="shared" si="15"/>
        <v>0</v>
      </c>
      <c r="W18" s="445">
        <f t="shared" si="7"/>
        <v>32167</v>
      </c>
      <c r="X18" s="449">
        <f t="shared" si="22"/>
        <v>0</v>
      </c>
      <c r="Y18" s="445">
        <f t="shared" si="7"/>
        <v>696352</v>
      </c>
      <c r="Z18" s="449">
        <f t="shared" si="19"/>
        <v>0</v>
      </c>
      <c r="AA18" s="445">
        <f t="shared" si="7"/>
        <v>35684</v>
      </c>
      <c r="AB18" s="449">
        <f t="shared" si="16"/>
        <v>0</v>
      </c>
      <c r="AC18" s="445">
        <f t="shared" si="7"/>
        <v>914499</v>
      </c>
      <c r="AD18" s="449">
        <f t="shared" si="28"/>
        <v>0</v>
      </c>
      <c r="AE18" s="472">
        <f t="shared" si="8"/>
        <v>0</v>
      </c>
      <c r="AF18" s="473">
        <f t="shared" si="9"/>
        <v>0</v>
      </c>
      <c r="AG18" s="465">
        <f t="shared" si="24"/>
        <v>0</v>
      </c>
      <c r="AI18" s="466">
        <f>R18-'EDl log'!B16</f>
        <v>-862596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f t="shared" si="20"/>
        <v>32592094</v>
      </c>
      <c r="E19" s="311">
        <f t="shared" si="10"/>
        <v>0</v>
      </c>
      <c r="F19" s="445">
        <f t="shared" si="20"/>
        <v>3956555</v>
      </c>
      <c r="G19" s="312">
        <f t="shared" si="0"/>
        <v>0</v>
      </c>
      <c r="H19" s="445">
        <f t="shared" si="20"/>
        <v>17783034</v>
      </c>
      <c r="I19" s="312">
        <f t="shared" si="11"/>
        <v>0</v>
      </c>
      <c r="J19" s="445">
        <f t="shared" si="20"/>
        <v>28881318</v>
      </c>
      <c r="K19" s="312">
        <f t="shared" si="12"/>
        <v>0</v>
      </c>
      <c r="L19" s="445">
        <f t="shared" si="20"/>
        <v>24005328</v>
      </c>
      <c r="M19" s="312">
        <f t="shared" si="13"/>
        <v>0</v>
      </c>
      <c r="N19" s="310">
        <f t="shared" si="14"/>
        <v>0</v>
      </c>
      <c r="O19" s="467">
        <f t="shared" si="23"/>
        <v>0</v>
      </c>
      <c r="P19" s="445">
        <f t="shared" si="21"/>
        <v>16585.395</v>
      </c>
      <c r="Q19" s="449">
        <f t="shared" si="26"/>
        <v>0</v>
      </c>
      <c r="R19" s="449">
        <f t="shared" si="27"/>
        <v>0</v>
      </c>
      <c r="S19" s="445">
        <f t="shared" si="7"/>
        <v>10118</v>
      </c>
      <c r="T19" s="469">
        <f t="shared" si="3"/>
        <v>0</v>
      </c>
      <c r="U19" s="445">
        <f t="shared" si="7"/>
        <v>420722</v>
      </c>
      <c r="V19" s="449">
        <f t="shared" si="15"/>
        <v>0</v>
      </c>
      <c r="W19" s="445">
        <f t="shared" si="7"/>
        <v>32167</v>
      </c>
      <c r="X19" s="449">
        <f t="shared" si="22"/>
        <v>0</v>
      </c>
      <c r="Y19" s="445">
        <f t="shared" si="7"/>
        <v>696352</v>
      </c>
      <c r="Z19" s="449">
        <f t="shared" si="19"/>
        <v>0</v>
      </c>
      <c r="AA19" s="445">
        <f t="shared" si="7"/>
        <v>35684</v>
      </c>
      <c r="AB19" s="449">
        <f t="shared" si="16"/>
        <v>0</v>
      </c>
      <c r="AC19" s="445">
        <f t="shared" si="7"/>
        <v>914499</v>
      </c>
      <c r="AD19" s="449">
        <f t="shared" si="28"/>
        <v>0</v>
      </c>
      <c r="AE19" s="472">
        <f t="shared" si="8"/>
        <v>0</v>
      </c>
      <c r="AF19" s="473">
        <f t="shared" si="9"/>
        <v>0</v>
      </c>
      <c r="AG19" s="465">
        <f t="shared" si="24"/>
        <v>0</v>
      </c>
      <c r="AI19" s="466">
        <f>R19-'EDl log'!B17</f>
        <v>-862596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f t="shared" si="20"/>
        <v>32592094</v>
      </c>
      <c r="E20" s="311">
        <f t="shared" si="10"/>
        <v>0</v>
      </c>
      <c r="F20" s="445">
        <f t="shared" si="20"/>
        <v>3956555</v>
      </c>
      <c r="G20" s="312">
        <f t="shared" si="0"/>
        <v>0</v>
      </c>
      <c r="H20" s="445">
        <f t="shared" si="20"/>
        <v>17783034</v>
      </c>
      <c r="I20" s="312">
        <f t="shared" si="11"/>
        <v>0</v>
      </c>
      <c r="J20" s="445">
        <f t="shared" si="20"/>
        <v>28881318</v>
      </c>
      <c r="K20" s="312">
        <f t="shared" si="12"/>
        <v>0</v>
      </c>
      <c r="L20" s="445">
        <f t="shared" si="20"/>
        <v>24005328</v>
      </c>
      <c r="M20" s="312">
        <f t="shared" si="13"/>
        <v>0</v>
      </c>
      <c r="N20" s="310">
        <f t="shared" si="14"/>
        <v>0</v>
      </c>
      <c r="O20" s="467">
        <f t="shared" si="23"/>
        <v>0</v>
      </c>
      <c r="P20" s="445">
        <f t="shared" si="21"/>
        <v>16585.395</v>
      </c>
      <c r="Q20" s="449">
        <f t="shared" si="26"/>
        <v>0</v>
      </c>
      <c r="R20" s="449">
        <f t="shared" si="27"/>
        <v>0</v>
      </c>
      <c r="S20" s="445">
        <f t="shared" si="7"/>
        <v>10118</v>
      </c>
      <c r="T20" s="469">
        <f t="shared" si="3"/>
        <v>0</v>
      </c>
      <c r="U20" s="445">
        <f t="shared" si="7"/>
        <v>420722</v>
      </c>
      <c r="V20" s="449">
        <f t="shared" si="15"/>
        <v>0</v>
      </c>
      <c r="W20" s="445">
        <f t="shared" si="7"/>
        <v>32167</v>
      </c>
      <c r="X20" s="449">
        <f t="shared" si="22"/>
        <v>0</v>
      </c>
      <c r="Y20" s="445">
        <f t="shared" si="7"/>
        <v>696352</v>
      </c>
      <c r="Z20" s="449">
        <f t="shared" si="19"/>
        <v>0</v>
      </c>
      <c r="AA20" s="445">
        <f t="shared" si="7"/>
        <v>35684</v>
      </c>
      <c r="AB20" s="449">
        <f t="shared" si="16"/>
        <v>0</v>
      </c>
      <c r="AC20" s="445">
        <f t="shared" si="7"/>
        <v>914499</v>
      </c>
      <c r="AD20" s="449">
        <f t="shared" si="28"/>
        <v>0</v>
      </c>
      <c r="AE20" s="472">
        <f t="shared" si="8"/>
        <v>0</v>
      </c>
      <c r="AF20" s="473">
        <f t="shared" si="9"/>
        <v>0</v>
      </c>
      <c r="AG20" s="465">
        <f t="shared" si="24"/>
        <v>0</v>
      </c>
      <c r="AI20" s="466">
        <f>R20-'EDl log'!B18</f>
        <v>-862596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f t="shared" si="20"/>
        <v>32592094</v>
      </c>
      <c r="E21" s="311">
        <f t="shared" si="10"/>
        <v>0</v>
      </c>
      <c r="F21" s="445">
        <f t="shared" si="20"/>
        <v>3956555</v>
      </c>
      <c r="G21" s="312">
        <f t="shared" si="0"/>
        <v>0</v>
      </c>
      <c r="H21" s="445">
        <f t="shared" si="20"/>
        <v>17783034</v>
      </c>
      <c r="I21" s="312">
        <f t="shared" si="11"/>
        <v>0</v>
      </c>
      <c r="J21" s="445">
        <f t="shared" si="20"/>
        <v>28881318</v>
      </c>
      <c r="K21" s="312">
        <f t="shared" si="12"/>
        <v>0</v>
      </c>
      <c r="L21" s="445">
        <f t="shared" si="20"/>
        <v>24005328</v>
      </c>
      <c r="M21" s="312">
        <f t="shared" si="13"/>
        <v>0</v>
      </c>
      <c r="N21" s="310">
        <f t="shared" si="14"/>
        <v>0</v>
      </c>
      <c r="O21" s="467">
        <f t="shared" si="23"/>
        <v>0</v>
      </c>
      <c r="P21" s="445">
        <f t="shared" si="21"/>
        <v>16585.395</v>
      </c>
      <c r="Q21" s="449">
        <f t="shared" si="26"/>
        <v>0</v>
      </c>
      <c r="R21" s="449">
        <f t="shared" si="27"/>
        <v>0</v>
      </c>
      <c r="S21" s="445">
        <f t="shared" si="7"/>
        <v>10118</v>
      </c>
      <c r="T21" s="469">
        <f t="shared" si="3"/>
        <v>0</v>
      </c>
      <c r="U21" s="445">
        <f t="shared" si="7"/>
        <v>420722</v>
      </c>
      <c r="V21" s="449">
        <f t="shared" si="15"/>
        <v>0</v>
      </c>
      <c r="W21" s="445">
        <f t="shared" si="7"/>
        <v>32167</v>
      </c>
      <c r="X21" s="449">
        <f t="shared" si="22"/>
        <v>0</v>
      </c>
      <c r="Y21" s="445">
        <f t="shared" si="7"/>
        <v>696352</v>
      </c>
      <c r="Z21" s="449">
        <f t="shared" si="19"/>
        <v>0</v>
      </c>
      <c r="AA21" s="445">
        <f t="shared" si="7"/>
        <v>35684</v>
      </c>
      <c r="AB21" s="449">
        <f t="shared" si="16"/>
        <v>0</v>
      </c>
      <c r="AC21" s="445">
        <f t="shared" si="7"/>
        <v>914499</v>
      </c>
      <c r="AD21" s="449">
        <f t="shared" si="28"/>
        <v>0</v>
      </c>
      <c r="AE21" s="472">
        <f t="shared" si="8"/>
        <v>0</v>
      </c>
      <c r="AF21" s="473">
        <f t="shared" si="9"/>
        <v>0</v>
      </c>
      <c r="AG21" s="465">
        <f t="shared" si="24"/>
        <v>0</v>
      </c>
      <c r="AI21" s="466">
        <f>R21-'EDl log'!B19</f>
        <v>-862596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f t="shared" si="20"/>
        <v>32592094</v>
      </c>
      <c r="E22" s="311">
        <f t="shared" si="10"/>
        <v>0</v>
      </c>
      <c r="F22" s="445">
        <f t="shared" si="20"/>
        <v>3956555</v>
      </c>
      <c r="G22" s="312">
        <f t="shared" si="0"/>
        <v>0</v>
      </c>
      <c r="H22" s="445">
        <f t="shared" si="20"/>
        <v>17783034</v>
      </c>
      <c r="I22" s="312">
        <f t="shared" si="11"/>
        <v>0</v>
      </c>
      <c r="J22" s="445">
        <f t="shared" si="20"/>
        <v>28881318</v>
      </c>
      <c r="K22" s="312">
        <f t="shared" si="12"/>
        <v>0</v>
      </c>
      <c r="L22" s="445">
        <f t="shared" si="20"/>
        <v>24005328</v>
      </c>
      <c r="M22" s="312">
        <f t="shared" si="13"/>
        <v>0</v>
      </c>
      <c r="N22" s="310">
        <f t="shared" si="14"/>
        <v>0</v>
      </c>
      <c r="O22" s="467">
        <f t="shared" si="23"/>
        <v>0</v>
      </c>
      <c r="P22" s="445">
        <f t="shared" si="21"/>
        <v>16585.395</v>
      </c>
      <c r="Q22" s="449">
        <f t="shared" si="26"/>
        <v>0</v>
      </c>
      <c r="R22" s="449">
        <f t="shared" si="27"/>
        <v>0</v>
      </c>
      <c r="S22" s="445">
        <f t="shared" si="7"/>
        <v>10118</v>
      </c>
      <c r="T22" s="469">
        <f t="shared" si="3"/>
        <v>0</v>
      </c>
      <c r="U22" s="445">
        <f t="shared" si="7"/>
        <v>420722</v>
      </c>
      <c r="V22" s="449">
        <f t="shared" si="15"/>
        <v>0</v>
      </c>
      <c r="W22" s="445">
        <f t="shared" si="7"/>
        <v>32167</v>
      </c>
      <c r="X22" s="449">
        <f t="shared" si="22"/>
        <v>0</v>
      </c>
      <c r="Y22" s="445">
        <f t="shared" si="7"/>
        <v>696352</v>
      </c>
      <c r="Z22" s="449">
        <f t="shared" si="19"/>
        <v>0</v>
      </c>
      <c r="AA22" s="445">
        <f t="shared" si="7"/>
        <v>35684</v>
      </c>
      <c r="AB22" s="449">
        <f t="shared" si="16"/>
        <v>0</v>
      </c>
      <c r="AC22" s="445">
        <f t="shared" si="7"/>
        <v>914499</v>
      </c>
      <c r="AD22" s="449">
        <f t="shared" si="28"/>
        <v>0</v>
      </c>
      <c r="AE22" s="472">
        <f t="shared" si="8"/>
        <v>0</v>
      </c>
      <c r="AF22" s="473">
        <f t="shared" si="9"/>
        <v>0</v>
      </c>
      <c r="AG22" s="465">
        <f t="shared" si="24"/>
        <v>0</v>
      </c>
      <c r="AI22" s="466">
        <f>R22-'EDl log'!B20</f>
        <v>-862596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f t="shared" si="20"/>
        <v>32592094</v>
      </c>
      <c r="E23" s="311">
        <f t="shared" si="10"/>
        <v>0</v>
      </c>
      <c r="F23" s="445">
        <f t="shared" si="20"/>
        <v>3956555</v>
      </c>
      <c r="G23" s="312">
        <f t="shared" si="0"/>
        <v>0</v>
      </c>
      <c r="H23" s="445">
        <f t="shared" si="20"/>
        <v>17783034</v>
      </c>
      <c r="I23" s="438">
        <f t="shared" si="11"/>
        <v>0</v>
      </c>
      <c r="J23" s="445">
        <f t="shared" si="20"/>
        <v>28881318</v>
      </c>
      <c r="K23" s="312">
        <f t="shared" si="12"/>
        <v>0</v>
      </c>
      <c r="L23" s="445">
        <f t="shared" si="20"/>
        <v>24005328</v>
      </c>
      <c r="M23" s="312">
        <f t="shared" si="13"/>
        <v>0</v>
      </c>
      <c r="N23" s="310">
        <f t="shared" si="14"/>
        <v>0</v>
      </c>
      <c r="O23" s="467">
        <f t="shared" si="23"/>
        <v>0</v>
      </c>
      <c r="P23" s="445">
        <f t="shared" si="21"/>
        <v>16585.395</v>
      </c>
      <c r="Q23" s="449">
        <f t="shared" si="26"/>
        <v>0</v>
      </c>
      <c r="R23" s="449">
        <f t="shared" si="27"/>
        <v>0</v>
      </c>
      <c r="S23" s="445">
        <f t="shared" si="7"/>
        <v>10118</v>
      </c>
      <c r="T23" s="469">
        <f t="shared" si="3"/>
        <v>0</v>
      </c>
      <c r="U23" s="445">
        <f t="shared" si="7"/>
        <v>420722</v>
      </c>
      <c r="V23" s="449">
        <f t="shared" si="15"/>
        <v>0</v>
      </c>
      <c r="W23" s="445">
        <f t="shared" si="7"/>
        <v>32167</v>
      </c>
      <c r="X23" s="449">
        <f t="shared" si="22"/>
        <v>0</v>
      </c>
      <c r="Y23" s="445">
        <f t="shared" si="7"/>
        <v>696352</v>
      </c>
      <c r="Z23" s="449">
        <f t="shared" si="19"/>
        <v>0</v>
      </c>
      <c r="AA23" s="445">
        <f t="shared" si="7"/>
        <v>35684</v>
      </c>
      <c r="AB23" s="449">
        <f t="shared" si="16"/>
        <v>0</v>
      </c>
      <c r="AC23" s="445">
        <f t="shared" si="7"/>
        <v>914499</v>
      </c>
      <c r="AD23" s="449">
        <f t="shared" si="28"/>
        <v>0</v>
      </c>
      <c r="AE23" s="472">
        <f t="shared" si="8"/>
        <v>0</v>
      </c>
      <c r="AF23" s="473">
        <f t="shared" si="9"/>
        <v>0</v>
      </c>
      <c r="AG23" s="465">
        <f t="shared" si="24"/>
        <v>0</v>
      </c>
      <c r="AI23" s="466">
        <f>R23-'EDl log'!B21</f>
        <v>-862596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f t="shared" si="20"/>
        <v>32592094</v>
      </c>
      <c r="E24" s="311">
        <f t="shared" si="10"/>
        <v>0</v>
      </c>
      <c r="F24" s="445">
        <f t="shared" si="20"/>
        <v>3956555</v>
      </c>
      <c r="G24" s="312">
        <f t="shared" si="0"/>
        <v>0</v>
      </c>
      <c r="H24" s="445">
        <f t="shared" si="20"/>
        <v>17783034</v>
      </c>
      <c r="I24" s="312">
        <f t="shared" si="11"/>
        <v>0</v>
      </c>
      <c r="J24" s="445">
        <f t="shared" si="20"/>
        <v>28881318</v>
      </c>
      <c r="K24" s="312">
        <f t="shared" si="12"/>
        <v>0</v>
      </c>
      <c r="L24" s="445">
        <f t="shared" si="20"/>
        <v>24005328</v>
      </c>
      <c r="M24" s="312">
        <f t="shared" si="13"/>
        <v>0</v>
      </c>
      <c r="N24" s="310">
        <f t="shared" si="14"/>
        <v>0</v>
      </c>
      <c r="O24" s="467">
        <f t="shared" si="23"/>
        <v>0</v>
      </c>
      <c r="P24" s="445">
        <f t="shared" si="21"/>
        <v>16585.395</v>
      </c>
      <c r="Q24" s="449">
        <f t="shared" si="26"/>
        <v>0</v>
      </c>
      <c r="R24" s="449">
        <f t="shared" si="27"/>
        <v>0</v>
      </c>
      <c r="S24" s="445">
        <f t="shared" si="7"/>
        <v>10118</v>
      </c>
      <c r="T24" s="469">
        <f t="shared" si="3"/>
        <v>0</v>
      </c>
      <c r="U24" s="445">
        <f t="shared" si="7"/>
        <v>420722</v>
      </c>
      <c r="V24" s="449">
        <f t="shared" si="15"/>
        <v>0</v>
      </c>
      <c r="W24" s="445">
        <f t="shared" si="7"/>
        <v>32167</v>
      </c>
      <c r="X24" s="449">
        <f t="shared" si="22"/>
        <v>0</v>
      </c>
      <c r="Y24" s="445">
        <f t="shared" si="7"/>
        <v>696352</v>
      </c>
      <c r="Z24" s="449">
        <f t="shared" si="19"/>
        <v>0</v>
      </c>
      <c r="AA24" s="445">
        <f t="shared" si="7"/>
        <v>35684</v>
      </c>
      <c r="AB24" s="449">
        <f t="shared" si="16"/>
        <v>0</v>
      </c>
      <c r="AC24" s="445">
        <f t="shared" si="7"/>
        <v>914499</v>
      </c>
      <c r="AD24" s="449">
        <f t="shared" si="28"/>
        <v>0</v>
      </c>
      <c r="AE24" s="472">
        <f t="shared" si="8"/>
        <v>0</v>
      </c>
      <c r="AF24" s="473">
        <f t="shared" si="9"/>
        <v>0</v>
      </c>
      <c r="AG24" s="465">
        <f t="shared" si="24"/>
        <v>0</v>
      </c>
      <c r="AI24" s="466">
        <f>R24-'EDl log'!B22</f>
        <v>-862596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si="20"/>
        <v>32592094</v>
      </c>
      <c r="E25" s="311">
        <f t="shared" si="10"/>
        <v>0</v>
      </c>
      <c r="F25" s="445">
        <f t="shared" si="20"/>
        <v>3956555</v>
      </c>
      <c r="G25" s="312">
        <f t="shared" si="0"/>
        <v>0</v>
      </c>
      <c r="H25" s="445">
        <f t="shared" si="20"/>
        <v>17783034</v>
      </c>
      <c r="I25" s="312">
        <f t="shared" si="11"/>
        <v>0</v>
      </c>
      <c r="J25" s="445">
        <f t="shared" si="20"/>
        <v>28881318</v>
      </c>
      <c r="K25" s="312">
        <f t="shared" si="12"/>
        <v>0</v>
      </c>
      <c r="L25" s="445">
        <f t="shared" si="20"/>
        <v>24005328</v>
      </c>
      <c r="M25" s="312">
        <f t="shared" si="13"/>
        <v>0</v>
      </c>
      <c r="N25" s="310">
        <f t="shared" si="14"/>
        <v>0</v>
      </c>
      <c r="O25" s="467">
        <f t="shared" si="23"/>
        <v>0</v>
      </c>
      <c r="P25" s="445">
        <f t="shared" si="21"/>
        <v>16585.395</v>
      </c>
      <c r="Q25" s="449">
        <f t="shared" si="26"/>
        <v>0</v>
      </c>
      <c r="R25" s="449">
        <f t="shared" si="27"/>
        <v>0</v>
      </c>
      <c r="S25" s="445">
        <f t="shared" si="7"/>
        <v>10118</v>
      </c>
      <c r="T25" s="469">
        <f t="shared" si="3"/>
        <v>0</v>
      </c>
      <c r="U25" s="445">
        <f t="shared" si="7"/>
        <v>420722</v>
      </c>
      <c r="V25" s="449">
        <f t="shared" si="15"/>
        <v>0</v>
      </c>
      <c r="W25" s="445">
        <f t="shared" si="7"/>
        <v>32167</v>
      </c>
      <c r="X25" s="449">
        <f t="shared" si="22"/>
        <v>0</v>
      </c>
      <c r="Y25" s="445">
        <f t="shared" si="7"/>
        <v>696352</v>
      </c>
      <c r="Z25" s="449">
        <f t="shared" si="19"/>
        <v>0</v>
      </c>
      <c r="AA25" s="445">
        <f t="shared" si="7"/>
        <v>35684</v>
      </c>
      <c r="AB25" s="449">
        <f t="shared" si="16"/>
        <v>0</v>
      </c>
      <c r="AC25" s="445">
        <f t="shared" si="7"/>
        <v>914499</v>
      </c>
      <c r="AD25" s="449">
        <f t="shared" si="28"/>
        <v>0</v>
      </c>
      <c r="AE25" s="472">
        <f t="shared" si="8"/>
        <v>0</v>
      </c>
      <c r="AF25" s="473">
        <f t="shared" si="9"/>
        <v>0</v>
      </c>
      <c r="AG25" s="465">
        <f t="shared" si="24"/>
        <v>0</v>
      </c>
      <c r="AI25" s="466">
        <f>R25-'EDl log'!B23</f>
        <v>-862596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20"/>
        <v>32592094</v>
      </c>
      <c r="E26" s="311">
        <f t="shared" si="10"/>
        <v>0</v>
      </c>
      <c r="F26" s="445">
        <f t="shared" si="20"/>
        <v>3956555</v>
      </c>
      <c r="G26" s="312">
        <f t="shared" si="0"/>
        <v>0</v>
      </c>
      <c r="H26" s="445">
        <f t="shared" si="20"/>
        <v>17783034</v>
      </c>
      <c r="I26" s="312">
        <f t="shared" si="11"/>
        <v>0</v>
      </c>
      <c r="J26" s="445">
        <f t="shared" si="20"/>
        <v>28881318</v>
      </c>
      <c r="K26" s="312">
        <f t="shared" si="12"/>
        <v>0</v>
      </c>
      <c r="L26" s="445">
        <f t="shared" si="20"/>
        <v>24005328</v>
      </c>
      <c r="M26" s="312">
        <f t="shared" si="13"/>
        <v>0</v>
      </c>
      <c r="N26" s="310">
        <f t="shared" si="14"/>
        <v>0</v>
      </c>
      <c r="O26" s="467">
        <f t="shared" si="23"/>
        <v>0</v>
      </c>
      <c r="P26" s="445">
        <f t="shared" si="21"/>
        <v>16585.395</v>
      </c>
      <c r="Q26" s="449">
        <f t="shared" si="26"/>
        <v>0</v>
      </c>
      <c r="R26" s="449">
        <f t="shared" si="27"/>
        <v>0</v>
      </c>
      <c r="S26" s="445">
        <f t="shared" si="7"/>
        <v>10118</v>
      </c>
      <c r="T26" s="469">
        <f t="shared" si="3"/>
        <v>0</v>
      </c>
      <c r="U26" s="445">
        <f t="shared" si="7"/>
        <v>420722</v>
      </c>
      <c r="V26" s="449">
        <f t="shared" si="15"/>
        <v>0</v>
      </c>
      <c r="W26" s="445">
        <f t="shared" si="7"/>
        <v>32167</v>
      </c>
      <c r="X26" s="449">
        <f t="shared" si="22"/>
        <v>0</v>
      </c>
      <c r="Y26" s="445">
        <f t="shared" si="7"/>
        <v>696352</v>
      </c>
      <c r="Z26" s="449">
        <f t="shared" si="19"/>
        <v>0</v>
      </c>
      <c r="AA26" s="445">
        <f t="shared" si="7"/>
        <v>35684</v>
      </c>
      <c r="AB26" s="449">
        <f t="shared" si="16"/>
        <v>0</v>
      </c>
      <c r="AC26" s="445">
        <f t="shared" si="7"/>
        <v>914499</v>
      </c>
      <c r="AD26" s="449">
        <f t="shared" si="28"/>
        <v>0</v>
      </c>
      <c r="AE26" s="472">
        <f t="shared" si="8"/>
        <v>0</v>
      </c>
      <c r="AF26" s="473">
        <f t="shared" si="9"/>
        <v>0</v>
      </c>
      <c r="AG26" s="465">
        <f t="shared" si="24"/>
        <v>0</v>
      </c>
      <c r="AI26" s="466">
        <f>R26-'EDl log'!B24</f>
        <v>-862596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20"/>
        <v>32592094</v>
      </c>
      <c r="E27" s="311">
        <f t="shared" si="10"/>
        <v>0</v>
      </c>
      <c r="F27" s="445">
        <f t="shared" si="20"/>
        <v>3956555</v>
      </c>
      <c r="G27" s="312">
        <f>F27-F26</f>
        <v>0</v>
      </c>
      <c r="H27" s="445">
        <f t="shared" si="20"/>
        <v>17783034</v>
      </c>
      <c r="I27" s="312">
        <f t="shared" si="11"/>
        <v>0</v>
      </c>
      <c r="J27" s="445">
        <f t="shared" si="20"/>
        <v>28881318</v>
      </c>
      <c r="K27" s="312">
        <f t="shared" si="12"/>
        <v>0</v>
      </c>
      <c r="L27" s="445">
        <f t="shared" si="20"/>
        <v>24005328</v>
      </c>
      <c r="M27" s="312">
        <f t="shared" si="13"/>
        <v>0</v>
      </c>
      <c r="N27" s="310">
        <f t="shared" si="14"/>
        <v>0</v>
      </c>
      <c r="O27" s="467">
        <f t="shared" si="23"/>
        <v>0</v>
      </c>
      <c r="P27" s="445">
        <f t="shared" si="21"/>
        <v>16585.395</v>
      </c>
      <c r="Q27" s="449">
        <f t="shared" si="26"/>
        <v>0</v>
      </c>
      <c r="R27" s="449">
        <f t="shared" si="27"/>
        <v>0</v>
      </c>
      <c r="S27" s="445">
        <f t="shared" si="7"/>
        <v>10118</v>
      </c>
      <c r="T27" s="469">
        <f t="shared" si="3"/>
        <v>0</v>
      </c>
      <c r="U27" s="445">
        <f t="shared" si="7"/>
        <v>420722</v>
      </c>
      <c r="V27" s="449">
        <f t="shared" si="15"/>
        <v>0</v>
      </c>
      <c r="W27" s="445">
        <f t="shared" si="7"/>
        <v>32167</v>
      </c>
      <c r="X27" s="449">
        <f t="shared" si="22"/>
        <v>0</v>
      </c>
      <c r="Y27" s="445">
        <f t="shared" si="7"/>
        <v>696352</v>
      </c>
      <c r="Z27" s="449">
        <f t="shared" si="19"/>
        <v>0</v>
      </c>
      <c r="AA27" s="445">
        <f t="shared" si="7"/>
        <v>35684</v>
      </c>
      <c r="AB27" s="449">
        <f t="shared" si="16"/>
        <v>0</v>
      </c>
      <c r="AC27" s="445">
        <f t="shared" si="7"/>
        <v>914499</v>
      </c>
      <c r="AD27" s="449">
        <f t="shared" si="28"/>
        <v>0</v>
      </c>
      <c r="AE27" s="472">
        <f t="shared" si="8"/>
        <v>0</v>
      </c>
      <c r="AF27" s="473">
        <f t="shared" si="9"/>
        <v>0</v>
      </c>
      <c r="AG27" s="465">
        <f t="shared" si="24"/>
        <v>0</v>
      </c>
      <c r="AI27" s="466">
        <f>R27-'EDl log'!B25</f>
        <v>-862596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0"/>
        <v>32592094</v>
      </c>
      <c r="E28" s="311">
        <f t="shared" si="10"/>
        <v>0</v>
      </c>
      <c r="F28" s="445">
        <f t="shared" si="20"/>
        <v>3956555</v>
      </c>
      <c r="G28" s="312">
        <f t="shared" si="0"/>
        <v>0</v>
      </c>
      <c r="H28" s="445">
        <f t="shared" si="20"/>
        <v>17783034</v>
      </c>
      <c r="I28" s="312">
        <f t="shared" si="11"/>
        <v>0</v>
      </c>
      <c r="J28" s="445">
        <f t="shared" si="20"/>
        <v>28881318</v>
      </c>
      <c r="K28" s="312">
        <f t="shared" si="12"/>
        <v>0</v>
      </c>
      <c r="L28" s="445">
        <f t="shared" si="20"/>
        <v>24005328</v>
      </c>
      <c r="M28" s="312">
        <f t="shared" si="13"/>
        <v>0</v>
      </c>
      <c r="N28" s="310">
        <f t="shared" si="14"/>
        <v>0</v>
      </c>
      <c r="O28" s="467">
        <f t="shared" si="23"/>
        <v>0</v>
      </c>
      <c r="P28" s="445">
        <f t="shared" si="21"/>
        <v>16585.395</v>
      </c>
      <c r="Q28" s="449">
        <f t="shared" si="26"/>
        <v>0</v>
      </c>
      <c r="R28" s="449">
        <f t="shared" si="27"/>
        <v>0</v>
      </c>
      <c r="S28" s="445">
        <f t="shared" si="7"/>
        <v>10118</v>
      </c>
      <c r="T28" s="469">
        <f t="shared" si="3"/>
        <v>0</v>
      </c>
      <c r="U28" s="445">
        <f t="shared" si="7"/>
        <v>420722</v>
      </c>
      <c r="V28" s="449">
        <f t="shared" si="15"/>
        <v>0</v>
      </c>
      <c r="W28" s="445">
        <f t="shared" si="7"/>
        <v>32167</v>
      </c>
      <c r="X28" s="449">
        <f t="shared" si="22"/>
        <v>0</v>
      </c>
      <c r="Y28" s="445">
        <f t="shared" si="7"/>
        <v>696352</v>
      </c>
      <c r="Z28" s="449">
        <f t="shared" si="19"/>
        <v>0</v>
      </c>
      <c r="AA28" s="445">
        <f t="shared" si="7"/>
        <v>35684</v>
      </c>
      <c r="AB28" s="449">
        <f t="shared" si="16"/>
        <v>0</v>
      </c>
      <c r="AC28" s="445">
        <f t="shared" si="7"/>
        <v>914499</v>
      </c>
      <c r="AD28" s="449">
        <f t="shared" si="28"/>
        <v>0</v>
      </c>
      <c r="AE28" s="472">
        <f t="shared" si="8"/>
        <v>0</v>
      </c>
      <c r="AF28" s="473">
        <f t="shared" si="9"/>
        <v>0</v>
      </c>
      <c r="AG28" s="465">
        <f t="shared" si="24"/>
        <v>0</v>
      </c>
      <c r="AI28" s="466">
        <f>R28-'EDl log'!B26</f>
        <v>-862596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0"/>
        <v>32592094</v>
      </c>
      <c r="E29" s="311">
        <f t="shared" si="10"/>
        <v>0</v>
      </c>
      <c r="F29" s="445">
        <f t="shared" si="20"/>
        <v>3956555</v>
      </c>
      <c r="G29" s="312">
        <f t="shared" si="0"/>
        <v>0</v>
      </c>
      <c r="H29" s="445">
        <f t="shared" si="20"/>
        <v>17783034</v>
      </c>
      <c r="I29" s="312">
        <f t="shared" si="11"/>
        <v>0</v>
      </c>
      <c r="J29" s="445">
        <f t="shared" si="20"/>
        <v>28881318</v>
      </c>
      <c r="K29" s="312">
        <f t="shared" si="12"/>
        <v>0</v>
      </c>
      <c r="L29" s="445">
        <f t="shared" si="20"/>
        <v>24005328</v>
      </c>
      <c r="M29" s="312">
        <f t="shared" si="13"/>
        <v>0</v>
      </c>
      <c r="N29" s="310">
        <f t="shared" si="14"/>
        <v>0</v>
      </c>
      <c r="O29" s="467">
        <f t="shared" si="23"/>
        <v>0</v>
      </c>
      <c r="P29" s="445">
        <f t="shared" si="21"/>
        <v>16585.395</v>
      </c>
      <c r="Q29" s="449">
        <f t="shared" si="26"/>
        <v>0</v>
      </c>
      <c r="R29" s="449">
        <f t="shared" si="27"/>
        <v>0</v>
      </c>
      <c r="S29" s="445">
        <f t="shared" si="7"/>
        <v>10118</v>
      </c>
      <c r="T29" s="469">
        <f t="shared" si="3"/>
        <v>0</v>
      </c>
      <c r="U29" s="445">
        <f t="shared" si="7"/>
        <v>420722</v>
      </c>
      <c r="V29" s="449">
        <f t="shared" si="15"/>
        <v>0</v>
      </c>
      <c r="W29" s="445">
        <f t="shared" si="7"/>
        <v>32167</v>
      </c>
      <c r="X29" s="449">
        <f t="shared" si="22"/>
        <v>0</v>
      </c>
      <c r="Y29" s="445">
        <f t="shared" si="7"/>
        <v>696352</v>
      </c>
      <c r="Z29" s="449">
        <f t="shared" si="19"/>
        <v>0</v>
      </c>
      <c r="AA29" s="445">
        <f t="shared" si="7"/>
        <v>35684</v>
      </c>
      <c r="AB29" s="449">
        <f t="shared" si="16"/>
        <v>0</v>
      </c>
      <c r="AC29" s="445">
        <f t="shared" si="7"/>
        <v>914499</v>
      </c>
      <c r="AD29" s="449">
        <f t="shared" si="28"/>
        <v>0</v>
      </c>
      <c r="AE29" s="472">
        <f t="shared" si="8"/>
        <v>0</v>
      </c>
      <c r="AF29" s="473">
        <f t="shared" si="9"/>
        <v>0</v>
      </c>
      <c r="AG29" s="465">
        <f t="shared" si="24"/>
        <v>0</v>
      </c>
      <c r="AI29" s="466">
        <f>R29-'EDl log'!B27</f>
        <v>-862596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0"/>
        <v>32592094</v>
      </c>
      <c r="E30" s="311">
        <f t="shared" si="10"/>
        <v>0</v>
      </c>
      <c r="F30" s="445">
        <f t="shared" si="20"/>
        <v>3956555</v>
      </c>
      <c r="G30" s="312">
        <f t="shared" si="0"/>
        <v>0</v>
      </c>
      <c r="H30" s="445">
        <f t="shared" si="20"/>
        <v>17783034</v>
      </c>
      <c r="I30" s="312">
        <f t="shared" si="11"/>
        <v>0</v>
      </c>
      <c r="J30" s="445">
        <f t="shared" si="20"/>
        <v>28881318</v>
      </c>
      <c r="K30" s="312">
        <f t="shared" si="12"/>
        <v>0</v>
      </c>
      <c r="L30" s="445">
        <f t="shared" si="20"/>
        <v>24005328</v>
      </c>
      <c r="M30" s="312">
        <f t="shared" si="13"/>
        <v>0</v>
      </c>
      <c r="N30" s="310">
        <f t="shared" si="14"/>
        <v>0</v>
      </c>
      <c r="O30" s="467">
        <f t="shared" si="23"/>
        <v>0</v>
      </c>
      <c r="P30" s="445">
        <f t="shared" si="21"/>
        <v>16585.395</v>
      </c>
      <c r="Q30" s="449">
        <f t="shared" si="26"/>
        <v>0</v>
      </c>
      <c r="R30" s="449">
        <f t="shared" si="27"/>
        <v>0</v>
      </c>
      <c r="S30" s="445">
        <f t="shared" si="7"/>
        <v>10118</v>
      </c>
      <c r="T30" s="469">
        <f t="shared" si="3"/>
        <v>0</v>
      </c>
      <c r="U30" s="445">
        <f t="shared" si="7"/>
        <v>420722</v>
      </c>
      <c r="V30" s="449">
        <f t="shared" si="15"/>
        <v>0</v>
      </c>
      <c r="W30" s="445">
        <f t="shared" si="7"/>
        <v>32167</v>
      </c>
      <c r="X30" s="470">
        <f t="shared" si="22"/>
        <v>0</v>
      </c>
      <c r="Y30" s="445">
        <f t="shared" si="7"/>
        <v>696352</v>
      </c>
      <c r="Z30" s="449">
        <f t="shared" si="19"/>
        <v>0</v>
      </c>
      <c r="AA30" s="445">
        <f t="shared" si="7"/>
        <v>35684</v>
      </c>
      <c r="AB30" s="449">
        <f t="shared" si="16"/>
        <v>0</v>
      </c>
      <c r="AC30" s="445">
        <f t="shared" si="7"/>
        <v>914499</v>
      </c>
      <c r="AD30" s="449">
        <f t="shared" si="28"/>
        <v>0</v>
      </c>
      <c r="AE30" s="472">
        <f t="shared" si="8"/>
        <v>0</v>
      </c>
      <c r="AF30" s="473">
        <f t="shared" si="9"/>
        <v>0</v>
      </c>
      <c r="AG30" s="465">
        <f t="shared" si="24"/>
        <v>0</v>
      </c>
      <c r="AI30" s="466">
        <f>R30-'EDl log'!B28</f>
        <v>-862596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Q1" zoomScale="90" zoomScaleNormal="90" workbookViewId="0">
      <pane ySplit="1" topLeftCell="A2" activePane="bottomLeft" state="frozen"/>
      <selection activeCell="K1" sqref="K1"/>
      <selection pane="bottomLeft" activeCell="AK8" sqref="AK8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12" t="s">
        <v>2</v>
      </c>
      <c r="G1" s="613"/>
      <c r="H1" s="613"/>
      <c r="I1" s="614"/>
      <c r="J1" s="282">
        <f>J33</f>
        <v>45.166666666666664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397"/>
      <c r="V1" s="27" t="s">
        <v>104</v>
      </c>
      <c r="W1" s="39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f t="shared" ref="B8:C32" si="44">B8</f>
        <v>221</v>
      </c>
      <c r="C9" s="589">
        <f t="shared" si="44"/>
        <v>227</v>
      </c>
      <c r="D9" s="45">
        <f t="shared" si="28"/>
        <v>0</v>
      </c>
      <c r="E9" s="45">
        <f t="shared" si="8"/>
        <v>0</v>
      </c>
      <c r="F9" s="589">
        <f t="shared" si="29"/>
        <v>1721</v>
      </c>
      <c r="G9" s="52">
        <f t="shared" si="0"/>
        <v>0</v>
      </c>
      <c r="H9" s="589">
        <f t="shared" si="29"/>
        <v>4416</v>
      </c>
      <c r="I9" s="396">
        <f t="shared" si="1"/>
        <v>0</v>
      </c>
      <c r="J9" s="66">
        <f t="shared" si="9"/>
        <v>0</v>
      </c>
      <c r="K9" s="589">
        <f t="shared" si="40"/>
        <v>2220</v>
      </c>
      <c r="L9" s="52">
        <f t="shared" si="10"/>
        <v>0</v>
      </c>
      <c r="M9" s="589">
        <f t="shared" si="40"/>
        <v>163181</v>
      </c>
      <c r="N9" s="396">
        <f t="shared" si="2"/>
        <v>0</v>
      </c>
      <c r="O9" s="64">
        <f t="shared" si="11"/>
        <v>1869</v>
      </c>
      <c r="P9" s="589">
        <f t="shared" si="11"/>
        <v>1970</v>
      </c>
      <c r="Q9" s="589">
        <f t="shared" ref="Q9" si="45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0</v>
      </c>
      <c r="V9" s="62">
        <f t="shared" si="14"/>
        <v>0</v>
      </c>
      <c r="W9" s="400" t="e">
        <f t="shared" si="15"/>
        <v>#DIV/0!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f t="shared" ref="AC9:AE9" si="46">AC8</f>
        <v>1934</v>
      </c>
      <c r="AD9" s="45">
        <f t="shared" si="6"/>
        <v>0</v>
      </c>
      <c r="AE9" s="589">
        <f t="shared" si="46"/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0</v>
      </c>
      <c r="AJ9" s="318">
        <f>-tanks!AW10</f>
        <v>0</v>
      </c>
      <c r="AK9" s="318">
        <f t="shared" si="21"/>
        <v>0</v>
      </c>
      <c r="AL9" s="318">
        <f t="shared" si="7"/>
        <v>0</v>
      </c>
      <c r="AM9" s="318">
        <f t="shared" si="22"/>
        <v>0</v>
      </c>
      <c r="AN9" s="589">
        <f t="shared" ref="AN9:AP9" si="47">AN8</f>
        <v>67</v>
      </c>
      <c r="AO9" s="320">
        <f t="shared" si="24"/>
        <v>2010.0000000000002</v>
      </c>
      <c r="AP9" s="589">
        <f t="shared" si="47"/>
        <v>55</v>
      </c>
      <c r="AQ9" s="320">
        <f t="shared" si="25"/>
        <v>1650.0000000000002</v>
      </c>
      <c r="AR9" s="589">
        <f t="shared" ref="AR9" si="48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f t="shared" si="44"/>
        <v>221</v>
      </c>
      <c r="C10" s="589">
        <f t="shared" si="44"/>
        <v>227</v>
      </c>
      <c r="D10" s="45">
        <f t="shared" si="28"/>
        <v>0</v>
      </c>
      <c r="E10" s="45">
        <f t="shared" si="8"/>
        <v>0</v>
      </c>
      <c r="F10" s="589">
        <f t="shared" si="29"/>
        <v>1721</v>
      </c>
      <c r="G10" s="52">
        <f t="shared" si="0"/>
        <v>0</v>
      </c>
      <c r="H10" s="589">
        <f t="shared" si="29"/>
        <v>4416</v>
      </c>
      <c r="I10" s="396">
        <f t="shared" si="1"/>
        <v>0</v>
      </c>
      <c r="J10" s="66">
        <f t="shared" si="9"/>
        <v>0</v>
      </c>
      <c r="K10" s="589">
        <f t="shared" si="40"/>
        <v>2220</v>
      </c>
      <c r="L10" s="52">
        <f t="shared" si="10"/>
        <v>0</v>
      </c>
      <c r="M10" s="589">
        <f t="shared" si="40"/>
        <v>163181</v>
      </c>
      <c r="N10" s="396">
        <f t="shared" si="2"/>
        <v>0</v>
      </c>
      <c r="O10" s="64">
        <f t="shared" si="11"/>
        <v>1869</v>
      </c>
      <c r="P10" s="589">
        <f t="shared" si="11"/>
        <v>1970</v>
      </c>
      <c r="Q10" s="589">
        <f t="shared" ref="Q10" si="49">Q9</f>
        <v>166647</v>
      </c>
      <c r="R10" s="395">
        <f t="shared" si="3"/>
        <v>0</v>
      </c>
      <c r="S10" s="52">
        <f t="shared" si="4"/>
        <v>0</v>
      </c>
      <c r="T10" s="67">
        <f t="shared" si="30"/>
        <v>0</v>
      </c>
      <c r="U10" s="402">
        <f t="shared" si="13"/>
        <v>0</v>
      </c>
      <c r="V10" s="62">
        <f t="shared" si="14"/>
        <v>0</v>
      </c>
      <c r="W10" s="400" t="e">
        <f t="shared" si="15"/>
        <v>#DIV/0!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50">AC9</f>
        <v>1934</v>
      </c>
      <c r="AD10" s="45">
        <f t="shared" si="6"/>
        <v>0</v>
      </c>
      <c r="AE10" s="589">
        <f t="shared" si="50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0</v>
      </c>
      <c r="AJ10" s="318">
        <f>-tanks!AW11</f>
        <v>0</v>
      </c>
      <c r="AK10" s="318">
        <f t="shared" si="21"/>
        <v>0</v>
      </c>
      <c r="AL10" s="318">
        <f t="shared" si="7"/>
        <v>0</v>
      </c>
      <c r="AM10" s="318">
        <f t="shared" si="22"/>
        <v>0</v>
      </c>
      <c r="AN10" s="589">
        <f t="shared" ref="AN10:AP10" si="51">AN9</f>
        <v>67</v>
      </c>
      <c r="AO10" s="320">
        <f t="shared" si="24"/>
        <v>2010.0000000000002</v>
      </c>
      <c r="AP10" s="589">
        <f t="shared" si="51"/>
        <v>55</v>
      </c>
      <c r="AQ10" s="320">
        <f t="shared" si="25"/>
        <v>1650.0000000000002</v>
      </c>
      <c r="AR10" s="589">
        <f t="shared" ref="AR10" si="52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f t="shared" si="44"/>
        <v>221</v>
      </c>
      <c r="C11" s="589">
        <f t="shared" si="44"/>
        <v>227</v>
      </c>
      <c r="D11" s="45">
        <f t="shared" si="28"/>
        <v>0</v>
      </c>
      <c r="E11" s="45">
        <f t="shared" si="8"/>
        <v>0</v>
      </c>
      <c r="F11" s="589">
        <f t="shared" si="29"/>
        <v>1721</v>
      </c>
      <c r="G11" s="52">
        <f t="shared" si="0"/>
        <v>0</v>
      </c>
      <c r="H11" s="589">
        <f t="shared" si="29"/>
        <v>4416</v>
      </c>
      <c r="I11" s="396">
        <f t="shared" si="1"/>
        <v>0</v>
      </c>
      <c r="J11" s="66">
        <f t="shared" si="9"/>
        <v>0</v>
      </c>
      <c r="K11" s="589">
        <f t="shared" si="40"/>
        <v>2220</v>
      </c>
      <c r="L11" s="52">
        <f t="shared" si="10"/>
        <v>0</v>
      </c>
      <c r="M11" s="589">
        <f t="shared" si="40"/>
        <v>163181</v>
      </c>
      <c r="N11" s="396">
        <f t="shared" si="2"/>
        <v>0</v>
      </c>
      <c r="O11" s="64">
        <f t="shared" si="11"/>
        <v>1869</v>
      </c>
      <c r="P11" s="589">
        <f t="shared" si="11"/>
        <v>1970</v>
      </c>
      <c r="Q11" s="589">
        <f t="shared" ref="Q11" si="53">Q10</f>
        <v>166647</v>
      </c>
      <c r="R11" s="395">
        <f t="shared" ref="R11:R32" si="54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0</v>
      </c>
      <c r="V11" s="62">
        <f t="shared" si="14"/>
        <v>0</v>
      </c>
      <c r="W11" s="400" t="e">
        <f t="shared" si="15"/>
        <v>#DIV/0!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5">AC10</f>
        <v>1934</v>
      </c>
      <c r="AD11" s="45">
        <f t="shared" si="6"/>
        <v>0</v>
      </c>
      <c r="AE11" s="589">
        <f t="shared" si="55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1"/>
        <v>0</v>
      </c>
      <c r="AL11" s="318">
        <f t="shared" si="7"/>
        <v>0</v>
      </c>
      <c r="AM11" s="318">
        <f t="shared" si="22"/>
        <v>0</v>
      </c>
      <c r="AN11" s="589">
        <f t="shared" ref="AN11:AP11" si="56">AN10</f>
        <v>67</v>
      </c>
      <c r="AO11" s="320">
        <f t="shared" si="24"/>
        <v>2010.0000000000002</v>
      </c>
      <c r="AP11" s="589">
        <f t="shared" si="56"/>
        <v>55</v>
      </c>
      <c r="AQ11" s="320">
        <f t="shared" si="25"/>
        <v>1650.0000000000002</v>
      </c>
      <c r="AR11" s="589">
        <f t="shared" ref="AR11" si="57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f t="shared" si="44"/>
        <v>221</v>
      </c>
      <c r="C12" s="589">
        <f t="shared" si="44"/>
        <v>227</v>
      </c>
      <c r="D12" s="45">
        <f t="shared" si="28"/>
        <v>0</v>
      </c>
      <c r="E12" s="45">
        <f t="shared" si="8"/>
        <v>0</v>
      </c>
      <c r="F12" s="589">
        <f t="shared" si="29"/>
        <v>1721</v>
      </c>
      <c r="G12" s="52">
        <f t="shared" si="0"/>
        <v>0</v>
      </c>
      <c r="H12" s="589">
        <f t="shared" si="29"/>
        <v>4416</v>
      </c>
      <c r="I12" s="396">
        <f t="shared" si="1"/>
        <v>0</v>
      </c>
      <c r="J12" s="66">
        <f t="shared" si="9"/>
        <v>0</v>
      </c>
      <c r="K12" s="589">
        <f t="shared" si="40"/>
        <v>2220</v>
      </c>
      <c r="L12" s="52">
        <f t="shared" si="10"/>
        <v>0</v>
      </c>
      <c r="M12" s="589">
        <f t="shared" si="40"/>
        <v>163181</v>
      </c>
      <c r="N12" s="396">
        <f t="shared" si="2"/>
        <v>0</v>
      </c>
      <c r="O12" s="64">
        <f t="shared" si="11"/>
        <v>1869</v>
      </c>
      <c r="P12" s="589">
        <f t="shared" si="11"/>
        <v>1970</v>
      </c>
      <c r="Q12" s="589">
        <f t="shared" ref="Q12" si="58">Q11</f>
        <v>166647</v>
      </c>
      <c r="R12" s="395">
        <f t="shared" si="54"/>
        <v>0</v>
      </c>
      <c r="S12" s="52">
        <f t="shared" si="4"/>
        <v>0</v>
      </c>
      <c r="T12" s="67">
        <f t="shared" si="30"/>
        <v>0</v>
      </c>
      <c r="U12" s="402">
        <f t="shared" si="13"/>
        <v>0</v>
      </c>
      <c r="V12" s="62">
        <f t="shared" si="14"/>
        <v>0</v>
      </c>
      <c r="W12" s="400" t="e">
        <f t="shared" si="15"/>
        <v>#DIV/0!</v>
      </c>
      <c r="X12" s="589">
        <f t="shared" si="16"/>
        <v>2453</v>
      </c>
      <c r="Y12" s="52">
        <f t="shared" si="17"/>
        <v>0</v>
      </c>
      <c r="Z12" s="589">
        <f t="shared" si="16"/>
        <v>137950.70000000001</v>
      </c>
      <c r="AA12" s="65">
        <f t="shared" si="5"/>
        <v>0</v>
      </c>
      <c r="AB12" s="284">
        <f t="shared" si="31"/>
        <v>0</v>
      </c>
      <c r="AC12" s="589">
        <f t="shared" ref="AC12:AE12" si="59">AC11</f>
        <v>1934</v>
      </c>
      <c r="AD12" s="45">
        <f t="shared" si="6"/>
        <v>0</v>
      </c>
      <c r="AE12" s="589">
        <f t="shared" si="59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0</v>
      </c>
      <c r="AI12" s="318">
        <f t="shared" si="20"/>
        <v>0</v>
      </c>
      <c r="AJ12" s="318">
        <f>-tanks!AW13</f>
        <v>0</v>
      </c>
      <c r="AK12" s="318">
        <f t="shared" si="21"/>
        <v>0</v>
      </c>
      <c r="AL12" s="318">
        <f t="shared" si="7"/>
        <v>0</v>
      </c>
      <c r="AM12" s="318">
        <f t="shared" si="22"/>
        <v>0</v>
      </c>
      <c r="AN12" s="589">
        <f t="shared" ref="AN12:AP12" si="60">AN11</f>
        <v>67</v>
      </c>
      <c r="AO12" s="320">
        <f t="shared" si="24"/>
        <v>2010.0000000000002</v>
      </c>
      <c r="AP12" s="589">
        <f t="shared" si="60"/>
        <v>55</v>
      </c>
      <c r="AQ12" s="320">
        <f t="shared" si="25"/>
        <v>1650.0000000000002</v>
      </c>
      <c r="AR12" s="589">
        <f t="shared" ref="AR12" si="61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f t="shared" si="44"/>
        <v>221</v>
      </c>
      <c r="C13" s="589">
        <f t="shared" si="44"/>
        <v>227</v>
      </c>
      <c r="D13" s="45">
        <f t="shared" si="28"/>
        <v>0</v>
      </c>
      <c r="E13" s="45">
        <f t="shared" si="8"/>
        <v>0</v>
      </c>
      <c r="F13" s="589">
        <f t="shared" si="29"/>
        <v>1721</v>
      </c>
      <c r="G13" s="52">
        <f t="shared" si="0"/>
        <v>0</v>
      </c>
      <c r="H13" s="589">
        <f t="shared" si="29"/>
        <v>4416</v>
      </c>
      <c r="I13" s="396">
        <f t="shared" si="1"/>
        <v>0</v>
      </c>
      <c r="J13" s="66">
        <f t="shared" si="9"/>
        <v>0</v>
      </c>
      <c r="K13" s="589">
        <f t="shared" si="40"/>
        <v>2220</v>
      </c>
      <c r="L13" s="52">
        <f t="shared" si="10"/>
        <v>0</v>
      </c>
      <c r="M13" s="589">
        <f t="shared" si="40"/>
        <v>163181</v>
      </c>
      <c r="N13" s="396">
        <f t="shared" si="2"/>
        <v>0</v>
      </c>
      <c r="O13" s="64">
        <f t="shared" si="11"/>
        <v>1869</v>
      </c>
      <c r="P13" s="589">
        <f t="shared" si="11"/>
        <v>1970</v>
      </c>
      <c r="Q13" s="589">
        <f t="shared" ref="Q13" si="62">Q12</f>
        <v>166647</v>
      </c>
      <c r="R13" s="395">
        <f t="shared" si="54"/>
        <v>0</v>
      </c>
      <c r="S13" s="52">
        <f t="shared" si="4"/>
        <v>0</v>
      </c>
      <c r="T13" s="67">
        <f t="shared" si="30"/>
        <v>0</v>
      </c>
      <c r="U13" s="402">
        <f t="shared" si="13"/>
        <v>0</v>
      </c>
      <c r="V13" s="62">
        <f>R13+N13+I13:I13</f>
        <v>0</v>
      </c>
      <c r="W13" s="400" t="e">
        <f t="shared" si="15"/>
        <v>#DIV/0!</v>
      </c>
      <c r="X13" s="589">
        <f t="shared" si="16"/>
        <v>2453</v>
      </c>
      <c r="Y13" s="52">
        <f t="shared" si="17"/>
        <v>0</v>
      </c>
      <c r="Z13" s="589">
        <f t="shared" si="16"/>
        <v>137950.70000000001</v>
      </c>
      <c r="AA13" s="284">
        <f t="shared" si="5"/>
        <v>0</v>
      </c>
      <c r="AB13" s="284">
        <f t="shared" si="31"/>
        <v>0</v>
      </c>
      <c r="AC13" s="589">
        <f t="shared" ref="AC13:AE13" si="63">AC12</f>
        <v>1934</v>
      </c>
      <c r="AD13" s="45">
        <f t="shared" si="6"/>
        <v>0</v>
      </c>
      <c r="AE13" s="589">
        <f t="shared" si="63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0</v>
      </c>
      <c r="AJ13" s="318">
        <f>-tanks!AW14</f>
        <v>0</v>
      </c>
      <c r="AK13" s="318">
        <f t="shared" si="21"/>
        <v>0</v>
      </c>
      <c r="AL13" s="318">
        <f t="shared" si="7"/>
        <v>0</v>
      </c>
      <c r="AM13" s="318">
        <f t="shared" si="22"/>
        <v>0</v>
      </c>
      <c r="AN13" s="589">
        <f t="shared" ref="AN13:AP13" si="64">AN12</f>
        <v>67</v>
      </c>
      <c r="AO13" s="320">
        <f t="shared" si="24"/>
        <v>2010.0000000000002</v>
      </c>
      <c r="AP13" s="589">
        <f t="shared" si="64"/>
        <v>55</v>
      </c>
      <c r="AQ13" s="320">
        <f t="shared" si="25"/>
        <v>1650.0000000000002</v>
      </c>
      <c r="AR13" s="589">
        <f t="shared" ref="AR13" si="65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f t="shared" si="44"/>
        <v>221</v>
      </c>
      <c r="C14" s="589">
        <f t="shared" si="44"/>
        <v>227</v>
      </c>
      <c r="D14" s="45">
        <f t="shared" si="28"/>
        <v>0</v>
      </c>
      <c r="E14" s="45">
        <f t="shared" si="8"/>
        <v>0</v>
      </c>
      <c r="F14" s="589">
        <f t="shared" si="29"/>
        <v>1721</v>
      </c>
      <c r="G14" s="52">
        <f t="shared" si="0"/>
        <v>0</v>
      </c>
      <c r="H14" s="589">
        <f t="shared" si="29"/>
        <v>4416</v>
      </c>
      <c r="I14" s="396">
        <f t="shared" si="1"/>
        <v>0</v>
      </c>
      <c r="J14" s="66">
        <f t="shared" si="9"/>
        <v>0</v>
      </c>
      <c r="K14" s="589">
        <f t="shared" si="40"/>
        <v>2220</v>
      </c>
      <c r="L14" s="52">
        <f t="shared" si="10"/>
        <v>0</v>
      </c>
      <c r="M14" s="589">
        <f t="shared" si="40"/>
        <v>163181</v>
      </c>
      <c r="N14" s="396">
        <f t="shared" si="2"/>
        <v>0</v>
      </c>
      <c r="O14" s="64">
        <f t="shared" si="11"/>
        <v>1869</v>
      </c>
      <c r="P14" s="589">
        <f t="shared" si="11"/>
        <v>1970</v>
      </c>
      <c r="Q14" s="589">
        <f t="shared" ref="Q14" si="66">Q13</f>
        <v>166647</v>
      </c>
      <c r="R14" s="395">
        <f t="shared" si="54"/>
        <v>0</v>
      </c>
      <c r="S14" s="52">
        <f t="shared" si="4"/>
        <v>0</v>
      </c>
      <c r="T14" s="67">
        <f t="shared" si="30"/>
        <v>0</v>
      </c>
      <c r="U14" s="402">
        <f t="shared" si="13"/>
        <v>0</v>
      </c>
      <c r="V14" s="62">
        <f t="shared" si="14"/>
        <v>0</v>
      </c>
      <c r="W14" s="400" t="e">
        <f t="shared" si="15"/>
        <v>#DIV/0!</v>
      </c>
      <c r="X14" s="589">
        <f t="shared" si="16"/>
        <v>2453</v>
      </c>
      <c r="Y14" s="52">
        <f t="shared" si="17"/>
        <v>0</v>
      </c>
      <c r="Z14" s="589">
        <f t="shared" si="16"/>
        <v>137950.70000000001</v>
      </c>
      <c r="AA14" s="65">
        <f t="shared" si="5"/>
        <v>0</v>
      </c>
      <c r="AB14" s="284">
        <f t="shared" si="31"/>
        <v>0</v>
      </c>
      <c r="AC14" s="589">
        <f t="shared" ref="AC14:AE14" si="67">AC13</f>
        <v>1934</v>
      </c>
      <c r="AD14" s="45">
        <f t="shared" si="6"/>
        <v>0</v>
      </c>
      <c r="AE14" s="589">
        <f t="shared" si="67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1"/>
        <v>0</v>
      </c>
      <c r="AL14" s="318">
        <f t="shared" si="7"/>
        <v>0</v>
      </c>
      <c r="AM14" s="318">
        <f t="shared" si="22"/>
        <v>0</v>
      </c>
      <c r="AN14" s="589">
        <f t="shared" ref="AN14:AP14" si="68">AN13</f>
        <v>67</v>
      </c>
      <c r="AO14" s="320">
        <f t="shared" si="24"/>
        <v>2010.0000000000002</v>
      </c>
      <c r="AP14" s="589">
        <f t="shared" si="68"/>
        <v>55</v>
      </c>
      <c r="AQ14" s="320">
        <f t="shared" si="25"/>
        <v>1650.0000000000002</v>
      </c>
      <c r="AR14" s="589">
        <f t="shared" ref="AR14" si="69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f t="shared" si="44"/>
        <v>221</v>
      </c>
      <c r="C15" s="589">
        <f t="shared" si="44"/>
        <v>227</v>
      </c>
      <c r="D15" s="45">
        <f t="shared" si="28"/>
        <v>0</v>
      </c>
      <c r="E15" s="45">
        <f t="shared" si="8"/>
        <v>0</v>
      </c>
      <c r="F15" s="589">
        <f t="shared" si="29"/>
        <v>1721</v>
      </c>
      <c r="G15" s="52">
        <f t="shared" si="0"/>
        <v>0</v>
      </c>
      <c r="H15" s="589">
        <f t="shared" si="29"/>
        <v>4416</v>
      </c>
      <c r="I15" s="396">
        <f t="shared" si="1"/>
        <v>0</v>
      </c>
      <c r="J15" s="66">
        <f t="shared" si="9"/>
        <v>0</v>
      </c>
      <c r="K15" s="589">
        <f t="shared" si="40"/>
        <v>2220</v>
      </c>
      <c r="L15" s="52">
        <f t="shared" si="10"/>
        <v>0</v>
      </c>
      <c r="M15" s="589">
        <f t="shared" si="40"/>
        <v>163181</v>
      </c>
      <c r="N15" s="396">
        <f t="shared" si="2"/>
        <v>0</v>
      </c>
      <c r="O15" s="64">
        <f t="shared" si="11"/>
        <v>1869</v>
      </c>
      <c r="P15" s="589">
        <f t="shared" si="11"/>
        <v>1970</v>
      </c>
      <c r="Q15" s="589">
        <f t="shared" ref="Q15" si="70">Q14</f>
        <v>166647</v>
      </c>
      <c r="R15" s="395">
        <f t="shared" si="54"/>
        <v>0</v>
      </c>
      <c r="S15" s="52">
        <f t="shared" si="4"/>
        <v>0</v>
      </c>
      <c r="T15" s="67">
        <f t="shared" si="30"/>
        <v>0</v>
      </c>
      <c r="U15" s="402">
        <f t="shared" si="13"/>
        <v>0</v>
      </c>
      <c r="V15" s="62">
        <f t="shared" si="14"/>
        <v>0</v>
      </c>
      <c r="W15" s="400" t="e">
        <f t="shared" si="15"/>
        <v>#DIV/0!</v>
      </c>
      <c r="X15" s="589">
        <f t="shared" si="16"/>
        <v>2453</v>
      </c>
      <c r="Y15" s="52">
        <f t="shared" si="17"/>
        <v>0</v>
      </c>
      <c r="Z15" s="589">
        <f t="shared" si="16"/>
        <v>137950.70000000001</v>
      </c>
      <c r="AA15" s="65">
        <f t="shared" si="5"/>
        <v>0</v>
      </c>
      <c r="AB15" s="284">
        <f t="shared" si="31"/>
        <v>0</v>
      </c>
      <c r="AC15" s="589">
        <f t="shared" ref="AC15:AE15" si="71">AC14</f>
        <v>1934</v>
      </c>
      <c r="AD15" s="45">
        <f t="shared" si="6"/>
        <v>0</v>
      </c>
      <c r="AE15" s="589">
        <f t="shared" si="71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0</v>
      </c>
      <c r="AJ15" s="318">
        <f>-tanks!AW16</f>
        <v>0</v>
      </c>
      <c r="AK15" s="318">
        <f t="shared" si="21"/>
        <v>0</v>
      </c>
      <c r="AL15" s="318">
        <f t="shared" si="7"/>
        <v>0</v>
      </c>
      <c r="AM15" s="318">
        <f t="shared" si="22"/>
        <v>0</v>
      </c>
      <c r="AN15" s="589">
        <f t="shared" ref="AN15:AP15" si="72">AN14</f>
        <v>67</v>
      </c>
      <c r="AO15" s="320">
        <f t="shared" si="24"/>
        <v>2010.0000000000002</v>
      </c>
      <c r="AP15" s="589">
        <f t="shared" si="72"/>
        <v>55</v>
      </c>
      <c r="AQ15" s="320">
        <f t="shared" si="25"/>
        <v>1650.0000000000002</v>
      </c>
      <c r="AR15" s="589">
        <f t="shared" ref="AR15" si="73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f t="shared" si="44"/>
        <v>221</v>
      </c>
      <c r="C16" s="589">
        <f t="shared" si="44"/>
        <v>227</v>
      </c>
      <c r="D16" s="45">
        <f t="shared" si="28"/>
        <v>0</v>
      </c>
      <c r="E16" s="45">
        <f t="shared" si="8"/>
        <v>0</v>
      </c>
      <c r="F16" s="589">
        <f t="shared" si="29"/>
        <v>1721</v>
      </c>
      <c r="G16" s="52">
        <f t="shared" si="0"/>
        <v>0</v>
      </c>
      <c r="H16" s="589">
        <f t="shared" si="29"/>
        <v>4416</v>
      </c>
      <c r="I16" s="396">
        <f t="shared" si="1"/>
        <v>0</v>
      </c>
      <c r="J16" s="66">
        <f t="shared" si="9"/>
        <v>0</v>
      </c>
      <c r="K16" s="589">
        <f t="shared" si="40"/>
        <v>2220</v>
      </c>
      <c r="L16" s="52">
        <f t="shared" si="10"/>
        <v>0</v>
      </c>
      <c r="M16" s="589">
        <f t="shared" si="40"/>
        <v>163181</v>
      </c>
      <c r="N16" s="396">
        <f t="shared" si="2"/>
        <v>0</v>
      </c>
      <c r="O16" s="64">
        <f t="shared" si="11"/>
        <v>1869</v>
      </c>
      <c r="P16" s="589">
        <f t="shared" si="11"/>
        <v>1970</v>
      </c>
      <c r="Q16" s="589">
        <f t="shared" ref="Q16" si="74">Q15</f>
        <v>166647</v>
      </c>
      <c r="R16" s="395">
        <f t="shared" si="54"/>
        <v>0</v>
      </c>
      <c r="S16" s="52">
        <f t="shared" si="4"/>
        <v>0</v>
      </c>
      <c r="T16" s="67">
        <f t="shared" si="30"/>
        <v>0</v>
      </c>
      <c r="U16" s="402">
        <f t="shared" si="13"/>
        <v>0</v>
      </c>
      <c r="V16" s="62">
        <f t="shared" si="14"/>
        <v>0</v>
      </c>
      <c r="W16" s="400" t="e">
        <f t="shared" si="15"/>
        <v>#DIV/0!</v>
      </c>
      <c r="X16" s="589">
        <f t="shared" si="16"/>
        <v>2453</v>
      </c>
      <c r="Y16" s="52">
        <f t="shared" si="17"/>
        <v>0</v>
      </c>
      <c r="Z16" s="589">
        <f t="shared" si="16"/>
        <v>137950.70000000001</v>
      </c>
      <c r="AA16" s="65">
        <f t="shared" si="5"/>
        <v>0</v>
      </c>
      <c r="AB16" s="284">
        <f t="shared" si="31"/>
        <v>0</v>
      </c>
      <c r="AC16" s="589">
        <f t="shared" ref="AC16:AE16" si="75">AC15</f>
        <v>1934</v>
      </c>
      <c r="AD16" s="45">
        <f t="shared" si="6"/>
        <v>0</v>
      </c>
      <c r="AE16" s="589">
        <f t="shared" si="75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0</v>
      </c>
      <c r="AJ16" s="318">
        <f>-tanks!AW17</f>
        <v>0</v>
      </c>
      <c r="AK16" s="318">
        <f t="shared" si="21"/>
        <v>0</v>
      </c>
      <c r="AL16" s="318">
        <f t="shared" si="7"/>
        <v>0</v>
      </c>
      <c r="AM16" s="318">
        <f t="shared" si="22"/>
        <v>0</v>
      </c>
      <c r="AN16" s="589">
        <f t="shared" ref="AN16:AP16" si="76">AN15</f>
        <v>67</v>
      </c>
      <c r="AO16" s="320">
        <f t="shared" si="24"/>
        <v>2010.0000000000002</v>
      </c>
      <c r="AP16" s="589">
        <f t="shared" si="76"/>
        <v>55</v>
      </c>
      <c r="AQ16" s="320">
        <f t="shared" si="25"/>
        <v>1650.0000000000002</v>
      </c>
      <c r="AR16" s="589">
        <f t="shared" ref="AR16" si="77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f t="shared" si="44"/>
        <v>221</v>
      </c>
      <c r="C17" s="589">
        <f t="shared" si="44"/>
        <v>227</v>
      </c>
      <c r="D17" s="45">
        <f t="shared" si="28"/>
        <v>0</v>
      </c>
      <c r="E17" s="45">
        <f t="shared" si="8"/>
        <v>0</v>
      </c>
      <c r="F17" s="589">
        <f t="shared" si="29"/>
        <v>1721</v>
      </c>
      <c r="G17" s="52">
        <f t="shared" si="0"/>
        <v>0</v>
      </c>
      <c r="H17" s="589">
        <f t="shared" si="29"/>
        <v>4416</v>
      </c>
      <c r="I17" s="396">
        <f t="shared" si="1"/>
        <v>0</v>
      </c>
      <c r="J17" s="66">
        <f t="shared" si="9"/>
        <v>0</v>
      </c>
      <c r="K17" s="589">
        <f t="shared" si="40"/>
        <v>2220</v>
      </c>
      <c r="L17" s="52">
        <f t="shared" si="10"/>
        <v>0</v>
      </c>
      <c r="M17" s="589">
        <f t="shared" si="40"/>
        <v>163181</v>
      </c>
      <c r="N17" s="396">
        <f t="shared" si="2"/>
        <v>0</v>
      </c>
      <c r="O17" s="64">
        <f t="shared" si="11"/>
        <v>1869</v>
      </c>
      <c r="P17" s="589">
        <f t="shared" si="11"/>
        <v>1970</v>
      </c>
      <c r="Q17" s="589">
        <f t="shared" ref="Q17" si="78">Q16</f>
        <v>166647</v>
      </c>
      <c r="R17" s="395">
        <f t="shared" si="54"/>
        <v>0</v>
      </c>
      <c r="S17" s="52">
        <f t="shared" si="4"/>
        <v>0</v>
      </c>
      <c r="T17" s="67">
        <f t="shared" si="30"/>
        <v>0</v>
      </c>
      <c r="U17" s="402">
        <f t="shared" si="13"/>
        <v>0</v>
      </c>
      <c r="V17" s="62">
        <f t="shared" si="14"/>
        <v>0</v>
      </c>
      <c r="W17" s="400"/>
      <c r="X17" s="589">
        <f t="shared" si="16"/>
        <v>2453</v>
      </c>
      <c r="Y17" s="52">
        <f t="shared" si="17"/>
        <v>0</v>
      </c>
      <c r="Z17" s="589">
        <f t="shared" si="16"/>
        <v>137950.70000000001</v>
      </c>
      <c r="AA17" s="65">
        <f t="shared" si="5"/>
        <v>0</v>
      </c>
      <c r="AB17" s="284">
        <f t="shared" si="31"/>
        <v>0</v>
      </c>
      <c r="AC17" s="589">
        <f t="shared" ref="AC17:AE17" si="79">AC16</f>
        <v>1934</v>
      </c>
      <c r="AD17" s="45">
        <f t="shared" si="6"/>
        <v>0</v>
      </c>
      <c r="AE17" s="589">
        <f t="shared" si="79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89">
        <f t="shared" ref="AN17:AP17" si="80">AN16</f>
        <v>67</v>
      </c>
      <c r="AO17" s="320">
        <f t="shared" si="24"/>
        <v>2010.0000000000002</v>
      </c>
      <c r="AP17" s="589">
        <f t="shared" si="80"/>
        <v>55</v>
      </c>
      <c r="AQ17" s="320">
        <f t="shared" si="25"/>
        <v>1650.0000000000002</v>
      </c>
      <c r="AR17" s="589">
        <f t="shared" ref="AR17" si="81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f t="shared" si="44"/>
        <v>221</v>
      </c>
      <c r="C18" s="589">
        <f t="shared" si="44"/>
        <v>227</v>
      </c>
      <c r="D18" s="45">
        <f t="shared" si="28"/>
        <v>0</v>
      </c>
      <c r="E18" s="45">
        <f t="shared" si="8"/>
        <v>0</v>
      </c>
      <c r="F18" s="589">
        <f t="shared" si="29"/>
        <v>1721</v>
      </c>
      <c r="G18" s="52">
        <f t="shared" si="0"/>
        <v>0</v>
      </c>
      <c r="H18" s="589">
        <f t="shared" si="29"/>
        <v>4416</v>
      </c>
      <c r="I18" s="396">
        <f t="shared" si="1"/>
        <v>0</v>
      </c>
      <c r="J18" s="66">
        <f t="shared" si="9"/>
        <v>0</v>
      </c>
      <c r="K18" s="589">
        <f t="shared" si="40"/>
        <v>2220</v>
      </c>
      <c r="L18" s="52">
        <f t="shared" si="10"/>
        <v>0</v>
      </c>
      <c r="M18" s="589">
        <f t="shared" si="40"/>
        <v>163181</v>
      </c>
      <c r="N18" s="396">
        <f t="shared" si="2"/>
        <v>0</v>
      </c>
      <c r="O18" s="64">
        <v>1869</v>
      </c>
      <c r="P18" s="589">
        <f t="shared" si="11"/>
        <v>1970</v>
      </c>
      <c r="Q18" s="589">
        <f t="shared" ref="Q18" si="82">Q17</f>
        <v>166647</v>
      </c>
      <c r="R18" s="395">
        <f t="shared" si="54"/>
        <v>0</v>
      </c>
      <c r="S18" s="52">
        <f t="shared" si="4"/>
        <v>0</v>
      </c>
      <c r="T18" s="67">
        <f t="shared" si="30"/>
        <v>0</v>
      </c>
      <c r="U18" s="402">
        <f t="shared" si="13"/>
        <v>0</v>
      </c>
      <c r="V18" s="62">
        <f t="shared" si="14"/>
        <v>0</v>
      </c>
      <c r="W18" s="400"/>
      <c r="X18" s="589">
        <f t="shared" si="16"/>
        <v>2453</v>
      </c>
      <c r="Y18" s="52">
        <f t="shared" si="17"/>
        <v>0</v>
      </c>
      <c r="Z18" s="589">
        <f t="shared" si="16"/>
        <v>137950.70000000001</v>
      </c>
      <c r="AA18" s="65">
        <f t="shared" si="5"/>
        <v>0</v>
      </c>
      <c r="AB18" s="284">
        <f t="shared" ref="AB18:AB23" si="83">SUM(Y18*$AB$2)</f>
        <v>0</v>
      </c>
      <c r="AC18" s="589">
        <f t="shared" ref="AC18:AE18" si="84">AC17</f>
        <v>1934</v>
      </c>
      <c r="AD18" s="45">
        <f t="shared" si="6"/>
        <v>0</v>
      </c>
      <c r="AE18" s="589">
        <f t="shared" si="84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89">
        <f t="shared" ref="AN18:AP18" si="85">AN17</f>
        <v>67</v>
      </c>
      <c r="AO18" s="320">
        <f t="shared" si="24"/>
        <v>2010.0000000000002</v>
      </c>
      <c r="AP18" s="589">
        <f t="shared" si="85"/>
        <v>55</v>
      </c>
      <c r="AQ18" s="320">
        <f t="shared" si="25"/>
        <v>1650.0000000000002</v>
      </c>
      <c r="AR18" s="589">
        <f t="shared" ref="AR18" si="86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f t="shared" si="44"/>
        <v>221</v>
      </c>
      <c r="C19" s="589">
        <f t="shared" si="44"/>
        <v>227</v>
      </c>
      <c r="D19" s="45">
        <f t="shared" si="28"/>
        <v>0</v>
      </c>
      <c r="E19" s="45">
        <f t="shared" si="8"/>
        <v>0</v>
      </c>
      <c r="F19" s="589">
        <f t="shared" si="29"/>
        <v>1721</v>
      </c>
      <c r="G19" s="52">
        <f t="shared" si="0"/>
        <v>0</v>
      </c>
      <c r="H19" s="589">
        <f t="shared" si="29"/>
        <v>4416</v>
      </c>
      <c r="I19" s="396">
        <f t="shared" si="1"/>
        <v>0</v>
      </c>
      <c r="J19" s="66">
        <f t="shared" si="9"/>
        <v>0</v>
      </c>
      <c r="K19" s="589">
        <f t="shared" si="40"/>
        <v>2220</v>
      </c>
      <c r="L19" s="52">
        <f t="shared" si="10"/>
        <v>0</v>
      </c>
      <c r="M19" s="589">
        <f t="shared" si="40"/>
        <v>163181</v>
      </c>
      <c r="N19" s="396">
        <f t="shared" si="2"/>
        <v>0</v>
      </c>
      <c r="O19" s="64">
        <f t="shared" si="11"/>
        <v>1869</v>
      </c>
      <c r="P19" s="589">
        <f t="shared" si="11"/>
        <v>1970</v>
      </c>
      <c r="Q19" s="589">
        <f t="shared" ref="Q19" si="87">Q18</f>
        <v>166647</v>
      </c>
      <c r="R19" s="395">
        <f t="shared" si="54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89">
        <f t="shared" si="16"/>
        <v>2453</v>
      </c>
      <c r="Y19" s="52">
        <f t="shared" si="17"/>
        <v>0</v>
      </c>
      <c r="Z19" s="589">
        <f t="shared" si="16"/>
        <v>137950.70000000001</v>
      </c>
      <c r="AA19" s="65">
        <f t="shared" si="5"/>
        <v>0</v>
      </c>
      <c r="AB19" s="284">
        <f t="shared" si="83"/>
        <v>0</v>
      </c>
      <c r="AC19" s="589">
        <f t="shared" ref="AC19:AE19" si="88">AC18</f>
        <v>1934</v>
      </c>
      <c r="AD19" s="45">
        <f t="shared" si="6"/>
        <v>0</v>
      </c>
      <c r="AE19" s="589">
        <f t="shared" si="88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89">
        <f t="shared" ref="AN19:AP19" si="89">AN18</f>
        <v>67</v>
      </c>
      <c r="AO19" s="320">
        <f t="shared" si="24"/>
        <v>2010.0000000000002</v>
      </c>
      <c r="AP19" s="589">
        <f t="shared" si="89"/>
        <v>55</v>
      </c>
      <c r="AQ19" s="320">
        <f t="shared" si="25"/>
        <v>1650.0000000000002</v>
      </c>
      <c r="AR19" s="589">
        <f t="shared" ref="AR19" si="90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f t="shared" si="44"/>
        <v>221</v>
      </c>
      <c r="C20" s="589">
        <f t="shared" si="44"/>
        <v>227</v>
      </c>
      <c r="D20" s="45">
        <f>C19-C20</f>
        <v>0</v>
      </c>
      <c r="E20" s="45">
        <f t="shared" si="8"/>
        <v>0</v>
      </c>
      <c r="F20" s="589">
        <f t="shared" si="29"/>
        <v>1721</v>
      </c>
      <c r="G20" s="52">
        <f t="shared" si="0"/>
        <v>0</v>
      </c>
      <c r="H20" s="589">
        <f t="shared" si="29"/>
        <v>4416</v>
      </c>
      <c r="I20" s="396">
        <f t="shared" si="1"/>
        <v>0</v>
      </c>
      <c r="J20" s="66">
        <f t="shared" si="9"/>
        <v>0</v>
      </c>
      <c r="K20" s="589">
        <f t="shared" si="40"/>
        <v>2220</v>
      </c>
      <c r="L20" s="52">
        <f t="shared" si="10"/>
        <v>0</v>
      </c>
      <c r="M20" s="589">
        <f t="shared" si="40"/>
        <v>163181</v>
      </c>
      <c r="N20" s="396">
        <f t="shared" si="2"/>
        <v>0</v>
      </c>
      <c r="O20" s="64">
        <f t="shared" si="11"/>
        <v>1869</v>
      </c>
      <c r="P20" s="589">
        <f t="shared" si="11"/>
        <v>1970</v>
      </c>
      <c r="Q20" s="589">
        <f t="shared" ref="Q20" si="91">Q19</f>
        <v>166647</v>
      </c>
      <c r="R20" s="395">
        <f t="shared" si="54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89">
        <f t="shared" si="16"/>
        <v>2453</v>
      </c>
      <c r="Y20" s="52">
        <f t="shared" si="17"/>
        <v>0</v>
      </c>
      <c r="Z20" s="589">
        <f t="shared" si="16"/>
        <v>137950.70000000001</v>
      </c>
      <c r="AA20" s="65">
        <f t="shared" si="5"/>
        <v>0</v>
      </c>
      <c r="AB20" s="284">
        <f t="shared" si="83"/>
        <v>0</v>
      </c>
      <c r="AC20" s="589">
        <f t="shared" ref="AC20:AE20" si="92">AC19</f>
        <v>1934</v>
      </c>
      <c r="AD20" s="45">
        <f t="shared" si="6"/>
        <v>0</v>
      </c>
      <c r="AE20" s="589">
        <f t="shared" si="92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89">
        <f t="shared" ref="AN20:AP20" si="93">AN19</f>
        <v>67</v>
      </c>
      <c r="AO20" s="320">
        <f t="shared" si="24"/>
        <v>2010.0000000000002</v>
      </c>
      <c r="AP20" s="589">
        <f t="shared" si="93"/>
        <v>55</v>
      </c>
      <c r="AQ20" s="320">
        <f t="shared" si="25"/>
        <v>1650.0000000000002</v>
      </c>
      <c r="AR20" s="589">
        <f t="shared" ref="AR20" si="94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f t="shared" si="44"/>
        <v>221</v>
      </c>
      <c r="C21" s="589">
        <f t="shared" si="44"/>
        <v>227</v>
      </c>
      <c r="D21" s="45">
        <f t="shared" ref="D21:D31" si="95">C20-C21</f>
        <v>0</v>
      </c>
      <c r="E21" s="45">
        <f t="shared" si="8"/>
        <v>0</v>
      </c>
      <c r="F21" s="589">
        <f t="shared" si="29"/>
        <v>1721</v>
      </c>
      <c r="G21" s="52">
        <f t="shared" si="0"/>
        <v>0</v>
      </c>
      <c r="H21" s="589">
        <f t="shared" si="29"/>
        <v>4416</v>
      </c>
      <c r="I21" s="396">
        <f t="shared" si="1"/>
        <v>0</v>
      </c>
      <c r="J21" s="66">
        <f t="shared" si="9"/>
        <v>0</v>
      </c>
      <c r="K21" s="589">
        <f t="shared" si="40"/>
        <v>2220</v>
      </c>
      <c r="L21" s="52">
        <f t="shared" si="10"/>
        <v>0</v>
      </c>
      <c r="M21" s="589">
        <f t="shared" si="40"/>
        <v>163181</v>
      </c>
      <c r="N21" s="396">
        <f t="shared" si="2"/>
        <v>0</v>
      </c>
      <c r="O21" s="64">
        <f t="shared" si="11"/>
        <v>1869</v>
      </c>
      <c r="P21" s="589">
        <f t="shared" si="11"/>
        <v>1970</v>
      </c>
      <c r="Q21" s="589">
        <f t="shared" ref="Q21" si="96">Q20</f>
        <v>166647</v>
      </c>
      <c r="R21" s="395">
        <f t="shared" si="54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89">
        <f t="shared" si="16"/>
        <v>2453</v>
      </c>
      <c r="Y21" s="52">
        <f t="shared" si="17"/>
        <v>0</v>
      </c>
      <c r="Z21" s="589">
        <f t="shared" si="16"/>
        <v>137950.70000000001</v>
      </c>
      <c r="AA21" s="65">
        <f t="shared" si="5"/>
        <v>0</v>
      </c>
      <c r="AB21" s="284">
        <f t="shared" si="83"/>
        <v>0</v>
      </c>
      <c r="AC21" s="589">
        <f t="shared" ref="AC21:AE21" si="97">AC20</f>
        <v>1934</v>
      </c>
      <c r="AD21" s="45">
        <f t="shared" si="6"/>
        <v>0</v>
      </c>
      <c r="AE21" s="589">
        <f t="shared" si="97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89">
        <f t="shared" ref="AN21:AP21" si="98">AN20</f>
        <v>67</v>
      </c>
      <c r="AO21" s="320">
        <f t="shared" si="24"/>
        <v>2010.0000000000002</v>
      </c>
      <c r="AP21" s="589">
        <f t="shared" si="98"/>
        <v>55</v>
      </c>
      <c r="AQ21" s="320">
        <f t="shared" si="25"/>
        <v>1650.0000000000002</v>
      </c>
      <c r="AR21" s="589">
        <f t="shared" ref="AR21" si="9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f t="shared" si="44"/>
        <v>221</v>
      </c>
      <c r="C22" s="589">
        <f t="shared" si="44"/>
        <v>227</v>
      </c>
      <c r="D22" s="45">
        <f t="shared" si="95"/>
        <v>0</v>
      </c>
      <c r="E22" s="45">
        <f t="shared" si="8"/>
        <v>0</v>
      </c>
      <c r="F22" s="589">
        <f t="shared" si="29"/>
        <v>1721</v>
      </c>
      <c r="G22" s="52">
        <f t="shared" si="0"/>
        <v>0</v>
      </c>
      <c r="H22" s="589">
        <f t="shared" si="29"/>
        <v>4416</v>
      </c>
      <c r="I22" s="396">
        <f t="shared" si="1"/>
        <v>0</v>
      </c>
      <c r="J22" s="66">
        <f t="shared" si="9"/>
        <v>0</v>
      </c>
      <c r="K22" s="589">
        <f t="shared" si="40"/>
        <v>2220</v>
      </c>
      <c r="L22" s="52">
        <f t="shared" si="10"/>
        <v>0</v>
      </c>
      <c r="M22" s="589">
        <f t="shared" si="40"/>
        <v>163181</v>
      </c>
      <c r="N22" s="396">
        <f t="shared" si="2"/>
        <v>0</v>
      </c>
      <c r="O22" s="64">
        <f t="shared" si="11"/>
        <v>1869</v>
      </c>
      <c r="P22" s="589">
        <f t="shared" si="11"/>
        <v>1970</v>
      </c>
      <c r="Q22" s="589">
        <f t="shared" ref="Q22" si="100">Q21</f>
        <v>166647</v>
      </c>
      <c r="R22" s="395">
        <f t="shared" si="54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89">
        <f t="shared" si="16"/>
        <v>2453</v>
      </c>
      <c r="Y22" s="52">
        <f t="shared" si="17"/>
        <v>0</v>
      </c>
      <c r="Z22" s="589">
        <f t="shared" si="16"/>
        <v>137950.70000000001</v>
      </c>
      <c r="AA22" s="65">
        <f t="shared" si="5"/>
        <v>0</v>
      </c>
      <c r="AB22" s="284">
        <f t="shared" si="83"/>
        <v>0</v>
      </c>
      <c r="AC22" s="589">
        <f t="shared" ref="AC22:AE22" si="101">AC21</f>
        <v>1934</v>
      </c>
      <c r="AD22" s="45">
        <f t="shared" si="6"/>
        <v>0</v>
      </c>
      <c r="AE22" s="589">
        <f t="shared" si="101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89">
        <f t="shared" ref="AN22:AP22" si="102">AN21</f>
        <v>67</v>
      </c>
      <c r="AO22" s="320">
        <f t="shared" si="24"/>
        <v>2010.0000000000002</v>
      </c>
      <c r="AP22" s="589">
        <f t="shared" si="102"/>
        <v>55</v>
      </c>
      <c r="AQ22" s="320">
        <f t="shared" si="25"/>
        <v>1650.0000000000002</v>
      </c>
      <c r="AR22" s="589">
        <f t="shared" ref="AR22" si="10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f t="shared" si="44"/>
        <v>221</v>
      </c>
      <c r="C23" s="589">
        <f t="shared" si="44"/>
        <v>227</v>
      </c>
      <c r="D23" s="45">
        <f t="shared" si="95"/>
        <v>0</v>
      </c>
      <c r="E23" s="45">
        <f t="shared" si="8"/>
        <v>0</v>
      </c>
      <c r="F23" s="589">
        <f t="shared" si="29"/>
        <v>1721</v>
      </c>
      <c r="G23" s="52">
        <f t="shared" si="0"/>
        <v>0</v>
      </c>
      <c r="H23" s="589">
        <f t="shared" si="29"/>
        <v>4416</v>
      </c>
      <c r="I23" s="396">
        <f t="shared" si="1"/>
        <v>0</v>
      </c>
      <c r="J23" s="66">
        <f t="shared" si="9"/>
        <v>0</v>
      </c>
      <c r="K23" s="589">
        <f t="shared" si="40"/>
        <v>2220</v>
      </c>
      <c r="L23" s="52">
        <f t="shared" si="10"/>
        <v>0</v>
      </c>
      <c r="M23" s="589">
        <f t="shared" si="40"/>
        <v>163181</v>
      </c>
      <c r="N23" s="396">
        <f t="shared" si="2"/>
        <v>0</v>
      </c>
      <c r="O23" s="64">
        <f t="shared" si="11"/>
        <v>1869</v>
      </c>
      <c r="P23" s="589">
        <f t="shared" si="11"/>
        <v>1970</v>
      </c>
      <c r="Q23" s="589">
        <f t="shared" ref="Q23" si="104">Q22</f>
        <v>166647</v>
      </c>
      <c r="R23" s="395">
        <f t="shared" si="54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89">
        <f t="shared" si="16"/>
        <v>2453</v>
      </c>
      <c r="Y23" s="52">
        <f t="shared" si="17"/>
        <v>0</v>
      </c>
      <c r="Z23" s="589">
        <f t="shared" si="16"/>
        <v>137950.70000000001</v>
      </c>
      <c r="AA23" s="65">
        <f t="shared" si="5"/>
        <v>0</v>
      </c>
      <c r="AB23" s="284">
        <f t="shared" si="83"/>
        <v>0</v>
      </c>
      <c r="AC23" s="589">
        <f t="shared" ref="AC23:AE23" si="105">AC22</f>
        <v>1934</v>
      </c>
      <c r="AD23" s="45">
        <f t="shared" si="6"/>
        <v>0</v>
      </c>
      <c r="AE23" s="589">
        <f t="shared" si="105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0</v>
      </c>
      <c r="AJ23" s="318">
        <f>-[3]tanks!AW24</f>
        <v>231</v>
      </c>
      <c r="AK23" s="318">
        <f t="shared" si="21"/>
        <v>231</v>
      </c>
      <c r="AL23" s="318">
        <f t="shared" si="7"/>
        <v>0</v>
      </c>
      <c r="AM23" s="318">
        <f t="shared" si="22"/>
        <v>0</v>
      </c>
      <c r="AN23" s="589">
        <f t="shared" ref="AN23:AP23" si="106">AN22</f>
        <v>67</v>
      </c>
      <c r="AO23" s="320">
        <f t="shared" si="24"/>
        <v>2010.0000000000002</v>
      </c>
      <c r="AP23" s="589">
        <f t="shared" si="106"/>
        <v>55</v>
      </c>
      <c r="AQ23" s="320">
        <f t="shared" si="25"/>
        <v>1650.0000000000002</v>
      </c>
      <c r="AR23" s="589">
        <f t="shared" ref="AR23" si="107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f t="shared" si="44"/>
        <v>221</v>
      </c>
      <c r="C24" s="589">
        <f t="shared" si="44"/>
        <v>227</v>
      </c>
      <c r="D24" s="45">
        <f t="shared" si="95"/>
        <v>0</v>
      </c>
      <c r="E24" s="45">
        <f t="shared" si="8"/>
        <v>0</v>
      </c>
      <c r="F24" s="589">
        <f t="shared" si="29"/>
        <v>1721</v>
      </c>
      <c r="G24" s="52">
        <f t="shared" si="0"/>
        <v>0</v>
      </c>
      <c r="H24" s="589">
        <f t="shared" si="29"/>
        <v>4416</v>
      </c>
      <c r="I24" s="396">
        <f t="shared" si="1"/>
        <v>0</v>
      </c>
      <c r="J24" s="66">
        <f t="shared" si="9"/>
        <v>0</v>
      </c>
      <c r="K24" s="589">
        <f t="shared" si="40"/>
        <v>2220</v>
      </c>
      <c r="L24" s="52">
        <f t="shared" si="10"/>
        <v>0</v>
      </c>
      <c r="M24" s="589">
        <f t="shared" si="40"/>
        <v>163181</v>
      </c>
      <c r="N24" s="396">
        <f t="shared" si="2"/>
        <v>0</v>
      </c>
      <c r="O24" s="64">
        <f t="shared" si="11"/>
        <v>1869</v>
      </c>
      <c r="P24" s="589">
        <f t="shared" si="11"/>
        <v>1970</v>
      </c>
      <c r="Q24" s="589">
        <f t="shared" ref="Q24" si="108">Q23</f>
        <v>166647</v>
      </c>
      <c r="R24" s="395">
        <f t="shared" si="54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89">
        <f t="shared" si="16"/>
        <v>2453</v>
      </c>
      <c r="Y24" s="52">
        <f t="shared" si="17"/>
        <v>0</v>
      </c>
      <c r="Z24" s="589">
        <f t="shared" si="16"/>
        <v>137950.70000000001</v>
      </c>
      <c r="AA24" s="65">
        <f t="shared" si="5"/>
        <v>0</v>
      </c>
      <c r="AB24" s="284">
        <f t="shared" ref="AB24:AB32" si="109">SUM(Y24*$AB$2)</f>
        <v>0</v>
      </c>
      <c r="AC24" s="589">
        <f t="shared" ref="AC24:AE24" si="110">AC23</f>
        <v>1934</v>
      </c>
      <c r="AD24" s="45">
        <f t="shared" si="6"/>
        <v>0</v>
      </c>
      <c r="AE24" s="589">
        <f t="shared" si="110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89">
        <f t="shared" ref="AN24:AP24" si="111">AN23</f>
        <v>67</v>
      </c>
      <c r="AO24" s="320">
        <f t="shared" si="24"/>
        <v>2010.0000000000002</v>
      </c>
      <c r="AP24" s="589">
        <f t="shared" si="111"/>
        <v>55</v>
      </c>
      <c r="AQ24" s="320">
        <f t="shared" si="25"/>
        <v>1650.0000000000002</v>
      </c>
      <c r="AR24" s="589">
        <f t="shared" ref="AR24" si="112">AR23</f>
        <v>61</v>
      </c>
      <c r="AS24" s="320">
        <f t="shared" si="37"/>
        <v>1830</v>
      </c>
      <c r="AT24" s="320">
        <f t="shared" ref="AT24:AT32" si="113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f t="shared" si="44"/>
        <v>221</v>
      </c>
      <c r="C25" s="589">
        <f t="shared" si="44"/>
        <v>227</v>
      </c>
      <c r="D25" s="45">
        <f t="shared" si="95"/>
        <v>0</v>
      </c>
      <c r="E25" s="45">
        <f t="shared" si="8"/>
        <v>0</v>
      </c>
      <c r="F25" s="589">
        <f t="shared" si="29"/>
        <v>1721</v>
      </c>
      <c r="G25" s="52">
        <f t="shared" si="0"/>
        <v>0</v>
      </c>
      <c r="H25" s="589">
        <f t="shared" si="29"/>
        <v>4416</v>
      </c>
      <c r="I25" s="396">
        <f t="shared" si="1"/>
        <v>0</v>
      </c>
      <c r="J25" s="66">
        <f t="shared" si="9"/>
        <v>0</v>
      </c>
      <c r="K25" s="589">
        <f t="shared" si="40"/>
        <v>2220</v>
      </c>
      <c r="L25" s="52">
        <f t="shared" si="10"/>
        <v>0</v>
      </c>
      <c r="M25" s="589">
        <f t="shared" si="40"/>
        <v>163181</v>
      </c>
      <c r="N25" s="396">
        <f t="shared" si="2"/>
        <v>0</v>
      </c>
      <c r="O25" s="64">
        <f t="shared" si="11"/>
        <v>1869</v>
      </c>
      <c r="P25" s="589">
        <f t="shared" si="11"/>
        <v>1970</v>
      </c>
      <c r="Q25" s="589">
        <f t="shared" ref="Q25" si="114">Q24</f>
        <v>166647</v>
      </c>
      <c r="R25" s="395">
        <f t="shared" si="54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89">
        <f t="shared" si="16"/>
        <v>2453</v>
      </c>
      <c r="Y25" s="52">
        <f t="shared" si="17"/>
        <v>0</v>
      </c>
      <c r="Z25" s="589">
        <f t="shared" si="16"/>
        <v>137950.70000000001</v>
      </c>
      <c r="AA25" s="65">
        <f t="shared" si="5"/>
        <v>0</v>
      </c>
      <c r="AB25" s="284">
        <f t="shared" si="109"/>
        <v>0</v>
      </c>
      <c r="AC25" s="589">
        <f t="shared" ref="AC25:AE25" si="115">AC24</f>
        <v>1934</v>
      </c>
      <c r="AD25" s="45">
        <f t="shared" si="6"/>
        <v>0</v>
      </c>
      <c r="AE25" s="589">
        <f t="shared" si="115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89">
        <f t="shared" ref="AN25:AP25" si="116">AN24</f>
        <v>67</v>
      </c>
      <c r="AO25" s="320">
        <f t="shared" si="24"/>
        <v>2010.0000000000002</v>
      </c>
      <c r="AP25" s="589">
        <f t="shared" si="116"/>
        <v>55</v>
      </c>
      <c r="AQ25" s="320">
        <f t="shared" ref="AQ25:AQ32" si="117">(AP25/100)*3000</f>
        <v>1650.0000000000002</v>
      </c>
      <c r="AR25" s="589">
        <f t="shared" ref="AR25" si="118">AR24</f>
        <v>61</v>
      </c>
      <c r="AS25" s="320">
        <f t="shared" si="37"/>
        <v>1830</v>
      </c>
      <c r="AT25" s="320">
        <f t="shared" si="113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f t="shared" si="44"/>
        <v>221</v>
      </c>
      <c r="C26" s="589">
        <f t="shared" si="44"/>
        <v>227</v>
      </c>
      <c r="D26" s="45">
        <f t="shared" si="95"/>
        <v>0</v>
      </c>
      <c r="E26" s="45">
        <f t="shared" si="8"/>
        <v>0</v>
      </c>
      <c r="F26" s="589">
        <f t="shared" si="29"/>
        <v>1721</v>
      </c>
      <c r="G26" s="52">
        <f t="shared" si="0"/>
        <v>0</v>
      </c>
      <c r="H26" s="589">
        <f t="shared" si="29"/>
        <v>4416</v>
      </c>
      <c r="I26" s="396">
        <f t="shared" si="1"/>
        <v>0</v>
      </c>
      <c r="J26" s="66">
        <f t="shared" si="9"/>
        <v>0</v>
      </c>
      <c r="K26" s="589">
        <f t="shared" si="40"/>
        <v>2220</v>
      </c>
      <c r="L26" s="52">
        <f t="shared" si="10"/>
        <v>0</v>
      </c>
      <c r="M26" s="589">
        <f t="shared" si="40"/>
        <v>163181</v>
      </c>
      <c r="N26" s="396">
        <f t="shared" si="2"/>
        <v>0</v>
      </c>
      <c r="O26" s="64">
        <f t="shared" si="11"/>
        <v>1869</v>
      </c>
      <c r="P26" s="589">
        <f t="shared" si="11"/>
        <v>1970</v>
      </c>
      <c r="Q26" s="589">
        <f t="shared" ref="Q26" si="119">Q25</f>
        <v>166647</v>
      </c>
      <c r="R26" s="395">
        <f t="shared" si="54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89">
        <f t="shared" si="16"/>
        <v>2453</v>
      </c>
      <c r="Y26" s="52">
        <f t="shared" si="17"/>
        <v>0</v>
      </c>
      <c r="Z26" s="589">
        <f t="shared" si="16"/>
        <v>137950.70000000001</v>
      </c>
      <c r="AA26" s="65">
        <f t="shared" si="5"/>
        <v>0</v>
      </c>
      <c r="AB26" s="284">
        <f t="shared" si="109"/>
        <v>0</v>
      </c>
      <c r="AC26" s="589">
        <f t="shared" ref="AC26:AE26" si="120">AC25</f>
        <v>1934</v>
      </c>
      <c r="AD26" s="45">
        <f t="shared" si="6"/>
        <v>0</v>
      </c>
      <c r="AE26" s="589">
        <f t="shared" si="120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89">
        <f t="shared" ref="AN26:AP26" si="121">AN25</f>
        <v>67</v>
      </c>
      <c r="AO26" s="320">
        <f t="shared" si="24"/>
        <v>2010.0000000000002</v>
      </c>
      <c r="AP26" s="589">
        <f t="shared" si="121"/>
        <v>55</v>
      </c>
      <c r="AQ26" s="320">
        <f t="shared" si="117"/>
        <v>1650.0000000000002</v>
      </c>
      <c r="AR26" s="589">
        <f t="shared" ref="AR26" si="122">AR25</f>
        <v>61</v>
      </c>
      <c r="AS26" s="320">
        <f t="shared" si="37"/>
        <v>1830</v>
      </c>
      <c r="AT26" s="320">
        <f t="shared" si="113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si="44"/>
        <v>221</v>
      </c>
      <c r="C27" s="589">
        <f t="shared" si="44"/>
        <v>227</v>
      </c>
      <c r="D27" s="45">
        <f t="shared" si="95"/>
        <v>0</v>
      </c>
      <c r="E27" s="45">
        <f t="shared" si="8"/>
        <v>0</v>
      </c>
      <c r="F27" s="589">
        <f t="shared" si="29"/>
        <v>1721</v>
      </c>
      <c r="G27" s="52">
        <f t="shared" si="0"/>
        <v>0</v>
      </c>
      <c r="H27" s="589">
        <f t="shared" si="29"/>
        <v>4416</v>
      </c>
      <c r="I27" s="396">
        <f t="shared" si="1"/>
        <v>0</v>
      </c>
      <c r="J27" s="66">
        <f t="shared" si="9"/>
        <v>0</v>
      </c>
      <c r="K27" s="589">
        <f t="shared" si="40"/>
        <v>2220</v>
      </c>
      <c r="L27" s="52">
        <f t="shared" si="10"/>
        <v>0</v>
      </c>
      <c r="M27" s="589">
        <f t="shared" si="40"/>
        <v>163181</v>
      </c>
      <c r="N27" s="396">
        <f t="shared" si="2"/>
        <v>0</v>
      </c>
      <c r="O27" s="64">
        <f t="shared" si="11"/>
        <v>1869</v>
      </c>
      <c r="P27" s="589">
        <f t="shared" si="11"/>
        <v>1970</v>
      </c>
      <c r="Q27" s="589">
        <f t="shared" ref="Q27" si="123">Q26</f>
        <v>166647</v>
      </c>
      <c r="R27" s="395">
        <f t="shared" si="54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2453</v>
      </c>
      <c r="Y27" s="52">
        <f t="shared" si="17"/>
        <v>0</v>
      </c>
      <c r="Z27" s="589">
        <f t="shared" si="16"/>
        <v>137950.70000000001</v>
      </c>
      <c r="AA27" s="65">
        <f t="shared" si="5"/>
        <v>0</v>
      </c>
      <c r="AB27" s="284">
        <f t="shared" si="109"/>
        <v>0</v>
      </c>
      <c r="AC27" s="589">
        <f t="shared" ref="AC27:AE27" si="124">AC26</f>
        <v>1934</v>
      </c>
      <c r="AD27" s="45">
        <f t="shared" si="6"/>
        <v>0</v>
      </c>
      <c r="AE27" s="589">
        <f t="shared" si="124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25">AN26</f>
        <v>67</v>
      </c>
      <c r="AO27" s="320">
        <f>(AN27/100)*3000</f>
        <v>2010.0000000000002</v>
      </c>
      <c r="AP27" s="589">
        <f t="shared" si="125"/>
        <v>55</v>
      </c>
      <c r="AQ27" s="320">
        <f t="shared" si="117"/>
        <v>1650.0000000000002</v>
      </c>
      <c r="AR27" s="589">
        <f t="shared" ref="AR27" si="126">AR26</f>
        <v>61</v>
      </c>
      <c r="AS27" s="320">
        <f t="shared" si="37"/>
        <v>1830</v>
      </c>
      <c r="AT27" s="320">
        <f t="shared" si="113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44"/>
        <v>221</v>
      </c>
      <c r="C28" s="589">
        <f t="shared" si="44"/>
        <v>227</v>
      </c>
      <c r="D28" s="45">
        <f t="shared" si="95"/>
        <v>0</v>
      </c>
      <c r="E28" s="45">
        <f t="shared" si="8"/>
        <v>0</v>
      </c>
      <c r="F28" s="589">
        <f t="shared" si="29"/>
        <v>1721</v>
      </c>
      <c r="G28" s="52">
        <f t="shared" si="0"/>
        <v>0</v>
      </c>
      <c r="H28" s="589">
        <f t="shared" si="29"/>
        <v>4416</v>
      </c>
      <c r="I28" s="396">
        <f t="shared" si="1"/>
        <v>0</v>
      </c>
      <c r="J28" s="66">
        <f t="shared" si="9"/>
        <v>0</v>
      </c>
      <c r="K28" s="589">
        <f t="shared" si="40"/>
        <v>2220</v>
      </c>
      <c r="L28" s="52">
        <f t="shared" si="10"/>
        <v>0</v>
      </c>
      <c r="M28" s="589">
        <f t="shared" si="40"/>
        <v>163181</v>
      </c>
      <c r="N28" s="396">
        <f t="shared" si="2"/>
        <v>0</v>
      </c>
      <c r="O28" s="64">
        <f t="shared" si="11"/>
        <v>1869</v>
      </c>
      <c r="P28" s="589">
        <f t="shared" si="11"/>
        <v>1970</v>
      </c>
      <c r="Q28" s="589">
        <f t="shared" ref="Q28" si="127">Q27</f>
        <v>166647</v>
      </c>
      <c r="R28" s="395">
        <f t="shared" si="54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2453</v>
      </c>
      <c r="Y28" s="52">
        <f t="shared" si="17"/>
        <v>0</v>
      </c>
      <c r="Z28" s="589">
        <f t="shared" si="16"/>
        <v>137950.70000000001</v>
      </c>
      <c r="AA28" s="65">
        <f t="shared" si="5"/>
        <v>0</v>
      </c>
      <c r="AB28" s="284">
        <f t="shared" si="109"/>
        <v>0</v>
      </c>
      <c r="AC28" s="589">
        <f t="shared" ref="AC28:AE28" si="128">AC27</f>
        <v>1934</v>
      </c>
      <c r="AD28" s="45">
        <f t="shared" si="6"/>
        <v>0</v>
      </c>
      <c r="AE28" s="589">
        <f t="shared" si="128"/>
        <v>365352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29">AN27</f>
        <v>67</v>
      </c>
      <c r="AO28" s="320">
        <f t="shared" ref="AO28:AO32" si="130">(AN28/100)*3000</f>
        <v>2010.0000000000002</v>
      </c>
      <c r="AP28" s="589">
        <f t="shared" si="129"/>
        <v>55</v>
      </c>
      <c r="AQ28" s="320">
        <f t="shared" si="117"/>
        <v>1650.0000000000002</v>
      </c>
      <c r="AR28" s="589">
        <f t="shared" ref="AR28" si="131">AR27</f>
        <v>61</v>
      </c>
      <c r="AS28" s="320">
        <f t="shared" si="37"/>
        <v>1830</v>
      </c>
      <c r="AT28" s="320">
        <f t="shared" si="113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44"/>
        <v>221</v>
      </c>
      <c r="C29" s="589">
        <f t="shared" si="44"/>
        <v>227</v>
      </c>
      <c r="D29" s="45">
        <f t="shared" si="95"/>
        <v>0</v>
      </c>
      <c r="E29" s="45">
        <f t="shared" si="8"/>
        <v>0</v>
      </c>
      <c r="F29" s="589">
        <f t="shared" si="29"/>
        <v>1721</v>
      </c>
      <c r="G29" s="52">
        <f t="shared" si="0"/>
        <v>0</v>
      </c>
      <c r="H29" s="589">
        <f t="shared" si="29"/>
        <v>4416</v>
      </c>
      <c r="I29" s="396">
        <f t="shared" si="1"/>
        <v>0</v>
      </c>
      <c r="J29" s="66">
        <f t="shared" si="9"/>
        <v>0</v>
      </c>
      <c r="K29" s="589">
        <f t="shared" si="40"/>
        <v>2220</v>
      </c>
      <c r="L29" s="52">
        <f t="shared" si="10"/>
        <v>0</v>
      </c>
      <c r="M29" s="589">
        <f t="shared" si="40"/>
        <v>163181</v>
      </c>
      <c r="N29" s="396">
        <f t="shared" si="2"/>
        <v>0</v>
      </c>
      <c r="O29" s="64">
        <f t="shared" si="11"/>
        <v>1869</v>
      </c>
      <c r="P29" s="589">
        <f t="shared" si="11"/>
        <v>1970</v>
      </c>
      <c r="Q29" s="589">
        <f t="shared" ref="Q29" si="132">Q28</f>
        <v>166647</v>
      </c>
      <c r="R29" s="395">
        <f t="shared" si="54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2453</v>
      </c>
      <c r="Y29" s="52">
        <f t="shared" si="17"/>
        <v>0</v>
      </c>
      <c r="Z29" s="589">
        <f t="shared" si="16"/>
        <v>137950.70000000001</v>
      </c>
      <c r="AA29" s="65">
        <f t="shared" si="5"/>
        <v>0</v>
      </c>
      <c r="AB29" s="284">
        <f t="shared" si="109"/>
        <v>0</v>
      </c>
      <c r="AC29" s="589">
        <f t="shared" ref="AC29:AE29" si="133">AC28</f>
        <v>1934</v>
      </c>
      <c r="AD29" s="45">
        <f t="shared" si="6"/>
        <v>0</v>
      </c>
      <c r="AE29" s="589">
        <f t="shared" si="133"/>
        <v>365352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34">AN28</f>
        <v>67</v>
      </c>
      <c r="AO29" s="320">
        <f t="shared" si="130"/>
        <v>2010.0000000000002</v>
      </c>
      <c r="AP29" s="589">
        <f t="shared" si="134"/>
        <v>55</v>
      </c>
      <c r="AQ29" s="320">
        <f t="shared" si="117"/>
        <v>1650.0000000000002</v>
      </c>
      <c r="AR29" s="589">
        <f t="shared" ref="AR29" si="135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44"/>
        <v>221</v>
      </c>
      <c r="C30" s="589">
        <f t="shared" si="44"/>
        <v>227</v>
      </c>
      <c r="D30" s="45">
        <f t="shared" si="95"/>
        <v>0</v>
      </c>
      <c r="E30" s="45">
        <f t="shared" si="8"/>
        <v>0</v>
      </c>
      <c r="F30" s="589">
        <f t="shared" si="29"/>
        <v>1721</v>
      </c>
      <c r="G30" s="52">
        <f t="shared" si="0"/>
        <v>0</v>
      </c>
      <c r="H30" s="589">
        <f t="shared" si="29"/>
        <v>4416</v>
      </c>
      <c r="I30" s="396">
        <f t="shared" si="1"/>
        <v>0</v>
      </c>
      <c r="J30" s="66">
        <f t="shared" si="9"/>
        <v>0</v>
      </c>
      <c r="K30" s="589">
        <f t="shared" si="40"/>
        <v>2220</v>
      </c>
      <c r="L30" s="52">
        <f t="shared" si="10"/>
        <v>0</v>
      </c>
      <c r="M30" s="589">
        <f t="shared" si="40"/>
        <v>163181</v>
      </c>
      <c r="N30" s="396">
        <f t="shared" si="2"/>
        <v>0</v>
      </c>
      <c r="O30" s="64">
        <f t="shared" si="11"/>
        <v>1869</v>
      </c>
      <c r="P30" s="589">
        <f t="shared" si="11"/>
        <v>1970</v>
      </c>
      <c r="Q30" s="589">
        <f t="shared" ref="Q30" si="136">Q29</f>
        <v>166647</v>
      </c>
      <c r="R30" s="395">
        <f t="shared" si="54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2453</v>
      </c>
      <c r="Y30" s="52">
        <f t="shared" si="17"/>
        <v>0</v>
      </c>
      <c r="Z30" s="589">
        <f t="shared" si="16"/>
        <v>137950.70000000001</v>
      </c>
      <c r="AA30" s="65">
        <f t="shared" si="5"/>
        <v>0</v>
      </c>
      <c r="AB30" s="284">
        <f t="shared" si="109"/>
        <v>0</v>
      </c>
      <c r="AC30" s="589">
        <f t="shared" ref="AC30:AE30" si="137">AC29</f>
        <v>1934</v>
      </c>
      <c r="AD30" s="45">
        <f t="shared" si="6"/>
        <v>0</v>
      </c>
      <c r="AE30" s="589">
        <f t="shared" si="137"/>
        <v>365352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38">AN29</f>
        <v>67</v>
      </c>
      <c r="AO30" s="320">
        <f t="shared" si="130"/>
        <v>2010.0000000000002</v>
      </c>
      <c r="AP30" s="589">
        <f t="shared" si="138"/>
        <v>55</v>
      </c>
      <c r="AQ30" s="320">
        <f t="shared" si="117"/>
        <v>1650.0000000000002</v>
      </c>
      <c r="AR30" s="589">
        <f t="shared" ref="AR30" si="139">AR29</f>
        <v>61</v>
      </c>
      <c r="AS30" s="320">
        <f t="shared" si="37"/>
        <v>1830</v>
      </c>
      <c r="AT30" s="320">
        <f t="shared" si="113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44"/>
        <v>221</v>
      </c>
      <c r="C31" s="589">
        <f t="shared" si="44"/>
        <v>227</v>
      </c>
      <c r="D31" s="45">
        <f t="shared" si="95"/>
        <v>0</v>
      </c>
      <c r="E31" s="45">
        <f t="shared" si="8"/>
        <v>0</v>
      </c>
      <c r="F31" s="589">
        <f t="shared" si="29"/>
        <v>1721</v>
      </c>
      <c r="G31" s="52">
        <f t="shared" si="0"/>
        <v>0</v>
      </c>
      <c r="H31" s="589">
        <f t="shared" si="29"/>
        <v>4416</v>
      </c>
      <c r="I31" s="396">
        <f t="shared" si="1"/>
        <v>0</v>
      </c>
      <c r="J31" s="66">
        <f t="shared" si="9"/>
        <v>0</v>
      </c>
      <c r="K31" s="589">
        <f t="shared" si="40"/>
        <v>2220</v>
      </c>
      <c r="L31" s="52">
        <f t="shared" si="10"/>
        <v>0</v>
      </c>
      <c r="M31" s="589">
        <f t="shared" si="40"/>
        <v>163181</v>
      </c>
      <c r="N31" s="396">
        <f t="shared" si="2"/>
        <v>0</v>
      </c>
      <c r="O31" s="64">
        <f t="shared" si="11"/>
        <v>1869</v>
      </c>
      <c r="P31" s="589">
        <f t="shared" si="11"/>
        <v>1970</v>
      </c>
      <c r="Q31" s="589">
        <f t="shared" ref="Q31" si="140">Q30</f>
        <v>166647</v>
      </c>
      <c r="R31" s="395">
        <f t="shared" si="54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2453</v>
      </c>
      <c r="Y31" s="52">
        <f t="shared" si="17"/>
        <v>0</v>
      </c>
      <c r="Z31" s="589">
        <f t="shared" si="16"/>
        <v>137950.70000000001</v>
      </c>
      <c r="AA31" s="65">
        <f t="shared" si="5"/>
        <v>0</v>
      </c>
      <c r="AB31" s="284">
        <f t="shared" si="109"/>
        <v>0</v>
      </c>
      <c r="AC31" s="589">
        <f t="shared" ref="AC31:AE31" si="141">AC30</f>
        <v>1934</v>
      </c>
      <c r="AD31" s="269">
        <f t="shared" si="6"/>
        <v>0</v>
      </c>
      <c r="AE31" s="589">
        <f t="shared" si="141"/>
        <v>365352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42">AN30</f>
        <v>67</v>
      </c>
      <c r="AO31" s="320">
        <f t="shared" si="130"/>
        <v>2010.0000000000002</v>
      </c>
      <c r="AP31" s="589">
        <f t="shared" si="142"/>
        <v>55</v>
      </c>
      <c r="AQ31" s="320">
        <f t="shared" si="117"/>
        <v>1650.0000000000002</v>
      </c>
      <c r="AR31" s="589">
        <f t="shared" ref="AR31" si="143">AR30</f>
        <v>61</v>
      </c>
      <c r="AS31" s="320">
        <f t="shared" si="37"/>
        <v>1830</v>
      </c>
      <c r="AT31" s="320">
        <f t="shared" si="113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44"/>
        <v>221</v>
      </c>
      <c r="C32" s="589">
        <f t="shared" si="44"/>
        <v>227</v>
      </c>
      <c r="D32" s="45">
        <f t="shared" si="28"/>
        <v>0</v>
      </c>
      <c r="E32" s="45">
        <f t="shared" ref="E32" si="144">D32*8.38</f>
        <v>0</v>
      </c>
      <c r="F32" s="589">
        <f t="shared" si="29"/>
        <v>1721</v>
      </c>
      <c r="G32" s="52">
        <f t="shared" si="0"/>
        <v>0</v>
      </c>
      <c r="H32" s="589">
        <f t="shared" si="29"/>
        <v>4416</v>
      </c>
      <c r="I32" s="396">
        <f t="shared" si="1"/>
        <v>0</v>
      </c>
      <c r="J32" s="66">
        <f t="shared" si="9"/>
        <v>0</v>
      </c>
      <c r="K32" s="589">
        <f t="shared" si="40"/>
        <v>2220</v>
      </c>
      <c r="L32" s="52">
        <f t="shared" si="10"/>
        <v>0</v>
      </c>
      <c r="M32" s="589">
        <f t="shared" si="40"/>
        <v>163181</v>
      </c>
      <c r="N32" s="396">
        <f t="shared" si="2"/>
        <v>0</v>
      </c>
      <c r="O32" s="64">
        <f t="shared" si="11"/>
        <v>1869</v>
      </c>
      <c r="P32" s="589">
        <f t="shared" si="11"/>
        <v>1970</v>
      </c>
      <c r="Q32" s="589">
        <f t="shared" ref="Q32" si="145">Q31</f>
        <v>166647</v>
      </c>
      <c r="R32" s="395">
        <f t="shared" si="54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2453</v>
      </c>
      <c r="Y32" s="52">
        <f t="shared" si="17"/>
        <v>0</v>
      </c>
      <c r="Z32" s="589">
        <f t="shared" si="16"/>
        <v>137950.70000000001</v>
      </c>
      <c r="AA32" s="65">
        <f t="shared" si="5"/>
        <v>0</v>
      </c>
      <c r="AB32" s="284">
        <f t="shared" si="109"/>
        <v>0</v>
      </c>
      <c r="AC32" s="589">
        <f t="shared" ref="AC32:AE32" si="146">AC31</f>
        <v>1934</v>
      </c>
      <c r="AD32" s="269">
        <f t="shared" si="6"/>
        <v>0</v>
      </c>
      <c r="AE32" s="589">
        <f t="shared" si="146"/>
        <v>365352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47">AN31</f>
        <v>67</v>
      </c>
      <c r="AO32" s="320">
        <f t="shared" si="130"/>
        <v>2010.0000000000002</v>
      </c>
      <c r="AP32" s="589">
        <f t="shared" si="147"/>
        <v>55</v>
      </c>
      <c r="AQ32" s="320">
        <f t="shared" si="117"/>
        <v>1650.0000000000002</v>
      </c>
      <c r="AR32" s="589">
        <f t="shared" ref="AR32" si="148">AR31</f>
        <v>61</v>
      </c>
      <c r="AS32" s="320">
        <f t="shared" si="37"/>
        <v>1830</v>
      </c>
      <c r="AT32" s="320">
        <f t="shared" si="113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45.166666666666664</v>
      </c>
      <c r="V33" s="62">
        <f>SUM(V5:V32)</f>
        <v>1150</v>
      </c>
      <c r="AE33" s="71" t="s">
        <v>383</v>
      </c>
      <c r="AG33" s="344"/>
      <c r="AH33" s="62">
        <f>SUM(AH5:AH32)</f>
        <v>154.60000000000582</v>
      </c>
      <c r="AL33" s="62">
        <f>SUM(AL5:AL32)</f>
        <v>16</v>
      </c>
      <c r="AM33" s="62">
        <f>SUM(AM5:AM32)</f>
        <v>1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1304.6000000000058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Q1" zoomScaleNormal="100" workbookViewId="0">
      <pane ySplit="3" topLeftCell="A4" activePane="bottomLeft" state="frozen"/>
      <selection pane="bottomLeft" activeCell="BE9" sqref="BE9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7999862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8" t="s">
        <v>126</v>
      </c>
      <c r="AO3" s="619"/>
      <c r="AP3" s="62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6716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0</v>
      </c>
      <c r="AL10" s="327">
        <f t="shared" si="24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f t="shared" si="6"/>
        <v>146</v>
      </c>
      <c r="AU10" s="425">
        <f t="shared" si="35"/>
        <v>1.1000000000000001</v>
      </c>
      <c r="AV10" s="201">
        <f t="shared" si="35"/>
        <v>136</v>
      </c>
      <c r="AW10" s="5">
        <v>2.9</v>
      </c>
      <c r="AX10" s="201">
        <f t="shared" ref="AX10" si="36">AX9</f>
        <v>157</v>
      </c>
      <c r="AY10" s="426">
        <f t="shared" si="7"/>
        <v>131.4</v>
      </c>
      <c r="AZ10" s="426">
        <f t="shared" si="26"/>
        <v>149.60000000000002</v>
      </c>
      <c r="BA10" s="426">
        <f t="shared" si="27"/>
        <v>455.3</v>
      </c>
      <c r="BB10" s="21">
        <f t="shared" si="28"/>
        <v>0</v>
      </c>
      <c r="BC10" s="21">
        <f t="shared" si="29"/>
        <v>0</v>
      </c>
      <c r="BD10" s="21">
        <f t="shared" si="29"/>
        <v>0</v>
      </c>
      <c r="BE10" s="24">
        <f t="shared" si="30"/>
        <v>0</v>
      </c>
      <c r="BF10" s="96">
        <f t="shared" si="8"/>
        <v>0</v>
      </c>
      <c r="BG10" s="82">
        <f t="shared" si="9"/>
        <v>0</v>
      </c>
    </row>
    <row r="11" spans="1:65" ht="1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6716</v>
      </c>
      <c r="L11" s="83">
        <f t="shared" si="33"/>
        <v>0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0</v>
      </c>
      <c r="AL11" s="327">
        <f t="shared" si="24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f t="shared" si="35"/>
        <v>136</v>
      </c>
      <c r="AW11" s="5">
        <v>2.9</v>
      </c>
      <c r="AX11" s="201">
        <f t="shared" ref="AX11" si="37">AX10</f>
        <v>157</v>
      </c>
      <c r="AY11" s="426">
        <f t="shared" si="7"/>
        <v>131.4</v>
      </c>
      <c r="AZ11" s="426">
        <f t="shared" si="26"/>
        <v>149.60000000000002</v>
      </c>
      <c r="BA11" s="426">
        <f t="shared" si="27"/>
        <v>455.3</v>
      </c>
      <c r="BB11" s="21">
        <f t="shared" si="28"/>
        <v>0</v>
      </c>
      <c r="BC11" s="21">
        <f t="shared" si="29"/>
        <v>0</v>
      </c>
      <c r="BD11" s="21">
        <f t="shared" si="29"/>
        <v>0</v>
      </c>
      <c r="BE11" s="24">
        <f t="shared" si="30"/>
        <v>0</v>
      </c>
      <c r="BF11" s="96">
        <f t="shared" si="8"/>
        <v>0</v>
      </c>
      <c r="BG11" s="82">
        <f t="shared" si="9"/>
        <v>0</v>
      </c>
    </row>
    <row r="12" spans="1:65" ht="1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0</v>
      </c>
      <c r="AL12" s="327">
        <f t="shared" si="24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f t="shared" si="6"/>
        <v>146</v>
      </c>
      <c r="AU12" s="425">
        <f t="shared" si="35"/>
        <v>1.1000000000000001</v>
      </c>
      <c r="AV12" s="201">
        <f t="shared" si="35"/>
        <v>136</v>
      </c>
      <c r="AW12" s="5">
        <v>2.9</v>
      </c>
      <c r="AX12" s="201">
        <f t="shared" ref="AX12" si="38">AX11</f>
        <v>157</v>
      </c>
      <c r="AY12" s="426">
        <f t="shared" si="7"/>
        <v>131.4</v>
      </c>
      <c r="AZ12" s="426">
        <f t="shared" si="26"/>
        <v>149.60000000000002</v>
      </c>
      <c r="BA12" s="426">
        <f t="shared" si="27"/>
        <v>455.3</v>
      </c>
      <c r="BB12" s="21">
        <f t="shared" si="28"/>
        <v>0</v>
      </c>
      <c r="BC12" s="21">
        <f t="shared" si="29"/>
        <v>0</v>
      </c>
      <c r="BD12" s="21">
        <f t="shared" si="29"/>
        <v>0</v>
      </c>
      <c r="BE12" s="24">
        <f t="shared" si="30"/>
        <v>0</v>
      </c>
      <c r="BF12" s="96">
        <f t="shared" si="8"/>
        <v>0</v>
      </c>
      <c r="BG12" s="82">
        <f t="shared" si="9"/>
        <v>0</v>
      </c>
    </row>
    <row r="13" spans="1:65" ht="1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6716</v>
      </c>
      <c r="L13" s="83">
        <f t="shared" si="33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0</v>
      </c>
      <c r="AL13" s="327">
        <f t="shared" si="24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f t="shared" si="35"/>
        <v>136</v>
      </c>
      <c r="AW13" s="5">
        <v>2.9</v>
      </c>
      <c r="AX13" s="201">
        <f t="shared" ref="AX13" si="39">AX12</f>
        <v>157</v>
      </c>
      <c r="AY13" s="426">
        <f t="shared" si="7"/>
        <v>131.4</v>
      </c>
      <c r="AZ13" s="426">
        <f t="shared" si="26"/>
        <v>149.60000000000002</v>
      </c>
      <c r="BA13" s="426">
        <f t="shared" si="27"/>
        <v>455.3</v>
      </c>
      <c r="BB13" s="21">
        <f t="shared" si="28"/>
        <v>0</v>
      </c>
      <c r="BC13" s="21">
        <f t="shared" si="29"/>
        <v>0</v>
      </c>
      <c r="BD13" s="21">
        <f t="shared" si="29"/>
        <v>0</v>
      </c>
      <c r="BE13" s="24">
        <f t="shared" si="30"/>
        <v>0</v>
      </c>
      <c r="BF13" s="96">
        <f t="shared" si="8"/>
        <v>0</v>
      </c>
      <c r="BG13" s="82">
        <f t="shared" si="9"/>
        <v>0</v>
      </c>
    </row>
    <row r="14" spans="1:65" ht="1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6716</v>
      </c>
      <c r="L14" s="83">
        <f t="shared" si="33"/>
        <v>0</v>
      </c>
      <c r="M14" s="410">
        <f t="shared" si="15"/>
        <v>457.44</v>
      </c>
      <c r="N14" s="514">
        <f t="shared" ref="N14:N33" si="40">SUM(M14-M13)</f>
        <v>0</v>
      </c>
      <c r="O14" s="410">
        <f t="shared" si="16"/>
        <v>529.52</v>
      </c>
      <c r="P14" s="514">
        <f t="shared" ref="P14:P33" si="41">SUM(O14-O13)</f>
        <v>0</v>
      </c>
      <c r="Q14" s="514">
        <f t="shared" ref="Q14:Q33" si="42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0</v>
      </c>
      <c r="AL14" s="327">
        <f t="shared" si="24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f t="shared" si="35"/>
        <v>136</v>
      </c>
      <c r="AW14" s="5">
        <v>2.9</v>
      </c>
      <c r="AX14" s="201">
        <f t="shared" ref="AX14" si="43">AX13</f>
        <v>157</v>
      </c>
      <c r="AY14" s="426">
        <f t="shared" si="7"/>
        <v>131.4</v>
      </c>
      <c r="AZ14" s="426">
        <f t="shared" si="26"/>
        <v>149.60000000000002</v>
      </c>
      <c r="BA14" s="426">
        <f t="shared" si="27"/>
        <v>455.3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6716</v>
      </c>
      <c r="L15" s="83">
        <f t="shared" si="33"/>
        <v>0</v>
      </c>
      <c r="M15" s="410">
        <f t="shared" si="15"/>
        <v>457.44</v>
      </c>
      <c r="N15" s="514">
        <f t="shared" si="40"/>
        <v>0</v>
      </c>
      <c r="O15" s="410">
        <f t="shared" si="16"/>
        <v>529.52</v>
      </c>
      <c r="P15" s="514">
        <f t="shared" si="41"/>
        <v>0</v>
      </c>
      <c r="Q15" s="514">
        <f t="shared" si="42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f t="shared" si="35"/>
        <v>136</v>
      </c>
      <c r="AW15" s="5">
        <v>2.9</v>
      </c>
      <c r="AX15" s="201">
        <f t="shared" ref="AX15" si="44">AX14</f>
        <v>157</v>
      </c>
      <c r="AY15" s="426">
        <f t="shared" si="7"/>
        <v>131.4</v>
      </c>
      <c r="AZ15" s="426">
        <f t="shared" si="26"/>
        <v>149.60000000000002</v>
      </c>
      <c r="BA15" s="426">
        <f t="shared" si="27"/>
        <v>455.3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6">
        <f t="shared" si="8"/>
        <v>0</v>
      </c>
      <c r="BG15" s="82">
        <f t="shared" si="9"/>
        <v>0</v>
      </c>
    </row>
    <row r="16" spans="1:65" ht="1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6716</v>
      </c>
      <c r="L16" s="274">
        <f t="shared" si="33"/>
        <v>0</v>
      </c>
      <c r="M16" s="410">
        <f t="shared" si="15"/>
        <v>457.44</v>
      </c>
      <c r="N16" s="514">
        <f t="shared" si="40"/>
        <v>0</v>
      </c>
      <c r="O16" s="410">
        <f t="shared" si="16"/>
        <v>529.52</v>
      </c>
      <c r="P16" s="514">
        <f t="shared" si="41"/>
        <v>0</v>
      </c>
      <c r="Q16" s="514">
        <f t="shared" si="42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f t="shared" si="35"/>
        <v>136</v>
      </c>
      <c r="AW16" s="5">
        <v>2.9</v>
      </c>
      <c r="AX16" s="201">
        <f t="shared" ref="AX16" si="45">AX15</f>
        <v>157</v>
      </c>
      <c r="AY16" s="426">
        <f t="shared" si="7"/>
        <v>131.4</v>
      </c>
      <c r="AZ16" s="426">
        <f t="shared" si="26"/>
        <v>149.60000000000002</v>
      </c>
      <c r="BA16" s="426">
        <f t="shared" si="27"/>
        <v>455.3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6">
        <f t="shared" si="8"/>
        <v>0</v>
      </c>
      <c r="BG16" s="82">
        <f t="shared" si="9"/>
        <v>0</v>
      </c>
    </row>
    <row r="17" spans="1:61" ht="1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6716</v>
      </c>
      <c r="L17" s="83">
        <f t="shared" si="33"/>
        <v>0</v>
      </c>
      <c r="M17" s="410">
        <f t="shared" si="15"/>
        <v>457.44</v>
      </c>
      <c r="N17" s="514">
        <f t="shared" si="40"/>
        <v>0</v>
      </c>
      <c r="O17" s="410">
        <f t="shared" si="16"/>
        <v>529.52</v>
      </c>
      <c r="P17" s="514">
        <f t="shared" si="41"/>
        <v>0</v>
      </c>
      <c r="Q17" s="514">
        <f t="shared" si="42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f t="shared" si="35"/>
        <v>136</v>
      </c>
      <c r="AW17" s="5">
        <v>2.9</v>
      </c>
      <c r="AX17" s="201">
        <f t="shared" ref="AX17" si="46">AX16</f>
        <v>157</v>
      </c>
      <c r="AY17" s="426">
        <f t="shared" si="7"/>
        <v>131.4</v>
      </c>
      <c r="AZ17" s="426">
        <f t="shared" si="26"/>
        <v>149.60000000000002</v>
      </c>
      <c r="BA17" s="426">
        <f t="shared" si="27"/>
        <v>455.3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6">
        <f t="shared" si="8"/>
        <v>0</v>
      </c>
      <c r="BG17" s="82">
        <f t="shared" si="9"/>
        <v>0</v>
      </c>
    </row>
    <row r="18" spans="1:61" ht="1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6716</v>
      </c>
      <c r="L18" s="83">
        <f t="shared" si="33"/>
        <v>0</v>
      </c>
      <c r="M18" s="410">
        <f t="shared" si="15"/>
        <v>457.44</v>
      </c>
      <c r="N18" s="514">
        <f t="shared" si="40"/>
        <v>0</v>
      </c>
      <c r="O18" s="410">
        <f t="shared" si="16"/>
        <v>529.52</v>
      </c>
      <c r="P18" s="514">
        <f t="shared" si="41"/>
        <v>0</v>
      </c>
      <c r="Q18" s="514">
        <f t="shared" si="42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f t="shared" si="17"/>
        <v>150077</v>
      </c>
      <c r="Y18" s="324">
        <f t="shared" si="34"/>
        <v>0</v>
      </c>
      <c r="Z18" s="5">
        <f t="shared" si="17"/>
        <v>98262</v>
      </c>
      <c r="AA18" s="83">
        <f t="shared" si="19"/>
        <v>0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0</v>
      </c>
      <c r="AK18" s="327">
        <f>SUM(Y18-L18)</f>
        <v>0</v>
      </c>
      <c r="AL18" s="327">
        <f t="shared" si="24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f t="shared" si="6"/>
        <v>146</v>
      </c>
      <c r="AU18" s="425">
        <f t="shared" si="35"/>
        <v>1.1000000000000001</v>
      </c>
      <c r="AV18" s="201">
        <f t="shared" si="35"/>
        <v>136</v>
      </c>
      <c r="AW18" s="5">
        <v>2.9</v>
      </c>
      <c r="AX18" s="201">
        <f t="shared" ref="AX18" si="47">AX17</f>
        <v>157</v>
      </c>
      <c r="AY18" s="426">
        <f t="shared" si="7"/>
        <v>131.4</v>
      </c>
      <c r="AZ18" s="426">
        <f t="shared" si="26"/>
        <v>149.60000000000002</v>
      </c>
      <c r="BA18" s="426">
        <f t="shared" si="27"/>
        <v>455.3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6">
        <f t="shared" si="8"/>
        <v>0</v>
      </c>
      <c r="BG18" s="82">
        <f t="shared" si="9"/>
        <v>0</v>
      </c>
    </row>
    <row r="19" spans="1:61" ht="1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f t="shared" si="13"/>
        <v>615374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6716</v>
      </c>
      <c r="L19" s="83">
        <f t="shared" si="33"/>
        <v>0</v>
      </c>
      <c r="M19" s="410">
        <f t="shared" si="15"/>
        <v>457.44</v>
      </c>
      <c r="N19" s="514">
        <f t="shared" si="40"/>
        <v>0</v>
      </c>
      <c r="O19" s="410">
        <f t="shared" si="16"/>
        <v>529.52</v>
      </c>
      <c r="P19" s="514">
        <f t="shared" si="41"/>
        <v>0</v>
      </c>
      <c r="Q19" s="514">
        <f t="shared" si="42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150077</v>
      </c>
      <c r="Y19" s="324">
        <f t="shared" si="34"/>
        <v>0</v>
      </c>
      <c r="Z19" s="5">
        <f t="shared" si="17"/>
        <v>98262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f t="shared" si="6"/>
        <v>146</v>
      </c>
      <c r="AU19" s="425">
        <f t="shared" si="35"/>
        <v>1.1000000000000001</v>
      </c>
      <c r="AV19" s="201">
        <f t="shared" si="35"/>
        <v>136</v>
      </c>
      <c r="AW19" s="5">
        <v>2.9</v>
      </c>
      <c r="AX19" s="201">
        <f t="shared" ref="AX19" si="48">AX18</f>
        <v>157</v>
      </c>
      <c r="AY19" s="426">
        <f t="shared" ref="AY19:AY21" si="49">AS19*AT19</f>
        <v>131.4</v>
      </c>
      <c r="AZ19" s="426">
        <f t="shared" ref="AZ19:AZ21" si="50">AU19*AV19</f>
        <v>149.60000000000002</v>
      </c>
      <c r="BA19" s="426">
        <f t="shared" ref="BA19:BA21" si="51">AW19*AX19</f>
        <v>455.3</v>
      </c>
      <c r="BB19" s="21">
        <f t="shared" ref="BB19:BB20" si="52">AY19-AY18</f>
        <v>0</v>
      </c>
      <c r="BC19" s="21">
        <f t="shared" ref="BC19:BC20" si="53">AZ19-AZ18</f>
        <v>0</v>
      </c>
      <c r="BD19" s="21">
        <f t="shared" ref="BD19:BD20" si="54">BA19-BA18</f>
        <v>0</v>
      </c>
      <c r="BE19" s="24">
        <f t="shared" ref="BE19:BE20" si="55">SUM(BB19:BD19)</f>
        <v>0</v>
      </c>
      <c r="BF19" s="96">
        <f t="shared" si="8"/>
        <v>0</v>
      </c>
      <c r="BG19" s="82">
        <f t="shared" si="9"/>
        <v>0</v>
      </c>
    </row>
    <row r="20" spans="1:61" ht="1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615374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6716</v>
      </c>
      <c r="L20" s="83">
        <f t="shared" si="33"/>
        <v>0</v>
      </c>
      <c r="M20" s="410">
        <f t="shared" si="15"/>
        <v>457.44</v>
      </c>
      <c r="N20" s="514">
        <f t="shared" si="40"/>
        <v>0</v>
      </c>
      <c r="O20" s="410">
        <f t="shared" si="16"/>
        <v>529.52</v>
      </c>
      <c r="P20" s="514">
        <f t="shared" si="41"/>
        <v>0</v>
      </c>
      <c r="Q20" s="514">
        <f t="shared" si="42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150077</v>
      </c>
      <c r="Y20" s="324">
        <f t="shared" si="34"/>
        <v>0</v>
      </c>
      <c r="Z20" s="5">
        <f t="shared" si="17"/>
        <v>98262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0</v>
      </c>
      <c r="AL20" s="327">
        <f t="shared" si="24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146</v>
      </c>
      <c r="AU20" s="425">
        <f t="shared" si="35"/>
        <v>1.1000000000000001</v>
      </c>
      <c r="AV20" s="201">
        <f t="shared" si="35"/>
        <v>136</v>
      </c>
      <c r="AW20" s="5">
        <v>2.9</v>
      </c>
      <c r="AX20" s="201">
        <f t="shared" ref="AX20" si="56">AX19</f>
        <v>157</v>
      </c>
      <c r="AY20" s="426">
        <f t="shared" si="49"/>
        <v>131.4</v>
      </c>
      <c r="AZ20" s="426">
        <f t="shared" si="50"/>
        <v>149.60000000000002</v>
      </c>
      <c r="BA20" s="426">
        <f t="shared" si="51"/>
        <v>455.3</v>
      </c>
      <c r="BB20" s="21">
        <f t="shared" si="52"/>
        <v>0</v>
      </c>
      <c r="BC20" s="21">
        <f t="shared" si="53"/>
        <v>0</v>
      </c>
      <c r="BD20" s="21">
        <f t="shared" si="54"/>
        <v>0</v>
      </c>
      <c r="BE20" s="24">
        <f t="shared" si="55"/>
        <v>0</v>
      </c>
      <c r="BF20" s="96">
        <f t="shared" si="8"/>
        <v>0</v>
      </c>
      <c r="BG20" s="82">
        <f t="shared" si="9"/>
        <v>0</v>
      </c>
    </row>
    <row r="21" spans="1:61" ht="1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f t="shared" si="13"/>
        <v>615374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6716</v>
      </c>
      <c r="L21" s="83">
        <f t="shared" si="33"/>
        <v>0</v>
      </c>
      <c r="M21" s="410">
        <f t="shared" si="15"/>
        <v>457.44</v>
      </c>
      <c r="N21" s="514">
        <f t="shared" si="40"/>
        <v>0</v>
      </c>
      <c r="O21" s="410">
        <f t="shared" si="16"/>
        <v>529.52</v>
      </c>
      <c r="P21" s="514">
        <f t="shared" si="41"/>
        <v>0</v>
      </c>
      <c r="Q21" s="514">
        <f t="shared" si="42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f t="shared" si="17"/>
        <v>150077</v>
      </c>
      <c r="Y21" s="324">
        <f>SUM(X21-X20)</f>
        <v>0</v>
      </c>
      <c r="Z21" s="5">
        <f t="shared" si="17"/>
        <v>98262</v>
      </c>
      <c r="AA21" s="83">
        <f t="shared" si="19"/>
        <v>0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0</v>
      </c>
      <c r="AK21" s="327">
        <f>SUM(Y21-L21)</f>
        <v>0</v>
      </c>
      <c r="AL21" s="327">
        <f t="shared" si="24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146</v>
      </c>
      <c r="AU21" s="425">
        <f t="shared" si="35"/>
        <v>1.1000000000000001</v>
      </c>
      <c r="AV21" s="201">
        <f t="shared" si="35"/>
        <v>136</v>
      </c>
      <c r="AW21" s="5">
        <v>2.9</v>
      </c>
      <c r="AX21" s="201">
        <f t="shared" ref="AX21" si="57">AX20</f>
        <v>157</v>
      </c>
      <c r="AY21" s="426">
        <f t="shared" si="49"/>
        <v>131.4</v>
      </c>
      <c r="AZ21" s="426">
        <f t="shared" si="50"/>
        <v>149.60000000000002</v>
      </c>
      <c r="BA21" s="426">
        <f t="shared" si="51"/>
        <v>455.3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6">
        <f t="shared" si="8"/>
        <v>0</v>
      </c>
      <c r="BG21" s="82">
        <f t="shared" si="9"/>
        <v>0</v>
      </c>
    </row>
    <row r="22" spans="1:61" ht="1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615374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6716</v>
      </c>
      <c r="L22" s="83">
        <f t="shared" si="33"/>
        <v>0</v>
      </c>
      <c r="M22" s="410">
        <f t="shared" si="15"/>
        <v>457.44</v>
      </c>
      <c r="N22" s="514">
        <f t="shared" si="40"/>
        <v>0</v>
      </c>
      <c r="O22" s="410">
        <f t="shared" si="16"/>
        <v>529.52</v>
      </c>
      <c r="P22" s="514">
        <f t="shared" si="41"/>
        <v>0</v>
      </c>
      <c r="Q22" s="514">
        <f t="shared" si="42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150077</v>
      </c>
      <c r="Y22" s="324">
        <f t="shared" si="34"/>
        <v>0</v>
      </c>
      <c r="Z22" s="5">
        <f t="shared" si="17"/>
        <v>98262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58">AS21</f>
        <v>0.9</v>
      </c>
      <c r="AT22" s="201">
        <f t="shared" si="58"/>
        <v>146</v>
      </c>
      <c r="AU22" s="425">
        <f t="shared" si="35"/>
        <v>1.1000000000000001</v>
      </c>
      <c r="AV22" s="201">
        <f t="shared" si="35"/>
        <v>136</v>
      </c>
      <c r="AW22" s="5">
        <v>2.9</v>
      </c>
      <c r="AX22" s="201">
        <f t="shared" ref="AX22" si="59">AX21</f>
        <v>157</v>
      </c>
      <c r="AY22" s="426">
        <f t="shared" si="7"/>
        <v>131.4</v>
      </c>
      <c r="AZ22" s="426">
        <f t="shared" si="26"/>
        <v>149.60000000000002</v>
      </c>
      <c r="BA22" s="426">
        <f t="shared" si="27"/>
        <v>455.3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615374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6716</v>
      </c>
      <c r="L23" s="274">
        <f t="shared" si="33"/>
        <v>0</v>
      </c>
      <c r="M23" s="410">
        <f t="shared" si="15"/>
        <v>457.44</v>
      </c>
      <c r="N23" s="514">
        <f t="shared" si="40"/>
        <v>0</v>
      </c>
      <c r="O23" s="410">
        <f t="shared" si="16"/>
        <v>529.52</v>
      </c>
      <c r="P23" s="514">
        <f t="shared" si="41"/>
        <v>0</v>
      </c>
      <c r="Q23" s="514">
        <f t="shared" si="42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150077</v>
      </c>
      <c r="Y23" s="324">
        <f t="shared" si="34"/>
        <v>0</v>
      </c>
      <c r="Z23" s="5">
        <f t="shared" si="17"/>
        <v>98262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58"/>
        <v>0.9</v>
      </c>
      <c r="AT23" s="201">
        <f t="shared" si="58"/>
        <v>146</v>
      </c>
      <c r="AU23" s="425">
        <f t="shared" si="35"/>
        <v>1.1000000000000001</v>
      </c>
      <c r="AV23" s="201">
        <f t="shared" si="35"/>
        <v>136</v>
      </c>
      <c r="AW23" s="5">
        <v>2.9</v>
      </c>
      <c r="AX23" s="201">
        <f t="shared" ref="AX23" si="60">AX22</f>
        <v>157</v>
      </c>
      <c r="AY23" s="426">
        <f t="shared" si="7"/>
        <v>131.4</v>
      </c>
      <c r="AZ23" s="426">
        <f t="shared" si="26"/>
        <v>149.60000000000002</v>
      </c>
      <c r="BA23" s="426">
        <f t="shared" si="27"/>
        <v>455.3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615374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-3</v>
      </c>
      <c r="M24" s="410">
        <f t="shared" si="15"/>
        <v>457.44</v>
      </c>
      <c r="N24" s="514">
        <f t="shared" si="40"/>
        <v>0</v>
      </c>
      <c r="O24" s="410">
        <f t="shared" si="16"/>
        <v>529.52</v>
      </c>
      <c r="P24" s="514">
        <f t="shared" si="41"/>
        <v>0</v>
      </c>
      <c r="Q24" s="514">
        <f t="shared" si="42"/>
        <v>0</v>
      </c>
      <c r="R24" s="516"/>
      <c r="S24" s="516"/>
      <c r="T24" s="5">
        <f t="shared" si="17"/>
        <v>5165</v>
      </c>
      <c r="U24" s="5">
        <f t="shared" si="4"/>
        <v>0</v>
      </c>
      <c r="V24" s="5">
        <f t="shared" si="17"/>
        <v>461</v>
      </c>
      <c r="W24" s="324">
        <f t="shared" si="18"/>
        <v>0</v>
      </c>
      <c r="X24" s="5">
        <f t="shared" si="17"/>
        <v>150077</v>
      </c>
      <c r="Y24" s="324">
        <f t="shared" si="34"/>
        <v>0</v>
      </c>
      <c r="Z24" s="5">
        <f t="shared" si="17"/>
        <v>98262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3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58"/>
        <v>0.9</v>
      </c>
      <c r="AT24" s="201">
        <f t="shared" si="58"/>
        <v>146</v>
      </c>
      <c r="AU24" s="425">
        <f t="shared" si="35"/>
        <v>1.1000000000000001</v>
      </c>
      <c r="AV24" s="201">
        <f t="shared" si="35"/>
        <v>136</v>
      </c>
      <c r="AW24" s="5">
        <v>2.9</v>
      </c>
      <c r="AX24" s="201">
        <f t="shared" ref="AX24" si="61">AX23</f>
        <v>157</v>
      </c>
      <c r="AY24" s="426">
        <f t="shared" si="7"/>
        <v>131.4</v>
      </c>
      <c r="AZ24" s="426">
        <f t="shared" si="26"/>
        <v>149.60000000000002</v>
      </c>
      <c r="BA24" s="426">
        <f t="shared" si="27"/>
        <v>455.3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615374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6716</v>
      </c>
      <c r="L25" s="274">
        <f t="shared" si="33"/>
        <v>3</v>
      </c>
      <c r="M25" s="410">
        <f t="shared" si="15"/>
        <v>457.44</v>
      </c>
      <c r="N25" s="514">
        <f t="shared" si="40"/>
        <v>0</v>
      </c>
      <c r="O25" s="410">
        <f t="shared" si="16"/>
        <v>529.52</v>
      </c>
      <c r="P25" s="514">
        <f t="shared" si="41"/>
        <v>0</v>
      </c>
      <c r="Q25" s="514">
        <f t="shared" si="42"/>
        <v>0</v>
      </c>
      <c r="R25" s="516"/>
      <c r="S25" s="516"/>
      <c r="T25" s="5">
        <f t="shared" si="17"/>
        <v>5165</v>
      </c>
      <c r="U25" s="5">
        <f t="shared" si="4"/>
        <v>0</v>
      </c>
      <c r="V25" s="5">
        <f t="shared" si="17"/>
        <v>461</v>
      </c>
      <c r="W25" s="324">
        <f t="shared" si="18"/>
        <v>0</v>
      </c>
      <c r="X25" s="5">
        <f t="shared" si="17"/>
        <v>150077</v>
      </c>
      <c r="Y25" s="324">
        <f t="shared" si="34"/>
        <v>0</v>
      </c>
      <c r="Z25" s="5">
        <f t="shared" si="17"/>
        <v>98262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-3</v>
      </c>
      <c r="AL25" s="327">
        <f t="shared" si="24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58"/>
        <v>0.9</v>
      </c>
      <c r="AT25" s="201">
        <f t="shared" si="58"/>
        <v>146</v>
      </c>
      <c r="AU25" s="425">
        <f t="shared" si="35"/>
        <v>1.1000000000000001</v>
      </c>
      <c r="AV25" s="201">
        <f t="shared" si="35"/>
        <v>136</v>
      </c>
      <c r="AW25" s="5">
        <v>2.9</v>
      </c>
      <c r="AX25" s="201">
        <f t="shared" ref="AX25" si="62">AX24</f>
        <v>157</v>
      </c>
      <c r="AY25" s="426">
        <f t="shared" si="7"/>
        <v>131.4</v>
      </c>
      <c r="AZ25" s="426">
        <f t="shared" si="26"/>
        <v>149.60000000000002</v>
      </c>
      <c r="BA25" s="426">
        <f t="shared" si="27"/>
        <v>455.3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615374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6716</v>
      </c>
      <c r="L26" s="274">
        <f t="shared" si="33"/>
        <v>0</v>
      </c>
      <c r="M26" s="410">
        <f t="shared" si="15"/>
        <v>457.44</v>
      </c>
      <c r="N26" s="514">
        <f t="shared" si="40"/>
        <v>0</v>
      </c>
      <c r="O26" s="410">
        <f t="shared" si="16"/>
        <v>529.52</v>
      </c>
      <c r="P26" s="514">
        <f t="shared" si="41"/>
        <v>0</v>
      </c>
      <c r="Q26" s="514">
        <f t="shared" si="42"/>
        <v>0</v>
      </c>
      <c r="R26" s="516"/>
      <c r="S26" s="516"/>
      <c r="T26" s="5">
        <f t="shared" si="17"/>
        <v>5165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150077</v>
      </c>
      <c r="Y26" s="324">
        <f t="shared" si="34"/>
        <v>0</v>
      </c>
      <c r="Z26" s="5">
        <f t="shared" si="17"/>
        <v>98262</v>
      </c>
      <c r="AA26" s="83">
        <f t="shared" si="19"/>
        <v>0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58"/>
        <v>0.9</v>
      </c>
      <c r="AT26" s="201">
        <f t="shared" si="58"/>
        <v>146</v>
      </c>
      <c r="AU26" s="425">
        <f t="shared" si="35"/>
        <v>1.1000000000000001</v>
      </c>
      <c r="AV26" s="201">
        <f t="shared" si="35"/>
        <v>136</v>
      </c>
      <c r="AW26" s="5">
        <v>2.9</v>
      </c>
      <c r="AX26" s="201">
        <f t="shared" ref="AX26" si="63">AX25</f>
        <v>157</v>
      </c>
      <c r="AY26" s="426">
        <f t="shared" si="7"/>
        <v>131.4</v>
      </c>
      <c r="AZ26" s="426">
        <f t="shared" si="26"/>
        <v>149.60000000000002</v>
      </c>
      <c r="BA26" s="426">
        <f t="shared" si="27"/>
        <v>455.3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f t="shared" si="13"/>
        <v>615374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6716</v>
      </c>
      <c r="L27" s="274">
        <f t="shared" si="33"/>
        <v>0</v>
      </c>
      <c r="M27" s="410">
        <f t="shared" si="15"/>
        <v>457.44</v>
      </c>
      <c r="N27" s="514">
        <f t="shared" si="40"/>
        <v>0</v>
      </c>
      <c r="O27" s="410">
        <f t="shared" si="16"/>
        <v>529.52</v>
      </c>
      <c r="P27" s="514">
        <f t="shared" si="41"/>
        <v>0</v>
      </c>
      <c r="Q27" s="514">
        <f t="shared" si="42"/>
        <v>0</v>
      </c>
      <c r="R27" s="516"/>
      <c r="S27" s="516"/>
      <c r="T27" s="5">
        <f t="shared" si="17"/>
        <v>5165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150077</v>
      </c>
      <c r="Y27" s="324">
        <f>SUM(X27-X26)</f>
        <v>0</v>
      </c>
      <c r="Z27" s="5">
        <f t="shared" si="17"/>
        <v>98262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58"/>
        <v>0.9</v>
      </c>
      <c r="AT27" s="201">
        <f t="shared" si="58"/>
        <v>146</v>
      </c>
      <c r="AU27" s="425">
        <f t="shared" si="35"/>
        <v>1.1000000000000001</v>
      </c>
      <c r="AV27" s="201">
        <f t="shared" si="35"/>
        <v>136</v>
      </c>
      <c r="AW27" s="5">
        <v>2.9</v>
      </c>
      <c r="AX27" s="201">
        <f t="shared" ref="AX27" si="64">AX26</f>
        <v>157</v>
      </c>
      <c r="AY27" s="426">
        <f t="shared" si="7"/>
        <v>131.4</v>
      </c>
      <c r="AZ27" s="426">
        <f t="shared" si="26"/>
        <v>149.60000000000002</v>
      </c>
      <c r="BA27" s="426">
        <f t="shared" si="27"/>
        <v>455.3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615374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6716</v>
      </c>
      <c r="L28" s="274">
        <f t="shared" si="33"/>
        <v>0</v>
      </c>
      <c r="M28" s="410">
        <f t="shared" si="15"/>
        <v>457.44</v>
      </c>
      <c r="N28" s="514">
        <f t="shared" si="40"/>
        <v>0</v>
      </c>
      <c r="O28" s="410">
        <f t="shared" si="16"/>
        <v>529.52</v>
      </c>
      <c r="P28" s="514">
        <f t="shared" si="41"/>
        <v>0</v>
      </c>
      <c r="Q28" s="514">
        <f t="shared" si="42"/>
        <v>0</v>
      </c>
      <c r="R28" s="516"/>
      <c r="S28" s="516"/>
      <c r="T28" s="5">
        <f t="shared" si="17"/>
        <v>5165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150077</v>
      </c>
      <c r="Y28" s="324">
        <f t="shared" si="34"/>
        <v>0</v>
      </c>
      <c r="Z28" s="5">
        <f t="shared" si="17"/>
        <v>98262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58"/>
        <v>0.9</v>
      </c>
      <c r="AT28" s="201">
        <f t="shared" si="58"/>
        <v>146</v>
      </c>
      <c r="AU28" s="425">
        <f t="shared" si="35"/>
        <v>1.1000000000000001</v>
      </c>
      <c r="AV28" s="201">
        <f t="shared" si="35"/>
        <v>136</v>
      </c>
      <c r="AW28" s="5">
        <v>2.9</v>
      </c>
      <c r="AX28" s="201">
        <f t="shared" ref="AX28" si="65">AX27</f>
        <v>157</v>
      </c>
      <c r="AY28" s="426">
        <f t="shared" si="7"/>
        <v>131.4</v>
      </c>
      <c r="AZ28" s="426">
        <f t="shared" si="26"/>
        <v>149.60000000000002</v>
      </c>
      <c r="BA28" s="426">
        <f t="shared" si="27"/>
        <v>455.3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615374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6716</v>
      </c>
      <c r="L29" s="274">
        <f t="shared" si="33"/>
        <v>0</v>
      </c>
      <c r="M29" s="410">
        <f t="shared" si="15"/>
        <v>457.44</v>
      </c>
      <c r="N29" s="514">
        <f t="shared" si="40"/>
        <v>0</v>
      </c>
      <c r="O29" s="410">
        <f t="shared" si="16"/>
        <v>529.52</v>
      </c>
      <c r="P29" s="514">
        <f t="shared" si="41"/>
        <v>0</v>
      </c>
      <c r="Q29" s="514">
        <f t="shared" si="42"/>
        <v>0</v>
      </c>
      <c r="R29" s="516"/>
      <c r="S29" s="516"/>
      <c r="T29" s="5">
        <f t="shared" si="17"/>
        <v>5165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150077</v>
      </c>
      <c r="Y29" s="324">
        <f t="shared" si="34"/>
        <v>0</v>
      </c>
      <c r="Z29" s="5">
        <f t="shared" si="17"/>
        <v>98262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58"/>
        <v>0.9</v>
      </c>
      <c r="AT29" s="201">
        <f t="shared" si="58"/>
        <v>146</v>
      </c>
      <c r="AU29" s="425">
        <f t="shared" si="35"/>
        <v>1.1000000000000001</v>
      </c>
      <c r="AV29" s="201">
        <f t="shared" si="35"/>
        <v>136</v>
      </c>
      <c r="AW29" s="5">
        <v>2.9</v>
      </c>
      <c r="AX29" s="201">
        <f t="shared" ref="AX29" si="66">AX28</f>
        <v>157</v>
      </c>
      <c r="AY29" s="426">
        <f t="shared" si="7"/>
        <v>131.4</v>
      </c>
      <c r="AZ29" s="426">
        <f t="shared" si="26"/>
        <v>149.60000000000002</v>
      </c>
      <c r="BA29" s="426">
        <f t="shared" si="27"/>
        <v>455.3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615374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6716</v>
      </c>
      <c r="L30" s="274">
        <f t="shared" si="33"/>
        <v>0</v>
      </c>
      <c r="M30" s="410">
        <f t="shared" si="15"/>
        <v>457.44</v>
      </c>
      <c r="N30" s="514">
        <f t="shared" si="40"/>
        <v>0</v>
      </c>
      <c r="O30" s="410">
        <f t="shared" si="16"/>
        <v>529.52</v>
      </c>
      <c r="P30" s="514">
        <f t="shared" si="41"/>
        <v>0</v>
      </c>
      <c r="Q30" s="514">
        <f t="shared" si="42"/>
        <v>0</v>
      </c>
      <c r="R30" s="516"/>
      <c r="S30" s="516"/>
      <c r="T30" s="5">
        <f t="shared" si="17"/>
        <v>5165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150077</v>
      </c>
      <c r="Y30" s="324">
        <f t="shared" si="34"/>
        <v>0</v>
      </c>
      <c r="Z30" s="5">
        <f t="shared" si="17"/>
        <v>98262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58"/>
        <v>0.9</v>
      </c>
      <c r="AT30" s="201">
        <f t="shared" si="58"/>
        <v>146</v>
      </c>
      <c r="AU30" s="425">
        <f t="shared" si="35"/>
        <v>1.1000000000000001</v>
      </c>
      <c r="AV30" s="201">
        <f t="shared" si="35"/>
        <v>136</v>
      </c>
      <c r="AW30" s="5">
        <v>2.9</v>
      </c>
      <c r="AX30" s="201">
        <f t="shared" ref="AX30" si="67">AX29</f>
        <v>157</v>
      </c>
      <c r="AY30" s="426">
        <f t="shared" si="7"/>
        <v>131.4</v>
      </c>
      <c r="AZ30" s="426">
        <f t="shared" si="26"/>
        <v>149.60000000000002</v>
      </c>
      <c r="BA30" s="426">
        <f t="shared" si="27"/>
        <v>455.3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615374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6716</v>
      </c>
      <c r="L31" s="274">
        <f t="shared" si="33"/>
        <v>0</v>
      </c>
      <c r="M31" s="410">
        <f t="shared" si="15"/>
        <v>457.44</v>
      </c>
      <c r="N31" s="514">
        <f t="shared" si="40"/>
        <v>0</v>
      </c>
      <c r="O31" s="410">
        <f t="shared" si="16"/>
        <v>529.52</v>
      </c>
      <c r="P31" s="514">
        <f t="shared" si="41"/>
        <v>0</v>
      </c>
      <c r="Q31" s="514">
        <f t="shared" si="42"/>
        <v>0</v>
      </c>
      <c r="R31" s="516"/>
      <c r="S31" s="516"/>
      <c r="T31" s="5">
        <f t="shared" si="17"/>
        <v>5165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150077</v>
      </c>
      <c r="Y31" s="324">
        <f t="shared" si="34"/>
        <v>0</v>
      </c>
      <c r="Z31" s="5">
        <f t="shared" si="17"/>
        <v>98262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58"/>
        <v>0.9</v>
      </c>
      <c r="AT31" s="201">
        <f t="shared" si="58"/>
        <v>146</v>
      </c>
      <c r="AU31" s="425">
        <f t="shared" si="35"/>
        <v>1.1000000000000001</v>
      </c>
      <c r="AV31" s="201">
        <f t="shared" si="35"/>
        <v>136</v>
      </c>
      <c r="AW31" s="5">
        <v>2.9</v>
      </c>
      <c r="AX31" s="201">
        <f t="shared" ref="AX31" si="68">AX30</f>
        <v>157</v>
      </c>
      <c r="AY31" s="426">
        <f t="shared" si="7"/>
        <v>131.4</v>
      </c>
      <c r="AZ31" s="426">
        <f t="shared" si="26"/>
        <v>149.60000000000002</v>
      </c>
      <c r="BA31" s="426">
        <f t="shared" si="27"/>
        <v>455.3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615374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6716</v>
      </c>
      <c r="L32" s="274">
        <f t="shared" si="33"/>
        <v>0</v>
      </c>
      <c r="M32" s="410">
        <f t="shared" si="15"/>
        <v>457.44</v>
      </c>
      <c r="N32" s="514">
        <f t="shared" si="40"/>
        <v>0</v>
      </c>
      <c r="O32" s="410">
        <f t="shared" si="16"/>
        <v>529.52</v>
      </c>
      <c r="P32" s="514">
        <f t="shared" si="41"/>
        <v>0</v>
      </c>
      <c r="Q32" s="514">
        <f t="shared" si="42"/>
        <v>0</v>
      </c>
      <c r="R32" s="516"/>
      <c r="S32" s="516"/>
      <c r="T32" s="5">
        <f t="shared" si="17"/>
        <v>5165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150077</v>
      </c>
      <c r="Y32" s="324">
        <f t="shared" si="34"/>
        <v>0</v>
      </c>
      <c r="Z32" s="5">
        <f t="shared" si="17"/>
        <v>98262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58"/>
        <v>0.9</v>
      </c>
      <c r="AT32" s="201">
        <f t="shared" si="58"/>
        <v>146</v>
      </c>
      <c r="AU32" s="425">
        <f t="shared" si="35"/>
        <v>1.1000000000000001</v>
      </c>
      <c r="AV32" s="201">
        <f t="shared" si="35"/>
        <v>136</v>
      </c>
      <c r="AW32" s="5">
        <v>2.9</v>
      </c>
      <c r="AX32" s="201">
        <f t="shared" ref="AX32" si="69">AX31</f>
        <v>157</v>
      </c>
      <c r="AY32" s="426">
        <f t="shared" si="7"/>
        <v>131.4</v>
      </c>
      <c r="AZ32" s="426">
        <f t="shared" si="26"/>
        <v>149.60000000000002</v>
      </c>
      <c r="BA32" s="426">
        <f t="shared" si="27"/>
        <v>455.3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615374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6716</v>
      </c>
      <c r="L33" s="274">
        <f t="shared" si="33"/>
        <v>0</v>
      </c>
      <c r="M33" s="410">
        <f t="shared" si="15"/>
        <v>457.44</v>
      </c>
      <c r="N33" s="514">
        <f t="shared" si="40"/>
        <v>0</v>
      </c>
      <c r="O33" s="410">
        <f t="shared" si="16"/>
        <v>529.52</v>
      </c>
      <c r="P33" s="514">
        <f t="shared" si="41"/>
        <v>0</v>
      </c>
      <c r="Q33" s="514">
        <f t="shared" si="42"/>
        <v>0</v>
      </c>
      <c r="R33" s="516"/>
      <c r="S33" s="516"/>
      <c r="T33" s="5">
        <f t="shared" si="17"/>
        <v>5165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150077</v>
      </c>
      <c r="Y33" s="324">
        <f t="shared" si="34"/>
        <v>0</v>
      </c>
      <c r="Z33" s="5">
        <f t="shared" si="17"/>
        <v>98262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58"/>
        <v>0.9</v>
      </c>
      <c r="AT33" s="201">
        <f t="shared" si="58"/>
        <v>146</v>
      </c>
      <c r="AU33" s="425">
        <f t="shared" si="35"/>
        <v>1.1000000000000001</v>
      </c>
      <c r="AV33" s="201">
        <f t="shared" si="35"/>
        <v>136</v>
      </c>
      <c r="AW33" s="5">
        <v>2.9</v>
      </c>
      <c r="AX33" s="201">
        <f t="shared" ref="AX33" si="70">AX32</f>
        <v>157</v>
      </c>
      <c r="AY33" s="426">
        <f t="shared" si="7"/>
        <v>131.4</v>
      </c>
      <c r="AZ33" s="426">
        <f t="shared" si="26"/>
        <v>149.60000000000002</v>
      </c>
      <c r="BA33" s="426">
        <f t="shared" si="27"/>
        <v>455.3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0</v>
      </c>
      <c r="I34" s="412">
        <f>SUM(I6:I33)</f>
        <v>0</v>
      </c>
      <c r="L34" s="268">
        <f>SUM(L7:L33)</f>
        <v>0</v>
      </c>
      <c r="Q34" s="495">
        <f>SUM(Q5:Q33)</f>
        <v>0</v>
      </c>
      <c r="U34" s="409">
        <f>SUM(U6:U33)</f>
        <v>1</v>
      </c>
      <c r="X34" s="323"/>
      <c r="Y34" s="322" t="e">
        <f>SUM(#REF!,Y33,Y31,Y29,Y27,Y25,Y23,Y21,Y19,Y17,Y15,Y13,Y11,Y9,Y7,#REF!)</f>
        <v>#REF!</v>
      </c>
      <c r="AJ34" s="322">
        <f>SUM(AJ6:AJ33)</f>
        <v>0</v>
      </c>
      <c r="AK34" s="327" t="e">
        <f>SUM(Y34-L34)</f>
        <v>#REF!</v>
      </c>
      <c r="AL34" s="322">
        <f>SUM(AL6:AL33)</f>
        <v>-1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 t="e">
        <f>SUM('General information '!G34/WATER!I34)</f>
        <v>#DIV/0!</v>
      </c>
      <c r="L35" s="157"/>
      <c r="O35" s="492">
        <f>SUM(Q34+I34)</f>
        <v>0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0</v>
      </c>
      <c r="H36" s="1">
        <f>SUM(H35+C35)</f>
        <v>7500</v>
      </c>
      <c r="K36" s="1" t="e">
        <f>SUM(H36/G36)</f>
        <v>#DIV/0!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zoomScaleNormal="100" workbookViewId="0">
      <pane ySplit="4" topLeftCell="A5" activePane="bottomLeft" state="frozen"/>
      <selection pane="bottomLeft" activeCell="H9" sqref="H9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/>
      <c r="C10" s="37"/>
      <c r="D10" s="26">
        <f t="shared" si="0"/>
        <v>0</v>
      </c>
      <c r="E10" s="354"/>
      <c r="F10" s="340"/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/>
      <c r="C11" s="37"/>
      <c r="D11" s="26">
        <f t="shared" si="0"/>
        <v>0</v>
      </c>
      <c r="E11" s="394"/>
      <c r="F11" s="394"/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/>
      <c r="C12" s="37"/>
      <c r="D12" s="26">
        <f t="shared" si="0"/>
        <v>0</v>
      </c>
      <c r="E12" s="394"/>
      <c r="F12" s="394"/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/>
      <c r="C14" s="37"/>
      <c r="D14" s="26">
        <f t="shared" ref="D14:D33" si="3">(C14+B14)/2</f>
        <v>0</v>
      </c>
      <c r="E14" s="340"/>
      <c r="F14" s="394"/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/>
      <c r="C15" s="37"/>
      <c r="D15" s="26">
        <f t="shared" si="3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/>
      <c r="C16" s="37"/>
      <c r="D16" s="26">
        <f t="shared" si="3"/>
        <v>0</v>
      </c>
      <c r="E16" s="340"/>
      <c r="F16" s="340"/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18.375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E1" activePane="topRight" state="frozen"/>
      <selection pane="topRight" activeCell="AT6" sqref="AT6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221</v>
      </c>
      <c r="C10" s="203">
        <f t="shared" si="18"/>
        <v>4755.0645161290322</v>
      </c>
      <c r="D10">
        <f t="shared" si="19"/>
        <v>221</v>
      </c>
      <c r="E10" s="203">
        <f t="shared" si="18"/>
        <v>4755.0645161290322</v>
      </c>
      <c r="F10">
        <f t="shared" si="20"/>
        <v>221</v>
      </c>
      <c r="G10" s="203">
        <f t="shared" si="1"/>
        <v>4755.0645161290322</v>
      </c>
      <c r="H10" s="203">
        <f t="shared" si="21"/>
        <v>221</v>
      </c>
      <c r="I10" s="203">
        <f t="shared" si="2"/>
        <v>4755.0645161290322</v>
      </c>
      <c r="J10" s="203">
        <f t="shared" si="22"/>
        <v>221</v>
      </c>
      <c r="K10" s="203">
        <f t="shared" si="3"/>
        <v>4755.0645161290322</v>
      </c>
      <c r="L10" s="203">
        <f t="shared" si="23"/>
        <v>221</v>
      </c>
      <c r="M10" s="203">
        <f t="shared" si="4"/>
        <v>4755.0645161290322</v>
      </c>
      <c r="N10" s="203">
        <f t="shared" si="24"/>
        <v>221</v>
      </c>
      <c r="O10" s="203">
        <f t="shared" si="5"/>
        <v>4755.0645161290322</v>
      </c>
      <c r="P10" s="203">
        <f t="shared" si="25"/>
        <v>221</v>
      </c>
      <c r="Q10" s="203">
        <f t="shared" si="6"/>
        <v>4755.0645161290322</v>
      </c>
      <c r="R10" s="203">
        <f t="shared" si="26"/>
        <v>221</v>
      </c>
      <c r="S10" s="203">
        <f t="shared" si="7"/>
        <v>4755.0645161290322</v>
      </c>
      <c r="T10" s="203">
        <f t="shared" si="27"/>
        <v>221</v>
      </c>
      <c r="U10" s="203">
        <f t="shared" si="8"/>
        <v>4755.0645161290322</v>
      </c>
      <c r="V10" s="203">
        <f t="shared" si="28"/>
        <v>221</v>
      </c>
      <c r="W10" s="203">
        <f t="shared" si="9"/>
        <v>4755.0645161290322</v>
      </c>
      <c r="X10" s="35">
        <f t="shared" si="10"/>
        <v>0.71290322580645138</v>
      </c>
      <c r="Y10" s="36">
        <f t="shared" si="29"/>
        <v>52305.709677419341</v>
      </c>
      <c r="Z10" s="203">
        <f>'B5'!C9</f>
        <v>227</v>
      </c>
      <c r="AA10" s="203">
        <f t="shared" si="30"/>
        <v>2270</v>
      </c>
      <c r="AB10" s="203">
        <f t="shared" si="31"/>
        <v>227</v>
      </c>
      <c r="AC10" s="203">
        <f t="shared" si="30"/>
        <v>2270</v>
      </c>
      <c r="AD10" s="203">
        <f t="shared" si="32"/>
        <v>227</v>
      </c>
      <c r="AE10" s="203">
        <f t="shared" si="11"/>
        <v>2270</v>
      </c>
      <c r="AF10" s="203">
        <f t="shared" si="33"/>
        <v>227</v>
      </c>
      <c r="AG10" s="203">
        <f t="shared" si="12"/>
        <v>2270</v>
      </c>
      <c r="AH10" s="203">
        <f t="shared" si="34"/>
        <v>227</v>
      </c>
      <c r="AI10" s="203">
        <f t="shared" si="13"/>
        <v>2270</v>
      </c>
      <c r="AJ10" s="203">
        <f t="shared" si="35"/>
        <v>227</v>
      </c>
      <c r="AK10" s="203">
        <f t="shared" si="14"/>
        <v>2270</v>
      </c>
      <c r="AL10" s="203">
        <f t="shared" si="36"/>
        <v>227</v>
      </c>
      <c r="AM10" s="203">
        <f t="shared" si="15"/>
        <v>2270</v>
      </c>
      <c r="AN10" s="35">
        <f t="shared" si="16"/>
        <v>0.81071428571428572</v>
      </c>
      <c r="AO10" s="36">
        <f t="shared" si="17"/>
        <v>15890</v>
      </c>
      <c r="AQ10" s="223">
        <f t="shared" si="37"/>
        <v>0.73352382142002082</v>
      </c>
      <c r="AR10" s="38">
        <f t="shared" si="41"/>
        <v>68195.709677419334</v>
      </c>
      <c r="AS10" s="197">
        <f t="shared" si="38"/>
        <v>0</v>
      </c>
      <c r="AT10" s="355"/>
      <c r="AU10" s="436"/>
      <c r="AV10" s="518">
        <f>IF(AT10&gt;0,AU10,AV9)</f>
        <v>0.1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221</v>
      </c>
      <c r="C11" s="203">
        <f t="shared" si="18"/>
        <v>4755.0645161290322</v>
      </c>
      <c r="D11">
        <f>SUM(B11)</f>
        <v>221</v>
      </c>
      <c r="E11" s="203">
        <f t="shared" si="18"/>
        <v>4755.0645161290322</v>
      </c>
      <c r="F11">
        <f>SUM(D11)</f>
        <v>221</v>
      </c>
      <c r="G11" s="203">
        <f t="shared" si="1"/>
        <v>4755.0645161290322</v>
      </c>
      <c r="H11" s="203">
        <f>SUM(F11)</f>
        <v>221</v>
      </c>
      <c r="I11" s="203">
        <f t="shared" si="2"/>
        <v>4755.0645161290322</v>
      </c>
      <c r="J11" s="203">
        <f>SUM(H11)</f>
        <v>221</v>
      </c>
      <c r="K11" s="203">
        <f t="shared" si="3"/>
        <v>4755.0645161290322</v>
      </c>
      <c r="L11" s="203">
        <f>SUM(J11)</f>
        <v>221</v>
      </c>
      <c r="M11" s="203">
        <f t="shared" si="4"/>
        <v>4755.0645161290322</v>
      </c>
      <c r="N11" s="203">
        <f>SUM(L11)</f>
        <v>221</v>
      </c>
      <c r="O11" s="203">
        <f t="shared" si="5"/>
        <v>4755.0645161290322</v>
      </c>
      <c r="P11" s="203">
        <f>SUM(N11)</f>
        <v>221</v>
      </c>
      <c r="Q11" s="203">
        <f t="shared" si="6"/>
        <v>4755.0645161290322</v>
      </c>
      <c r="R11" s="203">
        <f>SUM(P11)</f>
        <v>221</v>
      </c>
      <c r="S11" s="203">
        <f t="shared" si="7"/>
        <v>4755.0645161290322</v>
      </c>
      <c r="T11" s="203">
        <f>SUM(R11)</f>
        <v>221</v>
      </c>
      <c r="U11" s="203">
        <f t="shared" si="8"/>
        <v>4755.0645161290322</v>
      </c>
      <c r="V11" s="203">
        <f>SUM(T11)</f>
        <v>221</v>
      </c>
      <c r="W11" s="203">
        <f t="shared" si="9"/>
        <v>4755.0645161290322</v>
      </c>
      <c r="X11" s="35">
        <f>SUM(Y11/73370)</f>
        <v>0.71290322580645138</v>
      </c>
      <c r="Y11" s="36">
        <f>SUM(C11+E11+G11+I11+K11+M11+O11+Q11+S11+U11+W11)</f>
        <v>52305.709677419341</v>
      </c>
      <c r="Z11" s="203">
        <f>'B5'!C10</f>
        <v>227</v>
      </c>
      <c r="AA11" s="203">
        <f t="shared" si="30"/>
        <v>2270</v>
      </c>
      <c r="AB11" s="203">
        <f>SUM(Z11)</f>
        <v>227</v>
      </c>
      <c r="AC11" s="203">
        <f t="shared" si="30"/>
        <v>2270</v>
      </c>
      <c r="AD11" s="203">
        <f>SUM(AB11)</f>
        <v>227</v>
      </c>
      <c r="AE11" s="203">
        <f t="shared" si="11"/>
        <v>2270</v>
      </c>
      <c r="AF11" s="203">
        <f>SUM(AD11)</f>
        <v>227</v>
      </c>
      <c r="AG11" s="203">
        <f t="shared" si="12"/>
        <v>2270</v>
      </c>
      <c r="AH11" s="203">
        <f>SUM(AF11)</f>
        <v>227</v>
      </c>
      <c r="AI11" s="203">
        <f t="shared" si="13"/>
        <v>2270</v>
      </c>
      <c r="AJ11" s="203">
        <f>SUM(AH11)</f>
        <v>227</v>
      </c>
      <c r="AK11" s="203">
        <f t="shared" si="14"/>
        <v>2270</v>
      </c>
      <c r="AL11" s="203">
        <f>SUM(AJ11)</f>
        <v>227</v>
      </c>
      <c r="AM11" s="203">
        <f t="shared" si="15"/>
        <v>2270</v>
      </c>
      <c r="AN11" s="35">
        <f>SUM(AO11/19600)</f>
        <v>0.81071428571428572</v>
      </c>
      <c r="AO11" s="36">
        <f t="shared" si="17"/>
        <v>15890</v>
      </c>
      <c r="AP11" s="566"/>
      <c r="AQ11" s="223">
        <f t="shared" si="37"/>
        <v>0.73352382142002082</v>
      </c>
      <c r="AR11" s="38">
        <f t="shared" si="41"/>
        <v>68195.709677419334</v>
      </c>
      <c r="AS11" s="197">
        <f>SUM(AR11-AR10-AT11)</f>
        <v>0</v>
      </c>
      <c r="AT11" s="355"/>
      <c r="AU11" s="436"/>
      <c r="AV11" s="518">
        <f>IF(AT11&gt;0,AU11,AV10)</f>
        <v>0.1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227</v>
      </c>
      <c r="AA12" s="203">
        <f t="shared" si="30"/>
        <v>2270</v>
      </c>
      <c r="AB12" s="203">
        <f t="shared" si="31"/>
        <v>227</v>
      </c>
      <c r="AC12" s="203">
        <f t="shared" si="30"/>
        <v>2270</v>
      </c>
      <c r="AD12" s="203">
        <f t="shared" si="32"/>
        <v>227</v>
      </c>
      <c r="AE12" s="203">
        <f t="shared" si="11"/>
        <v>2270</v>
      </c>
      <c r="AF12" s="203">
        <f t="shared" si="33"/>
        <v>227</v>
      </c>
      <c r="AG12" s="203">
        <f t="shared" si="12"/>
        <v>2270</v>
      </c>
      <c r="AH12" s="203">
        <f t="shared" si="34"/>
        <v>227</v>
      </c>
      <c r="AI12" s="203">
        <f t="shared" si="13"/>
        <v>2270</v>
      </c>
      <c r="AJ12" s="203">
        <f t="shared" si="35"/>
        <v>227</v>
      </c>
      <c r="AK12" s="203">
        <f t="shared" si="14"/>
        <v>2270</v>
      </c>
      <c r="AL12" s="203">
        <f t="shared" si="36"/>
        <v>227</v>
      </c>
      <c r="AM12" s="203">
        <f t="shared" si="15"/>
        <v>2270</v>
      </c>
      <c r="AN12" s="35">
        <f t="shared" si="16"/>
        <v>0.81071428571428572</v>
      </c>
      <c r="AO12" s="36">
        <f t="shared" si="17"/>
        <v>15890</v>
      </c>
      <c r="AP12" s="566"/>
      <c r="AQ12" s="223">
        <f t="shared" si="37"/>
        <v>0.73352382142002082</v>
      </c>
      <c r="AR12" s="38">
        <f t="shared" si="41"/>
        <v>68195.709677419334</v>
      </c>
      <c r="AS12" s="197">
        <f>SUM(AR12-AR11-AT12)</f>
        <v>0</v>
      </c>
      <c r="AT12" s="271"/>
      <c r="AU12" s="478"/>
      <c r="AV12" s="518">
        <f t="shared" si="42"/>
        <v>0.1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221</v>
      </c>
      <c r="C13" s="203">
        <f t="shared" si="18"/>
        <v>4755.0645161290322</v>
      </c>
      <c r="D13">
        <f t="shared" si="19"/>
        <v>221</v>
      </c>
      <c r="E13" s="203">
        <f t="shared" si="18"/>
        <v>4755.0645161290322</v>
      </c>
      <c r="F13">
        <f t="shared" si="20"/>
        <v>221</v>
      </c>
      <c r="G13" s="203">
        <f t="shared" si="1"/>
        <v>4755.0645161290322</v>
      </c>
      <c r="H13" s="203">
        <f t="shared" si="21"/>
        <v>221</v>
      </c>
      <c r="I13" s="203">
        <f t="shared" si="2"/>
        <v>4755.0645161290322</v>
      </c>
      <c r="J13" s="203">
        <f t="shared" si="22"/>
        <v>221</v>
      </c>
      <c r="K13" s="203">
        <f t="shared" si="3"/>
        <v>4755.0645161290322</v>
      </c>
      <c r="L13" s="203">
        <f t="shared" si="23"/>
        <v>221</v>
      </c>
      <c r="M13" s="203">
        <f t="shared" si="4"/>
        <v>4755.0645161290322</v>
      </c>
      <c r="N13" s="203">
        <f t="shared" si="24"/>
        <v>221</v>
      </c>
      <c r="O13" s="203">
        <f t="shared" si="5"/>
        <v>4755.0645161290322</v>
      </c>
      <c r="P13" s="203">
        <f t="shared" si="25"/>
        <v>221</v>
      </c>
      <c r="Q13" s="203">
        <f t="shared" si="6"/>
        <v>4755.0645161290322</v>
      </c>
      <c r="R13" s="203">
        <f t="shared" si="26"/>
        <v>221</v>
      </c>
      <c r="S13" s="203">
        <f t="shared" si="7"/>
        <v>4755.0645161290322</v>
      </c>
      <c r="T13" s="203">
        <f t="shared" si="27"/>
        <v>221</v>
      </c>
      <c r="U13" s="203">
        <f t="shared" si="8"/>
        <v>4755.0645161290322</v>
      </c>
      <c r="V13" s="203">
        <f t="shared" si="28"/>
        <v>221</v>
      </c>
      <c r="W13" s="203">
        <f t="shared" si="9"/>
        <v>4755.0645161290322</v>
      </c>
      <c r="X13" s="35">
        <f t="shared" si="10"/>
        <v>0.71290322580645138</v>
      </c>
      <c r="Y13" s="36">
        <f t="shared" si="29"/>
        <v>52305.709677419341</v>
      </c>
      <c r="Z13" s="203">
        <f>'B5'!C12</f>
        <v>227</v>
      </c>
      <c r="AA13" s="203">
        <f t="shared" si="30"/>
        <v>2270</v>
      </c>
      <c r="AB13" s="203">
        <f t="shared" si="31"/>
        <v>227</v>
      </c>
      <c r="AC13" s="203">
        <f t="shared" si="30"/>
        <v>2270</v>
      </c>
      <c r="AD13" s="203">
        <f t="shared" si="32"/>
        <v>227</v>
      </c>
      <c r="AE13" s="203">
        <f t="shared" si="11"/>
        <v>2270</v>
      </c>
      <c r="AF13" s="203">
        <f t="shared" si="33"/>
        <v>227</v>
      </c>
      <c r="AG13" s="203">
        <f t="shared" si="12"/>
        <v>2270</v>
      </c>
      <c r="AH13" s="203">
        <f t="shared" si="34"/>
        <v>227</v>
      </c>
      <c r="AI13" s="203">
        <f t="shared" si="13"/>
        <v>2270</v>
      </c>
      <c r="AJ13" s="203">
        <f t="shared" si="35"/>
        <v>227</v>
      </c>
      <c r="AK13" s="203">
        <f t="shared" si="14"/>
        <v>2270</v>
      </c>
      <c r="AL13" s="203">
        <f t="shared" si="36"/>
        <v>227</v>
      </c>
      <c r="AM13" s="203">
        <f t="shared" si="15"/>
        <v>2270</v>
      </c>
      <c r="AN13" s="35">
        <f t="shared" si="16"/>
        <v>0.81071428571428572</v>
      </c>
      <c r="AO13" s="36">
        <f t="shared" si="17"/>
        <v>15890</v>
      </c>
      <c r="AP13" s="566"/>
      <c r="AQ13" s="223">
        <f t="shared" si="37"/>
        <v>0.73352382142002082</v>
      </c>
      <c r="AR13" s="38">
        <f t="shared" si="41"/>
        <v>68195.709677419334</v>
      </c>
      <c r="AS13" s="197">
        <f t="shared" si="38"/>
        <v>0</v>
      </c>
      <c r="AT13" s="271"/>
      <c r="AU13" s="436"/>
      <c r="AV13" s="518">
        <f t="shared" si="42"/>
        <v>0.1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221</v>
      </c>
      <c r="C14" s="203">
        <f t="shared" si="18"/>
        <v>4755.0645161290322</v>
      </c>
      <c r="D14">
        <f t="shared" si="19"/>
        <v>221</v>
      </c>
      <c r="E14" s="203">
        <f t="shared" si="18"/>
        <v>4755.0645161290322</v>
      </c>
      <c r="F14">
        <f t="shared" si="20"/>
        <v>221</v>
      </c>
      <c r="G14" s="203">
        <f t="shared" si="1"/>
        <v>4755.0645161290322</v>
      </c>
      <c r="H14" s="203">
        <f t="shared" si="21"/>
        <v>221</v>
      </c>
      <c r="I14" s="203">
        <f t="shared" si="2"/>
        <v>4755.0645161290322</v>
      </c>
      <c r="J14" s="203">
        <f t="shared" si="22"/>
        <v>221</v>
      </c>
      <c r="K14" s="203">
        <f t="shared" si="3"/>
        <v>4755.0645161290322</v>
      </c>
      <c r="L14" s="203">
        <f t="shared" si="23"/>
        <v>221</v>
      </c>
      <c r="M14" s="203">
        <f t="shared" si="4"/>
        <v>4755.0645161290322</v>
      </c>
      <c r="N14" s="203">
        <f t="shared" si="24"/>
        <v>221</v>
      </c>
      <c r="O14" s="203">
        <f t="shared" si="5"/>
        <v>4755.0645161290322</v>
      </c>
      <c r="P14" s="203">
        <f t="shared" si="25"/>
        <v>221</v>
      </c>
      <c r="Q14" s="203">
        <f t="shared" si="6"/>
        <v>4755.0645161290322</v>
      </c>
      <c r="R14" s="203">
        <f t="shared" si="26"/>
        <v>221</v>
      </c>
      <c r="S14" s="203">
        <f t="shared" si="7"/>
        <v>4755.0645161290322</v>
      </c>
      <c r="T14" s="203">
        <f t="shared" si="27"/>
        <v>221</v>
      </c>
      <c r="U14" s="203">
        <f t="shared" si="8"/>
        <v>4755.0645161290322</v>
      </c>
      <c r="V14" s="203">
        <f t="shared" si="28"/>
        <v>221</v>
      </c>
      <c r="W14" s="203">
        <f t="shared" si="9"/>
        <v>4755.0645161290322</v>
      </c>
      <c r="X14" s="35">
        <f t="shared" si="10"/>
        <v>0.71290322580645138</v>
      </c>
      <c r="Y14" s="36">
        <f t="shared" si="29"/>
        <v>52305.709677419341</v>
      </c>
      <c r="Z14" s="203">
        <f>'B5'!C13</f>
        <v>227</v>
      </c>
      <c r="AA14" s="203">
        <f t="shared" si="30"/>
        <v>2270</v>
      </c>
      <c r="AB14" s="203">
        <f t="shared" si="31"/>
        <v>227</v>
      </c>
      <c r="AC14" s="203">
        <f t="shared" si="30"/>
        <v>2270</v>
      </c>
      <c r="AD14" s="203">
        <f t="shared" si="32"/>
        <v>227</v>
      </c>
      <c r="AE14" s="203">
        <f t="shared" si="11"/>
        <v>2270</v>
      </c>
      <c r="AF14" s="203">
        <f t="shared" si="33"/>
        <v>227</v>
      </c>
      <c r="AG14" s="203">
        <f t="shared" si="12"/>
        <v>2270</v>
      </c>
      <c r="AH14" s="203">
        <f t="shared" si="34"/>
        <v>227</v>
      </c>
      <c r="AI14" s="203">
        <f t="shared" si="13"/>
        <v>2270</v>
      </c>
      <c r="AJ14" s="203">
        <f t="shared" si="35"/>
        <v>227</v>
      </c>
      <c r="AK14" s="203">
        <f t="shared" si="14"/>
        <v>2270</v>
      </c>
      <c r="AL14" s="203">
        <f t="shared" si="36"/>
        <v>227</v>
      </c>
      <c r="AM14" s="203">
        <f t="shared" si="15"/>
        <v>2270</v>
      </c>
      <c r="AN14" s="35">
        <f t="shared" si="16"/>
        <v>0.81071428571428572</v>
      </c>
      <c r="AO14" s="36">
        <f t="shared" si="17"/>
        <v>15890</v>
      </c>
      <c r="AQ14" s="223">
        <f t="shared" si="37"/>
        <v>0.73352382142002082</v>
      </c>
      <c r="AR14" s="38">
        <f t="shared" si="41"/>
        <v>68195.709677419334</v>
      </c>
      <c r="AS14" s="197">
        <f>SUM(AR14-AR13-AT14)</f>
        <v>0</v>
      </c>
      <c r="AT14" s="271"/>
      <c r="AU14" s="478"/>
      <c r="AV14" s="518">
        <f t="shared" si="42"/>
        <v>0.1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221</v>
      </c>
      <c r="C15" s="203">
        <f t="shared" si="18"/>
        <v>4755.0645161290322</v>
      </c>
      <c r="D15">
        <f t="shared" si="19"/>
        <v>221</v>
      </c>
      <c r="E15" s="203">
        <f t="shared" si="18"/>
        <v>4755.0645161290322</v>
      </c>
      <c r="F15">
        <f t="shared" si="20"/>
        <v>221</v>
      </c>
      <c r="G15" s="203">
        <f t="shared" si="1"/>
        <v>4755.0645161290322</v>
      </c>
      <c r="H15" s="203">
        <f t="shared" si="21"/>
        <v>221</v>
      </c>
      <c r="I15" s="203">
        <f t="shared" si="2"/>
        <v>4755.0645161290322</v>
      </c>
      <c r="J15" s="203">
        <f t="shared" si="22"/>
        <v>221</v>
      </c>
      <c r="K15" s="203">
        <f t="shared" si="3"/>
        <v>4755.0645161290322</v>
      </c>
      <c r="L15" s="203">
        <f t="shared" si="23"/>
        <v>221</v>
      </c>
      <c r="M15" s="203">
        <f t="shared" si="4"/>
        <v>4755.0645161290322</v>
      </c>
      <c r="N15" s="203">
        <f t="shared" si="24"/>
        <v>221</v>
      </c>
      <c r="O15" s="203">
        <f t="shared" si="5"/>
        <v>4755.0645161290322</v>
      </c>
      <c r="P15" s="203">
        <f t="shared" si="25"/>
        <v>221</v>
      </c>
      <c r="Q15" s="203">
        <f t="shared" si="6"/>
        <v>4755.0645161290322</v>
      </c>
      <c r="R15" s="203">
        <f t="shared" si="26"/>
        <v>221</v>
      </c>
      <c r="S15" s="203">
        <f t="shared" si="7"/>
        <v>4755.0645161290322</v>
      </c>
      <c r="T15" s="203">
        <f t="shared" si="27"/>
        <v>221</v>
      </c>
      <c r="U15" s="203">
        <f t="shared" si="8"/>
        <v>4755.0645161290322</v>
      </c>
      <c r="V15" s="203">
        <f t="shared" si="28"/>
        <v>221</v>
      </c>
      <c r="W15" s="203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3">
        <f>'B5'!C14</f>
        <v>227</v>
      </c>
      <c r="AA15" s="203">
        <f t="shared" si="30"/>
        <v>2270</v>
      </c>
      <c r="AB15" s="203">
        <f t="shared" si="31"/>
        <v>227</v>
      </c>
      <c r="AC15" s="203">
        <f t="shared" si="30"/>
        <v>2270</v>
      </c>
      <c r="AD15" s="203">
        <f t="shared" si="32"/>
        <v>227</v>
      </c>
      <c r="AE15" s="203">
        <f t="shared" si="11"/>
        <v>2270</v>
      </c>
      <c r="AF15" s="203">
        <f t="shared" si="33"/>
        <v>227</v>
      </c>
      <c r="AG15" s="203">
        <f t="shared" si="12"/>
        <v>2270</v>
      </c>
      <c r="AH15" s="203">
        <f t="shared" si="34"/>
        <v>227</v>
      </c>
      <c r="AI15" s="203">
        <f t="shared" si="13"/>
        <v>2270</v>
      </c>
      <c r="AJ15" s="203">
        <f t="shared" si="35"/>
        <v>227</v>
      </c>
      <c r="AK15" s="203">
        <f t="shared" si="14"/>
        <v>2270</v>
      </c>
      <c r="AL15" s="203">
        <f t="shared" si="36"/>
        <v>227</v>
      </c>
      <c r="AM15" s="203">
        <f t="shared" si="15"/>
        <v>2270</v>
      </c>
      <c r="AN15" s="35">
        <f t="shared" si="16"/>
        <v>0.81071428571428572</v>
      </c>
      <c r="AO15" s="36">
        <f t="shared" si="17"/>
        <v>15890</v>
      </c>
      <c r="AQ15" s="223">
        <f t="shared" si="37"/>
        <v>0.73352382142002082</v>
      </c>
      <c r="AR15" s="38">
        <f t="shared" si="41"/>
        <v>68195.709677419334</v>
      </c>
      <c r="AS15" s="197">
        <f>SUM(AR15-AR14-AT15)</f>
        <v>0</v>
      </c>
      <c r="AT15" s="271"/>
      <c r="AU15" s="436"/>
      <c r="AV15" s="518">
        <f>IF(AT15&gt;0,AU15,AV14)</f>
        <v>0.1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221</v>
      </c>
      <c r="C16" s="203">
        <f t="shared" si="18"/>
        <v>4755.0645161290322</v>
      </c>
      <c r="D16">
        <f t="shared" si="19"/>
        <v>221</v>
      </c>
      <c r="E16" s="203">
        <f t="shared" si="18"/>
        <v>4755.0645161290322</v>
      </c>
      <c r="F16">
        <f t="shared" si="20"/>
        <v>221</v>
      </c>
      <c r="G16" s="203">
        <f t="shared" si="1"/>
        <v>4755.0645161290322</v>
      </c>
      <c r="H16" s="203">
        <f t="shared" si="21"/>
        <v>221</v>
      </c>
      <c r="I16" s="203">
        <f t="shared" si="2"/>
        <v>4755.0645161290322</v>
      </c>
      <c r="J16" s="203">
        <f t="shared" si="22"/>
        <v>221</v>
      </c>
      <c r="K16" s="203">
        <f t="shared" si="3"/>
        <v>4755.0645161290322</v>
      </c>
      <c r="L16" s="203">
        <f t="shared" si="23"/>
        <v>221</v>
      </c>
      <c r="M16" s="203">
        <f t="shared" si="4"/>
        <v>4755.0645161290322</v>
      </c>
      <c r="N16" s="203">
        <f t="shared" si="24"/>
        <v>221</v>
      </c>
      <c r="O16" s="203">
        <f t="shared" si="5"/>
        <v>4755.0645161290322</v>
      </c>
      <c r="P16" s="203">
        <f t="shared" si="25"/>
        <v>221</v>
      </c>
      <c r="Q16" s="203">
        <f t="shared" si="6"/>
        <v>4755.0645161290322</v>
      </c>
      <c r="R16" s="203">
        <f t="shared" si="26"/>
        <v>221</v>
      </c>
      <c r="S16" s="203">
        <f t="shared" si="7"/>
        <v>4755.0645161290322</v>
      </c>
      <c r="T16" s="203">
        <f t="shared" si="27"/>
        <v>221</v>
      </c>
      <c r="U16" s="203">
        <f t="shared" si="8"/>
        <v>4755.0645161290322</v>
      </c>
      <c r="V16" s="203">
        <f t="shared" si="28"/>
        <v>221</v>
      </c>
      <c r="W16" s="203">
        <f t="shared" si="9"/>
        <v>4755.0645161290322</v>
      </c>
      <c r="X16" s="35">
        <f t="shared" si="10"/>
        <v>0.71290322580645138</v>
      </c>
      <c r="Y16" s="36">
        <f t="shared" si="29"/>
        <v>52305.709677419341</v>
      </c>
      <c r="Z16" s="203">
        <f>'B5'!C15</f>
        <v>227</v>
      </c>
      <c r="AA16" s="203">
        <f t="shared" si="30"/>
        <v>2270</v>
      </c>
      <c r="AB16" s="203">
        <f t="shared" si="31"/>
        <v>227</v>
      </c>
      <c r="AC16" s="203">
        <f t="shared" si="30"/>
        <v>2270</v>
      </c>
      <c r="AD16" s="203">
        <f t="shared" si="32"/>
        <v>227</v>
      </c>
      <c r="AE16" s="203">
        <f t="shared" si="11"/>
        <v>2270</v>
      </c>
      <c r="AF16" s="203">
        <f t="shared" si="33"/>
        <v>227</v>
      </c>
      <c r="AG16" s="203">
        <f t="shared" si="12"/>
        <v>2270</v>
      </c>
      <c r="AH16" s="203">
        <f t="shared" si="34"/>
        <v>227</v>
      </c>
      <c r="AI16" s="203">
        <f t="shared" si="13"/>
        <v>2270</v>
      </c>
      <c r="AJ16" s="203">
        <f t="shared" si="35"/>
        <v>227</v>
      </c>
      <c r="AK16" s="203">
        <f t="shared" si="14"/>
        <v>2270</v>
      </c>
      <c r="AL16" s="203">
        <f t="shared" si="36"/>
        <v>227</v>
      </c>
      <c r="AM16" s="203">
        <f t="shared" si="15"/>
        <v>2270</v>
      </c>
      <c r="AN16" s="35">
        <f t="shared" si="16"/>
        <v>0.81071428571428572</v>
      </c>
      <c r="AO16" s="36">
        <f t="shared" si="17"/>
        <v>15890</v>
      </c>
      <c r="AQ16" s="223">
        <f t="shared" si="37"/>
        <v>0.73352382142002082</v>
      </c>
      <c r="AR16" s="38">
        <f t="shared" si="41"/>
        <v>68195.709677419334</v>
      </c>
      <c r="AS16" s="197">
        <f>SUM(AR16-AR15-AT16)</f>
        <v>0</v>
      </c>
      <c r="AT16" s="355"/>
      <c r="AU16" s="436"/>
      <c r="AV16" s="518">
        <f>IF(AT16&gt;0,AU16,AV15)</f>
        <v>0.1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221</v>
      </c>
      <c r="C17" s="203">
        <f t="shared" si="18"/>
        <v>4755.0645161290322</v>
      </c>
      <c r="D17">
        <f t="shared" si="19"/>
        <v>221</v>
      </c>
      <c r="E17" s="203">
        <f t="shared" si="18"/>
        <v>4755.0645161290322</v>
      </c>
      <c r="F17">
        <f t="shared" si="20"/>
        <v>221</v>
      </c>
      <c r="G17" s="203">
        <f t="shared" si="1"/>
        <v>4755.0645161290322</v>
      </c>
      <c r="H17" s="203">
        <f t="shared" si="21"/>
        <v>221</v>
      </c>
      <c r="I17" s="203">
        <f t="shared" si="2"/>
        <v>4755.0645161290322</v>
      </c>
      <c r="J17" s="203">
        <f t="shared" si="22"/>
        <v>221</v>
      </c>
      <c r="K17" s="203">
        <f t="shared" si="3"/>
        <v>4755.0645161290322</v>
      </c>
      <c r="L17" s="203">
        <f t="shared" si="23"/>
        <v>221</v>
      </c>
      <c r="M17" s="203">
        <f t="shared" si="4"/>
        <v>4755.0645161290322</v>
      </c>
      <c r="N17" s="203">
        <f t="shared" si="24"/>
        <v>221</v>
      </c>
      <c r="O17" s="203">
        <f t="shared" si="5"/>
        <v>4755.0645161290322</v>
      </c>
      <c r="P17" s="203">
        <f t="shared" si="25"/>
        <v>221</v>
      </c>
      <c r="Q17" s="203">
        <f t="shared" si="6"/>
        <v>4755.0645161290322</v>
      </c>
      <c r="R17" s="203">
        <f t="shared" si="26"/>
        <v>221</v>
      </c>
      <c r="S17" s="203">
        <f t="shared" si="7"/>
        <v>4755.0645161290322</v>
      </c>
      <c r="T17" s="203">
        <f t="shared" si="27"/>
        <v>221</v>
      </c>
      <c r="U17" s="203">
        <f t="shared" si="8"/>
        <v>4755.0645161290322</v>
      </c>
      <c r="V17" s="203">
        <f t="shared" si="28"/>
        <v>221</v>
      </c>
      <c r="W17" s="203">
        <f t="shared" si="9"/>
        <v>4755.0645161290322</v>
      </c>
      <c r="X17" s="35">
        <f t="shared" si="10"/>
        <v>0.71290322580645138</v>
      </c>
      <c r="Y17" s="36">
        <f t="shared" si="29"/>
        <v>52305.709677419341</v>
      </c>
      <c r="Z17" s="203">
        <f>'B5'!C16</f>
        <v>227</v>
      </c>
      <c r="AA17" s="203">
        <f t="shared" si="30"/>
        <v>2270</v>
      </c>
      <c r="AB17" s="203">
        <f t="shared" si="31"/>
        <v>227</v>
      </c>
      <c r="AC17" s="203">
        <f t="shared" si="30"/>
        <v>2270</v>
      </c>
      <c r="AD17" s="203">
        <f t="shared" si="32"/>
        <v>227</v>
      </c>
      <c r="AE17" s="203">
        <f t="shared" si="11"/>
        <v>2270</v>
      </c>
      <c r="AF17" s="203">
        <f t="shared" si="33"/>
        <v>227</v>
      </c>
      <c r="AG17" s="203">
        <f t="shared" si="12"/>
        <v>2270</v>
      </c>
      <c r="AH17" s="203">
        <f t="shared" si="34"/>
        <v>227</v>
      </c>
      <c r="AI17" s="203">
        <f t="shared" si="13"/>
        <v>2270</v>
      </c>
      <c r="AJ17" s="203">
        <f t="shared" si="35"/>
        <v>227</v>
      </c>
      <c r="AK17" s="203">
        <f t="shared" si="14"/>
        <v>2270</v>
      </c>
      <c r="AL17" s="203">
        <f t="shared" si="36"/>
        <v>227</v>
      </c>
      <c r="AM17" s="203">
        <f t="shared" si="15"/>
        <v>2270</v>
      </c>
      <c r="AN17" s="35">
        <f t="shared" si="16"/>
        <v>0.81071428571428572</v>
      </c>
      <c r="AO17" s="36">
        <f>SUM(AA17+AC17+AE17+AG17+AI17+AK17+AM17)</f>
        <v>15890</v>
      </c>
      <c r="AQ17" s="223">
        <f t="shared" si="37"/>
        <v>0.73352382142002082</v>
      </c>
      <c r="AR17" s="38">
        <f t="shared" si="41"/>
        <v>68195.709677419334</v>
      </c>
      <c r="AS17" s="197">
        <f t="shared" si="38"/>
        <v>0</v>
      </c>
      <c r="AT17" s="355"/>
      <c r="AU17" s="478"/>
      <c r="AV17" s="518">
        <f t="shared" si="42"/>
        <v>0.1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221</v>
      </c>
      <c r="C18" s="203">
        <f t="shared" si="18"/>
        <v>4755.0645161290322</v>
      </c>
      <c r="D18">
        <f t="shared" si="19"/>
        <v>221</v>
      </c>
      <c r="E18" s="203">
        <f t="shared" si="18"/>
        <v>4755.0645161290322</v>
      </c>
      <c r="F18">
        <f t="shared" si="20"/>
        <v>221</v>
      </c>
      <c r="G18" s="203">
        <f t="shared" si="1"/>
        <v>4755.0645161290322</v>
      </c>
      <c r="H18" s="203">
        <f t="shared" si="21"/>
        <v>221</v>
      </c>
      <c r="I18" s="203">
        <f t="shared" si="2"/>
        <v>4755.0645161290322</v>
      </c>
      <c r="J18" s="203">
        <f t="shared" si="22"/>
        <v>221</v>
      </c>
      <c r="K18" s="203">
        <f t="shared" si="3"/>
        <v>4755.0645161290322</v>
      </c>
      <c r="L18" s="203">
        <f t="shared" si="23"/>
        <v>221</v>
      </c>
      <c r="M18" s="203">
        <f t="shared" si="4"/>
        <v>4755.0645161290322</v>
      </c>
      <c r="N18" s="203">
        <f t="shared" si="24"/>
        <v>221</v>
      </c>
      <c r="O18" s="203">
        <f t="shared" si="5"/>
        <v>4755.0645161290322</v>
      </c>
      <c r="P18" s="203">
        <f t="shared" si="25"/>
        <v>221</v>
      </c>
      <c r="Q18" s="203">
        <f t="shared" si="6"/>
        <v>4755.0645161290322</v>
      </c>
      <c r="R18" s="203">
        <f t="shared" si="26"/>
        <v>221</v>
      </c>
      <c r="S18" s="203">
        <f t="shared" si="7"/>
        <v>4755.0645161290322</v>
      </c>
      <c r="T18" s="203">
        <f t="shared" si="27"/>
        <v>221</v>
      </c>
      <c r="U18" s="203">
        <f t="shared" si="8"/>
        <v>4755.0645161290322</v>
      </c>
      <c r="V18" s="203">
        <f t="shared" si="28"/>
        <v>221</v>
      </c>
      <c r="W18" s="203">
        <f t="shared" si="9"/>
        <v>4755.0645161290322</v>
      </c>
      <c r="X18" s="35">
        <f t="shared" si="10"/>
        <v>0.71290322580645138</v>
      </c>
      <c r="Y18" s="36">
        <f t="shared" si="29"/>
        <v>52305.709677419341</v>
      </c>
      <c r="Z18" s="203">
        <f>'B5'!C17</f>
        <v>227</v>
      </c>
      <c r="AA18" s="203">
        <f t="shared" si="30"/>
        <v>2270</v>
      </c>
      <c r="AB18" s="203">
        <f t="shared" si="31"/>
        <v>227</v>
      </c>
      <c r="AC18" s="203">
        <f t="shared" si="30"/>
        <v>2270</v>
      </c>
      <c r="AD18" s="203">
        <f t="shared" si="32"/>
        <v>227</v>
      </c>
      <c r="AE18" s="203">
        <f t="shared" si="11"/>
        <v>2270</v>
      </c>
      <c r="AF18" s="203">
        <f t="shared" si="33"/>
        <v>227</v>
      </c>
      <c r="AG18" s="203">
        <f t="shared" si="12"/>
        <v>2270</v>
      </c>
      <c r="AH18" s="203">
        <f t="shared" si="34"/>
        <v>227</v>
      </c>
      <c r="AI18" s="203">
        <f t="shared" si="13"/>
        <v>2270</v>
      </c>
      <c r="AJ18" s="203">
        <f t="shared" si="35"/>
        <v>227</v>
      </c>
      <c r="AK18" s="203">
        <f t="shared" si="14"/>
        <v>2270</v>
      </c>
      <c r="AL18" s="203">
        <f t="shared" si="36"/>
        <v>227</v>
      </c>
      <c r="AM18" s="203">
        <f t="shared" si="15"/>
        <v>2270</v>
      </c>
      <c r="AN18" s="35">
        <f t="shared" si="16"/>
        <v>0.81071428571428572</v>
      </c>
      <c r="AO18" s="36">
        <f t="shared" si="17"/>
        <v>15890</v>
      </c>
      <c r="AQ18" s="223">
        <f t="shared" si="37"/>
        <v>0.73352382142002082</v>
      </c>
      <c r="AR18" s="38">
        <f t="shared" si="41"/>
        <v>68195.709677419334</v>
      </c>
      <c r="AS18" s="197">
        <f t="shared" si="38"/>
        <v>0</v>
      </c>
      <c r="AT18" s="271"/>
      <c r="AU18" s="436"/>
      <c r="AV18" s="518">
        <f>IF(AT18&gt;0,AU18,AV17)</f>
        <v>0.1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221</v>
      </c>
      <c r="C19" s="203">
        <f t="shared" si="18"/>
        <v>4755.0645161290322</v>
      </c>
      <c r="D19">
        <f t="shared" si="19"/>
        <v>221</v>
      </c>
      <c r="E19" s="203">
        <f t="shared" si="18"/>
        <v>4755.0645161290322</v>
      </c>
      <c r="F19">
        <f t="shared" si="20"/>
        <v>221</v>
      </c>
      <c r="G19" s="203">
        <f t="shared" si="1"/>
        <v>4755.0645161290322</v>
      </c>
      <c r="H19" s="203">
        <f t="shared" si="21"/>
        <v>221</v>
      </c>
      <c r="I19" s="203">
        <f t="shared" si="2"/>
        <v>4755.0645161290322</v>
      </c>
      <c r="J19" s="203">
        <f t="shared" si="22"/>
        <v>221</v>
      </c>
      <c r="K19" s="203">
        <f t="shared" si="3"/>
        <v>4755.0645161290322</v>
      </c>
      <c r="L19" s="203">
        <f t="shared" si="23"/>
        <v>221</v>
      </c>
      <c r="M19" s="203">
        <f t="shared" si="4"/>
        <v>4755.0645161290322</v>
      </c>
      <c r="N19" s="203">
        <f t="shared" si="24"/>
        <v>221</v>
      </c>
      <c r="O19" s="203">
        <f t="shared" si="5"/>
        <v>4755.0645161290322</v>
      </c>
      <c r="P19" s="203">
        <f t="shared" si="25"/>
        <v>221</v>
      </c>
      <c r="Q19" s="203">
        <f t="shared" si="6"/>
        <v>4755.0645161290322</v>
      </c>
      <c r="R19" s="203">
        <f t="shared" si="26"/>
        <v>221</v>
      </c>
      <c r="S19" s="203">
        <f t="shared" si="7"/>
        <v>4755.0645161290322</v>
      </c>
      <c r="T19" s="203">
        <f t="shared" si="27"/>
        <v>221</v>
      </c>
      <c r="U19" s="203">
        <f t="shared" si="8"/>
        <v>4755.0645161290322</v>
      </c>
      <c r="V19" s="203">
        <f t="shared" si="28"/>
        <v>221</v>
      </c>
      <c r="W19" s="203">
        <f t="shared" si="9"/>
        <v>4755.0645161290322</v>
      </c>
      <c r="X19" s="35">
        <f t="shared" si="10"/>
        <v>0.71290322580645138</v>
      </c>
      <c r="Y19" s="36">
        <f t="shared" si="29"/>
        <v>52305.709677419341</v>
      </c>
      <c r="Z19" s="203">
        <f>'B5'!C18</f>
        <v>227</v>
      </c>
      <c r="AA19" s="203">
        <f t="shared" si="30"/>
        <v>2270</v>
      </c>
      <c r="AB19" s="203">
        <f t="shared" si="31"/>
        <v>227</v>
      </c>
      <c r="AC19" s="203">
        <f t="shared" si="30"/>
        <v>2270</v>
      </c>
      <c r="AD19" s="203">
        <f t="shared" si="32"/>
        <v>227</v>
      </c>
      <c r="AE19" s="203">
        <f t="shared" si="11"/>
        <v>2270</v>
      </c>
      <c r="AF19" s="203">
        <f t="shared" si="33"/>
        <v>227</v>
      </c>
      <c r="AG19" s="203">
        <f t="shared" si="12"/>
        <v>2270</v>
      </c>
      <c r="AH19" s="203">
        <f t="shared" si="34"/>
        <v>227</v>
      </c>
      <c r="AI19" s="203">
        <f t="shared" si="13"/>
        <v>2270</v>
      </c>
      <c r="AJ19" s="203">
        <f t="shared" si="35"/>
        <v>227</v>
      </c>
      <c r="AK19" s="203">
        <f t="shared" si="14"/>
        <v>2270</v>
      </c>
      <c r="AL19" s="203">
        <f t="shared" si="36"/>
        <v>227</v>
      </c>
      <c r="AM19" s="203">
        <f t="shared" si="15"/>
        <v>2270</v>
      </c>
      <c r="AN19" s="35">
        <f t="shared" si="16"/>
        <v>0.81071428571428572</v>
      </c>
      <c r="AO19" s="36">
        <f t="shared" si="17"/>
        <v>15890</v>
      </c>
      <c r="AQ19" s="223">
        <f t="shared" si="37"/>
        <v>0.73352382142002082</v>
      </c>
      <c r="AR19" s="38">
        <f t="shared" si="41"/>
        <v>68195.709677419334</v>
      </c>
      <c r="AS19" s="197">
        <f t="shared" si="38"/>
        <v>0</v>
      </c>
      <c r="AT19" s="271"/>
      <c r="AU19" s="436"/>
      <c r="AV19" s="518">
        <f t="shared" si="42"/>
        <v>0.1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221</v>
      </c>
      <c r="C20" s="203">
        <f t="shared" si="18"/>
        <v>4755.0645161290322</v>
      </c>
      <c r="D20">
        <f t="shared" si="19"/>
        <v>221</v>
      </c>
      <c r="E20" s="203">
        <f t="shared" si="18"/>
        <v>4755.0645161290322</v>
      </c>
      <c r="F20">
        <f t="shared" si="20"/>
        <v>221</v>
      </c>
      <c r="G20" s="203">
        <f t="shared" si="1"/>
        <v>4755.0645161290322</v>
      </c>
      <c r="H20" s="203">
        <f t="shared" si="21"/>
        <v>221</v>
      </c>
      <c r="I20" s="203">
        <f t="shared" si="2"/>
        <v>4755.0645161290322</v>
      </c>
      <c r="J20" s="203">
        <f t="shared" si="22"/>
        <v>221</v>
      </c>
      <c r="K20" s="203">
        <f t="shared" si="3"/>
        <v>4755.0645161290322</v>
      </c>
      <c r="L20" s="203">
        <f t="shared" si="23"/>
        <v>221</v>
      </c>
      <c r="M20" s="203">
        <f t="shared" si="4"/>
        <v>4755.0645161290322</v>
      </c>
      <c r="N20" s="203">
        <f t="shared" si="24"/>
        <v>221</v>
      </c>
      <c r="O20" s="203">
        <f t="shared" si="5"/>
        <v>4755.0645161290322</v>
      </c>
      <c r="P20" s="203">
        <f t="shared" si="25"/>
        <v>221</v>
      </c>
      <c r="Q20" s="203">
        <f t="shared" si="6"/>
        <v>4755.0645161290322</v>
      </c>
      <c r="R20" s="203">
        <f t="shared" si="26"/>
        <v>221</v>
      </c>
      <c r="S20" s="203">
        <f t="shared" si="7"/>
        <v>4755.0645161290322</v>
      </c>
      <c r="T20" s="203">
        <f t="shared" si="27"/>
        <v>221</v>
      </c>
      <c r="U20" s="203">
        <f t="shared" si="8"/>
        <v>4755.0645161290322</v>
      </c>
      <c r="V20" s="203">
        <f t="shared" si="28"/>
        <v>221</v>
      </c>
      <c r="W20" s="203">
        <f t="shared" si="9"/>
        <v>4755.0645161290322</v>
      </c>
      <c r="X20" s="35">
        <f t="shared" si="10"/>
        <v>0.71290322580645138</v>
      </c>
      <c r="Y20" s="36">
        <f t="shared" si="29"/>
        <v>52305.709677419341</v>
      </c>
      <c r="Z20" s="203">
        <f>'B5'!C19</f>
        <v>227</v>
      </c>
      <c r="AA20" s="203">
        <f t="shared" si="30"/>
        <v>2270</v>
      </c>
      <c r="AB20" s="203">
        <f t="shared" si="31"/>
        <v>227</v>
      </c>
      <c r="AC20" s="203">
        <f t="shared" si="30"/>
        <v>2270</v>
      </c>
      <c r="AD20" s="203">
        <f t="shared" si="32"/>
        <v>227</v>
      </c>
      <c r="AE20" s="203">
        <f t="shared" si="11"/>
        <v>2270</v>
      </c>
      <c r="AF20" s="203">
        <f t="shared" si="33"/>
        <v>227</v>
      </c>
      <c r="AG20" s="203">
        <f t="shared" si="12"/>
        <v>2270</v>
      </c>
      <c r="AH20" s="203">
        <f t="shared" si="34"/>
        <v>227</v>
      </c>
      <c r="AI20" s="203">
        <f t="shared" si="13"/>
        <v>2270</v>
      </c>
      <c r="AJ20" s="203">
        <f t="shared" si="35"/>
        <v>227</v>
      </c>
      <c r="AK20" s="203">
        <f t="shared" si="14"/>
        <v>2270</v>
      </c>
      <c r="AL20" s="203">
        <f t="shared" si="36"/>
        <v>227</v>
      </c>
      <c r="AM20" s="203">
        <f t="shared" si="15"/>
        <v>2270</v>
      </c>
      <c r="AN20" s="35">
        <f t="shared" si="16"/>
        <v>0.81071428571428572</v>
      </c>
      <c r="AO20" s="36">
        <f t="shared" si="17"/>
        <v>15890</v>
      </c>
      <c r="AQ20" s="223">
        <f t="shared" si="37"/>
        <v>0.73352382142002082</v>
      </c>
      <c r="AR20" s="38">
        <f t="shared" si="41"/>
        <v>68195.709677419334</v>
      </c>
      <c r="AS20" s="197">
        <f t="shared" si="38"/>
        <v>0</v>
      </c>
      <c r="AT20" s="271"/>
      <c r="AU20" s="436"/>
      <c r="AV20" s="518">
        <f t="shared" si="42"/>
        <v>0.1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221</v>
      </c>
      <c r="C21" s="203">
        <f t="shared" si="18"/>
        <v>4755.0645161290322</v>
      </c>
      <c r="D21">
        <f t="shared" si="19"/>
        <v>221</v>
      </c>
      <c r="E21" s="203">
        <f t="shared" si="18"/>
        <v>4755.0645161290322</v>
      </c>
      <c r="F21">
        <f t="shared" si="20"/>
        <v>221</v>
      </c>
      <c r="G21" s="203">
        <f t="shared" si="1"/>
        <v>4755.0645161290322</v>
      </c>
      <c r="H21" s="203">
        <f t="shared" si="21"/>
        <v>221</v>
      </c>
      <c r="I21" s="203">
        <f t="shared" si="2"/>
        <v>4755.0645161290322</v>
      </c>
      <c r="J21" s="203">
        <f t="shared" si="22"/>
        <v>221</v>
      </c>
      <c r="K21" s="203">
        <f t="shared" si="3"/>
        <v>4755.0645161290322</v>
      </c>
      <c r="L21" s="203">
        <f t="shared" si="23"/>
        <v>221</v>
      </c>
      <c r="M21" s="203">
        <f t="shared" si="4"/>
        <v>4755.0645161290322</v>
      </c>
      <c r="N21" s="203">
        <f t="shared" si="24"/>
        <v>221</v>
      </c>
      <c r="O21" s="203">
        <f t="shared" si="5"/>
        <v>4755.0645161290322</v>
      </c>
      <c r="P21" s="203">
        <f t="shared" si="25"/>
        <v>221</v>
      </c>
      <c r="Q21" s="203">
        <f t="shared" si="6"/>
        <v>4755.0645161290322</v>
      </c>
      <c r="R21" s="203">
        <f t="shared" si="26"/>
        <v>221</v>
      </c>
      <c r="S21" s="203">
        <f t="shared" si="7"/>
        <v>4755.0645161290322</v>
      </c>
      <c r="T21" s="203">
        <f t="shared" si="27"/>
        <v>221</v>
      </c>
      <c r="U21" s="203">
        <f t="shared" si="8"/>
        <v>4755.0645161290322</v>
      </c>
      <c r="V21" s="203">
        <f t="shared" si="28"/>
        <v>221</v>
      </c>
      <c r="W21" s="203">
        <f t="shared" si="9"/>
        <v>4755.0645161290322</v>
      </c>
      <c r="X21" s="35">
        <f t="shared" si="10"/>
        <v>0.71290322580645138</v>
      </c>
      <c r="Y21" s="36">
        <f t="shared" si="29"/>
        <v>52305.709677419341</v>
      </c>
      <c r="Z21" s="203">
        <f>'B5'!C20</f>
        <v>227</v>
      </c>
      <c r="AA21" s="203">
        <f t="shared" si="30"/>
        <v>2270</v>
      </c>
      <c r="AB21" s="203">
        <f t="shared" si="31"/>
        <v>227</v>
      </c>
      <c r="AC21" s="203">
        <f t="shared" si="30"/>
        <v>2270</v>
      </c>
      <c r="AD21" s="203">
        <f t="shared" si="32"/>
        <v>227</v>
      </c>
      <c r="AE21" s="203">
        <f t="shared" si="11"/>
        <v>2270</v>
      </c>
      <c r="AF21" s="203">
        <f t="shared" si="33"/>
        <v>227</v>
      </c>
      <c r="AG21" s="203">
        <f t="shared" si="12"/>
        <v>2270</v>
      </c>
      <c r="AH21" s="203">
        <f t="shared" si="34"/>
        <v>227</v>
      </c>
      <c r="AI21" s="203">
        <f t="shared" si="13"/>
        <v>2270</v>
      </c>
      <c r="AJ21" s="203">
        <f t="shared" si="35"/>
        <v>227</v>
      </c>
      <c r="AK21" s="203">
        <f t="shared" si="14"/>
        <v>2270</v>
      </c>
      <c r="AL21" s="203">
        <f t="shared" si="36"/>
        <v>227</v>
      </c>
      <c r="AM21" s="203">
        <f t="shared" si="15"/>
        <v>2270</v>
      </c>
      <c r="AN21" s="35">
        <f t="shared" si="16"/>
        <v>0.81071428571428572</v>
      </c>
      <c r="AO21" s="36">
        <f t="shared" si="17"/>
        <v>15890</v>
      </c>
      <c r="AQ21" s="223">
        <f t="shared" si="37"/>
        <v>0.73352382142002082</v>
      </c>
      <c r="AR21" s="38">
        <f t="shared" si="41"/>
        <v>68195.709677419334</v>
      </c>
      <c r="AS21" s="197">
        <f t="shared" si="38"/>
        <v>0</v>
      </c>
      <c r="AT21" s="271"/>
      <c r="AU21" s="436"/>
      <c r="AV21" s="518">
        <f t="shared" si="42"/>
        <v>0.1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221</v>
      </c>
      <c r="C22" s="203">
        <f t="shared" si="18"/>
        <v>4755.0645161290322</v>
      </c>
      <c r="D22">
        <f t="shared" si="19"/>
        <v>221</v>
      </c>
      <c r="E22" s="203">
        <f t="shared" si="18"/>
        <v>4755.0645161290322</v>
      </c>
      <c r="F22">
        <f t="shared" si="20"/>
        <v>221</v>
      </c>
      <c r="G22" s="203">
        <f t="shared" si="1"/>
        <v>4755.0645161290322</v>
      </c>
      <c r="H22" s="203">
        <f t="shared" si="21"/>
        <v>221</v>
      </c>
      <c r="I22" s="203">
        <f t="shared" si="2"/>
        <v>4755.0645161290322</v>
      </c>
      <c r="J22" s="203">
        <f t="shared" si="22"/>
        <v>221</v>
      </c>
      <c r="K22" s="203">
        <f t="shared" si="3"/>
        <v>4755.0645161290322</v>
      </c>
      <c r="L22" s="203">
        <f t="shared" si="23"/>
        <v>221</v>
      </c>
      <c r="M22" s="203">
        <f t="shared" si="4"/>
        <v>4755.0645161290322</v>
      </c>
      <c r="N22" s="203">
        <f t="shared" si="24"/>
        <v>221</v>
      </c>
      <c r="O22" s="203">
        <f t="shared" si="5"/>
        <v>4755.0645161290322</v>
      </c>
      <c r="P22" s="203">
        <f t="shared" si="25"/>
        <v>221</v>
      </c>
      <c r="Q22" s="203">
        <f t="shared" si="6"/>
        <v>4755.0645161290322</v>
      </c>
      <c r="R22" s="203">
        <f t="shared" si="26"/>
        <v>221</v>
      </c>
      <c r="S22" s="203">
        <f t="shared" si="7"/>
        <v>4755.0645161290322</v>
      </c>
      <c r="T22" s="203">
        <f t="shared" si="27"/>
        <v>221</v>
      </c>
      <c r="U22" s="203">
        <f t="shared" si="8"/>
        <v>4755.0645161290322</v>
      </c>
      <c r="V22" s="203">
        <f t="shared" si="28"/>
        <v>221</v>
      </c>
      <c r="W22" s="203">
        <f t="shared" si="9"/>
        <v>4755.0645161290322</v>
      </c>
      <c r="X22" s="35">
        <f t="shared" si="10"/>
        <v>0.71290322580645138</v>
      </c>
      <c r="Y22" s="36">
        <f t="shared" si="29"/>
        <v>52305.709677419341</v>
      </c>
      <c r="Z22" s="203">
        <f>'B5'!C21</f>
        <v>227</v>
      </c>
      <c r="AA22" s="203">
        <f t="shared" si="30"/>
        <v>2270</v>
      </c>
      <c r="AB22" s="203">
        <f t="shared" si="31"/>
        <v>227</v>
      </c>
      <c r="AC22" s="203">
        <f t="shared" si="30"/>
        <v>2270</v>
      </c>
      <c r="AD22" s="203">
        <f t="shared" si="32"/>
        <v>227</v>
      </c>
      <c r="AE22" s="203">
        <f t="shared" si="11"/>
        <v>2270</v>
      </c>
      <c r="AF22" s="203">
        <f t="shared" si="33"/>
        <v>227</v>
      </c>
      <c r="AG22" s="203">
        <f t="shared" si="12"/>
        <v>2270</v>
      </c>
      <c r="AH22" s="203">
        <f t="shared" si="34"/>
        <v>227</v>
      </c>
      <c r="AI22" s="203">
        <f t="shared" si="13"/>
        <v>2270</v>
      </c>
      <c r="AJ22" s="203">
        <f t="shared" si="35"/>
        <v>227</v>
      </c>
      <c r="AK22" s="203">
        <f t="shared" si="14"/>
        <v>2270</v>
      </c>
      <c r="AL22" s="203">
        <f t="shared" si="36"/>
        <v>227</v>
      </c>
      <c r="AM22" s="203">
        <f t="shared" si="15"/>
        <v>2270</v>
      </c>
      <c r="AN22" s="35">
        <f t="shared" si="16"/>
        <v>0.81071428571428572</v>
      </c>
      <c r="AO22" s="36">
        <f t="shared" si="17"/>
        <v>15890</v>
      </c>
      <c r="AQ22" s="223">
        <f t="shared" si="37"/>
        <v>0.73352382142002082</v>
      </c>
      <c r="AR22" s="38">
        <f t="shared" si="41"/>
        <v>68195.709677419334</v>
      </c>
      <c r="AS22" s="197">
        <f t="shared" si="38"/>
        <v>0</v>
      </c>
      <c r="AT22" s="271"/>
      <c r="AU22" s="436"/>
      <c r="AV22" s="518">
        <f t="shared" si="42"/>
        <v>0.1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221</v>
      </c>
      <c r="C23" s="203">
        <f t="shared" si="18"/>
        <v>4755.0645161290322</v>
      </c>
      <c r="D23">
        <f t="shared" si="19"/>
        <v>221</v>
      </c>
      <c r="E23" s="203">
        <f t="shared" si="18"/>
        <v>4755.0645161290322</v>
      </c>
      <c r="F23">
        <f t="shared" si="20"/>
        <v>221</v>
      </c>
      <c r="G23" s="203">
        <f t="shared" si="1"/>
        <v>4755.0645161290322</v>
      </c>
      <c r="H23" s="203">
        <f t="shared" si="21"/>
        <v>221</v>
      </c>
      <c r="I23" s="203">
        <f t="shared" si="2"/>
        <v>4755.0645161290322</v>
      </c>
      <c r="J23" s="203">
        <f t="shared" si="22"/>
        <v>221</v>
      </c>
      <c r="K23" s="203">
        <f t="shared" si="3"/>
        <v>4755.0645161290322</v>
      </c>
      <c r="L23" s="203">
        <f t="shared" si="23"/>
        <v>221</v>
      </c>
      <c r="M23" s="203">
        <f t="shared" si="4"/>
        <v>4755.0645161290322</v>
      </c>
      <c r="N23" s="203">
        <f t="shared" si="24"/>
        <v>221</v>
      </c>
      <c r="O23" s="203">
        <f t="shared" si="5"/>
        <v>4755.0645161290322</v>
      </c>
      <c r="P23" s="203">
        <f t="shared" si="25"/>
        <v>221</v>
      </c>
      <c r="Q23" s="203">
        <f t="shared" si="6"/>
        <v>4755.0645161290322</v>
      </c>
      <c r="R23" s="203">
        <f t="shared" si="26"/>
        <v>221</v>
      </c>
      <c r="S23" s="203">
        <f t="shared" si="7"/>
        <v>4755.0645161290322</v>
      </c>
      <c r="T23" s="203">
        <f t="shared" si="27"/>
        <v>221</v>
      </c>
      <c r="U23" s="203">
        <f t="shared" si="8"/>
        <v>4755.0645161290322</v>
      </c>
      <c r="V23" s="203">
        <f t="shared" si="28"/>
        <v>221</v>
      </c>
      <c r="W23" s="203">
        <f t="shared" si="9"/>
        <v>4755.0645161290322</v>
      </c>
      <c r="X23" s="35">
        <f t="shared" si="10"/>
        <v>0.71290322580645138</v>
      </c>
      <c r="Y23" s="36">
        <f t="shared" si="29"/>
        <v>52305.709677419341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17"/>
        <v>15890</v>
      </c>
      <c r="AQ23" s="223">
        <f t="shared" si="37"/>
        <v>0.73352382142002082</v>
      </c>
      <c r="AR23" s="38">
        <f t="shared" si="41"/>
        <v>68195.709677419334</v>
      </c>
      <c r="AS23" s="197">
        <f t="shared" si="38"/>
        <v>0</v>
      </c>
      <c r="AT23" s="271"/>
      <c r="AU23" s="436"/>
      <c r="AV23" s="518">
        <f t="shared" si="42"/>
        <v>0.1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221</v>
      </c>
      <c r="C24" s="203">
        <f t="shared" si="18"/>
        <v>4755.0645161290322</v>
      </c>
      <c r="D24">
        <f t="shared" si="19"/>
        <v>221</v>
      </c>
      <c r="E24" s="203">
        <f t="shared" si="18"/>
        <v>4755.0645161290322</v>
      </c>
      <c r="F24">
        <f t="shared" si="20"/>
        <v>221</v>
      </c>
      <c r="G24" s="203">
        <f t="shared" si="1"/>
        <v>4755.0645161290322</v>
      </c>
      <c r="H24" s="203">
        <f t="shared" si="21"/>
        <v>221</v>
      </c>
      <c r="I24" s="203">
        <f t="shared" si="2"/>
        <v>4755.0645161290322</v>
      </c>
      <c r="J24" s="203">
        <f t="shared" si="22"/>
        <v>221</v>
      </c>
      <c r="K24" s="203">
        <f t="shared" si="3"/>
        <v>4755.0645161290322</v>
      </c>
      <c r="L24" s="203">
        <f t="shared" si="23"/>
        <v>221</v>
      </c>
      <c r="M24" s="203">
        <f t="shared" si="4"/>
        <v>4755.0645161290322</v>
      </c>
      <c r="N24" s="203">
        <f t="shared" si="24"/>
        <v>221</v>
      </c>
      <c r="O24" s="203">
        <f t="shared" si="5"/>
        <v>4755.0645161290322</v>
      </c>
      <c r="P24" s="203">
        <f t="shared" si="25"/>
        <v>221</v>
      </c>
      <c r="Q24" s="203">
        <f t="shared" si="6"/>
        <v>4755.0645161290322</v>
      </c>
      <c r="R24" s="203">
        <f t="shared" si="26"/>
        <v>221</v>
      </c>
      <c r="S24" s="203">
        <f t="shared" si="7"/>
        <v>4755.0645161290322</v>
      </c>
      <c r="T24" s="203">
        <f t="shared" si="27"/>
        <v>221</v>
      </c>
      <c r="U24" s="203">
        <f t="shared" si="8"/>
        <v>4755.0645161290322</v>
      </c>
      <c r="V24" s="203">
        <f t="shared" si="28"/>
        <v>221</v>
      </c>
      <c r="W24" s="203">
        <f t="shared" si="9"/>
        <v>4755.0645161290322</v>
      </c>
      <c r="X24" s="35">
        <f t="shared" si="10"/>
        <v>0.71290322580645138</v>
      </c>
      <c r="Y24" s="36">
        <f t="shared" si="29"/>
        <v>52305.709677419341</v>
      </c>
      <c r="Z24" s="203">
        <f>'B5'!C23</f>
        <v>227</v>
      </c>
      <c r="AA24" s="203">
        <f t="shared" si="30"/>
        <v>2270</v>
      </c>
      <c r="AB24" s="203">
        <f t="shared" si="31"/>
        <v>227</v>
      </c>
      <c r="AC24" s="203">
        <f t="shared" si="30"/>
        <v>2270</v>
      </c>
      <c r="AD24" s="203">
        <f t="shared" si="32"/>
        <v>227</v>
      </c>
      <c r="AE24" s="203">
        <f t="shared" si="11"/>
        <v>2270</v>
      </c>
      <c r="AF24" s="203">
        <f t="shared" si="33"/>
        <v>227</v>
      </c>
      <c r="AG24" s="203">
        <f t="shared" si="12"/>
        <v>2270</v>
      </c>
      <c r="AH24" s="203">
        <f t="shared" si="34"/>
        <v>227</v>
      </c>
      <c r="AI24" s="203">
        <f t="shared" si="13"/>
        <v>2270</v>
      </c>
      <c r="AJ24" s="203">
        <f t="shared" si="35"/>
        <v>227</v>
      </c>
      <c r="AK24" s="203">
        <f t="shared" si="14"/>
        <v>2270</v>
      </c>
      <c r="AL24" s="203">
        <f t="shared" si="36"/>
        <v>227</v>
      </c>
      <c r="AM24" s="203">
        <f t="shared" si="15"/>
        <v>2270</v>
      </c>
      <c r="AN24" s="35">
        <f t="shared" si="16"/>
        <v>0.81071428571428572</v>
      </c>
      <c r="AO24" s="36">
        <f t="shared" si="17"/>
        <v>15890</v>
      </c>
      <c r="AQ24" s="223">
        <f t="shared" si="37"/>
        <v>0.73352382142002082</v>
      </c>
      <c r="AR24" s="38">
        <f t="shared" si="41"/>
        <v>68195.709677419334</v>
      </c>
      <c r="AS24" s="197">
        <f t="shared" si="38"/>
        <v>0</v>
      </c>
      <c r="AT24" s="271"/>
      <c r="AU24" s="436"/>
      <c r="AV24" s="518">
        <f t="shared" si="42"/>
        <v>0.1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221</v>
      </c>
      <c r="C25" s="203">
        <f t="shared" si="18"/>
        <v>4755.0645161290322</v>
      </c>
      <c r="D25">
        <f t="shared" si="19"/>
        <v>221</v>
      </c>
      <c r="E25" s="203">
        <f t="shared" si="18"/>
        <v>4755.0645161290322</v>
      </c>
      <c r="F25">
        <f t="shared" si="20"/>
        <v>221</v>
      </c>
      <c r="G25" s="203">
        <f t="shared" si="1"/>
        <v>4755.0645161290322</v>
      </c>
      <c r="H25" s="203">
        <f t="shared" si="21"/>
        <v>221</v>
      </c>
      <c r="I25" s="203">
        <f t="shared" si="2"/>
        <v>4755.0645161290322</v>
      </c>
      <c r="J25" s="203">
        <f t="shared" si="22"/>
        <v>221</v>
      </c>
      <c r="K25" s="203">
        <f t="shared" si="3"/>
        <v>4755.0645161290322</v>
      </c>
      <c r="L25" s="203">
        <f t="shared" si="23"/>
        <v>221</v>
      </c>
      <c r="M25" s="203">
        <f t="shared" si="4"/>
        <v>4755.0645161290322</v>
      </c>
      <c r="N25" s="203">
        <f t="shared" si="24"/>
        <v>221</v>
      </c>
      <c r="O25" s="203">
        <f t="shared" si="5"/>
        <v>4755.0645161290322</v>
      </c>
      <c r="P25" s="203">
        <f t="shared" si="25"/>
        <v>221</v>
      </c>
      <c r="Q25" s="203">
        <f t="shared" si="6"/>
        <v>4755.0645161290322</v>
      </c>
      <c r="R25" s="203">
        <f t="shared" si="26"/>
        <v>221</v>
      </c>
      <c r="S25" s="203">
        <f t="shared" si="7"/>
        <v>4755.0645161290322</v>
      </c>
      <c r="T25" s="203">
        <f t="shared" si="27"/>
        <v>221</v>
      </c>
      <c r="U25" s="203">
        <f t="shared" si="8"/>
        <v>4755.0645161290322</v>
      </c>
      <c r="V25" s="203">
        <f t="shared" si="28"/>
        <v>221</v>
      </c>
      <c r="W25" s="203">
        <f t="shared" si="9"/>
        <v>4755.0645161290322</v>
      </c>
      <c r="X25" s="35">
        <f t="shared" si="10"/>
        <v>0.71290322580645138</v>
      </c>
      <c r="Y25" s="36">
        <f t="shared" si="29"/>
        <v>52305.709677419341</v>
      </c>
      <c r="Z25" s="203">
        <f>'B5'!C24</f>
        <v>227</v>
      </c>
      <c r="AA25" s="203">
        <f t="shared" si="30"/>
        <v>2270</v>
      </c>
      <c r="AB25" s="203">
        <f t="shared" si="31"/>
        <v>227</v>
      </c>
      <c r="AC25" s="203">
        <f t="shared" si="30"/>
        <v>2270</v>
      </c>
      <c r="AD25" s="203">
        <f t="shared" si="32"/>
        <v>227</v>
      </c>
      <c r="AE25" s="203">
        <f t="shared" si="11"/>
        <v>2270</v>
      </c>
      <c r="AF25" s="203">
        <f t="shared" si="33"/>
        <v>227</v>
      </c>
      <c r="AG25" s="203">
        <f t="shared" si="12"/>
        <v>2270</v>
      </c>
      <c r="AH25" s="203">
        <f t="shared" si="34"/>
        <v>227</v>
      </c>
      <c r="AI25" s="203">
        <f t="shared" si="13"/>
        <v>2270</v>
      </c>
      <c r="AJ25" s="203">
        <f t="shared" si="35"/>
        <v>227</v>
      </c>
      <c r="AK25" s="203">
        <f t="shared" si="14"/>
        <v>2270</v>
      </c>
      <c r="AL25" s="203">
        <f t="shared" si="36"/>
        <v>227</v>
      </c>
      <c r="AM25" s="203">
        <f t="shared" si="15"/>
        <v>2270</v>
      </c>
      <c r="AN25" s="35">
        <f t="shared" si="16"/>
        <v>0.81071428571428572</v>
      </c>
      <c r="AO25" s="36">
        <f t="shared" si="17"/>
        <v>15890</v>
      </c>
      <c r="AQ25" s="223">
        <f t="shared" si="37"/>
        <v>0.73352382142002082</v>
      </c>
      <c r="AR25" s="38">
        <f t="shared" si="41"/>
        <v>68195.709677419334</v>
      </c>
      <c r="AS25" s="197">
        <f t="shared" si="38"/>
        <v>0</v>
      </c>
      <c r="AT25" s="271"/>
      <c r="AU25" s="436"/>
      <c r="AV25" s="518">
        <f t="shared" si="42"/>
        <v>0.1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221</v>
      </c>
      <c r="C26" s="203">
        <f t="shared" si="18"/>
        <v>4755.0645161290322</v>
      </c>
      <c r="D26">
        <f t="shared" si="19"/>
        <v>221</v>
      </c>
      <c r="E26" s="203">
        <f t="shared" si="18"/>
        <v>4755.0645161290322</v>
      </c>
      <c r="F26">
        <f t="shared" si="20"/>
        <v>221</v>
      </c>
      <c r="G26" s="203">
        <f t="shared" si="1"/>
        <v>4755.0645161290322</v>
      </c>
      <c r="H26" s="203">
        <f t="shared" si="21"/>
        <v>221</v>
      </c>
      <c r="I26" s="203">
        <f t="shared" si="2"/>
        <v>4755.0645161290322</v>
      </c>
      <c r="J26" s="203">
        <f t="shared" si="22"/>
        <v>221</v>
      </c>
      <c r="K26" s="203">
        <f t="shared" si="3"/>
        <v>4755.0645161290322</v>
      </c>
      <c r="L26" s="203">
        <f t="shared" si="23"/>
        <v>221</v>
      </c>
      <c r="M26" s="203">
        <f t="shared" si="4"/>
        <v>4755.0645161290322</v>
      </c>
      <c r="N26" s="203">
        <f t="shared" si="24"/>
        <v>221</v>
      </c>
      <c r="O26" s="203">
        <f t="shared" si="5"/>
        <v>4755.0645161290322</v>
      </c>
      <c r="P26" s="203">
        <f t="shared" si="25"/>
        <v>221</v>
      </c>
      <c r="Q26" s="203">
        <f t="shared" si="6"/>
        <v>4755.0645161290322</v>
      </c>
      <c r="R26" s="203">
        <f t="shared" si="26"/>
        <v>221</v>
      </c>
      <c r="S26" s="203">
        <f t="shared" si="7"/>
        <v>4755.0645161290322</v>
      </c>
      <c r="T26" s="203">
        <f t="shared" si="27"/>
        <v>221</v>
      </c>
      <c r="U26" s="203">
        <f t="shared" si="8"/>
        <v>4755.0645161290322</v>
      </c>
      <c r="V26" s="203">
        <f t="shared" si="28"/>
        <v>221</v>
      </c>
      <c r="W26" s="203">
        <f t="shared" si="9"/>
        <v>4755.0645161290322</v>
      </c>
      <c r="X26" s="35">
        <f t="shared" si="10"/>
        <v>0.71290322580645138</v>
      </c>
      <c r="Y26" s="36">
        <f t="shared" si="29"/>
        <v>52305.709677419341</v>
      </c>
      <c r="Z26" s="203">
        <f>'B5'!C25</f>
        <v>227</v>
      </c>
      <c r="AA26" s="203">
        <f t="shared" si="30"/>
        <v>2270</v>
      </c>
      <c r="AB26" s="203">
        <f t="shared" si="31"/>
        <v>227</v>
      </c>
      <c r="AC26" s="203">
        <f t="shared" si="30"/>
        <v>2270</v>
      </c>
      <c r="AD26" s="203">
        <f t="shared" si="32"/>
        <v>227</v>
      </c>
      <c r="AE26" s="203">
        <f t="shared" si="11"/>
        <v>2270</v>
      </c>
      <c r="AF26" s="203">
        <f t="shared" si="33"/>
        <v>227</v>
      </c>
      <c r="AG26" s="203">
        <f t="shared" si="12"/>
        <v>2270</v>
      </c>
      <c r="AH26" s="203">
        <f t="shared" si="34"/>
        <v>227</v>
      </c>
      <c r="AI26" s="203">
        <f t="shared" si="13"/>
        <v>2270</v>
      </c>
      <c r="AJ26" s="203">
        <f t="shared" si="35"/>
        <v>227</v>
      </c>
      <c r="AK26" s="203">
        <f t="shared" si="14"/>
        <v>2270</v>
      </c>
      <c r="AL26" s="203">
        <f t="shared" si="36"/>
        <v>227</v>
      </c>
      <c r="AM26" s="203">
        <f t="shared" si="15"/>
        <v>2270</v>
      </c>
      <c r="AN26" s="35">
        <f t="shared" si="16"/>
        <v>0.81071428571428572</v>
      </c>
      <c r="AO26" s="36">
        <f t="shared" si="17"/>
        <v>15890</v>
      </c>
      <c r="AQ26" s="223">
        <f t="shared" si="37"/>
        <v>0.73352382142002082</v>
      </c>
      <c r="AR26" s="38">
        <f t="shared" si="41"/>
        <v>68195.709677419334</v>
      </c>
      <c r="AS26" s="197">
        <f t="shared" si="38"/>
        <v>0</v>
      </c>
      <c r="AT26" s="271"/>
      <c r="AU26" s="491"/>
      <c r="AV26" s="518">
        <f t="shared" si="42"/>
        <v>0.1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221</v>
      </c>
      <c r="C27" s="203">
        <f t="shared" si="18"/>
        <v>4755.0645161290322</v>
      </c>
      <c r="D27">
        <f t="shared" si="19"/>
        <v>221</v>
      </c>
      <c r="E27" s="203">
        <f t="shared" si="18"/>
        <v>4755.0645161290322</v>
      </c>
      <c r="F27">
        <f t="shared" si="20"/>
        <v>221</v>
      </c>
      <c r="G27" s="203">
        <f t="shared" si="1"/>
        <v>4755.0645161290322</v>
      </c>
      <c r="H27" s="203">
        <f t="shared" si="21"/>
        <v>221</v>
      </c>
      <c r="I27" s="203">
        <f t="shared" si="2"/>
        <v>4755.0645161290322</v>
      </c>
      <c r="J27" s="203">
        <f t="shared" si="22"/>
        <v>221</v>
      </c>
      <c r="K27" s="203">
        <f t="shared" si="3"/>
        <v>4755.0645161290322</v>
      </c>
      <c r="L27" s="203">
        <f t="shared" si="23"/>
        <v>221</v>
      </c>
      <c r="M27" s="203">
        <f t="shared" si="4"/>
        <v>4755.0645161290322</v>
      </c>
      <c r="N27" s="203">
        <f t="shared" si="24"/>
        <v>221</v>
      </c>
      <c r="O27" s="203">
        <f t="shared" si="5"/>
        <v>4755.0645161290322</v>
      </c>
      <c r="P27" s="203">
        <f t="shared" si="25"/>
        <v>221</v>
      </c>
      <c r="Q27" s="203">
        <f t="shared" si="6"/>
        <v>4755.0645161290322</v>
      </c>
      <c r="R27" s="203">
        <f t="shared" si="26"/>
        <v>221</v>
      </c>
      <c r="S27" s="203">
        <f t="shared" si="7"/>
        <v>4755.0645161290322</v>
      </c>
      <c r="T27" s="203">
        <f t="shared" si="27"/>
        <v>221</v>
      </c>
      <c r="U27" s="203">
        <f t="shared" si="8"/>
        <v>4755.0645161290322</v>
      </c>
      <c r="V27" s="203">
        <f t="shared" si="28"/>
        <v>221</v>
      </c>
      <c r="W27" s="203">
        <f t="shared" si="9"/>
        <v>4755.0645161290322</v>
      </c>
      <c r="X27" s="35">
        <f t="shared" si="10"/>
        <v>0.71290322580645138</v>
      </c>
      <c r="Y27" s="36">
        <f t="shared" si="29"/>
        <v>52305.709677419341</v>
      </c>
      <c r="Z27" s="203">
        <f>'B5'!C26</f>
        <v>227</v>
      </c>
      <c r="AA27" s="203">
        <f t="shared" si="30"/>
        <v>2270</v>
      </c>
      <c r="AB27" s="203">
        <f t="shared" si="31"/>
        <v>227</v>
      </c>
      <c r="AC27" s="203">
        <f t="shared" si="30"/>
        <v>2270</v>
      </c>
      <c r="AD27" s="203">
        <f t="shared" si="32"/>
        <v>227</v>
      </c>
      <c r="AE27" s="203">
        <f t="shared" si="11"/>
        <v>2270</v>
      </c>
      <c r="AF27" s="203">
        <f t="shared" si="33"/>
        <v>227</v>
      </c>
      <c r="AG27" s="203">
        <f t="shared" si="12"/>
        <v>2270</v>
      </c>
      <c r="AH27" s="203">
        <f t="shared" si="34"/>
        <v>227</v>
      </c>
      <c r="AI27" s="203">
        <f t="shared" si="13"/>
        <v>2270</v>
      </c>
      <c r="AJ27" s="203">
        <f t="shared" si="35"/>
        <v>227</v>
      </c>
      <c r="AK27" s="203">
        <f t="shared" si="14"/>
        <v>2270</v>
      </c>
      <c r="AL27" s="203">
        <f t="shared" si="36"/>
        <v>227</v>
      </c>
      <c r="AM27" s="203">
        <f t="shared" si="15"/>
        <v>2270</v>
      </c>
      <c r="AN27" s="35">
        <f t="shared" si="16"/>
        <v>0.81071428571428572</v>
      </c>
      <c r="AO27" s="36">
        <f t="shared" si="17"/>
        <v>15890</v>
      </c>
      <c r="AQ27" s="223">
        <f t="shared" si="37"/>
        <v>0.73352382142002082</v>
      </c>
      <c r="AR27" s="38">
        <f t="shared" si="41"/>
        <v>68195.709677419334</v>
      </c>
      <c r="AS27" s="197">
        <f t="shared" si="38"/>
        <v>0</v>
      </c>
      <c r="AT27" s="271"/>
      <c r="AU27" s="436"/>
      <c r="AV27" s="518">
        <f t="shared" si="42"/>
        <v>0.1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221</v>
      </c>
      <c r="C28" s="203">
        <f t="shared" si="18"/>
        <v>4755.0645161290322</v>
      </c>
      <c r="D28">
        <f t="shared" si="19"/>
        <v>221</v>
      </c>
      <c r="E28" s="203">
        <f t="shared" si="18"/>
        <v>4755.0645161290322</v>
      </c>
      <c r="F28">
        <f t="shared" si="20"/>
        <v>221</v>
      </c>
      <c r="G28" s="203">
        <f t="shared" si="1"/>
        <v>4755.0645161290322</v>
      </c>
      <c r="H28" s="203">
        <f t="shared" si="21"/>
        <v>221</v>
      </c>
      <c r="I28" s="203">
        <f t="shared" si="2"/>
        <v>4755.0645161290322</v>
      </c>
      <c r="J28" s="203">
        <f t="shared" si="22"/>
        <v>221</v>
      </c>
      <c r="K28" s="203">
        <f t="shared" si="3"/>
        <v>4755.0645161290322</v>
      </c>
      <c r="L28" s="203">
        <f t="shared" si="23"/>
        <v>221</v>
      </c>
      <c r="M28" s="203">
        <f t="shared" si="4"/>
        <v>4755.0645161290322</v>
      </c>
      <c r="N28" s="203">
        <f t="shared" si="24"/>
        <v>221</v>
      </c>
      <c r="O28" s="203">
        <f t="shared" si="5"/>
        <v>4755.0645161290322</v>
      </c>
      <c r="P28" s="203">
        <f t="shared" si="25"/>
        <v>221</v>
      </c>
      <c r="Q28" s="203">
        <f t="shared" si="6"/>
        <v>4755.0645161290322</v>
      </c>
      <c r="R28" s="203">
        <f t="shared" si="26"/>
        <v>221</v>
      </c>
      <c r="S28" s="203">
        <f t="shared" si="7"/>
        <v>4755.0645161290322</v>
      </c>
      <c r="T28" s="203">
        <f t="shared" si="27"/>
        <v>221</v>
      </c>
      <c r="U28" s="203">
        <f t="shared" si="8"/>
        <v>4755.0645161290322</v>
      </c>
      <c r="V28" s="203">
        <f t="shared" si="28"/>
        <v>221</v>
      </c>
      <c r="W28" s="203">
        <f t="shared" si="9"/>
        <v>4755.0645161290322</v>
      </c>
      <c r="X28" s="35">
        <f t="shared" si="10"/>
        <v>0.71290322580645138</v>
      </c>
      <c r="Y28" s="36">
        <f t="shared" si="29"/>
        <v>52305.709677419341</v>
      </c>
      <c r="Z28" s="203">
        <f>'B5'!C27</f>
        <v>227</v>
      </c>
      <c r="AA28" s="203">
        <f t="shared" si="30"/>
        <v>2270</v>
      </c>
      <c r="AB28" s="203">
        <f t="shared" si="31"/>
        <v>227</v>
      </c>
      <c r="AC28" s="203">
        <f t="shared" si="30"/>
        <v>2270</v>
      </c>
      <c r="AD28" s="203">
        <f t="shared" si="32"/>
        <v>227</v>
      </c>
      <c r="AE28" s="203">
        <f t="shared" si="11"/>
        <v>2270</v>
      </c>
      <c r="AF28" s="203">
        <f t="shared" si="33"/>
        <v>227</v>
      </c>
      <c r="AG28" s="203">
        <f t="shared" si="12"/>
        <v>2270</v>
      </c>
      <c r="AH28" s="203">
        <f t="shared" si="34"/>
        <v>227</v>
      </c>
      <c r="AI28" s="203">
        <f t="shared" si="13"/>
        <v>2270</v>
      </c>
      <c r="AJ28" s="203">
        <f t="shared" si="35"/>
        <v>227</v>
      </c>
      <c r="AK28" s="203">
        <f t="shared" si="14"/>
        <v>2270</v>
      </c>
      <c r="AL28" s="203">
        <f t="shared" si="36"/>
        <v>227</v>
      </c>
      <c r="AM28" s="203">
        <f t="shared" si="15"/>
        <v>2270</v>
      </c>
      <c r="AN28" s="35">
        <f t="shared" si="16"/>
        <v>0.81071428571428572</v>
      </c>
      <c r="AO28" s="36">
        <f t="shared" si="17"/>
        <v>15890</v>
      </c>
      <c r="AQ28" s="223">
        <f t="shared" si="37"/>
        <v>0.73352382142002082</v>
      </c>
      <c r="AR28" s="38">
        <f t="shared" si="41"/>
        <v>68195.709677419334</v>
      </c>
      <c r="AS28" s="197">
        <f t="shared" si="38"/>
        <v>0</v>
      </c>
      <c r="AT28" s="355"/>
      <c r="AU28" s="436"/>
      <c r="AV28" s="518">
        <f t="shared" si="42"/>
        <v>0.1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221</v>
      </c>
      <c r="C29" s="203">
        <f t="shared" si="18"/>
        <v>4755.0645161290322</v>
      </c>
      <c r="D29">
        <f t="shared" si="19"/>
        <v>221</v>
      </c>
      <c r="E29" s="203">
        <f t="shared" si="18"/>
        <v>4755.0645161290322</v>
      </c>
      <c r="F29">
        <f t="shared" si="20"/>
        <v>221</v>
      </c>
      <c r="G29" s="203">
        <f t="shared" si="1"/>
        <v>4755.0645161290322</v>
      </c>
      <c r="H29" s="203">
        <f t="shared" si="21"/>
        <v>221</v>
      </c>
      <c r="I29" s="203">
        <f t="shared" si="2"/>
        <v>4755.0645161290322</v>
      </c>
      <c r="J29" s="203">
        <f t="shared" si="22"/>
        <v>221</v>
      </c>
      <c r="K29" s="203">
        <f t="shared" si="3"/>
        <v>4755.0645161290322</v>
      </c>
      <c r="L29" s="203">
        <f t="shared" si="23"/>
        <v>221</v>
      </c>
      <c r="M29" s="203">
        <f t="shared" si="4"/>
        <v>4755.0645161290322</v>
      </c>
      <c r="N29" s="203">
        <f t="shared" si="24"/>
        <v>221</v>
      </c>
      <c r="O29" s="203">
        <f t="shared" si="5"/>
        <v>4755.0645161290322</v>
      </c>
      <c r="P29" s="203">
        <f t="shared" si="25"/>
        <v>221</v>
      </c>
      <c r="Q29" s="203">
        <f t="shared" si="6"/>
        <v>4755.0645161290322</v>
      </c>
      <c r="R29" s="203">
        <f t="shared" si="26"/>
        <v>221</v>
      </c>
      <c r="S29" s="203">
        <f t="shared" si="7"/>
        <v>4755.0645161290322</v>
      </c>
      <c r="T29" s="203">
        <f t="shared" si="27"/>
        <v>221</v>
      </c>
      <c r="U29" s="203">
        <f t="shared" si="8"/>
        <v>4755.0645161290322</v>
      </c>
      <c r="V29" s="203">
        <f t="shared" si="28"/>
        <v>221</v>
      </c>
      <c r="W29" s="203">
        <f t="shared" si="9"/>
        <v>4755.0645161290322</v>
      </c>
      <c r="X29" s="35">
        <f t="shared" si="10"/>
        <v>0.71290322580645138</v>
      </c>
      <c r="Y29" s="36">
        <f t="shared" si="29"/>
        <v>52305.709677419341</v>
      </c>
      <c r="Z29" s="203">
        <f>'B5'!C28</f>
        <v>227</v>
      </c>
      <c r="AA29" s="203">
        <f t="shared" si="30"/>
        <v>2270</v>
      </c>
      <c r="AB29" s="203">
        <f t="shared" si="31"/>
        <v>227</v>
      </c>
      <c r="AC29" s="203">
        <f t="shared" si="30"/>
        <v>2270</v>
      </c>
      <c r="AD29" s="203">
        <f t="shared" si="32"/>
        <v>227</v>
      </c>
      <c r="AE29" s="203">
        <f t="shared" si="11"/>
        <v>2270</v>
      </c>
      <c r="AF29" s="203">
        <f t="shared" si="33"/>
        <v>227</v>
      </c>
      <c r="AG29" s="203">
        <f t="shared" si="12"/>
        <v>2270</v>
      </c>
      <c r="AH29" s="203">
        <f t="shared" si="34"/>
        <v>227</v>
      </c>
      <c r="AI29" s="203">
        <f t="shared" si="13"/>
        <v>2270</v>
      </c>
      <c r="AJ29" s="203">
        <f t="shared" si="35"/>
        <v>227</v>
      </c>
      <c r="AK29" s="203">
        <f t="shared" si="14"/>
        <v>2270</v>
      </c>
      <c r="AL29" s="203">
        <f t="shared" si="36"/>
        <v>227</v>
      </c>
      <c r="AM29" s="203">
        <f t="shared" si="15"/>
        <v>2270</v>
      </c>
      <c r="AN29" s="35">
        <f t="shared" si="16"/>
        <v>0.81071428571428572</v>
      </c>
      <c r="AO29" s="36">
        <f t="shared" si="17"/>
        <v>15890</v>
      </c>
      <c r="AQ29" s="223">
        <f t="shared" si="37"/>
        <v>0.73352382142002082</v>
      </c>
      <c r="AR29" s="38">
        <f t="shared" si="41"/>
        <v>68195.709677419334</v>
      </c>
      <c r="AS29" s="197">
        <f t="shared" si="38"/>
        <v>0</v>
      </c>
      <c r="AT29" s="355"/>
      <c r="AU29" s="436"/>
      <c r="AV29" s="518">
        <f t="shared" si="42"/>
        <v>0.1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221</v>
      </c>
      <c r="C30" s="203">
        <f t="shared" si="18"/>
        <v>4755.0645161290322</v>
      </c>
      <c r="D30">
        <f t="shared" ref="D30:D33" si="44">SUM(B30)</f>
        <v>221</v>
      </c>
      <c r="E30" s="203">
        <f t="shared" si="18"/>
        <v>4755.0645161290322</v>
      </c>
      <c r="F30">
        <f t="shared" ref="F30:F33" si="45">SUM(D30)</f>
        <v>221</v>
      </c>
      <c r="G30" s="203">
        <f t="shared" si="1"/>
        <v>4755.0645161290322</v>
      </c>
      <c r="H30" s="203">
        <f t="shared" ref="H30:H33" si="46">SUM(F30)</f>
        <v>221</v>
      </c>
      <c r="I30" s="203">
        <f t="shared" si="2"/>
        <v>4755.0645161290322</v>
      </c>
      <c r="J30" s="203">
        <f t="shared" ref="J30:J33" si="47">SUM(H30)</f>
        <v>221</v>
      </c>
      <c r="K30" s="203">
        <f t="shared" si="3"/>
        <v>4755.0645161290322</v>
      </c>
      <c r="L30" s="203">
        <f t="shared" ref="L30:L33" si="48">SUM(J30)</f>
        <v>221</v>
      </c>
      <c r="M30" s="203">
        <f t="shared" si="4"/>
        <v>4755.0645161290322</v>
      </c>
      <c r="N30" s="203">
        <f t="shared" ref="N30:N33" si="49">SUM(L30)</f>
        <v>221</v>
      </c>
      <c r="O30" s="203">
        <f t="shared" si="5"/>
        <v>4755.0645161290322</v>
      </c>
      <c r="P30" s="203">
        <f t="shared" ref="P30:P33" si="50">SUM(N30)</f>
        <v>221</v>
      </c>
      <c r="Q30" s="203">
        <f t="shared" si="6"/>
        <v>4755.0645161290322</v>
      </c>
      <c r="R30" s="203">
        <f t="shared" ref="R30:R33" si="51">SUM(P30)</f>
        <v>221</v>
      </c>
      <c r="S30" s="203">
        <f t="shared" si="7"/>
        <v>4755.0645161290322</v>
      </c>
      <c r="T30" s="203">
        <f t="shared" ref="T30:T33" si="52">SUM(R30)</f>
        <v>221</v>
      </c>
      <c r="U30" s="203">
        <f t="shared" si="8"/>
        <v>4755.0645161290322</v>
      </c>
      <c r="V30" s="203">
        <f t="shared" ref="V30:V33" si="53">SUM(T30)</f>
        <v>221</v>
      </c>
      <c r="W30" s="203">
        <f t="shared" si="9"/>
        <v>4755.0645161290322</v>
      </c>
      <c r="X30" s="35">
        <f t="shared" ref="X30:X33" si="54">SUM(Y30/73370)</f>
        <v>0.71290322580645138</v>
      </c>
      <c r="Y30" s="36">
        <f t="shared" ref="Y30:Y33" si="55">SUM(C30+E30+G30+I30+K30+M30+O30+Q30+S30+U30+W30)</f>
        <v>52305.709677419341</v>
      </c>
      <c r="Z30" s="203">
        <f>'B5'!C29</f>
        <v>227</v>
      </c>
      <c r="AA30" s="203">
        <f t="shared" si="30"/>
        <v>2270</v>
      </c>
      <c r="AB30" s="203">
        <f t="shared" ref="AB30:AB33" si="56">SUM(Z30)</f>
        <v>227</v>
      </c>
      <c r="AC30" s="203">
        <f t="shared" si="30"/>
        <v>2270</v>
      </c>
      <c r="AD30" s="203">
        <f t="shared" ref="AD30:AD33" si="57">SUM(AB30)</f>
        <v>227</v>
      </c>
      <c r="AE30" s="203">
        <f t="shared" si="11"/>
        <v>2270</v>
      </c>
      <c r="AF30" s="203">
        <f t="shared" ref="AF30:AF33" si="58">SUM(AD30)</f>
        <v>227</v>
      </c>
      <c r="AG30" s="203">
        <f t="shared" si="12"/>
        <v>2270</v>
      </c>
      <c r="AH30" s="203">
        <f t="shared" ref="AH30:AH33" si="59">SUM(AF30)</f>
        <v>227</v>
      </c>
      <c r="AI30" s="203">
        <f t="shared" si="13"/>
        <v>2270</v>
      </c>
      <c r="AJ30" s="203">
        <f t="shared" ref="AJ30:AJ33" si="60">SUM(AH30)</f>
        <v>227</v>
      </c>
      <c r="AK30" s="203">
        <f t="shared" si="14"/>
        <v>2270</v>
      </c>
      <c r="AL30" s="203">
        <f t="shared" ref="AL30:AL33" si="61">SUM(AJ30)</f>
        <v>227</v>
      </c>
      <c r="AM30" s="203">
        <f t="shared" si="15"/>
        <v>2270</v>
      </c>
      <c r="AN30" s="35">
        <f t="shared" ref="AN30:AN33" si="62">SUM(AO30/19600)</f>
        <v>0.81071428571428572</v>
      </c>
      <c r="AO30" s="36">
        <f t="shared" ref="AO30:AO33" si="63">SUM(AA30+AC30+AE30+AG30+AI30+AK30+AM30)</f>
        <v>15890</v>
      </c>
      <c r="AQ30" s="223">
        <f t="shared" si="37"/>
        <v>0.73352382142002082</v>
      </c>
      <c r="AR30" s="38">
        <f t="shared" si="41"/>
        <v>68195.709677419334</v>
      </c>
      <c r="AS30" s="197">
        <f t="shared" si="38"/>
        <v>0</v>
      </c>
      <c r="AT30" s="355"/>
      <c r="AU30" s="436"/>
      <c r="AV30" s="518">
        <f t="shared" si="42"/>
        <v>0.1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221</v>
      </c>
      <c r="C31" s="203">
        <f t="shared" si="18"/>
        <v>4755.0645161290322</v>
      </c>
      <c r="D31">
        <f t="shared" si="44"/>
        <v>221</v>
      </c>
      <c r="E31" s="203">
        <f t="shared" si="18"/>
        <v>4755.0645161290322</v>
      </c>
      <c r="F31">
        <f t="shared" si="45"/>
        <v>221</v>
      </c>
      <c r="G31" s="203">
        <f t="shared" si="1"/>
        <v>4755.0645161290322</v>
      </c>
      <c r="H31" s="203">
        <f t="shared" si="46"/>
        <v>221</v>
      </c>
      <c r="I31" s="203">
        <f t="shared" si="2"/>
        <v>4755.0645161290322</v>
      </c>
      <c r="J31" s="203">
        <f t="shared" si="47"/>
        <v>221</v>
      </c>
      <c r="K31" s="203">
        <f t="shared" si="3"/>
        <v>4755.0645161290322</v>
      </c>
      <c r="L31" s="203">
        <f t="shared" si="48"/>
        <v>221</v>
      </c>
      <c r="M31" s="203">
        <f t="shared" si="4"/>
        <v>4755.0645161290322</v>
      </c>
      <c r="N31" s="203">
        <f t="shared" si="49"/>
        <v>221</v>
      </c>
      <c r="O31" s="203">
        <f t="shared" si="5"/>
        <v>4755.0645161290322</v>
      </c>
      <c r="P31" s="203">
        <f t="shared" si="50"/>
        <v>221</v>
      </c>
      <c r="Q31" s="203">
        <f t="shared" si="6"/>
        <v>4755.0645161290322</v>
      </c>
      <c r="R31" s="203">
        <f t="shared" si="51"/>
        <v>221</v>
      </c>
      <c r="S31" s="203">
        <f t="shared" si="7"/>
        <v>4755.0645161290322</v>
      </c>
      <c r="T31" s="203">
        <f t="shared" si="52"/>
        <v>221</v>
      </c>
      <c r="U31" s="203">
        <f t="shared" si="8"/>
        <v>4755.0645161290322</v>
      </c>
      <c r="V31" s="203">
        <f t="shared" si="53"/>
        <v>221</v>
      </c>
      <c r="W31" s="203">
        <f t="shared" si="9"/>
        <v>4755.0645161290322</v>
      </c>
      <c r="X31" s="35">
        <f t="shared" si="54"/>
        <v>0.71290322580645138</v>
      </c>
      <c r="Y31" s="36">
        <f t="shared" si="55"/>
        <v>52305.709677419341</v>
      </c>
      <c r="Z31" s="203">
        <f>'B5'!C30</f>
        <v>227</v>
      </c>
      <c r="AA31" s="203">
        <f t="shared" si="30"/>
        <v>2270</v>
      </c>
      <c r="AB31" s="203">
        <f t="shared" si="56"/>
        <v>227</v>
      </c>
      <c r="AC31" s="203">
        <f t="shared" si="30"/>
        <v>2270</v>
      </c>
      <c r="AD31" s="203">
        <f t="shared" si="57"/>
        <v>227</v>
      </c>
      <c r="AE31" s="203">
        <f t="shared" si="11"/>
        <v>2270</v>
      </c>
      <c r="AF31" s="203">
        <f t="shared" si="58"/>
        <v>227</v>
      </c>
      <c r="AG31" s="203">
        <f t="shared" si="12"/>
        <v>2270</v>
      </c>
      <c r="AH31" s="203">
        <f t="shared" si="59"/>
        <v>227</v>
      </c>
      <c r="AI31" s="203">
        <f t="shared" si="13"/>
        <v>2270</v>
      </c>
      <c r="AJ31" s="203">
        <f t="shared" si="60"/>
        <v>227</v>
      </c>
      <c r="AK31" s="203">
        <f t="shared" si="14"/>
        <v>2270</v>
      </c>
      <c r="AL31" s="203">
        <f t="shared" si="61"/>
        <v>227</v>
      </c>
      <c r="AM31" s="203">
        <f t="shared" si="15"/>
        <v>2270</v>
      </c>
      <c r="AN31" s="35">
        <f t="shared" si="62"/>
        <v>0.81071428571428572</v>
      </c>
      <c r="AO31" s="36">
        <f t="shared" si="63"/>
        <v>15890</v>
      </c>
      <c r="AQ31" s="223">
        <f t="shared" si="37"/>
        <v>0.73352382142002082</v>
      </c>
      <c r="AR31" s="38">
        <f t="shared" si="41"/>
        <v>68195.709677419334</v>
      </c>
      <c r="AS31" s="197">
        <f>SUM(AR31-AR30-AT31)</f>
        <v>0</v>
      </c>
      <c r="AT31" s="355"/>
      <c r="AU31" s="436"/>
      <c r="AV31" s="518">
        <f t="shared" si="42"/>
        <v>0.1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221</v>
      </c>
      <c r="C32" s="203">
        <f t="shared" si="18"/>
        <v>4755.0645161290322</v>
      </c>
      <c r="D32">
        <f t="shared" si="44"/>
        <v>221</v>
      </c>
      <c r="E32" s="203">
        <f t="shared" si="18"/>
        <v>4755.0645161290322</v>
      </c>
      <c r="F32">
        <f t="shared" si="45"/>
        <v>221</v>
      </c>
      <c r="G32" s="203">
        <f t="shared" si="1"/>
        <v>4755.0645161290322</v>
      </c>
      <c r="H32" s="203">
        <f t="shared" si="46"/>
        <v>221</v>
      </c>
      <c r="I32" s="203">
        <f t="shared" si="2"/>
        <v>4755.0645161290322</v>
      </c>
      <c r="J32" s="203">
        <f t="shared" si="47"/>
        <v>221</v>
      </c>
      <c r="K32" s="203">
        <f t="shared" si="3"/>
        <v>4755.0645161290322</v>
      </c>
      <c r="L32" s="203">
        <f t="shared" si="48"/>
        <v>221</v>
      </c>
      <c r="M32" s="203">
        <f t="shared" si="4"/>
        <v>4755.0645161290322</v>
      </c>
      <c r="N32" s="203">
        <f t="shared" si="49"/>
        <v>221</v>
      </c>
      <c r="O32" s="203">
        <f t="shared" si="5"/>
        <v>4755.0645161290322</v>
      </c>
      <c r="P32" s="203">
        <f t="shared" si="50"/>
        <v>221</v>
      </c>
      <c r="Q32" s="203">
        <f t="shared" si="6"/>
        <v>4755.0645161290322</v>
      </c>
      <c r="R32" s="203">
        <f t="shared" si="51"/>
        <v>221</v>
      </c>
      <c r="S32" s="203">
        <f t="shared" si="7"/>
        <v>4755.0645161290322</v>
      </c>
      <c r="T32" s="203">
        <f t="shared" si="52"/>
        <v>221</v>
      </c>
      <c r="U32" s="203">
        <f t="shared" si="8"/>
        <v>4755.0645161290322</v>
      </c>
      <c r="V32" s="203">
        <f t="shared" si="53"/>
        <v>221</v>
      </c>
      <c r="W32" s="203">
        <f t="shared" si="9"/>
        <v>4755.0645161290322</v>
      </c>
      <c r="X32" s="35">
        <f t="shared" si="54"/>
        <v>0.71290322580645138</v>
      </c>
      <c r="Y32" s="36">
        <f t="shared" si="55"/>
        <v>52305.709677419341</v>
      </c>
      <c r="Z32" s="203">
        <f>'B5'!C31</f>
        <v>227</v>
      </c>
      <c r="AA32" s="203">
        <f t="shared" si="30"/>
        <v>2270</v>
      </c>
      <c r="AB32" s="203">
        <f t="shared" si="56"/>
        <v>227</v>
      </c>
      <c r="AC32" s="203">
        <f t="shared" si="30"/>
        <v>2270</v>
      </c>
      <c r="AD32" s="203">
        <f t="shared" si="57"/>
        <v>227</v>
      </c>
      <c r="AE32" s="203">
        <f t="shared" si="11"/>
        <v>2270</v>
      </c>
      <c r="AF32" s="203">
        <f t="shared" si="58"/>
        <v>227</v>
      </c>
      <c r="AG32" s="203">
        <f t="shared" si="12"/>
        <v>2270</v>
      </c>
      <c r="AH32" s="203">
        <f t="shared" si="59"/>
        <v>227</v>
      </c>
      <c r="AI32" s="203">
        <f t="shared" si="13"/>
        <v>2270</v>
      </c>
      <c r="AJ32" s="203">
        <f t="shared" si="60"/>
        <v>227</v>
      </c>
      <c r="AK32" s="203">
        <f t="shared" si="14"/>
        <v>2270</v>
      </c>
      <c r="AL32" s="203">
        <f t="shared" si="61"/>
        <v>227</v>
      </c>
      <c r="AM32" s="203">
        <f t="shared" si="15"/>
        <v>2270</v>
      </c>
      <c r="AN32" s="35">
        <f t="shared" si="62"/>
        <v>0.81071428571428572</v>
      </c>
      <c r="AO32" s="36">
        <f t="shared" si="63"/>
        <v>15890</v>
      </c>
      <c r="AQ32" s="223">
        <f t="shared" si="37"/>
        <v>0.73352382142002082</v>
      </c>
      <c r="AR32" s="38">
        <f t="shared" si="41"/>
        <v>68195.709677419334</v>
      </c>
      <c r="AS32" s="197">
        <f t="shared" si="38"/>
        <v>0</v>
      </c>
      <c r="AT32" s="355"/>
      <c r="AU32" s="436"/>
      <c r="AV32" s="518">
        <f>IF(AT32&gt;0,AU32,AV31)</f>
        <v>0.1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221</v>
      </c>
      <c r="C33" s="203">
        <f t="shared" si="18"/>
        <v>4755.0645161290322</v>
      </c>
      <c r="D33">
        <f t="shared" si="44"/>
        <v>221</v>
      </c>
      <c r="E33" s="203">
        <f t="shared" si="18"/>
        <v>4755.0645161290322</v>
      </c>
      <c r="F33">
        <f t="shared" si="45"/>
        <v>221</v>
      </c>
      <c r="G33" s="203">
        <f t="shared" si="1"/>
        <v>4755.0645161290322</v>
      </c>
      <c r="H33" s="203">
        <f t="shared" si="46"/>
        <v>221</v>
      </c>
      <c r="I33" s="203">
        <f t="shared" si="2"/>
        <v>4755.0645161290322</v>
      </c>
      <c r="J33" s="203">
        <f t="shared" si="47"/>
        <v>221</v>
      </c>
      <c r="K33" s="203">
        <f t="shared" si="3"/>
        <v>4755.0645161290322</v>
      </c>
      <c r="L33" s="203">
        <f t="shared" si="48"/>
        <v>221</v>
      </c>
      <c r="M33" s="203">
        <f t="shared" si="4"/>
        <v>4755.0645161290322</v>
      </c>
      <c r="N33" s="203">
        <f t="shared" si="49"/>
        <v>221</v>
      </c>
      <c r="O33" s="203">
        <f t="shared" si="5"/>
        <v>4755.0645161290322</v>
      </c>
      <c r="P33" s="203">
        <f t="shared" si="50"/>
        <v>221</v>
      </c>
      <c r="Q33" s="203">
        <f t="shared" si="6"/>
        <v>4755.0645161290322</v>
      </c>
      <c r="R33" s="203">
        <f t="shared" si="51"/>
        <v>221</v>
      </c>
      <c r="S33" s="203">
        <f t="shared" si="7"/>
        <v>4755.0645161290322</v>
      </c>
      <c r="T33" s="203">
        <f t="shared" si="52"/>
        <v>221</v>
      </c>
      <c r="U33" s="203">
        <f t="shared" si="8"/>
        <v>4755.0645161290322</v>
      </c>
      <c r="V33" s="203">
        <f t="shared" si="53"/>
        <v>221</v>
      </c>
      <c r="W33" s="203">
        <f t="shared" si="9"/>
        <v>4755.0645161290322</v>
      </c>
      <c r="X33" s="35">
        <f t="shared" si="54"/>
        <v>0.71290322580645138</v>
      </c>
      <c r="Y33" s="36">
        <f t="shared" si="55"/>
        <v>52305.709677419341</v>
      </c>
      <c r="Z33" s="203">
        <f>'B5'!C32</f>
        <v>227</v>
      </c>
      <c r="AA33" s="203">
        <f t="shared" si="30"/>
        <v>2270</v>
      </c>
      <c r="AB33" s="203">
        <f t="shared" si="56"/>
        <v>227</v>
      </c>
      <c r="AC33" s="203">
        <f t="shared" si="30"/>
        <v>2270</v>
      </c>
      <c r="AD33" s="203">
        <f t="shared" si="57"/>
        <v>227</v>
      </c>
      <c r="AE33" s="203">
        <f t="shared" si="11"/>
        <v>2270</v>
      </c>
      <c r="AF33" s="203">
        <f t="shared" si="58"/>
        <v>227</v>
      </c>
      <c r="AG33" s="203">
        <f t="shared" si="12"/>
        <v>2270</v>
      </c>
      <c r="AH33" s="203">
        <f t="shared" si="59"/>
        <v>227</v>
      </c>
      <c r="AI33" s="203">
        <f t="shared" si="13"/>
        <v>2270</v>
      </c>
      <c r="AJ33" s="203">
        <f t="shared" si="60"/>
        <v>227</v>
      </c>
      <c r="AK33" s="203">
        <f t="shared" si="14"/>
        <v>2270</v>
      </c>
      <c r="AL33" s="203">
        <f t="shared" si="61"/>
        <v>227</v>
      </c>
      <c r="AM33" s="203">
        <f t="shared" si="15"/>
        <v>2270</v>
      </c>
      <c r="AN33" s="35">
        <f t="shared" si="62"/>
        <v>0.81071428571428572</v>
      </c>
      <c r="AO33" s="36">
        <f t="shared" si="63"/>
        <v>15890</v>
      </c>
      <c r="AQ33" s="223">
        <f t="shared" si="37"/>
        <v>0.73352382142002082</v>
      </c>
      <c r="AR33" s="38">
        <f t="shared" si="41"/>
        <v>68195.709677419334</v>
      </c>
      <c r="AS33" s="197">
        <f t="shared" si="38"/>
        <v>0</v>
      </c>
      <c r="AT33" s="355"/>
      <c r="AU33" s="436"/>
      <c r="AV33" s="518">
        <f>IF(AT33&gt;0,AU33,AV32)</f>
        <v>0.1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1</v>
      </c>
      <c r="AT34" s="203">
        <f>SUM(AT6:AT33)</f>
        <v>0.1</v>
      </c>
      <c r="AU34">
        <f>SUM(AU6:AU33)/AS34</f>
        <v>0.1</v>
      </c>
      <c r="AX34" s="203">
        <f>SUM(AX6:AX33)</f>
        <v>-3295.6612903225846</v>
      </c>
      <c r="AY34" s="203">
        <f>SUM(AY6:AY33)</f>
        <v>-4600.2612903225909</v>
      </c>
    </row>
    <row r="35" spans="1:60">
      <c r="AS35" s="206"/>
      <c r="AT35">
        <f>+AT34*AU34</f>
        <v>1.0000000000000002E-2</v>
      </c>
    </row>
    <row r="37" spans="1:60">
      <c r="AS37" s="165">
        <f>SUM(AS6:AS33)/'EDl log'!A32</f>
        <v>-1150.0653225806477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5" priority="4" stopIfTrue="1" operator="greaterThan">
      <formula>0</formula>
    </cfRule>
  </conditionalFormatting>
  <conditionalFormatting sqref="AT6:AU33">
    <cfRule type="cellIs" dxfId="4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-18.899999999999977</v>
      </c>
      <c r="J6" s="9">
        <f>'B5'!A8</f>
        <v>44231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44232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44233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44234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44235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44236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44237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44238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44239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44240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44241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44242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44243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44244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44245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-3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3</v>
      </c>
      <c r="I22" s="15">
        <f>WATER!BC25+WATER!BD25+WATER!BE26-Sheet1!G22</f>
        <v>0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40"/>
      <c r="B1" s="638" t="s">
        <v>119</v>
      </c>
      <c r="C1" s="638" t="s">
        <v>118</v>
      </c>
      <c r="D1" s="642" t="s">
        <v>113</v>
      </c>
      <c r="E1" s="642" t="s">
        <v>114</v>
      </c>
      <c r="F1" s="643" t="s">
        <v>120</v>
      </c>
      <c r="G1" s="644" t="s">
        <v>75</v>
      </c>
      <c r="H1" s="635" t="s">
        <v>115</v>
      </c>
      <c r="I1" s="636" t="s">
        <v>116</v>
      </c>
      <c r="J1" s="635" t="s">
        <v>117</v>
      </c>
      <c r="K1" s="634" t="s">
        <v>121</v>
      </c>
      <c r="L1" s="634" t="s">
        <v>122</v>
      </c>
      <c r="M1" s="634" t="s">
        <v>123</v>
      </c>
      <c r="N1" s="634" t="s">
        <v>124</v>
      </c>
    </row>
    <row r="2" spans="1:14">
      <c r="A2" s="641"/>
      <c r="B2" s="639"/>
      <c r="C2" s="639"/>
      <c r="D2" s="642"/>
      <c r="E2" s="642"/>
      <c r="F2" s="643"/>
      <c r="G2" s="644"/>
      <c r="H2" s="635"/>
      <c r="I2" s="637"/>
      <c r="J2" s="635"/>
      <c r="K2" s="634"/>
      <c r="L2" s="634"/>
      <c r="M2" s="634"/>
      <c r="N2" s="63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-18.899999999999977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-3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3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topLeftCell="N1" zoomScale="112" zoomScaleNormal="112" workbookViewId="0">
      <pane ySplit="1" topLeftCell="A2" activePane="bottomLeft" state="frozen"/>
      <selection pane="bottomLeft" activeCell="AD6" sqref="AD6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f>[2]GEN!H33</f>
        <v>9617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f>[2]GEN!X33</f>
        <v>12141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9617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12141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9617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12141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9617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12141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9617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12141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" thickBot="1">
      <c r="A7" s="4">
        <f>ELEC!C7</f>
        <v>44232</v>
      </c>
      <c r="B7" s="541">
        <f t="shared" ref="B6:B30" si="29">B6</f>
        <v>9553</v>
      </c>
      <c r="C7" s="287">
        <f t="shared" si="11"/>
        <v>0</v>
      </c>
      <c r="D7" s="542">
        <f t="shared" ref="D6:D30" si="30">D6</f>
        <v>313688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9617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f t="shared" si="17"/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12141</v>
      </c>
      <c r="Y7" s="287" t="str">
        <f t="shared" si="7"/>
        <v>ok</v>
      </c>
      <c r="Z7" s="287">
        <f t="shared" si="8"/>
        <v>0</v>
      </c>
      <c r="AA7" s="287">
        <f>U7+M7+E7</f>
        <v>0</v>
      </c>
      <c r="AB7" s="287">
        <f t="shared" si="22"/>
        <v>0</v>
      </c>
      <c r="AC7" s="287">
        <f t="shared" si="23"/>
        <v>0</v>
      </c>
      <c r="AD7" s="73">
        <f>ELEC!Q7</f>
        <v>0</v>
      </c>
      <c r="AE7" s="73" t="e">
        <f t="shared" si="25"/>
        <v>#DIV/0!</v>
      </c>
      <c r="AF7" s="403" t="e">
        <f t="shared" si="26"/>
        <v>#DIV/0!</v>
      </c>
      <c r="AG7" s="504" t="s">
        <v>403</v>
      </c>
      <c r="AH7" s="404" t="e">
        <f t="shared" si="24"/>
        <v>#VALUE!</v>
      </c>
      <c r="AI7" s="73">
        <f t="shared" si="28"/>
        <v>0</v>
      </c>
      <c r="AJ7" s="289">
        <f t="shared" si="9"/>
        <v>0.25738396624472576</v>
      </c>
      <c r="AK7" s="289" t="e">
        <f t="shared" si="10"/>
        <v>#DIV/0!</v>
      </c>
    </row>
    <row r="8" spans="1:37" ht="15" thickBot="1">
      <c r="A8" s="4">
        <f>ELEC!C8</f>
        <v>44233</v>
      </c>
      <c r="B8" s="541">
        <f t="shared" si="29"/>
        <v>9553</v>
      </c>
      <c r="C8" s="287">
        <f t="shared" si="11"/>
        <v>0</v>
      </c>
      <c r="D8" s="542">
        <f t="shared" si="30"/>
        <v>313688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9617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12141</v>
      </c>
      <c r="Y8" s="287" t="str">
        <f t="shared" si="7"/>
        <v>ok</v>
      </c>
      <c r="Z8" s="287">
        <f t="shared" si="8"/>
        <v>0</v>
      </c>
      <c r="AA8" s="287">
        <f t="shared" si="21"/>
        <v>0</v>
      </c>
      <c r="AB8" s="287">
        <f t="shared" si="22"/>
        <v>0</v>
      </c>
      <c r="AC8" s="287">
        <f t="shared" si="23"/>
        <v>0</v>
      </c>
      <c r="AD8" s="73">
        <f>ELEC!Q8</f>
        <v>0</v>
      </c>
      <c r="AE8" s="73" t="e">
        <f t="shared" si="25"/>
        <v>#DIV/0!</v>
      </c>
      <c r="AF8" s="403" t="e">
        <f t="shared" si="26"/>
        <v>#DIV/0!</v>
      </c>
      <c r="AG8" s="404" t="e">
        <f t="shared" si="27"/>
        <v>#DIV/0!</v>
      </c>
      <c r="AH8" s="404" t="e">
        <f t="shared" si="24"/>
        <v>#DIV/0!</v>
      </c>
      <c r="AI8" s="73">
        <f t="shared" si="28"/>
        <v>0</v>
      </c>
      <c r="AJ8" s="289">
        <f t="shared" si="9"/>
        <v>0.25738396624472576</v>
      </c>
      <c r="AK8" s="289" t="e">
        <f t="shared" si="10"/>
        <v>#DIV/0!</v>
      </c>
    </row>
    <row r="9" spans="1:37" ht="15" thickBot="1">
      <c r="A9" s="4">
        <f>ELEC!C9</f>
        <v>44234</v>
      </c>
      <c r="B9" s="541">
        <f t="shared" si="29"/>
        <v>9553</v>
      </c>
      <c r="C9" s="287">
        <f t="shared" si="11"/>
        <v>0</v>
      </c>
      <c r="D9" s="542">
        <f t="shared" si="30"/>
        <v>313688</v>
      </c>
      <c r="E9" s="287">
        <f t="shared" si="12"/>
        <v>0</v>
      </c>
      <c r="F9" s="287">
        <f t="shared" si="0"/>
        <v>0</v>
      </c>
      <c r="G9" s="196"/>
      <c r="H9" s="270">
        <f t="shared" si="13"/>
        <v>9617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12141</v>
      </c>
      <c r="Y9" s="287" t="str">
        <f t="shared" si="7"/>
        <v>ok</v>
      </c>
      <c r="Z9" s="287">
        <f t="shared" si="8"/>
        <v>0</v>
      </c>
      <c r="AA9" s="287">
        <f t="shared" si="21"/>
        <v>0</v>
      </c>
      <c r="AB9" s="287">
        <f t="shared" si="22"/>
        <v>0</v>
      </c>
      <c r="AC9" s="287">
        <f t="shared" si="23"/>
        <v>0</v>
      </c>
      <c r="AD9" s="73">
        <f>ELEC!Q9</f>
        <v>0</v>
      </c>
      <c r="AE9" s="73" t="e">
        <f t="shared" si="25"/>
        <v>#DIV/0!</v>
      </c>
      <c r="AF9" s="403" t="e">
        <f t="shared" si="26"/>
        <v>#DIV/0!</v>
      </c>
      <c r="AG9" s="404" t="e">
        <f t="shared" si="27"/>
        <v>#DIV/0!</v>
      </c>
      <c r="AH9" s="404" t="e">
        <f t="shared" si="24"/>
        <v>#DIV/0!</v>
      </c>
      <c r="AI9" s="73">
        <f t="shared" si="28"/>
        <v>0</v>
      </c>
      <c r="AJ9" s="289">
        <v>0.25738396624472576</v>
      </c>
      <c r="AK9" s="289">
        <f t="shared" ref="AK9:AK16" si="31">IF(Z9&gt;0,AI9/Z9,0)</f>
        <v>0</v>
      </c>
    </row>
    <row r="10" spans="1:37" ht="15" thickBot="1">
      <c r="A10" s="4">
        <f>ELEC!C10</f>
        <v>44235</v>
      </c>
      <c r="B10" s="541">
        <f t="shared" si="29"/>
        <v>9553</v>
      </c>
      <c r="C10" s="287">
        <f t="shared" si="11"/>
        <v>0</v>
      </c>
      <c r="D10" s="542">
        <f t="shared" si="30"/>
        <v>313688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9617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2">SUM(T10-T9)</f>
        <v>0</v>
      </c>
      <c r="V10" s="287">
        <f t="shared" ref="V10:V20" si="33">IF(S10&gt;0,U10/S10,0)</f>
        <v>0</v>
      </c>
      <c r="W10" s="338"/>
      <c r="X10" s="288">
        <f t="shared" si="20"/>
        <v>12141</v>
      </c>
      <c r="Y10" s="287" t="str">
        <f t="shared" ref="Y10:Y20" si="34">IF(R10-X10&lt;=0,"ok","oil change")</f>
        <v>ok</v>
      </c>
      <c r="Z10" s="287">
        <f t="shared" si="8"/>
        <v>0</v>
      </c>
      <c r="AA10" s="287">
        <f t="shared" si="21"/>
        <v>0</v>
      </c>
      <c r="AB10" s="287">
        <f t="shared" si="22"/>
        <v>0</v>
      </c>
      <c r="AC10" s="287">
        <f t="shared" si="23"/>
        <v>0</v>
      </c>
      <c r="AD10" s="73">
        <f>ELEC!Q10</f>
        <v>0</v>
      </c>
      <c r="AE10" s="73" t="e">
        <f t="shared" si="25"/>
        <v>#DIV/0!</v>
      </c>
      <c r="AF10" s="403" t="e">
        <f t="shared" si="26"/>
        <v>#DIV/0!</v>
      </c>
      <c r="AG10" s="404" t="e">
        <f t="shared" si="27"/>
        <v>#DIV/0!</v>
      </c>
      <c r="AH10" s="404" t="e">
        <f t="shared" si="24"/>
        <v>#DIV/0!</v>
      </c>
      <c r="AI10" s="73">
        <f t="shared" si="28"/>
        <v>0</v>
      </c>
      <c r="AJ10" s="289">
        <f t="shared" si="9"/>
        <v>0.25738396624472576</v>
      </c>
      <c r="AK10" s="289">
        <f t="shared" si="31"/>
        <v>0</v>
      </c>
    </row>
    <row r="11" spans="1:37" ht="15" thickBot="1">
      <c r="A11" s="4">
        <f>ELEC!C11</f>
        <v>44236</v>
      </c>
      <c r="B11" s="541">
        <f t="shared" si="29"/>
        <v>9553</v>
      </c>
      <c r="C11" s="287">
        <f t="shared" si="11"/>
        <v>0</v>
      </c>
      <c r="D11" s="542">
        <f t="shared" si="30"/>
        <v>313688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9617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2"/>
        <v>0</v>
      </c>
      <c r="V11" s="287">
        <f t="shared" si="33"/>
        <v>0</v>
      </c>
      <c r="W11" s="338"/>
      <c r="X11" s="288">
        <f t="shared" si="20"/>
        <v>12141</v>
      </c>
      <c r="Y11" s="287" t="str">
        <f t="shared" si="34"/>
        <v>ok</v>
      </c>
      <c r="Z11" s="287">
        <f t="shared" si="8"/>
        <v>0</v>
      </c>
      <c r="AA11" s="287">
        <f t="shared" si="21"/>
        <v>0</v>
      </c>
      <c r="AB11" s="287">
        <f t="shared" si="22"/>
        <v>0</v>
      </c>
      <c r="AC11" s="287">
        <f t="shared" si="23"/>
        <v>0</v>
      </c>
      <c r="AD11" s="73">
        <f>ELEC!Q11</f>
        <v>0</v>
      </c>
      <c r="AE11" s="73" t="e">
        <f t="shared" si="25"/>
        <v>#DIV/0!</v>
      </c>
      <c r="AF11" s="403" t="e">
        <f t="shared" si="26"/>
        <v>#DIV/0!</v>
      </c>
      <c r="AG11" s="404" t="e">
        <f t="shared" si="27"/>
        <v>#DIV/0!</v>
      </c>
      <c r="AH11" s="404" t="e">
        <f t="shared" si="24"/>
        <v>#DIV/0!</v>
      </c>
      <c r="AI11" s="73">
        <f t="shared" si="28"/>
        <v>0</v>
      </c>
      <c r="AJ11" s="289">
        <f t="shared" si="9"/>
        <v>0.25738396624472576</v>
      </c>
      <c r="AK11" s="289">
        <f t="shared" si="31"/>
        <v>0</v>
      </c>
    </row>
    <row r="12" spans="1:37" ht="15" thickBot="1">
      <c r="A12" s="4">
        <f>ELEC!C12</f>
        <v>44237</v>
      </c>
      <c r="B12" s="541">
        <f t="shared" si="29"/>
        <v>9553</v>
      </c>
      <c r="C12" s="287">
        <f t="shared" si="11"/>
        <v>0</v>
      </c>
      <c r="D12" s="542">
        <f t="shared" si="30"/>
        <v>313688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9617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2"/>
        <v>0</v>
      </c>
      <c r="V12" s="287">
        <f t="shared" si="33"/>
        <v>0</v>
      </c>
      <c r="W12" s="338"/>
      <c r="X12" s="288">
        <f t="shared" si="20"/>
        <v>12141</v>
      </c>
      <c r="Y12" s="287" t="str">
        <f t="shared" si="34"/>
        <v>ok</v>
      </c>
      <c r="Z12" s="287">
        <f t="shared" si="8"/>
        <v>0</v>
      </c>
      <c r="AA12" s="287">
        <f t="shared" si="21"/>
        <v>0</v>
      </c>
      <c r="AB12" s="287">
        <f t="shared" si="22"/>
        <v>0</v>
      </c>
      <c r="AC12" s="287">
        <f t="shared" si="23"/>
        <v>0</v>
      </c>
      <c r="AD12" s="73">
        <f>ELEC!Q12</f>
        <v>0</v>
      </c>
      <c r="AE12" s="73" t="e">
        <f t="shared" si="25"/>
        <v>#DIV/0!</v>
      </c>
      <c r="AF12" s="403" t="e">
        <f t="shared" si="26"/>
        <v>#DIV/0!</v>
      </c>
      <c r="AG12" s="404" t="e">
        <f t="shared" si="27"/>
        <v>#DIV/0!</v>
      </c>
      <c r="AH12" s="404" t="e">
        <f t="shared" si="24"/>
        <v>#DIV/0!</v>
      </c>
      <c r="AI12" s="73">
        <f t="shared" si="28"/>
        <v>0</v>
      </c>
      <c r="AJ12" s="289">
        <f t="shared" si="9"/>
        <v>0.25738396624472576</v>
      </c>
      <c r="AK12" s="289">
        <f t="shared" si="31"/>
        <v>0</v>
      </c>
    </row>
    <row r="13" spans="1:37" ht="15" thickBot="1">
      <c r="A13" s="4">
        <f>ELEC!C13</f>
        <v>44238</v>
      </c>
      <c r="B13" s="541">
        <f t="shared" si="29"/>
        <v>9553</v>
      </c>
      <c r="C13" s="287">
        <f t="shared" si="11"/>
        <v>0</v>
      </c>
      <c r="D13" s="542">
        <f t="shared" si="30"/>
        <v>313688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9617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f t="shared" si="17"/>
        <v>11798</v>
      </c>
      <c r="S13" s="287">
        <f t="shared" si="5"/>
        <v>0</v>
      </c>
      <c r="T13" s="542">
        <f t="shared" si="18"/>
        <v>379229</v>
      </c>
      <c r="U13" s="287">
        <f t="shared" si="32"/>
        <v>0</v>
      </c>
      <c r="V13" s="287">
        <f t="shared" si="33"/>
        <v>0</v>
      </c>
      <c r="W13" s="338"/>
      <c r="X13" s="288">
        <f t="shared" si="20"/>
        <v>12141</v>
      </c>
      <c r="Y13" s="287" t="str">
        <f t="shared" si="34"/>
        <v>ok</v>
      </c>
      <c r="Z13" s="287">
        <f t="shared" si="8"/>
        <v>0</v>
      </c>
      <c r="AA13" s="287">
        <f t="shared" si="21"/>
        <v>0</v>
      </c>
      <c r="AB13" s="287">
        <f t="shared" si="22"/>
        <v>0</v>
      </c>
      <c r="AC13" s="287">
        <f t="shared" si="23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4"/>
        <v>#DIV/0!</v>
      </c>
      <c r="AI13" s="73">
        <f t="shared" si="28"/>
        <v>0</v>
      </c>
      <c r="AJ13" s="289">
        <f t="shared" si="9"/>
        <v>0.25738396624472576</v>
      </c>
      <c r="AK13" s="289">
        <f t="shared" si="31"/>
        <v>0</v>
      </c>
    </row>
    <row r="14" spans="1:37" ht="15" thickBot="1">
      <c r="A14" s="4">
        <f>ELEC!C14</f>
        <v>44239</v>
      </c>
      <c r="B14" s="541">
        <f t="shared" si="29"/>
        <v>9553</v>
      </c>
      <c r="C14" s="287">
        <f t="shared" si="11"/>
        <v>0</v>
      </c>
      <c r="D14" s="542">
        <f t="shared" si="30"/>
        <v>313688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9617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f t="shared" si="17"/>
        <v>11798</v>
      </c>
      <c r="S14" s="287">
        <f t="shared" si="5"/>
        <v>0</v>
      </c>
      <c r="T14" s="542">
        <f t="shared" si="18"/>
        <v>379229</v>
      </c>
      <c r="U14" s="287">
        <f t="shared" si="32"/>
        <v>0</v>
      </c>
      <c r="V14" s="287">
        <f t="shared" si="33"/>
        <v>0</v>
      </c>
      <c r="W14" s="338"/>
      <c r="X14" s="288">
        <f t="shared" si="20"/>
        <v>12141</v>
      </c>
      <c r="Y14" s="287" t="str">
        <f t="shared" si="34"/>
        <v>ok</v>
      </c>
      <c r="Z14" s="287">
        <f t="shared" si="8"/>
        <v>0</v>
      </c>
      <c r="AA14" s="287">
        <f t="shared" si="21"/>
        <v>0</v>
      </c>
      <c r="AB14" s="287">
        <f t="shared" si="22"/>
        <v>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9"/>
        <v>0.25738396624472576</v>
      </c>
      <c r="AK14" s="289">
        <f t="shared" si="31"/>
        <v>0</v>
      </c>
    </row>
    <row r="15" spans="1:37" ht="15" thickBot="1">
      <c r="A15" s="4">
        <f>ELEC!C15</f>
        <v>44240</v>
      </c>
      <c r="B15" s="541">
        <f t="shared" si="29"/>
        <v>9553</v>
      </c>
      <c r="C15" s="287">
        <f t="shared" si="11"/>
        <v>0</v>
      </c>
      <c r="D15" s="542">
        <f t="shared" si="30"/>
        <v>313688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9617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11798</v>
      </c>
      <c r="S15" s="287">
        <f t="shared" si="5"/>
        <v>0</v>
      </c>
      <c r="T15" s="542">
        <f t="shared" si="18"/>
        <v>379229</v>
      </c>
      <c r="U15" s="287">
        <f t="shared" si="32"/>
        <v>0</v>
      </c>
      <c r="V15" s="287">
        <f t="shared" si="33"/>
        <v>0</v>
      </c>
      <c r="W15" s="338"/>
      <c r="X15" s="288">
        <f t="shared" si="20"/>
        <v>12141</v>
      </c>
      <c r="Y15" s="287" t="str">
        <f t="shared" si="34"/>
        <v>ok</v>
      </c>
      <c r="Z15" s="287">
        <f t="shared" si="8"/>
        <v>0</v>
      </c>
      <c r="AA15" s="287">
        <f t="shared" si="21"/>
        <v>0</v>
      </c>
      <c r="AB15" s="287">
        <f t="shared" si="22"/>
        <v>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9"/>
        <v>0.25738396624472576</v>
      </c>
      <c r="AK15" s="289">
        <f t="shared" si="31"/>
        <v>0</v>
      </c>
    </row>
    <row r="16" spans="1:37" ht="15" thickBot="1">
      <c r="A16" s="4">
        <f>ELEC!C16</f>
        <v>44241</v>
      </c>
      <c r="B16" s="541">
        <f t="shared" si="29"/>
        <v>9553</v>
      </c>
      <c r="C16" s="287">
        <f t="shared" si="11"/>
        <v>0</v>
      </c>
      <c r="D16" s="542">
        <f t="shared" si="30"/>
        <v>313688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9617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11798</v>
      </c>
      <c r="S16" s="287">
        <f t="shared" si="5"/>
        <v>0</v>
      </c>
      <c r="T16" s="542">
        <f t="shared" si="18"/>
        <v>379229</v>
      </c>
      <c r="U16" s="287">
        <f t="shared" si="32"/>
        <v>0</v>
      </c>
      <c r="V16" s="287">
        <f t="shared" si="33"/>
        <v>0</v>
      </c>
      <c r="W16" s="338"/>
      <c r="X16" s="288">
        <f t="shared" si="20"/>
        <v>12141</v>
      </c>
      <c r="Y16" s="287" t="str">
        <f t="shared" si="34"/>
        <v>ok</v>
      </c>
      <c r="Z16" s="287">
        <f t="shared" si="8"/>
        <v>0</v>
      </c>
      <c r="AA16" s="287">
        <f t="shared" si="21"/>
        <v>0</v>
      </c>
      <c r="AB16" s="287">
        <f t="shared" si="22"/>
        <v>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9"/>
        <v>0.25738396624472576</v>
      </c>
      <c r="AK16" s="289">
        <f t="shared" si="31"/>
        <v>0</v>
      </c>
    </row>
    <row r="17" spans="1:37" ht="15" thickBot="1">
      <c r="A17" s="4">
        <f>ELEC!C17</f>
        <v>44242</v>
      </c>
      <c r="B17" s="541">
        <f t="shared" si="29"/>
        <v>9553</v>
      </c>
      <c r="C17" s="287">
        <f t="shared" si="11"/>
        <v>0</v>
      </c>
      <c r="D17" s="542">
        <f t="shared" si="30"/>
        <v>313688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9617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11798</v>
      </c>
      <c r="S17" s="287">
        <f t="shared" si="5"/>
        <v>0</v>
      </c>
      <c r="T17" s="542">
        <f t="shared" si="18"/>
        <v>379229</v>
      </c>
      <c r="U17" s="287">
        <f t="shared" si="32"/>
        <v>0</v>
      </c>
      <c r="V17" s="287">
        <f t="shared" si="33"/>
        <v>0</v>
      </c>
      <c r="W17" s="338"/>
      <c r="X17" s="288">
        <f t="shared" si="20"/>
        <v>12141</v>
      </c>
      <c r="Y17" s="287" t="str">
        <f t="shared" si="34"/>
        <v>ok</v>
      </c>
      <c r="Z17" s="287">
        <f t="shared" si="8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9"/>
        <v>0.25738396624472576</v>
      </c>
      <c r="AK17" s="289">
        <f t="shared" ref="AK17:AK30" si="35">IF(Z17&gt;0,AI17/Z17,0)</f>
        <v>0</v>
      </c>
    </row>
    <row r="18" spans="1:37" ht="15" thickBot="1">
      <c r="A18" s="4">
        <f>ELEC!C18</f>
        <v>44243</v>
      </c>
      <c r="B18" s="541">
        <f t="shared" si="29"/>
        <v>9553</v>
      </c>
      <c r="C18" s="287">
        <f t="shared" si="11"/>
        <v>0</v>
      </c>
      <c r="D18" s="542">
        <f t="shared" si="30"/>
        <v>313688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9617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11798</v>
      </c>
      <c r="S18" s="287">
        <f t="shared" si="5"/>
        <v>0</v>
      </c>
      <c r="T18" s="542">
        <f t="shared" si="18"/>
        <v>379229</v>
      </c>
      <c r="U18" s="287">
        <f t="shared" si="32"/>
        <v>0</v>
      </c>
      <c r="V18" s="287">
        <f t="shared" si="33"/>
        <v>0</v>
      </c>
      <c r="W18" s="338"/>
      <c r="X18" s="288">
        <f t="shared" si="20"/>
        <v>12141</v>
      </c>
      <c r="Y18" s="287" t="str">
        <f t="shared" si="34"/>
        <v>ok</v>
      </c>
      <c r="Z18" s="287">
        <f t="shared" si="8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9"/>
        <v>0.25738396624472576</v>
      </c>
      <c r="AK18" s="289">
        <f t="shared" si="35"/>
        <v>0</v>
      </c>
    </row>
    <row r="19" spans="1:37" ht="15" thickBot="1">
      <c r="A19" s="4">
        <f>ELEC!C19</f>
        <v>44244</v>
      </c>
      <c r="B19" s="541">
        <f t="shared" si="29"/>
        <v>9553</v>
      </c>
      <c r="C19" s="287">
        <f t="shared" si="11"/>
        <v>0</v>
      </c>
      <c r="D19" s="542">
        <f t="shared" si="30"/>
        <v>313688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9617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6">IF(J19-P19&lt;=0,"ok","oil change")</f>
        <v>ok</v>
      </c>
      <c r="R19" s="542">
        <f t="shared" si="17"/>
        <v>11798</v>
      </c>
      <c r="S19" s="287">
        <f t="shared" si="5"/>
        <v>0</v>
      </c>
      <c r="T19" s="542">
        <f t="shared" si="18"/>
        <v>379229</v>
      </c>
      <c r="U19" s="287">
        <f t="shared" si="32"/>
        <v>0</v>
      </c>
      <c r="V19" s="287">
        <f t="shared" si="33"/>
        <v>0</v>
      </c>
      <c r="W19" s="338"/>
      <c r="X19" s="288">
        <f t="shared" si="20"/>
        <v>12141</v>
      </c>
      <c r="Y19" s="287" t="str">
        <f t="shared" si="34"/>
        <v>ok</v>
      </c>
      <c r="Z19" s="287">
        <f t="shared" si="8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9"/>
        <v>0.25738396624472576</v>
      </c>
      <c r="AK19" s="289">
        <f t="shared" si="35"/>
        <v>0</v>
      </c>
    </row>
    <row r="20" spans="1:37" ht="15" thickBot="1">
      <c r="A20" s="4">
        <f>ELEC!C20</f>
        <v>44245</v>
      </c>
      <c r="B20" s="541">
        <f t="shared" si="29"/>
        <v>9553</v>
      </c>
      <c r="C20" s="287">
        <f>B20-B19</f>
        <v>0</v>
      </c>
      <c r="D20" s="542">
        <f t="shared" si="30"/>
        <v>313688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9617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6"/>
        <v>ok</v>
      </c>
      <c r="R20" s="542">
        <f t="shared" si="17"/>
        <v>11798</v>
      </c>
      <c r="S20" s="287">
        <f t="shared" si="5"/>
        <v>0</v>
      </c>
      <c r="T20" s="542">
        <f t="shared" si="18"/>
        <v>379229</v>
      </c>
      <c r="U20" s="287">
        <f t="shared" si="32"/>
        <v>0</v>
      </c>
      <c r="V20" s="287">
        <f t="shared" si="33"/>
        <v>0</v>
      </c>
      <c r="W20" s="338"/>
      <c r="X20" s="288">
        <f t="shared" si="20"/>
        <v>12141</v>
      </c>
      <c r="Y20" s="287" t="str">
        <f t="shared" si="34"/>
        <v>ok</v>
      </c>
      <c r="Z20" s="287">
        <f t="shared" si="8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9"/>
        <v>0.25738396624472576</v>
      </c>
      <c r="AK20" s="289">
        <f t="shared" si="35"/>
        <v>0</v>
      </c>
    </row>
    <row r="21" spans="1:37" ht="15" thickBot="1">
      <c r="A21" s="4">
        <f>ELEC!C21</f>
        <v>44246</v>
      </c>
      <c r="B21" s="541">
        <f t="shared" si="29"/>
        <v>9553</v>
      </c>
      <c r="C21" s="287">
        <f t="shared" ref="C21" si="37">B21-B20</f>
        <v>0</v>
      </c>
      <c r="D21" s="542">
        <f t="shared" si="30"/>
        <v>313688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9617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6"/>
        <v>ok</v>
      </c>
      <c r="R21" s="542">
        <f t="shared" si="17"/>
        <v>11798</v>
      </c>
      <c r="S21" s="287">
        <f t="shared" si="5"/>
        <v>0</v>
      </c>
      <c r="T21" s="542">
        <f t="shared" si="18"/>
        <v>379229</v>
      </c>
      <c r="U21" s="287">
        <f t="shared" ref="U21:U30" si="38">SUM(T21-T20)</f>
        <v>0</v>
      </c>
      <c r="V21" s="287">
        <f t="shared" si="19"/>
        <v>0</v>
      </c>
      <c r="W21" s="196"/>
      <c r="X21" s="288">
        <f t="shared" si="20"/>
        <v>12141</v>
      </c>
      <c r="Y21" s="287" t="str">
        <f>Y20</f>
        <v>ok</v>
      </c>
      <c r="Z21" s="287">
        <f t="shared" si="8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9"/>
        <v>0.25738396624472576</v>
      </c>
      <c r="AK21" s="289">
        <f t="shared" si="35"/>
        <v>0</v>
      </c>
    </row>
    <row r="22" spans="1:37" ht="15" thickBot="1">
      <c r="A22" s="4">
        <f>ELEC!C22</f>
        <v>44247</v>
      </c>
      <c r="B22" s="541">
        <f t="shared" si="29"/>
        <v>9553</v>
      </c>
      <c r="C22" s="287">
        <f t="shared" si="11"/>
        <v>0</v>
      </c>
      <c r="D22" s="542">
        <f t="shared" si="30"/>
        <v>313688</v>
      </c>
      <c r="E22" s="287">
        <f t="shared" si="12"/>
        <v>0</v>
      </c>
      <c r="F22" s="287">
        <f t="shared" si="0"/>
        <v>0</v>
      </c>
      <c r="G22" s="196"/>
      <c r="H22" s="270">
        <f t="shared" si="13"/>
        <v>9617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6"/>
        <v>ok</v>
      </c>
      <c r="R22" s="542">
        <f t="shared" si="17"/>
        <v>11798</v>
      </c>
      <c r="S22" s="287">
        <f t="shared" si="5"/>
        <v>0</v>
      </c>
      <c r="T22" s="542">
        <f t="shared" si="18"/>
        <v>379229</v>
      </c>
      <c r="U22" s="287">
        <f t="shared" si="38"/>
        <v>0</v>
      </c>
      <c r="V22" s="287">
        <f t="shared" si="19"/>
        <v>0</v>
      </c>
      <c r="W22" s="196"/>
      <c r="X22" s="288">
        <f t="shared" si="20"/>
        <v>12141</v>
      </c>
      <c r="Y22" s="287" t="str">
        <f t="shared" ref="Y22:Y30" si="39">IF(R22-X22&lt;=0,"ok","oil change")</f>
        <v>ok</v>
      </c>
      <c r="Z22" s="287">
        <f t="shared" si="8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9"/>
        <v>0.25738396624472576</v>
      </c>
      <c r="AK22" s="289">
        <f t="shared" si="35"/>
        <v>0</v>
      </c>
    </row>
    <row r="23" spans="1:37" ht="15" thickBot="1">
      <c r="A23" s="4">
        <f>ELEC!C23</f>
        <v>44248</v>
      </c>
      <c r="B23" s="541">
        <f t="shared" si="29"/>
        <v>9553</v>
      </c>
      <c r="C23" s="287">
        <f t="shared" si="11"/>
        <v>0</v>
      </c>
      <c r="D23" s="542">
        <f t="shared" si="30"/>
        <v>313688</v>
      </c>
      <c r="E23" s="287">
        <f t="shared" si="12"/>
        <v>0</v>
      </c>
      <c r="F23" s="287">
        <f t="shared" si="0"/>
        <v>0</v>
      </c>
      <c r="G23" s="196"/>
      <c r="H23" s="270">
        <f t="shared" si="13"/>
        <v>9617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6"/>
        <v>ok</v>
      </c>
      <c r="R23" s="542">
        <f t="shared" si="17"/>
        <v>11798</v>
      </c>
      <c r="S23" s="287">
        <f t="shared" si="5"/>
        <v>0</v>
      </c>
      <c r="T23" s="542">
        <f t="shared" si="18"/>
        <v>379229</v>
      </c>
      <c r="U23" s="287">
        <f t="shared" si="38"/>
        <v>0</v>
      </c>
      <c r="V23" s="287">
        <f t="shared" si="19"/>
        <v>0</v>
      </c>
      <c r="W23" s="196"/>
      <c r="X23" s="288">
        <f t="shared" si="20"/>
        <v>12141</v>
      </c>
      <c r="Y23" s="287" t="str">
        <f t="shared" si="39"/>
        <v>ok</v>
      </c>
      <c r="Z23" s="287">
        <f t="shared" si="8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9"/>
        <v>0.25738396624472576</v>
      </c>
      <c r="AK23" s="289">
        <f t="shared" si="35"/>
        <v>0</v>
      </c>
    </row>
    <row r="24" spans="1:37" ht="15" thickBot="1">
      <c r="A24" s="4">
        <f>ELEC!C24</f>
        <v>44249</v>
      </c>
      <c r="B24" s="541">
        <f t="shared" si="29"/>
        <v>9553</v>
      </c>
      <c r="C24" s="287">
        <f t="shared" si="11"/>
        <v>0</v>
      </c>
      <c r="D24" s="542">
        <f t="shared" si="30"/>
        <v>313688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9617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6"/>
        <v>ok</v>
      </c>
      <c r="R24" s="542">
        <f t="shared" si="17"/>
        <v>11798</v>
      </c>
      <c r="S24" s="287">
        <f t="shared" si="5"/>
        <v>0</v>
      </c>
      <c r="T24" s="542">
        <f t="shared" si="18"/>
        <v>379229</v>
      </c>
      <c r="U24" s="287">
        <f t="shared" si="38"/>
        <v>0</v>
      </c>
      <c r="V24" s="287">
        <f t="shared" si="19"/>
        <v>0</v>
      </c>
      <c r="W24" s="196"/>
      <c r="X24" s="288">
        <f t="shared" si="20"/>
        <v>12141</v>
      </c>
      <c r="Y24" s="287" t="str">
        <f t="shared" si="39"/>
        <v>ok</v>
      </c>
      <c r="Z24" s="287">
        <f t="shared" si="8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9"/>
        <v>0.25738396624472576</v>
      </c>
      <c r="AK24" s="289">
        <f t="shared" si="35"/>
        <v>0</v>
      </c>
    </row>
    <row r="25" spans="1:37" ht="15" thickBot="1">
      <c r="A25" s="4">
        <f>ELEC!C25</f>
        <v>44250</v>
      </c>
      <c r="B25" s="541">
        <f t="shared" si="29"/>
        <v>9553</v>
      </c>
      <c r="C25" s="287">
        <f t="shared" si="11"/>
        <v>0</v>
      </c>
      <c r="D25" s="542">
        <f t="shared" si="30"/>
        <v>313688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9617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6"/>
        <v>ok</v>
      </c>
      <c r="R25" s="542">
        <f t="shared" si="17"/>
        <v>11798</v>
      </c>
      <c r="S25" s="287">
        <f t="shared" si="5"/>
        <v>0</v>
      </c>
      <c r="T25" s="542">
        <f t="shared" si="18"/>
        <v>379229</v>
      </c>
      <c r="U25" s="287">
        <f t="shared" si="38"/>
        <v>0</v>
      </c>
      <c r="V25" s="287">
        <f t="shared" si="19"/>
        <v>0</v>
      </c>
      <c r="W25" s="196"/>
      <c r="X25" s="288">
        <f t="shared" si="20"/>
        <v>12141</v>
      </c>
      <c r="Y25" s="287" t="str">
        <f t="shared" si="39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9"/>
        <v>0.25738396624472576</v>
      </c>
      <c r="AK25" s="289">
        <f t="shared" si="35"/>
        <v>0</v>
      </c>
    </row>
    <row r="26" spans="1:37" ht="15" thickBot="1">
      <c r="A26" s="4">
        <f>ELEC!C26</f>
        <v>44251</v>
      </c>
      <c r="B26" s="541">
        <f t="shared" si="29"/>
        <v>9553</v>
      </c>
      <c r="C26" s="287">
        <f t="shared" si="11"/>
        <v>0</v>
      </c>
      <c r="D26" s="542">
        <f t="shared" si="30"/>
        <v>313688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9617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6"/>
        <v>ok</v>
      </c>
      <c r="R26" s="542">
        <f t="shared" si="17"/>
        <v>11798</v>
      </c>
      <c r="S26" s="287">
        <f t="shared" si="5"/>
        <v>0</v>
      </c>
      <c r="T26" s="542">
        <f t="shared" si="18"/>
        <v>379229</v>
      </c>
      <c r="U26" s="287">
        <f t="shared" si="38"/>
        <v>0</v>
      </c>
      <c r="V26" s="287">
        <f t="shared" si="19"/>
        <v>0</v>
      </c>
      <c r="W26" s="196"/>
      <c r="X26" s="288">
        <f t="shared" si="20"/>
        <v>12141</v>
      </c>
      <c r="Y26" s="287" t="str">
        <f t="shared" si="39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9"/>
        <v>0.25738396624472576</v>
      </c>
      <c r="AK26" s="289">
        <f t="shared" si="35"/>
        <v>0</v>
      </c>
    </row>
    <row r="27" spans="1:37" ht="15" thickBot="1">
      <c r="A27" s="4">
        <f>ELEC!C27</f>
        <v>44252</v>
      </c>
      <c r="B27" s="541">
        <f t="shared" si="29"/>
        <v>9553</v>
      </c>
      <c r="C27" s="287">
        <f t="shared" si="11"/>
        <v>0</v>
      </c>
      <c r="D27" s="542">
        <f t="shared" si="30"/>
        <v>313688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9617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6"/>
        <v>ok</v>
      </c>
      <c r="R27" s="542">
        <f t="shared" si="17"/>
        <v>11798</v>
      </c>
      <c r="S27" s="287">
        <f t="shared" si="5"/>
        <v>0</v>
      </c>
      <c r="T27" s="542">
        <f t="shared" si="18"/>
        <v>379229</v>
      </c>
      <c r="U27" s="287">
        <f t="shared" si="38"/>
        <v>0</v>
      </c>
      <c r="V27" s="287">
        <f t="shared" si="19"/>
        <v>0</v>
      </c>
      <c r="W27" s="196"/>
      <c r="X27" s="288">
        <f t="shared" si="20"/>
        <v>12141</v>
      </c>
      <c r="Y27" s="287" t="str">
        <f t="shared" si="39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5"/>
        <v>0</v>
      </c>
    </row>
    <row r="28" spans="1:37" ht="15" thickBot="1">
      <c r="A28" s="4">
        <f>ELEC!C28</f>
        <v>44253</v>
      </c>
      <c r="B28" s="541">
        <f t="shared" si="29"/>
        <v>9553</v>
      </c>
      <c r="C28" s="287">
        <f t="shared" si="11"/>
        <v>0</v>
      </c>
      <c r="D28" s="542">
        <f t="shared" si="30"/>
        <v>313688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9617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6"/>
        <v>ok</v>
      </c>
      <c r="R28" s="542">
        <f t="shared" si="17"/>
        <v>11798</v>
      </c>
      <c r="S28" s="287">
        <f t="shared" si="5"/>
        <v>0</v>
      </c>
      <c r="T28" s="542">
        <f t="shared" si="18"/>
        <v>379229</v>
      </c>
      <c r="U28" s="287">
        <f t="shared" si="38"/>
        <v>0</v>
      </c>
      <c r="V28" s="287">
        <f t="shared" si="19"/>
        <v>0</v>
      </c>
      <c r="W28" s="196"/>
      <c r="X28" s="288">
        <f t="shared" si="20"/>
        <v>12141</v>
      </c>
      <c r="Y28" s="287" t="str">
        <f t="shared" si="39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5"/>
        <v>0</v>
      </c>
    </row>
    <row r="29" spans="1:37" ht="15" thickBot="1">
      <c r="A29" s="4">
        <f>ELEC!C29</f>
        <v>44254</v>
      </c>
      <c r="B29" s="541">
        <f t="shared" si="29"/>
        <v>9553</v>
      </c>
      <c r="C29" s="287">
        <f t="shared" si="11"/>
        <v>0</v>
      </c>
      <c r="D29" s="542">
        <f t="shared" si="30"/>
        <v>313688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9617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6"/>
        <v>ok</v>
      </c>
      <c r="R29" s="542">
        <f t="shared" si="17"/>
        <v>11798</v>
      </c>
      <c r="S29" s="287">
        <f t="shared" si="5"/>
        <v>0</v>
      </c>
      <c r="T29" s="542">
        <f t="shared" si="18"/>
        <v>379229</v>
      </c>
      <c r="U29" s="287">
        <f t="shared" si="38"/>
        <v>0</v>
      </c>
      <c r="V29" s="287">
        <f t="shared" si="19"/>
        <v>0</v>
      </c>
      <c r="W29" s="196"/>
      <c r="X29" s="288">
        <f t="shared" si="20"/>
        <v>12141</v>
      </c>
      <c r="Y29" s="287" t="str">
        <f t="shared" si="39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5"/>
        <v>0</v>
      </c>
    </row>
    <row r="30" spans="1:37">
      <c r="A30" s="4">
        <f>ELEC!C30</f>
        <v>44255</v>
      </c>
      <c r="B30" s="541">
        <f t="shared" si="29"/>
        <v>9553</v>
      </c>
      <c r="C30" s="287">
        <f t="shared" si="11"/>
        <v>0</v>
      </c>
      <c r="D30" s="542">
        <f t="shared" si="30"/>
        <v>313688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9617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6"/>
        <v>ok</v>
      </c>
      <c r="R30" s="542">
        <f t="shared" si="17"/>
        <v>11798</v>
      </c>
      <c r="S30" s="287">
        <f t="shared" si="5"/>
        <v>0</v>
      </c>
      <c r="T30" s="542">
        <f t="shared" si="18"/>
        <v>379229</v>
      </c>
      <c r="U30" s="287">
        <f t="shared" si="38"/>
        <v>0</v>
      </c>
      <c r="V30" s="287">
        <f t="shared" si="19"/>
        <v>0</v>
      </c>
      <c r="W30" s="285"/>
      <c r="X30" s="288">
        <f t="shared" si="20"/>
        <v>12141</v>
      </c>
      <c r="Y30" s="287" t="str">
        <f t="shared" si="39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5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15</v>
      </c>
      <c r="V31" s="40"/>
      <c r="X31">
        <v>341</v>
      </c>
      <c r="Z31" s="421">
        <f>SUM(Z3:Z30)</f>
        <v>15</v>
      </c>
    </row>
    <row r="32" spans="1:37">
      <c r="C32" s="40">
        <f>SUM(C3:C30)</f>
        <v>15</v>
      </c>
      <c r="K32" s="40">
        <f>SUM(K3:K30)</f>
        <v>0</v>
      </c>
      <c r="S32" s="40">
        <f>SUM(S3:S30)</f>
        <v>0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topLeftCell="G1" zoomScale="80" zoomScaleNormal="80" workbookViewId="0">
      <selection activeCell="S7" sqref="S7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24.484154059633802</v>
      </c>
      <c r="P4" s="297">
        <f>SUM(L4:O4)</f>
        <v>258.90670795681456</v>
      </c>
      <c r="Q4" s="297">
        <f>SUM(-tanks!AX6*tanks!$AU$34)</f>
        <v>75.920967741934291</v>
      </c>
      <c r="R4" s="297">
        <f>SUM(P4:Q4)</f>
        <v>334.82767569874886</v>
      </c>
      <c r="S4" s="299">
        <f>SUM(ELEC!N3)</f>
        <v>6404.3999999999069</v>
      </c>
      <c r="T4" s="336">
        <f>IF(S4&gt;0,R4/S4,0)</f>
        <v>5.2280881222090084E-2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6"/>
      <c r="AC4" s="657"/>
    </row>
    <row r="5" spans="1:32" ht="1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24.484154059633802</v>
      </c>
      <c r="P5" s="297">
        <f t="shared" ref="P5:P31" si="9">SUM(L5:O5)</f>
        <v>243.99460182082782</v>
      </c>
      <c r="Q5" s="297">
        <f>SUM(-tanks!AX7*tanks!$AU$34)</f>
        <v>68.60322580645007</v>
      </c>
      <c r="R5" s="297">
        <f t="shared" ref="R5:R31" si="10">SUM(P5:Q5)</f>
        <v>312.59782762727787</v>
      </c>
      <c r="S5" s="299">
        <f>SUM(ELEC!N4)</f>
        <v>6622</v>
      </c>
      <c r="T5" s="336">
        <f>IF(S5&gt;0,R5/S5,0)</f>
        <v>4.7205954036133778E-2</v>
      </c>
      <c r="U5" s="250"/>
      <c r="V5" s="650"/>
      <c r="W5" s="651"/>
      <c r="X5" s="651"/>
      <c r="Y5" s="652"/>
      <c r="Z5" s="26" t="s">
        <v>203</v>
      </c>
      <c r="AA5" s="264">
        <f>'[7]EDl log'!AA22</f>
        <v>5000</v>
      </c>
      <c r="AB5" s="658"/>
      <c r="AC5" s="659"/>
    </row>
    <row r="6" spans="1:32" ht="1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24.484154059633802</v>
      </c>
      <c r="P6" s="297">
        <f t="shared" si="9"/>
        <v>190.93722205300031</v>
      </c>
      <c r="Q6" s="297">
        <f>SUM(-tanks!AX8*tanks!$AU$34)</f>
        <v>93.770967741937795</v>
      </c>
      <c r="R6" s="297">
        <f t="shared" si="10"/>
        <v>284.70818979493811</v>
      </c>
      <c r="S6" s="299">
        <f>SUM(ELEC!N5)</f>
        <v>6753</v>
      </c>
      <c r="T6" s="336">
        <f t="shared" ref="T6:T31" si="12">IF(S6&gt;0,R6/S6,0)</f>
        <v>4.2160253190424719E-2</v>
      </c>
      <c r="V6" s="653"/>
      <c r="W6" s="654"/>
      <c r="X6" s="654"/>
      <c r="Y6" s="655"/>
      <c r="Z6" s="3"/>
      <c r="AA6" s="3"/>
      <c r="AB6" s="658"/>
      <c r="AC6" s="659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24.484154059633802</v>
      </c>
      <c r="P7" s="297">
        <f t="shared" si="9"/>
        <v>233.17934477273496</v>
      </c>
      <c r="Q7" s="297">
        <f>SUM(-tanks!AX9*tanks!$AU$34)</f>
        <v>91.270967741936332</v>
      </c>
      <c r="R7" s="297">
        <f t="shared" si="10"/>
        <v>324.45031251467128</v>
      </c>
      <c r="S7" s="299">
        <f>SUM(ELEC!N6)</f>
        <v>6587</v>
      </c>
      <c r="T7" s="336">
        <f t="shared" si="12"/>
        <v>4.9256157964881017E-2</v>
      </c>
      <c r="V7" s="646" t="s">
        <v>204</v>
      </c>
      <c r="W7" s="647"/>
      <c r="X7" s="648" t="s">
        <v>205</v>
      </c>
      <c r="Y7" s="649"/>
      <c r="Z7" s="647"/>
      <c r="AA7" s="26"/>
      <c r="AB7" s="660"/>
      <c r="AC7" s="661"/>
    </row>
    <row r="8" spans="1:32" ht="15.75" customHeight="1" thickBot="1">
      <c r="A8" s="163">
        <f>ELEC!C7</f>
        <v>44232</v>
      </c>
      <c r="B8" s="540">
        <f t="shared" ref="B7:B31" si="13">B7</f>
        <v>862596</v>
      </c>
      <c r="C8" s="264">
        <f t="shared" si="0"/>
        <v>0</v>
      </c>
      <c r="D8" s="308">
        <f t="shared" si="8"/>
        <v>0</v>
      </c>
      <c r="E8" s="308">
        <f t="shared" si="11"/>
        <v>862596</v>
      </c>
      <c r="F8" s="540">
        <f t="shared" ref="F7:J31" si="14">F7</f>
        <v>130413</v>
      </c>
      <c r="G8" s="160">
        <f t="shared" si="1"/>
        <v>0</v>
      </c>
      <c r="H8" s="540">
        <f t="shared" si="14"/>
        <v>430047</v>
      </c>
      <c r="I8" s="161">
        <f t="shared" si="2"/>
        <v>0</v>
      </c>
      <c r="J8" s="540">
        <f t="shared" si="14"/>
        <v>302135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7"/>
        <v>24.484154059633802</v>
      </c>
      <c r="P8" s="297">
        <f t="shared" si="9"/>
        <v>24.484154059633802</v>
      </c>
      <c r="Q8" s="297">
        <f>SUM(-tanks!AX10*tanks!$AU$34)</f>
        <v>0</v>
      </c>
      <c r="R8" s="297">
        <f t="shared" si="10"/>
        <v>24.484154059633802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44233</v>
      </c>
      <c r="B9" s="540">
        <f t="shared" si="13"/>
        <v>862596</v>
      </c>
      <c r="C9" s="264">
        <f t="shared" si="0"/>
        <v>0</v>
      </c>
      <c r="D9" s="308">
        <f t="shared" si="8"/>
        <v>0</v>
      </c>
      <c r="E9" s="308">
        <f t="shared" si="11"/>
        <v>862596</v>
      </c>
      <c r="F9" s="540">
        <f t="shared" si="14"/>
        <v>130413</v>
      </c>
      <c r="G9" s="160">
        <f t="shared" si="1"/>
        <v>0</v>
      </c>
      <c r="H9" s="540">
        <f t="shared" si="14"/>
        <v>430047</v>
      </c>
      <c r="I9" s="161">
        <f t="shared" si="2"/>
        <v>0</v>
      </c>
      <c r="J9" s="540">
        <f t="shared" si="14"/>
        <v>302135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7"/>
        <v>24.484154059633802</v>
      </c>
      <c r="P9" s="297">
        <f t="shared" si="9"/>
        <v>24.484154059633802</v>
      </c>
      <c r="Q9" s="297">
        <f>SUM(-tanks!AX11*tanks!$AU$34)</f>
        <v>0</v>
      </c>
      <c r="R9" s="297">
        <f>SUM(P9:Q9)</f>
        <v>24.484154059633802</v>
      </c>
      <c r="S9" s="299">
        <f>SUM(ELEC!N8)</f>
        <v>0</v>
      </c>
      <c r="T9" s="336">
        <f t="shared" si="12"/>
        <v>0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" thickBot="1">
      <c r="A10" s="163">
        <f>ELEC!C9</f>
        <v>44234</v>
      </c>
      <c r="B10" s="540">
        <f t="shared" si="13"/>
        <v>862596</v>
      </c>
      <c r="C10" s="264">
        <f t="shared" si="0"/>
        <v>0</v>
      </c>
      <c r="D10" s="308">
        <f t="shared" si="8"/>
        <v>0</v>
      </c>
      <c r="E10" s="308">
        <f t="shared" si="11"/>
        <v>862596</v>
      </c>
      <c r="F10" s="540">
        <f t="shared" si="14"/>
        <v>130413</v>
      </c>
      <c r="G10" s="160">
        <f t="shared" si="1"/>
        <v>0</v>
      </c>
      <c r="H10" s="540">
        <f t="shared" si="14"/>
        <v>430047</v>
      </c>
      <c r="I10" s="161">
        <f t="shared" si="2"/>
        <v>0</v>
      </c>
      <c r="J10" s="540">
        <f t="shared" si="14"/>
        <v>302135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7"/>
        <v>24.484154059633802</v>
      </c>
      <c r="P10" s="297">
        <f t="shared" si="9"/>
        <v>24.484154059633802</v>
      </c>
      <c r="Q10" s="297">
        <f>SUM(-tanks!AX12*tanks!$AU$34)</f>
        <v>0</v>
      </c>
      <c r="R10" s="297">
        <f t="shared" si="10"/>
        <v>24.484154059633802</v>
      </c>
      <c r="S10" s="299">
        <f>SUM(ELEC!N9)</f>
        <v>0</v>
      </c>
      <c r="T10" s="336">
        <f t="shared" si="12"/>
        <v>0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" thickBot="1">
      <c r="A11" s="163">
        <f>ELEC!C10</f>
        <v>44235</v>
      </c>
      <c r="B11" s="540">
        <f t="shared" si="13"/>
        <v>862596</v>
      </c>
      <c r="C11" s="264">
        <f t="shared" si="0"/>
        <v>0</v>
      </c>
      <c r="D11" s="308">
        <f>SUM(G11+I11+K11)</f>
        <v>0</v>
      </c>
      <c r="E11" s="308">
        <f t="shared" si="11"/>
        <v>862596</v>
      </c>
      <c r="F11" s="540">
        <f t="shared" si="14"/>
        <v>130413</v>
      </c>
      <c r="G11" s="160">
        <f t="shared" si="1"/>
        <v>0</v>
      </c>
      <c r="H11" s="540">
        <f t="shared" si="14"/>
        <v>430047</v>
      </c>
      <c r="I11" s="161">
        <f t="shared" si="2"/>
        <v>0</v>
      </c>
      <c r="J11" s="540">
        <f t="shared" si="14"/>
        <v>302135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7"/>
        <v>24.484154059633802</v>
      </c>
      <c r="P11" s="297">
        <f t="shared" si="9"/>
        <v>24.484154059633802</v>
      </c>
      <c r="Q11" s="297">
        <f>SUM(-tanks!AX13*tanks!$AU$34)</f>
        <v>0</v>
      </c>
      <c r="R11" s="297">
        <f t="shared" si="10"/>
        <v>24.484154059633802</v>
      </c>
      <c r="S11" s="299">
        <f>SUM(ELEC!N10)</f>
        <v>0</v>
      </c>
      <c r="T11" s="336">
        <f t="shared" si="12"/>
        <v>0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" thickBot="1">
      <c r="A12" s="163">
        <f>ELEC!C11</f>
        <v>44236</v>
      </c>
      <c r="B12" s="540">
        <f t="shared" si="13"/>
        <v>862596</v>
      </c>
      <c r="C12" s="264">
        <f t="shared" si="0"/>
        <v>0</v>
      </c>
      <c r="D12" s="308">
        <f t="shared" si="8"/>
        <v>0</v>
      </c>
      <c r="E12" s="308">
        <f t="shared" si="11"/>
        <v>862596</v>
      </c>
      <c r="F12" s="540">
        <f t="shared" si="14"/>
        <v>130413</v>
      </c>
      <c r="G12" s="160">
        <f t="shared" si="1"/>
        <v>0</v>
      </c>
      <c r="H12" s="540">
        <f t="shared" si="14"/>
        <v>430047</v>
      </c>
      <c r="I12" s="161">
        <f t="shared" si="2"/>
        <v>0</v>
      </c>
      <c r="J12" s="540">
        <f t="shared" si="14"/>
        <v>302135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7"/>
        <v>24.484154059633802</v>
      </c>
      <c r="P12" s="297">
        <f t="shared" si="9"/>
        <v>24.484154059633802</v>
      </c>
      <c r="Q12" s="297">
        <f>SUM(-tanks!AX14*tanks!$AU$34)</f>
        <v>0</v>
      </c>
      <c r="R12" s="297">
        <f t="shared" si="10"/>
        <v>24.484154059633802</v>
      </c>
      <c r="S12" s="299">
        <f>SUM(ELEC!N11)</f>
        <v>0</v>
      </c>
      <c r="T12" s="336">
        <f t="shared" si="12"/>
        <v>0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" thickBot="1">
      <c r="A13" s="163">
        <f>ELEC!C12</f>
        <v>44237</v>
      </c>
      <c r="B13" s="540">
        <f t="shared" si="13"/>
        <v>862596</v>
      </c>
      <c r="C13" s="264">
        <f t="shared" si="0"/>
        <v>0</v>
      </c>
      <c r="D13" s="308">
        <f t="shared" si="8"/>
        <v>0</v>
      </c>
      <c r="E13" s="308">
        <f t="shared" si="11"/>
        <v>862596</v>
      </c>
      <c r="F13" s="540">
        <f t="shared" si="14"/>
        <v>130413</v>
      </c>
      <c r="G13" s="160">
        <f t="shared" si="1"/>
        <v>0</v>
      </c>
      <c r="H13" s="540">
        <f t="shared" si="14"/>
        <v>430047</v>
      </c>
      <c r="I13" s="161">
        <f t="shared" si="2"/>
        <v>0</v>
      </c>
      <c r="J13" s="540">
        <f t="shared" si="14"/>
        <v>302135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24.484154059633802</v>
      </c>
      <c r="P13" s="297">
        <f t="shared" si="9"/>
        <v>24.484154059633802</v>
      </c>
      <c r="Q13" s="297">
        <f>SUM(-tanks!AX15*tanks!$AU$34)</f>
        <v>0</v>
      </c>
      <c r="R13" s="297">
        <f t="shared" si="10"/>
        <v>24.484154059633802</v>
      </c>
      <c r="S13" s="299">
        <f>SUM(ELEC!N12)</f>
        <v>0</v>
      </c>
      <c r="T13" s="336">
        <f>IF(S13&gt;0,R13/S13,0)</f>
        <v>0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" thickBot="1">
      <c r="A14" s="163">
        <f>ELEC!C13</f>
        <v>44238</v>
      </c>
      <c r="B14" s="540">
        <f t="shared" si="13"/>
        <v>862596</v>
      </c>
      <c r="C14" s="264">
        <f t="shared" si="0"/>
        <v>0</v>
      </c>
      <c r="D14" s="308">
        <f t="shared" si="8"/>
        <v>0</v>
      </c>
      <c r="E14" s="308">
        <f t="shared" si="11"/>
        <v>862596</v>
      </c>
      <c r="F14" s="540">
        <f t="shared" si="14"/>
        <v>130413</v>
      </c>
      <c r="G14" s="160">
        <f t="shared" si="1"/>
        <v>0</v>
      </c>
      <c r="H14" s="540">
        <f t="shared" si="14"/>
        <v>430047</v>
      </c>
      <c r="I14" s="161">
        <f t="shared" si="2"/>
        <v>0</v>
      </c>
      <c r="J14" s="540">
        <f t="shared" si="14"/>
        <v>302135</v>
      </c>
      <c r="K14" s="162">
        <f t="shared" ref="K14:K17" si="15">J14-J13</f>
        <v>0</v>
      </c>
      <c r="L14" s="296">
        <f t="shared" ref="L14:L17" si="16">SUM(G14*$Y$28)/1507.5</f>
        <v>0</v>
      </c>
      <c r="M14" s="296">
        <f t="shared" ref="M14:M17" si="17">SUM(I14*$Y$27)/1507.5</f>
        <v>0</v>
      </c>
      <c r="N14" s="296">
        <f t="shared" ref="N14:N17" si="18">SUM(K14*$Y$26)/1507.5</f>
        <v>0</v>
      </c>
      <c r="O14" s="296">
        <f t="shared" si="7"/>
        <v>24.484154059633802</v>
      </c>
      <c r="P14" s="297">
        <f t="shared" ref="P14:P17" si="19">SUM(L14:O14)</f>
        <v>24.484154059633802</v>
      </c>
      <c r="Q14" s="297">
        <f>SUM(-tanks!AX16*tanks!$AU$34)</f>
        <v>0</v>
      </c>
      <c r="R14" s="297">
        <f t="shared" ref="R14:R17" si="20">SUM(P14:Q14)</f>
        <v>24.484154059633802</v>
      </c>
      <c r="S14" s="299">
        <f>SUM(ELEC!N13)</f>
        <v>0</v>
      </c>
      <c r="T14" s="336">
        <f t="shared" ref="T14:T17" si="21">IF(S14&gt;0,R14/S14,0)</f>
        <v>0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" thickBot="1">
      <c r="A15" s="163">
        <f>ELEC!C14</f>
        <v>44239</v>
      </c>
      <c r="B15" s="540">
        <f t="shared" si="13"/>
        <v>862596</v>
      </c>
      <c r="C15" s="264">
        <f t="shared" si="0"/>
        <v>0</v>
      </c>
      <c r="D15" s="308">
        <f t="shared" si="8"/>
        <v>0</v>
      </c>
      <c r="E15" s="308">
        <f t="shared" si="11"/>
        <v>862596</v>
      </c>
      <c r="F15" s="540">
        <f t="shared" si="14"/>
        <v>130413</v>
      </c>
      <c r="G15" s="160">
        <f t="shared" si="1"/>
        <v>0</v>
      </c>
      <c r="H15" s="540">
        <f t="shared" si="14"/>
        <v>430047</v>
      </c>
      <c r="I15" s="161">
        <f t="shared" si="2"/>
        <v>0</v>
      </c>
      <c r="J15" s="540">
        <f t="shared" si="14"/>
        <v>302135</v>
      </c>
      <c r="K15" s="162">
        <f t="shared" si="15"/>
        <v>0</v>
      </c>
      <c r="L15" s="296">
        <f t="shared" si="16"/>
        <v>0</v>
      </c>
      <c r="M15" s="296">
        <f t="shared" si="17"/>
        <v>0</v>
      </c>
      <c r="N15" s="296">
        <f t="shared" si="18"/>
        <v>0</v>
      </c>
      <c r="O15" s="296">
        <f t="shared" si="7"/>
        <v>24.484154059633802</v>
      </c>
      <c r="P15" s="297">
        <f t="shared" si="19"/>
        <v>24.484154059633802</v>
      </c>
      <c r="Q15" s="297">
        <f>SUM(-tanks!AX17*tanks!$AU$34)</f>
        <v>0</v>
      </c>
      <c r="R15" s="297">
        <f t="shared" si="20"/>
        <v>24.484154059633802</v>
      </c>
      <c r="S15" s="299">
        <f>SUM(ELEC!N14)</f>
        <v>0</v>
      </c>
      <c r="T15" s="336">
        <f t="shared" si="21"/>
        <v>0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" thickBot="1">
      <c r="A16" s="163">
        <f>ELEC!C15</f>
        <v>44240</v>
      </c>
      <c r="B16" s="540">
        <f t="shared" si="13"/>
        <v>862596</v>
      </c>
      <c r="C16" s="264">
        <f t="shared" si="0"/>
        <v>0</v>
      </c>
      <c r="D16" s="308">
        <f t="shared" si="8"/>
        <v>0</v>
      </c>
      <c r="E16" s="308">
        <f t="shared" si="11"/>
        <v>862596</v>
      </c>
      <c r="F16" s="540">
        <f t="shared" si="14"/>
        <v>130413</v>
      </c>
      <c r="G16" s="160">
        <f t="shared" si="1"/>
        <v>0</v>
      </c>
      <c r="H16" s="540">
        <f t="shared" si="14"/>
        <v>430047</v>
      </c>
      <c r="I16" s="161">
        <f t="shared" si="2"/>
        <v>0</v>
      </c>
      <c r="J16" s="540">
        <f t="shared" si="14"/>
        <v>302135</v>
      </c>
      <c r="K16" s="162">
        <f t="shared" si="15"/>
        <v>0</v>
      </c>
      <c r="L16" s="296">
        <f t="shared" si="16"/>
        <v>0</v>
      </c>
      <c r="M16" s="296">
        <f t="shared" si="17"/>
        <v>0</v>
      </c>
      <c r="N16" s="296">
        <f t="shared" si="18"/>
        <v>0</v>
      </c>
      <c r="O16" s="296">
        <f t="shared" si="7"/>
        <v>24.484154059633802</v>
      </c>
      <c r="P16" s="297">
        <f t="shared" si="19"/>
        <v>24.484154059633802</v>
      </c>
      <c r="Q16" s="297">
        <f>SUM(-tanks!AX18*tanks!$AU$34)</f>
        <v>0</v>
      </c>
      <c r="R16" s="297">
        <f t="shared" si="20"/>
        <v>24.484154059633802</v>
      </c>
      <c r="S16" s="299">
        <f>SUM(ELEC!N15)</f>
        <v>0</v>
      </c>
      <c r="T16" s="336">
        <f t="shared" si="21"/>
        <v>0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" thickBot="1">
      <c r="A17" s="163">
        <f>ELEC!C16</f>
        <v>44241</v>
      </c>
      <c r="B17" s="540">
        <f t="shared" si="13"/>
        <v>862596</v>
      </c>
      <c r="C17" s="264">
        <f t="shared" si="0"/>
        <v>0</v>
      </c>
      <c r="D17" s="308">
        <f t="shared" si="8"/>
        <v>0</v>
      </c>
      <c r="E17" s="308">
        <f t="shared" si="11"/>
        <v>862596</v>
      </c>
      <c r="F17" s="540">
        <f t="shared" si="14"/>
        <v>130413</v>
      </c>
      <c r="G17" s="160">
        <f t="shared" si="1"/>
        <v>0</v>
      </c>
      <c r="H17" s="540">
        <f t="shared" si="14"/>
        <v>430047</v>
      </c>
      <c r="I17" s="161">
        <f t="shared" si="2"/>
        <v>0</v>
      </c>
      <c r="J17" s="540">
        <f t="shared" si="14"/>
        <v>302135</v>
      </c>
      <c r="K17" s="162">
        <f t="shared" si="15"/>
        <v>0</v>
      </c>
      <c r="L17" s="296">
        <f t="shared" si="16"/>
        <v>0</v>
      </c>
      <c r="M17" s="296">
        <f t="shared" si="17"/>
        <v>0</v>
      </c>
      <c r="N17" s="296">
        <f t="shared" si="18"/>
        <v>0</v>
      </c>
      <c r="O17" s="296">
        <f t="shared" si="7"/>
        <v>24.484154059633802</v>
      </c>
      <c r="P17" s="297">
        <f t="shared" si="19"/>
        <v>24.484154059633802</v>
      </c>
      <c r="Q17" s="297">
        <f>SUM(-tanks!AX19*tanks!$AU$34)</f>
        <v>0</v>
      </c>
      <c r="R17" s="297">
        <f t="shared" si="20"/>
        <v>24.484154059633802</v>
      </c>
      <c r="S17" s="299">
        <f>SUM(ELEC!N16)</f>
        <v>0</v>
      </c>
      <c r="T17" s="336">
        <f t="shared" si="21"/>
        <v>0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" thickBot="1">
      <c r="A18" s="163">
        <f>ELEC!C17</f>
        <v>44242</v>
      </c>
      <c r="B18" s="540">
        <f t="shared" si="13"/>
        <v>862596</v>
      </c>
      <c r="C18" s="264">
        <f t="shared" si="0"/>
        <v>0</v>
      </c>
      <c r="D18" s="308">
        <f t="shared" si="8"/>
        <v>0</v>
      </c>
      <c r="E18" s="308">
        <f t="shared" si="11"/>
        <v>862596</v>
      </c>
      <c r="F18" s="540">
        <f t="shared" si="14"/>
        <v>130413</v>
      </c>
      <c r="G18" s="160">
        <f t="shared" si="1"/>
        <v>0</v>
      </c>
      <c r="H18" s="540">
        <f t="shared" si="14"/>
        <v>430047</v>
      </c>
      <c r="I18" s="161">
        <f t="shared" si="2"/>
        <v>0</v>
      </c>
      <c r="J18" s="540">
        <f t="shared" si="14"/>
        <v>302135</v>
      </c>
      <c r="K18" s="162">
        <f t="shared" si="3"/>
        <v>0</v>
      </c>
      <c r="L18" s="296">
        <f t="shared" ref="L18:L31" si="22">SUM(G18*$Y$28)/1507.5</f>
        <v>0</v>
      </c>
      <c r="M18" s="296">
        <f t="shared" ref="M18:M31" si="23">SUM(I18*$Y$27)/1507.5</f>
        <v>0</v>
      </c>
      <c r="N18" s="296">
        <f t="shared" ref="N18:N31" si="24">SUM(K18*$Y$26)/1507.5</f>
        <v>0</v>
      </c>
      <c r="O18" s="296">
        <f t="shared" si="7"/>
        <v>24.484154059633802</v>
      </c>
      <c r="P18" s="297">
        <f t="shared" si="9"/>
        <v>24.484154059633802</v>
      </c>
      <c r="Q18" s="297">
        <f>SUM(-tanks!AX20*tanks!$AU$34)</f>
        <v>0</v>
      </c>
      <c r="R18" s="297">
        <f t="shared" si="10"/>
        <v>24.484154059633802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" thickBot="1">
      <c r="A19" s="163">
        <f>ELEC!C18</f>
        <v>44243</v>
      </c>
      <c r="B19" s="540">
        <f t="shared" si="13"/>
        <v>862596</v>
      </c>
      <c r="C19" s="264">
        <f t="shared" si="0"/>
        <v>0</v>
      </c>
      <c r="D19" s="308">
        <f t="shared" si="8"/>
        <v>0</v>
      </c>
      <c r="E19" s="308">
        <f t="shared" si="11"/>
        <v>862596</v>
      </c>
      <c r="F19" s="540">
        <f t="shared" si="14"/>
        <v>130413</v>
      </c>
      <c r="G19" s="160">
        <f t="shared" si="1"/>
        <v>0</v>
      </c>
      <c r="H19" s="540">
        <f t="shared" si="14"/>
        <v>430047</v>
      </c>
      <c r="I19" s="161">
        <f t="shared" si="2"/>
        <v>0</v>
      </c>
      <c r="J19" s="540">
        <f t="shared" si="14"/>
        <v>302135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7"/>
        <v>24.484154059633802</v>
      </c>
      <c r="P19" s="297">
        <f t="shared" si="9"/>
        <v>24.484154059633802</v>
      </c>
      <c r="Q19" s="297">
        <f>SUM(-tanks!AX21*tanks!$AU$34)</f>
        <v>0</v>
      </c>
      <c r="R19" s="297">
        <f t="shared" si="10"/>
        <v>24.484154059633802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" thickBot="1">
      <c r="A20" s="163">
        <f>ELEC!C19</f>
        <v>44244</v>
      </c>
      <c r="B20" s="540">
        <f t="shared" si="13"/>
        <v>862596</v>
      </c>
      <c r="C20" s="264">
        <f t="shared" si="0"/>
        <v>0</v>
      </c>
      <c r="D20" s="308">
        <f t="shared" si="8"/>
        <v>0</v>
      </c>
      <c r="E20" s="308">
        <f t="shared" si="11"/>
        <v>862596</v>
      </c>
      <c r="F20" s="540">
        <f t="shared" si="14"/>
        <v>130413</v>
      </c>
      <c r="G20" s="160">
        <f t="shared" si="1"/>
        <v>0</v>
      </c>
      <c r="H20" s="540">
        <f t="shared" si="14"/>
        <v>430047</v>
      </c>
      <c r="I20" s="161">
        <f t="shared" si="2"/>
        <v>0</v>
      </c>
      <c r="J20" s="540">
        <f t="shared" si="14"/>
        <v>302135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7"/>
        <v>24.484154059633802</v>
      </c>
      <c r="P20" s="297">
        <f t="shared" si="9"/>
        <v>24.484154059633802</v>
      </c>
      <c r="Q20" s="297">
        <f>SUM(-tanks!AX22*tanks!$AU$34)</f>
        <v>0</v>
      </c>
      <c r="R20" s="297">
        <f t="shared" si="10"/>
        <v>24.484154059633802</v>
      </c>
      <c r="S20" s="299">
        <f>SUM(ELEC!N19)</f>
        <v>0</v>
      </c>
      <c r="T20" s="336">
        <f t="shared" si="12"/>
        <v>0</v>
      </c>
      <c r="V20" t="s">
        <v>412</v>
      </c>
      <c r="AB20" s="571"/>
    </row>
    <row r="21" spans="1:32" ht="15" thickBot="1">
      <c r="A21" s="163">
        <f>ELEC!C20</f>
        <v>44245</v>
      </c>
      <c r="B21" s="540">
        <f t="shared" si="13"/>
        <v>862596</v>
      </c>
      <c r="C21" s="264">
        <f t="shared" si="0"/>
        <v>0</v>
      </c>
      <c r="D21" s="308">
        <f t="shared" si="8"/>
        <v>0</v>
      </c>
      <c r="E21" s="308">
        <f t="shared" si="11"/>
        <v>862596</v>
      </c>
      <c r="F21" s="540">
        <f t="shared" si="14"/>
        <v>130413</v>
      </c>
      <c r="G21" s="160">
        <f t="shared" si="1"/>
        <v>0</v>
      </c>
      <c r="H21" s="540">
        <f t="shared" si="14"/>
        <v>430047</v>
      </c>
      <c r="I21" s="161">
        <f t="shared" si="2"/>
        <v>0</v>
      </c>
      <c r="J21" s="540">
        <f t="shared" si="14"/>
        <v>302135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7"/>
        <v>24.484154059633802</v>
      </c>
      <c r="P21" s="297">
        <f t="shared" si="9"/>
        <v>24.484154059633802</v>
      </c>
      <c r="Q21" s="297">
        <f>SUM(-tanks!AX23*tanks!$AU$34)</f>
        <v>0</v>
      </c>
      <c r="R21" s="297">
        <f t="shared" si="10"/>
        <v>24.484154059633802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6"/>
      <c r="AC21" s="657"/>
    </row>
    <row r="22" spans="1:32" ht="15" thickBot="1">
      <c r="A22" s="163">
        <f>ELEC!C21</f>
        <v>44246</v>
      </c>
      <c r="B22" s="540">
        <f t="shared" si="13"/>
        <v>862596</v>
      </c>
      <c r="C22" s="264">
        <f t="shared" si="0"/>
        <v>0</v>
      </c>
      <c r="D22" s="308">
        <f t="shared" si="8"/>
        <v>0</v>
      </c>
      <c r="E22" s="308">
        <f t="shared" si="11"/>
        <v>862596</v>
      </c>
      <c r="F22" s="540">
        <f t="shared" si="14"/>
        <v>130413</v>
      </c>
      <c r="G22" s="160">
        <f t="shared" si="1"/>
        <v>0</v>
      </c>
      <c r="H22" s="540">
        <f t="shared" si="14"/>
        <v>430047</v>
      </c>
      <c r="I22" s="161">
        <f t="shared" si="2"/>
        <v>0</v>
      </c>
      <c r="J22" s="540">
        <f t="shared" si="14"/>
        <v>302135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7"/>
        <v>24.484154059633802</v>
      </c>
      <c r="P22" s="297">
        <f t="shared" si="9"/>
        <v>24.484154059633802</v>
      </c>
      <c r="Q22" s="297">
        <f>SUM(-tanks!AX24*tanks!$AU$34)</f>
        <v>0</v>
      </c>
      <c r="R22" s="297">
        <f t="shared" si="10"/>
        <v>24.484154059633802</v>
      </c>
      <c r="S22" s="299">
        <f>SUM(ELEC!N21)</f>
        <v>0</v>
      </c>
      <c r="T22" s="336">
        <f t="shared" si="12"/>
        <v>0</v>
      </c>
      <c r="V22" s="662"/>
      <c r="W22" s="663"/>
      <c r="X22" s="663"/>
      <c r="Y22" s="664"/>
      <c r="Z22" s="26" t="s">
        <v>203</v>
      </c>
      <c r="AA22" s="26">
        <v>5000</v>
      </c>
      <c r="AB22" s="658"/>
      <c r="AC22" s="659"/>
    </row>
    <row r="23" spans="1:32" ht="15" thickBot="1">
      <c r="A23" s="163">
        <f>ELEC!C22</f>
        <v>44247</v>
      </c>
      <c r="B23" s="540">
        <f t="shared" si="13"/>
        <v>862596</v>
      </c>
      <c r="C23" s="264">
        <f t="shared" si="0"/>
        <v>0</v>
      </c>
      <c r="D23" s="308">
        <f t="shared" si="8"/>
        <v>0</v>
      </c>
      <c r="E23" s="308">
        <f t="shared" si="11"/>
        <v>862596</v>
      </c>
      <c r="F23" s="540">
        <f t="shared" si="14"/>
        <v>130413</v>
      </c>
      <c r="G23" s="160">
        <f t="shared" si="1"/>
        <v>0</v>
      </c>
      <c r="H23" s="540">
        <f t="shared" si="14"/>
        <v>430047</v>
      </c>
      <c r="I23" s="161">
        <f t="shared" si="2"/>
        <v>0</v>
      </c>
      <c r="J23" s="540">
        <f t="shared" si="14"/>
        <v>302135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7"/>
        <v>24.484154059633802</v>
      </c>
      <c r="P23" s="297">
        <f t="shared" si="9"/>
        <v>24.484154059633802</v>
      </c>
      <c r="Q23" s="297">
        <f>SUM(-tanks!AX25*tanks!$AU$34)</f>
        <v>0</v>
      </c>
      <c r="R23" s="297">
        <f t="shared" si="10"/>
        <v>24.484154059633802</v>
      </c>
      <c r="S23" s="299">
        <f>SUM(ELEC!N22)</f>
        <v>0</v>
      </c>
      <c r="T23" s="336">
        <f t="shared" si="12"/>
        <v>0</v>
      </c>
      <c r="V23" s="665"/>
      <c r="W23" s="666"/>
      <c r="X23" s="666"/>
      <c r="Y23" s="667"/>
      <c r="Z23" s="668"/>
      <c r="AA23" s="669"/>
      <c r="AB23" s="658"/>
      <c r="AC23" s="659"/>
    </row>
    <row r="24" spans="1:32" ht="15" customHeight="1" thickBot="1">
      <c r="A24" s="163">
        <f>ELEC!C23</f>
        <v>44248</v>
      </c>
      <c r="B24" s="540">
        <f t="shared" si="13"/>
        <v>862596</v>
      </c>
      <c r="C24" s="264">
        <f t="shared" si="0"/>
        <v>0</v>
      </c>
      <c r="D24" s="308">
        <f t="shared" si="8"/>
        <v>0</v>
      </c>
      <c r="E24" s="308">
        <f t="shared" si="11"/>
        <v>862596</v>
      </c>
      <c r="F24" s="540">
        <f t="shared" si="14"/>
        <v>130413</v>
      </c>
      <c r="G24" s="160">
        <f t="shared" si="1"/>
        <v>0</v>
      </c>
      <c r="H24" s="540">
        <f t="shared" si="14"/>
        <v>430047</v>
      </c>
      <c r="I24" s="161">
        <f t="shared" si="2"/>
        <v>0</v>
      </c>
      <c r="J24" s="540">
        <f t="shared" si="14"/>
        <v>302135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7"/>
        <v>24.484154059633802</v>
      </c>
      <c r="P24" s="297">
        <f t="shared" si="9"/>
        <v>24.484154059633802</v>
      </c>
      <c r="Q24" s="297">
        <f>SUM(-tanks!AX26*tanks!$AU$34)</f>
        <v>0</v>
      </c>
      <c r="R24" s="297">
        <f t="shared" si="10"/>
        <v>24.484154059633802</v>
      </c>
      <c r="S24" s="299">
        <f>SUM(ELEC!N23)</f>
        <v>0</v>
      </c>
      <c r="T24" s="336">
        <f t="shared" si="12"/>
        <v>0</v>
      </c>
      <c r="V24" s="670" t="s">
        <v>204</v>
      </c>
      <c r="W24" s="671"/>
      <c r="X24" s="672" t="s">
        <v>205</v>
      </c>
      <c r="Y24" s="673"/>
      <c r="Z24" s="674"/>
      <c r="AA24" s="170"/>
      <c r="AB24" s="660"/>
      <c r="AC24" s="661"/>
    </row>
    <row r="25" spans="1:32" ht="17.25" customHeight="1" thickBot="1">
      <c r="A25" s="163">
        <f>ELEC!C24</f>
        <v>44249</v>
      </c>
      <c r="B25" s="540">
        <f t="shared" si="13"/>
        <v>862596</v>
      </c>
      <c r="C25" s="264">
        <f t="shared" si="0"/>
        <v>0</v>
      </c>
      <c r="D25" s="308">
        <f t="shared" si="8"/>
        <v>0</v>
      </c>
      <c r="E25" s="308">
        <f t="shared" si="11"/>
        <v>862596</v>
      </c>
      <c r="F25" s="540">
        <f t="shared" si="14"/>
        <v>130413</v>
      </c>
      <c r="G25" s="160">
        <f t="shared" si="1"/>
        <v>0</v>
      </c>
      <c r="H25" s="540">
        <f t="shared" si="14"/>
        <v>430047</v>
      </c>
      <c r="I25" s="161">
        <f t="shared" si="2"/>
        <v>0</v>
      </c>
      <c r="J25" s="540">
        <f t="shared" si="14"/>
        <v>302135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7"/>
        <v>24.484154059633802</v>
      </c>
      <c r="P25" s="297">
        <f t="shared" si="9"/>
        <v>24.484154059633802</v>
      </c>
      <c r="Q25" s="297">
        <f>SUM(-tanks!AX27*tanks!$AU$34)</f>
        <v>0</v>
      </c>
      <c r="R25" s="297">
        <f t="shared" si="10"/>
        <v>24.484154059633802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44250</v>
      </c>
      <c r="B26" s="540">
        <f t="shared" si="13"/>
        <v>862596</v>
      </c>
      <c r="C26" s="264">
        <f t="shared" si="0"/>
        <v>0</v>
      </c>
      <c r="D26" s="308">
        <f t="shared" si="8"/>
        <v>0</v>
      </c>
      <c r="E26" s="308">
        <f t="shared" si="11"/>
        <v>862596</v>
      </c>
      <c r="F26" s="540">
        <f t="shared" si="14"/>
        <v>130413</v>
      </c>
      <c r="G26" s="160">
        <f t="shared" si="1"/>
        <v>0</v>
      </c>
      <c r="H26" s="540">
        <f t="shared" si="14"/>
        <v>430047</v>
      </c>
      <c r="I26" s="161">
        <f t="shared" si="2"/>
        <v>0</v>
      </c>
      <c r="J26" s="540">
        <f t="shared" si="14"/>
        <v>302135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7"/>
        <v>24.484154059633802</v>
      </c>
      <c r="P26" s="297">
        <f t="shared" si="9"/>
        <v>24.484154059633802</v>
      </c>
      <c r="Q26" s="297">
        <f>SUM(-tanks!AX28*tanks!$AU$34)</f>
        <v>0</v>
      </c>
      <c r="R26" s="297">
        <f t="shared" si="10"/>
        <v>24.484154059633802</v>
      </c>
      <c r="S26" s="299">
        <f>SUM(ELEC!N25)</f>
        <v>0</v>
      </c>
      <c r="T26" s="336">
        <f t="shared" si="12"/>
        <v>0</v>
      </c>
      <c r="V26" s="254">
        <f>W9</f>
        <v>297890</v>
      </c>
      <c r="W26" s="170">
        <f>J31</f>
        <v>302135</v>
      </c>
      <c r="X26" s="172" t="s">
        <v>199</v>
      </c>
      <c r="Y26" s="172">
        <v>80</v>
      </c>
      <c r="Z26" s="172">
        <v>1</v>
      </c>
      <c r="AA26" s="338">
        <f>(W26-V26)*Z26</f>
        <v>4245</v>
      </c>
      <c r="AB26" s="338">
        <f>AA26*Y26</f>
        <v>339600</v>
      </c>
      <c r="AC26" s="249">
        <f>AC9</f>
        <v>1033333</v>
      </c>
      <c r="AD26" s="212">
        <f>SUM(K33)</f>
        <v>0.36566332218506131</v>
      </c>
    </row>
    <row r="27" spans="1:32" ht="15" thickBot="1">
      <c r="A27" s="163">
        <f>ELEC!C26</f>
        <v>44251</v>
      </c>
      <c r="B27" s="540">
        <f t="shared" si="13"/>
        <v>862596</v>
      </c>
      <c r="C27" s="264">
        <f t="shared" si="0"/>
        <v>0</v>
      </c>
      <c r="D27" s="308">
        <f t="shared" si="8"/>
        <v>0</v>
      </c>
      <c r="E27" s="308">
        <f t="shared" si="11"/>
        <v>862596</v>
      </c>
      <c r="F27" s="540">
        <f t="shared" si="14"/>
        <v>130413</v>
      </c>
      <c r="G27" s="160">
        <f t="shared" si="1"/>
        <v>0</v>
      </c>
      <c r="H27" s="540">
        <f t="shared" si="14"/>
        <v>430047</v>
      </c>
      <c r="I27" s="161">
        <f t="shared" si="2"/>
        <v>0</v>
      </c>
      <c r="J27" s="540">
        <f t="shared" si="14"/>
        <v>302135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7"/>
        <v>24.484154059633802</v>
      </c>
      <c r="P27" s="297">
        <f t="shared" si="9"/>
        <v>24.484154059633802</v>
      </c>
      <c r="Q27" s="297">
        <f>SUM(-tanks!AX29*tanks!$AU$34)</f>
        <v>0</v>
      </c>
      <c r="R27" s="297">
        <f t="shared" si="10"/>
        <v>24.484154059633802</v>
      </c>
      <c r="S27" s="299">
        <f>SUM(ELEC!N26)</f>
        <v>0</v>
      </c>
      <c r="T27" s="336">
        <f t="shared" si="12"/>
        <v>0</v>
      </c>
      <c r="V27" s="254">
        <f t="shared" ref="V27:V28" si="25">W10</f>
        <v>425107</v>
      </c>
      <c r="W27" s="170">
        <f>H31</f>
        <v>430047</v>
      </c>
      <c r="X27" s="172" t="s">
        <v>213</v>
      </c>
      <c r="Y27" s="172">
        <v>112</v>
      </c>
      <c r="Z27" s="172">
        <v>1</v>
      </c>
      <c r="AA27" s="338">
        <f>(W27-V27)*Z27</f>
        <v>4940</v>
      </c>
      <c r="AB27" s="338">
        <f>SUM(AA27*Y27)</f>
        <v>553280</v>
      </c>
      <c r="AC27" s="249">
        <f>AC10</f>
        <v>6200000</v>
      </c>
      <c r="AD27" s="212">
        <f>SUM(I33)</f>
        <v>0.44648829431438125</v>
      </c>
    </row>
    <row r="28" spans="1:32" ht="15" thickBot="1">
      <c r="A28" s="163">
        <f>ELEC!C27</f>
        <v>44252</v>
      </c>
      <c r="B28" s="540">
        <f t="shared" si="13"/>
        <v>862596</v>
      </c>
      <c r="C28" s="264">
        <f t="shared" si="0"/>
        <v>0</v>
      </c>
      <c r="D28" s="308">
        <f t="shared" si="8"/>
        <v>0</v>
      </c>
      <c r="E28" s="308">
        <f t="shared" si="11"/>
        <v>862596</v>
      </c>
      <c r="F28" s="540">
        <f t="shared" si="14"/>
        <v>130413</v>
      </c>
      <c r="G28" s="160">
        <f t="shared" si="1"/>
        <v>0</v>
      </c>
      <c r="H28" s="540">
        <f t="shared" si="14"/>
        <v>430047</v>
      </c>
      <c r="I28" s="161">
        <f t="shared" si="2"/>
        <v>0</v>
      </c>
      <c r="J28" s="540">
        <f t="shared" si="14"/>
        <v>302135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7"/>
        <v>24.484154059633802</v>
      </c>
      <c r="P28" s="297">
        <f t="shared" si="9"/>
        <v>24.484154059633802</v>
      </c>
      <c r="Q28" s="297">
        <f>SUM(-tanks!AX30*tanks!$AU$34)</f>
        <v>0</v>
      </c>
      <c r="R28" s="297">
        <f t="shared" si="10"/>
        <v>24.484154059633802</v>
      </c>
      <c r="S28" s="299">
        <f>SUM(ELEC!N27)</f>
        <v>0</v>
      </c>
      <c r="T28" s="336">
        <f t="shared" si="12"/>
        <v>0</v>
      </c>
      <c r="V28" s="254">
        <f t="shared" si="25"/>
        <v>128283</v>
      </c>
      <c r="W28" s="170">
        <f>F31</f>
        <v>130413</v>
      </c>
      <c r="X28" s="172" t="s">
        <v>197</v>
      </c>
      <c r="Y28" s="172">
        <v>320</v>
      </c>
      <c r="Z28" s="172">
        <v>1</v>
      </c>
      <c r="AA28" s="338">
        <f>(W28-V28)*Z28</f>
        <v>2130</v>
      </c>
      <c r="AB28" s="338">
        <f>SUM(AA28*Y28)</f>
        <v>681600</v>
      </c>
      <c r="AC28" s="249">
        <f>AC11</f>
        <v>1000</v>
      </c>
      <c r="AD28" s="212">
        <f>SUM(G33)</f>
        <v>0.18773690078037905</v>
      </c>
      <c r="AE28" s="40">
        <f>SUM(AB28*5%)</f>
        <v>34080</v>
      </c>
      <c r="AF28" s="82">
        <f>SUM(AE28/7)*31</f>
        <v>150925.71428571429</v>
      </c>
    </row>
    <row r="29" spans="1:32" ht="15" thickBot="1">
      <c r="A29" s="163">
        <f>ELEC!C28</f>
        <v>44253</v>
      </c>
      <c r="B29" s="540">
        <f t="shared" si="13"/>
        <v>862596</v>
      </c>
      <c r="C29" s="264">
        <f t="shared" si="0"/>
        <v>0</v>
      </c>
      <c r="D29" s="308">
        <f t="shared" si="8"/>
        <v>0</v>
      </c>
      <c r="E29" s="308">
        <f t="shared" si="11"/>
        <v>862596</v>
      </c>
      <c r="F29" s="540">
        <f t="shared" si="14"/>
        <v>130413</v>
      </c>
      <c r="G29" s="160">
        <f t="shared" si="1"/>
        <v>0</v>
      </c>
      <c r="H29" s="540">
        <f t="shared" si="14"/>
        <v>430047</v>
      </c>
      <c r="I29" s="161">
        <f t="shared" si="2"/>
        <v>0</v>
      </c>
      <c r="J29" s="540">
        <f t="shared" si="14"/>
        <v>302135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7"/>
        <v>24.484154059633802</v>
      </c>
      <c r="P29" s="297">
        <f t="shared" si="9"/>
        <v>24.484154059633802</v>
      </c>
      <c r="Q29" s="297">
        <f>SUM(-tanks!AX31*tanks!$AU$34)</f>
        <v>0</v>
      </c>
      <c r="R29" s="297">
        <f t="shared" si="10"/>
        <v>24.484154059633802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11315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13"/>
        <v>862596</v>
      </c>
      <c r="C30" s="264">
        <f t="shared" si="0"/>
        <v>0</v>
      </c>
      <c r="D30" s="308">
        <f t="shared" si="8"/>
        <v>0</v>
      </c>
      <c r="E30" s="308">
        <f t="shared" si="11"/>
        <v>862596</v>
      </c>
      <c r="F30" s="540">
        <f t="shared" si="14"/>
        <v>130413</v>
      </c>
      <c r="G30" s="160">
        <f t="shared" si="1"/>
        <v>0</v>
      </c>
      <c r="H30" s="540">
        <f t="shared" si="14"/>
        <v>430047</v>
      </c>
      <c r="I30" s="161">
        <f t="shared" si="2"/>
        <v>0</v>
      </c>
      <c r="J30" s="540">
        <f t="shared" si="14"/>
        <v>302135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7"/>
        <v>24.484154059633802</v>
      </c>
      <c r="P30" s="297">
        <f t="shared" si="9"/>
        <v>24.484154059633802</v>
      </c>
      <c r="Q30" s="297">
        <f>SUM(-tanks!AX32*tanks!$AU$34)</f>
        <v>0</v>
      </c>
      <c r="R30" s="297">
        <f t="shared" si="10"/>
        <v>24.484154059633802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1574480</v>
      </c>
      <c r="AC30" s="249">
        <f>SUM(AC26:AC29)/A34*A32</f>
        <v>1033476.1428571428</v>
      </c>
    </row>
    <row r="31" spans="1:32">
      <c r="A31" s="163">
        <f>ELEC!C30</f>
        <v>44255</v>
      </c>
      <c r="B31" s="540">
        <f t="shared" si="13"/>
        <v>862596</v>
      </c>
      <c r="C31" s="264">
        <f t="shared" si="0"/>
        <v>0</v>
      </c>
      <c r="D31" s="308">
        <f t="shared" si="8"/>
        <v>0</v>
      </c>
      <c r="E31" s="308">
        <f t="shared" si="11"/>
        <v>862596</v>
      </c>
      <c r="F31" s="540">
        <f t="shared" si="14"/>
        <v>130413</v>
      </c>
      <c r="G31" s="160">
        <f t="shared" si="1"/>
        <v>0</v>
      </c>
      <c r="H31" s="540">
        <f t="shared" si="14"/>
        <v>430047</v>
      </c>
      <c r="I31" s="161">
        <f t="shared" si="2"/>
        <v>0</v>
      </c>
      <c r="J31" s="540">
        <f t="shared" si="14"/>
        <v>302135</v>
      </c>
      <c r="K31" s="162">
        <f t="shared" si="3"/>
        <v>0</v>
      </c>
      <c r="L31" s="296">
        <f t="shared" si="22"/>
        <v>0</v>
      </c>
      <c r="M31" s="296">
        <f t="shared" si="23"/>
        <v>0</v>
      </c>
      <c r="N31" s="296">
        <f t="shared" si="24"/>
        <v>0</v>
      </c>
      <c r="O31" s="296">
        <f t="shared" si="7"/>
        <v>24.484154059633802</v>
      </c>
      <c r="P31" s="297">
        <f t="shared" si="9"/>
        <v>24.484154059633802</v>
      </c>
      <c r="Q31" s="297">
        <f>SUM(-tanks!AX33*tanks!$AU$34)</f>
        <v>0</v>
      </c>
      <c r="R31" s="297">
        <f t="shared" si="10"/>
        <v>24.484154059633802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15</v>
      </c>
      <c r="X31" s="222">
        <f>SUM(W31/A32)</f>
        <v>3.75</v>
      </c>
      <c r="Y31" s="260">
        <f>SUM(X31/2)</f>
        <v>1.875</v>
      </c>
      <c r="Z31" s="3"/>
      <c r="AA31" s="3"/>
      <c r="AB31" s="543">
        <f>SUM(AB30+AC31)</f>
        <v>2607956.1428571427</v>
      </c>
      <c r="AC31" s="249">
        <f>SUM(AC30)</f>
        <v>1033476.1428571428</v>
      </c>
    </row>
    <row r="32" spans="1:32" ht="15" thickBot="1">
      <c r="A32" s="539">
        <f>A34-COUNTIF(C4:C31,0)</f>
        <v>4</v>
      </c>
      <c r="C32" s="173">
        <f>SUM(C4:C31)/A32</f>
        <v>2242.5</v>
      </c>
      <c r="D32" s="173"/>
      <c r="E32" s="173"/>
      <c r="G32" s="173">
        <f>SUM(G4:G31)/A32</f>
        <v>421</v>
      </c>
      <c r="I32" s="173">
        <f>SUM(I4:I31)/A32</f>
        <v>1001.25</v>
      </c>
      <c r="K32" s="173">
        <f>SUM(K4:K31)/A32</f>
        <v>820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36909.862244897959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" thickBot="1">
      <c r="A33" s="210"/>
      <c r="C33" s="212">
        <f>SUM(G33:K33)</f>
        <v>0.99988851727982153</v>
      </c>
      <c r="G33" s="225">
        <f>IF(C32&gt;0,G32/C32,0)</f>
        <v>0.18773690078037905</v>
      </c>
      <c r="H33" s="212"/>
      <c r="I33" s="225">
        <f>SUM(I32/C32)</f>
        <v>0.44648829431438125</v>
      </c>
      <c r="J33" s="212"/>
      <c r="K33" s="225">
        <f>SUM(K32/C32)</f>
        <v>0.36566332218506131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1729.9874911158493</v>
      </c>
      <c r="AC33" s="579"/>
    </row>
    <row r="34" spans="1:32" ht="1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685.55631366974649</v>
      </c>
      <c r="Z35" s="40"/>
      <c r="AA35" s="292" t="s">
        <v>215</v>
      </c>
      <c r="AB35" s="293">
        <f>SUM(AB33)</f>
        <v>1729.9874911158493</v>
      </c>
    </row>
    <row r="36" spans="1:32">
      <c r="V36" s="217"/>
      <c r="W36" s="82">
        <f>(AB30+AB51)/1507.5</f>
        <v>1044.4311774461028</v>
      </c>
      <c r="X36" s="544"/>
      <c r="Z36" s="294">
        <f>SUM(AB35)</f>
        <v>1729.9874911158493</v>
      </c>
      <c r="AA36" s="293"/>
      <c r="AB36" s="293"/>
    </row>
    <row r="37" spans="1:32">
      <c r="V37" s="17"/>
      <c r="W37" s="82">
        <f>SUM(W35:W36)</f>
        <v>1729.9874911158493</v>
      </c>
      <c r="X37" s="544"/>
      <c r="Y37" s="82"/>
      <c r="Z37" s="294">
        <f>SUM(-tanks!AX34)*tanks!AU34</f>
        <v>329.56612903225846</v>
      </c>
      <c r="AA37" s="101">
        <f>SUM(AB31/A32)</f>
        <v>651989.03571428568</v>
      </c>
      <c r="AB37" s="348">
        <f>SUM(AA37*A34)</f>
        <v>18255693</v>
      </c>
    </row>
    <row r="38" spans="1:32" ht="18.5">
      <c r="W38" s="82">
        <f>(AB30+AB51)/1507.5</f>
        <v>1044.4311774461028</v>
      </c>
      <c r="Z38" s="276">
        <f>SUM(Z36:Z37)</f>
        <v>2059.5536201481077</v>
      </c>
      <c r="AA38" s="293">
        <f>SUM(AA37/1507.5)</f>
        <v>432.49687277896231</v>
      </c>
      <c r="AB38" s="347">
        <f>SUM(AB37/1507.5)</f>
        <v>12109.912437810945</v>
      </c>
    </row>
    <row r="39" spans="1:32">
      <c r="D39" s="519"/>
      <c r="E39" s="519"/>
      <c r="F39" s="519"/>
      <c r="W39" s="82">
        <f>SUM(W37:W38)</f>
        <v>2774.418668561952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75"/>
      <c r="AC42" s="675"/>
      <c r="AD42" s="17"/>
      <c r="AE42" s="17"/>
      <c r="AF42" s="17"/>
    </row>
    <row r="43" spans="1:32">
      <c r="V43" s="675"/>
      <c r="W43" s="675"/>
      <c r="X43" s="675"/>
      <c r="Y43" s="675"/>
      <c r="Z43" s="548"/>
      <c r="AA43" s="548"/>
      <c r="AB43" s="675"/>
      <c r="AC43" s="675"/>
      <c r="AD43" s="17"/>
      <c r="AE43" s="17"/>
      <c r="AF43" s="17"/>
    </row>
    <row r="44" spans="1:32">
      <c r="V44" s="675"/>
      <c r="W44" s="675"/>
      <c r="X44" s="675"/>
      <c r="Y44" s="675"/>
      <c r="Z44" s="675"/>
      <c r="AA44" s="675"/>
      <c r="AB44" s="675"/>
      <c r="AC44" s="675"/>
      <c r="AD44" s="17"/>
      <c r="AE44" s="17"/>
      <c r="AF44" s="17"/>
    </row>
    <row r="45" spans="1:32">
      <c r="V45" s="676"/>
      <c r="W45" s="676"/>
      <c r="X45" s="677"/>
      <c r="Y45" s="677"/>
      <c r="Z45" s="677"/>
      <c r="AA45" s="549"/>
      <c r="AB45" s="675"/>
      <c r="AC45" s="675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AB42:AC45"/>
    <mergeCell ref="V43:Y44"/>
    <mergeCell ref="Z44:AA44"/>
    <mergeCell ref="V45:W45"/>
    <mergeCell ref="X45:Z45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2" activePane="bottomLeft" state="frozen"/>
      <selection pane="bottomLeft" activeCell="K9" sqref="K9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78" t="s">
        <v>51</v>
      </c>
      <c r="B1" s="690" t="s">
        <v>318</v>
      </c>
      <c r="C1" s="691"/>
      <c r="D1" s="693"/>
      <c r="E1" s="690" t="s">
        <v>319</v>
      </c>
      <c r="F1" s="691"/>
      <c r="G1" s="692"/>
      <c r="H1" s="687" t="s">
        <v>324</v>
      </c>
      <c r="I1" s="684" t="s">
        <v>325</v>
      </c>
      <c r="J1" s="681" t="s">
        <v>43</v>
      </c>
    </row>
    <row r="2" spans="1:18" ht="37.5" thickBot="1">
      <c r="A2" s="67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8"/>
      <c r="I2" s="685"/>
      <c r="J2" s="682"/>
    </row>
    <row r="3" spans="1:18" ht="24" customHeight="1" thickBot="1">
      <c r="A3" s="68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9"/>
      <c r="I3" s="686"/>
      <c r="J3" s="683"/>
    </row>
    <row r="4" spans="1:18" ht="19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44232</v>
      </c>
      <c r="B10" s="587"/>
      <c r="C10" s="586"/>
      <c r="D10" s="586"/>
      <c r="E10" s="586"/>
      <c r="F10" s="586"/>
      <c r="G10" s="586"/>
      <c r="H10" s="597">
        <f t="shared" si="2"/>
        <v>6716</v>
      </c>
      <c r="I10" s="509">
        <f t="shared" si="3"/>
        <v>0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44233</v>
      </c>
      <c r="B11" s="537"/>
      <c r="C11" s="537"/>
      <c r="D11" s="537"/>
      <c r="E11" s="537"/>
      <c r="F11" s="537"/>
      <c r="G11" s="537"/>
      <c r="H11" s="597">
        <f t="shared" si="2"/>
        <v>6716</v>
      </c>
      <c r="I11" s="509">
        <f t="shared" si="3"/>
        <v>0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44234</v>
      </c>
      <c r="B12" s="537"/>
      <c r="C12" s="537"/>
      <c r="D12" s="537"/>
      <c r="E12" s="537"/>
      <c r="F12" s="537"/>
      <c r="G12" s="537"/>
      <c r="H12" s="597">
        <f t="shared" si="2"/>
        <v>6716</v>
      </c>
      <c r="I12" s="509">
        <f t="shared" si="3"/>
        <v>0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44235</v>
      </c>
      <c r="B13" s="537"/>
      <c r="C13" s="537"/>
      <c r="D13" s="537"/>
      <c r="E13" s="537"/>
      <c r="F13" s="537"/>
      <c r="G13" s="537"/>
      <c r="H13" s="597">
        <f t="shared" si="2"/>
        <v>6716</v>
      </c>
      <c r="I13" s="509">
        <f t="shared" si="3"/>
        <v>0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44236</v>
      </c>
      <c r="B14" s="537"/>
      <c r="C14" s="590"/>
      <c r="D14" s="170"/>
      <c r="E14" s="170"/>
      <c r="F14" s="170"/>
      <c r="G14" s="170"/>
      <c r="H14" s="597">
        <f t="shared" si="2"/>
        <v>6716</v>
      </c>
      <c r="I14" s="509">
        <f t="shared" si="3"/>
        <v>0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44237</v>
      </c>
      <c r="B15" s="537"/>
      <c r="C15" s="591"/>
      <c r="D15" s="591"/>
      <c r="E15" s="591"/>
      <c r="F15" s="591"/>
      <c r="G15" s="591"/>
      <c r="H15" s="597">
        <f t="shared" si="2"/>
        <v>6716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44238</v>
      </c>
      <c r="B16" s="537"/>
      <c r="C16" s="591"/>
      <c r="D16" s="591"/>
      <c r="E16" s="591"/>
      <c r="F16" s="591"/>
      <c r="G16" s="591"/>
      <c r="H16" s="597">
        <f t="shared" si="2"/>
        <v>6716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44239</v>
      </c>
      <c r="B17" s="537"/>
      <c r="C17" s="537"/>
      <c r="D17" s="537"/>
      <c r="E17" s="537"/>
      <c r="F17" s="537"/>
      <c r="G17" s="537"/>
      <c r="H17" s="597">
        <f t="shared" si="2"/>
        <v>6716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44240</v>
      </c>
      <c r="B18" s="537"/>
      <c r="C18" s="592"/>
      <c r="D18" s="170"/>
      <c r="E18" s="170"/>
      <c r="F18" s="170"/>
      <c r="G18" s="537"/>
      <c r="H18" s="597">
        <f t="shared" si="2"/>
        <v>6716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44241</v>
      </c>
      <c r="B19" s="537"/>
      <c r="C19" s="593"/>
      <c r="D19" s="170"/>
      <c r="E19" s="170"/>
      <c r="F19" s="170"/>
      <c r="G19" s="537"/>
      <c r="H19" s="597">
        <f t="shared" si="2"/>
        <v>6716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44242</v>
      </c>
      <c r="B20" s="537"/>
      <c r="C20" s="537"/>
      <c r="D20" s="537"/>
      <c r="E20" s="537"/>
      <c r="F20" s="537"/>
      <c r="G20" s="537"/>
      <c r="H20" s="597">
        <f t="shared" si="2"/>
        <v>6716</v>
      </c>
      <c r="I20" s="509">
        <f t="shared" si="3"/>
        <v>0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44243</v>
      </c>
      <c r="B21" s="537"/>
      <c r="C21" s="594"/>
      <c r="D21" s="170"/>
      <c r="E21" s="170"/>
      <c r="F21" s="170"/>
      <c r="G21" s="537"/>
      <c r="H21" s="597">
        <f t="shared" si="2"/>
        <v>6716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44244</v>
      </c>
      <c r="B22" s="537"/>
      <c r="C22" s="537"/>
      <c r="D22" s="537"/>
      <c r="E22" s="537"/>
      <c r="F22" s="537"/>
      <c r="G22" s="537"/>
      <c r="H22" s="597">
        <f t="shared" si="2"/>
        <v>6716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44245</v>
      </c>
      <c r="B23" s="537"/>
      <c r="C23" s="537"/>
      <c r="D23" s="537"/>
      <c r="E23" s="537"/>
      <c r="F23" s="537"/>
      <c r="G23" s="537"/>
      <c r="H23" s="597">
        <f t="shared" si="2"/>
        <v>6716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44246</v>
      </c>
      <c r="B24" s="537"/>
      <c r="C24" s="600"/>
      <c r="D24" s="170"/>
      <c r="E24" s="170"/>
      <c r="F24" s="170"/>
      <c r="G24" s="170"/>
      <c r="H24" s="597">
        <f t="shared" si="2"/>
        <v>6716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44247</v>
      </c>
      <c r="B25" s="583"/>
      <c r="C25" s="582"/>
      <c r="D25" s="170"/>
      <c r="E25" s="170"/>
      <c r="F25" s="170"/>
      <c r="G25" s="170"/>
      <c r="H25" s="597">
        <f t="shared" si="2"/>
        <v>6716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44248</v>
      </c>
      <c r="B26" s="583"/>
      <c r="C26" s="584"/>
      <c r="D26" s="170"/>
      <c r="E26" s="170"/>
      <c r="F26" s="170"/>
      <c r="G26" s="170"/>
      <c r="H26" s="597">
        <f t="shared" si="2"/>
        <v>6716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6716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6716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6716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6716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6716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6716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6716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409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" thickBot="1">
      <c r="A7" s="695" t="s">
        <v>163</v>
      </c>
      <c r="B7" s="696"/>
      <c r="C7" s="697" t="s">
        <v>164</v>
      </c>
      <c r="D7" s="698"/>
      <c r="E7" s="698"/>
      <c r="F7" s="698"/>
      <c r="G7" s="698"/>
      <c r="H7" s="698"/>
      <c r="I7" s="698"/>
      <c r="J7" s="698"/>
      <c r="K7" s="699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0</v>
      </c>
      <c r="G14" s="272">
        <f>'General information '!C10</f>
        <v>0</v>
      </c>
      <c r="H14" s="272">
        <f t="shared" si="0"/>
        <v>-18.3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0</v>
      </c>
      <c r="G15" s="272">
        <f>'General information '!C11</f>
        <v>0</v>
      </c>
      <c r="H15" s="272">
        <f t="shared" si="0"/>
        <v>-18.3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0</v>
      </c>
      <c r="G16" s="272">
        <f>'General information '!C12</f>
        <v>0</v>
      </c>
      <c r="H16" s="272">
        <f t="shared" si="0"/>
        <v>-18.3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0</v>
      </c>
      <c r="G17" s="272">
        <f>'General information '!C13</f>
        <v>0</v>
      </c>
      <c r="H17" s="272">
        <f t="shared" si="0"/>
        <v>-18.3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0</v>
      </c>
      <c r="G18" s="272">
        <f>'General information '!C14</f>
        <v>0</v>
      </c>
      <c r="H18" s="272">
        <f t="shared" si="0"/>
        <v>-18.3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0</v>
      </c>
      <c r="G19" s="272">
        <f>'General information '!C15</f>
        <v>0</v>
      </c>
      <c r="H19" s="272">
        <f t="shared" si="0"/>
        <v>-18.3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0</v>
      </c>
      <c r="G20" s="272">
        <f>'General information '!C16</f>
        <v>0</v>
      </c>
      <c r="H20" s="272">
        <f t="shared" si="0"/>
        <v>-18.3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0</v>
      </c>
      <c r="G21" s="272">
        <f>'General information '!C17</f>
        <v>0</v>
      </c>
      <c r="H21" s="272">
        <f t="shared" si="0"/>
        <v>-18.3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0</v>
      </c>
      <c r="G22" s="272">
        <f>'General information '!C18</f>
        <v>0</v>
      </c>
      <c r="H22" s="272">
        <f t="shared" si="0"/>
        <v>-18.3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0</v>
      </c>
      <c r="G23" s="272">
        <f>'General information '!C19</f>
        <v>0</v>
      </c>
      <c r="H23" s="272">
        <f t="shared" si="0"/>
        <v>-18.3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0</v>
      </c>
      <c r="G24" s="272">
        <f>'General information '!C20</f>
        <v>0</v>
      </c>
      <c r="H24" s="272">
        <f t="shared" si="0"/>
        <v>-18.3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0</v>
      </c>
      <c r="G25" s="272">
        <f>'General information '!C21</f>
        <v>0</v>
      </c>
      <c r="H25" s="272">
        <f t="shared" si="0"/>
        <v>-18.3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0</v>
      </c>
      <c r="G26" s="272">
        <f>'General information '!C22</f>
        <v>0</v>
      </c>
      <c r="H26" s="272">
        <f t="shared" si="0"/>
        <v>-18.3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0</v>
      </c>
      <c r="G27" s="272">
        <f>'General information '!C23</f>
        <v>0</v>
      </c>
      <c r="H27" s="272">
        <f t="shared" si="0"/>
        <v>-18.3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0</v>
      </c>
      <c r="G28" s="272">
        <f>'General information '!C24</f>
        <v>0</v>
      </c>
      <c r="H28" s="272">
        <f t="shared" si="0"/>
        <v>-18.3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0</v>
      </c>
      <c r="G29" s="272">
        <f>'General information '!C25</f>
        <v>0</v>
      </c>
      <c r="H29" s="272">
        <f t="shared" si="0"/>
        <v>-18.3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0</v>
      </c>
      <c r="G30" s="272">
        <f>'General information '!C26</f>
        <v>0</v>
      </c>
      <c r="H30" s="272">
        <f t="shared" si="0"/>
        <v>-18.3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-440.80000000000018</v>
      </c>
      <c r="G43" s="119">
        <f>SUMIF(H10:H37,"&gt;0")</f>
        <v>1.8999999999999986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0" t="s">
        <v>174</v>
      </c>
      <c r="O84" s="700" t="s">
        <v>175</v>
      </c>
      <c r="P84" s="134"/>
      <c r="T84" s="134"/>
      <c r="X84" s="134"/>
    </row>
    <row r="85" spans="1:24" ht="20" thickBot="1">
      <c r="D85" s="134"/>
      <c r="I85" s="702" t="s">
        <v>182</v>
      </c>
      <c r="J85" s="703"/>
      <c r="K85" s="703"/>
      <c r="L85" s="703"/>
      <c r="N85" s="701"/>
      <c r="O85" s="701"/>
      <c r="P85" s="134"/>
      <c r="R85" s="17"/>
      <c r="S85" s="17"/>
      <c r="T85" s="140"/>
      <c r="U85" s="141"/>
      <c r="X85" s="134"/>
    </row>
    <row r="86" spans="1:24" ht="18" thickBot="1">
      <c r="D86" s="134"/>
      <c r="I86" s="704" t="s">
        <v>183</v>
      </c>
      <c r="J86" s="704"/>
      <c r="K86" s="704"/>
      <c r="L86" s="704"/>
      <c r="N86" s="142">
        <f>B43+F43+J43+N43+R43+V43+B81+F81+J81+N81+R81+V81</f>
        <v>-5950.2000000000016</v>
      </c>
      <c r="O86" s="142">
        <f>C43+G43+K43+O43+S43+W43+C81+G81+K81+O81+S81+W81</f>
        <v>4.6999999999999922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4"/>
      <c r="C88" s="694"/>
      <c r="D88" s="694"/>
      <c r="E88" s="694"/>
      <c r="F88" s="694"/>
      <c r="G88" s="694"/>
      <c r="H88" s="694"/>
      <c r="I88" s="694"/>
      <c r="J88" s="694"/>
      <c r="K88" s="694"/>
      <c r="L88" s="694"/>
      <c r="M88" s="694"/>
      <c r="N88" s="694"/>
      <c r="O88" s="694"/>
      <c r="P88" s="694"/>
      <c r="Q88" s="694"/>
      <c r="R88" s="694"/>
      <c r="S88" s="694"/>
      <c r="T88" s="694"/>
      <c r="U88" s="694"/>
      <c r="V88" s="694"/>
      <c r="W88" s="69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4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0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1171.4285714285713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0.1</v>
      </c>
      <c r="C8" s="493">
        <f>SUM(tanks!AU34)</f>
        <v>0.1</v>
      </c>
      <c r="D8" s="191">
        <f>SUM(B8*C8)*D4</f>
        <v>15.075000000000003</v>
      </c>
      <c r="E8" s="192">
        <f>SUM(D8/D4/F4)</f>
        <v>2.5000000000000005E-3</v>
      </c>
      <c r="F8" s="192">
        <f>SUM(E8*F4)</f>
        <v>1.0000000000000002E-2</v>
      </c>
      <c r="G8" s="510">
        <f>E8*$F$4</f>
        <v>1.0000000000000002E-2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2607956.1428571427</v>
      </c>
      <c r="E10" s="182">
        <f>SUM(D10/D4/F4)</f>
        <v>432.49687277896231</v>
      </c>
      <c r="F10" s="182">
        <f>SUM(E10*F4)</f>
        <v>1729.9874911158493</v>
      </c>
      <c r="G10" s="510">
        <f>E10*$G$4</f>
        <v>12109.912437810945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725.35651563610509</v>
      </c>
      <c r="F12" s="180">
        <f>SUM(F6:F10)</f>
        <v>2901.4260625444203</v>
      </c>
      <c r="G12" s="179">
        <f>SUM(G6:G10)</f>
        <v>20309.922437810943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-34985.515949285815</v>
      </c>
      <c r="I14" s="423">
        <f>SUM(G12-I12)</f>
        <v>-34985.515949285815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18.375</v>
      </c>
      <c r="C16" s="433">
        <f>'[13]Utility Cost '!B16</f>
        <v>14.293103448275861</v>
      </c>
      <c r="D16" s="432"/>
      <c r="E16" s="433">
        <f t="shared" si="0"/>
        <v>4.0818965517241388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15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-100.42000000000007</v>
      </c>
      <c r="F18" s="528">
        <f>B18-D18</f>
        <v>-157.73885330486587</v>
      </c>
    </row>
    <row r="19" spans="1:10">
      <c r="A19" s="522" t="s">
        <v>411</v>
      </c>
      <c r="B19" s="520">
        <f>SUM(B18/$F$4)</f>
        <v>3.75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abSelected="1" topLeftCell="A19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2021-02-05T06:19:52Z</dcterms:modified>
</cp:coreProperties>
</file>