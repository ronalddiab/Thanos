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8CD52DF1-8CB6-443B-895E-1D45FEB6069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V14" i="8" s="1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L16" i="8" s="1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I13" i="3" s="1"/>
  <c r="N13" i="2"/>
  <c r="I14" i="3" s="1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J14" i="4" s="1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X14" i="8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N17" i="8"/>
  <c r="V11" i="8"/>
  <c r="D18" i="8"/>
  <c r="E14" i="3"/>
  <c r="L13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H14" i="4"/>
  <c r="I6" i="3"/>
  <c r="K22" i="3"/>
  <c r="E32" i="3"/>
  <c r="J29" i="4"/>
  <c r="M25" i="3"/>
  <c r="M22" i="3"/>
  <c r="H16" i="4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C15" i="4"/>
  <c r="M8" i="3"/>
  <c r="D18" i="4"/>
  <c r="F19" i="3"/>
  <c r="F31" i="3"/>
  <c r="G6" i="4"/>
  <c r="G20" i="4"/>
  <c r="H29" i="4"/>
  <c r="L19" i="3"/>
  <c r="M31" i="3"/>
  <c r="F25" i="3"/>
  <c r="E22" i="3"/>
  <c r="H6" i="3"/>
  <c r="D13" i="3"/>
  <c r="J17" i="4"/>
  <c r="J23" i="3"/>
  <c r="M32" i="3"/>
  <c r="E17" i="3"/>
  <c r="J14" i="3"/>
  <c r="F32" i="4"/>
  <c r="F15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I15" i="3"/>
  <c r="C33" i="3"/>
  <c r="K17" i="3"/>
  <c r="M11" i="3"/>
  <c r="M7" i="3"/>
  <c r="M24" i="3"/>
  <c r="L12" i="3"/>
  <c r="I16" i="4"/>
  <c r="F30" i="3"/>
  <c r="P14" i="8" l="1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L15" i="4" s="1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L14" i="4" s="1"/>
  <c r="I17" i="4"/>
  <c r="L17" i="4" s="1"/>
  <c r="Q33" i="2"/>
  <c r="G21" i="3"/>
  <c r="E23" i="4"/>
  <c r="G28" i="3"/>
  <c r="E5" i="3"/>
  <c r="K23" i="4"/>
  <c r="K33" i="4" s="1"/>
  <c r="K35" i="4" s="1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3" i="4" l="1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<sst xmlns="http://schemas.openxmlformats.org/spreadsheetml/2006/main" count="236" uniqueCount="130">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</sst>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-368230.00000000006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N11" sqref="N11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0</v>
      </c>
      <c r="F12" s="90"/>
      <c r="G12" s="84">
        <v>0</v>
      </c>
      <c r="H12" s="116"/>
      <c r="I12" s="52">
        <v>0</v>
      </c>
      <c r="J12" s="118"/>
      <c r="K12" s="81"/>
      <c r="L12" s="119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0</v>
      </c>
      <c r="F13" s="90"/>
      <c r="G13" s="84">
        <v>0</v>
      </c>
      <c r="H13" s="116"/>
      <c r="I13" s="52">
        <v>0</v>
      </c>
      <c r="J13" s="118"/>
      <c r="K13" s="81"/>
      <c r="L13" s="119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210950</v>
      </c>
      <c r="F33" s="113">
        <v>0</v>
      </c>
      <c r="G33" s="80">
        <f>SUM(G2:G32)</f>
        <v>58933</v>
      </c>
      <c r="H33" s="113">
        <v>0</v>
      </c>
      <c r="I33" s="80">
        <f>SUM(I2:I32)</f>
        <v>4685</v>
      </c>
      <c r="J33" s="113">
        <v>0</v>
      </c>
      <c r="K33" s="79">
        <f>SUM(K2:K31)</f>
        <v>0</v>
      </c>
      <c r="L33" s="120">
        <v>0</v>
      </c>
      <c r="M33" s="80">
        <f>SUM(M2:M32)</f>
        <v>838.6</v>
      </c>
      <c r="N33" s="80">
        <f>SUM(N2:N32)</f>
        <v>2121</v>
      </c>
      <c r="O33" s="80">
        <f>SUM(O2:O32)</f>
        <v>5817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-691760</v>
      </c>
      <c r="F12" s="2">
        <f>('Kwh Reading'!F15-'Kwh Reading'!F14)*1000000</f>
        <v>-3835800</v>
      </c>
      <c r="G12" s="2">
        <f>('Kwh Reading'!C15-'Kwh Reading'!C14)*1000</f>
        <v>-370780</v>
      </c>
      <c r="H12" s="2">
        <f t="shared" si="0"/>
        <v>-1478200</v>
      </c>
      <c r="I12" s="2">
        <f>('Kwh Reading'!J15-'Kwh Reading'!J14)*1000</f>
        <v>-578520</v>
      </c>
      <c r="J12" s="2">
        <f>('Kwh Reading'!K15-'Kwh Reading'!K14)*1000</f>
        <v>-530660</v>
      </c>
      <c r="K12" s="2">
        <f>('Kwh Reading'!L15-'Kwh Reading'!L14)*1000</f>
        <v>-369020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-403260</v>
      </c>
      <c r="O12" s="2">
        <f>('Kwh Reading'!B15-'Kwh Reading'!B14)*1000000</f>
        <v>-1612900</v>
      </c>
      <c r="P12" s="2">
        <f>('Kwh Reading'!M15-'Kwh Reading'!M14)*1000</f>
        <v>-892590</v>
      </c>
      <c r="Q12" s="2">
        <f>('Kwh Reading'!H15-'Kwh Reading'!H14)*1000000</f>
        <v>-1116000</v>
      </c>
      <c r="R12" s="2">
        <f>('Kwh Reading'!P15-'Kwh Reading'!P14)*1000000</f>
        <v>-1081800</v>
      </c>
      <c r="S12" s="2">
        <f>('Kwh Reading'!G15-'Kwh Reading'!G14)*1000000</f>
        <v>-1186400</v>
      </c>
      <c r="T12" s="2">
        <f>('Kwh Reading'!Q15-'Kwh Reading'!Q14)*1000</f>
        <v>-783660</v>
      </c>
      <c r="U12" s="2">
        <f>('Kwh Reading'!N15-'Kwh Reading'!N14)*1000</f>
        <v>-806320</v>
      </c>
      <c r="V12" s="26">
        <f>'Kwh Reading'!E15-'Kwh Reading'!E14</f>
        <v>-9669643.6400000006</v>
      </c>
      <c r="W12" s="26">
        <f>'Kwh Reading'!D15-'Kwh Reading'!D14</f>
        <v>-150875.448</v>
      </c>
      <c r="X12" s="21">
        <f>('Kwh Reading'!O15-'Kwh Reading'!O14)*1000</f>
        <v>-271640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-368230.00000000006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-363610.00000000006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-887789.99999999988</v>
      </c>
      <c r="Q33" s="60">
        <f t="shared" si="2"/>
        <v>-1109000</v>
      </c>
      <c r="R33" s="60">
        <f t="shared" si="2"/>
        <v>-1076600</v>
      </c>
      <c r="S33" s="60">
        <f t="shared" si="2"/>
        <v>-1181200.0000000002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14" sqref="S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0</v>
      </c>
      <c r="C13" s="1">
        <f>Submeters!E12</f>
        <v>-691760</v>
      </c>
      <c r="D13" s="1">
        <f>Submeters!F12</f>
        <v>-3835800</v>
      </c>
      <c r="E13" s="1">
        <f>Submeters!G12</f>
        <v>-370780</v>
      </c>
      <c r="F13" s="1">
        <f>(Submeters!I12+Submeters!J12+Submeters!K12)</f>
        <v>-1478200</v>
      </c>
      <c r="G13" s="1">
        <f>(Submeters!L12+Submeters!M12)</f>
        <v>0</v>
      </c>
      <c r="H13" s="1">
        <f>(Submeters!N12+Submeters!O12)</f>
        <v>-2016160</v>
      </c>
      <c r="I13" s="1">
        <f>(Submeters!P12+Submeters!Q12+Submeters!R12+Submeters!S12+Submeters!T12+Submeters!U12)</f>
        <v>-5866770</v>
      </c>
      <c r="J13" s="1">
        <f>(Submeters!V12+Submeters!W12)</f>
        <v>-9820519.0880000014</v>
      </c>
      <c r="K13" s="1">
        <f>Submeters!X12</f>
        <v>-271640</v>
      </c>
      <c r="L13" s="24">
        <f t="shared" si="0"/>
        <v>24351629.088</v>
      </c>
    </row>
    <row r="14" spans="1:12" x14ac:dyDescent="0.25">
      <c r="A14" s="10">
        <f>'Kwh Reading'!A15</f>
        <v>44938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210950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-368230.00000000006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24420274.389999997</v>
      </c>
      <c r="M33" s="66">
        <f>C33+D33+E33+F33+G33+H33+I33+J33+K33+L33</f>
        <v>210949.99999999627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3" sqref="R13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281634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45">
        <v>0</v>
      </c>
      <c r="I14" s="109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</row>
    <row r="15" spans="1:21" x14ac:dyDescent="0.25">
      <c r="A15" s="44">
        <v>44939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45">
        <v>0</v>
      </c>
      <c r="I15" s="109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90" zoomScaleNormal="90" workbookViewId="0">
      <pane ySplit="3" topLeftCell="A4" activePane="bottomLeft" state="frozen"/>
      <selection activeCell="C25" sqref="C25"/>
      <selection pane="bottomLeft" activeCell="E13" sqref="E13:Z13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253928</v>
      </c>
      <c r="D12" s="54">
        <f t="shared" si="2"/>
        <v>563.0332594235033</v>
      </c>
      <c r="E12" s="68">
        <f>'Water Reading'!H12-'Water Reading'!H11</f>
        <v>35</v>
      </c>
      <c r="F12" s="69">
        <f t="shared" si="3"/>
        <v>1.3783434674395891E-4</v>
      </c>
      <c r="G12" s="73">
        <f>('Water Reading'!D12-'Water Reading'!D11)-('Water Reading'!R12-'Water Reading'!R11)-('Water Reading'!Q12-'Water Reading'!Q11)</f>
        <v>211</v>
      </c>
      <c r="H12" s="69">
        <f t="shared" si="4"/>
        <v>8.3094420465643808E-4</v>
      </c>
      <c r="I12" s="70">
        <f>'Water Reading'!P12-'Water Reading'!P11</f>
        <v>25</v>
      </c>
      <c r="J12" s="55">
        <f t="shared" si="5"/>
        <v>9.8453104817113513E-5</v>
      </c>
      <c r="K12" s="71">
        <f>('Water Reading'!I12-'Water Reading'!I11)-('Water Reading'!P12-'Water Reading'!P11)</f>
        <v>6</v>
      </c>
      <c r="L12" s="55">
        <f t="shared" si="6"/>
        <v>2.3628745156107243E-5</v>
      </c>
      <c r="M12" s="70">
        <f>'Water Reading'!R12-'Water Reading'!R11</f>
        <v>6</v>
      </c>
      <c r="N12" s="72">
        <f t="shared" si="7"/>
        <v>2.3628745156107243E-5</v>
      </c>
      <c r="O12" s="70">
        <f>'Water Reading'!Q12-'Water Reading'!Q11</f>
        <v>7</v>
      </c>
      <c r="P12" s="77">
        <f t="shared" si="8"/>
        <v>2.7566869348791783E-5</v>
      </c>
      <c r="Q12" s="71">
        <f>'Water Reading'!F12-'Water Reading'!F11</f>
        <v>34</v>
      </c>
      <c r="R12" s="78">
        <f t="shared" si="9"/>
        <v>1.3389622255127439E-4</v>
      </c>
      <c r="S12" s="70">
        <f>'Water Reading'!E12-'Water Reading'!E11</f>
        <v>81</v>
      </c>
      <c r="T12" s="78">
        <f t="shared" si="10"/>
        <v>3.1898805960744781E-4</v>
      </c>
      <c r="U12" s="70">
        <f>'Water Reading'!G12-'Water Reading'!G11</f>
        <v>39</v>
      </c>
      <c r="V12" s="78">
        <f t="shared" si="11"/>
        <v>1.5358684351469707E-4</v>
      </c>
      <c r="W12" s="71">
        <f>'Water Reading'!J12-'Water Reading'!J11</f>
        <v>7</v>
      </c>
      <c r="X12" s="78">
        <f t="shared" si="12"/>
        <v>2.7566869348791783E-5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-253029</v>
      </c>
      <c r="D13" s="54">
        <f t="shared" si="2"/>
        <v>-566.06040268456377</v>
      </c>
      <c r="E13" s="68">
        <f>'Water Reading'!H13-'Water Reading'!H12</f>
        <v>43</v>
      </c>
      <c r="F13" s="69">
        <f t="shared" si="3"/>
        <v>-1.6994099490572228E-4</v>
      </c>
      <c r="G13" s="73">
        <f>('Water Reading'!D13-'Water Reading'!D12)-('Water Reading'!R13-'Water Reading'!R12)-('Water Reading'!Q13-'Water Reading'!Q12)</f>
        <v>202</v>
      </c>
      <c r="H13" s="69">
        <f t="shared" si="4"/>
        <v>-7.9832746444083479E-4</v>
      </c>
      <c r="I13" s="70">
        <f>'Water Reading'!P13-'Water Reading'!P12</f>
        <v>16</v>
      </c>
      <c r="J13" s="55">
        <f t="shared" si="5"/>
        <v>-6.3233858569571079E-5</v>
      </c>
      <c r="K13" s="71">
        <f>('Water Reading'!I13-'Water Reading'!I12)-('Water Reading'!P13-'Water Reading'!P12)</f>
        <v>4</v>
      </c>
      <c r="L13" s="55">
        <f t="shared" si="6"/>
        <v>-1.580846464239277E-5</v>
      </c>
      <c r="M13" s="70">
        <f>'Water Reading'!R13-'Water Reading'!R12</f>
        <v>5</v>
      </c>
      <c r="N13" s="72">
        <f t="shared" si="7"/>
        <v>-1.9760580802990961E-5</v>
      </c>
      <c r="O13" s="70">
        <f>'Water Reading'!Q13-'Water Reading'!Q12</f>
        <v>12</v>
      </c>
      <c r="P13" s="77">
        <f t="shared" si="8"/>
        <v>-4.7425393927178306E-5</v>
      </c>
      <c r="Q13" s="71">
        <f>'Water Reading'!F13-'Water Reading'!F12</f>
        <v>36</v>
      </c>
      <c r="R13" s="78">
        <f t="shared" si="9"/>
        <v>-1.4227618178153491E-4</v>
      </c>
      <c r="S13" s="70">
        <f>'Water Reading'!E13-'Water Reading'!E12</f>
        <v>80</v>
      </c>
      <c r="T13" s="78">
        <f t="shared" si="10"/>
        <v>-3.1616929284785538E-4</v>
      </c>
      <c r="U13" s="70">
        <f>'Water Reading'!G13-'Water Reading'!G12</f>
        <v>42</v>
      </c>
      <c r="V13" s="78">
        <f t="shared" si="11"/>
        <v>-1.6598887874512408E-4</v>
      </c>
      <c r="W13" s="71">
        <f>'Water Reading'!J13-'Water Reading'!J12</f>
        <v>7</v>
      </c>
      <c r="X13" s="78">
        <f t="shared" si="12"/>
        <v>-2.7664813124187345E-5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0</v>
      </c>
      <c r="C14" s="53">
        <f>('Water Reading'!B14-'Water Reading'!B13)+('Water Reading'!C14-'Water Reading'!C13)</f>
        <v>-72357</v>
      </c>
      <c r="D14" s="54" t="e">
        <f t="shared" si="2"/>
        <v>#DIV/0!</v>
      </c>
      <c r="E14" s="68">
        <f>'Water Reading'!H14-'Water Reading'!H13</f>
        <v>-1137</v>
      </c>
      <c r="F14" s="69">
        <f t="shared" si="3"/>
        <v>1.571375264314441E-2</v>
      </c>
      <c r="G14" s="73">
        <f>('Water Reading'!D14-'Water Reading'!D13)-('Water Reading'!R14-'Water Reading'!R13)-('Water Reading'!Q14-'Water Reading'!Q13)</f>
        <v>-299961</v>
      </c>
      <c r="H14" s="69">
        <f t="shared" si="4"/>
        <v>4.1455698826651188</v>
      </c>
      <c r="I14" s="70">
        <f>'Water Reading'!P14-'Water Reading'!P13</f>
        <v>-33176</v>
      </c>
      <c r="J14" s="55">
        <f t="shared" si="5"/>
        <v>0.45850436032450215</v>
      </c>
      <c r="K14" s="71">
        <f>('Water Reading'!I14-'Water Reading'!I13)-('Water Reading'!P14-'Water Reading'!P13)</f>
        <v>-47379</v>
      </c>
      <c r="L14" s="55">
        <f t="shared" si="6"/>
        <v>0.65479497491604133</v>
      </c>
      <c r="M14" s="70">
        <f>'Water Reading'!R14-'Water Reading'!R13</f>
        <v>-1070</v>
      </c>
      <c r="N14" s="72">
        <f t="shared" si="7"/>
        <v>1.4787788327321475E-2</v>
      </c>
      <c r="O14" s="70">
        <f>'Water Reading'!Q14-'Water Reading'!Q13</f>
        <v>-2420</v>
      </c>
      <c r="P14" s="77">
        <f t="shared" si="8"/>
        <v>3.3445278273007452E-2</v>
      </c>
      <c r="Q14" s="71">
        <f>'Water Reading'!F14-'Water Reading'!F13</f>
        <v>-26584</v>
      </c>
      <c r="R14" s="78">
        <f t="shared" si="9"/>
        <v>0.36740052793786365</v>
      </c>
      <c r="S14" s="70">
        <f>'Water Reading'!E14-'Water Reading'!E13</f>
        <v>-287300</v>
      </c>
      <c r="T14" s="78">
        <f t="shared" si="10"/>
        <v>3.9705902677004299</v>
      </c>
      <c r="U14" s="70">
        <f>'Water Reading'!G14-'Water Reading'!G13</f>
        <v>-125091</v>
      </c>
      <c r="V14" s="78">
        <f t="shared" si="11"/>
        <v>1.7288030183672622</v>
      </c>
      <c r="W14" s="71">
        <f>'Water Reading'!J14-'Water Reading'!J13</f>
        <v>-24143</v>
      </c>
      <c r="X14" s="78">
        <f t="shared" si="12"/>
        <v>0.33366502204347886</v>
      </c>
      <c r="Y14" s="53">
        <f t="shared" si="0"/>
        <v>-848261</v>
      </c>
      <c r="Z14" s="54" t="e">
        <f t="shared" si="1"/>
        <v>#DIV/0!</v>
      </c>
    </row>
    <row r="15" spans="1:26" s="96" customFormat="1" x14ac:dyDescent="0.25">
      <c r="A15" s="101">
        <f>'Water Reading'!A14</f>
        <v>44938</v>
      </c>
      <c r="B15" s="102">
        <f>TOTAL!I13</f>
        <v>0</v>
      </c>
      <c r="C15" s="103">
        <f>('Water Reading'!B15-'Water Reading'!B14)+('Water Reading'!C15-'Water Reading'!C14)</f>
        <v>0</v>
      </c>
      <c r="D15" s="104" t="e">
        <f t="shared" si="2"/>
        <v>#DIV/0!</v>
      </c>
      <c r="E15" s="68">
        <f>'Water Reading'!H15-'Water Reading'!H14</f>
        <v>0</v>
      </c>
      <c r="F15" s="105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5" t="e">
        <f t="shared" si="4"/>
        <v>#DIV/0!</v>
      </c>
      <c r="I15" s="99">
        <f>'Water Reading'!P15-'Water Reading'!P14</f>
        <v>0</v>
      </c>
      <c r="J15" s="100" t="e">
        <f t="shared" si="5"/>
        <v>#DIV/0!</v>
      </c>
      <c r="K15" s="94">
        <f>('Water Reading'!I15-'Water Reading'!I14)-('Water Reading'!P15-'Water Reading'!P14)</f>
        <v>0</v>
      </c>
      <c r="L15" s="100" t="e">
        <f t="shared" si="6"/>
        <v>#DIV/0!</v>
      </c>
      <c r="M15" s="99">
        <f>'Water Reading'!R15-'Water Reading'!R14</f>
        <v>0</v>
      </c>
      <c r="N15" s="106" t="e">
        <f t="shared" si="7"/>
        <v>#DIV/0!</v>
      </c>
      <c r="O15" s="99">
        <f>'Water Reading'!Q15-'Water Reading'!Q14</f>
        <v>0</v>
      </c>
      <c r="P15" s="107" t="e">
        <f t="shared" si="8"/>
        <v>#DIV/0!</v>
      </c>
      <c r="Q15" s="94">
        <f>'Water Reading'!F15-'Water Reading'!F14</f>
        <v>0</v>
      </c>
      <c r="R15" s="108" t="e">
        <f t="shared" si="9"/>
        <v>#DIV/0!</v>
      </c>
      <c r="S15" s="99">
        <f>'Water Reading'!E15-'Water Reading'!E14</f>
        <v>0</v>
      </c>
      <c r="T15" s="108" t="e">
        <f t="shared" si="10"/>
        <v>#DIV/0!</v>
      </c>
      <c r="U15" s="99">
        <f>'Water Reading'!G15-'Water Reading'!G14</f>
        <v>0</v>
      </c>
      <c r="V15" s="108" t="e">
        <f t="shared" si="11"/>
        <v>#DIV/0!</v>
      </c>
      <c r="W15" s="94">
        <f>'Water Reading'!J15-'Water Reading'!J14</f>
        <v>0</v>
      </c>
      <c r="X15" s="108" t="e">
        <f t="shared" si="12"/>
        <v>#DIV/0!</v>
      </c>
      <c r="Y15" s="103">
        <f t="shared" si="0"/>
        <v>0</v>
      </c>
      <c r="Z15" s="104" t="e">
        <f t="shared" si="1"/>
        <v>#DIV/0!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2023-01-11T04:56:34Z</dcterms:modified>
  <cp:category/>
  <cp:contentStatus/>
</cp:coreProperties>
</file>