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541" documentId="8_{570E39A5-4344-4CF9-9BBE-67993DB36049}" xr6:coauthVersionLast="36" xr6:coauthVersionMax="36" xr10:uidLastSave="{5FDB2238-952B-4D25-A9C5-3BFD8704ED7A}"/>
  <bookViews>
    <workbookView xWindow="-100" yWindow="-100" windowWidth="18190" windowHeight="11470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K32" i="4"/>
  <c r="N32" i="4"/>
  <c r="P32" i="4"/>
  <c r="Q32" i="4"/>
  <c r="R32" i="4"/>
  <c r="S32" i="4"/>
  <c r="U32" i="4"/>
  <c r="V32" i="4"/>
  <c r="W32" i="4"/>
  <c r="G32" i="5" l="1"/>
  <c r="E32" i="5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<sst xmlns="http://schemas.openxmlformats.org/spreadsheetml/2006/main" count="225" uniqueCount="50">
  <si>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</si>
  <si>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</si>
  <si>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</si>
  <si>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</si>
  <si>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</si>
  <si>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</si>
  <si>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</si>
  <si>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</si>
  <si>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</si>
  <si>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</si>
  <si>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</si>
  <si>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</si>
  <si>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</si>
  <si>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</si>
  <si>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</si>
  <si>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</si>
  <si>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</si>
  <si>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</si>
  <si>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</si>
  <si>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</si>
  <si>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</si>
  <si>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</si>
  <si>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</si>
  <si>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</si>
  <si>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</si>
  <si>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</si>
  <si>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</si>
  <si>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</si>
  <si>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</si>
  <si>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</si>
  <si>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</si>
  <si>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</si>
  <si>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</si>
  <si>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</si>
  <si>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</si>
  <si>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</si>
  <si>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</si>
  <si>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</si>
  <si>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</si>
  <si>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</si>
  <si>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</si>
  <si>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</si>
  <si>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</si>
  <si>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</si>
  <si>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</si>
  <si>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</si>
  <si>
    <t>Aung</t>
  </si>
  <si>
    <t>Ramu/Sathis</t>
  </si>
  <si>
    <t>Veera/Aung</t>
  </si>
  <si>
    <t>Veera/Muthu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</si>
</sst>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abSelected="1" topLeftCell="A16" workbookViewId="0">
      <selection activeCell="I37" sqref="I37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12315</v>
      </c>
      <c r="F13" s="10">
        <v>0.2989</v>
      </c>
      <c r="G13" s="13">
        <f>-'Submetering '!J13+'Submetering '!K13</f>
        <v>583</v>
      </c>
      <c r="H13" s="10">
        <v>0.23150000000000001</v>
      </c>
      <c r="I13" s="13">
        <f>'Submetering '!L13+'Submetering '!M13</f>
        <v>137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12630</v>
      </c>
      <c r="F14" s="10">
        <v>0.2989</v>
      </c>
      <c r="G14" s="13">
        <f>-'Submetering '!J14+'Submetering '!K14</f>
        <v>723</v>
      </c>
      <c r="H14" s="10">
        <v>0.23150000000000001</v>
      </c>
      <c r="I14" s="13">
        <f>'Submetering '!L14+'Submetering '!M14</f>
        <v>153</v>
      </c>
      <c r="J14" s="10">
        <v>2.74</v>
      </c>
      <c r="K14" s="9">
        <v>236</v>
      </c>
      <c r="L14" s="9">
        <v>236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12690</v>
      </c>
      <c r="F15" s="10">
        <v>0.2989</v>
      </c>
      <c r="G15" s="13">
        <f>-'Submetering '!J15+'Submetering '!K15</f>
        <v>729</v>
      </c>
      <c r="H15" s="10">
        <v>0.23150000000000001</v>
      </c>
      <c r="I15" s="13">
        <f>'Submetering '!L15+'Submetering '!M15</f>
        <v>143</v>
      </c>
      <c r="J15" s="10">
        <v>2.74</v>
      </c>
      <c r="K15" s="9">
        <v>223</v>
      </c>
      <c r="L15" s="9">
        <v>223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12960</v>
      </c>
      <c r="F16" s="10">
        <v>0.2989</v>
      </c>
      <c r="G16" s="13">
        <f>-'Submetering '!J16+'Submetering '!K16</f>
        <v>683</v>
      </c>
      <c r="H16" s="10">
        <v>0.23150000000000001</v>
      </c>
      <c r="I16" s="13">
        <f>'Submetering '!L16+'Submetering '!M16</f>
        <v>178</v>
      </c>
      <c r="J16" s="10">
        <v>2.74</v>
      </c>
      <c r="K16" s="9">
        <v>211</v>
      </c>
      <c r="L16" s="9">
        <v>211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13230</v>
      </c>
      <c r="F17" s="10">
        <v>0.2989</v>
      </c>
      <c r="G17" s="13">
        <f>-'Submetering '!J17+'Submetering '!K17</f>
        <v>773</v>
      </c>
      <c r="H17" s="10">
        <v>0.23150000000000001</v>
      </c>
      <c r="I17" s="13">
        <f>'Submetering '!L17+'Submetering '!M17</f>
        <v>159</v>
      </c>
      <c r="J17" s="10">
        <v>2.74</v>
      </c>
      <c r="K17" s="9">
        <v>224</v>
      </c>
      <c r="L17" s="9">
        <v>224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12090</v>
      </c>
      <c r="F18" s="10">
        <v>0.2989</v>
      </c>
      <c r="G18" s="13">
        <f>-'Submetering '!J18+'Submetering '!K18</f>
        <v>717</v>
      </c>
      <c r="H18" s="10">
        <v>0.23150000000000001</v>
      </c>
      <c r="I18" s="13">
        <f>'Submetering '!L18+'Submetering '!M18</f>
        <v>129</v>
      </c>
      <c r="J18" s="10">
        <v>2.74</v>
      </c>
      <c r="K18" s="9">
        <v>201</v>
      </c>
      <c r="L18" s="9">
        <v>201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11580</v>
      </c>
      <c r="F19" s="10">
        <v>0.2989</v>
      </c>
      <c r="G19" s="13">
        <f>-'Submetering '!J19+'Submetering '!K19</f>
        <v>783</v>
      </c>
      <c r="H19" s="10">
        <v>0.23150000000000001</v>
      </c>
      <c r="I19" s="13">
        <f>'Submetering '!L19+'Submetering '!M19</f>
        <v>146</v>
      </c>
      <c r="J19" s="10">
        <v>2.74</v>
      </c>
      <c r="K19" s="9">
        <v>223</v>
      </c>
      <c r="L19" s="9">
        <v>223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13110</v>
      </c>
      <c r="F20" s="10">
        <v>0.2989</v>
      </c>
      <c r="G20" s="13">
        <f>-'Submetering '!J20+'Submetering '!K20</f>
        <v>756</v>
      </c>
      <c r="H20" s="10">
        <v>0.23150000000000001</v>
      </c>
      <c r="I20" s="13">
        <f>'Submetering '!L20+'Submetering '!M20</f>
        <v>139</v>
      </c>
      <c r="J20" s="10">
        <v>2.74</v>
      </c>
      <c r="K20" s="9">
        <v>224</v>
      </c>
      <c r="L20" s="9">
        <v>224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12765</v>
      </c>
      <c r="F21" s="10">
        <v>0.2989</v>
      </c>
      <c r="G21" s="13">
        <f>-'Submetering '!J21+'Submetering '!K21</f>
        <v>669</v>
      </c>
      <c r="H21" s="10">
        <v>0.23150000000000001</v>
      </c>
      <c r="I21" s="13">
        <f>'Submetering '!L21+'Submetering '!M21</f>
        <v>129</v>
      </c>
      <c r="J21" s="10">
        <v>2.74</v>
      </c>
      <c r="K21" s="9">
        <v>228</v>
      </c>
      <c r="L21" s="9">
        <v>228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13320</v>
      </c>
      <c r="F22" s="10">
        <v>0.2989</v>
      </c>
      <c r="G22" s="13">
        <f>-'Submetering '!J22+'Submetering '!K22</f>
        <v>767</v>
      </c>
      <c r="H22" s="10">
        <v>0.23150000000000001</v>
      </c>
      <c r="I22" s="13">
        <f>'Submetering '!L22+'Submetering '!M22</f>
        <v>151</v>
      </c>
      <c r="J22" s="10">
        <v>2.74</v>
      </c>
      <c r="K22" s="9">
        <v>231</v>
      </c>
      <c r="L22" s="9">
        <v>231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12765</v>
      </c>
      <c r="F23" s="10">
        <v>0.2989</v>
      </c>
      <c r="G23" s="13">
        <f>-'Submetering '!J23+'Submetering '!K23</f>
        <v>741</v>
      </c>
      <c r="H23" s="10">
        <v>0.23150000000000001</v>
      </c>
      <c r="I23" s="13">
        <f>'Submetering '!L23+'Submetering '!M23</f>
        <v>177</v>
      </c>
      <c r="J23" s="10">
        <v>2.74</v>
      </c>
      <c r="K23" s="9">
        <v>239</v>
      </c>
      <c r="L23" s="9">
        <v>239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13620</v>
      </c>
      <c r="F24" s="10">
        <v>0.2989</v>
      </c>
      <c r="G24" s="13">
        <f>-'Submetering '!J24+'Submetering '!K24</f>
        <v>816</v>
      </c>
      <c r="H24" s="10">
        <v>0.23150000000000001</v>
      </c>
      <c r="I24" s="13">
        <f>'Submetering '!L24+'Submetering '!M24</f>
        <v>193</v>
      </c>
      <c r="J24" s="10">
        <v>2.74</v>
      </c>
      <c r="K24" s="9">
        <v>223</v>
      </c>
      <c r="L24" s="9">
        <v>223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12180</v>
      </c>
      <c r="F25" s="10">
        <v>0.2989</v>
      </c>
      <c r="G25" s="13">
        <f>-'Submetering '!J25+'Submetering '!K25</f>
        <v>703</v>
      </c>
      <c r="H25" s="10">
        <v>0.23150000000000001</v>
      </c>
      <c r="I25" s="13">
        <f>'Submetering '!L25+'Submetering '!M25</f>
        <v>158</v>
      </c>
      <c r="J25" s="10">
        <v>2.74</v>
      </c>
      <c r="K25" s="9">
        <v>172</v>
      </c>
      <c r="L25" s="9">
        <v>172</v>
      </c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12360</v>
      </c>
      <c r="F26" s="10">
        <v>0.2989</v>
      </c>
      <c r="G26" s="13">
        <f>-'Submetering '!J26+'Submetering '!K26</f>
        <v>627</v>
      </c>
      <c r="H26" s="10">
        <v>0.23150000000000001</v>
      </c>
      <c r="I26" s="13">
        <f>'Submetering '!L26+'Submetering '!M26</f>
        <v>124</v>
      </c>
      <c r="J26" s="10">
        <v>2.74</v>
      </c>
      <c r="K26" s="9">
        <v>174</v>
      </c>
      <c r="L26" s="9">
        <v>174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12795</v>
      </c>
      <c r="F27" s="10">
        <v>0.2989</v>
      </c>
      <c r="G27" s="13">
        <f>-'Submetering '!J27+'Submetering '!K27</f>
        <v>715</v>
      </c>
      <c r="H27" s="10">
        <v>0.23150000000000001</v>
      </c>
      <c r="I27" s="13">
        <f>'Submetering '!L27+'Submetering '!M27</f>
        <v>157</v>
      </c>
      <c r="J27" s="10">
        <v>2.74</v>
      </c>
      <c r="K27" s="9">
        <v>198</v>
      </c>
      <c r="L27" s="9">
        <v>198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13365</v>
      </c>
      <c r="F28" s="10">
        <v>0.2989</v>
      </c>
      <c r="G28" s="13">
        <f>-'Submetering '!J28+'Submetering '!K28</f>
        <v>784</v>
      </c>
      <c r="H28" s="10">
        <v>0.23150000000000001</v>
      </c>
      <c r="I28" s="13">
        <f>'Submetering '!L28+'Submetering '!M28</f>
        <v>170</v>
      </c>
      <c r="J28" s="10">
        <v>2.74</v>
      </c>
      <c r="K28" s="9">
        <v>216</v>
      </c>
      <c r="L28" s="9">
        <v>216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13680</v>
      </c>
      <c r="F29" s="10">
        <v>0.2989</v>
      </c>
      <c r="G29" s="13">
        <f>-'Submetering '!J29+'Submetering '!K29</f>
        <v>825</v>
      </c>
      <c r="H29" s="10">
        <v>0.23150000000000001</v>
      </c>
      <c r="I29" s="13">
        <f>'Submetering '!L29+'Submetering '!M29</f>
        <v>148</v>
      </c>
      <c r="J29" s="10">
        <v>2.74</v>
      </c>
      <c r="K29" s="9">
        <v>213</v>
      </c>
      <c r="L29" s="9">
        <v>213</v>
      </c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13695</v>
      </c>
      <c r="F30" s="10">
        <v>0.2989</v>
      </c>
      <c r="G30" s="13">
        <f>-'Submetering '!J30+'Submetering '!K30</f>
        <v>859</v>
      </c>
      <c r="H30" s="10">
        <v>0.23150000000000001</v>
      </c>
      <c r="I30" s="13">
        <f>'Submetering '!L30+'Submetering '!M30</f>
        <v>188</v>
      </c>
      <c r="J30" s="10">
        <v>2.74</v>
      </c>
      <c r="K30" s="9">
        <v>213</v>
      </c>
      <c r="L30" s="9">
        <v>213</v>
      </c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15225</v>
      </c>
      <c r="F31" s="10">
        <v>0.2989</v>
      </c>
      <c r="G31" s="13">
        <f>-'Submetering '!J31+'Submetering '!K31</f>
        <v>723</v>
      </c>
      <c r="H31" s="10">
        <v>0.23150000000000001</v>
      </c>
      <c r="I31" s="13">
        <f>'Submetering '!L31+'Submetering '!M31</f>
        <v>208</v>
      </c>
      <c r="J31" s="10">
        <v>2.74</v>
      </c>
      <c r="K31" s="9">
        <v>237</v>
      </c>
      <c r="L31" s="9">
        <v>237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11505</v>
      </c>
      <c r="F32" s="10">
        <v>0.2989</v>
      </c>
      <c r="G32" s="13">
        <f>-'Submetering '!J32+'Submetering '!K32</f>
        <v>762</v>
      </c>
      <c r="H32" s="10">
        <v>0.23150000000000001</v>
      </c>
      <c r="I32" s="13">
        <f>'Submetering '!L32+'Submetering '!M32</f>
        <v>190</v>
      </c>
      <c r="J32" s="10">
        <v>2.74</v>
      </c>
      <c r="K32" s="9">
        <v>186</v>
      </c>
      <c r="L32" s="9">
        <v>186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A7" zoomScale="80" zoomScaleNormal="80" workbookViewId="0">
      <selection activeCell="X38" sqref="X38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5445</v>
      </c>
      <c r="F13" s="33">
        <f>(IF((Electrical!C14-Electrical!C13)&lt;0,"0",(Electrical!C14-Electrical!C13)))*15</f>
        <v>3315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3574</v>
      </c>
      <c r="I13" s="33">
        <f>IF((Electrical!F14-Electrical!F13)&lt;0,"0",(Electrical!F14-Electrical!F13))</f>
        <v>410</v>
      </c>
      <c r="J13" s="33">
        <f>IF((Gas!B14-Gas!B13)&lt;0,"0",(Gas!B14-Gas!B13))</f>
        <v>0</v>
      </c>
      <c r="K13" s="33">
        <f>IF((Gas!C14-Gas!C13)&lt;0,"0",(Gas!C14-Gas!C13))</f>
        <v>583</v>
      </c>
      <c r="L13" s="33">
        <f>(IF((Water!B14-Water!B13)&lt;0,"0",(Water!B14-Water!B13)))*10</f>
        <v>120</v>
      </c>
      <c r="M13" s="33">
        <f>IF((Water!C14-Water!C13)&lt;0,"0",(Water!C14-Water!C13))</f>
        <v>17</v>
      </c>
      <c r="N13" s="33">
        <f>IF((Water!D14-Water!D13)&lt;0,"0",(Water!D14-Water!D13))</f>
        <v>0</v>
      </c>
      <c r="O13" s="33">
        <f>IF((Water!E14-Water!E13)&lt;0,"0",(Water!E14-Water!E13))</f>
        <v>14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33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5430</v>
      </c>
      <c r="F14" s="33">
        <f>(IF((Electrical!C15-Electrical!C14)&lt;0,"0",(Electrical!C15-Electrical!C14)))*15</f>
        <v>3525</v>
      </c>
      <c r="G14" s="33">
        <f>(IF((Electrical!D15-Electrical!D14)&lt;0,"0",(Electrical!D15-Electrical!D14)))*15</f>
        <v>3675</v>
      </c>
      <c r="H14" s="33">
        <f>IF((Electrical!E15-Electrical!E14)&lt;0,"0",(Electrical!E15-Electrical!E14))</f>
        <v>3618</v>
      </c>
      <c r="I14" s="33">
        <f>IF((Electrical!F15-Electrical!F14)&lt;0,"0",(Electrical!F15-Electrical!F14))</f>
        <v>419</v>
      </c>
      <c r="J14" s="33">
        <f>IF((Gas!B15-Gas!B14)&lt;0,"0",(Gas!B15-Gas!B14))</f>
        <v>0</v>
      </c>
      <c r="K14" s="33">
        <f>IF((Gas!C15-Gas!C14)&lt;0,"0",(Gas!C15-Gas!C14))</f>
        <v>723</v>
      </c>
      <c r="L14" s="33">
        <f>(IF((Water!B15-Water!B14)&lt;0,"0",(Water!B15-Water!B14)))*10</f>
        <v>130</v>
      </c>
      <c r="M14" s="33">
        <f>IF((Water!C15-Water!C14)&lt;0,"0",(Water!C15-Water!C14))</f>
        <v>23</v>
      </c>
      <c r="N14" s="33">
        <f>IF((Water!D15-Water!D14)&lt;0,"0",(Water!D15-Water!D14))</f>
        <v>0</v>
      </c>
      <c r="O14" s="33">
        <f>IF((Water!E15-Water!E14)&lt;0,"0",(Water!E15-Water!E14))</f>
        <v>14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48</v>
      </c>
      <c r="Y14" s="9">
        <v>236</v>
      </c>
      <c r="Z14" s="9">
        <v>236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5775</v>
      </c>
      <c r="F15" s="33">
        <f>(IF((Electrical!C16-Electrical!C15)&lt;0,"0",(Electrical!C16-Electrical!C15)))*15</f>
        <v>3255</v>
      </c>
      <c r="G15" s="33">
        <f>(IF((Electrical!D16-Electrical!D15)&lt;0,"0",(Electrical!D16-Electrical!D15)))*15</f>
        <v>3660</v>
      </c>
      <c r="H15" s="33">
        <f>IF((Electrical!E16-Electrical!E15)&lt;0,"0",(Electrical!E16-Electrical!E15))</f>
        <v>3773</v>
      </c>
      <c r="I15" s="33">
        <f>IF((Electrical!F16-Electrical!F15)&lt;0,"0",(Electrical!F16-Electrical!F15))</f>
        <v>433</v>
      </c>
      <c r="J15" s="33">
        <f>IF((Gas!B16-Gas!B15)&lt;0,"0",(Gas!B16-Gas!B15))</f>
        <v>0</v>
      </c>
      <c r="K15" s="33">
        <f>IF((Gas!C16-Gas!C15)&lt;0,"0",(Gas!C16-Gas!C15))</f>
        <v>729</v>
      </c>
      <c r="L15" s="33">
        <f>(IF((Water!B16-Water!B15)&lt;0,"0",(Water!B16-Water!B15)))*10</f>
        <v>120</v>
      </c>
      <c r="M15" s="33">
        <f>IF((Water!C16-Water!C15)&lt;0,"0",(Water!C16-Water!C15))</f>
        <v>23</v>
      </c>
      <c r="N15" s="33">
        <f>IF((Water!D16-Water!D15)&lt;0,"0",(Water!D16-Water!D15))</f>
        <v>0</v>
      </c>
      <c r="O15" s="33">
        <f>IF((Water!E16-Water!E15)&lt;0,"0",(Water!E16-Water!E15))</f>
        <v>15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1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36</v>
      </c>
      <c r="Y15" s="9">
        <v>223</v>
      </c>
      <c r="Z15" s="9">
        <v>223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4995</v>
      </c>
      <c r="F16" s="33">
        <f>(IF((Electrical!C17-Electrical!C16)&lt;0,"0",(Electrical!C17-Electrical!C16)))*15</f>
        <v>4200</v>
      </c>
      <c r="G16" s="33">
        <f>(IF((Electrical!D17-Electrical!D16)&lt;0,"0",(Electrical!D17-Electrical!D16)))*15</f>
        <v>3765</v>
      </c>
      <c r="H16" s="33">
        <f>IF((Electrical!E17-Electrical!E16)&lt;0,"0",(Electrical!E17-Electrical!E16))</f>
        <v>3892</v>
      </c>
      <c r="I16" s="33">
        <f>IF((Electrical!F17-Electrical!F16)&lt;0,"0",(Electrical!F17-Electrical!F16))</f>
        <v>422</v>
      </c>
      <c r="J16" s="33">
        <f>IF((Gas!B17-Gas!B16)&lt;0,"0",(Gas!B17-Gas!B16))</f>
        <v>0</v>
      </c>
      <c r="K16" s="33">
        <f>IF((Gas!C17-Gas!C16)&lt;0,"0",(Gas!C17-Gas!C16))</f>
        <v>683</v>
      </c>
      <c r="L16" s="33">
        <f>(IF((Water!B17-Water!B16)&lt;0,"0",(Water!B17-Water!B16)))*10</f>
        <v>150</v>
      </c>
      <c r="M16" s="33">
        <f>IF((Water!C17-Water!C16)&lt;0,"0",(Water!C17-Water!C16))</f>
        <v>28</v>
      </c>
      <c r="N16" s="33">
        <f>IF((Water!D17-Water!D16)&lt;0,"0",(Water!D17-Water!D16))</f>
        <v>0</v>
      </c>
      <c r="O16" s="33">
        <f>IF((Water!E17-Water!E16)&lt;0,"0",(Water!E17-Water!E16))</f>
        <v>15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7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31</v>
      </c>
      <c r="Y16" s="9">
        <v>211</v>
      </c>
      <c r="Z16" s="9">
        <v>211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5865</v>
      </c>
      <c r="F17" s="33">
        <f>(IF((Electrical!C18-Electrical!C17)&lt;0,"0",(Electrical!C18-Electrical!C17)))*15</f>
        <v>3630</v>
      </c>
      <c r="G17" s="33">
        <f>(IF((Electrical!D18-Electrical!D17)&lt;0,"0",(Electrical!D18-Electrical!D17)))*15</f>
        <v>3735</v>
      </c>
      <c r="H17" s="33">
        <f>IF((Electrical!E18-Electrical!E17)&lt;0,"0",(Electrical!E18-Electrical!E17))</f>
        <v>3996</v>
      </c>
      <c r="I17" s="33">
        <f>IF((Electrical!F18-Electrical!F17)&lt;0,"0",(Electrical!F18-Electrical!F17))</f>
        <v>433</v>
      </c>
      <c r="J17" s="33">
        <f>IF((Gas!B18-Gas!B17)&lt;0,"0",(Gas!B18-Gas!B17))</f>
        <v>0</v>
      </c>
      <c r="K17" s="33">
        <f>IF((Gas!C18-Gas!C17)&lt;0,"0",(Gas!C18-Gas!C17))</f>
        <v>773</v>
      </c>
      <c r="L17" s="33">
        <f>(IF((Water!B18-Water!B17)&lt;0,"0",(Water!B18-Water!B17)))*10</f>
        <v>140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15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224</v>
      </c>
      <c r="Z17" s="9">
        <v>224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3465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3652</v>
      </c>
      <c r="I18" s="33">
        <f>IF((Electrical!F19-Electrical!F18)&lt;0,"0",(Electrical!F19-Electrical!F18))</f>
        <v>436</v>
      </c>
      <c r="J18" s="33">
        <f>IF((Gas!B19-Gas!B18)&lt;0,"0",(Gas!B19-Gas!B18))</f>
        <v>0</v>
      </c>
      <c r="K18" s="33">
        <f>IF((Gas!C19-Gas!C18)&lt;0,"0",(Gas!C19-Gas!C18))</f>
        <v>717</v>
      </c>
      <c r="L18" s="33">
        <f>(IF((Water!B19-Water!B18)&lt;0,"0",(Water!B19-Water!B18)))*10</f>
        <v>110</v>
      </c>
      <c r="M18" s="33">
        <f>IF((Water!C19-Water!C18)&lt;0,"0",(Water!C19-Water!C18))</f>
        <v>19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201</v>
      </c>
      <c r="Z18" s="9">
        <v>201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4770</v>
      </c>
      <c r="F19" s="33">
        <f>(IF((Electrical!C20-Electrical!C19)&lt;0,"0",(Electrical!C20-Electrical!C19)))*15</f>
        <v>3345</v>
      </c>
      <c r="G19" s="33">
        <f>(IF((Electrical!D20-Electrical!D19)&lt;0,"0",(Electrical!D20-Electrical!D19)))*15</f>
        <v>3465</v>
      </c>
      <c r="H19" s="33">
        <f>IF((Electrical!E20-Electrical!E19)&lt;0,"0",(Electrical!E20-Electrical!E19))</f>
        <v>3547</v>
      </c>
      <c r="I19" s="33">
        <f>IF((Electrical!F20-Electrical!F19)&lt;0,"0",(Electrical!F20-Electrical!F19))</f>
        <v>366</v>
      </c>
      <c r="J19" s="33">
        <f>IF((Gas!B20-Gas!B19)&lt;0,"0",(Gas!B20-Gas!B19))</f>
        <v>0</v>
      </c>
      <c r="K19" s="33">
        <f>IF((Gas!C20-Gas!C19)&lt;0,"0",(Gas!C20-Gas!C19))</f>
        <v>783</v>
      </c>
      <c r="L19" s="33">
        <f>(IF((Water!B20-Water!B19)&lt;0,"0",(Water!B20-Water!B19)))*10</f>
        <v>120</v>
      </c>
      <c r="M19" s="33">
        <f>IF((Water!C20-Water!C19)&lt;0,"0",(Water!C20-Water!C19))</f>
        <v>26</v>
      </c>
      <c r="N19" s="33">
        <f>IF((Water!D20-Water!D19)&lt;0,"0",(Water!D20-Water!D19))</f>
        <v>0</v>
      </c>
      <c r="O19" s="33">
        <f>IF((Water!E20-Water!E19)&lt;0,"0",(Water!E20-Water!E19))</f>
        <v>11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9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48</v>
      </c>
      <c r="Y19" s="9">
        <v>223</v>
      </c>
      <c r="Z19" s="9">
        <v>223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5730</v>
      </c>
      <c r="F20" s="33">
        <f>(IF((Electrical!C21-Electrical!C20)&lt;0,"0",(Electrical!C21-Electrical!C20)))*15</f>
        <v>3705</v>
      </c>
      <c r="G20" s="33">
        <f>(IF((Electrical!D21-Electrical!D20)&lt;0,"0",(Electrical!D21-Electrical!D20)))*15</f>
        <v>3675</v>
      </c>
      <c r="H20" s="33">
        <f>IF((Electrical!E21-Electrical!E20)&lt;0,"0",(Electrical!E21-Electrical!E20))</f>
        <v>4208</v>
      </c>
      <c r="I20" s="33">
        <f>IF((Electrical!F21-Electrical!F20)&lt;0,"0",(Electrical!F21-Electrical!F20))</f>
        <v>400</v>
      </c>
      <c r="J20" s="33">
        <f>IF((Gas!B21-Gas!B20)&lt;0,"0",(Gas!B21-Gas!B20))</f>
        <v>0</v>
      </c>
      <c r="K20" s="33">
        <f>IF((Gas!C21-Gas!C20)&lt;0,"0",(Gas!C21-Gas!C20))</f>
        <v>756</v>
      </c>
      <c r="L20" s="33">
        <f>(IF((Water!B21-Water!B20)&lt;0,"0",(Water!B21-Water!B20)))*10</f>
        <v>120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224</v>
      </c>
      <c r="Z20" s="9">
        <v>224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5550</v>
      </c>
      <c r="F21" s="33">
        <f>(IF((Electrical!C22-Electrical!C21)&lt;0,"0",(Electrical!C22-Electrical!C21)))*15</f>
        <v>3615</v>
      </c>
      <c r="G21" s="33">
        <f>(IF((Electrical!D22-Electrical!D21)&lt;0,"0",(Electrical!D22-Electrical!D21)))*15</f>
        <v>3600</v>
      </c>
      <c r="H21" s="33">
        <f>IF((Electrical!E22-Electrical!E21)&lt;0,"0",(Electrical!E22-Electrical!E21))</f>
        <v>4043</v>
      </c>
      <c r="I21" s="33">
        <f>IF((Electrical!F22-Electrical!F21)&lt;0,"0",(Electrical!F22-Electrical!F21))</f>
        <v>395</v>
      </c>
      <c r="J21" s="33">
        <f>IF((Gas!B22-Gas!B21)&lt;0,"0",(Gas!B22-Gas!B21))</f>
        <v>0</v>
      </c>
      <c r="K21" s="33">
        <f>IF((Gas!C22-Gas!C21)&lt;0,"0",(Gas!C22-Gas!C21))</f>
        <v>669</v>
      </c>
      <c r="L21" s="33">
        <f>(IF((Water!B22-Water!B21)&lt;0,"0",(Water!B22-Water!B21)))*10</f>
        <v>110</v>
      </c>
      <c r="M21" s="33">
        <f>IF((Water!C22-Water!C21)&lt;0,"0",(Water!C22-Water!C21))</f>
        <v>19</v>
      </c>
      <c r="N21" s="33">
        <f>IF((Water!D22-Water!D21)&lt;0,"0",(Water!D22-Water!D21))</f>
        <v>0</v>
      </c>
      <c r="O21" s="33">
        <f>IF((Water!E22-Water!E21)&lt;0,"0",(Water!E22-Water!E21))</f>
        <v>13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228</v>
      </c>
      <c r="Z21" s="9">
        <v>228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5685</v>
      </c>
      <c r="F22" s="33">
        <f>(IF((Electrical!C23-Electrical!C22)&lt;0,"0",(Electrical!C23-Electrical!C22)))*15</f>
        <v>3855</v>
      </c>
      <c r="G22" s="33">
        <f>(IF((Electrical!D23-Electrical!D22)&lt;0,"0",(Electrical!D23-Electrical!D22)))*15</f>
        <v>3780</v>
      </c>
      <c r="H22" s="33">
        <f>IF((Electrical!E23-Electrical!E22)&lt;0,"0",(Electrical!E23-Electrical!E22))</f>
        <v>4357</v>
      </c>
      <c r="I22" s="33">
        <f>IF((Electrical!F23-Electrical!F22)&lt;0,"0",(Electrical!F23-Electrical!F22))</f>
        <v>454</v>
      </c>
      <c r="J22" s="33">
        <f>IF((Gas!B23-Gas!B22)&lt;0,"0",(Gas!B23-Gas!B22))</f>
        <v>0</v>
      </c>
      <c r="K22" s="33">
        <f>IF((Gas!C23-Gas!C22)&lt;0,"0",(Gas!C23-Gas!C22))</f>
        <v>767</v>
      </c>
      <c r="L22" s="33">
        <f>(IF((Water!B23-Water!B22)&lt;0,"0",(Water!B23-Water!B22)))*10</f>
        <v>130</v>
      </c>
      <c r="M22" s="33">
        <f>IF((Water!C23-Water!C22)&lt;0,"0",(Water!C23-Water!C22))</f>
        <v>21</v>
      </c>
      <c r="N22" s="33">
        <f>IF((Water!D23-Water!D22)&lt;0,"0",(Water!D23-Water!D22))</f>
        <v>0</v>
      </c>
      <c r="O22" s="33">
        <f>IF((Water!E23-Water!E22)&lt;0,"0",(Water!E23-Water!E22))</f>
        <v>16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6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48</v>
      </c>
      <c r="Y22" s="9">
        <v>231</v>
      </c>
      <c r="Z22" s="9">
        <v>231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5475</v>
      </c>
      <c r="F23" s="33">
        <f>(IF((Electrical!C24-Electrical!C23)&lt;0,"0",(Electrical!C24-Electrical!C23)))*15</f>
        <v>3600</v>
      </c>
      <c r="G23" s="33">
        <f>(IF((Electrical!D24-Electrical!D23)&lt;0,"0",(Electrical!D24-Electrical!D23)))*15</f>
        <v>3690</v>
      </c>
      <c r="H23" s="33">
        <f>IF((Electrical!E24-Electrical!E23)&lt;0,"0",(Electrical!E24-Electrical!E23))</f>
        <v>3576</v>
      </c>
      <c r="I23" s="33">
        <f>IF((Electrical!F24-Electrical!F23)&lt;0,"0",(Electrical!F24-Electrical!F23))</f>
        <v>431</v>
      </c>
      <c r="J23" s="33">
        <f>IF((Gas!B24-Gas!B23)&lt;0,"0",(Gas!B24-Gas!B23))</f>
        <v>0</v>
      </c>
      <c r="K23" s="33">
        <f>IF((Gas!C24-Gas!C23)&lt;0,"0",(Gas!C24-Gas!C23))</f>
        <v>741</v>
      </c>
      <c r="L23" s="33">
        <f>(IF((Water!B24-Water!B23)&lt;0,"0",(Water!B24-Water!B23)))*10</f>
        <v>160</v>
      </c>
      <c r="M23" s="33">
        <f>IF((Water!C24-Water!C23)&lt;0,"0",(Water!C24-Water!C23))</f>
        <v>17</v>
      </c>
      <c r="N23" s="33">
        <f>IF((Water!D24-Water!D23)&lt;0,"0",(Water!D24-Water!D23))</f>
        <v>0</v>
      </c>
      <c r="O23" s="33">
        <f>IF((Water!E24-Water!E23)&lt;0,"0",(Water!E24-Water!E23))</f>
        <v>8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1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32</v>
      </c>
      <c r="Y23" s="9">
        <v>239</v>
      </c>
      <c r="Z23" s="9">
        <v>239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5955</v>
      </c>
      <c r="F24" s="33">
        <f>(IF((Electrical!C25-Electrical!C24)&lt;0,"0",(Electrical!C25-Electrical!C24)))*15</f>
        <v>3855</v>
      </c>
      <c r="G24" s="33">
        <f>(IF((Electrical!D25-Electrical!D24)&lt;0,"0",(Electrical!D25-Electrical!D24)))*15</f>
        <v>3810</v>
      </c>
      <c r="H24" s="33">
        <f>IF((Electrical!E25-Electrical!E24)&lt;0,"0",(Electrical!E25-Electrical!E24))</f>
        <v>4313</v>
      </c>
      <c r="I24" s="33">
        <f>IF((Electrical!F25-Electrical!F24)&lt;0,"0",(Electrical!F25-Electrical!F24))</f>
        <v>448</v>
      </c>
      <c r="J24" s="33">
        <f>IF((Gas!B25-Gas!B24)&lt;0,"0",(Gas!B25-Gas!B24))</f>
        <v>0</v>
      </c>
      <c r="K24" s="33">
        <f>IF((Gas!C25-Gas!C24)&lt;0,"0",(Gas!C25-Gas!C24))</f>
        <v>816</v>
      </c>
      <c r="L24" s="33">
        <f>(IF((Water!B25-Water!B24)&lt;0,"0",(Water!B25-Water!B24)))*10</f>
        <v>170</v>
      </c>
      <c r="M24" s="33">
        <f>IF((Water!C25-Water!C24)&lt;0,"0",(Water!C25-Water!C24))</f>
        <v>23</v>
      </c>
      <c r="N24" s="33">
        <f>IF((Water!D25-Water!D24)&lt;0,"0",(Water!D25-Water!D24))</f>
        <v>0</v>
      </c>
      <c r="O24" s="33">
        <f>IF((Water!E25-Water!E24)&lt;0,"0",(Water!E25-Water!E24))</f>
        <v>24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32</v>
      </c>
      <c r="Y24" s="9">
        <v>223</v>
      </c>
      <c r="Z24" s="9">
        <v>223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5085</v>
      </c>
      <c r="F25" s="33">
        <f>(IF((Electrical!C26-Electrical!C25)&lt;0,"0",(Electrical!C26-Electrical!C25)))*15</f>
        <v>3405</v>
      </c>
      <c r="G25" s="33">
        <f>(IF((Electrical!D26-Electrical!D25)&lt;0,"0",(Electrical!D26-Electrical!D25)))*15</f>
        <v>3690</v>
      </c>
      <c r="H25" s="33">
        <f>IF((Electrical!E26-Electrical!E25)&lt;0,"0",(Electrical!E26-Electrical!E25))</f>
        <v>3888</v>
      </c>
      <c r="I25" s="33">
        <f>IF((Electrical!F26-Electrical!F25)&lt;0,"0",(Electrical!F26-Electrical!F25))</f>
        <v>391</v>
      </c>
      <c r="J25" s="33">
        <f>IF((Gas!B26-Gas!B25)&lt;0,"0",(Gas!B26-Gas!B25))</f>
        <v>0</v>
      </c>
      <c r="K25" s="33">
        <f>IF((Gas!C26-Gas!C25)&lt;0,"0",(Gas!C26-Gas!C25))</f>
        <v>703</v>
      </c>
      <c r="L25" s="33">
        <f>(IF((Water!B26-Water!B25)&lt;0,"0",(Water!B26-Water!B25)))*10</f>
        <v>140</v>
      </c>
      <c r="M25" s="33">
        <f>IF((Water!C26-Water!C25)&lt;0,"0",(Water!C26-Water!C25))</f>
        <v>18</v>
      </c>
      <c r="N25" s="33">
        <f>IF((Water!D26-Water!D25)&lt;0,"0",(Water!D26-Water!D25))</f>
        <v>0</v>
      </c>
      <c r="O25" s="33">
        <f>IF((Water!E26-Water!E25)&lt;0,"0",(Water!E26-Water!E25))</f>
        <v>15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1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48</v>
      </c>
      <c r="Y25" s="9">
        <v>172</v>
      </c>
      <c r="Z25" s="9">
        <v>172</v>
      </c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5205</v>
      </c>
      <c r="F26" s="33">
        <f>(IF((Electrical!C27-Electrical!C26)&lt;0,"0",(Electrical!C27-Electrical!C26)))*15</f>
        <v>3585</v>
      </c>
      <c r="G26" s="33">
        <f>(IF((Electrical!D27-Electrical!D26)&lt;0,"0",(Electrical!D27-Electrical!D26)))*15</f>
        <v>3570</v>
      </c>
      <c r="H26" s="33">
        <f>IF((Electrical!E27-Electrical!E26)&lt;0,"0",(Electrical!E27-Electrical!E26))</f>
        <v>3882</v>
      </c>
      <c r="I26" s="33">
        <f>IF((Electrical!F27-Electrical!F26)&lt;0,"0",(Electrical!F27-Electrical!F26))</f>
        <v>379</v>
      </c>
      <c r="J26" s="33">
        <f>IF((Gas!B27-Gas!B26)&lt;0,"0",(Gas!B27-Gas!B26))</f>
        <v>0</v>
      </c>
      <c r="K26" s="33">
        <f>IF((Gas!C27-Gas!C26)&lt;0,"0",(Gas!C27-Gas!C26))</f>
        <v>627</v>
      </c>
      <c r="L26" s="33">
        <f>(IF((Water!B27-Water!B26)&lt;0,"0",(Water!B27-Water!B26)))*10</f>
        <v>100</v>
      </c>
      <c r="M26" s="33">
        <f>IF((Water!C27-Water!C26)&lt;0,"0",(Water!C27-Water!C26))</f>
        <v>24</v>
      </c>
      <c r="N26" s="33">
        <f>IF((Water!D27-Water!D26)&lt;0,"0",(Water!D27-Water!D26))</f>
        <v>0</v>
      </c>
      <c r="O26" s="33">
        <f>IF((Water!E27-Water!E26)&lt;0,"0",(Water!E27-Water!E26))</f>
        <v>11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10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31</v>
      </c>
      <c r="Y26" s="9">
        <v>174</v>
      </c>
      <c r="Z26" s="9">
        <v>174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5580</v>
      </c>
      <c r="F27" s="33">
        <f>(IF((Electrical!C28-Electrical!C27)&lt;0,"0",(Electrical!C28-Electrical!C27)))*15</f>
        <v>3600</v>
      </c>
      <c r="G27" s="33">
        <f>(IF((Electrical!D28-Electrical!D27)&lt;0,"0",(Electrical!D28-Electrical!D27)))*15</f>
        <v>3615</v>
      </c>
      <c r="H27" s="33">
        <f>IF((Electrical!E28-Electrical!E27)&lt;0,"0",(Electrical!E28-Electrical!E27))</f>
        <v>4132</v>
      </c>
      <c r="I27" s="33">
        <f>IF((Electrical!F28-Electrical!F27)&lt;0,"0",(Electrical!F28-Electrical!F27))</f>
        <v>373</v>
      </c>
      <c r="J27" s="33">
        <f>IF((Gas!B28-Gas!B27)&lt;0,"0",(Gas!B28-Gas!B27))</f>
        <v>0</v>
      </c>
      <c r="K27" s="33">
        <f>IF((Gas!C28-Gas!C27)&lt;0,"0",(Gas!C28-Gas!C27))</f>
        <v>715</v>
      </c>
      <c r="L27" s="33">
        <f>(IF((Water!B28-Water!B27)&lt;0,"0",(Water!B28-Water!B27)))*10</f>
        <v>130</v>
      </c>
      <c r="M27" s="33">
        <f>IF((Water!C28-Water!C27)&lt;0,"0",(Water!C28-Water!C27))</f>
        <v>27</v>
      </c>
      <c r="N27" s="33">
        <f>IF((Water!D28-Water!D27)&lt;0,"0",(Water!D28-Water!D27))</f>
        <v>0</v>
      </c>
      <c r="O27" s="33">
        <f>IF((Water!E28-Water!E27)&lt;0,"0",(Water!E28-Water!E27))</f>
        <v>10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1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33</v>
      </c>
      <c r="Y27" s="9">
        <v>198</v>
      </c>
      <c r="Z27" s="9">
        <v>198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6075</v>
      </c>
      <c r="F28" s="33">
        <f>(IF((Electrical!C29-Electrical!C28)&lt;0,"0",(Electrical!C29-Electrical!C28)))*15</f>
        <v>3600</v>
      </c>
      <c r="G28" s="33">
        <f>(IF((Electrical!D29-Electrical!D28)&lt;0,"0",(Electrical!D29-Electrical!D28)))*15</f>
        <v>3690</v>
      </c>
      <c r="H28" s="33">
        <f>IF((Electrical!E29-Electrical!E28)&lt;0,"0",(Electrical!E29-Electrical!E28))</f>
        <v>4382</v>
      </c>
      <c r="I28" s="33">
        <f>IF((Electrical!F29-Electrical!F28)&lt;0,"0",(Electrical!F29-Electrical!F28))</f>
        <v>393</v>
      </c>
      <c r="J28" s="33">
        <f>IF((Gas!B29-Gas!B28)&lt;0,"0",(Gas!B29-Gas!B28))</f>
        <v>0</v>
      </c>
      <c r="K28" s="33">
        <f>IF((Gas!C29-Gas!C28)&lt;0,"0",(Gas!C29-Gas!C28))</f>
        <v>784</v>
      </c>
      <c r="L28" s="33">
        <f>(IF((Water!B29-Water!B28)&lt;0,"0",(Water!B29-Water!B28)))*10</f>
        <v>150</v>
      </c>
      <c r="M28" s="33">
        <f>IF((Water!C29-Water!C28)&lt;0,"0",(Water!C29-Water!C28))</f>
        <v>20</v>
      </c>
      <c r="N28" s="33">
        <f>IF((Water!D29-Water!D28)&lt;0,"0",(Water!D29-Water!D28))</f>
        <v>0</v>
      </c>
      <c r="O28" s="33">
        <f>IF((Water!E29-Water!E28)&lt;0,"0",(Water!E29-Water!E28))</f>
        <v>12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1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48</v>
      </c>
      <c r="Y28" s="9">
        <v>216</v>
      </c>
      <c r="Z28" s="9">
        <v>216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6075</v>
      </c>
      <c r="F29" s="33">
        <f>(IF((Electrical!C30-Electrical!C29)&lt;0,"0",(Electrical!C30-Electrical!C29)))*15</f>
        <v>3855</v>
      </c>
      <c r="G29" s="33">
        <f>(IF((Electrical!D30-Electrical!D29)&lt;0,"0",(Electrical!D30-Electrical!D29)))*15</f>
        <v>3750</v>
      </c>
      <c r="H29" s="33">
        <f>IF((Electrical!E30-Electrical!E29)&lt;0,"0",(Electrical!E30-Electrical!E29))</f>
        <v>4524</v>
      </c>
      <c r="I29" s="33">
        <f>IF((Electrical!F30-Electrical!F29)&lt;0,"0",(Electrical!F30-Electrical!F29))</f>
        <v>396</v>
      </c>
      <c r="J29" s="33">
        <f>IF((Gas!B30-Gas!B29)&lt;0,"0",(Gas!B30-Gas!B29))</f>
        <v>0</v>
      </c>
      <c r="K29" s="33">
        <f>IF((Gas!C30-Gas!C29)&lt;0,"0",(Gas!C30-Gas!C29))</f>
        <v>825</v>
      </c>
      <c r="L29" s="33">
        <f>(IF((Water!B30-Water!B29)&lt;0,"0",(Water!B30-Water!B29)))*10</f>
        <v>120</v>
      </c>
      <c r="M29" s="33">
        <f>IF((Water!C30-Water!C29)&lt;0,"0",(Water!C30-Water!C29))</f>
        <v>28</v>
      </c>
      <c r="N29" s="33">
        <f>IF((Water!D30-Water!D29)&lt;0,"0",(Water!D30-Water!D29))</f>
        <v>0</v>
      </c>
      <c r="O29" s="33">
        <f>IF((Water!E30-Water!E29)&lt;0,"0",(Water!E30-Water!E29))</f>
        <v>14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10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34</v>
      </c>
      <c r="Y29" s="9">
        <v>213</v>
      </c>
      <c r="Z29" s="9">
        <v>213</v>
      </c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6090</v>
      </c>
      <c r="F30" s="33">
        <f>(IF((Electrical!C31-Electrical!C30)&lt;0,"0",(Electrical!C31-Electrical!C30)))*15</f>
        <v>3840</v>
      </c>
      <c r="G30" s="33">
        <f>(IF((Electrical!D31-Electrical!D30)&lt;0,"0",(Electrical!D31-Electrical!D30)))*15</f>
        <v>3765</v>
      </c>
      <c r="H30" s="33">
        <f>IF((Electrical!E31-Electrical!E30)&lt;0,"0",(Electrical!E31-Electrical!E30))</f>
        <v>4456</v>
      </c>
      <c r="I30" s="33">
        <f>IF((Electrical!F31-Electrical!F30)&lt;0,"0",(Electrical!F31-Electrical!F30))</f>
        <v>449</v>
      </c>
      <c r="J30" s="33">
        <f>IF((Gas!B31-Gas!B30)&lt;0,"0",(Gas!B31-Gas!B30))</f>
        <v>0</v>
      </c>
      <c r="K30" s="33">
        <f>IF((Gas!C31-Gas!C30)&lt;0,"0",(Gas!C31-Gas!C30))</f>
        <v>859</v>
      </c>
      <c r="L30" s="33">
        <f>(IF((Water!B31-Water!B30)&lt;0,"0",(Water!B31-Water!B30)))*10</f>
        <v>170</v>
      </c>
      <c r="M30" s="33">
        <f>IF((Water!C31-Water!C30)&lt;0,"0",(Water!C31-Water!C30))</f>
        <v>18</v>
      </c>
      <c r="N30" s="33">
        <f>IF((Water!D31-Water!D30)&lt;0,"0",(Water!D31-Water!D30))</f>
        <v>0</v>
      </c>
      <c r="O30" s="33">
        <f>IF((Water!E31-Water!E30)&lt;0,"0",(Water!E31-Water!E30))</f>
        <v>17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1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47</v>
      </c>
      <c r="Y30" s="9">
        <v>213</v>
      </c>
      <c r="Z30" s="9">
        <v>213</v>
      </c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7380</v>
      </c>
      <c r="F31" s="33">
        <f>(IF((Electrical!C32-Electrical!C31)&lt;0,"0",(Electrical!C32-Electrical!C31)))*15</f>
        <v>3930</v>
      </c>
      <c r="G31" s="33">
        <f>(IF((Electrical!D32-Electrical!D31)&lt;0,"0",(Electrical!D32-Electrical!D31)))*15</f>
        <v>3915</v>
      </c>
      <c r="H31" s="33">
        <f>IF((Electrical!E32-Electrical!E31)&lt;0,"0",(Electrical!E32-Electrical!E31))</f>
        <v>4868</v>
      </c>
      <c r="I31" s="33">
        <f>IF((Electrical!F32-Electrical!F31)&lt;0,"0",(Electrical!F32-Electrical!F31))</f>
        <v>473</v>
      </c>
      <c r="J31" s="33">
        <f>IF((Gas!B32-Gas!B31)&lt;0,"0",(Gas!B32-Gas!B31))</f>
        <v>0</v>
      </c>
      <c r="K31" s="33">
        <f>IF((Gas!C32-Gas!C31)&lt;0,"0",(Gas!C32-Gas!C31))</f>
        <v>723</v>
      </c>
      <c r="L31" s="33">
        <f>(IF((Water!B32-Water!B31)&lt;0,"0",(Water!B32-Water!B31)))*10</f>
        <v>180</v>
      </c>
      <c r="M31" s="33">
        <f>IF((Water!C32-Water!C31)&lt;0,"0",(Water!C32-Water!C31))</f>
        <v>28</v>
      </c>
      <c r="N31" s="33">
        <f>IF((Water!D32-Water!D31)&lt;0,"0",(Water!D32-Water!D31))</f>
        <v>0</v>
      </c>
      <c r="O31" s="33">
        <f>IF((Water!E32-Water!E31)&lt;0,"0",(Water!E32-Water!E31))</f>
        <v>20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1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48</v>
      </c>
      <c r="Y31" s="9">
        <v>237</v>
      </c>
      <c r="Z31" s="9">
        <v>237</v>
      </c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4395</v>
      </c>
      <c r="F32" s="33">
        <f>(IF((Electrical!C33-Electrical!C32)&lt;0,"0",(Electrical!C33-Electrical!C32)))*15</f>
        <v>3525</v>
      </c>
      <c r="G32" s="33">
        <f>(IF((Electrical!D33-Electrical!D32)&lt;0,"0",(Electrical!D33-Electrical!D32)))*15</f>
        <v>3585</v>
      </c>
      <c r="H32" s="33">
        <f>IF((Electrical!E33-Electrical!E32)&lt;0,"0",(Electrical!E33-Electrical!E32))</f>
        <v>4084</v>
      </c>
      <c r="I32" s="33">
        <f>IF((Electrical!F33-Electrical!F32)&lt;0,"0",(Electrical!F33-Electrical!F32))</f>
        <v>381</v>
      </c>
      <c r="J32" s="33">
        <f>IF((Gas!B33-Gas!B32)&lt;0,"0",(Gas!B33-Gas!B32))</f>
        <v>0</v>
      </c>
      <c r="K32" s="33">
        <f>IF((Gas!C33-Gas!C32)&lt;0,"0",(Gas!C33-Gas!C32))</f>
        <v>762</v>
      </c>
      <c r="L32" s="33">
        <f>(IF((Water!B33-Water!B32)&lt;0,"0",(Water!B33-Water!B32)))*10</f>
        <v>170</v>
      </c>
      <c r="M32" s="33">
        <f>IF((Water!C33-Water!C32)&lt;0,"0",(Water!C33-Water!C32))</f>
        <v>20</v>
      </c>
      <c r="N32" s="33">
        <f>IF((Water!D34-Water!D32)&lt;0,"0",(Water!D34-Water!D32))</f>
        <v>0</v>
      </c>
      <c r="O32" s="33">
        <f>IF((Water!E33-Water!E32)&lt;0,"0",(Water!E33-Water!E32))</f>
        <v>15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1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32</v>
      </c>
      <c r="Y32" s="9">
        <v>186</v>
      </c>
      <c r="Z32" s="9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10" zoomScale="70" zoomScaleNormal="70" workbookViewId="0">
      <selection activeCell="G31" sqref="G31:G33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>
        <v>122400</v>
      </c>
      <c r="C14" s="28">
        <v>89955</v>
      </c>
      <c r="D14" s="45">
        <v>91601</v>
      </c>
      <c r="E14" s="45">
        <v>1266932</v>
      </c>
      <c r="F14" s="45">
        <v>144423</v>
      </c>
      <c r="G14" s="5" t="s">
        <v>46</v>
      </c>
    </row>
    <row r="15" spans="1:7" x14ac:dyDescent="0.35">
      <c r="A15" s="7">
        <v>13</v>
      </c>
      <c r="B15" s="28">
        <v>122762</v>
      </c>
      <c r="C15" s="28">
        <v>90190</v>
      </c>
      <c r="D15" s="45">
        <v>91846</v>
      </c>
      <c r="E15" s="45">
        <v>1270550</v>
      </c>
      <c r="F15" s="45">
        <v>144842</v>
      </c>
      <c r="G15" s="5" t="s">
        <v>40</v>
      </c>
    </row>
    <row r="16" spans="1:7" x14ac:dyDescent="0.35">
      <c r="A16" s="7">
        <v>14</v>
      </c>
      <c r="B16" s="28">
        <v>123147</v>
      </c>
      <c r="C16" s="28">
        <v>90407</v>
      </c>
      <c r="D16" s="45">
        <v>92090</v>
      </c>
      <c r="E16" s="45">
        <v>1274323</v>
      </c>
      <c r="F16" s="45">
        <v>145275</v>
      </c>
      <c r="G16" s="5" t="s">
        <v>40</v>
      </c>
    </row>
    <row r="17" spans="1:7" x14ac:dyDescent="0.35">
      <c r="A17" s="7">
        <v>15</v>
      </c>
      <c r="B17" s="28">
        <v>123480</v>
      </c>
      <c r="C17" s="28">
        <v>90687</v>
      </c>
      <c r="D17" s="45">
        <v>92341</v>
      </c>
      <c r="E17" s="45">
        <v>1278215</v>
      </c>
      <c r="F17" s="45">
        <v>145697</v>
      </c>
      <c r="G17" s="5" t="s">
        <v>40</v>
      </c>
    </row>
    <row r="18" spans="1:7" x14ac:dyDescent="0.35">
      <c r="A18" s="7">
        <v>16</v>
      </c>
      <c r="B18" s="28">
        <v>123871</v>
      </c>
      <c r="C18" s="28">
        <v>90929</v>
      </c>
      <c r="D18" s="45">
        <v>92590</v>
      </c>
      <c r="E18" s="45">
        <v>1282211</v>
      </c>
      <c r="F18" s="45">
        <v>146130</v>
      </c>
      <c r="G18" s="5" t="s">
        <v>46</v>
      </c>
    </row>
    <row r="19" spans="1:7" x14ac:dyDescent="0.35">
      <c r="A19" s="7">
        <v>17</v>
      </c>
      <c r="B19" s="28">
        <v>124201</v>
      </c>
      <c r="C19" s="28">
        <v>91160</v>
      </c>
      <c r="D19" s="45">
        <v>92835</v>
      </c>
      <c r="E19" s="45">
        <v>1285863</v>
      </c>
      <c r="F19" s="45">
        <v>146566</v>
      </c>
      <c r="G19" s="5" t="s">
        <v>47</v>
      </c>
    </row>
    <row r="20" spans="1:7" x14ac:dyDescent="0.35">
      <c r="A20" s="7">
        <v>18</v>
      </c>
      <c r="B20" s="28">
        <v>124519</v>
      </c>
      <c r="C20" s="28">
        <v>91383</v>
      </c>
      <c r="D20" s="45">
        <v>93066</v>
      </c>
      <c r="E20" s="45">
        <v>1289410</v>
      </c>
      <c r="F20" s="45">
        <v>146932</v>
      </c>
      <c r="G20" s="5" t="s">
        <v>48</v>
      </c>
    </row>
    <row r="21" spans="1:7" x14ac:dyDescent="0.35">
      <c r="A21" s="7">
        <v>19</v>
      </c>
      <c r="B21" s="28">
        <v>124901</v>
      </c>
      <c r="C21" s="28">
        <v>91630</v>
      </c>
      <c r="D21" s="45">
        <v>93311</v>
      </c>
      <c r="E21" s="45">
        <v>1293618</v>
      </c>
      <c r="F21" s="45">
        <v>147332</v>
      </c>
      <c r="G21" s="5" t="s">
        <v>48</v>
      </c>
    </row>
    <row r="22" spans="1:7" x14ac:dyDescent="0.35">
      <c r="A22" s="7">
        <v>20</v>
      </c>
      <c r="B22" s="28">
        <v>125271</v>
      </c>
      <c r="C22" s="28">
        <v>91871</v>
      </c>
      <c r="D22" s="45">
        <v>93551</v>
      </c>
      <c r="E22" s="45">
        <v>1297661</v>
      </c>
      <c r="F22" s="45">
        <v>147727</v>
      </c>
      <c r="G22" s="5" t="s">
        <v>48</v>
      </c>
    </row>
    <row r="23" spans="1:7" x14ac:dyDescent="0.35">
      <c r="A23" s="7">
        <v>21</v>
      </c>
      <c r="B23" s="28">
        <v>125650</v>
      </c>
      <c r="C23" s="28">
        <v>92128</v>
      </c>
      <c r="D23" s="45">
        <v>93803</v>
      </c>
      <c r="E23" s="45">
        <v>1302018</v>
      </c>
      <c r="F23" s="45">
        <v>148181</v>
      </c>
      <c r="G23" s="5" t="s">
        <v>48</v>
      </c>
    </row>
    <row r="24" spans="1:7" x14ac:dyDescent="0.35">
      <c r="A24" s="7">
        <v>22</v>
      </c>
      <c r="B24" s="28">
        <v>126015</v>
      </c>
      <c r="C24" s="28">
        <v>92368</v>
      </c>
      <c r="D24" s="45">
        <v>94049</v>
      </c>
      <c r="E24" s="45">
        <v>1305594</v>
      </c>
      <c r="F24" s="45">
        <v>148612</v>
      </c>
      <c r="G24" s="5" t="s">
        <v>49</v>
      </c>
    </row>
    <row r="25" spans="1:7" x14ac:dyDescent="0.35">
      <c r="A25" s="7">
        <v>23</v>
      </c>
      <c r="B25" s="28">
        <v>126412</v>
      </c>
      <c r="C25" s="28">
        <v>92625</v>
      </c>
      <c r="D25" s="45">
        <v>94303</v>
      </c>
      <c r="E25" s="45">
        <v>1309907</v>
      </c>
      <c r="F25" s="45">
        <v>149060</v>
      </c>
      <c r="G25" s="5" t="s">
        <v>47</v>
      </c>
    </row>
    <row r="26" spans="1:7" x14ac:dyDescent="0.35">
      <c r="A26" s="7">
        <v>24</v>
      </c>
      <c r="B26" s="28">
        <v>126751</v>
      </c>
      <c r="C26" s="28">
        <v>92852</v>
      </c>
      <c r="D26" s="45">
        <v>94549</v>
      </c>
      <c r="E26" s="45">
        <v>1313795</v>
      </c>
      <c r="F26" s="45">
        <v>149451</v>
      </c>
      <c r="G26" s="5" t="s">
        <v>47</v>
      </c>
    </row>
    <row r="27" spans="1:7" x14ac:dyDescent="0.35">
      <c r="A27" s="7">
        <v>25</v>
      </c>
      <c r="B27" s="28">
        <v>127098</v>
      </c>
      <c r="C27" s="28">
        <v>93091</v>
      </c>
      <c r="D27" s="45">
        <v>94787</v>
      </c>
      <c r="E27" s="45">
        <v>1317677</v>
      </c>
      <c r="F27" s="45">
        <v>149830</v>
      </c>
      <c r="G27" s="27" t="s">
        <v>40</v>
      </c>
    </row>
    <row r="28" spans="1:7" x14ac:dyDescent="0.35">
      <c r="A28" s="7">
        <v>26</v>
      </c>
      <c r="B28" s="28">
        <v>127470</v>
      </c>
      <c r="C28" s="28">
        <v>93331</v>
      </c>
      <c r="D28" s="45">
        <v>95028</v>
      </c>
      <c r="E28" s="45">
        <v>1321809</v>
      </c>
      <c r="F28" s="45">
        <v>150203</v>
      </c>
      <c r="G28" s="27" t="s">
        <v>40</v>
      </c>
    </row>
    <row r="29" spans="1:7" x14ac:dyDescent="0.35">
      <c r="A29" s="7">
        <v>27</v>
      </c>
      <c r="B29" s="28">
        <v>127875</v>
      </c>
      <c r="C29" s="28">
        <v>93571</v>
      </c>
      <c r="D29" s="45">
        <v>95274</v>
      </c>
      <c r="E29" s="45">
        <v>1326191</v>
      </c>
      <c r="F29" s="45">
        <v>150596</v>
      </c>
      <c r="G29" s="5" t="s">
        <v>40</v>
      </c>
    </row>
    <row r="30" spans="1:7" x14ac:dyDescent="0.35">
      <c r="A30" s="7">
        <v>28</v>
      </c>
      <c r="B30" s="28">
        <v>128280</v>
      </c>
      <c r="C30" s="28">
        <v>93828</v>
      </c>
      <c r="D30" s="45">
        <v>95524</v>
      </c>
      <c r="E30" s="45">
        <v>1330715</v>
      </c>
      <c r="F30" s="45">
        <v>150992</v>
      </c>
      <c r="G30" s="5" t="s">
        <v>40</v>
      </c>
    </row>
    <row r="31" spans="1:7" x14ac:dyDescent="0.35">
      <c r="A31" s="7">
        <v>29</v>
      </c>
      <c r="B31" s="28">
        <v>128686</v>
      </c>
      <c r="C31" s="28">
        <v>94084</v>
      </c>
      <c r="D31" s="45">
        <v>95775</v>
      </c>
      <c r="E31" s="45">
        <v>1335171</v>
      </c>
      <c r="F31" s="45">
        <v>151441</v>
      </c>
      <c r="G31" s="5" t="s">
        <v>40</v>
      </c>
    </row>
    <row r="32" spans="1:7" x14ac:dyDescent="0.35">
      <c r="A32" s="7">
        <v>30</v>
      </c>
      <c r="B32" s="28">
        <v>129178</v>
      </c>
      <c r="C32" s="28">
        <v>94346</v>
      </c>
      <c r="D32" s="45">
        <v>96036</v>
      </c>
      <c r="E32" s="45">
        <v>1340039</v>
      </c>
      <c r="F32" s="45">
        <v>151914</v>
      </c>
      <c r="G32" s="5" t="s">
        <v>46</v>
      </c>
    </row>
    <row r="33" spans="1:7" x14ac:dyDescent="0.35">
      <c r="A33" s="7">
        <v>31</v>
      </c>
      <c r="B33" s="28">
        <v>129471</v>
      </c>
      <c r="C33" s="28">
        <v>94581</v>
      </c>
      <c r="D33" s="45">
        <v>96275</v>
      </c>
      <c r="E33" s="45">
        <v>1344123</v>
      </c>
      <c r="F33" s="45">
        <v>152295</v>
      </c>
      <c r="G33" s="5" t="s">
        <v>47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0" zoomScale="85" zoomScaleNormal="85" workbookViewId="0">
      <selection activeCell="G29" sqref="G29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>
        <v>212512</v>
      </c>
      <c r="D14" s="5" t="s">
        <v>46</v>
      </c>
    </row>
    <row r="15" spans="1:4" x14ac:dyDescent="0.35">
      <c r="A15" s="4">
        <v>13</v>
      </c>
      <c r="B15" s="5">
        <v>0</v>
      </c>
      <c r="C15" s="5">
        <v>213235</v>
      </c>
      <c r="D15" s="5" t="s">
        <v>40</v>
      </c>
    </row>
    <row r="16" spans="1:4" x14ac:dyDescent="0.35">
      <c r="A16" s="4">
        <v>14</v>
      </c>
      <c r="B16" s="5">
        <v>0</v>
      </c>
      <c r="C16" s="5">
        <v>213964</v>
      </c>
      <c r="D16" s="5" t="s">
        <v>40</v>
      </c>
    </row>
    <row r="17" spans="1:4" x14ac:dyDescent="0.35">
      <c r="A17" s="4">
        <v>15</v>
      </c>
      <c r="B17" s="5">
        <v>0</v>
      </c>
      <c r="C17" s="5">
        <v>214647</v>
      </c>
      <c r="D17" s="5" t="s">
        <v>40</v>
      </c>
    </row>
    <row r="18" spans="1:4" x14ac:dyDescent="0.35">
      <c r="A18" s="4">
        <v>16</v>
      </c>
      <c r="B18" s="5">
        <v>0</v>
      </c>
      <c r="C18" s="5">
        <v>215420</v>
      </c>
      <c r="D18" s="5" t="s">
        <v>46</v>
      </c>
    </row>
    <row r="19" spans="1:4" x14ac:dyDescent="0.35">
      <c r="A19" s="4">
        <v>17</v>
      </c>
      <c r="B19" s="5">
        <v>0</v>
      </c>
      <c r="C19" s="5">
        <v>216137</v>
      </c>
      <c r="D19" s="5" t="s">
        <v>47</v>
      </c>
    </row>
    <row r="20" spans="1:4" x14ac:dyDescent="0.35">
      <c r="A20" s="4">
        <v>18</v>
      </c>
      <c r="B20" s="5">
        <v>0</v>
      </c>
      <c r="C20" s="5">
        <v>216920</v>
      </c>
      <c r="D20" s="5" t="s">
        <v>48</v>
      </c>
    </row>
    <row r="21" spans="1:4" x14ac:dyDescent="0.35">
      <c r="A21" s="4">
        <v>19</v>
      </c>
      <c r="B21" s="5">
        <v>0</v>
      </c>
      <c r="C21" s="5">
        <v>217676</v>
      </c>
      <c r="D21" s="5" t="s">
        <v>48</v>
      </c>
    </row>
    <row r="22" spans="1:4" x14ac:dyDescent="0.35">
      <c r="A22" s="4">
        <v>20</v>
      </c>
      <c r="B22" s="5">
        <v>0</v>
      </c>
      <c r="C22" s="5">
        <v>218345</v>
      </c>
      <c r="D22" s="5" t="s">
        <v>48</v>
      </c>
    </row>
    <row r="23" spans="1:4" x14ac:dyDescent="0.35">
      <c r="A23" s="4">
        <v>21</v>
      </c>
      <c r="B23" s="5">
        <v>0</v>
      </c>
      <c r="C23" s="5">
        <v>219112</v>
      </c>
      <c r="D23" s="5" t="s">
        <v>48</v>
      </c>
    </row>
    <row r="24" spans="1:4" x14ac:dyDescent="0.35">
      <c r="A24" s="4">
        <v>22</v>
      </c>
      <c r="B24" s="5">
        <v>0</v>
      </c>
      <c r="C24" s="5">
        <v>219853</v>
      </c>
      <c r="D24" s="5" t="s">
        <v>49</v>
      </c>
    </row>
    <row r="25" spans="1:4" x14ac:dyDescent="0.35">
      <c r="A25" s="4">
        <v>23</v>
      </c>
      <c r="B25" s="5">
        <v>0</v>
      </c>
      <c r="C25" s="5">
        <v>220669</v>
      </c>
      <c r="D25" s="5" t="s">
        <v>47</v>
      </c>
    </row>
    <row r="26" spans="1:4" x14ac:dyDescent="0.35">
      <c r="A26" s="4">
        <v>24</v>
      </c>
      <c r="B26" s="5">
        <v>0</v>
      </c>
      <c r="C26" s="5">
        <v>221372</v>
      </c>
      <c r="D26" s="5" t="s">
        <v>47</v>
      </c>
    </row>
    <row r="27" spans="1:4" ht="15.5" x14ac:dyDescent="0.35">
      <c r="A27" s="4">
        <v>25</v>
      </c>
      <c r="B27" s="5">
        <v>0</v>
      </c>
      <c r="C27" s="5">
        <v>221999</v>
      </c>
      <c r="D27" s="27" t="s">
        <v>40</v>
      </c>
    </row>
    <row r="28" spans="1:4" ht="15.5" x14ac:dyDescent="0.35">
      <c r="A28" s="4">
        <v>26</v>
      </c>
      <c r="B28" s="5">
        <v>0</v>
      </c>
      <c r="C28" s="5">
        <v>222714</v>
      </c>
      <c r="D28" s="27" t="s">
        <v>40</v>
      </c>
    </row>
    <row r="29" spans="1:4" x14ac:dyDescent="0.35">
      <c r="A29" s="4">
        <v>27</v>
      </c>
      <c r="B29" s="5">
        <v>0</v>
      </c>
      <c r="C29" s="5">
        <v>223498</v>
      </c>
      <c r="D29" s="5" t="s">
        <v>40</v>
      </c>
    </row>
    <row r="30" spans="1:4" x14ac:dyDescent="0.35">
      <c r="A30" s="4">
        <v>28</v>
      </c>
      <c r="B30" s="5">
        <v>0</v>
      </c>
      <c r="C30" s="5">
        <v>224323</v>
      </c>
      <c r="D30" s="5" t="s">
        <v>40</v>
      </c>
    </row>
    <row r="31" spans="1:4" x14ac:dyDescent="0.35">
      <c r="A31" s="4">
        <v>29</v>
      </c>
      <c r="B31" s="5">
        <v>0</v>
      </c>
      <c r="C31" s="5">
        <v>225182</v>
      </c>
      <c r="D31" s="5" t="s">
        <v>40</v>
      </c>
    </row>
    <row r="32" spans="1:4" x14ac:dyDescent="0.35">
      <c r="A32" s="4">
        <v>30</v>
      </c>
      <c r="B32" s="5">
        <v>0</v>
      </c>
      <c r="C32" s="5">
        <v>225905</v>
      </c>
      <c r="D32" s="5" t="s">
        <v>46</v>
      </c>
    </row>
    <row r="33" spans="1:4" x14ac:dyDescent="0.35">
      <c r="A33" s="4">
        <v>31</v>
      </c>
      <c r="B33" s="5">
        <v>0</v>
      </c>
      <c r="C33" s="5">
        <v>226667</v>
      </c>
      <c r="D33" s="5" t="s">
        <v>47</v>
      </c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G10" zoomScale="85" zoomScaleNormal="85" workbookViewId="0">
      <selection activeCell="R24" sqref="R24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>
        <v>3428</v>
      </c>
      <c r="C14" s="5">
        <v>10540</v>
      </c>
      <c r="D14" s="5">
        <v>0</v>
      </c>
      <c r="E14" s="5">
        <v>3111</v>
      </c>
      <c r="F14" s="5">
        <v>0</v>
      </c>
      <c r="G14" s="5">
        <v>0</v>
      </c>
      <c r="H14" s="5">
        <v>0</v>
      </c>
      <c r="I14" s="5">
        <v>0</v>
      </c>
      <c r="J14" s="5">
        <v>380</v>
      </c>
      <c r="K14" s="5">
        <v>0</v>
      </c>
      <c r="L14" s="5">
        <v>0</v>
      </c>
      <c r="M14" s="5">
        <v>0</v>
      </c>
      <c r="N14" s="5">
        <v>12629</v>
      </c>
      <c r="O14" s="5" t="s">
        <v>46</v>
      </c>
    </row>
    <row r="15" spans="1:15" x14ac:dyDescent="0.35">
      <c r="A15" s="4">
        <v>13</v>
      </c>
      <c r="B15" s="5">
        <v>3441</v>
      </c>
      <c r="C15" s="5">
        <v>10563</v>
      </c>
      <c r="D15" s="5">
        <v>0</v>
      </c>
      <c r="E15" s="5">
        <v>3125</v>
      </c>
      <c r="F15" s="5">
        <v>0</v>
      </c>
      <c r="G15" s="5">
        <v>0</v>
      </c>
      <c r="H15" s="5">
        <v>0</v>
      </c>
      <c r="I15" s="5">
        <v>0</v>
      </c>
      <c r="J15" s="5">
        <v>381</v>
      </c>
      <c r="K15" s="5">
        <v>0</v>
      </c>
      <c r="L15" s="5">
        <v>0</v>
      </c>
      <c r="M15" s="5">
        <v>0</v>
      </c>
      <c r="N15" s="5">
        <v>12677</v>
      </c>
      <c r="O15" s="5" t="s">
        <v>40</v>
      </c>
    </row>
    <row r="16" spans="1:15" x14ac:dyDescent="0.35">
      <c r="A16" s="4">
        <v>14</v>
      </c>
      <c r="B16" s="5">
        <v>3453</v>
      </c>
      <c r="C16" s="5">
        <v>10586</v>
      </c>
      <c r="D16" s="5">
        <v>0</v>
      </c>
      <c r="E16" s="5">
        <v>3140</v>
      </c>
      <c r="F16" s="5">
        <v>0</v>
      </c>
      <c r="G16" s="5">
        <v>0</v>
      </c>
      <c r="H16" s="5">
        <v>0</v>
      </c>
      <c r="I16" s="5">
        <v>0</v>
      </c>
      <c r="J16" s="5">
        <v>382</v>
      </c>
      <c r="K16" s="5">
        <v>0</v>
      </c>
      <c r="L16" s="5">
        <v>0</v>
      </c>
      <c r="M16" s="5">
        <v>0</v>
      </c>
      <c r="N16" s="5">
        <v>12713</v>
      </c>
      <c r="O16" s="5" t="s">
        <v>40</v>
      </c>
    </row>
    <row r="17" spans="1:15" x14ac:dyDescent="0.35">
      <c r="A17" s="4">
        <v>15</v>
      </c>
      <c r="B17" s="5">
        <v>3468</v>
      </c>
      <c r="C17" s="5">
        <v>10614</v>
      </c>
      <c r="D17" s="5">
        <v>0</v>
      </c>
      <c r="E17" s="5">
        <v>3155</v>
      </c>
      <c r="F17" s="5">
        <v>0</v>
      </c>
      <c r="G17" s="5">
        <v>0</v>
      </c>
      <c r="H17" s="5">
        <v>0</v>
      </c>
      <c r="I17" s="5">
        <v>0</v>
      </c>
      <c r="J17" s="5">
        <v>389</v>
      </c>
      <c r="K17" s="5">
        <v>0</v>
      </c>
      <c r="L17" s="5">
        <v>0</v>
      </c>
      <c r="M17" s="5">
        <v>0</v>
      </c>
      <c r="N17" s="5">
        <v>12744</v>
      </c>
      <c r="O17" s="5" t="s">
        <v>40</v>
      </c>
    </row>
    <row r="18" spans="1:15" x14ac:dyDescent="0.35">
      <c r="A18" s="4">
        <v>16</v>
      </c>
      <c r="B18" s="5">
        <v>3482</v>
      </c>
      <c r="C18" s="5">
        <v>10633</v>
      </c>
      <c r="D18" s="5">
        <v>0</v>
      </c>
      <c r="E18" s="5">
        <v>3170</v>
      </c>
      <c r="F18" s="5">
        <v>0</v>
      </c>
      <c r="G18" s="5">
        <v>0</v>
      </c>
      <c r="H18" s="5">
        <v>0</v>
      </c>
      <c r="I18" s="5">
        <v>0</v>
      </c>
      <c r="J18" s="5">
        <v>390</v>
      </c>
      <c r="K18" s="5">
        <v>0</v>
      </c>
      <c r="L18" s="5">
        <v>0</v>
      </c>
      <c r="M18" s="5">
        <v>0</v>
      </c>
      <c r="N18" s="5">
        <v>12775</v>
      </c>
      <c r="O18" s="5" t="s">
        <v>46</v>
      </c>
    </row>
    <row r="19" spans="1:15" x14ac:dyDescent="0.35">
      <c r="A19" s="4">
        <v>17</v>
      </c>
      <c r="B19" s="5">
        <v>3493</v>
      </c>
      <c r="C19" s="5">
        <v>10652</v>
      </c>
      <c r="D19" s="5">
        <v>0</v>
      </c>
      <c r="E19" s="5">
        <v>3186</v>
      </c>
      <c r="F19" s="5">
        <v>0</v>
      </c>
      <c r="G19" s="5">
        <v>0</v>
      </c>
      <c r="H19" s="5">
        <v>0</v>
      </c>
      <c r="I19" s="5">
        <v>0</v>
      </c>
      <c r="J19" s="5">
        <v>391</v>
      </c>
      <c r="K19" s="5">
        <v>0</v>
      </c>
      <c r="L19" s="5">
        <v>0</v>
      </c>
      <c r="M19" s="5">
        <v>0</v>
      </c>
      <c r="N19" s="5">
        <v>12808</v>
      </c>
      <c r="O19" s="5" t="s">
        <v>47</v>
      </c>
    </row>
    <row r="20" spans="1:15" x14ac:dyDescent="0.35">
      <c r="A20" s="4">
        <v>18</v>
      </c>
      <c r="B20" s="5">
        <v>3505</v>
      </c>
      <c r="C20" s="5">
        <v>10678</v>
      </c>
      <c r="D20" s="5">
        <v>0</v>
      </c>
      <c r="E20" s="5">
        <v>3197</v>
      </c>
      <c r="F20" s="5">
        <v>0</v>
      </c>
      <c r="G20" s="5">
        <v>0</v>
      </c>
      <c r="H20" s="5">
        <v>0</v>
      </c>
      <c r="I20" s="5">
        <v>0</v>
      </c>
      <c r="J20" s="5">
        <v>400</v>
      </c>
      <c r="K20" s="5">
        <v>0</v>
      </c>
      <c r="L20" s="5">
        <v>0</v>
      </c>
      <c r="M20" s="5">
        <v>0</v>
      </c>
      <c r="N20" s="5">
        <v>12856</v>
      </c>
      <c r="O20" s="5" t="s">
        <v>48</v>
      </c>
    </row>
    <row r="21" spans="1:15" x14ac:dyDescent="0.35">
      <c r="A21" s="4">
        <v>19</v>
      </c>
      <c r="B21" s="5">
        <v>3517</v>
      </c>
      <c r="C21" s="5">
        <v>10697</v>
      </c>
      <c r="D21" s="5">
        <v>0</v>
      </c>
      <c r="E21" s="5">
        <v>3211</v>
      </c>
      <c r="F21" s="5">
        <v>0</v>
      </c>
      <c r="G21" s="5">
        <v>0</v>
      </c>
      <c r="H21" s="5">
        <v>0</v>
      </c>
      <c r="I21" s="5">
        <v>0</v>
      </c>
      <c r="J21" s="5">
        <v>400</v>
      </c>
      <c r="K21" s="5">
        <v>0</v>
      </c>
      <c r="L21" s="5">
        <v>0</v>
      </c>
      <c r="M21" s="5">
        <v>0</v>
      </c>
      <c r="N21" s="5">
        <v>12888</v>
      </c>
      <c r="O21" s="5" t="s">
        <v>48</v>
      </c>
    </row>
    <row r="22" spans="1:15" x14ac:dyDescent="0.35">
      <c r="A22" s="4">
        <v>20</v>
      </c>
      <c r="B22" s="5">
        <v>3528</v>
      </c>
      <c r="C22" s="5">
        <v>10716</v>
      </c>
      <c r="D22" s="5">
        <v>0</v>
      </c>
      <c r="E22" s="5">
        <v>3224</v>
      </c>
      <c r="F22" s="5">
        <v>0</v>
      </c>
      <c r="G22" s="5">
        <v>0</v>
      </c>
      <c r="H22" s="5">
        <v>0</v>
      </c>
      <c r="I22" s="5">
        <v>0</v>
      </c>
      <c r="J22" s="5">
        <v>401</v>
      </c>
      <c r="K22" s="5">
        <v>0</v>
      </c>
      <c r="L22" s="5">
        <v>0</v>
      </c>
      <c r="M22" s="5">
        <v>0</v>
      </c>
      <c r="N22" s="5">
        <v>12921</v>
      </c>
      <c r="O22" s="5" t="s">
        <v>48</v>
      </c>
    </row>
    <row r="23" spans="1:15" x14ac:dyDescent="0.35">
      <c r="A23" s="4">
        <v>21</v>
      </c>
      <c r="B23" s="5">
        <v>3541</v>
      </c>
      <c r="C23" s="5">
        <v>10737</v>
      </c>
      <c r="D23" s="5">
        <v>0</v>
      </c>
      <c r="E23" s="5">
        <v>3240</v>
      </c>
      <c r="F23" s="5">
        <v>0</v>
      </c>
      <c r="G23" s="5">
        <v>0</v>
      </c>
      <c r="H23" s="5">
        <v>0</v>
      </c>
      <c r="I23" s="5">
        <v>0</v>
      </c>
      <c r="J23" s="5">
        <v>407</v>
      </c>
      <c r="K23" s="5">
        <v>0</v>
      </c>
      <c r="L23" s="5">
        <v>0</v>
      </c>
      <c r="M23" s="5">
        <v>0</v>
      </c>
      <c r="N23" s="5">
        <v>12969</v>
      </c>
      <c r="O23" s="5" t="s">
        <v>48</v>
      </c>
    </row>
    <row r="24" spans="1:15" x14ac:dyDescent="0.35">
      <c r="A24" s="4">
        <v>22</v>
      </c>
      <c r="B24" s="5">
        <v>3557</v>
      </c>
      <c r="C24" s="5">
        <v>10754</v>
      </c>
      <c r="D24" s="5">
        <v>0</v>
      </c>
      <c r="E24" s="5">
        <v>3248</v>
      </c>
      <c r="F24" s="5">
        <v>0</v>
      </c>
      <c r="G24" s="5">
        <v>0</v>
      </c>
      <c r="H24" s="5">
        <v>0</v>
      </c>
      <c r="I24" s="5">
        <v>0</v>
      </c>
      <c r="J24" s="5">
        <v>408</v>
      </c>
      <c r="K24" s="5">
        <v>0</v>
      </c>
      <c r="L24" s="5">
        <v>0</v>
      </c>
      <c r="M24" s="5">
        <v>0</v>
      </c>
      <c r="N24" s="5">
        <v>13001</v>
      </c>
      <c r="O24" s="5" t="s">
        <v>49</v>
      </c>
    </row>
    <row r="25" spans="1:15" x14ac:dyDescent="0.35">
      <c r="A25" s="4">
        <v>23</v>
      </c>
      <c r="B25" s="5">
        <v>3574</v>
      </c>
      <c r="C25" s="5">
        <v>10777</v>
      </c>
      <c r="D25" s="5">
        <v>0</v>
      </c>
      <c r="E25" s="5">
        <v>3272</v>
      </c>
      <c r="F25" s="5">
        <v>0</v>
      </c>
      <c r="G25" s="5">
        <v>0</v>
      </c>
      <c r="H25" s="5">
        <v>0</v>
      </c>
      <c r="I25" s="5">
        <v>0</v>
      </c>
      <c r="J25" s="5">
        <v>409</v>
      </c>
      <c r="K25" s="5">
        <v>0</v>
      </c>
      <c r="L25" s="5">
        <v>0</v>
      </c>
      <c r="M25" s="5">
        <v>0</v>
      </c>
      <c r="N25" s="5">
        <v>13033</v>
      </c>
      <c r="O25" s="5" t="s">
        <v>47</v>
      </c>
    </row>
    <row r="26" spans="1:15" x14ac:dyDescent="0.35">
      <c r="A26" s="4">
        <v>24</v>
      </c>
      <c r="B26" s="5">
        <v>3588</v>
      </c>
      <c r="C26" s="5">
        <v>10795</v>
      </c>
      <c r="D26" s="5">
        <v>0</v>
      </c>
      <c r="E26" s="5">
        <v>3287</v>
      </c>
      <c r="F26" s="5">
        <v>0</v>
      </c>
      <c r="G26" s="5">
        <v>0</v>
      </c>
      <c r="H26" s="5">
        <v>0</v>
      </c>
      <c r="I26" s="5">
        <v>0</v>
      </c>
      <c r="J26" s="5">
        <v>410</v>
      </c>
      <c r="K26" s="5">
        <v>0</v>
      </c>
      <c r="L26" s="5">
        <v>0</v>
      </c>
      <c r="M26" s="5">
        <v>0</v>
      </c>
      <c r="N26" s="5">
        <v>13081</v>
      </c>
      <c r="O26" s="5" t="s">
        <v>47</v>
      </c>
    </row>
    <row r="27" spans="1:15" ht="15.5" x14ac:dyDescent="0.35">
      <c r="A27" s="4">
        <v>25</v>
      </c>
      <c r="B27" s="5">
        <v>3598</v>
      </c>
      <c r="C27" s="5">
        <v>10819</v>
      </c>
      <c r="D27" s="5">
        <v>0</v>
      </c>
      <c r="E27" s="5">
        <v>3298</v>
      </c>
      <c r="F27" s="5">
        <v>0</v>
      </c>
      <c r="G27" s="5">
        <v>0</v>
      </c>
      <c r="H27" s="5">
        <v>0</v>
      </c>
      <c r="I27" s="5">
        <v>0</v>
      </c>
      <c r="J27" s="5">
        <v>420</v>
      </c>
      <c r="K27" s="5">
        <v>0</v>
      </c>
      <c r="L27" s="5">
        <v>0</v>
      </c>
      <c r="M27" s="5">
        <v>0</v>
      </c>
      <c r="N27" s="5">
        <v>13112</v>
      </c>
      <c r="O27" s="27" t="s">
        <v>40</v>
      </c>
    </row>
    <row r="28" spans="1:15" ht="15.5" x14ac:dyDescent="0.35">
      <c r="A28" s="4">
        <v>26</v>
      </c>
      <c r="B28" s="5">
        <v>3611</v>
      </c>
      <c r="C28" s="5">
        <v>10846</v>
      </c>
      <c r="D28" s="5">
        <v>0</v>
      </c>
      <c r="E28" s="5">
        <v>3308</v>
      </c>
      <c r="F28" s="5">
        <v>0</v>
      </c>
      <c r="G28" s="5">
        <v>0</v>
      </c>
      <c r="H28" s="5">
        <v>0</v>
      </c>
      <c r="I28" s="5">
        <v>0</v>
      </c>
      <c r="J28" s="5">
        <v>421</v>
      </c>
      <c r="K28" s="5">
        <v>0</v>
      </c>
      <c r="L28" s="5">
        <v>0</v>
      </c>
      <c r="M28" s="5">
        <v>0</v>
      </c>
      <c r="N28" s="5">
        <v>13145</v>
      </c>
      <c r="O28" s="27" t="s">
        <v>40</v>
      </c>
    </row>
    <row r="29" spans="1:15" x14ac:dyDescent="0.35">
      <c r="A29" s="4">
        <v>27</v>
      </c>
      <c r="B29" s="5">
        <v>3626</v>
      </c>
      <c r="C29" s="5">
        <v>10866</v>
      </c>
      <c r="D29" s="5">
        <v>0</v>
      </c>
      <c r="E29" s="5">
        <v>3320</v>
      </c>
      <c r="F29" s="5">
        <v>0</v>
      </c>
      <c r="G29" s="5">
        <v>0</v>
      </c>
      <c r="H29" s="5">
        <v>0</v>
      </c>
      <c r="I29" s="5">
        <v>0</v>
      </c>
      <c r="J29" s="5">
        <v>422</v>
      </c>
      <c r="K29" s="5">
        <v>0</v>
      </c>
      <c r="L29" s="5">
        <v>0</v>
      </c>
      <c r="M29" s="5">
        <v>0</v>
      </c>
      <c r="N29" s="5">
        <v>13193</v>
      </c>
      <c r="O29" s="5" t="s">
        <v>40</v>
      </c>
    </row>
    <row r="30" spans="1:15" x14ac:dyDescent="0.35">
      <c r="A30" s="4">
        <v>28</v>
      </c>
      <c r="B30" s="5">
        <v>3638</v>
      </c>
      <c r="C30" s="5">
        <v>10894</v>
      </c>
      <c r="D30" s="5">
        <v>0</v>
      </c>
      <c r="E30" s="5">
        <v>3334</v>
      </c>
      <c r="F30" s="5">
        <v>0</v>
      </c>
      <c r="G30" s="5">
        <v>0</v>
      </c>
      <c r="H30" s="5">
        <v>0</v>
      </c>
      <c r="I30" s="5">
        <v>0</v>
      </c>
      <c r="J30" s="5">
        <v>432</v>
      </c>
      <c r="K30" s="5">
        <v>0</v>
      </c>
      <c r="L30" s="5">
        <v>0</v>
      </c>
      <c r="M30" s="5">
        <v>0</v>
      </c>
      <c r="N30" s="5">
        <v>13227</v>
      </c>
      <c r="O30" s="5" t="s">
        <v>40</v>
      </c>
    </row>
    <row r="31" spans="1:15" x14ac:dyDescent="0.35">
      <c r="A31" s="4">
        <v>29</v>
      </c>
      <c r="B31" s="5">
        <v>3655</v>
      </c>
      <c r="C31" s="5">
        <v>10912</v>
      </c>
      <c r="D31" s="5">
        <v>0</v>
      </c>
      <c r="E31" s="5">
        <v>3351</v>
      </c>
      <c r="F31" s="5">
        <v>0</v>
      </c>
      <c r="G31" s="5">
        <v>0</v>
      </c>
      <c r="H31" s="5">
        <v>0</v>
      </c>
      <c r="I31" s="5">
        <v>0</v>
      </c>
      <c r="J31" s="5">
        <v>433</v>
      </c>
      <c r="K31" s="5">
        <v>0</v>
      </c>
      <c r="L31" s="5">
        <v>0</v>
      </c>
      <c r="M31" s="5">
        <v>0</v>
      </c>
      <c r="N31" s="5">
        <v>13274</v>
      </c>
      <c r="O31" s="5" t="s">
        <v>40</v>
      </c>
    </row>
    <row r="32" spans="1:15" x14ac:dyDescent="0.35">
      <c r="A32" s="4">
        <v>30</v>
      </c>
      <c r="B32" s="5">
        <v>3673</v>
      </c>
      <c r="C32" s="5">
        <v>10940</v>
      </c>
      <c r="D32" s="5">
        <v>0</v>
      </c>
      <c r="E32" s="5">
        <v>3371</v>
      </c>
      <c r="F32" s="5">
        <v>0</v>
      </c>
      <c r="G32" s="5">
        <v>0</v>
      </c>
      <c r="H32" s="5">
        <v>0</v>
      </c>
      <c r="I32" s="5">
        <v>0</v>
      </c>
      <c r="J32" s="5">
        <v>434</v>
      </c>
      <c r="K32" s="5">
        <v>0</v>
      </c>
      <c r="L32" s="5">
        <v>0</v>
      </c>
      <c r="M32" s="5">
        <v>0</v>
      </c>
      <c r="N32" s="5">
        <v>13322</v>
      </c>
      <c r="O32" s="5" t="s">
        <v>46</v>
      </c>
    </row>
    <row r="33" spans="1:15" x14ac:dyDescent="0.35">
      <c r="A33" s="4">
        <v>31</v>
      </c>
      <c r="B33" s="5">
        <v>3690</v>
      </c>
      <c r="C33" s="5">
        <v>10960</v>
      </c>
      <c r="D33" s="5">
        <v>0</v>
      </c>
      <c r="E33" s="5">
        <v>3386</v>
      </c>
      <c r="F33" s="5">
        <v>0</v>
      </c>
      <c r="G33" s="5">
        <v>0</v>
      </c>
      <c r="H33" s="5">
        <v>0</v>
      </c>
      <c r="I33" s="5">
        <v>0</v>
      </c>
      <c r="J33" s="5">
        <v>435</v>
      </c>
      <c r="K33" s="5">
        <v>0</v>
      </c>
      <c r="L33" s="5">
        <v>0</v>
      </c>
      <c r="M33" s="5">
        <v>0</v>
      </c>
      <c r="N33" s="5">
        <v>13354</v>
      </c>
      <c r="O33" s="5" t="s">
        <v>47</v>
      </c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c0c63084-832f-4b13-a501-c844d9f3bfe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2024-04-01T01:35:30Z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