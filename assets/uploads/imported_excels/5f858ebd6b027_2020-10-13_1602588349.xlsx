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<sst xmlns="http://schemas.openxmlformats.org/spreadsheetml/2006/main" count="313" uniqueCount="148">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</sst>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IF(LPG!F21-LPG!G21&lt;0,"0",(LPG!F21-LPG!G21)*1.8315)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13400.000000000076</v>
      </c>
      <c r="F33" s="17">
        <f t="shared" ref="F33:BC33" si="1">SUM(F2:F32)</f>
        <v>7400.0000000000719</v>
      </c>
      <c r="G33" s="17">
        <f t="shared" si="1"/>
        <v>17100.000000000113</v>
      </c>
      <c r="H33" s="17">
        <f t="shared" si="1"/>
        <v>10099.999999999996</v>
      </c>
      <c r="I33" s="17">
        <f t="shared" si="1"/>
        <v>19700.000000000276</v>
      </c>
      <c r="J33" s="17">
        <f t="shared" si="1"/>
        <v>6599.9999999999391</v>
      </c>
      <c r="K33" s="17">
        <f t="shared" si="1"/>
        <v>8</v>
      </c>
      <c r="L33" s="17">
        <f t="shared" si="1"/>
        <v>59</v>
      </c>
      <c r="M33" s="17">
        <f t="shared" si="1"/>
        <v>1591.8000000000466</v>
      </c>
      <c r="N33" s="17">
        <f t="shared" si="1"/>
        <v>966.90000000002328</v>
      </c>
      <c r="O33" s="17">
        <f t="shared" si="1"/>
        <v>1040.0000000000205</v>
      </c>
      <c r="P33" s="17">
        <f t="shared" si="1"/>
        <v>5300.0000000000828</v>
      </c>
      <c r="Q33" s="17">
        <f t="shared" si="1"/>
        <v>1050.0000000000114</v>
      </c>
      <c r="R33" s="17">
        <f t="shared" si="1"/>
        <v>1709.9999999999795</v>
      </c>
      <c r="S33" s="17">
        <f t="shared" si="1"/>
        <v>2600.0000000000227</v>
      </c>
      <c r="T33" s="17">
        <f t="shared" si="1"/>
        <v>14.699999999999818</v>
      </c>
      <c r="U33" s="35">
        <f t="shared" si="1"/>
        <v>2849.9999999999659</v>
      </c>
      <c r="V33" s="35">
        <f t="shared" si="1"/>
        <v>1759.9999999999909</v>
      </c>
      <c r="W33" s="35">
        <f t="shared" si="1"/>
        <v>1560.0000000000023</v>
      </c>
      <c r="X33" s="35">
        <f t="shared" si="1"/>
        <v>1750</v>
      </c>
      <c r="Y33" s="35">
        <f t="shared" si="1"/>
        <v>409.99999999999659</v>
      </c>
      <c r="Z33" s="35">
        <f t="shared" si="1"/>
        <v>430.00000000000682</v>
      </c>
      <c r="AA33" s="35">
        <f t="shared" si="1"/>
        <v>430.00000000000682</v>
      </c>
      <c r="AB33" s="35">
        <f t="shared" si="1"/>
        <v>349.99999999996589</v>
      </c>
      <c r="AC33" s="35">
        <f t="shared" si="1"/>
        <v>319.99999999999318</v>
      </c>
      <c r="AD33" s="35">
        <f t="shared" si="1"/>
        <v>299.99999999995453</v>
      </c>
      <c r="AE33" s="35">
        <f t="shared" si="1"/>
        <v>239.99999999998067</v>
      </c>
      <c r="AF33" s="17">
        <f t="shared" si="1"/>
        <v>312</v>
      </c>
      <c r="AG33" s="32">
        <f t="shared" si="1"/>
        <v>129.99999999999545</v>
      </c>
      <c r="AH33" s="32">
        <f t="shared" si="1"/>
        <v>129.99999999999545</v>
      </c>
      <c r="AI33" s="32">
        <f t="shared" si="1"/>
        <v>69.999999999993179</v>
      </c>
      <c r="AJ33" s="32">
        <f t="shared" si="1"/>
        <v>370.00000000000455</v>
      </c>
      <c r="AK33" s="32">
        <f t="shared" si="1"/>
        <v>259.99999999999091</v>
      </c>
      <c r="AL33" s="32">
        <f t="shared" si="1"/>
        <v>121</v>
      </c>
      <c r="AM33" s="32">
        <f t="shared" si="1"/>
        <v>210.00000000000796</v>
      </c>
      <c r="AN33" s="32">
        <f t="shared" si="1"/>
        <v>384</v>
      </c>
      <c r="AO33" s="32">
        <f t="shared" si="1"/>
        <v>299.99999999998295</v>
      </c>
      <c r="AP33" s="32">
        <f t="shared" si="1"/>
        <v>267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232.5</v>
      </c>
      <c r="AU33" s="17">
        <f t="shared" si="1"/>
        <v>2385</v>
      </c>
      <c r="AV33" s="17">
        <f t="shared" si="1"/>
        <v>4319.9999999999363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60.439499999999995</v>
      </c>
      <c r="BC33" s="17">
        <f t="shared" si="1"/>
        <v>0</v>
      </c>
    </row>
    <row r="35" spans="5:55" x14ac:dyDescent="0.25">
      <c r="E35" s="38">
        <f>E33/E37</f>
        <v>0.29297302024574789</v>
      </c>
      <c r="G35" s="29">
        <f>G33-M36</f>
        <v>14541.300000000043</v>
      </c>
      <c r="AE35" s="35">
        <f>SUM(U33:AE33)</f>
        <v>10399.999999999862</v>
      </c>
      <c r="AG35" s="32">
        <f>SUM(AG33:AP33)</f>
        <v>2241.9999999999704</v>
      </c>
    </row>
    <row r="36" spans="5:55" x14ac:dyDescent="0.25">
      <c r="G36" s="29">
        <f>G35-633*14</f>
        <v>5679.3000000000429</v>
      </c>
      <c r="M36" s="29">
        <f>M33+N33</f>
        <v>2558.7000000000698</v>
      </c>
    </row>
    <row r="37" spans="5:55" x14ac:dyDescent="0.25">
      <c r="E37" s="17">
        <f>E33+F33+G33+H33+J33-633*14</f>
        <v>45738.000000000204</v>
      </c>
      <c r="G37" s="37">
        <f>M36/E37</f>
        <v>5.5942542306179947E-2</v>
      </c>
      <c r="M37" s="35">
        <f>AE35</f>
        <v>10399.999999999862</v>
      </c>
    </row>
    <row r="38" spans="5:55" x14ac:dyDescent="0.25">
      <c r="L38" s="27">
        <f>M38/E37</f>
        <v>4.9018321745593611E-2</v>
      </c>
      <c r="M38" s="29">
        <f>AG35</f>
        <v>2241.9999999999704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E1" zoomScale="80" zoomScaleNormal="80" workbookViewId="0">
      <pane ySplit="1" topLeftCell="A2" activePane="bottomLeft" state="frozen"/>
      <selection pane="bottomLeft" activeCell="BF18" sqref="BF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44"/>
        <v/>
      </c>
      <c r="Q16" s="58"/>
      <c r="R16" s="67" t="str">
        <f t="shared" si="6"/>
        <v/>
      </c>
      <c r="S16" s="58"/>
      <c r="T16" s="67" t="str">
        <f t="shared" si="7"/>
        <v/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si="15"/>
        <v/>
      </c>
      <c r="AM16" s="58"/>
      <c r="AN16" s="65" t="str">
        <f t="shared" si="15"/>
        <v/>
      </c>
      <c r="AO16" s="58"/>
      <c r="AP16" s="65" t="str">
        <f t="shared" si="15"/>
        <v/>
      </c>
      <c r="AQ16" s="58"/>
      <c r="AR16" s="65" t="str">
        <f t="shared" si="16"/>
        <v/>
      </c>
      <c r="AS16" s="58"/>
      <c r="AT16" s="65" t="str">
        <f t="shared" si="17"/>
        <v/>
      </c>
      <c r="AU16" s="58"/>
      <c r="AV16" s="65" t="str">
        <f t="shared" si="18"/>
        <v/>
      </c>
      <c r="AW16" s="58"/>
      <c r="AX16" s="65" t="str">
        <f t="shared" si="19"/>
        <v/>
      </c>
      <c r="AY16" s="58"/>
      <c r="AZ16" s="65" t="str">
        <f t="shared" si="20"/>
        <v/>
      </c>
      <c r="BA16" s="58"/>
      <c r="BB16" s="65" t="str">
        <f t="shared" si="21"/>
        <v/>
      </c>
      <c r="BC16" s="58"/>
      <c r="BD16" s="65" t="str">
        <f t="shared" si="22"/>
        <v/>
      </c>
      <c r="BE16" s="59"/>
      <c r="BF16" s="67" t="str">
        <f t="shared" si="39"/>
        <v/>
      </c>
      <c r="BG16" s="60"/>
      <c r="BH16" s="65" t="str">
        <f t="shared" si="23"/>
        <v/>
      </c>
      <c r="BI16" s="60"/>
      <c r="BJ16" s="65" t="str">
        <f t="shared" si="40"/>
        <v/>
      </c>
      <c r="BK16" s="60"/>
      <c r="BL16" s="65" t="str">
        <f t="shared" si="24"/>
        <v/>
      </c>
      <c r="BM16" s="60"/>
      <c r="BN16" s="65" t="str">
        <f t="shared" si="25"/>
        <v/>
      </c>
      <c r="BO16" s="60"/>
      <c r="BP16" s="65" t="str">
        <f t="shared" si="26"/>
        <v/>
      </c>
      <c r="BQ16" s="60"/>
      <c r="BR16" s="65" t="str">
        <f t="shared" si="27"/>
        <v/>
      </c>
      <c r="BS16" s="60"/>
      <c r="BT16" s="65" t="str">
        <f t="shared" si="42"/>
        <v/>
      </c>
      <c r="BU16" s="60"/>
      <c r="BV16" s="65" t="str">
        <f t="shared" si="29"/>
        <v/>
      </c>
      <c r="BW16" s="60"/>
      <c r="BX16" s="65" t="str">
        <f t="shared" si="30"/>
        <v/>
      </c>
      <c r="BY16" s="60"/>
      <c r="BZ16" s="67" t="str">
        <f t="shared" si="31"/>
        <v/>
      </c>
      <c r="CA16" s="60"/>
      <c r="CB16" s="67" t="str">
        <f t="shared" si="32"/>
        <v/>
      </c>
      <c r="CC16" s="60"/>
      <c r="CD16" s="67" t="str">
        <f t="shared" si="33"/>
        <v/>
      </c>
      <c r="CE16" s="60"/>
      <c r="CF16" s="67" t="str">
        <f t="shared" si="34"/>
        <v/>
      </c>
      <c r="CG16" s="60"/>
      <c r="CH16" s="67" t="str">
        <f t="shared" si="35"/>
        <v/>
      </c>
      <c r="CI16" s="60"/>
      <c r="CJ16" s="67" t="str">
        <f t="shared" si="36"/>
        <v/>
      </c>
      <c r="CK16" s="60"/>
      <c r="CL16" s="64" t="str">
        <f t="shared" si="37"/>
        <v/>
      </c>
      <c r="CM16" s="65" t="e">
        <f t="shared" si="41"/>
        <v>#VALUE!</v>
      </c>
      <c r="CN16" s="62">
        <v>0</v>
      </c>
      <c r="CO16" s="62">
        <v>0</v>
      </c>
      <c r="CP16" s="68"/>
      <c r="CQ16" s="67" t="str">
        <f t="shared" si="38"/>
        <v/>
      </c>
      <c r="CR16" s="68"/>
      <c r="CS16" s="67" t="str">
        <f t="shared" si="38"/>
        <v/>
      </c>
      <c r="CT16" s="75"/>
      <c r="CU16" s="67" t="str">
        <f t="shared" si="38"/>
        <v/>
      </c>
      <c r="CV16" s="68"/>
      <c r="CW16" s="67" t="str">
        <f t="shared" si="38"/>
        <v/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" zoomScaleNormal="100" workbookViewId="0">
      <selection activeCell="AB26" sqref="AB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-196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2020-10-13T11:24:44Z</dcterms:modified>
</cp:coreProperties>
</file>