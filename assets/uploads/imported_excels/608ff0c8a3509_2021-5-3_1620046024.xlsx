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N:\Lotus Notes - Do Not Delete\Engr Admin\Utilities\HEP\2021\"/>
    </mc:Choice>
  </mc:AlternateContent>
  <bookViews>
    <workbookView xWindow="-105" yWindow="-105" windowWidth="19425" windowHeight="10425" activeTab="2"/>
  </bookViews>
  <sheets>
    <sheet name="Submetering" sheetId="3" r:id="rId1"/>
    <sheet name="TOTAL" sheetId="1" r:id="rId2"/>
    <sheet name="Hampshire Daily" sheetId="2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29" i="1" l="1"/>
  <c r="L29" i="1"/>
  <c r="K30" i="1"/>
  <c r="L30" i="1"/>
  <c r="K31" i="1"/>
  <c r="L31" i="1"/>
  <c r="K32" i="1"/>
  <c r="L32" i="1"/>
  <c r="F7" i="3"/>
  <c r="F8" i="3"/>
  <c r="F9" i="3"/>
  <c r="E32" i="3"/>
  <c r="E32" i="1" s="1"/>
  <c r="F32" i="3"/>
  <c r="G32" i="3"/>
  <c r="H32" i="3"/>
  <c r="I32" i="3"/>
  <c r="J32" i="3"/>
  <c r="K32" i="3"/>
  <c r="L32" i="3"/>
  <c r="M32" i="3"/>
  <c r="G32" i="1" s="1"/>
  <c r="N32" i="3"/>
  <c r="I32" i="1" s="1"/>
  <c r="O32" i="3"/>
  <c r="P32" i="3"/>
  <c r="Q32" i="3"/>
  <c r="R32" i="3"/>
  <c r="S32" i="3"/>
  <c r="T32" i="3"/>
  <c r="U32" i="3"/>
  <c r="V32" i="3"/>
  <c r="W32" i="3"/>
  <c r="X32" i="3"/>
  <c r="Y32" i="3"/>
  <c r="Z32" i="3"/>
  <c r="Z3" i="3" l="1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V2" i="3"/>
  <c r="W2" i="3"/>
  <c r="X2" i="3"/>
  <c r="V3" i="3"/>
  <c r="W3" i="3"/>
  <c r="X3" i="3"/>
  <c r="V4" i="3"/>
  <c r="W4" i="3"/>
  <c r="X4" i="3"/>
  <c r="V5" i="3"/>
  <c r="W5" i="3"/>
  <c r="X5" i="3"/>
  <c r="V6" i="3"/>
  <c r="W6" i="3"/>
  <c r="X6" i="3"/>
  <c r="V7" i="3"/>
  <c r="W7" i="3"/>
  <c r="X7" i="3"/>
  <c r="V8" i="3"/>
  <c r="W8" i="3"/>
  <c r="X8" i="3"/>
  <c r="V9" i="3"/>
  <c r="W9" i="3"/>
  <c r="X9" i="3"/>
  <c r="V10" i="3"/>
  <c r="W10" i="3"/>
  <c r="X10" i="3"/>
  <c r="V11" i="3"/>
  <c r="W11" i="3"/>
  <c r="X11" i="3"/>
  <c r="V12" i="3"/>
  <c r="W12" i="3"/>
  <c r="X12" i="3"/>
  <c r="V13" i="3"/>
  <c r="W13" i="3"/>
  <c r="X13" i="3"/>
  <c r="V14" i="3"/>
  <c r="W14" i="3"/>
  <c r="X14" i="3"/>
  <c r="V15" i="3"/>
  <c r="W15" i="3"/>
  <c r="X15" i="3"/>
  <c r="V16" i="3"/>
  <c r="W16" i="3"/>
  <c r="X16" i="3"/>
  <c r="V17" i="3"/>
  <c r="W17" i="3"/>
  <c r="X17" i="3"/>
  <c r="V18" i="3"/>
  <c r="W18" i="3"/>
  <c r="X18" i="3"/>
  <c r="V19" i="3"/>
  <c r="W19" i="3"/>
  <c r="X19" i="3"/>
  <c r="V20" i="3"/>
  <c r="W20" i="3"/>
  <c r="X20" i="3"/>
  <c r="V21" i="3"/>
  <c r="W21" i="3"/>
  <c r="X21" i="3"/>
  <c r="V22" i="3"/>
  <c r="W22" i="3"/>
  <c r="X22" i="3"/>
  <c r="V23" i="3"/>
  <c r="W23" i="3"/>
  <c r="X23" i="3"/>
  <c r="V24" i="3"/>
  <c r="W24" i="3"/>
  <c r="X24" i="3"/>
  <c r="V25" i="3"/>
  <c r="W25" i="3"/>
  <c r="X25" i="3"/>
  <c r="V26" i="3"/>
  <c r="W26" i="3"/>
  <c r="X26" i="3"/>
  <c r="V27" i="3"/>
  <c r="W27" i="3"/>
  <c r="X27" i="3"/>
  <c r="V28" i="3"/>
  <c r="W28" i="3"/>
  <c r="X28" i="3"/>
  <c r="V29" i="3"/>
  <c r="W29" i="3"/>
  <c r="X29" i="3"/>
  <c r="V30" i="3"/>
  <c r="W30" i="3"/>
  <c r="X30" i="3"/>
  <c r="V31" i="3"/>
  <c r="W31" i="3"/>
  <c r="X31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2" i="3"/>
  <c r="E30" i="3"/>
  <c r="F30" i="3"/>
  <c r="G30" i="3"/>
  <c r="H30" i="3"/>
  <c r="I30" i="3"/>
  <c r="J30" i="3"/>
  <c r="K30" i="3"/>
  <c r="L30" i="3"/>
  <c r="M30" i="3"/>
  <c r="G30" i="1" s="1"/>
  <c r="N30" i="3"/>
  <c r="I30" i="1" s="1"/>
  <c r="O30" i="3"/>
  <c r="P30" i="3"/>
  <c r="Q30" i="3"/>
  <c r="R30" i="3"/>
  <c r="S30" i="3"/>
  <c r="E31" i="3"/>
  <c r="F31" i="3"/>
  <c r="G31" i="3"/>
  <c r="H31" i="3"/>
  <c r="I31" i="3"/>
  <c r="J31" i="3"/>
  <c r="K31" i="3"/>
  <c r="L31" i="3"/>
  <c r="M31" i="3"/>
  <c r="G31" i="1" s="1"/>
  <c r="N31" i="3"/>
  <c r="I31" i="1" s="1"/>
  <c r="O31" i="3"/>
  <c r="P31" i="3"/>
  <c r="Q31" i="3"/>
  <c r="R31" i="3"/>
  <c r="S31" i="3"/>
  <c r="B30" i="1"/>
  <c r="B31" i="1" s="1"/>
  <c r="B32" i="1" s="1"/>
  <c r="E30" i="1" l="1"/>
  <c r="E31" i="1"/>
  <c r="K3" i="1"/>
  <c r="L3" i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L2" i="1"/>
  <c r="S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2" i="3"/>
  <c r="L2" i="3"/>
  <c r="M2" i="3"/>
  <c r="N2" i="3"/>
  <c r="O2" i="3"/>
  <c r="P2" i="3"/>
  <c r="Q2" i="3"/>
  <c r="L3" i="3"/>
  <c r="M3" i="3"/>
  <c r="N3" i="3"/>
  <c r="O3" i="3"/>
  <c r="P3" i="3"/>
  <c r="Q3" i="3"/>
  <c r="L4" i="3"/>
  <c r="M4" i="3"/>
  <c r="N4" i="3"/>
  <c r="O4" i="3"/>
  <c r="P4" i="3"/>
  <c r="Q4" i="3"/>
  <c r="L5" i="3"/>
  <c r="M5" i="3"/>
  <c r="N5" i="3"/>
  <c r="O5" i="3"/>
  <c r="P5" i="3"/>
  <c r="Q5" i="3"/>
  <c r="L6" i="3"/>
  <c r="M6" i="3"/>
  <c r="N6" i="3"/>
  <c r="O6" i="3"/>
  <c r="P6" i="3"/>
  <c r="Q6" i="3"/>
  <c r="L7" i="3"/>
  <c r="M7" i="3"/>
  <c r="N7" i="3"/>
  <c r="O7" i="3"/>
  <c r="P7" i="3"/>
  <c r="Q7" i="3"/>
  <c r="L8" i="3"/>
  <c r="M8" i="3"/>
  <c r="N8" i="3"/>
  <c r="O8" i="3"/>
  <c r="P8" i="3"/>
  <c r="Q8" i="3"/>
  <c r="L9" i="3"/>
  <c r="M9" i="3"/>
  <c r="N9" i="3"/>
  <c r="O9" i="3"/>
  <c r="P9" i="3"/>
  <c r="Q9" i="3"/>
  <c r="L10" i="3"/>
  <c r="M10" i="3"/>
  <c r="N10" i="3"/>
  <c r="O10" i="3"/>
  <c r="P10" i="3"/>
  <c r="Q10" i="3"/>
  <c r="L11" i="3"/>
  <c r="M11" i="3"/>
  <c r="N11" i="3"/>
  <c r="O11" i="3"/>
  <c r="P11" i="3"/>
  <c r="Q11" i="3"/>
  <c r="L12" i="3"/>
  <c r="M12" i="3"/>
  <c r="N12" i="3"/>
  <c r="O12" i="3"/>
  <c r="P12" i="3"/>
  <c r="Q12" i="3"/>
  <c r="L13" i="3"/>
  <c r="M13" i="3"/>
  <c r="N13" i="3"/>
  <c r="O13" i="3"/>
  <c r="P13" i="3"/>
  <c r="Q13" i="3"/>
  <c r="L14" i="3"/>
  <c r="M14" i="3"/>
  <c r="N14" i="3"/>
  <c r="O14" i="3"/>
  <c r="P14" i="3"/>
  <c r="Q14" i="3"/>
  <c r="L15" i="3"/>
  <c r="M15" i="3"/>
  <c r="N15" i="3"/>
  <c r="O15" i="3"/>
  <c r="P15" i="3"/>
  <c r="Q15" i="3"/>
  <c r="L16" i="3"/>
  <c r="M16" i="3"/>
  <c r="N16" i="3"/>
  <c r="O16" i="3"/>
  <c r="P16" i="3"/>
  <c r="Q16" i="3"/>
  <c r="L17" i="3"/>
  <c r="M17" i="3"/>
  <c r="N17" i="3"/>
  <c r="O17" i="3"/>
  <c r="P17" i="3"/>
  <c r="Q17" i="3"/>
  <c r="L18" i="3"/>
  <c r="M18" i="3"/>
  <c r="N18" i="3"/>
  <c r="O18" i="3"/>
  <c r="P18" i="3"/>
  <c r="Q18" i="3"/>
  <c r="L19" i="3"/>
  <c r="M19" i="3"/>
  <c r="N19" i="3"/>
  <c r="O19" i="3"/>
  <c r="P19" i="3"/>
  <c r="Q19" i="3"/>
  <c r="L20" i="3"/>
  <c r="M20" i="3"/>
  <c r="N20" i="3"/>
  <c r="O20" i="3"/>
  <c r="P20" i="3"/>
  <c r="Q20" i="3"/>
  <c r="L21" i="3"/>
  <c r="M21" i="3"/>
  <c r="N21" i="3"/>
  <c r="O21" i="3"/>
  <c r="P21" i="3"/>
  <c r="Q21" i="3"/>
  <c r="L22" i="3"/>
  <c r="M22" i="3"/>
  <c r="N22" i="3"/>
  <c r="O22" i="3"/>
  <c r="P22" i="3"/>
  <c r="Q22" i="3"/>
  <c r="L23" i="3"/>
  <c r="M23" i="3"/>
  <c r="N23" i="3"/>
  <c r="O23" i="3"/>
  <c r="P23" i="3"/>
  <c r="Q23" i="3"/>
  <c r="L24" i="3"/>
  <c r="M24" i="3"/>
  <c r="N24" i="3"/>
  <c r="O24" i="3"/>
  <c r="P24" i="3"/>
  <c r="Q24" i="3"/>
  <c r="L25" i="3"/>
  <c r="M25" i="3"/>
  <c r="N25" i="3"/>
  <c r="O25" i="3"/>
  <c r="P25" i="3"/>
  <c r="Q25" i="3"/>
  <c r="L26" i="3"/>
  <c r="M26" i="3"/>
  <c r="N26" i="3"/>
  <c r="O26" i="3"/>
  <c r="P26" i="3"/>
  <c r="Q26" i="3"/>
  <c r="L27" i="3"/>
  <c r="M27" i="3"/>
  <c r="N27" i="3"/>
  <c r="O27" i="3"/>
  <c r="P27" i="3"/>
  <c r="Q27" i="3"/>
  <c r="L28" i="3"/>
  <c r="M28" i="3"/>
  <c r="N28" i="3"/>
  <c r="O28" i="3"/>
  <c r="P28" i="3"/>
  <c r="Q28" i="3"/>
  <c r="L29" i="3"/>
  <c r="M29" i="3"/>
  <c r="G29" i="1" s="1"/>
  <c r="N29" i="3"/>
  <c r="I29" i="1" s="1"/>
  <c r="O29" i="3"/>
  <c r="P29" i="3"/>
  <c r="Q29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2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2" i="3"/>
  <c r="F3" i="3"/>
  <c r="F4" i="3"/>
  <c r="F5" i="3"/>
  <c r="F6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29" i="1" s="1"/>
  <c r="E2" i="3"/>
  <c r="J3" i="3" l="1"/>
  <c r="H3" i="3"/>
  <c r="H4" i="3" l="1"/>
  <c r="J4" i="3"/>
  <c r="J5" i="3" l="1"/>
  <c r="H5" i="3"/>
  <c r="H6" i="3" l="1"/>
  <c r="J6" i="3"/>
  <c r="J7" i="3" l="1"/>
  <c r="H7" i="3"/>
  <c r="H8" i="3" l="1"/>
  <c r="J8" i="3"/>
  <c r="J9" i="3" l="1"/>
  <c r="H9" i="3"/>
  <c r="H10" i="3" l="1"/>
  <c r="J10" i="3"/>
  <c r="J11" i="3" l="1"/>
  <c r="H11" i="3"/>
  <c r="H12" i="3" l="1"/>
  <c r="J12" i="3"/>
  <c r="K2" i="1"/>
  <c r="G28" i="1"/>
  <c r="E28" i="1"/>
  <c r="G22" i="1"/>
  <c r="I22" i="1"/>
  <c r="G23" i="1"/>
  <c r="I23" i="1"/>
  <c r="G24" i="1"/>
  <c r="E25" i="1"/>
  <c r="G25" i="1"/>
  <c r="E26" i="1"/>
  <c r="G26" i="1"/>
  <c r="I26" i="1"/>
  <c r="E27" i="1"/>
  <c r="I27" i="1"/>
  <c r="I28" i="1"/>
  <c r="G6" i="1"/>
  <c r="G3" i="1"/>
  <c r="E7" i="1"/>
  <c r="E8" i="1"/>
  <c r="E11" i="1"/>
  <c r="E12" i="1"/>
  <c r="E15" i="1"/>
  <c r="E16" i="1"/>
  <c r="G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I4" i="1"/>
  <c r="G7" i="1"/>
  <c r="I7" i="1"/>
  <c r="G8" i="1"/>
  <c r="I8" i="1"/>
  <c r="G9" i="1"/>
  <c r="I9" i="1"/>
  <c r="G10" i="1"/>
  <c r="G11" i="1"/>
  <c r="G12" i="1"/>
  <c r="G13" i="1"/>
  <c r="I13" i="1"/>
  <c r="G14" i="1"/>
  <c r="G15" i="1"/>
  <c r="G16" i="1"/>
  <c r="I16" i="1"/>
  <c r="G17" i="1"/>
  <c r="I17" i="1"/>
  <c r="G18" i="1"/>
  <c r="I18" i="1"/>
  <c r="G19" i="1"/>
  <c r="G20" i="1"/>
  <c r="G21" i="1"/>
  <c r="I21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I3" i="1"/>
  <c r="I2" i="1"/>
  <c r="G4" i="1"/>
  <c r="G5" i="1"/>
  <c r="I20" i="1"/>
  <c r="I19" i="1"/>
  <c r="I6" i="1"/>
  <c r="I5" i="1"/>
  <c r="I25" i="1"/>
  <c r="I24" i="1"/>
  <c r="G27" i="1"/>
  <c r="I15" i="1"/>
  <c r="I14" i="1"/>
  <c r="I10" i="1"/>
  <c r="I12" i="1"/>
  <c r="J13" i="3" l="1"/>
  <c r="H13" i="3"/>
  <c r="E4" i="1"/>
  <c r="E21" i="1"/>
  <c r="E14" i="1"/>
  <c r="E10" i="1"/>
  <c r="E2" i="1"/>
  <c r="E3" i="1"/>
  <c r="I11" i="1"/>
  <c r="E6" i="1"/>
  <c r="E5" i="1"/>
  <c r="E17" i="1"/>
  <c r="E13" i="1"/>
  <c r="E9" i="1"/>
  <c r="E22" i="1"/>
  <c r="E24" i="1"/>
  <c r="E20" i="1"/>
  <c r="E23" i="1"/>
  <c r="E19" i="1"/>
  <c r="E18" i="1"/>
  <c r="H14" i="3" l="1"/>
  <c r="J14" i="3"/>
  <c r="J15" i="3" l="1"/>
  <c r="H15" i="3"/>
  <c r="H16" i="3" l="1"/>
  <c r="J16" i="3"/>
  <c r="J17" i="3" l="1"/>
  <c r="H17" i="3"/>
  <c r="H18" i="3" l="1"/>
  <c r="J18" i="3"/>
  <c r="J19" i="3" l="1"/>
  <c r="H19" i="3"/>
  <c r="H20" i="3" l="1"/>
  <c r="J20" i="3"/>
  <c r="J21" i="3" l="1"/>
  <c r="H21" i="3"/>
  <c r="H22" i="3" l="1"/>
  <c r="J22" i="3"/>
  <c r="J23" i="3" l="1"/>
  <c r="H23" i="3"/>
  <c r="H24" i="3" l="1"/>
  <c r="J24" i="3"/>
  <c r="J25" i="3" l="1"/>
  <c r="H25" i="3"/>
  <c r="H26" i="3" l="1"/>
  <c r="J26" i="3"/>
  <c r="J27" i="3" l="1"/>
  <c r="H27" i="3"/>
  <c r="H28" i="3" l="1"/>
  <c r="H29" i="3"/>
  <c r="J28" i="3"/>
  <c r="J29" i="3"/>
</calcChain>
</file>

<file path=xl/sharedStrings.xml><?xml version="1.0" encoding="utf-8"?>
<sst xmlns="http://schemas.openxmlformats.org/spreadsheetml/2006/main" count="133" uniqueCount="59">
  <si>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</si>
  <si>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</si>
  <si>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</si>
  <si>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</si>
  <si>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</si>
  <si>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</si>
  <si>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</si>
  <si>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</si>
  <si>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</si>
  <si>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</si>
  <si>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Natual Gas (m3)</t>
  </si>
  <si>
    <t>Natural Gas $/m3</t>
  </si>
  <si>
    <t>Electrical</t>
  </si>
  <si>
    <t>Gas</t>
  </si>
  <si>
    <t>Main Site Water Meter</t>
  </si>
  <si>
    <t>Water Softener Meter</t>
  </si>
  <si>
    <t>Hard Water Supply</t>
  </si>
  <si>
    <t>Pool Supply</t>
  </si>
  <si>
    <t>LTHW Spa</t>
  </si>
  <si>
    <t>LTHW East</t>
  </si>
  <si>
    <t>Chilled make-up</t>
  </si>
  <si>
    <t>Meter 1</t>
  </si>
  <si>
    <t>Check 1</t>
  </si>
  <si>
    <t>Meter 2</t>
  </si>
  <si>
    <t>Check 2</t>
  </si>
  <si>
    <t>East   MCC</t>
  </si>
  <si>
    <t>South    MCC 1</t>
  </si>
  <si>
    <t>South       MCC 2</t>
  </si>
  <si>
    <t>West    MCC</t>
  </si>
  <si>
    <t>Kitchen sub meter</t>
  </si>
  <si>
    <t>Spa electric</t>
  </si>
  <si>
    <t>Chiller</t>
  </si>
  <si>
    <t>Meter 1- KWh</t>
  </si>
  <si>
    <t>Meter 2- KWh</t>
  </si>
  <si>
    <t>East   MCC- KWh</t>
  </si>
  <si>
    <t>South    MCC 1- KWh</t>
  </si>
  <si>
    <t>South       MCC 2- KWh</t>
  </si>
  <si>
    <t>West    MCC- KWh</t>
  </si>
  <si>
    <t>Kitchen - KWh</t>
  </si>
  <si>
    <t>SPA - KWh</t>
  </si>
  <si>
    <t>Hampshire</t>
  </si>
  <si>
    <t xml:space="preserve"> </t>
  </si>
  <si>
    <t>Gas- KWh</t>
  </si>
  <si>
    <t>Main Site Water Meter - m3</t>
  </si>
  <si>
    <t>Chiller 2- m3</t>
  </si>
  <si>
    <t>Chiller 3- m3</t>
  </si>
  <si>
    <t>Chiller 4- m3</t>
  </si>
  <si>
    <t>Hard Water Supply- m3</t>
  </si>
  <si>
    <t>Pool Supply- m3</t>
  </si>
  <si>
    <t>LTHW East- m3</t>
  </si>
  <si>
    <t>Chilled make-up- m3</t>
  </si>
  <si>
    <t>LTHW SPA- m3</t>
  </si>
  <si>
    <t>Room Night</t>
  </si>
  <si>
    <t>Guest</t>
  </si>
  <si>
    <t>Orchard irrigation</t>
  </si>
  <si>
    <t xml:space="preserve">Kids pool </t>
  </si>
  <si>
    <t xml:space="preserve">Kids Pool </t>
  </si>
  <si>
    <t>Spa CHP Electric generated</t>
  </si>
  <si>
    <t>East CHP Electric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</si>
</sst>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[$-409]d\-mmm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9"/>
      <color theme="1"/>
      <name val="Arial"/>
      <family val="2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" fontId="0" fillId="0" borderId="0" xfId="0" applyNumberForma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wrapText="1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165" fontId="0" fillId="0" borderId="0" xfId="0" applyNumberFormat="1"/>
    <xf numFmtId="0" fontId="0" fillId="0" borderId="0" xfId="0" applyFont="1" applyAlignment="1">
      <alignment horizontal="center"/>
    </xf>
    <xf numFmtId="0" fontId="4" fillId="0" borderId="0" xfId="0" applyFont="1"/>
    <xf numFmtId="2" fontId="0" fillId="0" borderId="0" xfId="0" applyNumberFormat="1"/>
    <xf numFmtId="165" fontId="6" fillId="0" borderId="3" xfId="1" applyNumberFormat="1" applyFont="1" applyBorder="1" applyAlignment="1">
      <alignment horizontal="center"/>
    </xf>
    <xf numFmtId="165" fontId="2" fillId="0" borderId="3" xfId="1" applyNumberFormat="1" applyFont="1" applyBorder="1" applyAlignment="1">
      <alignment horizontal="center"/>
    </xf>
    <xf numFmtId="165" fontId="2" fillId="2" borderId="2" xfId="1" applyNumberFormat="1" applyFont="1" applyFill="1" applyBorder="1" applyAlignment="1">
      <alignment horizontal="center" wrapText="1"/>
    </xf>
    <xf numFmtId="165" fontId="0" fillId="2" borderId="2" xfId="0" applyNumberFormat="1" applyFill="1" applyBorder="1" applyAlignment="1">
      <alignment horizontal="center"/>
    </xf>
    <xf numFmtId="0" fontId="8" fillId="5" borderId="2" xfId="0" applyNumberFormat="1" applyFont="1" applyFill="1" applyBorder="1" applyAlignment="1" applyProtection="1">
      <alignment horizontal="center"/>
      <protection locked="0"/>
    </xf>
    <xf numFmtId="0" fontId="2" fillId="3" borderId="2" xfId="1" applyFont="1" applyFill="1" applyBorder="1" applyAlignment="1">
      <alignment horizontal="center" wrapText="1"/>
    </xf>
    <xf numFmtId="0" fontId="1" fillId="3" borderId="2" xfId="1" applyFill="1" applyBorder="1" applyAlignment="1">
      <alignment horizontal="center"/>
    </xf>
    <xf numFmtId="0" fontId="9" fillId="0" borderId="7" xfId="0" applyFont="1" applyBorder="1"/>
    <xf numFmtId="0" fontId="9" fillId="0" borderId="8" xfId="0" applyFont="1" applyBorder="1"/>
    <xf numFmtId="0" fontId="9" fillId="0" borderId="9" xfId="0" applyFont="1" applyBorder="1"/>
    <xf numFmtId="165" fontId="2" fillId="0" borderId="4" xfId="1" applyNumberFormat="1" applyFont="1" applyBorder="1" applyAlignment="1">
      <alignment horizontal="center" wrapText="1"/>
    </xf>
    <xf numFmtId="165" fontId="2" fillId="0" borderId="5" xfId="1" applyNumberFormat="1" applyFont="1" applyBorder="1" applyAlignment="1">
      <alignment horizontal="center" wrapText="1"/>
    </xf>
    <xf numFmtId="165" fontId="1" fillId="0" borderId="6" xfId="1" applyNumberForma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2" xfId="1" applyFont="1" applyBorder="1" applyAlignment="1">
      <alignment horizontal="center" wrapText="1"/>
    </xf>
    <xf numFmtId="0" fontId="7" fillId="0" borderId="2" xfId="1" applyFont="1" applyBorder="1" applyAlignment="1">
      <alignment horizontal="center" wrapText="1"/>
    </xf>
    <xf numFmtId="0" fontId="6" fillId="2" borderId="2" xfId="1" applyFont="1" applyFill="1" applyBorder="1" applyAlignment="1">
      <alignment horizontal="center" wrapText="1"/>
    </xf>
    <xf numFmtId="0" fontId="7" fillId="2" borderId="2" xfId="1" applyFont="1" applyFill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2" fillId="4" borderId="2" xfId="1" applyFont="1" applyFill="1" applyBorder="1" applyAlignment="1">
      <alignment horizontal="center" wrapText="1"/>
    </xf>
    <xf numFmtId="0" fontId="1" fillId="4" borderId="2" xfId="1" applyFill="1" applyBorder="1" applyAlignment="1">
      <alignment horizontal="center"/>
    </xf>
    <xf numFmtId="0" fontId="2" fillId="3" borderId="2" xfId="1" applyFont="1" applyFill="1" applyBorder="1" applyAlignment="1">
      <alignment horizontal="center" wrapText="1"/>
    </xf>
    <xf numFmtId="0" fontId="1" fillId="3" borderId="2" xfId="1" applyFill="1" applyBorder="1" applyAlignment="1">
      <alignment horizontal="center"/>
    </xf>
    <xf numFmtId="0" fontId="1" fillId="3" borderId="2" xfId="1" applyFill="1" applyBorder="1" applyAlignment="1">
      <alignment horizontal="center" wrapText="1"/>
    </xf>
    <xf numFmtId="0" fontId="2" fillId="3" borderId="10" xfId="1" applyFont="1" applyFill="1" applyBorder="1" applyAlignment="1">
      <alignment horizontal="center" wrapText="1"/>
    </xf>
    <xf numFmtId="0" fontId="1" fillId="3" borderId="10" xfId="1" applyFill="1" applyBorder="1" applyAlignment="1">
      <alignment horizontal="center"/>
    </xf>
    <xf numFmtId="0" fontId="3" fillId="3" borderId="11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0" fillId="6" borderId="2" xfId="0" applyFill="1" applyBorder="1" applyAlignment="1">
      <alignment horizontal="center" wrapText="1"/>
    </xf>
    <xf numFmtId="2" fontId="2" fillId="3" borderId="2" xfId="1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9" fillId="0" borderId="7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D32"/>
  <sheetViews>
    <sheetView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N7" sqref="N7"/>
    </sheetView>
  </sheetViews>
  <sheetFormatPr defaultColWidth="11.5703125" defaultRowHeight="15" x14ac:dyDescent="0.25"/>
  <cols>
    <col min="1" max="1" width="13.7109375" style="3" customWidth="1"/>
    <col min="2" max="2" width="11.5703125" style="1" customWidth="1"/>
    <col min="3" max="3" width="11.5703125" style="17"/>
    <col min="4" max="4" width="13.42578125" style="1" customWidth="1"/>
    <col min="5" max="21" width="12.5703125" style="4" customWidth="1"/>
    <col min="22" max="23" width="11.5703125" style="1"/>
    <col min="24" max="24" width="11.5703125" style="4"/>
  </cols>
  <sheetData>
    <row r="1" spans="1:30" s="3" customFormat="1" ht="45" x14ac:dyDescent="0.25">
      <c r="A1" s="8" t="s">
        <v>0</v>
      </c>
      <c r="B1" s="8" t="s">
        <v>1</v>
      </c>
      <c r="C1" s="6" t="s">
        <v>2</v>
      </c>
      <c r="D1" s="8" t="s">
        <v>3</v>
      </c>
      <c r="E1" s="9" t="s">
        <v>32</v>
      </c>
      <c r="F1" s="9" t="s">
        <v>33</v>
      </c>
      <c r="G1" s="9" t="s">
        <v>34</v>
      </c>
      <c r="H1" s="9" t="s">
        <v>35</v>
      </c>
      <c r="I1" s="9" t="s">
        <v>36</v>
      </c>
      <c r="J1" s="9" t="s">
        <v>37</v>
      </c>
      <c r="K1" s="9" t="s">
        <v>38</v>
      </c>
      <c r="L1" s="9" t="s">
        <v>39</v>
      </c>
      <c r="M1" s="9" t="s">
        <v>42</v>
      </c>
      <c r="N1" s="9" t="s">
        <v>43</v>
      </c>
      <c r="O1" s="9" t="s">
        <v>44</v>
      </c>
      <c r="P1" s="9" t="s">
        <v>45</v>
      </c>
      <c r="Q1" s="9" t="s">
        <v>46</v>
      </c>
      <c r="R1" s="9" t="s">
        <v>47</v>
      </c>
      <c r="S1" s="9" t="s">
        <v>48</v>
      </c>
      <c r="T1" s="9" t="s">
        <v>51</v>
      </c>
      <c r="U1" s="9" t="s">
        <v>49</v>
      </c>
      <c r="V1" s="10" t="s">
        <v>50</v>
      </c>
      <c r="W1" s="10" t="s">
        <v>54</v>
      </c>
      <c r="X1" s="10" t="s">
        <v>56</v>
      </c>
      <c r="Y1" s="10" t="s">
        <v>8</v>
      </c>
      <c r="Z1" s="9" t="s">
        <v>9</v>
      </c>
    </row>
    <row r="2" spans="1:30" ht="15" customHeight="1" x14ac:dyDescent="0.25">
      <c r="A2" s="3" t="s">
        <v>40</v>
      </c>
      <c r="B2" s="1">
        <v>1</v>
      </c>
      <c r="C2" s="17">
        <v>4</v>
      </c>
      <c r="D2" s="1">
        <v>2021</v>
      </c>
      <c r="E2" s="4">
        <f>IF(('Hampshire Daily'!D5-'Hampshire Daily'!D4&lt;0),"0",('Hampshire Daily'!D5-'Hampshire Daily'!D4))</f>
        <v>2684</v>
      </c>
      <c r="F2" s="4">
        <f>IF(('Hampshire Daily'!F5-'Hampshire Daily'!F4&lt;0),"0",('Hampshire Daily'!F5-'Hampshire Daily'!F4))</f>
        <v>349</v>
      </c>
      <c r="G2" s="4">
        <f>IF(('Hampshire Daily'!H5-'Hampshire Daily'!H4&lt;0),"0",('Hampshire Daily'!H5-'Hampshire Daily'!H4))</f>
        <v>15</v>
      </c>
      <c r="H2" s="4">
        <f>IF(('Hampshire Daily'!I5-'Hampshire Daily'!I4&lt;0),"0",('Hampshire Daily'!I5-'Hampshire Daily'!I4))</f>
        <v>846</v>
      </c>
      <c r="I2" s="4">
        <f>IF(('Hampshire Daily'!J5-'Hampshire Daily'!J4&lt;0),"0",('Hampshire Daily'!J5-'Hampshire Daily'!J4))</f>
        <v>0</v>
      </c>
      <c r="J2" s="4">
        <f>IF(('Hampshire Daily'!K5-'Hampshire Daily'!K4&lt;0),"0",('Hampshire Daily'!K5-'Hampshire Daily'!K4))</f>
        <v>493</v>
      </c>
      <c r="K2" s="4">
        <f>IF(('Hampshire Daily'!L5-'Hampshire Daily'!L4&lt;0),"0",('Hampshire Daily'!L5-'Hampshire Daily'!L4))</f>
        <v>255</v>
      </c>
      <c r="L2" s="4">
        <f>IF(('Hampshire Daily'!M5-'Hampshire Daily'!M4&lt;0),"0",('Hampshire Daily'!M5-'Hampshire Daily'!M4))</f>
        <v>370</v>
      </c>
      <c r="M2" s="4">
        <f>IF(('Hampshire Daily'!N5-'Hampshire Daily'!N4&lt;0),"0",('Hampshire Daily'!N5-'Hampshire Daily'!N4))</f>
        <v>1314</v>
      </c>
      <c r="N2" s="4">
        <f>IF(('Hampshire Daily'!O5-'Hampshire Daily'!O4&lt;0),"0",('Hampshire Daily'!O5-'Hampshire Daily'!O4))</f>
        <v>31</v>
      </c>
      <c r="O2" s="4">
        <f>IF(('Hampshire Daily'!P5-'Hampshire Daily'!P4&lt;0),"0",('Hampshire Daily'!P5-'Hampshire Daily'!P4))</f>
        <v>0</v>
      </c>
      <c r="P2" s="4">
        <f>IF(('Hampshire Daily'!Q5-'Hampshire Daily'!Q4&lt;0),"0",('Hampshire Daily'!Q5-'Hampshire Daily'!Q4))</f>
        <v>0</v>
      </c>
      <c r="Q2" s="4">
        <f>IF(('Hampshire Daily'!R5-'Hampshire Daily'!R4&lt;0),"0",('Hampshire Daily'!R5-'Hampshire Daily'!R4))</f>
        <v>0</v>
      </c>
      <c r="R2" s="4">
        <f>IF(('Hampshire Daily'!U5-'Hampshire Daily'!U4&lt;0),"0",('Hampshire Daily'!U5-'Hampshire Daily'!U4))</f>
        <v>5</v>
      </c>
      <c r="S2" s="4">
        <f>IF(('Hampshire Daily'!V5-'Hampshire Daily'!V4&lt;0),"0",('Hampshire Daily'!V5-'Hampshire Daily'!V4))</f>
        <v>0</v>
      </c>
      <c r="T2" s="4">
        <f>IF(('Hampshire Daily'!W5-'Hampshire Daily'!W4&lt;0),"0",('Hampshire Daily'!W5-'Hampshire Daily'!W4))</f>
        <v>0</v>
      </c>
      <c r="U2" s="4">
        <f>IF(('Hampshire Daily'!X5-'Hampshire Daily'!X4&lt;0),"0",('Hampshire Daily'!X5-'Hampshire Daily'!X4))</f>
        <v>2.0999999999958163E-2</v>
      </c>
      <c r="V2" s="4">
        <f>IF(('Hampshire Daily'!Y5-'Hampshire Daily'!Y4&lt;0),"0",('Hampshire Daily'!Y5-'Hampshire Daily'!Y4))</f>
        <v>0</v>
      </c>
      <c r="W2" s="4">
        <f>IF(('Hampshire Daily'!Z5-'Hampshire Daily'!Z4&lt;0),"0",('Hampshire Daily'!Z5-'Hampshire Daily'!Z4))</f>
        <v>0</v>
      </c>
      <c r="X2" s="4">
        <f>IF(('Hampshire Daily'!AA5-'Hampshire Daily'!AA4&lt;0),"0",('Hampshire Daily'!AA5-'Hampshire Daily'!AA4))</f>
        <v>4</v>
      </c>
      <c r="Y2" s="4">
        <f>'Hampshire Daily'!B5</f>
        <v>10</v>
      </c>
      <c r="Z2" s="4">
        <f>'Hampshire Daily'!C5</f>
        <v>10</v>
      </c>
    </row>
    <row r="3" spans="1:30" x14ac:dyDescent="0.25">
      <c r="A3" s="3" t="s">
        <v>40</v>
      </c>
      <c r="B3" s="1">
        <f>B2+1</f>
        <v>2</v>
      </c>
      <c r="C3" s="17">
        <v>4</v>
      </c>
      <c r="D3" s="1">
        <v>2021</v>
      </c>
      <c r="E3" s="4">
        <f>IF(('Hampshire Daily'!D6-'Hampshire Daily'!D5&lt;0),"0",('Hampshire Daily'!D6-'Hampshire Daily'!D5))</f>
        <v>911</v>
      </c>
      <c r="F3" s="4">
        <f>IF(('Hampshire Daily'!F6-'Hampshire Daily'!F5&lt;0),"0",('Hampshire Daily'!F6-'Hampshire Daily'!F5))</f>
        <v>380</v>
      </c>
      <c r="G3" s="4">
        <f>IF(('Hampshire Daily'!H6-'Hampshire Daily'!H5&lt;0),"0",('Hampshire Daily'!H6-'Hampshire Daily'!H5))</f>
        <v>23</v>
      </c>
      <c r="H3" s="4">
        <f>IF(('Hampshire Daily'!I6-'Hampshire Daily'!I5&lt;0),"0",('Hampshire Daily'!I6-'Hampshire Daily'!I5))</f>
        <v>1200</v>
      </c>
      <c r="I3" s="4">
        <f>IF(('Hampshire Daily'!J6-'Hampshire Daily'!J5&lt;0),"0",('Hampshire Daily'!J6-'Hampshire Daily'!J5))</f>
        <v>0</v>
      </c>
      <c r="J3" s="4">
        <f>IF(('Hampshire Daily'!K6-'Hampshire Daily'!K5&lt;0),"0",('Hampshire Daily'!K6-'Hampshire Daily'!K5))</f>
        <v>802</v>
      </c>
      <c r="K3" s="4">
        <f>IF(('Hampshire Daily'!L6-'Hampshire Daily'!L5&lt;0),"0",('Hampshire Daily'!L6-'Hampshire Daily'!L5))</f>
        <v>381</v>
      </c>
      <c r="L3" s="4">
        <f>IF(('Hampshire Daily'!M6-'Hampshire Daily'!M5&lt;0),"0",('Hampshire Daily'!M6-'Hampshire Daily'!M5))</f>
        <v>0</v>
      </c>
      <c r="M3" s="4">
        <f>IF(('Hampshire Daily'!N6-'Hampshire Daily'!N5&lt;0),"0",('Hampshire Daily'!N6-'Hampshire Daily'!N5))</f>
        <v>1736</v>
      </c>
      <c r="N3" s="4">
        <f>IF(('Hampshire Daily'!O6-'Hampshire Daily'!O5&lt;0),"0",('Hampshire Daily'!O6-'Hampshire Daily'!O5))</f>
        <v>23</v>
      </c>
      <c r="O3" s="4">
        <f>IF(('Hampshire Daily'!P6-'Hampshire Daily'!P5&lt;0),"0",('Hampshire Daily'!P6-'Hampshire Daily'!P5))</f>
        <v>0</v>
      </c>
      <c r="P3" s="4">
        <f>IF(('Hampshire Daily'!Q6-'Hampshire Daily'!Q5&lt;0),"0",('Hampshire Daily'!Q6-'Hampshire Daily'!Q5))</f>
        <v>0</v>
      </c>
      <c r="Q3" s="4">
        <f>IF(('Hampshire Daily'!R6-'Hampshire Daily'!R5&lt;0),"0",('Hampshire Daily'!R6-'Hampshire Daily'!R5))</f>
        <v>0</v>
      </c>
      <c r="R3" s="4">
        <f>IF(('Hampshire Daily'!U6-'Hampshire Daily'!U5&lt;0),"0",('Hampshire Daily'!U6-'Hampshire Daily'!U5))</f>
        <v>4</v>
      </c>
      <c r="S3" s="4">
        <f>IF(('Hampshire Daily'!V6-'Hampshire Daily'!V5&lt;0),"0",('Hampshire Daily'!V6-'Hampshire Daily'!V5))</f>
        <v>0</v>
      </c>
      <c r="T3" s="4">
        <f>IF(('Hampshire Daily'!W6-'Hampshire Daily'!W5&lt;0),"0",('Hampshire Daily'!W6-'Hampshire Daily'!W5))</f>
        <v>0</v>
      </c>
      <c r="U3" s="4">
        <f>IF(('Hampshire Daily'!X6-'Hampshire Daily'!X5&lt;0),"0",('Hampshire Daily'!X6-'Hampshire Daily'!X5))</f>
        <v>2.3000000000024556E-2</v>
      </c>
      <c r="V3" s="4">
        <f>IF(('Hampshire Daily'!Y6-'Hampshire Daily'!Y5&lt;0),"0",('Hampshire Daily'!Y6-'Hampshire Daily'!Y5))</f>
        <v>0</v>
      </c>
      <c r="W3" s="4">
        <f>IF(('Hampshire Daily'!Z6-'Hampshire Daily'!Z5&lt;0),"0",('Hampshire Daily'!Z6-'Hampshire Daily'!Z5))</f>
        <v>0</v>
      </c>
      <c r="X3" s="4">
        <f>IF(('Hampshire Daily'!AA6-'Hampshire Daily'!AA5&lt;0),"0",('Hampshire Daily'!AA6-'Hampshire Daily'!AA5))</f>
        <v>3</v>
      </c>
      <c r="Y3" s="4">
        <f>'Hampshire Daily'!B6</f>
        <v>10</v>
      </c>
      <c r="Z3" s="4">
        <f>'Hampshire Daily'!C6</f>
        <v>10</v>
      </c>
      <c r="AA3" t="s">
        <v>41</v>
      </c>
      <c r="AB3" t="s">
        <v>41</v>
      </c>
      <c r="AC3" t="s">
        <v>41</v>
      </c>
      <c r="AD3" t="s">
        <v>41</v>
      </c>
    </row>
    <row r="4" spans="1:30" x14ac:dyDescent="0.25">
      <c r="A4" s="3" t="s">
        <v>40</v>
      </c>
      <c r="B4" s="1">
        <f t="shared" ref="B4:B32" si="0">B3+1</f>
        <v>3</v>
      </c>
      <c r="C4" s="17">
        <v>4</v>
      </c>
      <c r="D4" s="1">
        <v>2021</v>
      </c>
      <c r="E4" s="4">
        <f>IF(('Hampshire Daily'!D7-'Hampshire Daily'!D6&lt;0),"0",('Hampshire Daily'!D7-'Hampshire Daily'!D6))</f>
        <v>938</v>
      </c>
      <c r="F4" s="4">
        <f>IF(('Hampshire Daily'!F7-'Hampshire Daily'!F6&lt;0),"0",('Hampshire Daily'!F7-'Hampshire Daily'!F6))</f>
        <v>1451</v>
      </c>
      <c r="G4" s="4">
        <f>IF(('Hampshire Daily'!H7-'Hampshire Daily'!H6&lt;0),"0",('Hampshire Daily'!H7-'Hampshire Daily'!H6))</f>
        <v>310</v>
      </c>
      <c r="H4" s="4">
        <f>IF(('Hampshire Daily'!I7-'Hampshire Daily'!I6&lt;0),"0",('Hampshire Daily'!I7-'Hampshire Daily'!I6))</f>
        <v>1200</v>
      </c>
      <c r="I4" s="4">
        <f>IF(('Hampshire Daily'!J7-'Hampshire Daily'!J6&lt;0),"0",('Hampshire Daily'!J7-'Hampshire Daily'!J6))</f>
        <v>0</v>
      </c>
      <c r="J4" s="4">
        <f>IF(('Hampshire Daily'!K7-'Hampshire Daily'!K6&lt;0),"0",('Hampshire Daily'!K7-'Hampshire Daily'!K6))</f>
        <v>802</v>
      </c>
      <c r="K4" s="4">
        <f>IF(('Hampshire Daily'!L7-'Hampshire Daily'!L6&lt;0),"0",('Hampshire Daily'!L7-'Hampshire Daily'!L6))</f>
        <v>381</v>
      </c>
      <c r="L4" s="4">
        <f>IF(('Hampshire Daily'!M7-'Hampshire Daily'!M6&lt;0),"0",('Hampshire Daily'!M7-'Hampshire Daily'!M6))</f>
        <v>0</v>
      </c>
      <c r="M4" s="4">
        <f>IF(('Hampshire Daily'!N7-'Hampshire Daily'!N6&lt;0),"0",('Hampshire Daily'!N7-'Hampshire Daily'!N6))</f>
        <v>1698</v>
      </c>
      <c r="N4" s="4">
        <f>IF(('Hampshire Daily'!O7-'Hampshire Daily'!O6&lt;0),"0",('Hampshire Daily'!O7-'Hampshire Daily'!O6))</f>
        <v>23</v>
      </c>
      <c r="O4" s="4">
        <f>IF(('Hampshire Daily'!P7-'Hampshire Daily'!P6&lt;0),"0",('Hampshire Daily'!P7-'Hampshire Daily'!P6))</f>
        <v>0</v>
      </c>
      <c r="P4" s="4">
        <f>IF(('Hampshire Daily'!Q7-'Hampshire Daily'!Q6&lt;0),"0",('Hampshire Daily'!Q7-'Hampshire Daily'!Q6))</f>
        <v>0</v>
      </c>
      <c r="Q4" s="4">
        <f>IF(('Hampshire Daily'!R7-'Hampshire Daily'!R6&lt;0),"0",('Hampshire Daily'!R7-'Hampshire Daily'!R6))</f>
        <v>0</v>
      </c>
      <c r="R4" s="4">
        <f>IF(('Hampshire Daily'!U7-'Hampshire Daily'!U6&lt;0),"0",('Hampshire Daily'!U7-'Hampshire Daily'!U6))</f>
        <v>2</v>
      </c>
      <c r="S4" s="4">
        <f>IF(('Hampshire Daily'!V7-'Hampshire Daily'!V6&lt;0),"0",('Hampshire Daily'!V7-'Hampshire Daily'!V6))</f>
        <v>0</v>
      </c>
      <c r="T4" s="4">
        <f>IF(('Hampshire Daily'!W7-'Hampshire Daily'!W6&lt;0),"0",('Hampshire Daily'!W7-'Hampshire Daily'!W6))</f>
        <v>0</v>
      </c>
      <c r="U4" s="4">
        <f>IF(('Hampshire Daily'!X7-'Hampshire Daily'!X6&lt;0),"0",('Hampshire Daily'!X7-'Hampshire Daily'!X6))</f>
        <v>3.1059999999999945</v>
      </c>
      <c r="V4" s="4">
        <f>IF(('Hampshire Daily'!Y7-'Hampshire Daily'!Y6&lt;0),"0",('Hampshire Daily'!Y7-'Hampshire Daily'!Y6))</f>
        <v>0</v>
      </c>
      <c r="W4" s="4">
        <f>IF(('Hampshire Daily'!Z7-'Hampshire Daily'!Z6&lt;0),"0",('Hampshire Daily'!Z7-'Hampshire Daily'!Z6))</f>
        <v>0</v>
      </c>
      <c r="X4" s="4">
        <f>IF(('Hampshire Daily'!AA7-'Hampshire Daily'!AA6&lt;0),"0",('Hampshire Daily'!AA7-'Hampshire Daily'!AA6))</f>
        <v>4</v>
      </c>
      <c r="Y4" s="4">
        <f>'Hampshire Daily'!B7</f>
        <v>10</v>
      </c>
      <c r="Z4" s="4">
        <f>'Hampshire Daily'!C7</f>
        <v>10</v>
      </c>
      <c r="AA4" t="s">
        <v>41</v>
      </c>
    </row>
    <row r="5" spans="1:30" x14ac:dyDescent="0.25">
      <c r="A5" s="3" t="s">
        <v>40</v>
      </c>
      <c r="B5" s="1">
        <f t="shared" si="0"/>
        <v>4</v>
      </c>
      <c r="C5" s="17">
        <v>4</v>
      </c>
      <c r="D5" s="1">
        <v>2021</v>
      </c>
      <c r="E5" s="4">
        <f>IF(('Hampshire Daily'!D8-'Hampshire Daily'!D7&lt;0),"0",('Hampshire Daily'!D8-'Hampshire Daily'!D7))</f>
        <v>1189</v>
      </c>
      <c r="F5" s="4">
        <f>IF(('Hampshire Daily'!F8-'Hampshire Daily'!F7&lt;0),"0",('Hampshire Daily'!F8-'Hampshire Daily'!F7))</f>
        <v>922</v>
      </c>
      <c r="G5" s="4">
        <f>IF(('Hampshire Daily'!H8-'Hampshire Daily'!H7&lt;0),"0",('Hampshire Daily'!H8-'Hampshire Daily'!H7))</f>
        <v>132</v>
      </c>
      <c r="H5" s="4">
        <f>IF(('Hampshire Daily'!I8-'Hampshire Daily'!I7&lt;0),"0",('Hampshire Daily'!I8-'Hampshire Daily'!I7))</f>
        <v>1200</v>
      </c>
      <c r="I5" s="4">
        <f>IF(('Hampshire Daily'!J8-'Hampshire Daily'!J7&lt;0),"0",('Hampshire Daily'!J8-'Hampshire Daily'!J7))</f>
        <v>0</v>
      </c>
      <c r="J5" s="4">
        <f>IF(('Hampshire Daily'!K8-'Hampshire Daily'!K7&lt;0),"0",('Hampshire Daily'!K8-'Hampshire Daily'!K7))</f>
        <v>802</v>
      </c>
      <c r="K5" s="4">
        <f>IF(('Hampshire Daily'!L8-'Hampshire Daily'!L7&lt;0),"0",('Hampshire Daily'!L8-'Hampshire Daily'!L7))</f>
        <v>381</v>
      </c>
      <c r="L5" s="4">
        <f>IF(('Hampshire Daily'!M8-'Hampshire Daily'!M7&lt;0),"0",('Hampshire Daily'!M8-'Hampshire Daily'!M7))</f>
        <v>93</v>
      </c>
      <c r="M5" s="4">
        <f>IF(('Hampshire Daily'!N8-'Hampshire Daily'!N7&lt;0),"0",('Hampshire Daily'!N8-'Hampshire Daily'!N7))</f>
        <v>1920</v>
      </c>
      <c r="N5" s="4">
        <f>IF(('Hampshire Daily'!O8-'Hampshire Daily'!O7&lt;0),"0",('Hampshire Daily'!O8-'Hampshire Daily'!O7))</f>
        <v>22</v>
      </c>
      <c r="O5" s="4">
        <f>IF(('Hampshire Daily'!P8-'Hampshire Daily'!P7&lt;0),"0",('Hampshire Daily'!P8-'Hampshire Daily'!P7))</f>
        <v>0</v>
      </c>
      <c r="P5" s="4">
        <f>IF(('Hampshire Daily'!Q8-'Hampshire Daily'!Q7&lt;0),"0",('Hampshire Daily'!Q8-'Hampshire Daily'!Q7))</f>
        <v>0</v>
      </c>
      <c r="Q5" s="4">
        <f>IF(('Hampshire Daily'!R8-'Hampshire Daily'!R7&lt;0),"0",('Hampshire Daily'!R8-'Hampshire Daily'!R7))</f>
        <v>0</v>
      </c>
      <c r="R5" s="4">
        <f>IF(('Hampshire Daily'!U8-'Hampshire Daily'!U7&lt;0),"0",('Hampshire Daily'!U8-'Hampshire Daily'!U7))</f>
        <v>2</v>
      </c>
      <c r="S5" s="4">
        <f>IF(('Hampshire Daily'!V8-'Hampshire Daily'!V7&lt;0),"0",('Hampshire Daily'!V8-'Hampshire Daily'!V7))</f>
        <v>1</v>
      </c>
      <c r="T5" s="4">
        <f>IF(('Hampshire Daily'!W8-'Hampshire Daily'!W7&lt;0),"0",('Hampshire Daily'!W8-'Hampshire Daily'!W7))</f>
        <v>0</v>
      </c>
      <c r="U5" s="4" t="str">
        <f>IF(('Hampshire Daily'!X8-'Hampshire Daily'!X7&lt;0),"0",('Hampshire Daily'!X8-'Hampshire Daily'!X7))</f>
        <v>0</v>
      </c>
      <c r="V5" s="4">
        <f>IF(('Hampshire Daily'!Y8-'Hampshire Daily'!Y7&lt;0),"0",('Hampshire Daily'!Y8-'Hampshire Daily'!Y7))</f>
        <v>0</v>
      </c>
      <c r="W5" s="4">
        <f>IF(('Hampshire Daily'!Z8-'Hampshire Daily'!Z7&lt;0),"0",('Hampshire Daily'!Z8-'Hampshire Daily'!Z7))</f>
        <v>0</v>
      </c>
      <c r="X5" s="4">
        <f>IF(('Hampshire Daily'!AA8-'Hampshire Daily'!AA7&lt;0),"0",('Hampshire Daily'!AA8-'Hampshire Daily'!AA7))</f>
        <v>4</v>
      </c>
      <c r="Y5" s="4">
        <f>'Hampshire Daily'!B8</f>
        <v>10</v>
      </c>
      <c r="Z5" s="4">
        <f>'Hampshire Daily'!C8</f>
        <v>10</v>
      </c>
    </row>
    <row r="6" spans="1:30" x14ac:dyDescent="0.25">
      <c r="A6" s="3" t="s">
        <v>40</v>
      </c>
      <c r="B6" s="1">
        <f t="shared" si="0"/>
        <v>5</v>
      </c>
      <c r="C6" s="17">
        <v>4</v>
      </c>
      <c r="D6" s="1">
        <v>2021</v>
      </c>
      <c r="E6" s="4">
        <f>IF(('Hampshire Daily'!D9-'Hampshire Daily'!D8&lt;0),"0",('Hampshire Daily'!D9-'Hampshire Daily'!D8))</f>
        <v>1036</v>
      </c>
      <c r="F6" s="4">
        <f>IF(('Hampshire Daily'!F9-'Hampshire Daily'!F8&lt;0),"0",('Hampshire Daily'!F9-'Hampshire Daily'!F8))</f>
        <v>366</v>
      </c>
      <c r="G6" s="4">
        <f>IF(('Hampshire Daily'!H9-'Hampshire Daily'!H8&lt;0),"0",('Hampshire Daily'!H9-'Hampshire Daily'!H8))</f>
        <v>25</v>
      </c>
      <c r="H6" s="4">
        <f>IF(('Hampshire Daily'!I9-'Hampshire Daily'!I8&lt;0),"0",('Hampshire Daily'!I9-'Hampshire Daily'!I8))</f>
        <v>1200</v>
      </c>
      <c r="I6" s="4">
        <f>IF(('Hampshire Daily'!J9-'Hampshire Daily'!J8&lt;0),"0",('Hampshire Daily'!J9-'Hampshire Daily'!J8))</f>
        <v>0</v>
      </c>
      <c r="J6" s="4">
        <f>IF(('Hampshire Daily'!K9-'Hampshire Daily'!K8&lt;0),"0",('Hampshire Daily'!K9-'Hampshire Daily'!K8))</f>
        <v>802</v>
      </c>
      <c r="K6" s="4">
        <f>IF(('Hampshire Daily'!L9-'Hampshire Daily'!L8&lt;0),"0",('Hampshire Daily'!L9-'Hampshire Daily'!L8))</f>
        <v>381</v>
      </c>
      <c r="L6" s="4">
        <f>IF(('Hampshire Daily'!M9-'Hampshire Daily'!M8&lt;0),"0",('Hampshire Daily'!M9-'Hampshire Daily'!M8))</f>
        <v>31</v>
      </c>
      <c r="M6" s="4">
        <f>IF(('Hampshire Daily'!N9-'Hampshire Daily'!N8&lt;0),"0",('Hampshire Daily'!N9-'Hampshire Daily'!N8))</f>
        <v>1754</v>
      </c>
      <c r="N6" s="4">
        <f>IF(('Hampshire Daily'!O9-'Hampshire Daily'!O8&lt;0),"0",('Hampshire Daily'!O9-'Hampshire Daily'!O8))</f>
        <v>26</v>
      </c>
      <c r="O6" s="4">
        <f>IF(('Hampshire Daily'!P9-'Hampshire Daily'!P8&lt;0),"0",('Hampshire Daily'!P9-'Hampshire Daily'!P8))</f>
        <v>0</v>
      </c>
      <c r="P6" s="4">
        <f>IF(('Hampshire Daily'!Q9-'Hampshire Daily'!Q8&lt;0),"0",('Hampshire Daily'!Q9-'Hampshire Daily'!Q8))</f>
        <v>0</v>
      </c>
      <c r="Q6" s="4">
        <f>IF(('Hampshire Daily'!R9-'Hampshire Daily'!R8&lt;0),"0",('Hampshire Daily'!R9-'Hampshire Daily'!R8))</f>
        <v>0</v>
      </c>
      <c r="R6" s="4">
        <f>IF(('Hampshire Daily'!U9-'Hampshire Daily'!U8&lt;0),"0",('Hampshire Daily'!U9-'Hampshire Daily'!U8))</f>
        <v>1</v>
      </c>
      <c r="S6" s="4">
        <f>IF(('Hampshire Daily'!V9-'Hampshire Daily'!V8&lt;0),"0",('Hampshire Daily'!V9-'Hampshire Daily'!V8))</f>
        <v>9</v>
      </c>
      <c r="T6" s="4">
        <f>IF(('Hampshire Daily'!W9-'Hampshire Daily'!W8&lt;0),"0",('Hampshire Daily'!W9-'Hampshire Daily'!W8))</f>
        <v>0</v>
      </c>
      <c r="U6" s="4">
        <f>IF(('Hampshire Daily'!X9-'Hampshire Daily'!X8&lt;0),"0",('Hampshire Daily'!X9-'Hampshire Daily'!X8))</f>
        <v>5.7000000000016371E-2</v>
      </c>
      <c r="V6" s="4">
        <f>IF(('Hampshire Daily'!Y9-'Hampshire Daily'!Y8&lt;0),"0",('Hampshire Daily'!Y9-'Hampshire Daily'!Y8))</f>
        <v>0</v>
      </c>
      <c r="W6" s="4">
        <f>IF(('Hampshire Daily'!Z9-'Hampshire Daily'!Z8&lt;0),"0",('Hampshire Daily'!Z9-'Hampshire Daily'!Z8))</f>
        <v>0</v>
      </c>
      <c r="X6" s="4">
        <f>IF(('Hampshire Daily'!AA9-'Hampshire Daily'!AA8&lt;0),"0",('Hampshire Daily'!AA9-'Hampshire Daily'!AA8))</f>
        <v>3</v>
      </c>
      <c r="Y6" s="4">
        <f>'Hampshire Daily'!B9</f>
        <v>10</v>
      </c>
      <c r="Z6" s="4">
        <f>'Hampshire Daily'!C9</f>
        <v>10</v>
      </c>
    </row>
    <row r="7" spans="1:30" x14ac:dyDescent="0.25">
      <c r="A7" s="3" t="s">
        <v>40</v>
      </c>
      <c r="B7" s="1">
        <f t="shared" si="0"/>
        <v>6</v>
      </c>
      <c r="C7" s="17">
        <v>4</v>
      </c>
      <c r="D7" s="1">
        <v>2021</v>
      </c>
      <c r="E7" s="4">
        <f>IF(('Hampshire Daily'!D10-'Hampshire Daily'!D9&lt;0),"0",('Hampshire Daily'!D10-'Hampshire Daily'!D9))</f>
        <v>2719</v>
      </c>
      <c r="F7" s="4">
        <f>IF(('Hampshire Daily'!F10-'Hampshire Daily'!F9&lt;0),"0",('Hampshire Daily'!F10-'Hampshire Daily'!F9))</f>
        <v>506</v>
      </c>
      <c r="G7" s="4">
        <f>IF(('Hampshire Daily'!H10-'Hampshire Daily'!H9&lt;0),"0",('Hampshire Daily'!H10-'Hampshire Daily'!H9))</f>
        <v>37</v>
      </c>
      <c r="H7" s="4">
        <f>IF(('Hampshire Daily'!I10-'Hampshire Daily'!I9&lt;0),"0",('Hampshire Daily'!I10-'Hampshire Daily'!I9))</f>
        <v>1200</v>
      </c>
      <c r="I7" s="4">
        <f>IF(('Hampshire Daily'!J10-'Hampshire Daily'!J9&lt;0),"0",('Hampshire Daily'!J10-'Hampshire Daily'!J9))</f>
        <v>0</v>
      </c>
      <c r="J7" s="4">
        <f>IF(('Hampshire Daily'!K10-'Hampshire Daily'!K9&lt;0),"0",('Hampshire Daily'!K10-'Hampshire Daily'!K9))</f>
        <v>802</v>
      </c>
      <c r="K7" s="4" t="str">
        <f>IF(('Hampshire Daily'!L10-'Hampshire Daily'!L9&lt;0),"0",('Hampshire Daily'!L10-'Hampshire Daily'!L9))</f>
        <v>0</v>
      </c>
      <c r="L7" s="4">
        <f>IF(('Hampshire Daily'!M10-'Hampshire Daily'!M9&lt;0),"0",('Hampshire Daily'!M10-'Hampshire Daily'!M9))</f>
        <v>395</v>
      </c>
      <c r="M7" s="4">
        <f>IF(('Hampshire Daily'!N10-'Hampshire Daily'!N9&lt;0),"0",('Hampshire Daily'!N10-'Hampshire Daily'!N9))</f>
        <v>1884</v>
      </c>
      <c r="N7" s="4">
        <f>IF(('Hampshire Daily'!O10-'Hampshire Daily'!O9&lt;0),"0",('Hampshire Daily'!O10-'Hampshire Daily'!O9))</f>
        <v>100</v>
      </c>
      <c r="O7" s="4">
        <f>IF(('Hampshire Daily'!P10-'Hampshire Daily'!P9&lt;0),"0",('Hampshire Daily'!P10-'Hampshire Daily'!P9))</f>
        <v>0</v>
      </c>
      <c r="P7" s="4">
        <f>IF(('Hampshire Daily'!Q10-'Hampshire Daily'!Q9&lt;0),"0",('Hampshire Daily'!Q10-'Hampshire Daily'!Q9))</f>
        <v>0</v>
      </c>
      <c r="Q7" s="4">
        <f>IF(('Hampshire Daily'!R10-'Hampshire Daily'!R9&lt;0),"0",('Hampshire Daily'!R10-'Hampshire Daily'!R9))</f>
        <v>0</v>
      </c>
      <c r="R7" s="4">
        <f>IF(('Hampshire Daily'!U10-'Hampshire Daily'!U9&lt;0),"0",('Hampshire Daily'!U10-'Hampshire Daily'!U9))</f>
        <v>4</v>
      </c>
      <c r="S7" s="4">
        <f>IF(('Hampshire Daily'!V10-'Hampshire Daily'!V9&lt;0),"0",('Hampshire Daily'!V10-'Hampshire Daily'!V9))</f>
        <v>0</v>
      </c>
      <c r="T7" s="4">
        <f>IF(('Hampshire Daily'!W10-'Hampshire Daily'!W9&lt;0),"0",('Hampshire Daily'!W10-'Hampshire Daily'!W9))</f>
        <v>9.9999999997635314E-4</v>
      </c>
      <c r="U7" s="4">
        <f>IF(('Hampshire Daily'!X10-'Hampshire Daily'!X9&lt;0),"0",('Hampshire Daily'!X10-'Hampshire Daily'!X9))</f>
        <v>0.14900000000000091</v>
      </c>
      <c r="V7" s="4">
        <f>IF(('Hampshire Daily'!Y10-'Hampshire Daily'!Y9&lt;0),"0",('Hampshire Daily'!Y10-'Hampshire Daily'!Y9))</f>
        <v>1.8000000000029104E-2</v>
      </c>
      <c r="W7" s="4">
        <f>IF(('Hampshire Daily'!Z10-'Hampshire Daily'!Z9&lt;0),"0",('Hampshire Daily'!Z10-'Hampshire Daily'!Z9))</f>
        <v>0</v>
      </c>
      <c r="X7" s="4">
        <f>IF(('Hampshire Daily'!AA10-'Hampshire Daily'!AA9&lt;0),"0",('Hampshire Daily'!AA10-'Hampshire Daily'!AA9))</f>
        <v>5</v>
      </c>
      <c r="Y7" s="4">
        <f>'Hampshire Daily'!B10</f>
        <v>10</v>
      </c>
      <c r="Z7" s="4">
        <f>'Hampshire Daily'!C10</f>
        <v>10</v>
      </c>
    </row>
    <row r="8" spans="1:30" x14ac:dyDescent="0.25">
      <c r="A8" s="3" t="s">
        <v>40</v>
      </c>
      <c r="B8" s="1">
        <f t="shared" si="0"/>
        <v>7</v>
      </c>
      <c r="C8" s="17">
        <v>4</v>
      </c>
      <c r="D8" s="1">
        <v>2021</v>
      </c>
      <c r="E8" s="4">
        <f>IF(('Hampshire Daily'!D11-'Hampshire Daily'!D10&lt;0),"0",('Hampshire Daily'!D11-'Hampshire Daily'!D10))</f>
        <v>741</v>
      </c>
      <c r="F8" s="4">
        <f>IF(('Hampshire Daily'!F11-'Hampshire Daily'!F10&lt;0),"0",('Hampshire Daily'!F11-'Hampshire Daily'!F10))</f>
        <v>923</v>
      </c>
      <c r="G8" s="4">
        <f>IF(('Hampshire Daily'!H11-'Hampshire Daily'!H10&lt;0),"0",('Hampshire Daily'!H11-'Hampshire Daily'!H10))</f>
        <v>18</v>
      </c>
      <c r="H8" s="4">
        <f>IF(('Hampshire Daily'!I11-'Hampshire Daily'!I10&lt;0),"0",('Hampshire Daily'!I11-'Hampshire Daily'!I10))</f>
        <v>1200</v>
      </c>
      <c r="I8" s="4">
        <f>IF(('Hampshire Daily'!J11-'Hampshire Daily'!J10&lt;0),"0",('Hampshire Daily'!J11-'Hampshire Daily'!J10))</f>
        <v>0</v>
      </c>
      <c r="J8" s="4">
        <f>IF(('Hampshire Daily'!K11-'Hampshire Daily'!K10&lt;0),"0",('Hampshire Daily'!K11-'Hampshire Daily'!K10))</f>
        <v>802</v>
      </c>
      <c r="K8" s="4">
        <f>IF(('Hampshire Daily'!L11-'Hampshire Daily'!L10&lt;0),"0",('Hampshire Daily'!L11-'Hampshire Daily'!L10))</f>
        <v>181</v>
      </c>
      <c r="L8" s="4">
        <f>IF(('Hampshire Daily'!M11-'Hampshire Daily'!M10&lt;0),"0",('Hampshire Daily'!M11-'Hampshire Daily'!M10))</f>
        <v>0</v>
      </c>
      <c r="M8" s="4">
        <f>IF(('Hampshire Daily'!N11-'Hampshire Daily'!N10&lt;0),"0",('Hampshire Daily'!N11-'Hampshire Daily'!N10))</f>
        <v>1959</v>
      </c>
      <c r="N8" s="4">
        <f>IF(('Hampshire Daily'!O11-'Hampshire Daily'!O10&lt;0),"0",('Hampshire Daily'!O11-'Hampshire Daily'!O10))</f>
        <v>17</v>
      </c>
      <c r="O8" s="4">
        <f>IF(('Hampshire Daily'!P11-'Hampshire Daily'!P10&lt;0),"0",('Hampshire Daily'!P11-'Hampshire Daily'!P10))</f>
        <v>0</v>
      </c>
      <c r="P8" s="4">
        <f>IF(('Hampshire Daily'!Q11-'Hampshire Daily'!Q10&lt;0),"0",('Hampshire Daily'!Q11-'Hampshire Daily'!Q10))</f>
        <v>0</v>
      </c>
      <c r="Q8" s="4">
        <f>IF(('Hampshire Daily'!R11-'Hampshire Daily'!R10&lt;0),"0",('Hampshire Daily'!R11-'Hampshire Daily'!R10))</f>
        <v>0</v>
      </c>
      <c r="R8" s="4">
        <f>IF(('Hampshire Daily'!U11-'Hampshire Daily'!U10&lt;0),"0",('Hampshire Daily'!U11-'Hampshire Daily'!U10))</f>
        <v>1</v>
      </c>
      <c r="S8" s="4">
        <f>IF(('Hampshire Daily'!V11-'Hampshire Daily'!V10&lt;0),"0",('Hampshire Daily'!V11-'Hampshire Daily'!V10))</f>
        <v>1</v>
      </c>
      <c r="T8" s="4">
        <f>IF(('Hampshire Daily'!W11-'Hampshire Daily'!W10&lt;0),"0",('Hampshire Daily'!W11-'Hampshire Daily'!W10))</f>
        <v>0</v>
      </c>
      <c r="U8" s="4">
        <f>IF(('Hampshire Daily'!X11-'Hampshire Daily'!X10&lt;0),"0",('Hampshire Daily'!X11-'Hampshire Daily'!X10))</f>
        <v>0.15300000000002001</v>
      </c>
      <c r="V8" s="4">
        <f>IF(('Hampshire Daily'!Y11-'Hampshire Daily'!Y10&lt;0),"0",('Hampshire Daily'!Y11-'Hampshire Daily'!Y10))</f>
        <v>0</v>
      </c>
      <c r="W8" s="4">
        <f>IF(('Hampshire Daily'!Z11-'Hampshire Daily'!Z10&lt;0),"0",('Hampshire Daily'!Z11-'Hampshire Daily'!Z10))</f>
        <v>0</v>
      </c>
      <c r="X8" s="4">
        <f>IF(('Hampshire Daily'!AA11-'Hampshire Daily'!AA10&lt;0),"0",('Hampshire Daily'!AA11-'Hampshire Daily'!AA10))</f>
        <v>3</v>
      </c>
      <c r="Y8" s="4">
        <f>'Hampshire Daily'!B11</f>
        <v>10</v>
      </c>
      <c r="Z8" s="4">
        <f>'Hampshire Daily'!C11</f>
        <v>10</v>
      </c>
    </row>
    <row r="9" spans="1:30" x14ac:dyDescent="0.25">
      <c r="A9" s="3" t="s">
        <v>40</v>
      </c>
      <c r="B9" s="1">
        <f t="shared" si="0"/>
        <v>8</v>
      </c>
      <c r="C9" s="17">
        <v>4</v>
      </c>
      <c r="D9" s="1">
        <v>2021</v>
      </c>
      <c r="E9" s="4">
        <f>IF(('Hampshire Daily'!D12-'Hampshire Daily'!D11&lt;0),"0",('Hampshire Daily'!D12-'Hampshire Daily'!D11))</f>
        <v>915</v>
      </c>
      <c r="F9" s="4">
        <f>IF(('Hampshire Daily'!F12-'Hampshire Daily'!F11&lt;0),"0",('Hampshire Daily'!F12-'Hampshire Daily'!F11))</f>
        <v>29</v>
      </c>
      <c r="G9" s="4">
        <f>IF(('Hampshire Daily'!H12-'Hampshire Daily'!H11&lt;0),"0",('Hampshire Daily'!H12-'Hampshire Daily'!H11))</f>
        <v>76</v>
      </c>
      <c r="H9" s="4">
        <f>IF(('Hampshire Daily'!I12-'Hampshire Daily'!I11&lt;0),"0",('Hampshire Daily'!I12-'Hampshire Daily'!I11))</f>
        <v>1200</v>
      </c>
      <c r="I9" s="4">
        <f>IF(('Hampshire Daily'!J12-'Hampshire Daily'!J11&lt;0),"0",('Hampshire Daily'!J12-'Hampshire Daily'!J11))</f>
        <v>0</v>
      </c>
      <c r="J9" s="4">
        <f>IF(('Hampshire Daily'!K12-'Hampshire Daily'!K11&lt;0),"0",('Hampshire Daily'!K12-'Hampshire Daily'!K11))</f>
        <v>802</v>
      </c>
      <c r="K9" s="4">
        <f>IF(('Hampshire Daily'!L12-'Hampshire Daily'!L11&lt;0),"0",('Hampshire Daily'!L12-'Hampshire Daily'!L11))</f>
        <v>273</v>
      </c>
      <c r="L9" s="4">
        <f>IF(('Hampshire Daily'!M12-'Hampshire Daily'!M11&lt;0),"0",('Hampshire Daily'!M12-'Hampshire Daily'!M11))</f>
        <v>0</v>
      </c>
      <c r="M9" s="4">
        <f>IF(('Hampshire Daily'!N12-'Hampshire Daily'!N11&lt;0),"0",('Hampshire Daily'!N12-'Hampshire Daily'!N11))</f>
        <v>2266</v>
      </c>
      <c r="N9" s="4">
        <f>IF(('Hampshire Daily'!O12-'Hampshire Daily'!O11&lt;0),"0",('Hampshire Daily'!O12-'Hampshire Daily'!O11))</f>
        <v>31</v>
      </c>
      <c r="O9" s="4">
        <f>IF(('Hampshire Daily'!P12-'Hampshire Daily'!P11&lt;0),"0",('Hampshire Daily'!P12-'Hampshire Daily'!P11))</f>
        <v>0</v>
      </c>
      <c r="P9" s="4">
        <f>IF(('Hampshire Daily'!Q12-'Hampshire Daily'!Q11&lt;0),"0",('Hampshire Daily'!Q12-'Hampshire Daily'!Q11))</f>
        <v>0</v>
      </c>
      <c r="Q9" s="4">
        <f>IF(('Hampshire Daily'!R12-'Hampshire Daily'!R11&lt;0),"0",('Hampshire Daily'!R12-'Hampshire Daily'!R11))</f>
        <v>0</v>
      </c>
      <c r="R9" s="4">
        <f>IF(('Hampshire Daily'!U12-'Hampshire Daily'!U11&lt;0),"0",('Hampshire Daily'!U12-'Hampshire Daily'!U11))</f>
        <v>3</v>
      </c>
      <c r="S9" s="4">
        <f>IF(('Hampshire Daily'!V12-'Hampshire Daily'!V11&lt;0),"0",('Hampshire Daily'!V12-'Hampshire Daily'!V11))</f>
        <v>0</v>
      </c>
      <c r="T9" s="4">
        <f>IF(('Hampshire Daily'!W12-'Hampshire Daily'!W11&lt;0),"0",('Hampshire Daily'!W12-'Hampshire Daily'!W11))</f>
        <v>0</v>
      </c>
      <c r="U9" s="4">
        <f>IF(('Hampshire Daily'!X12-'Hampshire Daily'!X11&lt;0),"0",('Hampshire Daily'!X12-'Hampshire Daily'!X11))</f>
        <v>0.16999999999995907</v>
      </c>
      <c r="V9" s="4">
        <f>IF(('Hampshire Daily'!Y12-'Hampshire Daily'!Y11&lt;0),"0",('Hampshire Daily'!Y12-'Hampshire Daily'!Y11))</f>
        <v>0</v>
      </c>
      <c r="W9" s="4">
        <f>IF(('Hampshire Daily'!Z12-'Hampshire Daily'!Z11&lt;0),"0",('Hampshire Daily'!Z12-'Hampshire Daily'!Z11))</f>
        <v>0</v>
      </c>
      <c r="X9" s="4">
        <f>IF(('Hampshire Daily'!AA12-'Hampshire Daily'!AA11&lt;0),"0",('Hampshire Daily'!AA12-'Hampshire Daily'!AA11))</f>
        <v>4</v>
      </c>
      <c r="Y9" s="4">
        <f>'Hampshire Daily'!B12</f>
        <v>10</v>
      </c>
      <c r="Z9" s="4">
        <f>'Hampshire Daily'!C12</f>
        <v>10</v>
      </c>
    </row>
    <row r="10" spans="1:30" x14ac:dyDescent="0.25">
      <c r="A10" s="3" t="s">
        <v>40</v>
      </c>
      <c r="B10" s="1">
        <f t="shared" si="0"/>
        <v>9</v>
      </c>
      <c r="C10" s="17">
        <v>4</v>
      </c>
      <c r="D10" s="1">
        <v>2021</v>
      </c>
      <c r="E10" s="4">
        <f>IF(('Hampshire Daily'!D13-'Hampshire Daily'!D12&lt;0),"0",('Hampshire Daily'!D13-'Hampshire Daily'!D12))</f>
        <v>926</v>
      </c>
      <c r="F10" s="4">
        <f>IF(('Hampshire Daily'!F13-'Hampshire Daily'!F12&lt;0),"0",('Hampshire Daily'!F13-'Hampshire Daily'!F12))</f>
        <v>449</v>
      </c>
      <c r="G10" s="4">
        <f>IF(('Hampshire Daily'!H13-'Hampshire Daily'!H12&lt;0),"0",('Hampshire Daily'!H13-'Hampshire Daily'!H12))</f>
        <v>34</v>
      </c>
      <c r="H10" s="4">
        <f>IF(('Hampshire Daily'!I13-'Hampshire Daily'!I12&lt;0),"0",('Hampshire Daily'!I13-'Hampshire Daily'!I12))</f>
        <v>1200</v>
      </c>
      <c r="I10" s="4">
        <f>IF(('Hampshire Daily'!J13-'Hampshire Daily'!J12&lt;0),"0",('Hampshire Daily'!J13-'Hampshire Daily'!J12))</f>
        <v>0</v>
      </c>
      <c r="J10" s="4">
        <f>IF(('Hampshire Daily'!K13-'Hampshire Daily'!K12&lt;0),"0",('Hampshire Daily'!K13-'Hampshire Daily'!K12))</f>
        <v>802</v>
      </c>
      <c r="K10" s="4">
        <f>IF(('Hampshire Daily'!L13-'Hampshire Daily'!L12&lt;0),"0",('Hampshire Daily'!L13-'Hampshire Daily'!L12))</f>
        <v>203</v>
      </c>
      <c r="L10" s="4">
        <f>IF(('Hampshire Daily'!M13-'Hampshire Daily'!M12&lt;0),"0",('Hampshire Daily'!M13-'Hampshire Daily'!M12))</f>
        <v>0</v>
      </c>
      <c r="M10" s="4">
        <f>IF(('Hampshire Daily'!N13-'Hampshire Daily'!N12&lt;0),"0",('Hampshire Daily'!N13-'Hampshire Daily'!N12))</f>
        <v>2066</v>
      </c>
      <c r="N10" s="4">
        <f>IF(('Hampshire Daily'!O13-'Hampshire Daily'!O12&lt;0),"0",('Hampshire Daily'!O13-'Hampshire Daily'!O12))</f>
        <v>39</v>
      </c>
      <c r="O10" s="4">
        <f>IF(('Hampshire Daily'!P13-'Hampshire Daily'!P12&lt;0),"0",('Hampshire Daily'!P13-'Hampshire Daily'!P12))</f>
        <v>0</v>
      </c>
      <c r="P10" s="4">
        <f>IF(('Hampshire Daily'!Q13-'Hampshire Daily'!Q12&lt;0),"0",('Hampshire Daily'!Q13-'Hampshire Daily'!Q12))</f>
        <v>0</v>
      </c>
      <c r="Q10" s="4">
        <f>IF(('Hampshire Daily'!R13-'Hampshire Daily'!R12&lt;0),"0",('Hampshire Daily'!R13-'Hampshire Daily'!R12))</f>
        <v>0</v>
      </c>
      <c r="R10" s="4">
        <f>IF(('Hampshire Daily'!U13-'Hampshire Daily'!U12&lt;0),"0",('Hampshire Daily'!U13-'Hampshire Daily'!U12))</f>
        <v>7</v>
      </c>
      <c r="S10" s="4">
        <f>IF(('Hampshire Daily'!V13-'Hampshire Daily'!V12&lt;0),"0",('Hampshire Daily'!V13-'Hampshire Daily'!V12))</f>
        <v>0</v>
      </c>
      <c r="T10" s="4">
        <f>IF(('Hampshire Daily'!W13-'Hampshire Daily'!W12&lt;0),"0",('Hampshire Daily'!W13-'Hampshire Daily'!W12))</f>
        <v>0</v>
      </c>
      <c r="U10" s="4">
        <f>IF(('Hampshire Daily'!X13-'Hampshire Daily'!X12&lt;0),"0",('Hampshire Daily'!X13-'Hampshire Daily'!X12))</f>
        <v>2.6000000000067303E-2</v>
      </c>
      <c r="V10" s="4">
        <f>IF(('Hampshire Daily'!Y13-'Hampshire Daily'!Y12&lt;0),"0",('Hampshire Daily'!Y13-'Hampshire Daily'!Y12))</f>
        <v>0</v>
      </c>
      <c r="W10" s="4">
        <f>IF(('Hampshire Daily'!Z13-'Hampshire Daily'!Z12&lt;0),"0",('Hampshire Daily'!Z13-'Hampshire Daily'!Z12))</f>
        <v>0</v>
      </c>
      <c r="X10" s="4">
        <f>IF(('Hampshire Daily'!AA13-'Hampshire Daily'!AA12&lt;0),"0",('Hampshire Daily'!AA13-'Hampshire Daily'!AA12))</f>
        <v>3</v>
      </c>
      <c r="Y10" s="4">
        <f>'Hampshire Daily'!B13</f>
        <v>10</v>
      </c>
      <c r="Z10" s="4">
        <f>'Hampshire Daily'!C13</f>
        <v>10</v>
      </c>
    </row>
    <row r="11" spans="1:30" x14ac:dyDescent="0.25">
      <c r="A11" s="3" t="s">
        <v>40</v>
      </c>
      <c r="B11" s="1">
        <f t="shared" si="0"/>
        <v>10</v>
      </c>
      <c r="C11" s="17">
        <v>4</v>
      </c>
      <c r="D11" s="1">
        <v>2021</v>
      </c>
      <c r="E11" s="4">
        <f>IF(('Hampshire Daily'!D14-'Hampshire Daily'!D13&lt;0),"0",('Hampshire Daily'!D14-'Hampshire Daily'!D13))</f>
        <v>1030</v>
      </c>
      <c r="F11" s="4">
        <f>IF(('Hampshire Daily'!F14-'Hampshire Daily'!F13&lt;0),"0",('Hampshire Daily'!F14-'Hampshire Daily'!F13))</f>
        <v>508</v>
      </c>
      <c r="G11" s="4">
        <f>IF(('Hampshire Daily'!H14-'Hampshire Daily'!H13&lt;0),"0",('Hampshire Daily'!H14-'Hampshire Daily'!H13))</f>
        <v>50</v>
      </c>
      <c r="H11" s="4">
        <f>IF(('Hampshire Daily'!I14-'Hampshire Daily'!I13&lt;0),"0",('Hampshire Daily'!I14-'Hampshire Daily'!I13))</f>
        <v>1200</v>
      </c>
      <c r="I11" s="4">
        <f>IF(('Hampshire Daily'!J14-'Hampshire Daily'!J13&lt;0),"0",('Hampshire Daily'!J14-'Hampshire Daily'!J13))</f>
        <v>0</v>
      </c>
      <c r="J11" s="4">
        <f>IF(('Hampshire Daily'!K14-'Hampshire Daily'!K13&lt;0),"0",('Hampshire Daily'!K14-'Hampshire Daily'!K13))</f>
        <v>802</v>
      </c>
      <c r="K11" s="4">
        <f>IF(('Hampshire Daily'!L14-'Hampshire Daily'!L13&lt;0),"0",('Hampshire Daily'!L14-'Hampshire Daily'!L13))</f>
        <v>203</v>
      </c>
      <c r="L11" s="4">
        <f>IF(('Hampshire Daily'!M14-'Hampshire Daily'!M13&lt;0),"0",('Hampshire Daily'!M14-'Hampshire Daily'!M13))</f>
        <v>24</v>
      </c>
      <c r="M11" s="4">
        <f>IF(('Hampshire Daily'!N14-'Hampshire Daily'!N13&lt;0),"0",('Hampshire Daily'!N14-'Hampshire Daily'!N13))</f>
        <v>2192</v>
      </c>
      <c r="N11" s="4">
        <f>IF(('Hampshire Daily'!O14-'Hampshire Daily'!O13&lt;0),"0",('Hampshire Daily'!O14-'Hampshire Daily'!O13))</f>
        <v>45</v>
      </c>
      <c r="O11" s="4">
        <f>IF(('Hampshire Daily'!P14-'Hampshire Daily'!P13&lt;0),"0",('Hampshire Daily'!P14-'Hampshire Daily'!P13))</f>
        <v>0</v>
      </c>
      <c r="P11" s="4">
        <f>IF(('Hampshire Daily'!Q14-'Hampshire Daily'!Q13&lt;0),"0",('Hampshire Daily'!Q14-'Hampshire Daily'!Q13))</f>
        <v>0</v>
      </c>
      <c r="Q11" s="4">
        <f>IF(('Hampshire Daily'!R14-'Hampshire Daily'!R13&lt;0),"0",('Hampshire Daily'!R14-'Hampshire Daily'!R13))</f>
        <v>0</v>
      </c>
      <c r="R11" s="4">
        <f>IF(('Hampshire Daily'!U14-'Hampshire Daily'!U13&lt;0),"0",('Hampshire Daily'!U14-'Hampshire Daily'!U13))</f>
        <v>2</v>
      </c>
      <c r="S11" s="4">
        <f>IF(('Hampshire Daily'!V14-'Hampshire Daily'!V13&lt;0),"0",('Hampshire Daily'!V14-'Hampshire Daily'!V13))</f>
        <v>0</v>
      </c>
      <c r="T11" s="4">
        <f>IF(('Hampshire Daily'!W14-'Hampshire Daily'!W13&lt;0),"0",('Hampshire Daily'!W14-'Hampshire Daily'!W13))</f>
        <v>0</v>
      </c>
      <c r="U11" s="4">
        <f>IF(('Hampshire Daily'!X14-'Hampshire Daily'!X13&lt;0),"0",('Hampshire Daily'!X14-'Hampshire Daily'!X13))</f>
        <v>0</v>
      </c>
      <c r="V11" s="4">
        <f>IF(('Hampshire Daily'!Y14-'Hampshire Daily'!Y13&lt;0),"0",('Hampshire Daily'!Y14-'Hampshire Daily'!Y13))</f>
        <v>0</v>
      </c>
      <c r="W11" s="4">
        <f>IF(('Hampshire Daily'!Z14-'Hampshire Daily'!Z13&lt;0),"0",('Hampshire Daily'!Z14-'Hampshire Daily'!Z13))</f>
        <v>0</v>
      </c>
      <c r="X11" s="4">
        <f>IF(('Hampshire Daily'!AA14-'Hampshire Daily'!AA13&lt;0),"0",('Hampshire Daily'!AA14-'Hampshire Daily'!AA13))</f>
        <v>5</v>
      </c>
      <c r="Y11" s="4">
        <f>'Hampshire Daily'!B14</f>
        <v>10</v>
      </c>
      <c r="Z11" s="4">
        <f>'Hampshire Daily'!C14</f>
        <v>10</v>
      </c>
    </row>
    <row r="12" spans="1:30" x14ac:dyDescent="0.25">
      <c r="A12" s="3" t="s">
        <v>40</v>
      </c>
      <c r="B12" s="1">
        <f t="shared" si="0"/>
        <v>11</v>
      </c>
      <c r="C12" s="17">
        <v>4</v>
      </c>
      <c r="D12" s="1">
        <v>2021</v>
      </c>
      <c r="E12" s="4">
        <f>IF(('Hampshire Daily'!D15-'Hampshire Daily'!D14&lt;0),"0",('Hampshire Daily'!D15-'Hampshire Daily'!D14))</f>
        <v>938</v>
      </c>
      <c r="F12" s="4">
        <f>IF(('Hampshire Daily'!F15-'Hampshire Daily'!F14&lt;0),"0",('Hampshire Daily'!F15-'Hampshire Daily'!F14))</f>
        <v>391</v>
      </c>
      <c r="G12" s="4">
        <f>IF(('Hampshire Daily'!H15-'Hampshire Daily'!H14&lt;0),"0",('Hampshire Daily'!H15-'Hampshire Daily'!H14))</f>
        <v>27</v>
      </c>
      <c r="H12" s="4">
        <f>IF(('Hampshire Daily'!I15-'Hampshire Daily'!I14&lt;0),"0",('Hampshire Daily'!I15-'Hampshire Daily'!I14))</f>
        <v>1200</v>
      </c>
      <c r="I12" s="4">
        <f>IF(('Hampshire Daily'!J15-'Hampshire Daily'!J14&lt;0),"0",('Hampshire Daily'!J15-'Hampshire Daily'!J14))</f>
        <v>0</v>
      </c>
      <c r="J12" s="4">
        <f>IF(('Hampshire Daily'!K15-'Hampshire Daily'!K14&lt;0),"0",('Hampshire Daily'!K15-'Hampshire Daily'!K14))</f>
        <v>802</v>
      </c>
      <c r="K12" s="4">
        <f>IF(('Hampshire Daily'!L15-'Hampshire Daily'!L14&lt;0),"0",('Hampshire Daily'!L15-'Hampshire Daily'!L14))</f>
        <v>203</v>
      </c>
      <c r="L12" s="4">
        <f>IF(('Hampshire Daily'!M15-'Hampshire Daily'!M14&lt;0),"0",('Hampshire Daily'!M15-'Hampshire Daily'!M14))</f>
        <v>0</v>
      </c>
      <c r="M12" s="4">
        <f>IF(('Hampshire Daily'!N15-'Hampshire Daily'!N14&lt;0),"0",('Hampshire Daily'!N15-'Hampshire Daily'!N14))</f>
        <v>2377</v>
      </c>
      <c r="N12" s="4">
        <f>IF(('Hampshire Daily'!O15-'Hampshire Daily'!O14&lt;0),"0",('Hampshire Daily'!O15-'Hampshire Daily'!O14))</f>
        <v>25</v>
      </c>
      <c r="O12" s="4">
        <f>IF(('Hampshire Daily'!P15-'Hampshire Daily'!P14&lt;0),"0",('Hampshire Daily'!P15-'Hampshire Daily'!P14))</f>
        <v>0</v>
      </c>
      <c r="P12" s="4">
        <f>IF(('Hampshire Daily'!Q15-'Hampshire Daily'!Q14&lt;0),"0",('Hampshire Daily'!Q15-'Hampshire Daily'!Q14))</f>
        <v>0</v>
      </c>
      <c r="Q12" s="4">
        <f>IF(('Hampshire Daily'!R15-'Hampshire Daily'!R14&lt;0),"0",('Hampshire Daily'!R15-'Hampshire Daily'!R14))</f>
        <v>0</v>
      </c>
      <c r="R12" s="4">
        <f>IF(('Hampshire Daily'!U15-'Hampshire Daily'!U14&lt;0),"0",('Hampshire Daily'!U15-'Hampshire Daily'!U14))</f>
        <v>2</v>
      </c>
      <c r="S12" s="4">
        <f>IF(('Hampshire Daily'!V15-'Hampshire Daily'!V14&lt;0),"0",('Hampshire Daily'!V15-'Hampshire Daily'!V14))</f>
        <v>1</v>
      </c>
      <c r="T12" s="4">
        <f>IF(('Hampshire Daily'!W15-'Hampshire Daily'!W14&lt;0),"0",('Hampshire Daily'!W15-'Hampshire Daily'!W14))</f>
        <v>0</v>
      </c>
      <c r="U12" s="4">
        <f>IF(('Hampshire Daily'!X15-'Hampshire Daily'!X14&lt;0),"0",('Hampshire Daily'!X15-'Hampshire Daily'!X14))</f>
        <v>0</v>
      </c>
      <c r="V12" s="4">
        <f>IF(('Hampshire Daily'!Y15-'Hampshire Daily'!Y14&lt;0),"0",('Hampshire Daily'!Y15-'Hampshire Daily'!Y14))</f>
        <v>0</v>
      </c>
      <c r="W12" s="4">
        <f>IF(('Hampshire Daily'!Z15-'Hampshire Daily'!Z14&lt;0),"0",('Hampshire Daily'!Z15-'Hampshire Daily'!Z14))</f>
        <v>0</v>
      </c>
      <c r="X12" s="4">
        <f>IF(('Hampshire Daily'!AA15-'Hampshire Daily'!AA14&lt;0),"0",('Hampshire Daily'!AA15-'Hampshire Daily'!AA14))</f>
        <v>6</v>
      </c>
      <c r="Y12" s="4">
        <f>'Hampshire Daily'!B15</f>
        <v>10</v>
      </c>
      <c r="Z12" s="4">
        <f>'Hampshire Daily'!C15</f>
        <v>10</v>
      </c>
    </row>
    <row r="13" spans="1:30" x14ac:dyDescent="0.25">
      <c r="A13" s="3" t="s">
        <v>40</v>
      </c>
      <c r="B13" s="1">
        <f t="shared" si="0"/>
        <v>12</v>
      </c>
      <c r="C13" s="17">
        <v>4</v>
      </c>
      <c r="D13" s="1">
        <v>2021</v>
      </c>
      <c r="E13" s="4">
        <f>IF(('Hampshire Daily'!D16-'Hampshire Daily'!D15&lt;0),"0",('Hampshire Daily'!D16-'Hampshire Daily'!D15))</f>
        <v>1012</v>
      </c>
      <c r="F13" s="4">
        <f>IF(('Hampshire Daily'!F16-'Hampshire Daily'!F15&lt;0),"0",('Hampshire Daily'!F16-'Hampshire Daily'!F15))</f>
        <v>409</v>
      </c>
      <c r="G13" s="4">
        <f>IF(('Hampshire Daily'!H16-'Hampshire Daily'!H15&lt;0),"0",('Hampshire Daily'!H16-'Hampshire Daily'!H15))</f>
        <v>25</v>
      </c>
      <c r="H13" s="4">
        <f>IF(('Hampshire Daily'!I16-'Hampshire Daily'!I15&lt;0),"0",('Hampshire Daily'!I16-'Hampshire Daily'!I15))</f>
        <v>1200</v>
      </c>
      <c r="I13" s="4">
        <f>IF(('Hampshire Daily'!J16-'Hampshire Daily'!J15&lt;0),"0",('Hampshire Daily'!J16-'Hampshire Daily'!J15))</f>
        <v>0</v>
      </c>
      <c r="J13" s="4">
        <f>IF(('Hampshire Daily'!K16-'Hampshire Daily'!K15&lt;0),"0",('Hampshire Daily'!K16-'Hampshire Daily'!K15))</f>
        <v>802</v>
      </c>
      <c r="K13" s="4">
        <f>IF(('Hampshire Daily'!L16-'Hampshire Daily'!L15&lt;0),"0",('Hampshire Daily'!L16-'Hampshire Daily'!L15))</f>
        <v>203</v>
      </c>
      <c r="L13" s="4">
        <f>IF(('Hampshire Daily'!M16-'Hampshire Daily'!M15&lt;0),"0",('Hampshire Daily'!M16-'Hampshire Daily'!M15))</f>
        <v>0</v>
      </c>
      <c r="M13" s="4">
        <f>IF(('Hampshire Daily'!N16-'Hampshire Daily'!N15&lt;0),"0",('Hampshire Daily'!N16-'Hampshire Daily'!N15))</f>
        <v>2470</v>
      </c>
      <c r="N13" s="4">
        <f>IF(('Hampshire Daily'!O16-'Hampshire Daily'!O15&lt;0),"0",('Hampshire Daily'!O16-'Hampshire Daily'!O15))</f>
        <v>64</v>
      </c>
      <c r="O13" s="4">
        <f>IF(('Hampshire Daily'!P16-'Hampshire Daily'!P15&lt;0),"0",('Hampshire Daily'!P16-'Hampshire Daily'!P15))</f>
        <v>0</v>
      </c>
      <c r="P13" s="4">
        <f>IF(('Hampshire Daily'!Q16-'Hampshire Daily'!Q15&lt;0),"0",('Hampshire Daily'!Q16-'Hampshire Daily'!Q15))</f>
        <v>0</v>
      </c>
      <c r="Q13" s="4">
        <f>IF(('Hampshire Daily'!R16-'Hampshire Daily'!R15&lt;0),"0",('Hampshire Daily'!R16-'Hampshire Daily'!R15))</f>
        <v>0</v>
      </c>
      <c r="R13" s="4">
        <f>IF(('Hampshire Daily'!U16-'Hampshire Daily'!U15&lt;0),"0",('Hampshire Daily'!U16-'Hampshire Daily'!U15))</f>
        <v>2</v>
      </c>
      <c r="S13" s="4">
        <f>IF(('Hampshire Daily'!V16-'Hampshire Daily'!V15&lt;0),"0",('Hampshire Daily'!V16-'Hampshire Daily'!V15))</f>
        <v>5</v>
      </c>
      <c r="T13" s="4">
        <f>IF(('Hampshire Daily'!W16-'Hampshire Daily'!W15&lt;0),"0",('Hampshire Daily'!W16-'Hampshire Daily'!W15))</f>
        <v>0</v>
      </c>
      <c r="U13" s="4" t="str">
        <f>IF(('Hampshire Daily'!X16-'Hampshire Daily'!X15&lt;0),"0",('Hampshire Daily'!X16-'Hampshire Daily'!X15))</f>
        <v>0</v>
      </c>
      <c r="V13" s="4">
        <f>IF(('Hampshire Daily'!Y16-'Hampshire Daily'!Y15&lt;0),"0",('Hampshire Daily'!Y16-'Hampshire Daily'!Y15))</f>
        <v>0</v>
      </c>
      <c r="W13" s="4">
        <f>IF(('Hampshire Daily'!Z16-'Hampshire Daily'!Z15&lt;0),"0",('Hampshire Daily'!Z16-'Hampshire Daily'!Z15))</f>
        <v>0</v>
      </c>
      <c r="X13" s="4">
        <f>IF(('Hampshire Daily'!AA16-'Hampshire Daily'!AA15&lt;0),"0",('Hampshire Daily'!AA16-'Hampshire Daily'!AA15))</f>
        <v>6</v>
      </c>
      <c r="Y13" s="4">
        <f>'Hampshire Daily'!B16</f>
        <v>10</v>
      </c>
      <c r="Z13" s="4">
        <f>'Hampshire Daily'!C16</f>
        <v>10</v>
      </c>
    </row>
    <row r="14" spans="1:30" x14ac:dyDescent="0.25">
      <c r="A14" s="3" t="s">
        <v>40</v>
      </c>
      <c r="B14" s="1">
        <f t="shared" si="0"/>
        <v>13</v>
      </c>
      <c r="C14" s="17">
        <v>4</v>
      </c>
      <c r="D14" s="1">
        <v>2021</v>
      </c>
      <c r="E14" s="4">
        <f>IF(('Hampshire Daily'!D17-'Hampshire Daily'!D16&lt;0),"0",('Hampshire Daily'!D17-'Hampshire Daily'!D16))</f>
        <v>2692</v>
      </c>
      <c r="F14" s="4">
        <f>IF(('Hampshire Daily'!F17-'Hampshire Daily'!F16&lt;0),"0",('Hampshire Daily'!F17-'Hampshire Daily'!F16))</f>
        <v>2076</v>
      </c>
      <c r="G14" s="4">
        <f>IF(('Hampshire Daily'!H17-'Hampshire Daily'!H16&lt;0),"0",('Hampshire Daily'!H17-'Hampshire Daily'!H16))</f>
        <v>590</v>
      </c>
      <c r="H14" s="4">
        <f>IF(('Hampshire Daily'!I17-'Hampshire Daily'!I16&lt;0),"0",('Hampshire Daily'!I17-'Hampshire Daily'!I16))</f>
        <v>1200</v>
      </c>
      <c r="I14" s="4">
        <f>IF(('Hampshire Daily'!J17-'Hampshire Daily'!J16&lt;0),"0",('Hampshire Daily'!J17-'Hampshire Daily'!J16))</f>
        <v>0</v>
      </c>
      <c r="J14" s="4">
        <f>IF(('Hampshire Daily'!K17-'Hampshire Daily'!K16&lt;0),"0",('Hampshire Daily'!K17-'Hampshire Daily'!K16))</f>
        <v>802</v>
      </c>
      <c r="K14" s="4">
        <f>IF(('Hampshire Daily'!L17-'Hampshire Daily'!L16&lt;0),"0",('Hampshire Daily'!L17-'Hampshire Daily'!L16))</f>
        <v>391</v>
      </c>
      <c r="L14" s="4">
        <f>IF(('Hampshire Daily'!M17-'Hampshire Daily'!M16&lt;0),"0",('Hampshire Daily'!M17-'Hampshire Daily'!M16))</f>
        <v>441</v>
      </c>
      <c r="M14" s="4">
        <f>IF(('Hampshire Daily'!N17-'Hampshire Daily'!N16&lt;0),"0",('Hampshire Daily'!N17-'Hampshire Daily'!N16))</f>
        <v>1641</v>
      </c>
      <c r="N14" s="4">
        <f>IF(('Hampshire Daily'!O17-'Hampshire Daily'!O16&lt;0),"0",('Hampshire Daily'!O17-'Hampshire Daily'!O16))</f>
        <v>16</v>
      </c>
      <c r="O14" s="4">
        <f>IF(('Hampshire Daily'!P17-'Hampshire Daily'!P16&lt;0),"0",('Hampshire Daily'!P17-'Hampshire Daily'!P16))</f>
        <v>0</v>
      </c>
      <c r="P14" s="4">
        <f>IF(('Hampshire Daily'!Q17-'Hampshire Daily'!Q16&lt;0),"0",('Hampshire Daily'!Q17-'Hampshire Daily'!Q16))</f>
        <v>0</v>
      </c>
      <c r="Q14" s="4">
        <f>IF(('Hampshire Daily'!R17-'Hampshire Daily'!R16&lt;0),"0",('Hampshire Daily'!R17-'Hampshire Daily'!R16))</f>
        <v>0</v>
      </c>
      <c r="R14" s="4">
        <f>IF(('Hampshire Daily'!U17-'Hampshire Daily'!U16&lt;0),"0",('Hampshire Daily'!U17-'Hampshire Daily'!U16))</f>
        <v>3</v>
      </c>
      <c r="S14" s="4">
        <f>IF(('Hampshire Daily'!V17-'Hampshire Daily'!V16&lt;0),"0",('Hampshire Daily'!V17-'Hampshire Daily'!V16))</f>
        <v>1</v>
      </c>
      <c r="T14" s="4">
        <f>IF(('Hampshire Daily'!W17-'Hampshire Daily'!W16&lt;0),"0",('Hampshire Daily'!W17-'Hampshire Daily'!W16))</f>
        <v>0</v>
      </c>
      <c r="U14" s="4">
        <f>IF(('Hampshire Daily'!X17-'Hampshire Daily'!X16&lt;0),"0",('Hampshire Daily'!X17-'Hampshire Daily'!X16))</f>
        <v>4.0000000000190994E-3</v>
      </c>
      <c r="V14" s="4">
        <f>IF(('Hampshire Daily'!Y17-'Hampshire Daily'!Y16&lt;0),"0",('Hampshire Daily'!Y17-'Hampshire Daily'!Y16))</f>
        <v>0</v>
      </c>
      <c r="W14" s="4">
        <f>IF(('Hampshire Daily'!Z17-'Hampshire Daily'!Z16&lt;0),"0",('Hampshire Daily'!Z17-'Hampshire Daily'!Z16))</f>
        <v>0</v>
      </c>
      <c r="X14" s="4">
        <f>IF(('Hampshire Daily'!AA17-'Hampshire Daily'!AA16&lt;0),"0",('Hampshire Daily'!AA17-'Hampshire Daily'!AA16))</f>
        <v>3</v>
      </c>
      <c r="Y14" s="4">
        <f>'Hampshire Daily'!B17</f>
        <v>10</v>
      </c>
      <c r="Z14" s="4">
        <f>'Hampshire Daily'!C17</f>
        <v>10</v>
      </c>
    </row>
    <row r="15" spans="1:30" x14ac:dyDescent="0.25">
      <c r="A15" s="3" t="s">
        <v>40</v>
      </c>
      <c r="B15" s="1">
        <f t="shared" si="0"/>
        <v>14</v>
      </c>
      <c r="C15" s="17">
        <v>4</v>
      </c>
      <c r="D15" s="1">
        <v>2021</v>
      </c>
      <c r="E15" s="4">
        <f>IF(('Hampshire Daily'!D18-'Hampshire Daily'!D17&lt;0),"0",('Hampshire Daily'!D18-'Hampshire Daily'!D17))</f>
        <v>1233</v>
      </c>
      <c r="F15" s="4">
        <f>IF(('Hampshire Daily'!F18-'Hampshire Daily'!F17&lt;0),"0",('Hampshire Daily'!F18-'Hampshire Daily'!F17))</f>
        <v>2196</v>
      </c>
      <c r="G15" s="4">
        <f>IF(('Hampshire Daily'!H18-'Hampshire Daily'!H17&lt;0),"0",('Hampshire Daily'!H18-'Hampshire Daily'!H17))</f>
        <v>496</v>
      </c>
      <c r="H15" s="4">
        <f>IF(('Hampshire Daily'!I18-'Hampshire Daily'!I17&lt;0),"0",('Hampshire Daily'!I18-'Hampshire Daily'!I17))</f>
        <v>1200</v>
      </c>
      <c r="I15" s="4">
        <f>IF(('Hampshire Daily'!J18-'Hampshire Daily'!J17&lt;0),"0",('Hampshire Daily'!J18-'Hampshire Daily'!J17))</f>
        <v>0</v>
      </c>
      <c r="J15" s="4">
        <f>IF(('Hampshire Daily'!K18-'Hampshire Daily'!K17&lt;0),"0",('Hampshire Daily'!K18-'Hampshire Daily'!K17))</f>
        <v>802</v>
      </c>
      <c r="K15" s="4">
        <f>IF(('Hampshire Daily'!L18-'Hampshire Daily'!L17&lt;0),"0",('Hampshire Daily'!L18-'Hampshire Daily'!L17))</f>
        <v>203</v>
      </c>
      <c r="L15" s="4">
        <f>IF(('Hampshire Daily'!M18-'Hampshire Daily'!M17&lt;0),"0",('Hampshire Daily'!M18-'Hampshire Daily'!M17))</f>
        <v>65</v>
      </c>
      <c r="M15" s="4">
        <f>IF(('Hampshire Daily'!N18-'Hampshire Daily'!N17&lt;0),"0",('Hampshire Daily'!N18-'Hampshire Daily'!N17))</f>
        <v>2116</v>
      </c>
      <c r="N15" s="4">
        <f>IF(('Hampshire Daily'!O18-'Hampshire Daily'!O17&lt;0),"0",('Hampshire Daily'!O18-'Hampshire Daily'!O17))</f>
        <v>12</v>
      </c>
      <c r="O15" s="4">
        <f>IF(('Hampshire Daily'!P18-'Hampshire Daily'!P17&lt;0),"0",('Hampshire Daily'!P18-'Hampshire Daily'!P17))</f>
        <v>0</v>
      </c>
      <c r="P15" s="4">
        <f>IF(('Hampshire Daily'!Q18-'Hampshire Daily'!Q17&lt;0),"0",('Hampshire Daily'!Q18-'Hampshire Daily'!Q17))</f>
        <v>0</v>
      </c>
      <c r="Q15" s="4">
        <f>IF(('Hampshire Daily'!R18-'Hampshire Daily'!R17&lt;0),"0",('Hampshire Daily'!R18-'Hampshire Daily'!R17))</f>
        <v>0</v>
      </c>
      <c r="R15" s="4">
        <f>IF(('Hampshire Daily'!U18-'Hampshire Daily'!U17&lt;0),"0",('Hampshire Daily'!U18-'Hampshire Daily'!U17))</f>
        <v>5</v>
      </c>
      <c r="S15" s="4">
        <f>IF(('Hampshire Daily'!V18-'Hampshire Daily'!V17&lt;0),"0",('Hampshire Daily'!V18-'Hampshire Daily'!V17))</f>
        <v>1</v>
      </c>
      <c r="T15" s="4">
        <f>IF(('Hampshire Daily'!W18-'Hampshire Daily'!W17&lt;0),"0",('Hampshire Daily'!W18-'Hampshire Daily'!W17))</f>
        <v>0</v>
      </c>
      <c r="U15" s="4">
        <f>IF(('Hampshire Daily'!X18-'Hampshire Daily'!X17&lt;0),"0",('Hampshire Daily'!X18-'Hampshire Daily'!X17))</f>
        <v>0</v>
      </c>
      <c r="V15" s="4">
        <f>IF(('Hampshire Daily'!Y18-'Hampshire Daily'!Y17&lt;0),"0",('Hampshire Daily'!Y18-'Hampshire Daily'!Y17))</f>
        <v>0</v>
      </c>
      <c r="W15" s="4">
        <f>IF(('Hampshire Daily'!Z18-'Hampshire Daily'!Z17&lt;0),"0",('Hampshire Daily'!Z18-'Hampshire Daily'!Z17))</f>
        <v>0</v>
      </c>
      <c r="X15" s="4">
        <f>IF(('Hampshire Daily'!AA18-'Hampshire Daily'!AA17&lt;0),"0",('Hampshire Daily'!AA18-'Hampshire Daily'!AA17))</f>
        <v>5</v>
      </c>
      <c r="Y15" s="4">
        <f>'Hampshire Daily'!B18</f>
        <v>10</v>
      </c>
      <c r="Z15" s="4">
        <f>'Hampshire Daily'!C18</f>
        <v>10</v>
      </c>
    </row>
    <row r="16" spans="1:30" x14ac:dyDescent="0.25">
      <c r="A16" s="3" t="s">
        <v>40</v>
      </c>
      <c r="B16" s="1">
        <f t="shared" si="0"/>
        <v>15</v>
      </c>
      <c r="C16" s="17">
        <v>4</v>
      </c>
      <c r="D16" s="1">
        <v>2021</v>
      </c>
      <c r="E16" s="4">
        <f>IF(('Hampshire Daily'!D19-'Hampshire Daily'!D18&lt;0),"0",('Hampshire Daily'!D19-'Hampshire Daily'!D18))</f>
        <v>1016</v>
      </c>
      <c r="F16" s="4">
        <f>IF(('Hampshire Daily'!F19-'Hampshire Daily'!F18&lt;0),"0",('Hampshire Daily'!F19-'Hampshire Daily'!F18))</f>
        <v>1550</v>
      </c>
      <c r="G16" s="4">
        <f>IF(('Hampshire Daily'!H19-'Hampshire Daily'!H18&lt;0),"0",('Hampshire Daily'!H19-'Hampshire Daily'!H18))</f>
        <v>353</v>
      </c>
      <c r="H16" s="4">
        <f>IF(('Hampshire Daily'!I19-'Hampshire Daily'!I18&lt;0),"0",('Hampshire Daily'!I19-'Hampshire Daily'!I18))</f>
        <v>1200</v>
      </c>
      <c r="I16" s="4">
        <f>IF(('Hampshire Daily'!J19-'Hampshire Daily'!J18&lt;0),"0",('Hampshire Daily'!J19-'Hampshire Daily'!J18))</f>
        <v>0</v>
      </c>
      <c r="J16" s="4">
        <f>IF(('Hampshire Daily'!K19-'Hampshire Daily'!K18&lt;0),"0",('Hampshire Daily'!K19-'Hampshire Daily'!K18))</f>
        <v>802</v>
      </c>
      <c r="K16" s="4">
        <f>IF(('Hampshire Daily'!L19-'Hampshire Daily'!L18&lt;0),"0",('Hampshire Daily'!L19-'Hampshire Daily'!L18))</f>
        <v>203</v>
      </c>
      <c r="L16" s="4">
        <f>IF(('Hampshire Daily'!M19-'Hampshire Daily'!M18&lt;0),"0",('Hampshire Daily'!M19-'Hampshire Daily'!M18))</f>
        <v>0</v>
      </c>
      <c r="M16" s="4">
        <f>IF(('Hampshire Daily'!N19-'Hampshire Daily'!N18&lt;0),"0",('Hampshire Daily'!N19-'Hampshire Daily'!N18))</f>
        <v>2137</v>
      </c>
      <c r="N16" s="4">
        <f>IF(('Hampshire Daily'!O19-'Hampshire Daily'!O18&lt;0),"0",('Hampshire Daily'!O19-'Hampshire Daily'!O18))</f>
        <v>40</v>
      </c>
      <c r="O16" s="4">
        <f>IF(('Hampshire Daily'!P19-'Hampshire Daily'!P18&lt;0),"0",('Hampshire Daily'!P19-'Hampshire Daily'!P18))</f>
        <v>0</v>
      </c>
      <c r="P16" s="4">
        <f>IF(('Hampshire Daily'!Q19-'Hampshire Daily'!Q18&lt;0),"0",('Hampshire Daily'!Q19-'Hampshire Daily'!Q18))</f>
        <v>0</v>
      </c>
      <c r="Q16" s="4">
        <f>IF(('Hampshire Daily'!R19-'Hampshire Daily'!R18&lt;0),"0",('Hampshire Daily'!R19-'Hampshire Daily'!R18))</f>
        <v>0</v>
      </c>
      <c r="R16" s="4">
        <f>IF(('Hampshire Daily'!U19-'Hampshire Daily'!U18&lt;0),"0",('Hampshire Daily'!U19-'Hampshire Daily'!U18))</f>
        <v>5</v>
      </c>
      <c r="S16" s="4">
        <f>IF(('Hampshire Daily'!V19-'Hampshire Daily'!V18&lt;0),"0",('Hampshire Daily'!V19-'Hampshire Daily'!V18))</f>
        <v>2</v>
      </c>
      <c r="T16" s="4">
        <f>IF(('Hampshire Daily'!W19-'Hampshire Daily'!W18&lt;0),"0",('Hampshire Daily'!W19-'Hampshire Daily'!W18))</f>
        <v>9.0000000000031832E-2</v>
      </c>
      <c r="U16" s="4">
        <f>IF(('Hampshire Daily'!X19-'Hampshire Daily'!X18&lt;0),"0",('Hampshire Daily'!X19-'Hampshire Daily'!X18))</f>
        <v>2.0000000000663931E-3</v>
      </c>
      <c r="V16" s="4">
        <f>IF(('Hampshire Daily'!Y19-'Hampshire Daily'!Y18&lt;0),"0",('Hampshire Daily'!Y19-'Hampshire Daily'!Y18))</f>
        <v>0</v>
      </c>
      <c r="W16" s="4">
        <f>IF(('Hampshire Daily'!Z19-'Hampshire Daily'!Z18&lt;0),"0",('Hampshire Daily'!Z19-'Hampshire Daily'!Z18))</f>
        <v>0</v>
      </c>
      <c r="X16" s="4">
        <f>IF(('Hampshire Daily'!AA19-'Hampshire Daily'!AA18&lt;0),"0",('Hampshire Daily'!AA19-'Hampshire Daily'!AA18))</f>
        <v>8</v>
      </c>
      <c r="Y16" s="4">
        <f>'Hampshire Daily'!B19</f>
        <v>10</v>
      </c>
      <c r="Z16" s="4">
        <f>'Hampshire Daily'!C19</f>
        <v>10</v>
      </c>
    </row>
    <row r="17" spans="1:26" x14ac:dyDescent="0.25">
      <c r="A17" s="3" t="s">
        <v>40</v>
      </c>
      <c r="B17" s="1">
        <f t="shared" si="0"/>
        <v>16</v>
      </c>
      <c r="C17" s="17">
        <v>4</v>
      </c>
      <c r="D17" s="1">
        <v>2021</v>
      </c>
      <c r="E17" s="4">
        <f>IF(('Hampshire Daily'!D20-'Hampshire Daily'!D19&lt;0),"0",('Hampshire Daily'!D20-'Hampshire Daily'!D19))</f>
        <v>975</v>
      </c>
      <c r="F17" s="4">
        <f>IF(('Hampshire Daily'!F20-'Hampshire Daily'!F19&lt;0),"0",('Hampshire Daily'!F20-'Hampshire Daily'!F19))</f>
        <v>1984</v>
      </c>
      <c r="G17" s="4">
        <f>IF(('Hampshire Daily'!H20-'Hampshire Daily'!H19&lt;0),"0",('Hampshire Daily'!H20-'Hampshire Daily'!H19))</f>
        <v>427</v>
      </c>
      <c r="H17" s="4">
        <f>IF(('Hampshire Daily'!I20-'Hampshire Daily'!I19&lt;0),"0",('Hampshire Daily'!I20-'Hampshire Daily'!I19))</f>
        <v>1200</v>
      </c>
      <c r="I17" s="4">
        <f>IF(('Hampshire Daily'!J20-'Hampshire Daily'!J19&lt;0),"0",('Hampshire Daily'!J20-'Hampshire Daily'!J19))</f>
        <v>0</v>
      </c>
      <c r="J17" s="4">
        <f>IF(('Hampshire Daily'!K20-'Hampshire Daily'!K19&lt;0),"0",('Hampshire Daily'!K20-'Hampshire Daily'!K19))</f>
        <v>802</v>
      </c>
      <c r="K17" s="4">
        <f>IF(('Hampshire Daily'!L20-'Hampshire Daily'!L19&lt;0),"0",('Hampshire Daily'!L20-'Hampshire Daily'!L19))</f>
        <v>203</v>
      </c>
      <c r="L17" s="4">
        <f>IF(('Hampshire Daily'!M20-'Hampshire Daily'!M19&lt;0),"0",('Hampshire Daily'!M20-'Hampshire Daily'!M19))</f>
        <v>0</v>
      </c>
      <c r="M17" s="4">
        <f>IF(('Hampshire Daily'!N20-'Hampshire Daily'!N19&lt;0),"0",('Hampshire Daily'!N20-'Hampshire Daily'!N19))</f>
        <v>2160</v>
      </c>
      <c r="N17" s="4">
        <f>IF(('Hampshire Daily'!O20-'Hampshire Daily'!O19&lt;0),"0",('Hampshire Daily'!O20-'Hampshire Daily'!O19))</f>
        <v>32</v>
      </c>
      <c r="O17" s="4">
        <f>IF(('Hampshire Daily'!P20-'Hampshire Daily'!P19&lt;0),"0",('Hampshire Daily'!P20-'Hampshire Daily'!P19))</f>
        <v>0</v>
      </c>
      <c r="P17" s="4">
        <f>IF(('Hampshire Daily'!Q20-'Hampshire Daily'!Q19&lt;0),"0",('Hampshire Daily'!Q20-'Hampshire Daily'!Q19))</f>
        <v>0</v>
      </c>
      <c r="Q17" s="4">
        <f>IF(('Hampshire Daily'!R20-'Hampshire Daily'!R19&lt;0),"0",('Hampshire Daily'!R20-'Hampshire Daily'!R19))</f>
        <v>0</v>
      </c>
      <c r="R17" s="4">
        <f>IF(('Hampshire Daily'!U20-'Hampshire Daily'!U19&lt;0),"0",('Hampshire Daily'!U20-'Hampshire Daily'!U19))</f>
        <v>5</v>
      </c>
      <c r="S17" s="4">
        <f>IF(('Hampshire Daily'!V20-'Hampshire Daily'!V19&lt;0),"0",('Hampshire Daily'!V20-'Hampshire Daily'!V19))</f>
        <v>1</v>
      </c>
      <c r="T17" s="4">
        <f>IF(('Hampshire Daily'!W20-'Hampshire Daily'!W19&lt;0),"0",('Hampshire Daily'!W20-'Hampshire Daily'!W19))</f>
        <v>0</v>
      </c>
      <c r="U17" s="4">
        <f>IF(('Hampshire Daily'!X20-'Hampshire Daily'!X19&lt;0),"0",('Hampshire Daily'!X20-'Hampshire Daily'!X19))</f>
        <v>0.25299999999992906</v>
      </c>
      <c r="V17" s="4">
        <f>IF(('Hampshire Daily'!Y20-'Hampshire Daily'!Y19&lt;0),"0",('Hampshire Daily'!Y20-'Hampshire Daily'!Y19))</f>
        <v>0</v>
      </c>
      <c r="W17" s="4">
        <f>IF(('Hampshire Daily'!Z20-'Hampshire Daily'!Z19&lt;0),"0",('Hampshire Daily'!Z20-'Hampshire Daily'!Z19))</f>
        <v>0</v>
      </c>
      <c r="X17" s="4">
        <f>IF(('Hampshire Daily'!AA20-'Hampshire Daily'!AA19&lt;0),"0",('Hampshire Daily'!AA20-'Hampshire Daily'!AA19))</f>
        <v>8</v>
      </c>
      <c r="Y17" s="4">
        <f>'Hampshire Daily'!B20</f>
        <v>10</v>
      </c>
      <c r="Z17" s="4">
        <f>'Hampshire Daily'!C20</f>
        <v>10</v>
      </c>
    </row>
    <row r="18" spans="1:26" x14ac:dyDescent="0.25">
      <c r="A18" s="3" t="s">
        <v>40</v>
      </c>
      <c r="B18" s="1">
        <f t="shared" si="0"/>
        <v>17</v>
      </c>
      <c r="C18" s="17">
        <v>4</v>
      </c>
      <c r="D18" s="1">
        <v>2021</v>
      </c>
      <c r="E18" s="4">
        <f>IF(('Hampshire Daily'!D21-'Hampshire Daily'!D20&lt;0),"0",('Hampshire Daily'!D21-'Hampshire Daily'!D20))</f>
        <v>1001</v>
      </c>
      <c r="F18" s="4">
        <f>IF(('Hampshire Daily'!F21-'Hampshire Daily'!F20&lt;0),"0",('Hampshire Daily'!F21-'Hampshire Daily'!F20))</f>
        <v>2406</v>
      </c>
      <c r="G18" s="4">
        <f>IF(('Hampshire Daily'!H21-'Hampshire Daily'!H20&lt;0),"0",('Hampshire Daily'!H21-'Hampshire Daily'!H20))</f>
        <v>509</v>
      </c>
      <c r="H18" s="4">
        <f>IF(('Hampshire Daily'!I21-'Hampshire Daily'!I20&lt;0),"0",('Hampshire Daily'!I21-'Hampshire Daily'!I20))</f>
        <v>1200</v>
      </c>
      <c r="I18" s="4">
        <f>IF(('Hampshire Daily'!J21-'Hampshire Daily'!J20&lt;0),"0",('Hampshire Daily'!J21-'Hampshire Daily'!J20))</f>
        <v>0</v>
      </c>
      <c r="J18" s="4">
        <f>IF(('Hampshire Daily'!K21-'Hampshire Daily'!K20&lt;0),"0",('Hampshire Daily'!K21-'Hampshire Daily'!K20))</f>
        <v>802</v>
      </c>
      <c r="K18" s="4">
        <f>IF(('Hampshire Daily'!L21-'Hampshire Daily'!L20&lt;0),"0",('Hampshire Daily'!L21-'Hampshire Daily'!L20))</f>
        <v>459</v>
      </c>
      <c r="L18" s="4">
        <f>IF(('Hampshire Daily'!M21-'Hampshire Daily'!M20&lt;0),"0",('Hampshire Daily'!M21-'Hampshire Daily'!M20))</f>
        <v>0</v>
      </c>
      <c r="M18" s="4">
        <f>IF(('Hampshire Daily'!N21-'Hampshire Daily'!N20&lt;0),"0",('Hampshire Daily'!N21-'Hampshire Daily'!N20))</f>
        <v>2034</v>
      </c>
      <c r="N18" s="4">
        <f>IF(('Hampshire Daily'!O21-'Hampshire Daily'!O20&lt;0),"0",('Hampshire Daily'!O21-'Hampshire Daily'!O20))</f>
        <v>28</v>
      </c>
      <c r="O18" s="4">
        <f>IF(('Hampshire Daily'!P21-'Hampshire Daily'!P20&lt;0),"0",('Hampshire Daily'!P21-'Hampshire Daily'!P20))</f>
        <v>0</v>
      </c>
      <c r="P18" s="4">
        <f>IF(('Hampshire Daily'!Q21-'Hampshire Daily'!Q20&lt;0),"0",('Hampshire Daily'!Q21-'Hampshire Daily'!Q20))</f>
        <v>0</v>
      </c>
      <c r="Q18" s="4">
        <f>IF(('Hampshire Daily'!R21-'Hampshire Daily'!R20&lt;0),"0",('Hampshire Daily'!R21-'Hampshire Daily'!R20))</f>
        <v>0</v>
      </c>
      <c r="R18" s="4">
        <f>IF(('Hampshire Daily'!U21-'Hampshire Daily'!U20&lt;0),"0",('Hampshire Daily'!U21-'Hampshire Daily'!U20))</f>
        <v>3</v>
      </c>
      <c r="S18" s="4">
        <f>IF(('Hampshire Daily'!V21-'Hampshire Daily'!V20&lt;0),"0",('Hampshire Daily'!V21-'Hampshire Daily'!V20))</f>
        <v>1</v>
      </c>
      <c r="T18" s="4">
        <f>IF(('Hampshire Daily'!W21-'Hampshire Daily'!W20&lt;0),"0",('Hampshire Daily'!W21-'Hampshire Daily'!W20))</f>
        <v>8.6000000000012733E-2</v>
      </c>
      <c r="U18" s="4" t="str">
        <f>IF(('Hampshire Daily'!X21-'Hampshire Daily'!X20&lt;0),"0",('Hampshire Daily'!X21-'Hampshire Daily'!X20))</f>
        <v>0</v>
      </c>
      <c r="V18" s="4">
        <f>IF(('Hampshire Daily'!Y21-'Hampshire Daily'!Y20&lt;0),"0",('Hampshire Daily'!Y21-'Hampshire Daily'!Y20))</f>
        <v>0</v>
      </c>
      <c r="W18" s="4">
        <f>IF(('Hampshire Daily'!Z21-'Hampshire Daily'!Z20&lt;0),"0",('Hampshire Daily'!Z21-'Hampshire Daily'!Z20))</f>
        <v>0</v>
      </c>
      <c r="X18" s="4">
        <f>IF(('Hampshire Daily'!AA21-'Hampshire Daily'!AA20&lt;0),"0",('Hampshire Daily'!AA21-'Hampshire Daily'!AA20))</f>
        <v>1</v>
      </c>
      <c r="Y18" s="4">
        <f>'Hampshire Daily'!B21</f>
        <v>10</v>
      </c>
      <c r="Z18" s="4">
        <f>'Hampshire Daily'!C21</f>
        <v>10</v>
      </c>
    </row>
    <row r="19" spans="1:26" x14ac:dyDescent="0.25">
      <c r="A19" s="3" t="s">
        <v>40</v>
      </c>
      <c r="B19" s="1">
        <f t="shared" si="0"/>
        <v>18</v>
      </c>
      <c r="C19" s="17">
        <v>4</v>
      </c>
      <c r="D19" s="1">
        <v>2021</v>
      </c>
      <c r="E19" s="4">
        <f>IF(('Hampshire Daily'!D22-'Hampshire Daily'!D21&lt;0),"0",('Hampshire Daily'!D22-'Hampshire Daily'!D21))</f>
        <v>980</v>
      </c>
      <c r="F19" s="4">
        <f>IF(('Hampshire Daily'!F22-'Hampshire Daily'!F21&lt;0),"0",('Hampshire Daily'!F22-'Hampshire Daily'!F21))</f>
        <v>2431</v>
      </c>
      <c r="G19" s="4">
        <f>IF(('Hampshire Daily'!H22-'Hampshire Daily'!H21&lt;0),"0",('Hampshire Daily'!H22-'Hampshire Daily'!H21))</f>
        <v>535</v>
      </c>
      <c r="H19" s="4">
        <f>IF(('Hampshire Daily'!I22-'Hampshire Daily'!I21&lt;0),"0",('Hampshire Daily'!I22-'Hampshire Daily'!I21))</f>
        <v>1200</v>
      </c>
      <c r="I19" s="4">
        <f>IF(('Hampshire Daily'!J22-'Hampshire Daily'!J21&lt;0),"0",('Hampshire Daily'!J22-'Hampshire Daily'!J21))</f>
        <v>0</v>
      </c>
      <c r="J19" s="4">
        <f>IF(('Hampshire Daily'!K22-'Hampshire Daily'!K21&lt;0),"0",('Hampshire Daily'!K22-'Hampshire Daily'!K21))</f>
        <v>802</v>
      </c>
      <c r="K19" s="4">
        <f>IF(('Hampshire Daily'!L22-'Hampshire Daily'!L21&lt;0),"0",('Hampshire Daily'!L22-'Hampshire Daily'!L21))</f>
        <v>224</v>
      </c>
      <c r="L19" s="4">
        <f>IF(('Hampshire Daily'!M22-'Hampshire Daily'!M21&lt;0),"0",('Hampshire Daily'!M22-'Hampshire Daily'!M21))</f>
        <v>0</v>
      </c>
      <c r="M19" s="4">
        <f>IF(('Hampshire Daily'!N22-'Hampshire Daily'!N21&lt;0),"0",('Hampshire Daily'!N22-'Hampshire Daily'!N21))</f>
        <v>1840</v>
      </c>
      <c r="N19" s="4">
        <f>IF(('Hampshire Daily'!O22-'Hampshire Daily'!O21&lt;0),"0",('Hampshire Daily'!O22-'Hampshire Daily'!O21))</f>
        <v>28</v>
      </c>
      <c r="O19" s="4">
        <f>IF(('Hampshire Daily'!P22-'Hampshire Daily'!P21&lt;0),"0",('Hampshire Daily'!P22-'Hampshire Daily'!P21))</f>
        <v>0</v>
      </c>
      <c r="P19" s="4">
        <f>IF(('Hampshire Daily'!Q22-'Hampshire Daily'!Q21&lt;0),"0",('Hampshire Daily'!Q22-'Hampshire Daily'!Q21))</f>
        <v>0</v>
      </c>
      <c r="Q19" s="4">
        <f>IF(('Hampshire Daily'!R22-'Hampshire Daily'!R21&lt;0),"0",('Hampshire Daily'!R22-'Hampshire Daily'!R21))</f>
        <v>0</v>
      </c>
      <c r="R19" s="4">
        <f>IF(('Hampshire Daily'!U22-'Hampshire Daily'!U21&lt;0),"0",('Hampshire Daily'!U22-'Hampshire Daily'!U21))</f>
        <v>3</v>
      </c>
      <c r="S19" s="4">
        <f>IF(('Hampshire Daily'!V22-'Hampshire Daily'!V21&lt;0),"0",('Hampshire Daily'!V22-'Hampshire Daily'!V21))</f>
        <v>2</v>
      </c>
      <c r="T19" s="4">
        <f>IF(('Hampshire Daily'!W22-'Hampshire Daily'!W21&lt;0),"0",('Hampshire Daily'!W22-'Hampshire Daily'!W21))</f>
        <v>0</v>
      </c>
      <c r="U19" s="4">
        <f>IF(('Hampshire Daily'!X22-'Hampshire Daily'!X21&lt;0),"0",('Hampshire Daily'!X22-'Hampshire Daily'!X21))</f>
        <v>9.9999999997635314E-4</v>
      </c>
      <c r="V19" s="4">
        <f>IF(('Hampshire Daily'!Y22-'Hampshire Daily'!Y21&lt;0),"0",('Hampshire Daily'!Y22-'Hampshire Daily'!Y21))</f>
        <v>0</v>
      </c>
      <c r="W19" s="4">
        <f>IF(('Hampshire Daily'!Z22-'Hampshire Daily'!Z21&lt;0),"0",('Hampshire Daily'!Z22-'Hampshire Daily'!Z21))</f>
        <v>0</v>
      </c>
      <c r="X19" s="4">
        <f>IF(('Hampshire Daily'!AA22-'Hampshire Daily'!AA21&lt;0),"0",('Hampshire Daily'!AA22-'Hampshire Daily'!AA21))</f>
        <v>7</v>
      </c>
      <c r="Y19" s="4">
        <f>'Hampshire Daily'!B22</f>
        <v>10</v>
      </c>
      <c r="Z19" s="4">
        <f>'Hampshire Daily'!C22</f>
        <v>10</v>
      </c>
    </row>
    <row r="20" spans="1:26" x14ac:dyDescent="0.25">
      <c r="A20" s="3" t="s">
        <v>40</v>
      </c>
      <c r="B20" s="1">
        <f t="shared" si="0"/>
        <v>19</v>
      </c>
      <c r="C20" s="17">
        <v>4</v>
      </c>
      <c r="D20" s="1">
        <v>2021</v>
      </c>
      <c r="E20" s="4">
        <f>IF(('Hampshire Daily'!D23-'Hampshire Daily'!D22&lt;0),"0",('Hampshire Daily'!D23-'Hampshire Daily'!D22))</f>
        <v>982</v>
      </c>
      <c r="F20" s="4">
        <f>IF(('Hampshire Daily'!F23-'Hampshire Daily'!F22&lt;0),"0",('Hampshire Daily'!F23-'Hampshire Daily'!F22))</f>
        <v>2390</v>
      </c>
      <c r="G20" s="4">
        <f>IF(('Hampshire Daily'!H23-'Hampshire Daily'!H22&lt;0),"0",('Hampshire Daily'!H23-'Hampshire Daily'!H22))</f>
        <v>515</v>
      </c>
      <c r="H20" s="4">
        <f>IF(('Hampshire Daily'!I23-'Hampshire Daily'!I22&lt;0),"0",('Hampshire Daily'!I23-'Hampshire Daily'!I22))</f>
        <v>1200</v>
      </c>
      <c r="I20" s="4">
        <f>IF(('Hampshire Daily'!J23-'Hampshire Daily'!J22&lt;0),"0",('Hampshire Daily'!J23-'Hampshire Daily'!J22))</f>
        <v>0</v>
      </c>
      <c r="J20" s="4">
        <f>IF(('Hampshire Daily'!K23-'Hampshire Daily'!K22&lt;0),"0",('Hampshire Daily'!K23-'Hampshire Daily'!K22))</f>
        <v>802</v>
      </c>
      <c r="K20" s="4">
        <f>IF(('Hampshire Daily'!L23-'Hampshire Daily'!L22&lt;0),"0",('Hampshire Daily'!L23-'Hampshire Daily'!L22))</f>
        <v>246</v>
      </c>
      <c r="L20" s="4">
        <f>IF(('Hampshire Daily'!M23-'Hampshire Daily'!M22&lt;0),"0",('Hampshire Daily'!M23-'Hampshire Daily'!M22))</f>
        <v>0</v>
      </c>
      <c r="M20" s="4">
        <f>IF(('Hampshire Daily'!N23-'Hampshire Daily'!N22&lt;0),"0",('Hampshire Daily'!N23-'Hampshire Daily'!N22))</f>
        <v>1816</v>
      </c>
      <c r="N20" s="4">
        <f>IF(('Hampshire Daily'!O23-'Hampshire Daily'!O22&lt;0),"0",('Hampshire Daily'!O23-'Hampshire Daily'!O22))</f>
        <v>33</v>
      </c>
      <c r="O20" s="4">
        <f>IF(('Hampshire Daily'!P23-'Hampshire Daily'!P22&lt;0),"0",('Hampshire Daily'!P23-'Hampshire Daily'!P22))</f>
        <v>0</v>
      </c>
      <c r="P20" s="4">
        <f>IF(('Hampshire Daily'!Q23-'Hampshire Daily'!Q22&lt;0),"0",('Hampshire Daily'!Q23-'Hampshire Daily'!Q22))</f>
        <v>0</v>
      </c>
      <c r="Q20" s="4">
        <f>IF(('Hampshire Daily'!R23-'Hampshire Daily'!R22&lt;0),"0",('Hampshire Daily'!R23-'Hampshire Daily'!R22))</f>
        <v>0</v>
      </c>
      <c r="R20" s="4">
        <f>IF(('Hampshire Daily'!U23-'Hampshire Daily'!U22&lt;0),"0",('Hampshire Daily'!U23-'Hampshire Daily'!U22))</f>
        <v>3</v>
      </c>
      <c r="S20" s="4">
        <f>IF(('Hampshire Daily'!V23-'Hampshire Daily'!V22&lt;0),"0",('Hampshire Daily'!V23-'Hampshire Daily'!V22))</f>
        <v>1</v>
      </c>
      <c r="T20" s="4">
        <f>IF(('Hampshire Daily'!W23-'Hampshire Daily'!W22&lt;0),"0",('Hampshire Daily'!W23-'Hampshire Daily'!W22))</f>
        <v>0</v>
      </c>
      <c r="U20" s="4">
        <f>IF(('Hampshire Daily'!X23-'Hampshire Daily'!X22&lt;0),"0",('Hampshire Daily'!X23-'Hampshire Daily'!X22))</f>
        <v>0</v>
      </c>
      <c r="V20" s="4">
        <f>IF(('Hampshire Daily'!Y23-'Hampshire Daily'!Y22&lt;0),"0",('Hampshire Daily'!Y23-'Hampshire Daily'!Y22))</f>
        <v>0</v>
      </c>
      <c r="W20" s="4">
        <f>IF(('Hampshire Daily'!Z23-'Hampshire Daily'!Z22&lt;0),"0",('Hampshire Daily'!Z23-'Hampshire Daily'!Z22))</f>
        <v>0</v>
      </c>
      <c r="X20" s="4">
        <f>IF(('Hampshire Daily'!AA23-'Hampshire Daily'!AA22&lt;0),"0",('Hampshire Daily'!AA23-'Hampshire Daily'!AA22))</f>
        <v>12</v>
      </c>
      <c r="Y20" s="4">
        <f>'Hampshire Daily'!B23</f>
        <v>10</v>
      </c>
      <c r="Z20" s="4">
        <f>'Hampshire Daily'!C23</f>
        <v>10</v>
      </c>
    </row>
    <row r="21" spans="1:26" x14ac:dyDescent="0.25">
      <c r="A21" s="3" t="s">
        <v>40</v>
      </c>
      <c r="B21" s="1">
        <f t="shared" si="0"/>
        <v>20</v>
      </c>
      <c r="C21" s="17">
        <v>4</v>
      </c>
      <c r="D21" s="1">
        <v>2021</v>
      </c>
      <c r="E21" s="4">
        <f>IF(('Hampshire Daily'!D24-'Hampshire Daily'!D23&lt;0),"0",('Hampshire Daily'!D24-'Hampshire Daily'!D23))</f>
        <v>1014</v>
      </c>
      <c r="F21" s="4">
        <f>IF(('Hampshire Daily'!F24-'Hampshire Daily'!F23&lt;0),"0",('Hampshire Daily'!F24-'Hampshire Daily'!F23))</f>
        <v>1137</v>
      </c>
      <c r="G21" s="4">
        <f>IF(('Hampshire Daily'!H24-'Hampshire Daily'!H23&lt;0),"0",('Hampshire Daily'!H24-'Hampshire Daily'!H23))</f>
        <v>482</v>
      </c>
      <c r="H21" s="4">
        <f>IF(('Hampshire Daily'!I24-'Hampshire Daily'!I23&lt;0),"0",('Hampshire Daily'!I24-'Hampshire Daily'!I23))</f>
        <v>861</v>
      </c>
      <c r="I21" s="4">
        <f>IF(('Hampshire Daily'!J24-'Hampshire Daily'!J23&lt;0),"0",('Hampshire Daily'!J24-'Hampshire Daily'!J23))</f>
        <v>0</v>
      </c>
      <c r="J21" s="4">
        <f>IF(('Hampshire Daily'!K24-'Hampshire Daily'!K23&lt;0),"0",('Hampshire Daily'!K24-'Hampshire Daily'!K23))</f>
        <v>810</v>
      </c>
      <c r="K21" s="4">
        <f>IF(('Hampshire Daily'!L24-'Hampshire Daily'!L23&lt;0),"0",('Hampshire Daily'!L24-'Hampshire Daily'!L23))</f>
        <v>460</v>
      </c>
      <c r="L21" s="4">
        <f>IF(('Hampshire Daily'!M24-'Hampshire Daily'!M23&lt;0),"0",('Hampshire Daily'!M24-'Hampshire Daily'!M23))</f>
        <v>23</v>
      </c>
      <c r="M21" s="4">
        <f>IF(('Hampshire Daily'!N24-'Hampshire Daily'!N23&lt;0),"0",('Hampshire Daily'!N24-'Hampshire Daily'!N23))</f>
        <v>2127</v>
      </c>
      <c r="N21" s="4">
        <f>IF(('Hampshire Daily'!O24-'Hampshire Daily'!O23&lt;0),"0",('Hampshire Daily'!O24-'Hampshire Daily'!O23))</f>
        <v>41</v>
      </c>
      <c r="O21" s="4">
        <f>IF(('Hampshire Daily'!P24-'Hampshire Daily'!P23&lt;0),"0",('Hampshire Daily'!P24-'Hampshire Daily'!P23))</f>
        <v>0</v>
      </c>
      <c r="P21" s="4">
        <f>IF(('Hampshire Daily'!Q24-'Hampshire Daily'!Q23&lt;0),"0",('Hampshire Daily'!Q24-'Hampshire Daily'!Q23))</f>
        <v>0</v>
      </c>
      <c r="Q21" s="4">
        <f>IF(('Hampshire Daily'!R24-'Hampshire Daily'!R23&lt;0),"0",('Hampshire Daily'!R24-'Hampshire Daily'!R23))</f>
        <v>0</v>
      </c>
      <c r="R21" s="4">
        <f>IF(('Hampshire Daily'!U24-'Hampshire Daily'!U23&lt;0),"0",('Hampshire Daily'!U24-'Hampshire Daily'!U23))</f>
        <v>10</v>
      </c>
      <c r="S21" s="4">
        <f>IF(('Hampshire Daily'!V24-'Hampshire Daily'!V23&lt;0),"0",('Hampshire Daily'!V24-'Hampshire Daily'!V23))</f>
        <v>2</v>
      </c>
      <c r="T21" s="4">
        <f>IF(('Hampshire Daily'!W24-'Hampshire Daily'!W23&lt;0),"0",('Hampshire Daily'!W24-'Hampshire Daily'!W23))</f>
        <v>7.5999999999964984E-2</v>
      </c>
      <c r="U21" s="4">
        <f>IF(('Hampshire Daily'!X24-'Hampshire Daily'!X23&lt;0),"0",('Hampshire Daily'!X24-'Hampshire Daily'!X23))</f>
        <v>4.0000000000190994E-3</v>
      </c>
      <c r="V21" s="4">
        <f>IF(('Hampshire Daily'!Y24-'Hampshire Daily'!Y23&lt;0),"0",('Hampshire Daily'!Y24-'Hampshire Daily'!Y23))</f>
        <v>0</v>
      </c>
      <c r="W21" s="4">
        <f>IF(('Hampshire Daily'!Z24-'Hampshire Daily'!Z23&lt;0),"0",('Hampshire Daily'!Z24-'Hampshire Daily'!Z23))</f>
        <v>0</v>
      </c>
      <c r="X21" s="4">
        <f>IF(('Hampshire Daily'!AA24-'Hampshire Daily'!AA23&lt;0),"0",('Hampshire Daily'!AA24-'Hampshire Daily'!AA23))</f>
        <v>7</v>
      </c>
      <c r="Y21" s="4">
        <f>'Hampshire Daily'!B24</f>
        <v>10</v>
      </c>
      <c r="Z21" s="4">
        <f>'Hampshire Daily'!C24</f>
        <v>10</v>
      </c>
    </row>
    <row r="22" spans="1:26" x14ac:dyDescent="0.25">
      <c r="A22" s="3" t="s">
        <v>40</v>
      </c>
      <c r="B22" s="1">
        <f t="shared" si="0"/>
        <v>21</v>
      </c>
      <c r="C22" s="17">
        <v>4</v>
      </c>
      <c r="D22" s="1">
        <v>2021</v>
      </c>
      <c r="E22" s="4">
        <f>IF(('Hampshire Daily'!D25-'Hampshire Daily'!D24&lt;0),"0",('Hampshire Daily'!D25-'Hampshire Daily'!D24))</f>
        <v>1014</v>
      </c>
      <c r="F22" s="4">
        <f>IF(('Hampshire Daily'!F25-'Hampshire Daily'!F24&lt;0),"0",('Hampshire Daily'!F25-'Hampshire Daily'!F24))</f>
        <v>1137</v>
      </c>
      <c r="G22" s="4">
        <f>IF(('Hampshire Daily'!H25-'Hampshire Daily'!H24&lt;0),"0",('Hampshire Daily'!H25-'Hampshire Daily'!H24))</f>
        <v>3</v>
      </c>
      <c r="H22" s="4">
        <f>IF(('Hampshire Daily'!I25-'Hampshire Daily'!I24&lt;0),"0",('Hampshire Daily'!I25-'Hampshire Daily'!I24))</f>
        <v>1200</v>
      </c>
      <c r="I22" s="4">
        <f>IF(('Hampshire Daily'!J25-'Hampshire Daily'!J24&lt;0),"0",('Hampshire Daily'!J25-'Hampshire Daily'!J24))</f>
        <v>0</v>
      </c>
      <c r="J22" s="4">
        <f>IF(('Hampshire Daily'!K25-'Hampshire Daily'!K24&lt;0),"0",('Hampshire Daily'!K25-'Hampshire Daily'!K24))</f>
        <v>2645</v>
      </c>
      <c r="K22" s="4">
        <f>IF(('Hampshire Daily'!L25-'Hampshire Daily'!L24&lt;0),"0",('Hampshire Daily'!L25-'Hampshire Daily'!L24))</f>
        <v>203</v>
      </c>
      <c r="L22" s="4">
        <f>IF(('Hampshire Daily'!M25-'Hampshire Daily'!M24&lt;0),"0",('Hampshire Daily'!M25-'Hampshire Daily'!M24))</f>
        <v>0</v>
      </c>
      <c r="M22" s="4">
        <f>IF(('Hampshire Daily'!N25-'Hampshire Daily'!N24&lt;0),"0",('Hampshire Daily'!N25-'Hampshire Daily'!N24))</f>
        <v>1982</v>
      </c>
      <c r="N22" s="4">
        <f>IF(('Hampshire Daily'!O25-'Hampshire Daily'!O24&lt;0),"0",('Hampshire Daily'!O25-'Hampshire Daily'!O24))</f>
        <v>36</v>
      </c>
      <c r="O22" s="4">
        <f>IF(('Hampshire Daily'!P25-'Hampshire Daily'!P24&lt;0),"0",('Hampshire Daily'!P25-'Hampshire Daily'!P24))</f>
        <v>0</v>
      </c>
      <c r="P22" s="4">
        <f>IF(('Hampshire Daily'!Q25-'Hampshire Daily'!Q24&lt;0),"0",('Hampshire Daily'!Q25-'Hampshire Daily'!Q24))</f>
        <v>0</v>
      </c>
      <c r="Q22" s="4">
        <f>IF(('Hampshire Daily'!R25-'Hampshire Daily'!R24&lt;0),"0",('Hampshire Daily'!R25-'Hampshire Daily'!R24))</f>
        <v>0</v>
      </c>
      <c r="R22" s="4">
        <f>IF(('Hampshire Daily'!U25-'Hampshire Daily'!U24&lt;0),"0",('Hampshire Daily'!U25-'Hampshire Daily'!U24))</f>
        <v>4</v>
      </c>
      <c r="S22" s="4">
        <f>IF(('Hampshire Daily'!V25-'Hampshire Daily'!V24&lt;0),"0",('Hampshire Daily'!V25-'Hampshire Daily'!V24))</f>
        <v>1</v>
      </c>
      <c r="T22" s="4">
        <f>IF(('Hampshire Daily'!W25-'Hampshire Daily'!W24&lt;0),"0",('Hampshire Daily'!W25-'Hampshire Daily'!W24))</f>
        <v>0</v>
      </c>
      <c r="U22" s="4">
        <f>IF(('Hampshire Daily'!X25-'Hampshire Daily'!X24&lt;0),"0",('Hampshire Daily'!X25-'Hampshire Daily'!X24))</f>
        <v>0.11799999999993815</v>
      </c>
      <c r="V22" s="4">
        <f>IF(('Hampshire Daily'!Y25-'Hampshire Daily'!Y24&lt;0),"0",('Hampshire Daily'!Y25-'Hampshire Daily'!Y24))</f>
        <v>0</v>
      </c>
      <c r="W22" s="4">
        <f>IF(('Hampshire Daily'!Z25-'Hampshire Daily'!Z24&lt;0),"0",('Hampshire Daily'!Z25-'Hampshire Daily'!Z24))</f>
        <v>0</v>
      </c>
      <c r="X22" s="4">
        <f>IF(('Hampshire Daily'!AA25-'Hampshire Daily'!AA24&lt;0),"0",('Hampshire Daily'!AA25-'Hampshire Daily'!AA24))</f>
        <v>2</v>
      </c>
      <c r="Y22" s="4">
        <f>'Hampshire Daily'!B25</f>
        <v>10</v>
      </c>
      <c r="Z22" s="4">
        <f>'Hampshire Daily'!C25</f>
        <v>10</v>
      </c>
    </row>
    <row r="23" spans="1:26" x14ac:dyDescent="0.25">
      <c r="A23" s="3" t="s">
        <v>40</v>
      </c>
      <c r="B23" s="1">
        <f t="shared" si="0"/>
        <v>22</v>
      </c>
      <c r="C23" s="17">
        <v>4</v>
      </c>
      <c r="D23" s="1">
        <v>2021</v>
      </c>
      <c r="E23" s="4">
        <f>IF(('Hampshire Daily'!D26-'Hampshire Daily'!D25&lt;0),"0",('Hampshire Daily'!D26-'Hampshire Daily'!D25))</f>
        <v>1016</v>
      </c>
      <c r="F23" s="4">
        <f>IF(('Hampshire Daily'!F26-'Hampshire Daily'!F25&lt;0),"0",('Hampshire Daily'!F26-'Hampshire Daily'!F25))</f>
        <v>1139</v>
      </c>
      <c r="G23" s="4">
        <f>IF(('Hampshire Daily'!H26-'Hampshire Daily'!H25&lt;0),"0",('Hampshire Daily'!H26-'Hampshire Daily'!H25))</f>
        <v>111</v>
      </c>
      <c r="H23" s="4">
        <f>IF(('Hampshire Daily'!I26-'Hampshire Daily'!I25&lt;0),"0",('Hampshire Daily'!I26-'Hampshire Daily'!I25))</f>
        <v>1153</v>
      </c>
      <c r="I23" s="4">
        <f>IF(('Hampshire Daily'!J26-'Hampshire Daily'!J25&lt;0),"0",('Hampshire Daily'!J26-'Hampshire Daily'!J25))</f>
        <v>0</v>
      </c>
      <c r="J23" s="4">
        <f>IF(('Hampshire Daily'!K26-'Hampshire Daily'!K25&lt;0),"0",('Hampshire Daily'!K26-'Hampshire Daily'!K25))</f>
        <v>2645</v>
      </c>
      <c r="K23" s="4">
        <f>IF(('Hampshire Daily'!L26-'Hampshire Daily'!L25&lt;0),"0",('Hampshire Daily'!L26-'Hampshire Daily'!L25))</f>
        <v>468</v>
      </c>
      <c r="L23" s="4">
        <f>IF(('Hampshire Daily'!M26-'Hampshire Daily'!M25&lt;0),"0",('Hampshire Daily'!M26-'Hampshire Daily'!M25))</f>
        <v>0</v>
      </c>
      <c r="M23" s="4">
        <f>IF(('Hampshire Daily'!N26-'Hampshire Daily'!N25&lt;0),"0",('Hampshire Daily'!N26-'Hampshire Daily'!N25))</f>
        <v>1723</v>
      </c>
      <c r="N23" s="4">
        <f>IF(('Hampshire Daily'!O26-'Hampshire Daily'!O25&lt;0),"0",('Hampshire Daily'!O26-'Hampshire Daily'!O25))</f>
        <v>38</v>
      </c>
      <c r="O23" s="4">
        <f>IF(('Hampshire Daily'!P26-'Hampshire Daily'!P25&lt;0),"0",('Hampshire Daily'!P26-'Hampshire Daily'!P25))</f>
        <v>0</v>
      </c>
      <c r="P23" s="4">
        <f>IF(('Hampshire Daily'!Q26-'Hampshire Daily'!Q25&lt;0),"0",('Hampshire Daily'!Q26-'Hampshire Daily'!Q25))</f>
        <v>0</v>
      </c>
      <c r="Q23" s="4">
        <f>IF(('Hampshire Daily'!R26-'Hampshire Daily'!R25&lt;0),"0",('Hampshire Daily'!R26-'Hampshire Daily'!R25))</f>
        <v>0</v>
      </c>
      <c r="R23" s="4">
        <f>IF(('Hampshire Daily'!U26-'Hampshire Daily'!U25&lt;0),"0",('Hampshire Daily'!U26-'Hampshire Daily'!U25))</f>
        <v>7</v>
      </c>
      <c r="S23" s="4">
        <f>IF(('Hampshire Daily'!V26-'Hampshire Daily'!V25&lt;0),"0",('Hampshire Daily'!V26-'Hampshire Daily'!V25))</f>
        <v>1</v>
      </c>
      <c r="T23" s="4">
        <f>IF(('Hampshire Daily'!W26-'Hampshire Daily'!W25&lt;0),"0",('Hampshire Daily'!W26-'Hampshire Daily'!W25))</f>
        <v>9.7000000000036835E-2</v>
      </c>
      <c r="U23" s="4">
        <f>IF(('Hampshire Daily'!X26-'Hampshire Daily'!X25&lt;0),"0",('Hampshire Daily'!X26-'Hampshire Daily'!X25))</f>
        <v>9.8000000000070031E-2</v>
      </c>
      <c r="V23" s="4">
        <f>IF(('Hampshire Daily'!Y26-'Hampshire Daily'!Y25&lt;0),"0",('Hampshire Daily'!Y26-'Hampshire Daily'!Y25))</f>
        <v>0</v>
      </c>
      <c r="W23" s="4">
        <f>IF(('Hampshire Daily'!Z26-'Hampshire Daily'!Z25&lt;0),"0",('Hampshire Daily'!Z26-'Hampshire Daily'!Z25))</f>
        <v>0</v>
      </c>
      <c r="X23" s="4">
        <f>IF(('Hampshire Daily'!AA26-'Hampshire Daily'!AA25&lt;0),"0",('Hampshire Daily'!AA26-'Hampshire Daily'!AA25))</f>
        <v>4</v>
      </c>
      <c r="Y23" s="4">
        <f>'Hampshire Daily'!B26</f>
        <v>10</v>
      </c>
      <c r="Z23" s="4">
        <f>'Hampshire Daily'!C26</f>
        <v>10</v>
      </c>
    </row>
    <row r="24" spans="1:26" x14ac:dyDescent="0.25">
      <c r="A24" s="3" t="s">
        <v>40</v>
      </c>
      <c r="B24" s="1">
        <f t="shared" si="0"/>
        <v>23</v>
      </c>
      <c r="C24" s="17">
        <v>4</v>
      </c>
      <c r="D24" s="1">
        <v>2021</v>
      </c>
      <c r="E24" s="4">
        <f>IF(('Hampshire Daily'!D27-'Hampshire Daily'!D26&lt;0),"0",('Hampshire Daily'!D27-'Hampshire Daily'!D26))</f>
        <v>835</v>
      </c>
      <c r="F24" s="4">
        <f>IF(('Hampshire Daily'!F27-'Hampshire Daily'!F26&lt;0),"0",('Hampshire Daily'!F27-'Hampshire Daily'!F26))</f>
        <v>1715</v>
      </c>
      <c r="G24" s="4">
        <f>IF(('Hampshire Daily'!H27-'Hampshire Daily'!H26&lt;0),"0",('Hampshire Daily'!H27-'Hampshire Daily'!H26))</f>
        <v>111</v>
      </c>
      <c r="H24" s="4">
        <f>IF(('Hampshire Daily'!I27-'Hampshire Daily'!I26&lt;0),"0",('Hampshire Daily'!I27-'Hampshire Daily'!I26))</f>
        <v>1200</v>
      </c>
      <c r="I24" s="4">
        <f>IF(('Hampshire Daily'!J27-'Hampshire Daily'!J26&lt;0),"0",('Hampshire Daily'!J27-'Hampshire Daily'!J26))</f>
        <v>0</v>
      </c>
      <c r="J24" s="4">
        <f>IF(('Hampshire Daily'!K27-'Hampshire Daily'!K26&lt;0),"0",('Hampshire Daily'!K27-'Hampshire Daily'!K26))</f>
        <v>2645</v>
      </c>
      <c r="K24" s="4">
        <f>IF(('Hampshire Daily'!L27-'Hampshire Daily'!L26&lt;0),"0",('Hampshire Daily'!L27-'Hampshire Daily'!L26))</f>
        <v>268</v>
      </c>
      <c r="L24" s="4">
        <f>IF(('Hampshire Daily'!M27-'Hampshire Daily'!M26&lt;0),"0",('Hampshire Daily'!M27-'Hampshire Daily'!M26))</f>
        <v>0</v>
      </c>
      <c r="M24" s="4">
        <f>IF(('Hampshire Daily'!N27-'Hampshire Daily'!N26&lt;0),"0",('Hampshire Daily'!N27-'Hampshire Daily'!N26))</f>
        <v>1195</v>
      </c>
      <c r="N24" s="4">
        <f>IF(('Hampshire Daily'!O27-'Hampshire Daily'!O26&lt;0),"0",('Hampshire Daily'!O27-'Hampshire Daily'!O26))</f>
        <v>29</v>
      </c>
      <c r="O24" s="4">
        <f>IF(('Hampshire Daily'!P27-'Hampshire Daily'!P26&lt;0),"0",('Hampshire Daily'!P27-'Hampshire Daily'!P26))</f>
        <v>0</v>
      </c>
      <c r="P24" s="4">
        <f>IF(('Hampshire Daily'!Q27-'Hampshire Daily'!Q26&lt;0),"0",('Hampshire Daily'!Q27-'Hampshire Daily'!Q26))</f>
        <v>0</v>
      </c>
      <c r="Q24" s="4">
        <f>IF(('Hampshire Daily'!R27-'Hampshire Daily'!R26&lt;0),"0",('Hampshire Daily'!R27-'Hampshire Daily'!R26))</f>
        <v>0</v>
      </c>
      <c r="R24" s="4">
        <f>IF(('Hampshire Daily'!U27-'Hampshire Daily'!U26&lt;0),"0",('Hampshire Daily'!U27-'Hampshire Daily'!U26))</f>
        <v>5</v>
      </c>
      <c r="S24" s="4">
        <f>IF(('Hampshire Daily'!V27-'Hampshire Daily'!V26&lt;0),"0",('Hampshire Daily'!V27-'Hampshire Daily'!V26))</f>
        <v>2</v>
      </c>
      <c r="T24" s="4">
        <f>IF(('Hampshire Daily'!W27-'Hampshire Daily'!W26&lt;0),"0",('Hampshire Daily'!W27-'Hampshire Daily'!W26))</f>
        <v>9.2999999999960892E-2</v>
      </c>
      <c r="U24" s="4">
        <f>IF(('Hampshire Daily'!X27-'Hampshire Daily'!X26&lt;0),"0",('Hampshire Daily'!X27-'Hampshire Daily'!X26))</f>
        <v>0.38800000000003365</v>
      </c>
      <c r="V24" s="4">
        <f>IF(('Hampshire Daily'!Y27-'Hampshire Daily'!Y26&lt;0),"0",('Hampshire Daily'!Y27-'Hampshire Daily'!Y26))</f>
        <v>0</v>
      </c>
      <c r="W24" s="4">
        <f>IF(('Hampshire Daily'!Z27-'Hampshire Daily'!Z26&lt;0),"0",('Hampshire Daily'!Z27-'Hampshire Daily'!Z26))</f>
        <v>0</v>
      </c>
      <c r="X24" s="4">
        <f>IF(('Hampshire Daily'!AA27-'Hampshire Daily'!AA26&lt;0),"0",('Hampshire Daily'!AA27-'Hampshire Daily'!AA26))</f>
        <v>4</v>
      </c>
      <c r="Y24" s="4">
        <f>'Hampshire Daily'!B27</f>
        <v>10</v>
      </c>
      <c r="Z24" s="4">
        <f>'Hampshire Daily'!C27</f>
        <v>10</v>
      </c>
    </row>
    <row r="25" spans="1:26" x14ac:dyDescent="0.25">
      <c r="A25" s="3" t="s">
        <v>40</v>
      </c>
      <c r="B25" s="1">
        <f t="shared" si="0"/>
        <v>24</v>
      </c>
      <c r="C25" s="17">
        <v>4</v>
      </c>
      <c r="D25" s="1">
        <v>2021</v>
      </c>
      <c r="E25" s="4">
        <f>IF(('Hampshire Daily'!D28-'Hampshire Daily'!D27&lt;0),"0",('Hampshire Daily'!D28-'Hampshire Daily'!D27))</f>
        <v>940</v>
      </c>
      <c r="F25" s="4">
        <f>IF(('Hampshire Daily'!F28-'Hampshire Daily'!F27&lt;0),"0",('Hampshire Daily'!F28-'Hampshire Daily'!F27))</f>
        <v>1076</v>
      </c>
      <c r="G25" s="4">
        <f>IF(('Hampshire Daily'!H28-'Hampshire Daily'!H27&lt;0),"0",('Hampshire Daily'!H28-'Hampshire Daily'!H27))</f>
        <v>94</v>
      </c>
      <c r="H25" s="4">
        <f>IF(('Hampshire Daily'!I28-'Hampshire Daily'!I27&lt;0),"0",('Hampshire Daily'!I28-'Hampshire Daily'!I27))</f>
        <v>1200</v>
      </c>
      <c r="I25" s="4">
        <f>IF(('Hampshire Daily'!J28-'Hampshire Daily'!J27&lt;0),"0",('Hampshire Daily'!J28-'Hampshire Daily'!J27))</f>
        <v>0</v>
      </c>
      <c r="J25" s="4">
        <f>IF(('Hampshire Daily'!K28-'Hampshire Daily'!K27&lt;0),"0",('Hampshire Daily'!K28-'Hampshire Daily'!K27))</f>
        <v>2645</v>
      </c>
      <c r="K25" s="4">
        <f>IF(('Hampshire Daily'!L28-'Hampshire Daily'!L27&lt;0),"0",('Hampshire Daily'!L28-'Hampshire Daily'!L27))</f>
        <v>381</v>
      </c>
      <c r="L25" s="4">
        <f>IF(('Hampshire Daily'!M28-'Hampshire Daily'!M27&lt;0),"0",('Hampshire Daily'!M28-'Hampshire Daily'!M27))</f>
        <v>0</v>
      </c>
      <c r="M25" s="4">
        <f>IF(('Hampshire Daily'!N28-'Hampshire Daily'!N27&lt;0),"0",('Hampshire Daily'!N28-'Hampshire Daily'!N27))</f>
        <v>1889</v>
      </c>
      <c r="N25" s="4">
        <f>IF(('Hampshire Daily'!O28-'Hampshire Daily'!O27&lt;0),"0",('Hampshire Daily'!O28-'Hampshire Daily'!O27))</f>
        <v>38</v>
      </c>
      <c r="O25" s="4">
        <f>IF(('Hampshire Daily'!P28-'Hampshire Daily'!P27&lt;0),"0",('Hampshire Daily'!P28-'Hampshire Daily'!P27))</f>
        <v>0</v>
      </c>
      <c r="P25" s="4">
        <f>IF(('Hampshire Daily'!Q28-'Hampshire Daily'!Q27&lt;0),"0",('Hampshire Daily'!Q28-'Hampshire Daily'!Q27))</f>
        <v>0</v>
      </c>
      <c r="Q25" s="4">
        <f>IF(('Hampshire Daily'!R28-'Hampshire Daily'!R27&lt;0),"0",('Hampshire Daily'!R28-'Hampshire Daily'!R27))</f>
        <v>0</v>
      </c>
      <c r="R25" s="4">
        <f>IF(('Hampshire Daily'!U28-'Hampshire Daily'!U27&lt;0),"0",('Hampshire Daily'!U28-'Hampshire Daily'!U27))</f>
        <v>4</v>
      </c>
      <c r="S25" s="4">
        <f>IF(('Hampshire Daily'!V28-'Hampshire Daily'!V27&lt;0),"0",('Hampshire Daily'!V28-'Hampshire Daily'!V27))</f>
        <v>1</v>
      </c>
      <c r="T25" s="4">
        <f>IF(('Hampshire Daily'!W28-'Hampshire Daily'!W27&lt;0),"0",('Hampshire Daily'!W28-'Hampshire Daily'!W27))</f>
        <v>0</v>
      </c>
      <c r="U25" s="4">
        <f>IF(('Hampshire Daily'!X28-'Hampshire Daily'!X27&lt;0),"0",('Hampshire Daily'!X28-'Hampshire Daily'!X27))</f>
        <v>0.26299999999991996</v>
      </c>
      <c r="V25" s="4">
        <f>IF(('Hampshire Daily'!Y28-'Hampshire Daily'!Y27&lt;0),"0",('Hampshire Daily'!Y28-'Hampshire Daily'!Y27))</f>
        <v>0</v>
      </c>
      <c r="W25" s="4">
        <f>IF(('Hampshire Daily'!Z28-'Hampshire Daily'!Z27&lt;0),"0",('Hampshire Daily'!Z28-'Hampshire Daily'!Z27))</f>
        <v>0</v>
      </c>
      <c r="X25" s="4">
        <f>IF(('Hampshire Daily'!AA28-'Hampshire Daily'!AA27&lt;0),"0",('Hampshire Daily'!AA28-'Hampshire Daily'!AA27))</f>
        <v>4</v>
      </c>
      <c r="Y25" s="4">
        <f>'Hampshire Daily'!B28</f>
        <v>10</v>
      </c>
      <c r="Z25" s="4">
        <f>'Hampshire Daily'!C28</f>
        <v>10</v>
      </c>
    </row>
    <row r="26" spans="1:26" x14ac:dyDescent="0.25">
      <c r="A26" s="3" t="s">
        <v>40</v>
      </c>
      <c r="B26" s="15">
        <f>B25+1</f>
        <v>25</v>
      </c>
      <c r="C26" s="17">
        <v>4</v>
      </c>
      <c r="D26" s="1">
        <v>2021</v>
      </c>
      <c r="E26" s="4">
        <f>IF(('Hampshire Daily'!D29-'Hampshire Daily'!D28&lt;0),"0",('Hampshire Daily'!D29-'Hampshire Daily'!D28))</f>
        <v>974</v>
      </c>
      <c r="F26" s="4">
        <f>IF(('Hampshire Daily'!F29-'Hampshire Daily'!F28&lt;0),"0",('Hampshire Daily'!F29-'Hampshire Daily'!F28))</f>
        <v>383</v>
      </c>
      <c r="G26" s="4">
        <f>IF(('Hampshire Daily'!H29-'Hampshire Daily'!H28&lt;0),"0",('Hampshire Daily'!H29-'Hampshire Daily'!H28))</f>
        <v>0</v>
      </c>
      <c r="H26" s="4">
        <f>IF(('Hampshire Daily'!I29-'Hampshire Daily'!I28&lt;0),"0",('Hampshire Daily'!I29-'Hampshire Daily'!I28))</f>
        <v>1200</v>
      </c>
      <c r="I26" s="4">
        <f>IF(('Hampshire Daily'!J29-'Hampshire Daily'!J28&lt;0),"0",('Hampshire Daily'!J29-'Hampshire Daily'!J28))</f>
        <v>0</v>
      </c>
      <c r="J26" s="4">
        <f>IF(('Hampshire Daily'!K29-'Hampshire Daily'!K28&lt;0),"0",('Hampshire Daily'!K29-'Hampshire Daily'!K28))</f>
        <v>2645</v>
      </c>
      <c r="K26" s="4">
        <f>IF(('Hampshire Daily'!L29-'Hampshire Daily'!L28&lt;0),"0",('Hampshire Daily'!L29-'Hampshire Daily'!L28))</f>
        <v>381</v>
      </c>
      <c r="L26" s="4">
        <f>IF(('Hampshire Daily'!M29-'Hampshire Daily'!M28&lt;0),"0",('Hampshire Daily'!M29-'Hampshire Daily'!M28))</f>
        <v>0</v>
      </c>
      <c r="M26" s="4">
        <f>IF(('Hampshire Daily'!N29-'Hampshire Daily'!N28&lt;0),"0",('Hampshire Daily'!N29-'Hampshire Daily'!N28))</f>
        <v>2015</v>
      </c>
      <c r="N26" s="4">
        <f>IF(('Hampshire Daily'!O29-'Hampshire Daily'!O28&lt;0),"0",('Hampshire Daily'!O29-'Hampshire Daily'!O28))</f>
        <v>31</v>
      </c>
      <c r="O26" s="4">
        <f>IF(('Hampshire Daily'!P29-'Hampshire Daily'!P28&lt;0),"0",('Hampshire Daily'!P29-'Hampshire Daily'!P28))</f>
        <v>0</v>
      </c>
      <c r="P26" s="4">
        <f>IF(('Hampshire Daily'!Q29-'Hampshire Daily'!Q28&lt;0),"0",('Hampshire Daily'!Q29-'Hampshire Daily'!Q28))</f>
        <v>0</v>
      </c>
      <c r="Q26" s="4">
        <f>IF(('Hampshire Daily'!R29-'Hampshire Daily'!R28&lt;0),"0",('Hampshire Daily'!R29-'Hampshire Daily'!R28))</f>
        <v>0</v>
      </c>
      <c r="R26" s="4">
        <f>IF(('Hampshire Daily'!U29-'Hampshire Daily'!U28&lt;0),"0",('Hampshire Daily'!U29-'Hampshire Daily'!U28))</f>
        <v>4</v>
      </c>
      <c r="S26" s="4">
        <f>IF(('Hampshire Daily'!V29-'Hampshire Daily'!V28&lt;0),"0",('Hampshire Daily'!V29-'Hampshire Daily'!V28))</f>
        <v>1</v>
      </c>
      <c r="T26" s="4">
        <f>IF(('Hampshire Daily'!W29-'Hampshire Daily'!W28&lt;0),"0",('Hampshire Daily'!W29-'Hampshire Daily'!W28))</f>
        <v>7.6999999999998181E-2</v>
      </c>
      <c r="U26" s="4">
        <f>IF(('Hampshire Daily'!X29-'Hampshire Daily'!X28&lt;0),"0",('Hampshire Daily'!X29-'Hampshire Daily'!X28))</f>
        <v>0.11099999999999</v>
      </c>
      <c r="V26" s="4">
        <f>IF(('Hampshire Daily'!Y29-'Hampshire Daily'!Y28&lt;0),"0",('Hampshire Daily'!Y29-'Hampshire Daily'!Y28))</f>
        <v>0</v>
      </c>
      <c r="W26" s="4">
        <f>IF(('Hampshire Daily'!Z29-'Hampshire Daily'!Z28&lt;0),"0",('Hampshire Daily'!Z29-'Hampshire Daily'!Z28))</f>
        <v>0</v>
      </c>
      <c r="X26" s="4">
        <f>IF(('Hampshire Daily'!AA29-'Hampshire Daily'!AA28&lt;0),"0",('Hampshire Daily'!AA29-'Hampshire Daily'!AA28))</f>
        <v>8</v>
      </c>
      <c r="Y26" s="4">
        <f>'Hampshire Daily'!B29</f>
        <v>10</v>
      </c>
      <c r="Z26" s="4">
        <f>'Hampshire Daily'!C29</f>
        <v>10</v>
      </c>
    </row>
    <row r="27" spans="1:26" x14ac:dyDescent="0.25">
      <c r="A27" s="3" t="s">
        <v>40</v>
      </c>
      <c r="B27" s="1">
        <f t="shared" si="0"/>
        <v>26</v>
      </c>
      <c r="C27" s="17">
        <v>4</v>
      </c>
      <c r="D27" s="1">
        <v>2021</v>
      </c>
      <c r="E27" s="4">
        <f>IF(('Hampshire Daily'!D30-'Hampshire Daily'!D29&lt;0),"0",('Hampshire Daily'!D30-'Hampshire Daily'!D29))</f>
        <v>2211</v>
      </c>
      <c r="F27" s="4">
        <f>IF(('Hampshire Daily'!F30-'Hampshire Daily'!F29&lt;0),"0",('Hampshire Daily'!F30-'Hampshire Daily'!F29))</f>
        <v>379</v>
      </c>
      <c r="G27" s="4">
        <f>IF(('Hampshire Daily'!H30-'Hampshire Daily'!H29&lt;0),"0",('Hampshire Daily'!H30-'Hampshire Daily'!H29))</f>
        <v>0</v>
      </c>
      <c r="H27" s="4">
        <f>IF(('Hampshire Daily'!I30-'Hampshire Daily'!I29&lt;0),"0",('Hampshire Daily'!I30-'Hampshire Daily'!I29))</f>
        <v>1200</v>
      </c>
      <c r="I27" s="4">
        <f>IF(('Hampshire Daily'!J30-'Hampshire Daily'!J29&lt;0),"0",('Hampshire Daily'!J30-'Hampshire Daily'!J29))</f>
        <v>0</v>
      </c>
      <c r="J27" s="4">
        <f>IF(('Hampshire Daily'!K30-'Hampshire Daily'!K29&lt;0),"0",('Hampshire Daily'!K30-'Hampshire Daily'!K29))</f>
        <v>2645</v>
      </c>
      <c r="K27" s="4">
        <f>IF(('Hampshire Daily'!L30-'Hampshire Daily'!L29&lt;0),"0",('Hampshire Daily'!L30-'Hampshire Daily'!L29))</f>
        <v>381</v>
      </c>
      <c r="L27" s="4">
        <f>IF(('Hampshire Daily'!M30-'Hampshire Daily'!M29&lt;0),"0",('Hampshire Daily'!M30-'Hampshire Daily'!M29))</f>
        <v>112</v>
      </c>
      <c r="M27" s="4">
        <f>IF(('Hampshire Daily'!N30-'Hampshire Daily'!N29&lt;0),"0",('Hampshire Daily'!N30-'Hampshire Daily'!N29))</f>
        <v>1761</v>
      </c>
      <c r="N27" s="4">
        <f>IF(('Hampshire Daily'!O30-'Hampshire Daily'!O29&lt;0),"0",('Hampshire Daily'!O30-'Hampshire Daily'!O29))</f>
        <v>56</v>
      </c>
      <c r="O27" s="4">
        <f>IF(('Hampshire Daily'!P30-'Hampshire Daily'!P29&lt;0),"0",('Hampshire Daily'!P30-'Hampshire Daily'!P29))</f>
        <v>0</v>
      </c>
      <c r="P27" s="4">
        <f>IF(('Hampshire Daily'!Q30-'Hampshire Daily'!Q29&lt;0),"0",('Hampshire Daily'!Q30-'Hampshire Daily'!Q29))</f>
        <v>0</v>
      </c>
      <c r="Q27" s="4">
        <f>IF(('Hampshire Daily'!R30-'Hampshire Daily'!R29&lt;0),"0",('Hampshire Daily'!R30-'Hampshire Daily'!R29))</f>
        <v>0</v>
      </c>
      <c r="R27" s="4">
        <f>IF(('Hampshire Daily'!U30-'Hampshire Daily'!U29&lt;0),"0",('Hampshire Daily'!U30-'Hampshire Daily'!U29))</f>
        <v>3</v>
      </c>
      <c r="S27" s="4">
        <f>IF(('Hampshire Daily'!V30-'Hampshire Daily'!V29&lt;0),"0",('Hampshire Daily'!V30-'Hampshire Daily'!V29))</f>
        <v>20</v>
      </c>
      <c r="T27" s="4">
        <f>IF(('Hampshire Daily'!W30-'Hampshire Daily'!W29&lt;0),"0",('Hampshire Daily'!W30-'Hampshire Daily'!W29))</f>
        <v>0.54900000000003502</v>
      </c>
      <c r="U27" s="4">
        <f>IF(('Hampshire Daily'!X30-'Hampshire Daily'!X29&lt;0),"0",('Hampshire Daily'!X30-'Hampshire Daily'!X29))</f>
        <v>7.4000000000069122E-2</v>
      </c>
      <c r="V27" s="4">
        <f>IF(('Hampshire Daily'!Y30-'Hampshire Daily'!Y29&lt;0),"0",('Hampshire Daily'!Y30-'Hampshire Daily'!Y29))</f>
        <v>0</v>
      </c>
      <c r="W27" s="4">
        <f>IF(('Hampshire Daily'!Z30-'Hampshire Daily'!Z29&lt;0),"0",('Hampshire Daily'!Z30-'Hampshire Daily'!Z29))</f>
        <v>0</v>
      </c>
      <c r="X27" s="4">
        <f>IF(('Hampshire Daily'!AA30-'Hampshire Daily'!AA29&lt;0),"0",('Hampshire Daily'!AA30-'Hampshire Daily'!AA29))</f>
        <v>7</v>
      </c>
      <c r="Y27" s="4">
        <f>'Hampshire Daily'!B30</f>
        <v>10</v>
      </c>
      <c r="Z27" s="4">
        <f>'Hampshire Daily'!C30</f>
        <v>10</v>
      </c>
    </row>
    <row r="28" spans="1:26" x14ac:dyDescent="0.25">
      <c r="A28" s="3" t="s">
        <v>40</v>
      </c>
      <c r="B28" s="1">
        <f t="shared" si="0"/>
        <v>27</v>
      </c>
      <c r="C28" s="17">
        <v>4</v>
      </c>
      <c r="D28" s="1">
        <v>2021</v>
      </c>
      <c r="E28" s="4">
        <f>IF(('Hampshire Daily'!D31-'Hampshire Daily'!D30&lt;0),"0",('Hampshire Daily'!D31-'Hampshire Daily'!D30))</f>
        <v>1008</v>
      </c>
      <c r="F28" s="4">
        <f>IF(('Hampshire Daily'!F31-'Hampshire Daily'!F30&lt;0),"0",('Hampshire Daily'!F31-'Hampshire Daily'!F30))</f>
        <v>602</v>
      </c>
      <c r="G28" s="4">
        <f>IF(('Hampshire Daily'!H31-'Hampshire Daily'!H30&lt;0),"0",('Hampshire Daily'!H31-'Hampshire Daily'!H30))</f>
        <v>24</v>
      </c>
      <c r="H28" s="4">
        <f>IF(('Hampshire Daily'!I31-'Hampshire Daily'!I30&lt;0),"0",('Hampshire Daily'!I31-'Hampshire Daily'!I30))</f>
        <v>1200</v>
      </c>
      <c r="I28" s="4">
        <f>IF(('Hampshire Daily'!J31-'Hampshire Daily'!J30&lt;0),"0",('Hampshire Daily'!J31-'Hampshire Daily'!J30))</f>
        <v>0</v>
      </c>
      <c r="J28" s="4">
        <f>IF(('Hampshire Daily'!K31-'Hampshire Daily'!K30&lt;0),"0",('Hampshire Daily'!K31-'Hampshire Daily'!K30))</f>
        <v>2645</v>
      </c>
      <c r="K28" s="4">
        <f>IF(('Hampshire Daily'!L31-'Hampshire Daily'!L30&lt;0),"0",('Hampshire Daily'!L31-'Hampshire Daily'!L30))</f>
        <v>381</v>
      </c>
      <c r="L28" s="4">
        <f>IF(('Hampshire Daily'!M31-'Hampshire Daily'!M30&lt;0),"0",('Hampshire Daily'!M31-'Hampshire Daily'!M30))</f>
        <v>112</v>
      </c>
      <c r="M28" s="4">
        <f>IF(('Hampshire Daily'!N31-'Hampshire Daily'!N30&lt;0),"0",('Hampshire Daily'!N31-'Hampshire Daily'!N30))</f>
        <v>2127</v>
      </c>
      <c r="N28" s="4">
        <f>IF(('Hampshire Daily'!O31-'Hampshire Daily'!O30&lt;0),"0",('Hampshire Daily'!O31-'Hampshire Daily'!O30))</f>
        <v>42</v>
      </c>
      <c r="O28" s="4">
        <f>IF(('Hampshire Daily'!P31-'Hampshire Daily'!P30&lt;0),"0",('Hampshire Daily'!P31-'Hampshire Daily'!P30))</f>
        <v>0</v>
      </c>
      <c r="P28" s="4">
        <f>IF(('Hampshire Daily'!Q31-'Hampshire Daily'!Q30&lt;0),"0",('Hampshire Daily'!Q31-'Hampshire Daily'!Q30))</f>
        <v>0</v>
      </c>
      <c r="Q28" s="4">
        <f>IF(('Hampshire Daily'!R31-'Hampshire Daily'!R30&lt;0),"0",('Hampshire Daily'!R31-'Hampshire Daily'!R30))</f>
        <v>0</v>
      </c>
      <c r="R28" s="4">
        <f>IF(('Hampshire Daily'!U31-'Hampshire Daily'!U30&lt;0),"0",('Hampshire Daily'!U31-'Hampshire Daily'!U30))</f>
        <v>4</v>
      </c>
      <c r="S28" s="4">
        <f>IF(('Hampshire Daily'!V31-'Hampshire Daily'!V30&lt;0),"0",('Hampshire Daily'!V31-'Hampshire Daily'!V30))</f>
        <v>0</v>
      </c>
      <c r="T28" s="4">
        <f>IF(('Hampshire Daily'!W31-'Hampshire Daily'!W30&lt;0),"0",('Hampshire Daily'!W31-'Hampshire Daily'!W30))</f>
        <v>7.2999999999979082E-2</v>
      </c>
      <c r="U28" s="4">
        <f>IF(('Hampshire Daily'!X31-'Hampshire Daily'!X30&lt;0),"0",('Hampshire Daily'!X31-'Hampshire Daily'!X30))</f>
        <v>0.29099999999993997</v>
      </c>
      <c r="V28" s="4">
        <f>IF(('Hampshire Daily'!Y31-'Hampshire Daily'!Y30&lt;0),"0",('Hampshire Daily'!Y31-'Hampshire Daily'!Y30))</f>
        <v>0</v>
      </c>
      <c r="W28" s="4">
        <f>IF(('Hampshire Daily'!Z31-'Hampshire Daily'!Z30&lt;0),"0",('Hampshire Daily'!Z31-'Hampshire Daily'!Z30))</f>
        <v>1</v>
      </c>
      <c r="X28" s="4">
        <f>IF(('Hampshire Daily'!AA31-'Hampshire Daily'!AA30&lt;0),"0",('Hampshire Daily'!AA31-'Hampshire Daily'!AA30))</f>
        <v>8</v>
      </c>
      <c r="Y28" s="4">
        <f>'Hampshire Daily'!B31</f>
        <v>10</v>
      </c>
      <c r="Z28" s="4">
        <f>'Hampshire Daily'!C31</f>
        <v>10</v>
      </c>
    </row>
    <row r="29" spans="1:26" x14ac:dyDescent="0.25">
      <c r="A29" s="3" t="s">
        <v>40</v>
      </c>
      <c r="B29" s="1">
        <f t="shared" si="0"/>
        <v>28</v>
      </c>
      <c r="C29" s="17">
        <v>4</v>
      </c>
      <c r="D29" s="1">
        <v>2021</v>
      </c>
      <c r="E29" s="4">
        <f>IF(('Hampshire Daily'!D32-'Hampshire Daily'!D31&lt;0),"0",('Hampshire Daily'!D32-'Hampshire Daily'!D31))</f>
        <v>1000</v>
      </c>
      <c r="F29" s="4">
        <f>IF(('Hampshire Daily'!F32-'Hampshire Daily'!F31&lt;0),"0",('Hampshire Daily'!F32-'Hampshire Daily'!F31))</f>
        <v>424</v>
      </c>
      <c r="G29" s="4">
        <f>IF(('Hampshire Daily'!H32-'Hampshire Daily'!H31&lt;0),"0",('Hampshire Daily'!H32-'Hampshire Daily'!H31))</f>
        <v>6</v>
      </c>
      <c r="H29" s="4">
        <f>IF(('Hampshire Daily'!I32-'Hampshire Daily'!I31&lt;0),"0",('Hampshire Daily'!I32-'Hampshire Daily'!I31))</f>
        <v>1200</v>
      </c>
      <c r="I29" s="4">
        <f>IF(('Hampshire Daily'!J32-'Hampshire Daily'!J31&lt;0),"0",('Hampshire Daily'!J32-'Hampshire Daily'!J31))</f>
        <v>0</v>
      </c>
      <c r="J29" s="4">
        <f>IF(('Hampshire Daily'!K32-'Hampshire Daily'!K31&lt;0),"0",('Hampshire Daily'!K32-'Hampshire Daily'!K31))</f>
        <v>2645</v>
      </c>
      <c r="K29" s="4">
        <f>IF(('Hampshire Daily'!L32-'Hampshire Daily'!L31&lt;0),"0",('Hampshire Daily'!L32-'Hampshire Daily'!L31))</f>
        <v>381</v>
      </c>
      <c r="L29" s="4">
        <f>IF(('Hampshire Daily'!M32-'Hampshire Daily'!M31&lt;0),"0",('Hampshire Daily'!M32-'Hampshire Daily'!M31))</f>
        <v>114</v>
      </c>
      <c r="M29" s="4">
        <f>IF(('Hampshire Daily'!N32-'Hampshire Daily'!N31&lt;0),"0",('Hampshire Daily'!N32-'Hampshire Daily'!N31))</f>
        <v>2128</v>
      </c>
      <c r="N29" s="4">
        <f>IF(('Hampshire Daily'!O32-'Hampshire Daily'!O31&lt;0),"0",('Hampshire Daily'!O32-'Hampshire Daily'!O31))</f>
        <v>29</v>
      </c>
      <c r="O29" s="4">
        <f>IF(('Hampshire Daily'!P32-'Hampshire Daily'!P31&lt;0),"0",('Hampshire Daily'!P32-'Hampshire Daily'!P31))</f>
        <v>0</v>
      </c>
      <c r="P29" s="4">
        <f>IF(('Hampshire Daily'!Q32-'Hampshire Daily'!Q31&lt;0),"0",('Hampshire Daily'!Q32-'Hampshire Daily'!Q31))</f>
        <v>0</v>
      </c>
      <c r="Q29" s="4">
        <f>IF(('Hampshire Daily'!R32-'Hampshire Daily'!R31&lt;0),"0",('Hampshire Daily'!R32-'Hampshire Daily'!R31))</f>
        <v>0</v>
      </c>
      <c r="R29" s="4">
        <f>IF(('Hampshire Daily'!U32-'Hampshire Daily'!U31&lt;0),"0",('Hampshire Daily'!U32-'Hampshire Daily'!U31))</f>
        <v>4</v>
      </c>
      <c r="S29" s="4">
        <f>IF(('Hampshire Daily'!V32-'Hampshire Daily'!V31&lt;0),"0",('Hampshire Daily'!V32-'Hampshire Daily'!V31))</f>
        <v>1</v>
      </c>
      <c r="T29" s="4">
        <f>IF(('Hampshire Daily'!W32-'Hampshire Daily'!W31&lt;0),"0",('Hampshire Daily'!W32-'Hampshire Daily'!W31))</f>
        <v>6.4999999999997726E-2</v>
      </c>
      <c r="U29" s="4">
        <f>IF(('Hampshire Daily'!X32-'Hampshire Daily'!X31&lt;0),"0",('Hampshire Daily'!X32-'Hampshire Daily'!X31))</f>
        <v>0.36700000000007549</v>
      </c>
      <c r="V29" s="4">
        <f>IF(('Hampshire Daily'!Y32-'Hampshire Daily'!Y31&lt;0),"0",('Hampshire Daily'!Y32-'Hampshire Daily'!Y31))</f>
        <v>0</v>
      </c>
      <c r="W29" s="4">
        <f>IF(('Hampshire Daily'!Z32-'Hampshire Daily'!Z31&lt;0),"0",('Hampshire Daily'!Z32-'Hampshire Daily'!Z31))</f>
        <v>1</v>
      </c>
      <c r="X29" s="4">
        <f>IF(('Hampshire Daily'!AA32-'Hampshire Daily'!AA31&lt;0),"0",('Hampshire Daily'!AA32-'Hampshire Daily'!AA31))</f>
        <v>4</v>
      </c>
      <c r="Y29" s="4">
        <f>'Hampshire Daily'!B32</f>
        <v>10</v>
      </c>
      <c r="Z29" s="4">
        <f>'Hampshire Daily'!C32</f>
        <v>10</v>
      </c>
    </row>
    <row r="30" spans="1:26" x14ac:dyDescent="0.25">
      <c r="A30" s="3" t="s">
        <v>40</v>
      </c>
      <c r="B30" s="1">
        <f t="shared" si="0"/>
        <v>29</v>
      </c>
      <c r="C30" s="17">
        <v>4</v>
      </c>
      <c r="D30" s="1">
        <v>2021</v>
      </c>
      <c r="E30" s="4">
        <f>IF(('Hampshire Daily'!D33-'Hampshire Daily'!D32&lt;0),"0",('Hampshire Daily'!D33-'Hampshire Daily'!D32))</f>
        <v>936</v>
      </c>
      <c r="F30" s="4">
        <f>IF(('Hampshire Daily'!F33-'Hampshire Daily'!F32&lt;0),"0",('Hampshire Daily'!F33-'Hampshire Daily'!F32))</f>
        <v>398</v>
      </c>
      <c r="G30" s="4">
        <f>IF(('Hampshire Daily'!H33-'Hampshire Daily'!H32&lt;0),"0",('Hampshire Daily'!H33-'Hampshire Daily'!H32))</f>
        <v>0</v>
      </c>
      <c r="H30" s="4">
        <f>IF(('Hampshire Daily'!I33-'Hampshire Daily'!I32&lt;0),"0",('Hampshire Daily'!I33-'Hampshire Daily'!I32))</f>
        <v>1200</v>
      </c>
      <c r="I30" s="4">
        <f>IF(('Hampshire Daily'!J33-'Hampshire Daily'!J32&lt;0),"0",('Hampshire Daily'!J33-'Hampshire Daily'!J32))</f>
        <v>0</v>
      </c>
      <c r="J30" s="4">
        <f>IF(('Hampshire Daily'!K33-'Hampshire Daily'!K32&lt;0),"0",('Hampshire Daily'!K33-'Hampshire Daily'!K32))</f>
        <v>2645</v>
      </c>
      <c r="K30" s="4">
        <f>IF(('Hampshire Daily'!L33-'Hampshire Daily'!L32&lt;0),"0",('Hampshire Daily'!L33-'Hampshire Daily'!L32))</f>
        <v>381</v>
      </c>
      <c r="L30" s="4">
        <f>IF(('Hampshire Daily'!M33-'Hampshire Daily'!M32&lt;0),"0",('Hampshire Daily'!M33-'Hampshire Daily'!M32))</f>
        <v>0</v>
      </c>
      <c r="M30" s="4">
        <f>IF(('Hampshire Daily'!N33-'Hampshire Daily'!N32&lt;0),"0",('Hampshire Daily'!N33-'Hampshire Daily'!N32))</f>
        <v>2315</v>
      </c>
      <c r="N30" s="4">
        <f>IF(('Hampshire Daily'!O33-'Hampshire Daily'!O32&lt;0),"0",('Hampshire Daily'!O33-'Hampshire Daily'!O32))</f>
        <v>38</v>
      </c>
      <c r="O30" s="4">
        <f>IF(('Hampshire Daily'!P33-'Hampshire Daily'!P32&lt;0),"0",('Hampshire Daily'!P33-'Hampshire Daily'!P32))</f>
        <v>0</v>
      </c>
      <c r="P30" s="4">
        <f>IF(('Hampshire Daily'!Q33-'Hampshire Daily'!Q32&lt;0),"0",('Hampshire Daily'!Q33-'Hampshire Daily'!Q32))</f>
        <v>0</v>
      </c>
      <c r="Q30" s="4">
        <f>IF(('Hampshire Daily'!R33-'Hampshire Daily'!R32&lt;0),"0",('Hampshire Daily'!R33-'Hampshire Daily'!R32))</f>
        <v>0</v>
      </c>
      <c r="R30" s="4">
        <f>IF(('Hampshire Daily'!U33-'Hampshire Daily'!U32&lt;0),"0",('Hampshire Daily'!U33-'Hampshire Daily'!U32))</f>
        <v>3</v>
      </c>
      <c r="S30" s="4">
        <f>IF(('Hampshire Daily'!V33-'Hampshire Daily'!V32&lt;0),"0",('Hampshire Daily'!V33-'Hampshire Daily'!V32))</f>
        <v>2</v>
      </c>
      <c r="T30" s="4">
        <f>IF(('Hampshire Daily'!W33-'Hampshire Daily'!W32&lt;0),"0",('Hampshire Daily'!W33-'Hampshire Daily'!W32))</f>
        <v>0</v>
      </c>
      <c r="U30" s="4">
        <f>IF(('Hampshire Daily'!X33-'Hampshire Daily'!X32&lt;0),"0",('Hampshire Daily'!X33-'Hampshire Daily'!X32))</f>
        <v>0.18599999999992178</v>
      </c>
      <c r="V30" s="4">
        <f>IF(('Hampshire Daily'!Y33-'Hampshire Daily'!Y32&lt;0),"0",('Hampshire Daily'!Y33-'Hampshire Daily'!Y32))</f>
        <v>0</v>
      </c>
      <c r="W30" s="4">
        <f>IF(('Hampshire Daily'!Z33-'Hampshire Daily'!Z32&lt;0),"0",('Hampshire Daily'!Z33-'Hampshire Daily'!Z32))</f>
        <v>1</v>
      </c>
      <c r="X30" s="4">
        <f>IF(('Hampshire Daily'!AA33-'Hampshire Daily'!AA32&lt;0),"0",('Hampshire Daily'!AA33-'Hampshire Daily'!AA32))</f>
        <v>4</v>
      </c>
      <c r="Y30" s="4">
        <f>'Hampshire Daily'!B33</f>
        <v>10</v>
      </c>
      <c r="Z30" s="4">
        <f>'Hampshire Daily'!C33</f>
        <v>10</v>
      </c>
    </row>
    <row r="31" spans="1:26" x14ac:dyDescent="0.25">
      <c r="A31" s="3" t="s">
        <v>40</v>
      </c>
      <c r="B31" s="1">
        <f t="shared" si="0"/>
        <v>30</v>
      </c>
      <c r="C31" s="17">
        <v>4</v>
      </c>
      <c r="D31" s="1">
        <v>2021</v>
      </c>
      <c r="E31" s="4">
        <f>IF(('Hampshire Daily'!D34-'Hampshire Daily'!D33&lt;0),"0",('Hampshire Daily'!D34-'Hampshire Daily'!D33))</f>
        <v>1050</v>
      </c>
      <c r="F31" s="4">
        <f>IF(('Hampshire Daily'!F34-'Hampshire Daily'!F33&lt;0),"0",('Hampshire Daily'!F34-'Hampshire Daily'!F33))</f>
        <v>428</v>
      </c>
      <c r="G31" s="4">
        <f>IF(('Hampshire Daily'!H34-'Hampshire Daily'!H33&lt;0),"0",('Hampshire Daily'!H34-'Hampshire Daily'!H33))</f>
        <v>0</v>
      </c>
      <c r="H31" s="4">
        <f>IF(('Hampshire Daily'!I34-'Hampshire Daily'!I33&lt;0),"0",('Hampshire Daily'!I34-'Hampshire Daily'!I33))</f>
        <v>1206</v>
      </c>
      <c r="I31" s="4">
        <f>IF(('Hampshire Daily'!J34-'Hampshire Daily'!J33&lt;0),"0",('Hampshire Daily'!J34-'Hampshire Daily'!J33))</f>
        <v>0</v>
      </c>
      <c r="J31" s="4" t="str">
        <f>IF(('Hampshire Daily'!K34-'Hampshire Daily'!K33&lt;0),"0",('Hampshire Daily'!K34-'Hampshire Daily'!K33))</f>
        <v>0</v>
      </c>
      <c r="K31" s="4">
        <f>IF(('Hampshire Daily'!L34-'Hampshire Daily'!L33&lt;0),"0",('Hampshire Daily'!L34-'Hampshire Daily'!L33))</f>
        <v>385</v>
      </c>
      <c r="L31" s="4">
        <f>IF(('Hampshire Daily'!M34-'Hampshire Daily'!M33&lt;0),"0",('Hampshire Daily'!M34-'Hampshire Daily'!M33))</f>
        <v>0</v>
      </c>
      <c r="M31" s="4">
        <f>IF(('Hampshire Daily'!N34-'Hampshire Daily'!N33&lt;0),"0",('Hampshire Daily'!N34-'Hampshire Daily'!N33))</f>
        <v>2432</v>
      </c>
      <c r="N31" s="4">
        <f>IF(('Hampshire Daily'!O34-'Hampshire Daily'!O33&lt;0),"0",('Hampshire Daily'!O34-'Hampshire Daily'!O33))</f>
        <v>37</v>
      </c>
      <c r="O31" s="4">
        <f>IF(('Hampshire Daily'!P34-'Hampshire Daily'!P33&lt;0),"0",('Hampshire Daily'!P34-'Hampshire Daily'!P33))</f>
        <v>0</v>
      </c>
      <c r="P31" s="4">
        <f>IF(('Hampshire Daily'!Q34-'Hampshire Daily'!Q33&lt;0),"0",('Hampshire Daily'!Q34-'Hampshire Daily'!Q33))</f>
        <v>0</v>
      </c>
      <c r="Q31" s="4">
        <f>IF(('Hampshire Daily'!R34-'Hampshire Daily'!R33&lt;0),"0",('Hampshire Daily'!R34-'Hampshire Daily'!R33))</f>
        <v>0</v>
      </c>
      <c r="R31" s="4">
        <f>IF(('Hampshire Daily'!U34-'Hampshire Daily'!U33&lt;0),"0",('Hampshire Daily'!U34-'Hampshire Daily'!U33))</f>
        <v>4</v>
      </c>
      <c r="S31" s="4">
        <f>IF(('Hampshire Daily'!V34-'Hampshire Daily'!V33&lt;0),"0",('Hampshire Daily'!V34-'Hampshire Daily'!V33))</f>
        <v>2</v>
      </c>
      <c r="T31" s="4">
        <f>IF(('Hampshire Daily'!W34-'Hampshire Daily'!W33&lt;0),"0",('Hampshire Daily'!W34-'Hampshire Daily'!W33))</f>
        <v>0</v>
      </c>
      <c r="U31" s="4">
        <f>IF(('Hampshire Daily'!X34-'Hampshire Daily'!X33&lt;0),"0",('Hampshire Daily'!X34-'Hampshire Daily'!X33))</f>
        <v>0.17799999999999727</v>
      </c>
      <c r="V31" s="4">
        <f>IF(('Hampshire Daily'!Y34-'Hampshire Daily'!Y33&lt;0),"0",('Hampshire Daily'!Y34-'Hampshire Daily'!Y33))</f>
        <v>0</v>
      </c>
      <c r="W31" s="4">
        <f>IF(('Hampshire Daily'!Z34-'Hampshire Daily'!Z33&lt;0),"0",('Hampshire Daily'!Z34-'Hampshire Daily'!Z33))</f>
        <v>2</v>
      </c>
      <c r="X31" s="4">
        <f>IF(('Hampshire Daily'!AA34-'Hampshire Daily'!AA33&lt;0),"0",('Hampshire Daily'!AA34-'Hampshire Daily'!AA33))</f>
        <v>3</v>
      </c>
      <c r="Y31" s="4">
        <f>'Hampshire Daily'!B34</f>
        <v>10</v>
      </c>
      <c r="Z31" s="4">
        <f>'Hampshire Daily'!C34</f>
        <v>10</v>
      </c>
    </row>
    <row r="32" spans="1:26" x14ac:dyDescent="0.25">
      <c r="A32" s="3" t="s">
        <v>40</v>
      </c>
      <c r="B32" s="1">
        <f t="shared" si="0"/>
        <v>31</v>
      </c>
      <c r="D32" s="1">
        <v>2021</v>
      </c>
      <c r="E32" s="4" t="str">
        <f>IF(('Hampshire Daily'!D35-'Hampshire Daily'!D34&lt;0),"0",('Hampshire Daily'!D35-'Hampshire Daily'!D34))</f>
        <v>0</v>
      </c>
      <c r="F32" s="4" t="str">
        <f>IF(('Hampshire Daily'!F35-'Hampshire Daily'!F34&lt;0),"0",('Hampshire Daily'!F35-'Hampshire Daily'!F34))</f>
        <v>0</v>
      </c>
      <c r="G32" s="4" t="str">
        <f>IF(('Hampshire Daily'!H35-'Hampshire Daily'!H34&lt;0),"0",('Hampshire Daily'!H35-'Hampshire Daily'!H34))</f>
        <v>0</v>
      </c>
      <c r="H32" s="4" t="str">
        <f>IF(('Hampshire Daily'!I35-'Hampshire Daily'!I34&lt;0),"0",('Hampshire Daily'!I35-'Hampshire Daily'!I34))</f>
        <v>0</v>
      </c>
      <c r="I32" s="4" t="str">
        <f>IF(('Hampshire Daily'!J35-'Hampshire Daily'!J34&lt;0),"0",('Hampshire Daily'!J35-'Hampshire Daily'!J34))</f>
        <v>0</v>
      </c>
      <c r="J32" s="4" t="str">
        <f>IF(('Hampshire Daily'!K35-'Hampshire Daily'!K34&lt;0),"0",('Hampshire Daily'!K35-'Hampshire Daily'!K34))</f>
        <v>0</v>
      </c>
      <c r="K32" s="4" t="str">
        <f>IF(('Hampshire Daily'!L35-'Hampshire Daily'!L34&lt;0),"0",('Hampshire Daily'!L35-'Hampshire Daily'!L34))</f>
        <v>0</v>
      </c>
      <c r="L32" s="4" t="str">
        <f>IF(('Hampshire Daily'!M35-'Hampshire Daily'!M34&lt;0),"0",('Hampshire Daily'!M35-'Hampshire Daily'!M34))</f>
        <v>0</v>
      </c>
      <c r="M32" s="4" t="str">
        <f>IF(('Hampshire Daily'!N35-'Hampshire Daily'!N34&lt;0),"0",('Hampshire Daily'!N35-'Hampshire Daily'!N34))</f>
        <v>0</v>
      </c>
      <c r="N32" s="4" t="str">
        <f>IF(('Hampshire Daily'!O35-'Hampshire Daily'!O34&lt;0),"0",('Hampshire Daily'!O35-'Hampshire Daily'!O34))</f>
        <v>0</v>
      </c>
      <c r="O32" s="4" t="str">
        <f>IF(('Hampshire Daily'!P35-'Hampshire Daily'!P34&lt;0),"0",('Hampshire Daily'!P35-'Hampshire Daily'!P34))</f>
        <v>0</v>
      </c>
      <c r="P32" s="4" t="str">
        <f>IF(('Hampshire Daily'!Q35-'Hampshire Daily'!Q34&lt;0),"0",('Hampshire Daily'!Q35-'Hampshire Daily'!Q34))</f>
        <v>0</v>
      </c>
      <c r="Q32" s="4" t="str">
        <f>IF(('Hampshire Daily'!R35-'Hampshire Daily'!R34&lt;0),"0",('Hampshire Daily'!R35-'Hampshire Daily'!R34))</f>
        <v>0</v>
      </c>
      <c r="R32" s="4" t="str">
        <f>IF(('Hampshire Daily'!U35-'Hampshire Daily'!U34&lt;0),"0",('Hampshire Daily'!U35-'Hampshire Daily'!U34))</f>
        <v>0</v>
      </c>
      <c r="S32" s="4" t="str">
        <f>IF(('Hampshire Daily'!V35-'Hampshire Daily'!V34&lt;0),"0",('Hampshire Daily'!V35-'Hampshire Daily'!V34))</f>
        <v>0</v>
      </c>
      <c r="T32" s="4" t="str">
        <f>IF(('Hampshire Daily'!W35-'Hampshire Daily'!W34&lt;0),"0",('Hampshire Daily'!W35-'Hampshire Daily'!W34))</f>
        <v>0</v>
      </c>
      <c r="U32" s="4" t="str">
        <f>IF(('Hampshire Daily'!X35-'Hampshire Daily'!X34&lt;0),"0",('Hampshire Daily'!X35-'Hampshire Daily'!X34))</f>
        <v>0</v>
      </c>
      <c r="V32" s="4" t="str">
        <f>IF(('Hampshire Daily'!Y35-'Hampshire Daily'!Y34&lt;0),"0",('Hampshire Daily'!Y35-'Hampshire Daily'!Y34))</f>
        <v>0</v>
      </c>
      <c r="W32" s="4" t="str">
        <f>IF(('Hampshire Daily'!Z35-'Hampshire Daily'!Z34&lt;0),"0",('Hampshire Daily'!Z35-'Hampshire Daily'!Z34))</f>
        <v>0</v>
      </c>
      <c r="X32" s="4" t="str">
        <f>IF(('Hampshire Daily'!AA35-'Hampshire Daily'!AA34&lt;0),"0",('Hampshire Daily'!AA35-'Hampshire Daily'!AA34))</f>
        <v>0</v>
      </c>
      <c r="Y32" s="4">
        <f>'Hampshire Daily'!B35</f>
        <v>0</v>
      </c>
      <c r="Z32" s="4">
        <f>'Hampshire Daily'!C35</f>
        <v>0</v>
      </c>
    </row>
  </sheetData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I14" sqref="I14"/>
    </sheetView>
  </sheetViews>
  <sheetFormatPr defaultColWidth="11.5703125" defaultRowHeight="15" x14ac:dyDescent="0.25"/>
  <cols>
    <col min="1" max="1" width="18.28515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3" customWidth="1"/>
    <col min="7" max="7" width="11.5703125" style="1"/>
    <col min="8" max="8" width="11.5703125" style="13"/>
    <col min="9" max="9" width="11.5703125" style="1"/>
    <col min="10" max="10" width="11.5703125" style="15"/>
    <col min="11" max="24" width="11.5703125" style="1"/>
  </cols>
  <sheetData>
    <row r="1" spans="1:24" s="3" customFormat="1" ht="43.5" x14ac:dyDescent="0.3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11" t="s">
        <v>5</v>
      </c>
      <c r="G1" s="7" t="s">
        <v>10</v>
      </c>
      <c r="H1" s="11" t="s">
        <v>11</v>
      </c>
      <c r="I1" s="7" t="s">
        <v>6</v>
      </c>
      <c r="J1" s="14" t="s">
        <v>7</v>
      </c>
      <c r="K1" s="7" t="s">
        <v>8</v>
      </c>
      <c r="L1" s="7" t="s">
        <v>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4.45" x14ac:dyDescent="0.35">
      <c r="A2" s="3" t="s">
        <v>40</v>
      </c>
      <c r="B2" s="2">
        <v>1</v>
      </c>
      <c r="C2" s="2">
        <v>3</v>
      </c>
      <c r="D2" s="2">
        <v>2021</v>
      </c>
      <c r="E2" s="4">
        <f>(Submetering!E2+Submetering!F2)</f>
        <v>3033</v>
      </c>
      <c r="F2" s="12">
        <v>0.14000000000000001</v>
      </c>
      <c r="G2" s="4">
        <f>Submetering!M2</f>
        <v>1314</v>
      </c>
      <c r="H2" s="12">
        <v>0.16</v>
      </c>
      <c r="I2" s="4">
        <f>Submetering!N2</f>
        <v>31</v>
      </c>
      <c r="J2" s="13">
        <v>2.06</v>
      </c>
      <c r="K2" s="4">
        <f>'Hampshire Daily'!B5</f>
        <v>10</v>
      </c>
      <c r="L2" s="4">
        <f>'Hampshire Daily'!C5</f>
        <v>10</v>
      </c>
    </row>
    <row r="3" spans="1:24" ht="14.45" x14ac:dyDescent="0.35">
      <c r="A3" s="3" t="s">
        <v>40</v>
      </c>
      <c r="B3" s="2">
        <f>B2+1</f>
        <v>2</v>
      </c>
      <c r="C3" s="2">
        <v>3</v>
      </c>
      <c r="D3" s="2">
        <v>2021</v>
      </c>
      <c r="E3" s="4">
        <f>Submetering!E3+Submetering!F3</f>
        <v>1291</v>
      </c>
      <c r="F3" s="12">
        <v>0.14000000000000001</v>
      </c>
      <c r="G3" s="4">
        <f>Submetering!M3</f>
        <v>1736</v>
      </c>
      <c r="H3" s="12">
        <v>0.16</v>
      </c>
      <c r="I3" s="4">
        <f>Submetering!N3</f>
        <v>23</v>
      </c>
      <c r="J3" s="13">
        <v>2.06</v>
      </c>
      <c r="K3" s="4">
        <f>'Hampshire Daily'!B6</f>
        <v>10</v>
      </c>
      <c r="L3" s="4">
        <f>'Hampshire Daily'!C6</f>
        <v>10</v>
      </c>
    </row>
    <row r="4" spans="1:24" ht="14.45" x14ac:dyDescent="0.35">
      <c r="A4" s="3" t="s">
        <v>40</v>
      </c>
      <c r="B4" s="2">
        <f t="shared" ref="B4:B32" si="0">B3+1</f>
        <v>3</v>
      </c>
      <c r="C4" s="2">
        <v>3</v>
      </c>
      <c r="D4" s="2">
        <v>2021</v>
      </c>
      <c r="E4" s="4">
        <f>Submetering!E4+Submetering!F4</f>
        <v>2389</v>
      </c>
      <c r="F4" s="12">
        <v>0.14000000000000001</v>
      </c>
      <c r="G4" s="4">
        <f>Submetering!M4</f>
        <v>1698</v>
      </c>
      <c r="H4" s="12">
        <v>0.16</v>
      </c>
      <c r="I4" s="4">
        <f>Submetering!N4</f>
        <v>23</v>
      </c>
      <c r="J4" s="13">
        <v>2.06</v>
      </c>
      <c r="K4" s="4">
        <f>'Hampshire Daily'!B7</f>
        <v>10</v>
      </c>
      <c r="L4" s="4">
        <f>'Hampshire Daily'!C7</f>
        <v>10</v>
      </c>
    </row>
    <row r="5" spans="1:24" ht="14.45" x14ac:dyDescent="0.35">
      <c r="A5" s="3" t="s">
        <v>40</v>
      </c>
      <c r="B5" s="2">
        <f t="shared" si="0"/>
        <v>4</v>
      </c>
      <c r="C5" s="2">
        <v>3</v>
      </c>
      <c r="D5" s="2">
        <v>2021</v>
      </c>
      <c r="E5" s="4">
        <f>Submetering!E5+Submetering!F5</f>
        <v>2111</v>
      </c>
      <c r="F5" s="12">
        <v>0.14000000000000001</v>
      </c>
      <c r="G5" s="4">
        <f>Submetering!M5</f>
        <v>1920</v>
      </c>
      <c r="H5" s="12">
        <v>0.16</v>
      </c>
      <c r="I5" s="4">
        <f>Submetering!N5</f>
        <v>22</v>
      </c>
      <c r="J5" s="13">
        <v>2.06</v>
      </c>
      <c r="K5" s="4">
        <f>'Hampshire Daily'!B8</f>
        <v>10</v>
      </c>
      <c r="L5" s="4">
        <f>'Hampshire Daily'!C8</f>
        <v>10</v>
      </c>
    </row>
    <row r="6" spans="1:24" ht="14.45" x14ac:dyDescent="0.35">
      <c r="A6" s="3" t="s">
        <v>40</v>
      </c>
      <c r="B6" s="2">
        <f t="shared" si="0"/>
        <v>5</v>
      </c>
      <c r="C6" s="2">
        <v>3</v>
      </c>
      <c r="D6" s="2">
        <v>2021</v>
      </c>
      <c r="E6" s="4">
        <f>Submetering!E6+Submetering!F6</f>
        <v>1402</v>
      </c>
      <c r="F6" s="12">
        <v>0.14000000000000001</v>
      </c>
      <c r="G6" s="4">
        <f>Submetering!M6</f>
        <v>1754</v>
      </c>
      <c r="H6" s="12">
        <v>0.16</v>
      </c>
      <c r="I6" s="4">
        <f>Submetering!N6</f>
        <v>26</v>
      </c>
      <c r="J6" s="13">
        <v>2.06</v>
      </c>
      <c r="K6" s="4">
        <f>'Hampshire Daily'!B9</f>
        <v>10</v>
      </c>
      <c r="L6" s="4">
        <f>'Hampshire Daily'!C9</f>
        <v>10</v>
      </c>
    </row>
    <row r="7" spans="1:24" ht="14.45" x14ac:dyDescent="0.35">
      <c r="A7" s="3" t="s">
        <v>40</v>
      </c>
      <c r="B7" s="2">
        <f t="shared" si="0"/>
        <v>6</v>
      </c>
      <c r="C7" s="2">
        <v>3</v>
      </c>
      <c r="D7" s="2">
        <v>2021</v>
      </c>
      <c r="E7" s="4">
        <f>Submetering!E7+Submetering!F7</f>
        <v>3225</v>
      </c>
      <c r="F7" s="12">
        <v>0.14000000000000001</v>
      </c>
      <c r="G7" s="4">
        <f>Submetering!M7</f>
        <v>1884</v>
      </c>
      <c r="H7" s="12">
        <v>0.16</v>
      </c>
      <c r="I7" s="4">
        <f>Submetering!N7</f>
        <v>100</v>
      </c>
      <c r="J7" s="13">
        <v>2.06</v>
      </c>
      <c r="K7" s="4">
        <f>'Hampshire Daily'!B10</f>
        <v>10</v>
      </c>
      <c r="L7" s="4">
        <f>'Hampshire Daily'!C10</f>
        <v>10</v>
      </c>
    </row>
    <row r="8" spans="1:24" ht="14.45" x14ac:dyDescent="0.35">
      <c r="A8" s="3" t="s">
        <v>40</v>
      </c>
      <c r="B8" s="2">
        <f t="shared" si="0"/>
        <v>7</v>
      </c>
      <c r="C8" s="2">
        <v>3</v>
      </c>
      <c r="D8" s="2">
        <v>2021</v>
      </c>
      <c r="E8" s="4">
        <f>Submetering!E8+Submetering!F8</f>
        <v>1664</v>
      </c>
      <c r="F8" s="12">
        <v>0.14000000000000001</v>
      </c>
      <c r="G8" s="4">
        <f>Submetering!M8</f>
        <v>1959</v>
      </c>
      <c r="H8" s="12">
        <v>0.16</v>
      </c>
      <c r="I8" s="4">
        <f>Submetering!N8</f>
        <v>17</v>
      </c>
      <c r="J8" s="13">
        <v>2.06</v>
      </c>
      <c r="K8" s="4">
        <f>'Hampshire Daily'!B11</f>
        <v>10</v>
      </c>
      <c r="L8" s="4">
        <f>'Hampshire Daily'!C11</f>
        <v>10</v>
      </c>
    </row>
    <row r="9" spans="1:24" ht="14.45" x14ac:dyDescent="0.35">
      <c r="A9" s="3" t="s">
        <v>40</v>
      </c>
      <c r="B9" s="2">
        <f t="shared" si="0"/>
        <v>8</v>
      </c>
      <c r="C9" s="2">
        <v>3</v>
      </c>
      <c r="D9" s="2">
        <v>2021</v>
      </c>
      <c r="E9" s="4">
        <f>Submetering!E9+Submetering!F9</f>
        <v>944</v>
      </c>
      <c r="F9" s="12">
        <v>0.14000000000000001</v>
      </c>
      <c r="G9" s="4">
        <f>Submetering!M9</f>
        <v>2266</v>
      </c>
      <c r="H9" s="12">
        <v>0.16</v>
      </c>
      <c r="I9" s="4">
        <f>Submetering!N9</f>
        <v>31</v>
      </c>
      <c r="J9" s="13">
        <v>2.06</v>
      </c>
      <c r="K9" s="4">
        <f>'Hampshire Daily'!B12</f>
        <v>10</v>
      </c>
      <c r="L9" s="4">
        <f>'Hampshire Daily'!C12</f>
        <v>10</v>
      </c>
    </row>
    <row r="10" spans="1:24" ht="14.45" x14ac:dyDescent="0.35">
      <c r="A10" s="3" t="s">
        <v>40</v>
      </c>
      <c r="B10" s="2">
        <f t="shared" si="0"/>
        <v>9</v>
      </c>
      <c r="C10" s="2">
        <v>3</v>
      </c>
      <c r="D10" s="2">
        <v>2021</v>
      </c>
      <c r="E10" s="4">
        <f>Submetering!E10+Submetering!F10</f>
        <v>1375</v>
      </c>
      <c r="F10" s="12">
        <v>0.14000000000000001</v>
      </c>
      <c r="G10" s="4">
        <f>Submetering!M10</f>
        <v>2066</v>
      </c>
      <c r="H10" s="12">
        <v>0.16</v>
      </c>
      <c r="I10" s="4">
        <f>Submetering!N10</f>
        <v>39</v>
      </c>
      <c r="J10" s="13">
        <v>2.06</v>
      </c>
      <c r="K10" s="4">
        <f>'Hampshire Daily'!B13</f>
        <v>10</v>
      </c>
      <c r="L10" s="4">
        <f>'Hampshire Daily'!C13</f>
        <v>10</v>
      </c>
    </row>
    <row r="11" spans="1:24" ht="14.45" x14ac:dyDescent="0.35">
      <c r="A11" s="3" t="s">
        <v>40</v>
      </c>
      <c r="B11" s="2">
        <f t="shared" si="0"/>
        <v>10</v>
      </c>
      <c r="C11" s="2">
        <v>3</v>
      </c>
      <c r="D11" s="2">
        <v>2021</v>
      </c>
      <c r="E11" s="4">
        <f>Submetering!E11+Submetering!F11</f>
        <v>1538</v>
      </c>
      <c r="F11" s="12">
        <v>0.14000000000000001</v>
      </c>
      <c r="G11" s="4">
        <f>Submetering!M11</f>
        <v>2192</v>
      </c>
      <c r="H11" s="12">
        <v>0.16</v>
      </c>
      <c r="I11" s="4">
        <f>Submetering!N11</f>
        <v>45</v>
      </c>
      <c r="J11" s="13">
        <v>2.06</v>
      </c>
      <c r="K11" s="4">
        <f>'Hampshire Daily'!B14</f>
        <v>10</v>
      </c>
      <c r="L11" s="4">
        <f>'Hampshire Daily'!C14</f>
        <v>10</v>
      </c>
    </row>
    <row r="12" spans="1:24" ht="14.45" x14ac:dyDescent="0.35">
      <c r="A12" s="3" t="s">
        <v>40</v>
      </c>
      <c r="B12" s="2">
        <f t="shared" si="0"/>
        <v>11</v>
      </c>
      <c r="C12" s="2">
        <v>3</v>
      </c>
      <c r="D12" s="2">
        <v>2021</v>
      </c>
      <c r="E12" s="4">
        <f>Submetering!E12+Submetering!F12</f>
        <v>1329</v>
      </c>
      <c r="F12" s="12">
        <v>0.14000000000000001</v>
      </c>
      <c r="G12" s="4">
        <f>Submetering!M12</f>
        <v>2377</v>
      </c>
      <c r="H12" s="12">
        <v>0.16</v>
      </c>
      <c r="I12" s="4">
        <f>Submetering!N12</f>
        <v>25</v>
      </c>
      <c r="J12" s="13">
        <v>2.06</v>
      </c>
      <c r="K12" s="4">
        <f>'Hampshire Daily'!B15</f>
        <v>10</v>
      </c>
      <c r="L12" s="4">
        <f>'Hampshire Daily'!C15</f>
        <v>10</v>
      </c>
    </row>
    <row r="13" spans="1:24" ht="14.45" x14ac:dyDescent="0.35">
      <c r="A13" s="3" t="s">
        <v>40</v>
      </c>
      <c r="B13" s="2">
        <f t="shared" si="0"/>
        <v>12</v>
      </c>
      <c r="C13" s="2">
        <v>3</v>
      </c>
      <c r="D13" s="2">
        <v>2021</v>
      </c>
      <c r="E13" s="4">
        <f>Submetering!E13+Submetering!F13</f>
        <v>1421</v>
      </c>
      <c r="F13" s="12">
        <v>0.14000000000000001</v>
      </c>
      <c r="G13" s="4">
        <f>Submetering!M13</f>
        <v>2470</v>
      </c>
      <c r="H13" s="12">
        <v>0.16</v>
      </c>
      <c r="I13" s="4">
        <f>Submetering!N13</f>
        <v>64</v>
      </c>
      <c r="J13" s="13">
        <v>2.06</v>
      </c>
      <c r="K13" s="4">
        <f>'Hampshire Daily'!B16</f>
        <v>10</v>
      </c>
      <c r="L13" s="4">
        <f>'Hampshire Daily'!C16</f>
        <v>10</v>
      </c>
    </row>
    <row r="14" spans="1:24" ht="14.45" x14ac:dyDescent="0.35">
      <c r="A14" s="3" t="s">
        <v>40</v>
      </c>
      <c r="B14" s="2">
        <f t="shared" si="0"/>
        <v>13</v>
      </c>
      <c r="C14" s="2">
        <v>3</v>
      </c>
      <c r="D14" s="2">
        <v>2021</v>
      </c>
      <c r="E14" s="4">
        <f>Submetering!E14+Submetering!F14</f>
        <v>4768</v>
      </c>
      <c r="F14" s="12">
        <v>0.14000000000000001</v>
      </c>
      <c r="G14" s="4">
        <f>Submetering!M14</f>
        <v>1641</v>
      </c>
      <c r="H14" s="12">
        <v>0.16</v>
      </c>
      <c r="I14" s="4">
        <f>Submetering!N14</f>
        <v>16</v>
      </c>
      <c r="J14" s="13">
        <v>2.06</v>
      </c>
      <c r="K14" s="4">
        <f>'Hampshire Daily'!B17</f>
        <v>10</v>
      </c>
      <c r="L14" s="4">
        <f>'Hampshire Daily'!C17</f>
        <v>10</v>
      </c>
    </row>
    <row r="15" spans="1:24" ht="14.45" x14ac:dyDescent="0.35">
      <c r="A15" s="3" t="s">
        <v>40</v>
      </c>
      <c r="B15" s="2">
        <f t="shared" si="0"/>
        <v>14</v>
      </c>
      <c r="C15" s="2">
        <v>3</v>
      </c>
      <c r="D15" s="2">
        <v>2021</v>
      </c>
      <c r="E15" s="4">
        <f>Submetering!E15+Submetering!F15</f>
        <v>3429</v>
      </c>
      <c r="F15" s="12">
        <v>0.14000000000000001</v>
      </c>
      <c r="G15" s="4">
        <f>Submetering!M15</f>
        <v>2116</v>
      </c>
      <c r="H15" s="12">
        <v>0.16</v>
      </c>
      <c r="I15" s="4">
        <f>Submetering!N15</f>
        <v>12</v>
      </c>
      <c r="J15" s="13">
        <v>2.06</v>
      </c>
      <c r="K15" s="4">
        <f>'Hampshire Daily'!B18</f>
        <v>10</v>
      </c>
      <c r="L15" s="4">
        <f>'Hampshire Daily'!C18</f>
        <v>10</v>
      </c>
    </row>
    <row r="16" spans="1:24" ht="14.45" x14ac:dyDescent="0.35">
      <c r="A16" s="3" t="s">
        <v>40</v>
      </c>
      <c r="B16" s="2">
        <f t="shared" si="0"/>
        <v>15</v>
      </c>
      <c r="C16" s="2">
        <v>3</v>
      </c>
      <c r="D16" s="2">
        <v>2021</v>
      </c>
      <c r="E16" s="4">
        <f>Submetering!E16+Submetering!F16</f>
        <v>2566</v>
      </c>
      <c r="F16" s="12">
        <v>0.14000000000000001</v>
      </c>
      <c r="G16" s="4">
        <f>Submetering!M16</f>
        <v>2137</v>
      </c>
      <c r="H16" s="12">
        <v>0.16</v>
      </c>
      <c r="I16" s="4">
        <f>Submetering!N16</f>
        <v>40</v>
      </c>
      <c r="J16" s="13">
        <v>2.06</v>
      </c>
      <c r="K16" s="4">
        <f>'Hampshire Daily'!B19</f>
        <v>10</v>
      </c>
      <c r="L16" s="4">
        <f>'Hampshire Daily'!C19</f>
        <v>10</v>
      </c>
    </row>
    <row r="17" spans="1:12" x14ac:dyDescent="0.25">
      <c r="A17" s="3" t="s">
        <v>40</v>
      </c>
      <c r="B17" s="2">
        <f t="shared" si="0"/>
        <v>16</v>
      </c>
      <c r="C17" s="2">
        <v>3</v>
      </c>
      <c r="D17" s="2">
        <v>2021</v>
      </c>
      <c r="E17" s="4">
        <f>Submetering!E17+Submetering!F17</f>
        <v>2959</v>
      </c>
      <c r="F17" s="12">
        <v>0.14000000000000001</v>
      </c>
      <c r="G17" s="4">
        <f>Submetering!M17</f>
        <v>2160</v>
      </c>
      <c r="H17" s="12">
        <v>0.16</v>
      </c>
      <c r="I17" s="4">
        <f>Submetering!N17</f>
        <v>32</v>
      </c>
      <c r="J17" s="13">
        <v>2.06</v>
      </c>
      <c r="K17" s="4">
        <f>'Hampshire Daily'!B20</f>
        <v>10</v>
      </c>
      <c r="L17" s="4">
        <f>'Hampshire Daily'!C20</f>
        <v>10</v>
      </c>
    </row>
    <row r="18" spans="1:12" x14ac:dyDescent="0.25">
      <c r="A18" s="3" t="s">
        <v>40</v>
      </c>
      <c r="B18" s="2">
        <f t="shared" si="0"/>
        <v>17</v>
      </c>
      <c r="C18" s="2">
        <v>3</v>
      </c>
      <c r="D18" s="2">
        <v>2021</v>
      </c>
      <c r="E18" s="4">
        <f>Submetering!E18+Submetering!F18</f>
        <v>3407</v>
      </c>
      <c r="F18" s="12">
        <v>0.14000000000000001</v>
      </c>
      <c r="G18" s="4">
        <f>Submetering!M18</f>
        <v>2034</v>
      </c>
      <c r="H18" s="12">
        <v>0.16</v>
      </c>
      <c r="I18" s="4">
        <f>Submetering!N18</f>
        <v>28</v>
      </c>
      <c r="J18" s="13">
        <v>2.06</v>
      </c>
      <c r="K18" s="4">
        <f>'Hampshire Daily'!B21</f>
        <v>10</v>
      </c>
      <c r="L18" s="4">
        <f>'Hampshire Daily'!C21</f>
        <v>10</v>
      </c>
    </row>
    <row r="19" spans="1:12" x14ac:dyDescent="0.25">
      <c r="A19" s="3" t="s">
        <v>40</v>
      </c>
      <c r="B19" s="2">
        <f t="shared" si="0"/>
        <v>18</v>
      </c>
      <c r="C19" s="2">
        <v>3</v>
      </c>
      <c r="D19" s="2">
        <v>2021</v>
      </c>
      <c r="E19" s="4">
        <f>Submetering!E19+Submetering!F19</f>
        <v>3411</v>
      </c>
      <c r="F19" s="12">
        <v>0.14000000000000001</v>
      </c>
      <c r="G19" s="4">
        <f>Submetering!M19</f>
        <v>1840</v>
      </c>
      <c r="H19" s="12">
        <v>0.16</v>
      </c>
      <c r="I19" s="4">
        <f>Submetering!N19</f>
        <v>28</v>
      </c>
      <c r="J19" s="13">
        <v>2.06</v>
      </c>
      <c r="K19" s="4">
        <f>'Hampshire Daily'!B22</f>
        <v>10</v>
      </c>
      <c r="L19" s="4">
        <f>'Hampshire Daily'!C22</f>
        <v>10</v>
      </c>
    </row>
    <row r="20" spans="1:12" x14ac:dyDescent="0.25">
      <c r="A20" s="3" t="s">
        <v>40</v>
      </c>
      <c r="B20" s="2">
        <f t="shared" si="0"/>
        <v>19</v>
      </c>
      <c r="C20" s="2">
        <v>3</v>
      </c>
      <c r="D20" s="2">
        <v>2021</v>
      </c>
      <c r="E20" s="4">
        <f>Submetering!E20+Submetering!F20</f>
        <v>3372</v>
      </c>
      <c r="F20" s="12">
        <v>0.14000000000000001</v>
      </c>
      <c r="G20" s="4">
        <f>Submetering!M20</f>
        <v>1816</v>
      </c>
      <c r="H20" s="12">
        <v>0.16</v>
      </c>
      <c r="I20" s="4">
        <f>Submetering!N20</f>
        <v>33</v>
      </c>
      <c r="J20" s="13">
        <v>2.06</v>
      </c>
      <c r="K20" s="4">
        <f>'Hampshire Daily'!B23</f>
        <v>10</v>
      </c>
      <c r="L20" s="4">
        <f>'Hampshire Daily'!C23</f>
        <v>10</v>
      </c>
    </row>
    <row r="21" spans="1:12" x14ac:dyDescent="0.25">
      <c r="A21" s="3" t="s">
        <v>40</v>
      </c>
      <c r="B21" s="2">
        <f t="shared" si="0"/>
        <v>20</v>
      </c>
      <c r="C21" s="2">
        <v>3</v>
      </c>
      <c r="D21" s="2">
        <v>2021</v>
      </c>
      <c r="E21" s="4">
        <f>Submetering!E21+Submetering!F21</f>
        <v>2151</v>
      </c>
      <c r="F21" s="12">
        <v>0.14000000000000001</v>
      </c>
      <c r="G21" s="4">
        <f>Submetering!M21</f>
        <v>2127</v>
      </c>
      <c r="H21" s="12">
        <v>0.16</v>
      </c>
      <c r="I21" s="4">
        <f>Submetering!N21</f>
        <v>41</v>
      </c>
      <c r="J21" s="13">
        <v>2.06</v>
      </c>
      <c r="K21" s="4">
        <f>'Hampshire Daily'!B24</f>
        <v>10</v>
      </c>
      <c r="L21" s="4">
        <f>'Hampshire Daily'!C24</f>
        <v>10</v>
      </c>
    </row>
    <row r="22" spans="1:12" x14ac:dyDescent="0.25">
      <c r="A22" s="3" t="s">
        <v>40</v>
      </c>
      <c r="B22" s="2">
        <f t="shared" si="0"/>
        <v>21</v>
      </c>
      <c r="C22" s="2">
        <v>3</v>
      </c>
      <c r="D22" s="2">
        <v>2021</v>
      </c>
      <c r="E22" s="4">
        <f>Submetering!E22+Submetering!F22</f>
        <v>2151</v>
      </c>
      <c r="F22" s="12">
        <v>0.14000000000000001</v>
      </c>
      <c r="G22" s="4">
        <f>Submetering!M22</f>
        <v>1982</v>
      </c>
      <c r="H22" s="12">
        <v>0.16</v>
      </c>
      <c r="I22" s="4">
        <f>Submetering!N22</f>
        <v>36</v>
      </c>
      <c r="J22" s="13">
        <v>2.06</v>
      </c>
      <c r="K22" s="4">
        <f>'Hampshire Daily'!B25</f>
        <v>10</v>
      </c>
      <c r="L22" s="4">
        <f>'Hampshire Daily'!C25</f>
        <v>10</v>
      </c>
    </row>
    <row r="23" spans="1:12" x14ac:dyDescent="0.25">
      <c r="A23" s="3" t="s">
        <v>40</v>
      </c>
      <c r="B23" s="2">
        <f t="shared" si="0"/>
        <v>22</v>
      </c>
      <c r="C23" s="2">
        <v>3</v>
      </c>
      <c r="D23" s="2">
        <v>2021</v>
      </c>
      <c r="E23" s="4">
        <f>Submetering!E23+Submetering!F23</f>
        <v>2155</v>
      </c>
      <c r="F23" s="12">
        <v>0.14000000000000001</v>
      </c>
      <c r="G23" s="4">
        <f>Submetering!M23</f>
        <v>1723</v>
      </c>
      <c r="H23" s="12">
        <v>0.16</v>
      </c>
      <c r="I23" s="4">
        <f>Submetering!N23</f>
        <v>38</v>
      </c>
      <c r="J23" s="13">
        <v>2.06</v>
      </c>
      <c r="K23" s="4">
        <f>'Hampshire Daily'!B26</f>
        <v>10</v>
      </c>
      <c r="L23" s="4">
        <f>'Hampshire Daily'!C26</f>
        <v>10</v>
      </c>
    </row>
    <row r="24" spans="1:12" x14ac:dyDescent="0.25">
      <c r="A24" s="3" t="s">
        <v>40</v>
      </c>
      <c r="B24" s="2">
        <f t="shared" si="0"/>
        <v>23</v>
      </c>
      <c r="C24" s="2">
        <v>3</v>
      </c>
      <c r="D24" s="2">
        <v>2021</v>
      </c>
      <c r="E24" s="4">
        <f>Submetering!E24+Submetering!F24</f>
        <v>2550</v>
      </c>
      <c r="F24" s="12">
        <v>0.14000000000000001</v>
      </c>
      <c r="G24" s="4">
        <f>Submetering!M24</f>
        <v>1195</v>
      </c>
      <c r="H24" s="12">
        <v>0.16</v>
      </c>
      <c r="I24" s="4">
        <f>Submetering!N24</f>
        <v>29</v>
      </c>
      <c r="J24" s="13">
        <v>2.06</v>
      </c>
      <c r="K24" s="4">
        <f>'Hampshire Daily'!B27</f>
        <v>10</v>
      </c>
      <c r="L24" s="4">
        <f>'Hampshire Daily'!C27</f>
        <v>10</v>
      </c>
    </row>
    <row r="25" spans="1:12" x14ac:dyDescent="0.25">
      <c r="A25" s="3" t="s">
        <v>40</v>
      </c>
      <c r="B25" s="2">
        <f t="shared" si="0"/>
        <v>24</v>
      </c>
      <c r="C25" s="2">
        <v>3</v>
      </c>
      <c r="D25" s="2">
        <v>2021</v>
      </c>
      <c r="E25" s="4">
        <f>Submetering!E25+Submetering!F25</f>
        <v>2016</v>
      </c>
      <c r="F25" s="12">
        <v>0.14000000000000001</v>
      </c>
      <c r="G25" s="4">
        <f>Submetering!M25</f>
        <v>1889</v>
      </c>
      <c r="H25" s="12">
        <v>0.16</v>
      </c>
      <c r="I25" s="4">
        <f>Submetering!N25</f>
        <v>38</v>
      </c>
      <c r="J25" s="13">
        <v>2.06</v>
      </c>
      <c r="K25" s="4">
        <f>'Hampshire Daily'!B28</f>
        <v>10</v>
      </c>
      <c r="L25" s="4">
        <f>'Hampshire Daily'!C28</f>
        <v>10</v>
      </c>
    </row>
    <row r="26" spans="1:12" x14ac:dyDescent="0.25">
      <c r="A26" s="3" t="s">
        <v>40</v>
      </c>
      <c r="B26" s="2">
        <f>B25+1</f>
        <v>25</v>
      </c>
      <c r="C26" s="2">
        <v>3</v>
      </c>
      <c r="D26" s="2">
        <v>2021</v>
      </c>
      <c r="E26" s="4">
        <f>Submetering!E26+Submetering!F26</f>
        <v>1357</v>
      </c>
      <c r="F26" s="12">
        <v>0.14000000000000001</v>
      </c>
      <c r="G26" s="4">
        <f>Submetering!M26</f>
        <v>2015</v>
      </c>
      <c r="H26" s="12">
        <v>0.16</v>
      </c>
      <c r="I26" s="4">
        <f>Submetering!N26</f>
        <v>31</v>
      </c>
      <c r="J26" s="13">
        <v>2.06</v>
      </c>
      <c r="K26" s="4">
        <f>'Hampshire Daily'!B29</f>
        <v>10</v>
      </c>
      <c r="L26" s="4">
        <f>'Hampshire Daily'!C29</f>
        <v>10</v>
      </c>
    </row>
    <row r="27" spans="1:12" x14ac:dyDescent="0.25">
      <c r="A27" s="3" t="s">
        <v>40</v>
      </c>
      <c r="B27" s="2">
        <f t="shared" si="0"/>
        <v>26</v>
      </c>
      <c r="C27" s="2">
        <v>3</v>
      </c>
      <c r="D27" s="2">
        <v>2021</v>
      </c>
      <c r="E27" s="4">
        <f>Submetering!E27+Submetering!F27</f>
        <v>2590</v>
      </c>
      <c r="F27" s="12">
        <v>0.14000000000000001</v>
      </c>
      <c r="G27" s="4">
        <f>Submetering!M27</f>
        <v>1761</v>
      </c>
      <c r="H27" s="12">
        <v>0.16</v>
      </c>
      <c r="I27" s="4">
        <f>Submetering!N27</f>
        <v>56</v>
      </c>
      <c r="J27" s="13">
        <v>2.06</v>
      </c>
      <c r="K27" s="4">
        <f>'Hampshire Daily'!B30</f>
        <v>10</v>
      </c>
      <c r="L27" s="4">
        <f>'Hampshire Daily'!C30</f>
        <v>10</v>
      </c>
    </row>
    <row r="28" spans="1:12" x14ac:dyDescent="0.25">
      <c r="A28" s="3" t="s">
        <v>40</v>
      </c>
      <c r="B28" s="2">
        <f t="shared" si="0"/>
        <v>27</v>
      </c>
      <c r="C28" s="2">
        <v>3</v>
      </c>
      <c r="D28" s="2">
        <v>2021</v>
      </c>
      <c r="E28" s="4">
        <f>Submetering!E28+Submetering!F28</f>
        <v>1610</v>
      </c>
      <c r="F28" s="12">
        <v>0.14000000000000001</v>
      </c>
      <c r="G28" s="4">
        <f>Submetering!M28</f>
        <v>2127</v>
      </c>
      <c r="H28" s="12">
        <v>0.16</v>
      </c>
      <c r="I28" s="4">
        <f>Submetering!N28</f>
        <v>42</v>
      </c>
      <c r="J28" s="13">
        <v>2.06</v>
      </c>
      <c r="K28" s="4">
        <f>'Hampshire Daily'!B31</f>
        <v>10</v>
      </c>
      <c r="L28" s="4">
        <f>'Hampshire Daily'!C31</f>
        <v>10</v>
      </c>
    </row>
    <row r="29" spans="1:12" x14ac:dyDescent="0.25">
      <c r="A29" s="3" t="s">
        <v>40</v>
      </c>
      <c r="B29" s="2">
        <f t="shared" si="0"/>
        <v>28</v>
      </c>
      <c r="C29" s="2">
        <v>3</v>
      </c>
      <c r="D29" s="2">
        <v>2021</v>
      </c>
      <c r="E29" s="4">
        <f>Submetering!E29+Submetering!F29</f>
        <v>1424</v>
      </c>
      <c r="F29" s="12">
        <v>0.14000000000000001</v>
      </c>
      <c r="G29" s="4">
        <f>Submetering!M29</f>
        <v>2128</v>
      </c>
      <c r="H29" s="12">
        <v>0.16</v>
      </c>
      <c r="I29" s="4">
        <f>Submetering!N29</f>
        <v>29</v>
      </c>
      <c r="J29" s="13">
        <v>2.06</v>
      </c>
      <c r="K29" s="4">
        <f>'Hampshire Daily'!B32</f>
        <v>10</v>
      </c>
      <c r="L29" s="4">
        <f>'Hampshire Daily'!C32</f>
        <v>10</v>
      </c>
    </row>
    <row r="30" spans="1:12" x14ac:dyDescent="0.25">
      <c r="A30" s="3" t="s">
        <v>40</v>
      </c>
      <c r="B30" s="2">
        <f t="shared" si="0"/>
        <v>29</v>
      </c>
      <c r="C30" s="2">
        <v>3</v>
      </c>
      <c r="D30" s="2">
        <v>2021</v>
      </c>
      <c r="E30" s="4">
        <f>Submetering!E30+Submetering!F30</f>
        <v>1334</v>
      </c>
      <c r="F30" s="12">
        <v>0.14000000000000001</v>
      </c>
      <c r="G30" s="4">
        <f>Submetering!M30</f>
        <v>2315</v>
      </c>
      <c r="H30" s="12">
        <v>0.16</v>
      </c>
      <c r="I30" s="4">
        <f>Submetering!N30</f>
        <v>38</v>
      </c>
      <c r="J30" s="13">
        <v>2.06</v>
      </c>
      <c r="K30" s="4">
        <f>'Hampshire Daily'!B33</f>
        <v>10</v>
      </c>
      <c r="L30" s="4">
        <f>'Hampshire Daily'!C33</f>
        <v>10</v>
      </c>
    </row>
    <row r="31" spans="1:12" x14ac:dyDescent="0.25">
      <c r="A31" s="3" t="s">
        <v>40</v>
      </c>
      <c r="B31" s="2">
        <f t="shared" si="0"/>
        <v>30</v>
      </c>
      <c r="C31" s="2">
        <v>3</v>
      </c>
      <c r="D31" s="2">
        <v>2021</v>
      </c>
      <c r="E31" s="4">
        <f>Submetering!E31+Submetering!F31</f>
        <v>1478</v>
      </c>
      <c r="F31" s="12">
        <v>0.14000000000000001</v>
      </c>
      <c r="G31" s="4">
        <f>Submetering!M31</f>
        <v>2432</v>
      </c>
      <c r="H31" s="12">
        <v>0.16</v>
      </c>
      <c r="I31" s="4">
        <f>Submetering!N31</f>
        <v>37</v>
      </c>
      <c r="J31" s="13">
        <v>2.06</v>
      </c>
      <c r="K31" s="4">
        <f>'Hampshire Daily'!B34</f>
        <v>10</v>
      </c>
      <c r="L31" s="4">
        <f>'Hampshire Daily'!C34</f>
        <v>10</v>
      </c>
    </row>
    <row r="32" spans="1:12" x14ac:dyDescent="0.25">
      <c r="A32" s="3" t="s">
        <v>40</v>
      </c>
      <c r="B32" s="2">
        <f t="shared" si="0"/>
        <v>31</v>
      </c>
      <c r="C32" s="2">
        <v>3</v>
      </c>
      <c r="D32" s="2">
        <v>2021</v>
      </c>
      <c r="E32" s="4">
        <f>Submetering!E32+Submetering!F32</f>
        <v>0</v>
      </c>
      <c r="F32" s="12">
        <v>0.14000000000000001</v>
      </c>
      <c r="G32" s="4" t="str">
        <f>Submetering!M32</f>
        <v>0</v>
      </c>
      <c r="H32" s="12">
        <v>0.16</v>
      </c>
      <c r="I32" s="4" t="str">
        <f>Submetering!N32</f>
        <v>0</v>
      </c>
      <c r="J32" s="13">
        <v>2.06</v>
      </c>
      <c r="K32" s="4">
        <f>'Hampshire Daily'!B35</f>
        <v>0</v>
      </c>
      <c r="L32" s="4">
        <f>'Hampshire Daily'!C35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C35"/>
  <sheetViews>
    <sheetView tabSelected="1" zoomScaleNormal="100" workbookViewId="0">
      <pane xSplit="1" topLeftCell="C1" activePane="topRight" state="frozen"/>
      <selection pane="topRight" activeCell="AD17" sqref="AD17"/>
    </sheetView>
  </sheetViews>
  <sheetFormatPr defaultRowHeight="15" x14ac:dyDescent="0.25"/>
  <cols>
    <col min="1" max="1" width="8.7109375" style="16" customWidth="1"/>
    <col min="2" max="3" width="8.7109375" style="23" customWidth="1"/>
    <col min="25" max="25" width="10.42578125" style="19" bestFit="1" customWidth="1"/>
    <col min="28" max="28" width="10.5703125" style="1" customWidth="1"/>
    <col min="29" max="29" width="11.42578125" style="1" customWidth="1"/>
  </cols>
  <sheetData>
    <row r="1" spans="1:29" ht="15" customHeight="1" x14ac:dyDescent="0.25">
      <c r="A1" s="30"/>
      <c r="B1" s="22"/>
      <c r="C1" s="22"/>
      <c r="D1" s="33" t="s">
        <v>12</v>
      </c>
      <c r="E1" s="33"/>
      <c r="F1" s="33"/>
      <c r="G1" s="33"/>
      <c r="H1" s="33"/>
      <c r="I1" s="33"/>
      <c r="J1" s="33"/>
      <c r="K1" s="33"/>
      <c r="L1" s="33"/>
      <c r="M1" s="33"/>
      <c r="N1" s="39" t="s">
        <v>13</v>
      </c>
      <c r="O1" s="41" t="s">
        <v>14</v>
      </c>
      <c r="P1" s="25"/>
      <c r="Q1" s="25"/>
      <c r="R1" s="25"/>
      <c r="S1" s="41" t="s">
        <v>15</v>
      </c>
      <c r="T1" s="43"/>
      <c r="U1" s="41" t="s">
        <v>16</v>
      </c>
      <c r="V1" s="44" t="s">
        <v>17</v>
      </c>
      <c r="W1" s="41" t="s">
        <v>18</v>
      </c>
      <c r="X1" s="41" t="s">
        <v>19</v>
      </c>
      <c r="Y1" s="50" t="s">
        <v>20</v>
      </c>
      <c r="Z1" s="41" t="s">
        <v>54</v>
      </c>
      <c r="AA1" s="46" t="s">
        <v>55</v>
      </c>
    </row>
    <row r="2" spans="1:29" ht="15" customHeight="1" x14ac:dyDescent="0.25">
      <c r="A2" s="31"/>
      <c r="B2" s="36" t="s">
        <v>52</v>
      </c>
      <c r="C2" s="36" t="s">
        <v>53</v>
      </c>
      <c r="D2" s="34" t="s">
        <v>21</v>
      </c>
      <c r="E2" s="34" t="s">
        <v>22</v>
      </c>
      <c r="F2" s="34" t="s">
        <v>23</v>
      </c>
      <c r="G2" s="34" t="s">
        <v>24</v>
      </c>
      <c r="H2" s="34" t="s">
        <v>25</v>
      </c>
      <c r="I2" s="34" t="s">
        <v>26</v>
      </c>
      <c r="J2" s="34" t="s">
        <v>27</v>
      </c>
      <c r="K2" s="34" t="s">
        <v>28</v>
      </c>
      <c r="L2" s="34" t="s">
        <v>29</v>
      </c>
      <c r="M2" s="34" t="s">
        <v>30</v>
      </c>
      <c r="N2" s="40"/>
      <c r="O2" s="41"/>
      <c r="P2" s="25" t="s">
        <v>31</v>
      </c>
      <c r="Q2" s="25" t="s">
        <v>31</v>
      </c>
      <c r="R2" s="25" t="s">
        <v>31</v>
      </c>
      <c r="S2" s="41"/>
      <c r="T2" s="43"/>
      <c r="U2" s="41"/>
      <c r="V2" s="44"/>
      <c r="W2" s="41"/>
      <c r="X2" s="41"/>
      <c r="Y2" s="50"/>
      <c r="Z2" s="41"/>
      <c r="AA2" s="47"/>
      <c r="AB2" s="49" t="s">
        <v>57</v>
      </c>
      <c r="AC2" s="49" t="s">
        <v>58</v>
      </c>
    </row>
    <row r="3" spans="1:29" ht="27" customHeight="1" thickBot="1" x14ac:dyDescent="0.3">
      <c r="A3" s="32"/>
      <c r="B3" s="37"/>
      <c r="C3" s="37"/>
      <c r="D3" s="38"/>
      <c r="E3" s="38"/>
      <c r="F3" s="38"/>
      <c r="G3" s="38"/>
      <c r="H3" s="34"/>
      <c r="I3" s="34"/>
      <c r="J3" s="34"/>
      <c r="K3" s="34"/>
      <c r="L3" s="34"/>
      <c r="M3" s="35"/>
      <c r="N3" s="40"/>
      <c r="O3" s="42"/>
      <c r="P3" s="26">
        <v>2</v>
      </c>
      <c r="Q3" s="26">
        <v>3</v>
      </c>
      <c r="R3" s="26">
        <v>4</v>
      </c>
      <c r="S3" s="43"/>
      <c r="T3" s="43"/>
      <c r="U3" s="42"/>
      <c r="V3" s="45"/>
      <c r="W3" s="41"/>
      <c r="X3" s="41"/>
      <c r="Y3" s="50"/>
      <c r="Z3" s="41"/>
      <c r="AA3" s="48"/>
      <c r="AB3" s="49"/>
      <c r="AC3" s="49"/>
    </row>
    <row r="4" spans="1:29" s="18" customFormat="1" ht="19.899999999999999" customHeight="1" x14ac:dyDescent="0.25">
      <c r="A4" s="20">
        <v>44286</v>
      </c>
      <c r="B4" s="24">
        <v>10</v>
      </c>
      <c r="C4" s="24">
        <v>10</v>
      </c>
      <c r="D4" s="27">
        <v>276403</v>
      </c>
      <c r="E4" s="27">
        <v>276833</v>
      </c>
      <c r="F4" s="27">
        <v>308369</v>
      </c>
      <c r="G4" s="27">
        <v>308036</v>
      </c>
      <c r="H4" s="27">
        <v>221771</v>
      </c>
      <c r="I4" s="27">
        <v>7005425</v>
      </c>
      <c r="J4" s="27">
        <v>31845</v>
      </c>
      <c r="K4" s="27">
        <v>4924645</v>
      </c>
      <c r="L4" s="27">
        <v>631433</v>
      </c>
      <c r="M4" s="27">
        <v>2627049</v>
      </c>
      <c r="N4" s="27">
        <v>875902</v>
      </c>
      <c r="O4" s="27">
        <v>353326</v>
      </c>
      <c r="P4" s="27">
        <v>1471374</v>
      </c>
      <c r="Q4" s="27">
        <v>604806</v>
      </c>
      <c r="R4" s="27">
        <v>677</v>
      </c>
      <c r="S4" s="27">
        <v>329617</v>
      </c>
      <c r="T4" s="27">
        <v>30909</v>
      </c>
      <c r="U4" s="27">
        <v>50354</v>
      </c>
      <c r="V4" s="28">
        <v>30476</v>
      </c>
      <c r="W4" s="29">
        <v>488.435</v>
      </c>
      <c r="X4" s="27">
        <v>893.54700000000003</v>
      </c>
      <c r="Y4" s="27">
        <v>3885.0990000000002</v>
      </c>
      <c r="Z4" s="27">
        <v>2153</v>
      </c>
      <c r="AA4" s="27">
        <v>1217</v>
      </c>
      <c r="AB4" s="51"/>
      <c r="AC4" s="51"/>
    </row>
    <row r="5" spans="1:29" x14ac:dyDescent="0.25">
      <c r="A5" s="21">
        <v>44287</v>
      </c>
      <c r="B5" s="24">
        <v>10</v>
      </c>
      <c r="C5" s="24">
        <v>10</v>
      </c>
      <c r="D5" s="27">
        <v>279087</v>
      </c>
      <c r="E5" s="27">
        <v>279522</v>
      </c>
      <c r="F5" s="27">
        <v>308718</v>
      </c>
      <c r="G5" s="27">
        <v>308385</v>
      </c>
      <c r="H5" s="27">
        <v>221786</v>
      </c>
      <c r="I5" s="27">
        <v>7006271</v>
      </c>
      <c r="J5" s="27">
        <v>31845</v>
      </c>
      <c r="K5" s="27">
        <v>4925138</v>
      </c>
      <c r="L5" s="27">
        <v>631688</v>
      </c>
      <c r="M5" s="27">
        <v>2627419</v>
      </c>
      <c r="N5" s="27">
        <v>877216</v>
      </c>
      <c r="O5" s="27">
        <v>353357</v>
      </c>
      <c r="P5" s="27">
        <v>1471374</v>
      </c>
      <c r="Q5" s="27">
        <v>604806</v>
      </c>
      <c r="R5" s="27">
        <v>677</v>
      </c>
      <c r="S5" s="27">
        <v>329625</v>
      </c>
      <c r="T5" s="27">
        <v>30925</v>
      </c>
      <c r="U5" s="27">
        <v>50359</v>
      </c>
      <c r="V5" s="27">
        <v>30476</v>
      </c>
      <c r="W5" s="27">
        <v>488.435</v>
      </c>
      <c r="X5" s="27">
        <v>893.56799999999998</v>
      </c>
      <c r="Y5" s="27">
        <v>3885.0990000000002</v>
      </c>
      <c r="Z5" s="27">
        <v>2153</v>
      </c>
      <c r="AA5" s="27">
        <v>1221</v>
      </c>
      <c r="AB5" s="52">
        <v>1375</v>
      </c>
      <c r="AC5" s="52">
        <v>1977</v>
      </c>
    </row>
    <row r="6" spans="1:29" x14ac:dyDescent="0.25">
      <c r="A6" s="21">
        <v>44288</v>
      </c>
      <c r="B6" s="24">
        <v>10</v>
      </c>
      <c r="C6" s="24">
        <v>10</v>
      </c>
      <c r="D6" s="27">
        <v>279998</v>
      </c>
      <c r="E6" s="27">
        <v>280435</v>
      </c>
      <c r="F6" s="27">
        <v>309098</v>
      </c>
      <c r="G6" s="27">
        <v>308764</v>
      </c>
      <c r="H6" s="27">
        <v>221809</v>
      </c>
      <c r="I6" s="27">
        <v>7007471</v>
      </c>
      <c r="J6" s="27">
        <v>31845</v>
      </c>
      <c r="K6" s="27">
        <v>4925940</v>
      </c>
      <c r="L6" s="27">
        <v>632069</v>
      </c>
      <c r="M6" s="27">
        <v>2627419</v>
      </c>
      <c r="N6" s="27">
        <v>878952</v>
      </c>
      <c r="O6" s="27">
        <v>353380</v>
      </c>
      <c r="P6" s="27">
        <v>1471374</v>
      </c>
      <c r="Q6" s="27">
        <v>604806</v>
      </c>
      <c r="R6" s="27">
        <v>677</v>
      </c>
      <c r="S6" s="27">
        <v>329627</v>
      </c>
      <c r="T6" s="27">
        <v>30934</v>
      </c>
      <c r="U6" s="27">
        <v>50363</v>
      </c>
      <c r="V6" s="27">
        <v>30476</v>
      </c>
      <c r="W6" s="27">
        <v>488.435</v>
      </c>
      <c r="X6" s="27">
        <v>893.59100000000001</v>
      </c>
      <c r="Y6" s="27">
        <v>3885.0990000000002</v>
      </c>
      <c r="Z6" s="27">
        <v>2153</v>
      </c>
      <c r="AA6" s="27">
        <v>1224</v>
      </c>
      <c r="AB6" s="52">
        <v>2098</v>
      </c>
      <c r="AC6" s="52">
        <v>1474</v>
      </c>
    </row>
    <row r="7" spans="1:29" x14ac:dyDescent="0.25">
      <c r="A7" s="21">
        <v>44289</v>
      </c>
      <c r="B7" s="24">
        <v>10</v>
      </c>
      <c r="C7" s="24">
        <v>10</v>
      </c>
      <c r="D7" s="27">
        <v>280936</v>
      </c>
      <c r="E7" s="27">
        <v>281374</v>
      </c>
      <c r="F7" s="27">
        <v>310549</v>
      </c>
      <c r="G7" s="27">
        <v>310214</v>
      </c>
      <c r="H7" s="27">
        <v>222119</v>
      </c>
      <c r="I7" s="27">
        <v>7008671</v>
      </c>
      <c r="J7" s="27">
        <v>31845</v>
      </c>
      <c r="K7" s="27">
        <v>4926742</v>
      </c>
      <c r="L7" s="27">
        <v>632450</v>
      </c>
      <c r="M7" s="27">
        <v>2627419</v>
      </c>
      <c r="N7" s="27">
        <v>880650</v>
      </c>
      <c r="O7" s="27">
        <v>353403</v>
      </c>
      <c r="P7" s="27">
        <v>1471374</v>
      </c>
      <c r="Q7" s="27">
        <v>604806</v>
      </c>
      <c r="R7" s="27">
        <v>677</v>
      </c>
      <c r="S7" s="27">
        <v>329631</v>
      </c>
      <c r="T7" s="27">
        <v>30939</v>
      </c>
      <c r="U7" s="27">
        <v>50365</v>
      </c>
      <c r="V7" s="27">
        <v>30476</v>
      </c>
      <c r="W7" s="27">
        <v>488.435</v>
      </c>
      <c r="X7" s="27">
        <v>896.697</v>
      </c>
      <c r="Y7" s="27">
        <v>3885.0990000000002</v>
      </c>
      <c r="Z7" s="27">
        <v>2153</v>
      </c>
      <c r="AA7" s="27">
        <v>1228</v>
      </c>
      <c r="AB7" s="52">
        <v>2038</v>
      </c>
      <c r="AC7" s="52">
        <v>1346</v>
      </c>
    </row>
    <row r="8" spans="1:29" x14ac:dyDescent="0.25">
      <c r="A8" s="21">
        <v>44290</v>
      </c>
      <c r="B8" s="24">
        <v>10</v>
      </c>
      <c r="C8" s="24">
        <v>10</v>
      </c>
      <c r="D8" s="27">
        <v>282125</v>
      </c>
      <c r="E8" s="27">
        <v>282565</v>
      </c>
      <c r="F8" s="27">
        <v>311471</v>
      </c>
      <c r="G8" s="27">
        <v>311138</v>
      </c>
      <c r="H8" s="27">
        <v>222251</v>
      </c>
      <c r="I8" s="27">
        <v>7009871</v>
      </c>
      <c r="J8" s="27">
        <v>31845</v>
      </c>
      <c r="K8" s="27">
        <v>4927544</v>
      </c>
      <c r="L8" s="27">
        <v>632831</v>
      </c>
      <c r="M8" s="27">
        <v>2627512</v>
      </c>
      <c r="N8" s="27">
        <v>882570</v>
      </c>
      <c r="O8" s="27">
        <v>353425</v>
      </c>
      <c r="P8" s="27">
        <v>1471374</v>
      </c>
      <c r="Q8" s="27">
        <v>604806</v>
      </c>
      <c r="R8" s="27">
        <v>677</v>
      </c>
      <c r="S8" s="27">
        <v>329631</v>
      </c>
      <c r="T8" s="27">
        <v>30949</v>
      </c>
      <c r="U8" s="27">
        <v>50367</v>
      </c>
      <c r="V8" s="27">
        <v>30477</v>
      </c>
      <c r="W8" s="27">
        <v>488.435</v>
      </c>
      <c r="X8" s="27">
        <v>893.79899999999998</v>
      </c>
      <c r="Y8" s="27">
        <v>3885.0990000000002</v>
      </c>
      <c r="Z8" s="27">
        <v>2153</v>
      </c>
      <c r="AA8" s="27">
        <v>1232</v>
      </c>
      <c r="AB8" s="52">
        <v>1443</v>
      </c>
      <c r="AC8" s="52">
        <v>1582</v>
      </c>
    </row>
    <row r="9" spans="1:29" x14ac:dyDescent="0.25">
      <c r="A9" s="21">
        <v>44291</v>
      </c>
      <c r="B9" s="24">
        <v>10</v>
      </c>
      <c r="C9" s="24">
        <v>10</v>
      </c>
      <c r="D9" s="27">
        <v>283161</v>
      </c>
      <c r="E9" s="27">
        <v>283603</v>
      </c>
      <c r="F9" s="27">
        <v>311837</v>
      </c>
      <c r="G9" s="27">
        <v>311501</v>
      </c>
      <c r="H9" s="27">
        <v>222276</v>
      </c>
      <c r="I9" s="27">
        <v>7011071</v>
      </c>
      <c r="J9" s="27">
        <v>31845</v>
      </c>
      <c r="K9" s="27">
        <v>4928346</v>
      </c>
      <c r="L9" s="27">
        <v>633212</v>
      </c>
      <c r="M9" s="27">
        <v>2627543</v>
      </c>
      <c r="N9" s="27">
        <v>884324</v>
      </c>
      <c r="O9" s="27">
        <v>353451</v>
      </c>
      <c r="P9" s="27">
        <v>1471374</v>
      </c>
      <c r="Q9" s="27">
        <v>604806</v>
      </c>
      <c r="R9" s="27">
        <v>677</v>
      </c>
      <c r="S9" s="27">
        <v>329631</v>
      </c>
      <c r="T9" s="27">
        <v>30954</v>
      </c>
      <c r="U9" s="27">
        <v>50368</v>
      </c>
      <c r="V9" s="27">
        <v>30486</v>
      </c>
      <c r="W9" s="27">
        <v>488.435</v>
      </c>
      <c r="X9" s="27">
        <v>893.85599999999999</v>
      </c>
      <c r="Y9" s="27">
        <v>3885.0990000000002</v>
      </c>
      <c r="Z9" s="27">
        <v>2153</v>
      </c>
      <c r="AA9" s="27">
        <v>1235</v>
      </c>
      <c r="AB9" s="52">
        <v>1357</v>
      </c>
      <c r="AC9" s="52">
        <v>1957</v>
      </c>
    </row>
    <row r="10" spans="1:29" x14ac:dyDescent="0.25">
      <c r="A10" s="21">
        <v>44292</v>
      </c>
      <c r="B10" s="24">
        <v>10</v>
      </c>
      <c r="C10" s="24">
        <v>10</v>
      </c>
      <c r="D10" s="27">
        <v>285880</v>
      </c>
      <c r="E10" s="27">
        <v>286327</v>
      </c>
      <c r="F10" s="27">
        <v>312343</v>
      </c>
      <c r="G10" s="27">
        <v>312007</v>
      </c>
      <c r="H10" s="27">
        <v>222313</v>
      </c>
      <c r="I10" s="27">
        <v>7012271</v>
      </c>
      <c r="J10" s="27">
        <v>31845</v>
      </c>
      <c r="K10" s="27">
        <v>4929148</v>
      </c>
      <c r="L10" s="27">
        <v>632706</v>
      </c>
      <c r="M10" s="27">
        <v>2627938</v>
      </c>
      <c r="N10" s="27">
        <v>886208</v>
      </c>
      <c r="O10" s="27">
        <v>353551</v>
      </c>
      <c r="P10" s="27">
        <v>1471374</v>
      </c>
      <c r="Q10" s="27">
        <v>604806</v>
      </c>
      <c r="R10" s="27">
        <v>677</v>
      </c>
      <c r="S10" s="27">
        <v>329633</v>
      </c>
      <c r="T10" s="27">
        <v>30962</v>
      </c>
      <c r="U10" s="27">
        <v>50372</v>
      </c>
      <c r="V10" s="27">
        <v>30486</v>
      </c>
      <c r="W10" s="27">
        <v>488.43599999999998</v>
      </c>
      <c r="X10" s="27">
        <v>894.005</v>
      </c>
      <c r="Y10" s="27">
        <v>3885.1170000000002</v>
      </c>
      <c r="Z10" s="27">
        <v>2153</v>
      </c>
      <c r="AA10" s="27">
        <v>1240</v>
      </c>
      <c r="AB10" s="52">
        <v>1317</v>
      </c>
      <c r="AC10" s="52">
        <v>1938</v>
      </c>
    </row>
    <row r="11" spans="1:29" x14ac:dyDescent="0.25">
      <c r="A11" s="21">
        <v>44293</v>
      </c>
      <c r="B11" s="24">
        <v>10</v>
      </c>
      <c r="C11" s="24">
        <v>10</v>
      </c>
      <c r="D11" s="27">
        <v>286621</v>
      </c>
      <c r="E11" s="27">
        <v>287069</v>
      </c>
      <c r="F11" s="27">
        <v>313266</v>
      </c>
      <c r="G11" s="27">
        <v>312328</v>
      </c>
      <c r="H11" s="27">
        <v>222331</v>
      </c>
      <c r="I11" s="27">
        <v>7013471</v>
      </c>
      <c r="J11" s="27">
        <v>31845</v>
      </c>
      <c r="K11" s="27">
        <v>4929950</v>
      </c>
      <c r="L11" s="27">
        <v>632887</v>
      </c>
      <c r="M11" s="27">
        <v>2627938</v>
      </c>
      <c r="N11" s="27">
        <v>888167</v>
      </c>
      <c r="O11" s="27">
        <v>353568</v>
      </c>
      <c r="P11" s="27">
        <v>1471374</v>
      </c>
      <c r="Q11" s="27">
        <v>604806</v>
      </c>
      <c r="R11" s="27">
        <v>677</v>
      </c>
      <c r="S11" s="27">
        <v>329635</v>
      </c>
      <c r="T11" s="27">
        <v>30969</v>
      </c>
      <c r="U11" s="27">
        <v>50373</v>
      </c>
      <c r="V11" s="27">
        <v>30487</v>
      </c>
      <c r="W11" s="27">
        <v>488.43599999999998</v>
      </c>
      <c r="X11" s="27">
        <v>894.15800000000002</v>
      </c>
      <c r="Y11" s="27">
        <v>3885.1170000000002</v>
      </c>
      <c r="Z11" s="27">
        <v>2153</v>
      </c>
      <c r="AA11" s="27">
        <v>1243</v>
      </c>
      <c r="AB11" s="52">
        <v>2315</v>
      </c>
      <c r="AC11" s="52">
        <v>1848</v>
      </c>
    </row>
    <row r="12" spans="1:29" x14ac:dyDescent="0.25">
      <c r="A12" s="21">
        <v>44294</v>
      </c>
      <c r="B12" s="24">
        <v>10</v>
      </c>
      <c r="C12" s="24">
        <v>10</v>
      </c>
      <c r="D12" s="27">
        <v>287536</v>
      </c>
      <c r="E12" s="27">
        <v>287986</v>
      </c>
      <c r="F12" s="27">
        <v>313295</v>
      </c>
      <c r="G12" s="27">
        <v>312957</v>
      </c>
      <c r="H12" s="27">
        <v>222407</v>
      </c>
      <c r="I12" s="27">
        <v>7014671</v>
      </c>
      <c r="J12" s="27">
        <v>31845</v>
      </c>
      <c r="K12" s="27">
        <v>4930752</v>
      </c>
      <c r="L12" s="27">
        <v>633160</v>
      </c>
      <c r="M12" s="27">
        <v>2627938</v>
      </c>
      <c r="N12" s="27">
        <v>890433</v>
      </c>
      <c r="O12" s="27">
        <v>353599</v>
      </c>
      <c r="P12" s="27">
        <v>1471374</v>
      </c>
      <c r="Q12" s="27">
        <v>604806</v>
      </c>
      <c r="R12" s="27">
        <v>677</v>
      </c>
      <c r="S12" s="27">
        <v>329642</v>
      </c>
      <c r="T12" s="27">
        <v>30986</v>
      </c>
      <c r="U12" s="27">
        <v>50376</v>
      </c>
      <c r="V12" s="27">
        <v>30487</v>
      </c>
      <c r="W12" s="27">
        <v>488.43599999999998</v>
      </c>
      <c r="X12" s="27">
        <v>894.32799999999997</v>
      </c>
      <c r="Y12" s="27">
        <v>3885.1170000000002</v>
      </c>
      <c r="Z12" s="27">
        <v>2153</v>
      </c>
      <c r="AA12" s="27">
        <v>1247</v>
      </c>
      <c r="AB12" s="52">
        <v>2315</v>
      </c>
      <c r="AC12" s="52">
        <v>1988</v>
      </c>
    </row>
    <row r="13" spans="1:29" x14ac:dyDescent="0.25">
      <c r="A13" s="21">
        <v>44295</v>
      </c>
      <c r="B13" s="24">
        <v>10</v>
      </c>
      <c r="C13" s="24">
        <v>10</v>
      </c>
      <c r="D13" s="27">
        <v>288462</v>
      </c>
      <c r="E13" s="27">
        <v>288914</v>
      </c>
      <c r="F13" s="27">
        <v>313744</v>
      </c>
      <c r="G13" s="27">
        <v>313407</v>
      </c>
      <c r="H13" s="27">
        <v>222441</v>
      </c>
      <c r="I13" s="27">
        <v>7015871</v>
      </c>
      <c r="J13" s="27">
        <v>31845</v>
      </c>
      <c r="K13" s="27">
        <v>4931554</v>
      </c>
      <c r="L13" s="27">
        <v>633363</v>
      </c>
      <c r="M13" s="27">
        <v>2627938</v>
      </c>
      <c r="N13" s="27">
        <v>892499</v>
      </c>
      <c r="O13" s="27">
        <v>353638</v>
      </c>
      <c r="P13" s="27">
        <v>1471374</v>
      </c>
      <c r="Q13" s="27">
        <v>604806</v>
      </c>
      <c r="R13" s="27">
        <v>677</v>
      </c>
      <c r="S13" s="27">
        <v>329672</v>
      </c>
      <c r="T13" s="27">
        <v>31026</v>
      </c>
      <c r="U13" s="27">
        <v>50383</v>
      </c>
      <c r="V13" s="27">
        <v>30487</v>
      </c>
      <c r="W13" s="27">
        <v>488.43599999999998</v>
      </c>
      <c r="X13" s="27">
        <v>894.35400000000004</v>
      </c>
      <c r="Y13" s="27">
        <v>3885.1170000000002</v>
      </c>
      <c r="Z13" s="27">
        <v>2153</v>
      </c>
      <c r="AA13" s="27">
        <v>1250</v>
      </c>
      <c r="AB13" s="52">
        <v>2146</v>
      </c>
      <c r="AC13" s="52">
        <v>1832</v>
      </c>
    </row>
    <row r="14" spans="1:29" x14ac:dyDescent="0.25">
      <c r="A14" s="21">
        <v>44296</v>
      </c>
      <c r="B14" s="24">
        <v>10</v>
      </c>
      <c r="C14" s="24">
        <v>10</v>
      </c>
      <c r="D14" s="27">
        <v>289492</v>
      </c>
      <c r="E14" s="27">
        <v>289945</v>
      </c>
      <c r="F14" s="27">
        <v>314252</v>
      </c>
      <c r="G14" s="27">
        <v>313914</v>
      </c>
      <c r="H14" s="27">
        <v>222491</v>
      </c>
      <c r="I14" s="27">
        <v>7017071</v>
      </c>
      <c r="J14" s="27">
        <v>31845</v>
      </c>
      <c r="K14" s="27">
        <v>4932356</v>
      </c>
      <c r="L14" s="27">
        <v>633566</v>
      </c>
      <c r="M14" s="27">
        <v>2627962</v>
      </c>
      <c r="N14" s="27">
        <v>894691</v>
      </c>
      <c r="O14" s="27">
        <v>353683</v>
      </c>
      <c r="P14" s="27">
        <v>1471374</v>
      </c>
      <c r="Q14" s="27">
        <v>604806</v>
      </c>
      <c r="R14" s="27">
        <v>677</v>
      </c>
      <c r="S14" s="27">
        <v>329677</v>
      </c>
      <c r="T14" s="27">
        <v>31037</v>
      </c>
      <c r="U14" s="27">
        <v>50385</v>
      </c>
      <c r="V14" s="27">
        <v>30487</v>
      </c>
      <c r="W14" s="27">
        <v>488.43599999999998</v>
      </c>
      <c r="X14" s="27">
        <v>894.35400000000004</v>
      </c>
      <c r="Y14" s="27">
        <v>3885.1170000000002</v>
      </c>
      <c r="Z14" s="27">
        <v>2153</v>
      </c>
      <c r="AA14" s="27">
        <v>1255</v>
      </c>
      <c r="AB14" s="52">
        <v>2404</v>
      </c>
      <c r="AC14" s="52">
        <v>1886</v>
      </c>
    </row>
    <row r="15" spans="1:29" x14ac:dyDescent="0.25">
      <c r="A15" s="21">
        <v>44297</v>
      </c>
      <c r="B15" s="24">
        <v>10</v>
      </c>
      <c r="C15" s="24">
        <v>10</v>
      </c>
      <c r="D15" s="27">
        <v>290430</v>
      </c>
      <c r="E15" s="27">
        <v>290886</v>
      </c>
      <c r="F15" s="27">
        <v>314643</v>
      </c>
      <c r="G15" s="27">
        <v>314304</v>
      </c>
      <c r="H15" s="27">
        <v>222518</v>
      </c>
      <c r="I15" s="27">
        <v>7018271</v>
      </c>
      <c r="J15" s="27">
        <v>31845</v>
      </c>
      <c r="K15" s="27">
        <v>4933158</v>
      </c>
      <c r="L15" s="27">
        <v>633769</v>
      </c>
      <c r="M15" s="27">
        <v>2627962</v>
      </c>
      <c r="N15" s="27">
        <v>897068</v>
      </c>
      <c r="O15" s="27">
        <v>353708</v>
      </c>
      <c r="P15" s="27">
        <v>1471374</v>
      </c>
      <c r="Q15" s="27">
        <v>604806</v>
      </c>
      <c r="R15" s="27">
        <v>677</v>
      </c>
      <c r="S15" s="27">
        <v>329679</v>
      </c>
      <c r="T15" s="27">
        <v>31047</v>
      </c>
      <c r="U15" s="27">
        <v>50387</v>
      </c>
      <c r="V15" s="27">
        <v>30488</v>
      </c>
      <c r="W15" s="27">
        <v>488.43599999999998</v>
      </c>
      <c r="X15" s="27">
        <v>894.35400000000004</v>
      </c>
      <c r="Y15" s="27">
        <v>3885.1170000000002</v>
      </c>
      <c r="Z15" s="27">
        <v>2153</v>
      </c>
      <c r="AA15" s="27">
        <v>1261</v>
      </c>
      <c r="AB15" s="52">
        <v>2503</v>
      </c>
      <c r="AC15" s="52">
        <v>1988</v>
      </c>
    </row>
    <row r="16" spans="1:29" x14ac:dyDescent="0.25">
      <c r="A16" s="21">
        <v>44298</v>
      </c>
      <c r="B16" s="24">
        <v>10</v>
      </c>
      <c r="C16" s="24">
        <v>10</v>
      </c>
      <c r="D16" s="27">
        <v>291442</v>
      </c>
      <c r="E16" s="27">
        <v>291899</v>
      </c>
      <c r="F16" s="27">
        <v>315052</v>
      </c>
      <c r="G16" s="27">
        <v>314713</v>
      </c>
      <c r="H16" s="27">
        <v>222543</v>
      </c>
      <c r="I16" s="27">
        <v>7019471</v>
      </c>
      <c r="J16" s="27">
        <v>31845</v>
      </c>
      <c r="K16" s="27">
        <v>4933960</v>
      </c>
      <c r="L16" s="27">
        <v>633972</v>
      </c>
      <c r="M16" s="27">
        <v>2627962</v>
      </c>
      <c r="N16" s="27">
        <v>899538</v>
      </c>
      <c r="O16" s="27">
        <v>353772</v>
      </c>
      <c r="P16" s="27">
        <v>1471374</v>
      </c>
      <c r="Q16" s="27">
        <v>604806</v>
      </c>
      <c r="R16" s="27">
        <v>677</v>
      </c>
      <c r="S16" s="27">
        <v>329681</v>
      </c>
      <c r="T16" s="27">
        <v>31059</v>
      </c>
      <c r="U16" s="27">
        <v>50389</v>
      </c>
      <c r="V16" s="27">
        <v>30493</v>
      </c>
      <c r="W16" s="27">
        <v>488.43599999999998</v>
      </c>
      <c r="X16" s="27">
        <v>894.35299999999995</v>
      </c>
      <c r="Y16" s="27">
        <v>3885.1170000000002</v>
      </c>
      <c r="Z16" s="27">
        <v>2153</v>
      </c>
      <c r="AA16" s="27">
        <v>1267</v>
      </c>
      <c r="AB16" s="52">
        <v>1669</v>
      </c>
      <c r="AC16" s="52">
        <v>1342</v>
      </c>
    </row>
    <row r="17" spans="1:29" x14ac:dyDescent="0.25">
      <c r="A17" s="21">
        <v>44299</v>
      </c>
      <c r="B17" s="24">
        <v>10</v>
      </c>
      <c r="C17" s="24">
        <v>10</v>
      </c>
      <c r="D17" s="27">
        <v>294134</v>
      </c>
      <c r="E17" s="27">
        <v>294596</v>
      </c>
      <c r="F17" s="27">
        <v>317128</v>
      </c>
      <c r="G17" s="27">
        <v>316787</v>
      </c>
      <c r="H17" s="27">
        <v>223133</v>
      </c>
      <c r="I17" s="27">
        <v>7020671</v>
      </c>
      <c r="J17" s="27">
        <v>31845</v>
      </c>
      <c r="K17" s="27">
        <v>4934762</v>
      </c>
      <c r="L17" s="27">
        <v>634363</v>
      </c>
      <c r="M17" s="27">
        <v>2628403</v>
      </c>
      <c r="N17" s="27">
        <v>901179</v>
      </c>
      <c r="O17" s="27">
        <v>353788</v>
      </c>
      <c r="P17" s="27">
        <v>1471374</v>
      </c>
      <c r="Q17" s="27">
        <v>604806</v>
      </c>
      <c r="R17" s="27">
        <v>677</v>
      </c>
      <c r="S17" s="27">
        <v>329684</v>
      </c>
      <c r="T17" s="27">
        <v>31072</v>
      </c>
      <c r="U17" s="27">
        <v>50392</v>
      </c>
      <c r="V17" s="27">
        <v>30494</v>
      </c>
      <c r="W17" s="27">
        <v>488.43599999999998</v>
      </c>
      <c r="X17" s="27">
        <v>894.35699999999997</v>
      </c>
      <c r="Y17" s="27">
        <v>3885.1170000000002</v>
      </c>
      <c r="Z17" s="27">
        <v>2153</v>
      </c>
      <c r="AA17" s="27">
        <v>1270</v>
      </c>
      <c r="AB17" s="52">
        <v>1469</v>
      </c>
      <c r="AC17" s="52">
        <v>529</v>
      </c>
    </row>
    <row r="18" spans="1:29" x14ac:dyDescent="0.25">
      <c r="A18" s="21">
        <v>44300</v>
      </c>
      <c r="B18" s="24">
        <v>10</v>
      </c>
      <c r="C18" s="24">
        <v>10</v>
      </c>
      <c r="D18" s="27">
        <v>295367</v>
      </c>
      <c r="E18" s="27">
        <v>295831</v>
      </c>
      <c r="F18" s="27">
        <v>319324</v>
      </c>
      <c r="G18" s="27">
        <v>318981</v>
      </c>
      <c r="H18" s="27">
        <v>223629</v>
      </c>
      <c r="I18" s="27">
        <v>7021871</v>
      </c>
      <c r="J18" s="27">
        <v>31845</v>
      </c>
      <c r="K18" s="27">
        <v>4935564</v>
      </c>
      <c r="L18" s="27">
        <v>634566</v>
      </c>
      <c r="M18" s="27">
        <v>2628468</v>
      </c>
      <c r="N18" s="27">
        <v>903295</v>
      </c>
      <c r="O18" s="27">
        <v>353800</v>
      </c>
      <c r="P18" s="27">
        <v>1471374</v>
      </c>
      <c r="Q18" s="27">
        <v>604806</v>
      </c>
      <c r="R18" s="27">
        <v>677</v>
      </c>
      <c r="S18" s="27">
        <v>329690</v>
      </c>
      <c r="T18" s="27">
        <v>30189</v>
      </c>
      <c r="U18" s="27">
        <v>50397</v>
      </c>
      <c r="V18" s="27">
        <v>30495</v>
      </c>
      <c r="W18" s="27">
        <v>488.43599999999998</v>
      </c>
      <c r="X18" s="27">
        <v>894.35699999999997</v>
      </c>
      <c r="Y18" s="27">
        <v>3885.1170000000002</v>
      </c>
      <c r="Z18" s="27">
        <v>2153</v>
      </c>
      <c r="AA18" s="27">
        <v>1275</v>
      </c>
      <c r="AB18" s="52">
        <v>2541</v>
      </c>
      <c r="AC18" s="52">
        <v>781</v>
      </c>
    </row>
    <row r="19" spans="1:29" x14ac:dyDescent="0.25">
      <c r="A19" s="21">
        <v>44301</v>
      </c>
      <c r="B19" s="24">
        <v>10</v>
      </c>
      <c r="C19" s="24">
        <v>10</v>
      </c>
      <c r="D19" s="27">
        <v>296383</v>
      </c>
      <c r="E19" s="27">
        <v>296849</v>
      </c>
      <c r="F19" s="27">
        <v>320874</v>
      </c>
      <c r="G19" s="27">
        <v>320530</v>
      </c>
      <c r="H19" s="27">
        <v>223982</v>
      </c>
      <c r="I19" s="27">
        <v>7023071</v>
      </c>
      <c r="J19" s="27">
        <v>31845</v>
      </c>
      <c r="K19" s="27">
        <v>4936366</v>
      </c>
      <c r="L19" s="27">
        <v>634769</v>
      </c>
      <c r="M19" s="27">
        <v>2628468</v>
      </c>
      <c r="N19" s="27">
        <v>905432</v>
      </c>
      <c r="O19" s="27">
        <v>353840</v>
      </c>
      <c r="P19" s="27">
        <v>1471374</v>
      </c>
      <c r="Q19" s="27">
        <v>604806</v>
      </c>
      <c r="R19" s="27">
        <v>677</v>
      </c>
      <c r="S19" s="27">
        <v>329700</v>
      </c>
      <c r="T19" s="27">
        <v>31107</v>
      </c>
      <c r="U19" s="27">
        <v>50402</v>
      </c>
      <c r="V19" s="27">
        <v>30497</v>
      </c>
      <c r="W19" s="27">
        <v>488.52600000000001</v>
      </c>
      <c r="X19" s="27">
        <v>894.35900000000004</v>
      </c>
      <c r="Y19" s="27">
        <v>3885.1170000000002</v>
      </c>
      <c r="Z19" s="27">
        <v>2153</v>
      </c>
      <c r="AA19" s="27">
        <v>1283</v>
      </c>
      <c r="AB19" s="52">
        <v>2584</v>
      </c>
      <c r="AC19" s="52">
        <v>1025</v>
      </c>
    </row>
    <row r="20" spans="1:29" x14ac:dyDescent="0.25">
      <c r="A20" s="21">
        <v>44302</v>
      </c>
      <c r="B20" s="24">
        <v>10</v>
      </c>
      <c r="C20" s="24">
        <v>10</v>
      </c>
      <c r="D20" s="27">
        <v>297358</v>
      </c>
      <c r="E20" s="27">
        <v>297826</v>
      </c>
      <c r="F20" s="27">
        <v>322858</v>
      </c>
      <c r="G20" s="27">
        <v>322512</v>
      </c>
      <c r="H20" s="27">
        <v>224409</v>
      </c>
      <c r="I20" s="27">
        <v>7024271</v>
      </c>
      <c r="J20" s="27">
        <v>31845</v>
      </c>
      <c r="K20" s="27">
        <v>4937168</v>
      </c>
      <c r="L20" s="27">
        <v>634972</v>
      </c>
      <c r="M20" s="27">
        <v>2628468</v>
      </c>
      <c r="N20" s="27">
        <v>907592</v>
      </c>
      <c r="O20" s="27">
        <v>353872</v>
      </c>
      <c r="P20" s="27">
        <v>1471374</v>
      </c>
      <c r="Q20" s="27">
        <v>604806</v>
      </c>
      <c r="R20" s="27">
        <v>677</v>
      </c>
      <c r="S20" s="27">
        <v>329709</v>
      </c>
      <c r="T20" s="27">
        <v>31123</v>
      </c>
      <c r="U20" s="27">
        <v>50407</v>
      </c>
      <c r="V20" s="27">
        <v>30498</v>
      </c>
      <c r="W20" s="27">
        <v>488.52600000000001</v>
      </c>
      <c r="X20" s="27">
        <v>894.61199999999997</v>
      </c>
      <c r="Y20" s="27">
        <v>3885.1170000000002</v>
      </c>
      <c r="Z20" s="27">
        <v>2153</v>
      </c>
      <c r="AA20" s="27">
        <v>1291</v>
      </c>
      <c r="AB20" s="52">
        <v>2603</v>
      </c>
      <c r="AC20" s="52">
        <v>510</v>
      </c>
    </row>
    <row r="21" spans="1:29" x14ac:dyDescent="0.25">
      <c r="A21" s="21">
        <v>44303</v>
      </c>
      <c r="B21" s="24">
        <v>10</v>
      </c>
      <c r="C21" s="24">
        <v>10</v>
      </c>
      <c r="D21" s="27">
        <v>298359</v>
      </c>
      <c r="E21" s="27">
        <v>298829</v>
      </c>
      <c r="F21" s="27">
        <v>325264</v>
      </c>
      <c r="G21" s="27">
        <v>324916</v>
      </c>
      <c r="H21" s="27">
        <v>224918</v>
      </c>
      <c r="I21" s="27">
        <v>7025471</v>
      </c>
      <c r="J21" s="27">
        <v>31845</v>
      </c>
      <c r="K21" s="27">
        <v>4937970</v>
      </c>
      <c r="L21" s="27">
        <v>635431</v>
      </c>
      <c r="M21" s="27">
        <v>2628468</v>
      </c>
      <c r="N21" s="27">
        <v>909626</v>
      </c>
      <c r="O21" s="27">
        <v>353900</v>
      </c>
      <c r="P21" s="27">
        <v>1471374</v>
      </c>
      <c r="Q21" s="27">
        <v>604806</v>
      </c>
      <c r="R21" s="27">
        <v>677</v>
      </c>
      <c r="S21" s="27">
        <v>329715</v>
      </c>
      <c r="T21" s="27">
        <v>31137</v>
      </c>
      <c r="U21" s="27">
        <v>50410</v>
      </c>
      <c r="V21" s="27">
        <v>30499</v>
      </c>
      <c r="W21" s="27">
        <v>488.61200000000002</v>
      </c>
      <c r="X21" s="27">
        <v>894.36</v>
      </c>
      <c r="Y21" s="27">
        <v>3885.1170000000002</v>
      </c>
      <c r="Z21" s="27">
        <v>2153</v>
      </c>
      <c r="AA21" s="27">
        <v>1292</v>
      </c>
      <c r="AB21" s="52">
        <v>2454</v>
      </c>
      <c r="AC21" s="52">
        <v>217</v>
      </c>
    </row>
    <row r="22" spans="1:29" x14ac:dyDescent="0.25">
      <c r="A22" s="21">
        <v>44304</v>
      </c>
      <c r="B22" s="24">
        <v>10</v>
      </c>
      <c r="C22" s="24">
        <v>10</v>
      </c>
      <c r="D22" s="27">
        <v>299339</v>
      </c>
      <c r="E22" s="27">
        <v>299810</v>
      </c>
      <c r="F22" s="27">
        <v>327695</v>
      </c>
      <c r="G22" s="27">
        <v>327344</v>
      </c>
      <c r="H22" s="27">
        <v>225453</v>
      </c>
      <c r="I22" s="27">
        <v>7026671</v>
      </c>
      <c r="J22" s="27">
        <v>31845</v>
      </c>
      <c r="K22" s="27">
        <v>4938772</v>
      </c>
      <c r="L22" s="27">
        <v>635655</v>
      </c>
      <c r="M22" s="27">
        <v>2628468</v>
      </c>
      <c r="N22" s="27">
        <v>911466</v>
      </c>
      <c r="O22" s="27">
        <v>353928</v>
      </c>
      <c r="P22" s="27">
        <v>1471374</v>
      </c>
      <c r="Q22" s="27">
        <v>604806</v>
      </c>
      <c r="R22" s="27">
        <v>677</v>
      </c>
      <c r="S22" s="27">
        <v>329716</v>
      </c>
      <c r="T22" s="27">
        <v>31147</v>
      </c>
      <c r="U22" s="27">
        <v>50413</v>
      </c>
      <c r="V22" s="27">
        <v>30501</v>
      </c>
      <c r="W22" s="27">
        <v>488.61200000000002</v>
      </c>
      <c r="X22" s="27">
        <v>894.36099999999999</v>
      </c>
      <c r="Y22" s="27">
        <v>3885.1170000000002</v>
      </c>
      <c r="Z22" s="27">
        <v>2153</v>
      </c>
      <c r="AA22" s="27">
        <v>1299</v>
      </c>
      <c r="AB22" s="52">
        <v>2476</v>
      </c>
      <c r="AC22" s="52">
        <v>233</v>
      </c>
    </row>
    <row r="23" spans="1:29" x14ac:dyDescent="0.25">
      <c r="A23" s="21">
        <v>44305</v>
      </c>
      <c r="B23" s="24">
        <v>10</v>
      </c>
      <c r="C23" s="24">
        <v>10</v>
      </c>
      <c r="D23" s="27">
        <v>300321</v>
      </c>
      <c r="E23" s="27">
        <v>300794</v>
      </c>
      <c r="F23" s="27">
        <v>330085</v>
      </c>
      <c r="G23" s="27">
        <v>329732</v>
      </c>
      <c r="H23" s="27">
        <v>225968</v>
      </c>
      <c r="I23" s="27">
        <v>7027871</v>
      </c>
      <c r="J23" s="27">
        <v>31845</v>
      </c>
      <c r="K23" s="27">
        <v>4939574</v>
      </c>
      <c r="L23" s="27">
        <v>635901</v>
      </c>
      <c r="M23" s="27">
        <v>2628468</v>
      </c>
      <c r="N23" s="27">
        <v>913282</v>
      </c>
      <c r="O23" s="27">
        <v>353961</v>
      </c>
      <c r="P23" s="27">
        <v>1471374</v>
      </c>
      <c r="Q23" s="27">
        <v>604806</v>
      </c>
      <c r="R23" s="27">
        <v>677</v>
      </c>
      <c r="S23" s="27">
        <v>329719</v>
      </c>
      <c r="T23" s="27">
        <v>31158</v>
      </c>
      <c r="U23" s="27">
        <v>50416</v>
      </c>
      <c r="V23" s="27">
        <v>30502</v>
      </c>
      <c r="W23" s="27">
        <v>488.61200000000002</v>
      </c>
      <c r="X23" s="27">
        <v>894.36099999999999</v>
      </c>
      <c r="Y23" s="27">
        <v>3885.1170000000002</v>
      </c>
      <c r="Z23" s="27">
        <v>2153</v>
      </c>
      <c r="AA23" s="27">
        <v>1311</v>
      </c>
      <c r="AB23" s="52">
        <v>2495</v>
      </c>
      <c r="AC23" s="52">
        <v>402</v>
      </c>
    </row>
    <row r="24" spans="1:29" x14ac:dyDescent="0.25">
      <c r="A24" s="21">
        <v>44306</v>
      </c>
      <c r="B24" s="24">
        <v>10</v>
      </c>
      <c r="C24" s="24">
        <v>10</v>
      </c>
      <c r="D24" s="27">
        <v>301335</v>
      </c>
      <c r="E24" s="27">
        <v>301808</v>
      </c>
      <c r="F24" s="27">
        <v>331222</v>
      </c>
      <c r="G24" s="27">
        <v>330869</v>
      </c>
      <c r="H24" s="27">
        <v>226450</v>
      </c>
      <c r="I24" s="27">
        <v>7028732</v>
      </c>
      <c r="J24" s="27">
        <v>31845</v>
      </c>
      <c r="K24" s="27">
        <v>4940384</v>
      </c>
      <c r="L24" s="27">
        <v>636361</v>
      </c>
      <c r="M24" s="27">
        <v>2628491</v>
      </c>
      <c r="N24" s="27">
        <v>915409</v>
      </c>
      <c r="O24" s="27">
        <v>354002</v>
      </c>
      <c r="P24" s="27">
        <v>1471374</v>
      </c>
      <c r="Q24" s="27">
        <v>604806</v>
      </c>
      <c r="R24" s="27">
        <v>677</v>
      </c>
      <c r="S24" s="27">
        <v>329737</v>
      </c>
      <c r="T24" s="27">
        <v>31183</v>
      </c>
      <c r="U24" s="27">
        <v>50426</v>
      </c>
      <c r="V24" s="27">
        <v>30504</v>
      </c>
      <c r="W24" s="27">
        <v>488.68799999999999</v>
      </c>
      <c r="X24" s="27">
        <v>894.36500000000001</v>
      </c>
      <c r="Y24" s="27">
        <v>3885.1170000000002</v>
      </c>
      <c r="Z24" s="27">
        <v>2153</v>
      </c>
      <c r="AA24" s="27">
        <v>1318</v>
      </c>
      <c r="AB24" s="52">
        <v>2228</v>
      </c>
      <c r="AC24" s="52">
        <v>1409</v>
      </c>
    </row>
    <row r="25" spans="1:29" x14ac:dyDescent="0.25">
      <c r="A25" s="21">
        <v>44307</v>
      </c>
      <c r="B25" s="24">
        <v>10</v>
      </c>
      <c r="C25" s="24">
        <v>10</v>
      </c>
      <c r="D25" s="27">
        <v>302349</v>
      </c>
      <c r="E25" s="27">
        <v>302822</v>
      </c>
      <c r="F25" s="27">
        <v>332359</v>
      </c>
      <c r="G25" s="27">
        <v>332006</v>
      </c>
      <c r="H25" s="27">
        <v>226453</v>
      </c>
      <c r="I25" s="27">
        <v>7029932</v>
      </c>
      <c r="J25" s="27">
        <v>31845</v>
      </c>
      <c r="K25" s="27">
        <v>4943029</v>
      </c>
      <c r="L25" s="27">
        <v>636564</v>
      </c>
      <c r="M25" s="27">
        <v>2628491</v>
      </c>
      <c r="N25" s="27">
        <v>917391</v>
      </c>
      <c r="O25" s="27">
        <v>354038</v>
      </c>
      <c r="P25" s="27">
        <v>1471374</v>
      </c>
      <c r="Q25" s="27">
        <v>604806</v>
      </c>
      <c r="R25" s="27">
        <v>677</v>
      </c>
      <c r="S25" s="27">
        <v>329744</v>
      </c>
      <c r="T25" s="27">
        <v>31198</v>
      </c>
      <c r="U25" s="27">
        <v>50430</v>
      </c>
      <c r="V25" s="27">
        <v>30505</v>
      </c>
      <c r="W25" s="27">
        <v>488.68799999999999</v>
      </c>
      <c r="X25" s="27">
        <v>894.48299999999995</v>
      </c>
      <c r="Y25" s="27">
        <v>3885.1170000000002</v>
      </c>
      <c r="Z25" s="27">
        <v>2153</v>
      </c>
      <c r="AA25" s="27">
        <v>1320</v>
      </c>
      <c r="AB25" s="52">
        <v>2374</v>
      </c>
      <c r="AC25" s="52">
        <v>2309</v>
      </c>
    </row>
    <row r="26" spans="1:29" x14ac:dyDescent="0.25">
      <c r="A26" s="21">
        <v>44308</v>
      </c>
      <c r="B26" s="24">
        <v>10</v>
      </c>
      <c r="C26" s="24">
        <v>10</v>
      </c>
      <c r="D26" s="27">
        <v>303365</v>
      </c>
      <c r="E26" s="27">
        <v>303843</v>
      </c>
      <c r="F26" s="27">
        <v>333498</v>
      </c>
      <c r="G26" s="27">
        <v>333141</v>
      </c>
      <c r="H26" s="27">
        <v>226564</v>
      </c>
      <c r="I26" s="27">
        <v>7031085</v>
      </c>
      <c r="J26" s="27">
        <v>31845</v>
      </c>
      <c r="K26" s="27">
        <v>4945674</v>
      </c>
      <c r="L26" s="27">
        <v>637032</v>
      </c>
      <c r="M26" s="27">
        <v>2628491</v>
      </c>
      <c r="N26" s="27">
        <v>919114</v>
      </c>
      <c r="O26" s="27">
        <v>354076</v>
      </c>
      <c r="P26" s="27">
        <v>1471374</v>
      </c>
      <c r="Q26" s="27">
        <v>604806</v>
      </c>
      <c r="R26" s="27">
        <v>677</v>
      </c>
      <c r="S26" s="27">
        <v>329752</v>
      </c>
      <c r="T26" s="27">
        <v>31215</v>
      </c>
      <c r="U26" s="27">
        <v>50437</v>
      </c>
      <c r="V26" s="27">
        <v>30506</v>
      </c>
      <c r="W26" s="27">
        <v>488.78500000000003</v>
      </c>
      <c r="X26" s="27">
        <v>894.58100000000002</v>
      </c>
      <c r="Y26" s="27">
        <v>3885.1170000000002</v>
      </c>
      <c r="Z26" s="27">
        <v>2153</v>
      </c>
      <c r="AA26" s="27">
        <v>1324</v>
      </c>
      <c r="AB26" s="52">
        <v>2472</v>
      </c>
      <c r="AC26" s="52">
        <v>1396</v>
      </c>
    </row>
    <row r="27" spans="1:29" x14ac:dyDescent="0.25">
      <c r="A27" s="21">
        <v>44309</v>
      </c>
      <c r="B27" s="24">
        <v>10</v>
      </c>
      <c r="C27" s="24">
        <v>10</v>
      </c>
      <c r="D27" s="27">
        <v>304200</v>
      </c>
      <c r="E27" s="27">
        <v>304679</v>
      </c>
      <c r="F27" s="27">
        <v>335213</v>
      </c>
      <c r="G27" s="27">
        <v>334856</v>
      </c>
      <c r="H27" s="27">
        <v>226675</v>
      </c>
      <c r="I27" s="27">
        <v>7032285</v>
      </c>
      <c r="J27" s="27">
        <v>31845</v>
      </c>
      <c r="K27" s="27">
        <v>4948319</v>
      </c>
      <c r="L27" s="27">
        <v>637300</v>
      </c>
      <c r="M27" s="27">
        <v>2628491</v>
      </c>
      <c r="N27" s="27">
        <v>920309</v>
      </c>
      <c r="O27" s="27">
        <v>354105</v>
      </c>
      <c r="P27" s="27">
        <v>1471374</v>
      </c>
      <c r="Q27" s="27">
        <v>604806</v>
      </c>
      <c r="R27" s="27">
        <v>677</v>
      </c>
      <c r="S27" s="27">
        <v>329758</v>
      </c>
      <c r="T27" s="27">
        <v>31230</v>
      </c>
      <c r="U27" s="27">
        <v>50442</v>
      </c>
      <c r="V27" s="27">
        <v>30508</v>
      </c>
      <c r="W27" s="27">
        <v>488.87799999999999</v>
      </c>
      <c r="X27" s="27">
        <v>894.96900000000005</v>
      </c>
      <c r="Y27" s="27">
        <v>3885.1170000000002</v>
      </c>
      <c r="Z27" s="27">
        <v>2153</v>
      </c>
      <c r="AA27" s="27">
        <v>1328</v>
      </c>
      <c r="AB27" s="52">
        <v>2458</v>
      </c>
      <c r="AC27" s="52">
        <v>790</v>
      </c>
    </row>
    <row r="28" spans="1:29" x14ac:dyDescent="0.25">
      <c r="A28" s="21">
        <v>44310</v>
      </c>
      <c r="B28" s="24">
        <v>10</v>
      </c>
      <c r="C28" s="24">
        <v>10</v>
      </c>
      <c r="D28" s="27">
        <v>305140</v>
      </c>
      <c r="E28" s="27">
        <v>305622</v>
      </c>
      <c r="F28" s="27">
        <v>336289</v>
      </c>
      <c r="G28" s="27">
        <v>335930</v>
      </c>
      <c r="H28" s="27">
        <v>226769</v>
      </c>
      <c r="I28" s="27">
        <v>7033485</v>
      </c>
      <c r="J28" s="27">
        <v>31845</v>
      </c>
      <c r="K28" s="27">
        <v>4950964</v>
      </c>
      <c r="L28" s="27">
        <v>637681</v>
      </c>
      <c r="M28" s="27">
        <v>2628491</v>
      </c>
      <c r="N28" s="27">
        <v>922198</v>
      </c>
      <c r="O28" s="27">
        <v>354143</v>
      </c>
      <c r="P28" s="27">
        <v>1471374</v>
      </c>
      <c r="Q28" s="27">
        <v>604806</v>
      </c>
      <c r="R28" s="27">
        <v>677</v>
      </c>
      <c r="S28" s="27">
        <v>329773</v>
      </c>
      <c r="T28" s="27">
        <v>31252</v>
      </c>
      <c r="U28" s="27">
        <v>50446</v>
      </c>
      <c r="V28" s="27">
        <v>30509</v>
      </c>
      <c r="W28" s="27">
        <v>488.87799999999999</v>
      </c>
      <c r="X28" s="27">
        <v>895.23199999999997</v>
      </c>
      <c r="Y28" s="27">
        <v>3885.1170000000002</v>
      </c>
      <c r="Z28" s="27">
        <v>2153</v>
      </c>
      <c r="AA28" s="27">
        <v>1332</v>
      </c>
      <c r="AB28" s="52">
        <v>2444</v>
      </c>
      <c r="AC28" s="52">
        <v>2261</v>
      </c>
    </row>
    <row r="29" spans="1:29" x14ac:dyDescent="0.25">
      <c r="A29" s="21">
        <v>44311</v>
      </c>
      <c r="B29" s="24">
        <v>10</v>
      </c>
      <c r="C29" s="24">
        <v>10</v>
      </c>
      <c r="D29" s="27">
        <v>306114</v>
      </c>
      <c r="E29" s="27">
        <v>306597</v>
      </c>
      <c r="F29" s="27">
        <v>336672</v>
      </c>
      <c r="G29" s="27">
        <v>336313</v>
      </c>
      <c r="H29" s="27">
        <v>226769</v>
      </c>
      <c r="I29" s="27">
        <v>7034685</v>
      </c>
      <c r="J29" s="27">
        <v>31845</v>
      </c>
      <c r="K29" s="27">
        <v>4953609</v>
      </c>
      <c r="L29" s="27">
        <v>638062</v>
      </c>
      <c r="M29" s="27">
        <v>2628491</v>
      </c>
      <c r="N29" s="27">
        <v>924213</v>
      </c>
      <c r="O29" s="27">
        <v>354174</v>
      </c>
      <c r="P29" s="27">
        <v>1471374</v>
      </c>
      <c r="Q29" s="27">
        <v>604806</v>
      </c>
      <c r="R29" s="27">
        <v>677</v>
      </c>
      <c r="S29" s="27">
        <v>329774</v>
      </c>
      <c r="T29" s="27">
        <v>31264</v>
      </c>
      <c r="U29" s="27">
        <v>50450</v>
      </c>
      <c r="V29" s="27">
        <v>30510</v>
      </c>
      <c r="W29" s="27">
        <v>488.95499999999998</v>
      </c>
      <c r="X29" s="27">
        <v>895.34299999999996</v>
      </c>
      <c r="Y29" s="27">
        <v>3885.1170000000002</v>
      </c>
      <c r="Z29" s="27">
        <v>2153</v>
      </c>
      <c r="AA29" s="27">
        <v>1340</v>
      </c>
      <c r="AB29" s="52">
        <v>1730</v>
      </c>
      <c r="AC29" s="52">
        <v>2187</v>
      </c>
    </row>
    <row r="30" spans="1:29" x14ac:dyDescent="0.25">
      <c r="A30" s="21">
        <v>44312</v>
      </c>
      <c r="B30" s="24">
        <v>10</v>
      </c>
      <c r="C30" s="24">
        <v>10</v>
      </c>
      <c r="D30" s="27">
        <v>308325</v>
      </c>
      <c r="E30" s="27">
        <v>308812</v>
      </c>
      <c r="F30" s="27">
        <v>337051</v>
      </c>
      <c r="G30" s="27">
        <v>336691</v>
      </c>
      <c r="H30" s="27">
        <v>226769</v>
      </c>
      <c r="I30" s="27">
        <v>7035885</v>
      </c>
      <c r="J30" s="27">
        <v>31845</v>
      </c>
      <c r="K30" s="27">
        <v>4956254</v>
      </c>
      <c r="L30" s="27">
        <v>638443</v>
      </c>
      <c r="M30" s="27">
        <v>2628603</v>
      </c>
      <c r="N30" s="27">
        <v>925974</v>
      </c>
      <c r="O30" s="27">
        <v>354230</v>
      </c>
      <c r="P30" s="27">
        <v>1471374</v>
      </c>
      <c r="Q30" s="27">
        <v>604806</v>
      </c>
      <c r="R30" s="27">
        <v>677</v>
      </c>
      <c r="S30" s="27">
        <v>329774</v>
      </c>
      <c r="T30" s="27">
        <v>31273</v>
      </c>
      <c r="U30" s="27">
        <v>50453</v>
      </c>
      <c r="V30" s="27">
        <v>30530</v>
      </c>
      <c r="W30" s="27">
        <v>489.50400000000002</v>
      </c>
      <c r="X30" s="27">
        <v>895.41700000000003</v>
      </c>
      <c r="Y30" s="27">
        <v>3885.1170000000002</v>
      </c>
      <c r="Z30" s="27">
        <v>2153</v>
      </c>
      <c r="AA30" s="27">
        <v>1347</v>
      </c>
      <c r="AB30" s="52">
        <v>1558</v>
      </c>
      <c r="AC30" s="52">
        <v>2051</v>
      </c>
    </row>
    <row r="31" spans="1:29" x14ac:dyDescent="0.25">
      <c r="A31" s="21">
        <v>44313</v>
      </c>
      <c r="B31" s="24">
        <v>10</v>
      </c>
      <c r="C31" s="24">
        <v>10</v>
      </c>
      <c r="D31" s="27">
        <v>309333</v>
      </c>
      <c r="E31" s="27">
        <v>309822</v>
      </c>
      <c r="F31" s="27">
        <v>337653</v>
      </c>
      <c r="G31" s="27">
        <v>337293</v>
      </c>
      <c r="H31" s="27">
        <v>226793</v>
      </c>
      <c r="I31" s="27">
        <v>7037085</v>
      </c>
      <c r="J31" s="27">
        <v>31845</v>
      </c>
      <c r="K31" s="27">
        <v>4958899</v>
      </c>
      <c r="L31" s="27">
        <v>638824</v>
      </c>
      <c r="M31" s="27">
        <v>2628715</v>
      </c>
      <c r="N31" s="27">
        <v>928101</v>
      </c>
      <c r="O31" s="27">
        <v>354272</v>
      </c>
      <c r="P31" s="27">
        <v>1471374</v>
      </c>
      <c r="Q31" s="27">
        <v>604806</v>
      </c>
      <c r="R31" s="27">
        <v>677</v>
      </c>
      <c r="S31" s="27">
        <v>329788</v>
      </c>
      <c r="T31" s="27">
        <v>31299</v>
      </c>
      <c r="U31" s="27">
        <v>50457</v>
      </c>
      <c r="V31" s="27">
        <v>30530</v>
      </c>
      <c r="W31" s="27">
        <v>489.577</v>
      </c>
      <c r="X31" s="27">
        <v>895.70799999999997</v>
      </c>
      <c r="Y31" s="27">
        <v>3885.1170000000002</v>
      </c>
      <c r="Z31" s="27">
        <v>2154</v>
      </c>
      <c r="AA31" s="27">
        <v>1355</v>
      </c>
      <c r="AB31" s="52">
        <v>2366</v>
      </c>
      <c r="AC31" s="52">
        <v>2244</v>
      </c>
    </row>
    <row r="32" spans="1:29" x14ac:dyDescent="0.25">
      <c r="A32" s="21">
        <v>44314</v>
      </c>
      <c r="B32" s="24">
        <v>10</v>
      </c>
      <c r="C32" s="24">
        <v>10</v>
      </c>
      <c r="D32" s="27">
        <v>310333</v>
      </c>
      <c r="E32" s="27">
        <v>310823</v>
      </c>
      <c r="F32" s="27">
        <v>338077</v>
      </c>
      <c r="G32" s="27">
        <v>337717</v>
      </c>
      <c r="H32" s="27">
        <v>226799</v>
      </c>
      <c r="I32" s="27">
        <v>7038285</v>
      </c>
      <c r="J32" s="27">
        <v>31845</v>
      </c>
      <c r="K32" s="27">
        <v>4961544</v>
      </c>
      <c r="L32" s="27">
        <v>639205</v>
      </c>
      <c r="M32" s="27">
        <v>2628829</v>
      </c>
      <c r="N32" s="27">
        <v>930229</v>
      </c>
      <c r="O32" s="27">
        <v>354301</v>
      </c>
      <c r="P32" s="27">
        <v>1471374</v>
      </c>
      <c r="Q32" s="27">
        <v>604806</v>
      </c>
      <c r="R32" s="27">
        <v>677</v>
      </c>
      <c r="S32" s="27">
        <v>329796</v>
      </c>
      <c r="T32" s="27">
        <v>31315</v>
      </c>
      <c r="U32" s="27">
        <v>50461</v>
      </c>
      <c r="V32" s="27">
        <v>30531</v>
      </c>
      <c r="W32" s="27">
        <v>489.642</v>
      </c>
      <c r="X32" s="27">
        <v>896.07500000000005</v>
      </c>
      <c r="Y32" s="27">
        <v>3885.1170000000002</v>
      </c>
      <c r="Z32" s="27">
        <v>2155</v>
      </c>
      <c r="AA32" s="27">
        <v>1359</v>
      </c>
      <c r="AB32" s="52">
        <v>2466</v>
      </c>
      <c r="AC32" s="52">
        <v>2475</v>
      </c>
    </row>
    <row r="33" spans="1:29" x14ac:dyDescent="0.25">
      <c r="A33" s="21">
        <v>44315</v>
      </c>
      <c r="B33" s="24">
        <v>10</v>
      </c>
      <c r="C33" s="24">
        <v>10</v>
      </c>
      <c r="D33" s="27">
        <v>311269</v>
      </c>
      <c r="E33" s="27">
        <v>311761</v>
      </c>
      <c r="F33" s="27">
        <v>338475</v>
      </c>
      <c r="G33" s="27">
        <v>338115</v>
      </c>
      <c r="H33" s="27">
        <v>226799</v>
      </c>
      <c r="I33" s="27">
        <v>7039485</v>
      </c>
      <c r="J33" s="27">
        <v>31845</v>
      </c>
      <c r="K33" s="27">
        <v>4964189</v>
      </c>
      <c r="L33" s="27">
        <v>639586</v>
      </c>
      <c r="M33" s="27">
        <v>2628829</v>
      </c>
      <c r="N33" s="27">
        <v>932544</v>
      </c>
      <c r="O33" s="27">
        <v>354339</v>
      </c>
      <c r="P33" s="27">
        <v>1471374</v>
      </c>
      <c r="Q33" s="27">
        <v>604806</v>
      </c>
      <c r="R33" s="27">
        <v>677</v>
      </c>
      <c r="S33" s="27">
        <v>329810</v>
      </c>
      <c r="T33" s="27">
        <v>31336</v>
      </c>
      <c r="U33" s="27">
        <v>50464</v>
      </c>
      <c r="V33" s="27">
        <v>30533</v>
      </c>
      <c r="W33" s="27">
        <v>489.642</v>
      </c>
      <c r="X33" s="27">
        <v>896.26099999999997</v>
      </c>
      <c r="Y33" s="27">
        <v>3885.1170000000002</v>
      </c>
      <c r="Z33" s="27">
        <v>2156</v>
      </c>
      <c r="AA33" s="27">
        <v>1363</v>
      </c>
      <c r="AB33" s="52">
        <v>2619</v>
      </c>
      <c r="AC33" s="52">
        <v>2509</v>
      </c>
    </row>
    <row r="34" spans="1:29" x14ac:dyDescent="0.25">
      <c r="A34" s="21">
        <v>44316</v>
      </c>
      <c r="B34" s="24">
        <v>10</v>
      </c>
      <c r="C34" s="24">
        <v>10</v>
      </c>
      <c r="D34" s="27">
        <v>312319</v>
      </c>
      <c r="E34" s="27">
        <v>312813</v>
      </c>
      <c r="F34" s="27">
        <v>338903</v>
      </c>
      <c r="G34" s="27">
        <v>338542</v>
      </c>
      <c r="H34" s="27">
        <v>226799</v>
      </c>
      <c r="I34" s="27">
        <v>7040691</v>
      </c>
      <c r="J34" s="27">
        <v>31845</v>
      </c>
      <c r="K34" s="27">
        <v>4963410</v>
      </c>
      <c r="L34" s="27">
        <v>639971</v>
      </c>
      <c r="M34" s="27">
        <v>2628829</v>
      </c>
      <c r="N34" s="27">
        <v>934976</v>
      </c>
      <c r="O34" s="27">
        <v>354376</v>
      </c>
      <c r="P34" s="27">
        <v>1471374</v>
      </c>
      <c r="Q34" s="27">
        <v>604806</v>
      </c>
      <c r="R34" s="27">
        <v>677</v>
      </c>
      <c r="S34" s="27">
        <v>329820</v>
      </c>
      <c r="T34" s="27">
        <v>31354</v>
      </c>
      <c r="U34" s="27">
        <v>50468</v>
      </c>
      <c r="V34" s="27">
        <v>30535</v>
      </c>
      <c r="W34" s="27">
        <v>489.642</v>
      </c>
      <c r="X34" s="27">
        <v>896.43899999999996</v>
      </c>
      <c r="Y34" s="27">
        <v>3885.1170000000002</v>
      </c>
      <c r="Z34" s="27">
        <v>2158</v>
      </c>
      <c r="AA34" s="27">
        <v>1366</v>
      </c>
      <c r="AB34" s="52">
        <v>2645</v>
      </c>
      <c r="AC34" s="52">
        <v>2417</v>
      </c>
    </row>
    <row r="35" spans="1:29" x14ac:dyDescent="0.25">
      <c r="A35" s="21"/>
      <c r="B35" s="24"/>
      <c r="C35" s="24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8"/>
      <c r="W35" s="29"/>
      <c r="X35" s="27"/>
      <c r="Y35" s="27"/>
      <c r="Z35" s="27"/>
      <c r="AA35" s="27"/>
    </row>
  </sheetData>
  <mergeCells count="26">
    <mergeCell ref="AA1:AA3"/>
    <mergeCell ref="AB2:AB3"/>
    <mergeCell ref="AC2:AC3"/>
    <mergeCell ref="W1:W3"/>
    <mergeCell ref="X1:X3"/>
    <mergeCell ref="Y1:Y3"/>
    <mergeCell ref="Z1:Z3"/>
    <mergeCell ref="N1:N3"/>
    <mergeCell ref="O1:O3"/>
    <mergeCell ref="S1:T3"/>
    <mergeCell ref="U1:U3"/>
    <mergeCell ref="V1:V3"/>
    <mergeCell ref="A1:A3"/>
    <mergeCell ref="D1:M1"/>
    <mergeCell ref="K2:K3"/>
    <mergeCell ref="L2:L3"/>
    <mergeCell ref="M2:M3"/>
    <mergeCell ref="B2:B3"/>
    <mergeCell ref="C2:C3"/>
    <mergeCell ref="D2:D3"/>
    <mergeCell ref="E2:E3"/>
    <mergeCell ref="F2:F3"/>
    <mergeCell ref="G2:G3"/>
    <mergeCell ref="H2:H3"/>
    <mergeCell ref="I2:I3"/>
    <mergeCell ref="J2:J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Submetering</vt:lpstr>
      <vt:lpstr>TOTAL</vt:lpstr>
      <vt:lpstr>Hampshire 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Darren Moakes</cp:lastModifiedBy>
  <cp:lastPrinted>2019-08-19T07:32:13Z</cp:lastPrinted>
  <dcterms:created xsi:type="dcterms:W3CDTF">2017-05-03T09:23:30Z</dcterms:created>
  <dcterms:modified xsi:type="dcterms:W3CDTF">2021-05-03T12:46:31Z</dcterms:modified>
</cp:coreProperties>
</file>