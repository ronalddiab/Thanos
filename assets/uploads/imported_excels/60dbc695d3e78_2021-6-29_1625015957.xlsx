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0" l="1"/>
  <c r="Q22" i="2" l="1"/>
  <c r="T32" i="2" l="1"/>
  <c r="T33" i="2" s="1"/>
  <c r="P24" i="2"/>
  <c r="P25" i="2" s="1"/>
  <c r="P26" i="2" s="1"/>
  <c r="P27" i="2" s="1"/>
  <c r="P32" i="2" s="1"/>
  <c r="P33" i="2" s="1"/>
  <c r="N32" i="2"/>
  <c r="N33" i="2" s="1"/>
  <c r="L32" i="2"/>
  <c r="L33" i="2" s="1"/>
  <c r="H32" i="2"/>
  <c r="H33" i="2" s="1"/>
  <c r="F32" i="2"/>
  <c r="F33" i="2" s="1"/>
  <c r="D32" i="2"/>
  <c r="D33" i="2" s="1"/>
  <c r="B32" i="2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5" i="1"/>
  <c r="P29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5" i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J10" i="1"/>
  <c r="J15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<sst xmlns="http://schemas.openxmlformats.org/spreadsheetml/2006/main" count="441" uniqueCount="144">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</sst>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selection activeCell="M29" sqref="M2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82536.318484000003</v>
      </c>
      <c r="F18" s="162">
        <v>1.27</v>
      </c>
      <c r="G18" s="47">
        <f>Gas!C19*0.9147</f>
        <v>1954.7139</v>
      </c>
      <c r="H18" s="163">
        <v>3.65</v>
      </c>
      <c r="I18" s="165">
        <f>Submetering!H18+Submetering!AD18+Submetering!AE18</f>
        <v>766</v>
      </c>
      <c r="J18" s="165">
        <v>10.029999999999999</v>
      </c>
      <c r="K18" s="47">
        <f>ELECT.!B19</f>
        <v>162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57103.878884000005</v>
      </c>
      <c r="F19" s="162">
        <v>1.27</v>
      </c>
      <c r="G19" s="47">
        <f>Gas!C20*0.9147</f>
        <v>2101.9805999999999</v>
      </c>
      <c r="H19" s="163">
        <v>3.65</v>
      </c>
      <c r="I19" s="165">
        <f>Submetering!H19+Submetering!AD19+Submetering!AE19</f>
        <v>706</v>
      </c>
      <c r="J19" s="165">
        <v>10.029999999999999</v>
      </c>
      <c r="K19" s="47">
        <f>ELECT.!B20</f>
        <v>185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69910.943195999993</v>
      </c>
      <c r="F20" s="162">
        <v>1.27</v>
      </c>
      <c r="G20" s="47">
        <f>Gas!C21*0.9147</f>
        <v>1739.7593999999999</v>
      </c>
      <c r="H20" s="163">
        <v>3.65</v>
      </c>
      <c r="I20" s="165">
        <f>Submetering!H20+Submetering!AD20+Submetering!AE20</f>
        <v>806</v>
      </c>
      <c r="J20" s="165">
        <v>10.029999999999999</v>
      </c>
      <c r="K20" s="47">
        <f>ELECT.!B21</f>
        <v>160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64131.293060000004</v>
      </c>
      <c r="F21" s="162">
        <v>1.27</v>
      </c>
      <c r="G21" s="47">
        <f>Gas!C22*0.9147</f>
        <v>1984.8989999999999</v>
      </c>
      <c r="H21" s="163">
        <v>3.65</v>
      </c>
      <c r="I21" s="165">
        <f>Submetering!H21+Submetering!AD21+Submetering!AE21</f>
        <v>1206</v>
      </c>
      <c r="J21" s="165">
        <v>10.029999999999999</v>
      </c>
      <c r="K21" s="47">
        <f>ELECT.!B22</f>
        <v>196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44890.778939999997</v>
      </c>
      <c r="F22" s="162">
        <v>1.27</v>
      </c>
      <c r="G22" s="47">
        <f>Gas!C23*0.9147</f>
        <v>1597.0662</v>
      </c>
      <c r="H22" s="163">
        <v>3.65</v>
      </c>
      <c r="I22" s="165">
        <f>Submetering!H22+Submetering!AD22+Submetering!AE22</f>
        <v>1206</v>
      </c>
      <c r="J22" s="165">
        <v>10.029999999999999</v>
      </c>
      <c r="K22" s="47">
        <f>ELECT.!B23</f>
        <v>201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76270.374012</v>
      </c>
      <c r="F23" s="162">
        <v>1.27</v>
      </c>
      <c r="G23" s="47">
        <f>Gas!C24*0.9147</f>
        <v>1951.9697999999999</v>
      </c>
      <c r="H23" s="163">
        <v>3.65</v>
      </c>
      <c r="I23" s="165">
        <f>Submetering!H23+Submetering!AD23+Submetering!AE23</f>
        <v>576.00000000000011</v>
      </c>
      <c r="J23" s="165">
        <v>10.029999999999999</v>
      </c>
      <c r="K23" s="47">
        <f>ELECT.!B24</f>
        <v>197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131034.564396</v>
      </c>
      <c r="F24" s="162">
        <v>1.27</v>
      </c>
      <c r="G24" s="47">
        <f>Gas!C25*0.9147</f>
        <v>1858.6704</v>
      </c>
      <c r="H24" s="163">
        <v>3.65</v>
      </c>
      <c r="I24" s="165">
        <f>Submetering!H24+Submetering!AD24+Submetering!AE24</f>
        <v>856</v>
      </c>
      <c r="J24" s="165">
        <v>10.029999999999999</v>
      </c>
      <c r="K24" s="47">
        <f>ELECT.!B25</f>
        <v>236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-2539.152</v>
      </c>
      <c r="F25" s="162">
        <v>1.27</v>
      </c>
      <c r="G25" s="47">
        <f>Gas!C26*0.9147</f>
        <v>1914.4670999999998</v>
      </c>
      <c r="H25" s="163">
        <v>3.65</v>
      </c>
      <c r="I25" s="165">
        <f>Submetering!H25+Submetering!AD25+Submetering!AE25</f>
        <v>855.99999999999989</v>
      </c>
      <c r="J25" s="165">
        <v>10.029999999999999</v>
      </c>
      <c r="K25" s="47">
        <f>ELECT.!B26</f>
        <v>254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67324.242067999992</v>
      </c>
      <c r="F26" s="162">
        <v>1.27</v>
      </c>
      <c r="G26" s="47">
        <f>Gas!C27*0.9147</f>
        <v>2208.0857999999998</v>
      </c>
      <c r="H26" s="163">
        <v>3.65</v>
      </c>
      <c r="I26" s="165">
        <f>Submetering!H26+Submetering!AD26+Submetering!AE26</f>
        <v>826.00000000000011</v>
      </c>
      <c r="J26" s="165">
        <v>10.029999999999999</v>
      </c>
      <c r="K26" s="47">
        <f>ELECT.!B27</f>
        <v>256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66243.944319999995</v>
      </c>
      <c r="F27" s="162">
        <v>1.27</v>
      </c>
      <c r="G27" s="47">
        <f>Gas!C28*0.9147</f>
        <v>1883.3672999999999</v>
      </c>
      <c r="H27" s="163">
        <v>3.65</v>
      </c>
      <c r="I27" s="165">
        <f>Submetering!H27+Submetering!AD27+Submetering!AE27</f>
        <v>826</v>
      </c>
      <c r="J27" s="165">
        <v>10.029999999999999</v>
      </c>
      <c r="K27" s="47">
        <f>ELECT.!B28</f>
        <v>216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56084.304995999999</v>
      </c>
      <c r="F28" s="162">
        <v>1.27</v>
      </c>
      <c r="G28" s="47">
        <f>Gas!C29*0.9147</f>
        <v>1924.5287999999998</v>
      </c>
      <c r="H28" s="163">
        <v>3.65</v>
      </c>
      <c r="I28" s="165">
        <f>Submetering!H28+Submetering!AD28+Submetering!AE28</f>
        <v>1086</v>
      </c>
      <c r="J28" s="165">
        <v>10.029999999999999</v>
      </c>
      <c r="K28" s="47">
        <f>ELECT.!B29</f>
        <v>144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65522.146315999998</v>
      </c>
      <c r="F29" s="162">
        <v>1.27</v>
      </c>
      <c r="G29" s="47">
        <f>Gas!C30*0.9147</f>
        <v>1759.8827999999999</v>
      </c>
      <c r="H29" s="163">
        <v>3.65</v>
      </c>
      <c r="I29" s="165">
        <f>Submetering!H29+Submetering!AD29+Submetering!AE29</f>
        <v>1256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66229.676491199993</v>
      </c>
      <c r="F30" s="162">
        <v>1.27</v>
      </c>
      <c r="G30" s="47">
        <f>Gas!C31*0.9147</f>
        <v>1780.0061999999998</v>
      </c>
      <c r="H30" s="163">
        <v>3.65</v>
      </c>
      <c r="I30" s="165">
        <f>Submetering!H30+Submetering!AD30+Submetering!AE30</f>
        <v>1376</v>
      </c>
      <c r="J30" s="165">
        <v>10.029999999999999</v>
      </c>
      <c r="K30" s="47">
        <f>ELECT.!B31</f>
        <v>191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I1" zoomScale="85" zoomScaleNormal="85" workbookViewId="0">
      <selection activeCell="C28" sqref="C28:AC2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960</v>
      </c>
      <c r="F18" s="47">
        <f>Water!E19</f>
        <v>0</v>
      </c>
      <c r="G18" s="47">
        <f>Water!G19</f>
        <v>475.2</v>
      </c>
      <c r="H18" s="47">
        <f>Water!I19</f>
        <v>3.8609999999999998</v>
      </c>
      <c r="I18" s="47">
        <f>ELECT.!F19</f>
        <v>23960</v>
      </c>
      <c r="J18" s="47">
        <f>ELECT.!H19</f>
        <v>61974</v>
      </c>
      <c r="K18" s="47">
        <f>ELECT.!K19</f>
        <v>7227</v>
      </c>
      <c r="L18" s="47">
        <f>ELECT.!M19</f>
        <v>9218</v>
      </c>
      <c r="M18" s="47">
        <f>ELECT.!O19</f>
        <v>14538</v>
      </c>
      <c r="N18" s="47">
        <f>ELECT.!Q19</f>
        <v>13497</v>
      </c>
      <c r="O18" s="47">
        <f>ELECT.!S19</f>
        <v>12217</v>
      </c>
      <c r="P18" s="47">
        <f>ELECT.!W19*2</f>
        <v>27534</v>
      </c>
      <c r="Q18" s="47">
        <f>ELECT.!D19</f>
        <v>800</v>
      </c>
      <c r="R18" s="48">
        <f>BTU!C19</f>
        <v>11.015999999999622</v>
      </c>
      <c r="S18" s="48">
        <f>BTU!F19</f>
        <v>3.3599999999996726</v>
      </c>
      <c r="T18" s="48">
        <f>BTU!I19</f>
        <v>8</v>
      </c>
      <c r="U18" s="48">
        <f>BTU!O19</f>
        <v>1.6010000000001128</v>
      </c>
      <c r="V18" s="48">
        <f>BTU!L19</f>
        <v>2.5799999999999272</v>
      </c>
      <c r="W18" s="48">
        <f>BTU!R19</f>
        <v>2.8800000000001091</v>
      </c>
      <c r="X18" s="45">
        <f>ELECT.!B19</f>
        <v>162</v>
      </c>
      <c r="Y18" s="45">
        <f t="shared" si="0"/>
        <v>1703</v>
      </c>
      <c r="Z18">
        <f>'Mall, Citadel, Rotana'!C19+'Mall, Citadel, Rotana'!E19+'Mall, Citadel, Rotana'!G19+'Mall, Citadel, Rotana'!I19</f>
        <v>1412</v>
      </c>
      <c r="AA18">
        <f>'Mall, Citadel, Rotana'!K19+'Mall, Citadel, Rotana'!M19</f>
        <v>640</v>
      </c>
      <c r="AB18">
        <f>'Mall, Citadel, Rotana'!O19</f>
        <v>3</v>
      </c>
      <c r="AC18">
        <f>'Mall, Citadel, Rotana'!Q19+'Mall, Citadel, Rotana'!S19</f>
        <v>120</v>
      </c>
      <c r="AD18" s="45">
        <f t="shared" si="1"/>
        <v>100.44992020000001</v>
      </c>
      <c r="AE18" s="45">
        <f t="shared" si="2"/>
        <v>661.68907979999994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900</v>
      </c>
      <c r="F19" s="47">
        <f>Water!E20</f>
        <v>0</v>
      </c>
      <c r="G19" s="47">
        <f>Water!G20</f>
        <v>432</v>
      </c>
      <c r="H19" s="47">
        <f>Water!I20</f>
        <v>5.2110000000000003</v>
      </c>
      <c r="I19" s="47">
        <f>ELECT.!F20</f>
        <v>17049</v>
      </c>
      <c r="J19" s="47">
        <f>ELECT.!H20</f>
        <v>42935</v>
      </c>
      <c r="K19" s="47">
        <f>ELECT.!K20</f>
        <v>4621</v>
      </c>
      <c r="L19" s="47">
        <f>ELECT.!M20</f>
        <v>5764</v>
      </c>
      <c r="M19" s="47">
        <f>ELECT.!O20</f>
        <v>11048</v>
      </c>
      <c r="N19" s="47">
        <f>ELECT.!Q20</f>
        <v>9563</v>
      </c>
      <c r="O19" s="47">
        <f>ELECT.!S20</f>
        <v>8723</v>
      </c>
      <c r="P19" s="47">
        <f>ELECT.!W20*2</f>
        <v>19128</v>
      </c>
      <c r="Q19" s="47">
        <f>ELECT.!D20</f>
        <v>640</v>
      </c>
      <c r="R19" s="48">
        <f>BTU!C20</f>
        <v>7.636000000002241</v>
      </c>
      <c r="S19" s="48">
        <f>BTU!F20</f>
        <v>1.2270000000003165</v>
      </c>
      <c r="T19" s="48">
        <f>BTU!I20</f>
        <v>5</v>
      </c>
      <c r="U19" s="48">
        <f>BTU!O20</f>
        <v>1.1289999999999054</v>
      </c>
      <c r="V19" s="48">
        <f>BTU!L20</f>
        <v>1.7299999999995634</v>
      </c>
      <c r="W19" s="48">
        <f>BTU!R20</f>
        <v>1.5900000000001455</v>
      </c>
      <c r="X19" s="45">
        <f>ELECT.!B20</f>
        <v>185</v>
      </c>
      <c r="Y19" s="45">
        <f t="shared" si="0"/>
        <v>1137</v>
      </c>
      <c r="Z19">
        <f>'Mall, Citadel, Rotana'!C20+'Mall, Citadel, Rotana'!E20+'Mall, Citadel, Rotana'!G20+'Mall, Citadel, Rotana'!I20</f>
        <v>1392</v>
      </c>
      <c r="AA19">
        <f>'Mall, Citadel, Rotana'!K20+'Mall, Citadel, Rotana'!M20</f>
        <v>480</v>
      </c>
      <c r="AB19">
        <f>'Mall, Citadel, Rotana'!O20</f>
        <v>4</v>
      </c>
      <c r="AC19">
        <f>'Mall, Citadel, Rotana'!Q20+'Mall, Citadel, Rotana'!S20</f>
        <v>129</v>
      </c>
      <c r="AD19" s="45">
        <f t="shared" si="1"/>
        <v>92.363990200000003</v>
      </c>
      <c r="AE19" s="45">
        <f t="shared" si="2"/>
        <v>608.4250098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1000</v>
      </c>
      <c r="F20" s="47">
        <f>Water!E21</f>
        <v>0</v>
      </c>
      <c r="G20" s="47">
        <f>Water!G21</f>
        <v>494.1</v>
      </c>
      <c r="H20" s="47">
        <f>Water!I21</f>
        <v>5.6159999999999997</v>
      </c>
      <c r="I20" s="47">
        <f>ELECT.!F21</f>
        <v>20307</v>
      </c>
      <c r="J20" s="47">
        <f>ELECT.!H21</f>
        <v>52705</v>
      </c>
      <c r="K20" s="47">
        <f>ELECT.!K21</f>
        <v>6167</v>
      </c>
      <c r="L20" s="47">
        <f>ELECT.!M21</f>
        <v>6984</v>
      </c>
      <c r="M20" s="47">
        <f>ELECT.!O21</f>
        <v>13194</v>
      </c>
      <c r="N20" s="47">
        <f>ELECT.!Q21</f>
        <v>11790</v>
      </c>
      <c r="O20" s="47">
        <f>ELECT.!S21</f>
        <v>10755</v>
      </c>
      <c r="P20" s="47">
        <f>ELECT.!W21*2</f>
        <v>22514</v>
      </c>
      <c r="Q20" s="47">
        <f>ELECT.!D21</f>
        <v>480</v>
      </c>
      <c r="R20" s="48">
        <f>BTU!C21</f>
        <v>9.4979999999995925</v>
      </c>
      <c r="S20" s="48">
        <f>BTU!F21</f>
        <v>1.8019999999996799</v>
      </c>
      <c r="T20" s="48">
        <f>BTU!I21</f>
        <v>6</v>
      </c>
      <c r="U20" s="48">
        <f>BTU!O21</f>
        <v>1.4719999999997526</v>
      </c>
      <c r="V20" s="48">
        <f>BTU!L21</f>
        <v>2.2300000000013824</v>
      </c>
      <c r="W20" s="48">
        <f>BTU!R21</f>
        <v>2.6099999999996726</v>
      </c>
      <c r="X20" s="45">
        <f>ELECT.!B21</f>
        <v>160</v>
      </c>
      <c r="Y20" s="45">
        <f t="shared" si="0"/>
        <v>1608</v>
      </c>
      <c r="Z20">
        <f>'Mall, Citadel, Rotana'!C21+'Mall, Citadel, Rotana'!E21+'Mall, Citadel, Rotana'!G21+'Mall, Citadel, Rotana'!I21</f>
        <v>1392</v>
      </c>
      <c r="AA20">
        <f>'Mall, Citadel, Rotana'!K21+'Mall, Citadel, Rotana'!M21</f>
        <v>480</v>
      </c>
      <c r="AB20">
        <f>'Mall, Citadel, Rotana'!O21</f>
        <v>2</v>
      </c>
      <c r="AC20">
        <f>'Mall, Citadel, Rotana'!Q21+'Mall, Citadel, Rotana'!S21</f>
        <v>119</v>
      </c>
      <c r="AD20" s="45">
        <f t="shared" si="1"/>
        <v>105.4906112</v>
      </c>
      <c r="AE20" s="45">
        <f t="shared" si="2"/>
        <v>694.89338880000003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1400</v>
      </c>
      <c r="F21" s="47">
        <f>Water!E22</f>
        <v>0</v>
      </c>
      <c r="G21" s="47">
        <f>Water!G22</f>
        <v>531.9</v>
      </c>
      <c r="H21" s="47">
        <f>Water!I22</f>
        <v>3.996</v>
      </c>
      <c r="I21" s="47">
        <f>ELECT.!F22</f>
        <v>14141</v>
      </c>
      <c r="J21" s="47">
        <f>ELECT.!H22</f>
        <v>53479</v>
      </c>
      <c r="K21" s="47">
        <f>ELECT.!K22</f>
        <v>6419</v>
      </c>
      <c r="L21" s="47">
        <f>ELECT.!M22</f>
        <v>4557</v>
      </c>
      <c r="M21" s="47">
        <f>ELECT.!O22</f>
        <v>9430</v>
      </c>
      <c r="N21" s="47">
        <f>ELECT.!Q22</f>
        <v>11956</v>
      </c>
      <c r="O21" s="47">
        <f>ELECT.!S22</f>
        <v>10519</v>
      </c>
      <c r="P21" s="47">
        <f>ELECT.!W22*2</f>
        <v>22896</v>
      </c>
      <c r="Q21" s="47">
        <f>ELECT.!D22</f>
        <v>480</v>
      </c>
      <c r="R21" s="48">
        <f>BTU!C22</f>
        <v>8.8789999999971769</v>
      </c>
      <c r="S21" s="48">
        <f>BTU!F22</f>
        <v>2.2809999999999491</v>
      </c>
      <c r="T21" s="48">
        <f>BTU!I22</f>
        <v>7</v>
      </c>
      <c r="U21" s="48">
        <f>BTU!O22</f>
        <v>1.4720000000002074</v>
      </c>
      <c r="V21" s="48">
        <f>BTU!L22</f>
        <v>2.1499999999996362</v>
      </c>
      <c r="W21" s="48">
        <f>BTU!R22</f>
        <v>1.8500000000003638</v>
      </c>
      <c r="X21" s="45">
        <f>ELECT.!B22</f>
        <v>196</v>
      </c>
      <c r="Y21" s="45">
        <f t="shared" si="0"/>
        <v>1843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437</v>
      </c>
      <c r="AD21" s="45">
        <f t="shared" si="1"/>
        <v>158.42412719999999</v>
      </c>
      <c r="AE21" s="45">
        <f t="shared" si="2"/>
        <v>1043.5798728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1400</v>
      </c>
      <c r="F22" s="47">
        <f>Water!E23</f>
        <v>0</v>
      </c>
      <c r="G22" s="47">
        <f>Water!G23</f>
        <v>445.5</v>
      </c>
      <c r="H22" s="47">
        <f>Water!I23</f>
        <v>3.9689999999999999</v>
      </c>
      <c r="I22" s="47">
        <f>ELECT.!F23</f>
        <v>10296</v>
      </c>
      <c r="J22" s="47">
        <f>ELECT.!H23</f>
        <v>37626</v>
      </c>
      <c r="K22" s="47">
        <f>ELECT.!K23</f>
        <v>4542</v>
      </c>
      <c r="L22" s="47">
        <f>ELECT.!M23</f>
        <v>3476</v>
      </c>
      <c r="M22" s="47">
        <f>ELECT.!O23</f>
        <v>6684</v>
      </c>
      <c r="N22" s="47">
        <f>ELECT.!Q23</f>
        <v>8711</v>
      </c>
      <c r="O22" s="47">
        <f>ELECT.!S23</f>
        <v>7289</v>
      </c>
      <c r="P22" s="47">
        <f>ELECT.!W23*2</f>
        <v>15696</v>
      </c>
      <c r="Q22" s="47">
        <f>ELECT.!D23</f>
        <v>480</v>
      </c>
      <c r="R22" s="48">
        <f>BTU!C23</f>
        <v>9.3560000000034051</v>
      </c>
      <c r="S22" s="48">
        <f>BTU!F23</f>
        <v>2.9639999999999418</v>
      </c>
      <c r="T22" s="48">
        <f>BTU!I23</f>
        <v>7</v>
      </c>
      <c r="U22" s="48">
        <f>BTU!O23</f>
        <v>1.4719999999997526</v>
      </c>
      <c r="V22" s="48">
        <f>BTU!L23</f>
        <v>2.2700000000004366</v>
      </c>
      <c r="W22" s="48">
        <f>BTU!R23</f>
        <v>3.0500000000001819</v>
      </c>
      <c r="X22" s="45">
        <f>ELECT.!B23</f>
        <v>201</v>
      </c>
      <c r="Y22" s="45">
        <f t="shared" si="0"/>
        <v>1524</v>
      </c>
      <c r="Z22">
        <f>'Mall, Citadel, Rotana'!C23+'Mall, Citadel, Rotana'!E23+'Mall, Citadel, Rotana'!G23+'Mall, Citadel, Rotana'!I23</f>
        <v>1386</v>
      </c>
      <c r="AA22">
        <f>'Mall, Citadel, Rotana'!K23+'Mall, Citadel, Rotana'!M23</f>
        <v>800</v>
      </c>
      <c r="AB22">
        <f>'Mall, Citadel, Rotana'!O23</f>
        <v>4</v>
      </c>
      <c r="AC22">
        <f>'Mall, Citadel, Rotana'!Q23+'Mall, Citadel, Rotana'!S23</f>
        <v>146</v>
      </c>
      <c r="AD22" s="45">
        <f t="shared" si="1"/>
        <v>158.42768580000001</v>
      </c>
      <c r="AE22" s="45">
        <f t="shared" si="2"/>
        <v>1043.6033141999999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770</v>
      </c>
      <c r="F23" s="47">
        <f>Water!E24</f>
        <v>0</v>
      </c>
      <c r="G23" s="47">
        <f>Water!G24</f>
        <v>521.1</v>
      </c>
      <c r="H23" s="47">
        <f>Water!I24</f>
        <v>13.257</v>
      </c>
      <c r="I23" s="47">
        <f>ELECT.!F24</f>
        <v>22814</v>
      </c>
      <c r="J23" s="47">
        <f>ELECT.!H24</f>
        <v>56670</v>
      </c>
      <c r="K23" s="47">
        <f>ELECT.!K24</f>
        <v>6676</v>
      </c>
      <c r="L23" s="47">
        <f>ELECT.!M24</f>
        <v>7772</v>
      </c>
      <c r="M23" s="47">
        <f>ELECT.!O24</f>
        <v>14774</v>
      </c>
      <c r="N23" s="47">
        <f>ELECT.!Q24</f>
        <v>13204</v>
      </c>
      <c r="O23" s="47">
        <f>ELECT.!S24</f>
        <v>10873</v>
      </c>
      <c r="P23" s="47">
        <f>ELECT.!W24*2</f>
        <v>23920</v>
      </c>
      <c r="Q23" s="47">
        <f>ELECT.!D24</f>
        <v>1120</v>
      </c>
      <c r="R23" s="48">
        <f>BTU!C24</f>
        <v>10.783999999999651</v>
      </c>
      <c r="S23" s="48">
        <f>BTU!F24</f>
        <v>2.956000000000131</v>
      </c>
      <c r="T23" s="48">
        <f>BTU!I24</f>
        <v>7</v>
      </c>
      <c r="U23" s="48">
        <f>BTU!O24</f>
        <v>1.4420000000000073</v>
      </c>
      <c r="V23" s="48">
        <f>BTU!L24</f>
        <v>2.2099999999991269</v>
      </c>
      <c r="W23" s="48">
        <f>BTU!R24</f>
        <v>2.1899999999995998</v>
      </c>
      <c r="X23" s="45">
        <f>ELECT.!B24</f>
        <v>197</v>
      </c>
      <c r="Y23" s="45">
        <f t="shared" si="0"/>
        <v>2265</v>
      </c>
      <c r="Z23">
        <f>'Mall, Citadel, Rotana'!C24+'Mall, Citadel, Rotana'!E24+'Mall, Citadel, Rotana'!G24+'Mall, Citadel, Rotana'!I24</f>
        <v>1423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0</v>
      </c>
      <c r="AD23" s="45">
        <f t="shared" si="1"/>
        <v>74.169527400000007</v>
      </c>
      <c r="AE23" s="45">
        <f t="shared" si="2"/>
        <v>488.57347260000006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1050</v>
      </c>
      <c r="F24" s="47">
        <f>Water!E25</f>
        <v>0</v>
      </c>
      <c r="G24" s="47">
        <f>Water!G25</f>
        <v>16900</v>
      </c>
      <c r="H24" s="47">
        <f>Water!I25</f>
        <v>0</v>
      </c>
      <c r="I24" s="47">
        <f>ELECT.!F25</f>
        <v>37560</v>
      </c>
      <c r="J24" s="47">
        <f>ELECT.!H25</f>
        <v>96934</v>
      </c>
      <c r="K24" s="47">
        <f>ELECT.!K25</f>
        <v>11532</v>
      </c>
      <c r="L24" s="47">
        <f>ELECT.!M25</f>
        <v>11786</v>
      </c>
      <c r="M24" s="47">
        <f>ELECT.!O25</f>
        <v>25478</v>
      </c>
      <c r="N24" s="47">
        <f>ELECT.!Q25</f>
        <v>18693</v>
      </c>
      <c r="O24" s="47">
        <f>ELECT.!S25</f>
        <v>19421</v>
      </c>
      <c r="P24" s="47">
        <f>ELECT.!W25*2</f>
        <v>43648</v>
      </c>
      <c r="Q24" s="47">
        <f>ELECT.!D25</f>
        <v>800</v>
      </c>
      <c r="R24" s="48">
        <f>BTU!C25</f>
        <v>11.582999999998719</v>
      </c>
      <c r="S24" s="48">
        <f>BTU!F25</f>
        <v>3.2010000000000218</v>
      </c>
      <c r="T24" s="48">
        <f>BTU!I25</f>
        <v>8</v>
      </c>
      <c r="U24" s="48">
        <f>BTU!O25</f>
        <v>1.3330000000000837</v>
      </c>
      <c r="V24" s="48">
        <f>BTU!L25</f>
        <v>2.3800000000010186</v>
      </c>
      <c r="W24" s="48">
        <f>BTU!R25</f>
        <v>2.4600000000000364</v>
      </c>
      <c r="X24" s="45">
        <f>ELECT.!B25</f>
        <v>236</v>
      </c>
      <c r="Y24" s="45">
        <f t="shared" si="0"/>
        <v>3936</v>
      </c>
      <c r="Z24">
        <f>'Mall, Citadel, Rotana'!C25+'Mall, Citadel, Rotana'!E25+'Mall, Citadel, Rotana'!G25+'Mall, Citadel, Rotana'!I25</f>
        <v>776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0</v>
      </c>
      <c r="AD24" s="45">
        <f t="shared" si="1"/>
        <v>112.82080000000001</v>
      </c>
      <c r="AE24" s="45">
        <f t="shared" si="2"/>
        <v>743.17920000000004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1050</v>
      </c>
      <c r="F25" s="47">
        <f>Water!E26</f>
        <v>0</v>
      </c>
      <c r="G25" s="47">
        <f>Water!G26</f>
        <v>467.1</v>
      </c>
      <c r="H25" s="47">
        <f>Water!I26</f>
        <v>3.2669999999999999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960</v>
      </c>
      <c r="R25" s="48">
        <f>BTU!C26</f>
        <v>16.533999999999651</v>
      </c>
      <c r="S25" s="48">
        <f>BTU!F26</f>
        <v>4.0850000000000364</v>
      </c>
      <c r="T25" s="48">
        <f>BTU!I26</f>
        <v>10</v>
      </c>
      <c r="U25" s="48">
        <f>BTU!O26</f>
        <v>1.9749999999999091</v>
      </c>
      <c r="V25" s="48">
        <f>BTU!L26</f>
        <v>3.1499999999996362</v>
      </c>
      <c r="W25" s="48">
        <f>BTU!R26</f>
        <v>2.3000000000001819</v>
      </c>
      <c r="X25" s="45">
        <f>ELECT.!B26</f>
        <v>254</v>
      </c>
      <c r="Y25" s="45">
        <f t="shared" si="0"/>
        <v>0</v>
      </c>
      <c r="Z25">
        <f>'Mall, Citadel, Rotana'!C26+'Mall, Citadel, Rotana'!E26+'Mall, Citadel, Rotana'!G26+'Mall, Citadel, Rotana'!I26</f>
        <v>2039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0</v>
      </c>
      <c r="AD25" s="45">
        <f t="shared" si="1"/>
        <v>112.39020939999999</v>
      </c>
      <c r="AE25" s="45">
        <f t="shared" si="2"/>
        <v>740.34279059999994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1020</v>
      </c>
      <c r="F26" s="47">
        <f>Water!E27</f>
        <v>0</v>
      </c>
      <c r="G26" s="47">
        <f>Water!G27</f>
        <v>418.5</v>
      </c>
      <c r="H26" s="47">
        <f>Water!I27</f>
        <v>1.8089999999999999</v>
      </c>
      <c r="I26" s="47">
        <f>ELECT.!F27</f>
        <v>24122</v>
      </c>
      <c r="J26" s="47">
        <f>ELECT.!H27</f>
        <v>46153</v>
      </c>
      <c r="K26" s="47">
        <f>ELECT.!K27</f>
        <v>5663</v>
      </c>
      <c r="L26" s="47">
        <f>ELECT.!M27</f>
        <v>5356</v>
      </c>
      <c r="M26" s="47">
        <f>ELECT.!O27</f>
        <v>18632</v>
      </c>
      <c r="N26" s="47">
        <f>ELECT.!Q27</f>
        <v>3761</v>
      </c>
      <c r="O26" s="47">
        <f>ELECT.!S27</f>
        <v>10935</v>
      </c>
      <c r="P26" s="47">
        <f>ELECT.!W27*2</f>
        <v>24492</v>
      </c>
      <c r="Q26" s="47">
        <f>ELECT.!D27</f>
        <v>640</v>
      </c>
      <c r="R26" s="48">
        <f>BTU!C27</f>
        <v>14.39600000000064</v>
      </c>
      <c r="S26" s="48">
        <f>BTU!F27</f>
        <v>1.1640000000002146</v>
      </c>
      <c r="T26" s="48">
        <f>BTU!I27</f>
        <v>8</v>
      </c>
      <c r="U26" s="48">
        <f>BTU!O27</f>
        <v>1.3700000000003456</v>
      </c>
      <c r="V26" s="48">
        <f>BTU!L27</f>
        <v>2.3299999999999272</v>
      </c>
      <c r="W26" s="48">
        <f>BTU!R27</f>
        <v>1.1499999999996362</v>
      </c>
      <c r="X26" s="45">
        <f>ELECT.!B27</f>
        <v>256</v>
      </c>
      <c r="Y26" s="45">
        <f t="shared" si="0"/>
        <v>1436</v>
      </c>
      <c r="Z26">
        <f>'Mall, Citadel, Rotana'!C27+'Mall, Citadel, Rotana'!E27+'Mall, Citadel, Rotana'!G27+'Mall, Citadel, Rotana'!I27</f>
        <v>1456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0</v>
      </c>
      <c r="AD26" s="45">
        <f t="shared" si="1"/>
        <v>108.62837380000001</v>
      </c>
      <c r="AE26" s="45">
        <f t="shared" si="2"/>
        <v>715.56262620000007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1020</v>
      </c>
      <c r="F27" s="47">
        <f>Water!E28</f>
        <v>0</v>
      </c>
      <c r="G27" s="47">
        <f>Water!G28</f>
        <v>491.4</v>
      </c>
      <c r="H27" s="47">
        <f>Water!I28</f>
        <v>2.7</v>
      </c>
      <c r="I27" s="47">
        <f>ELECT.!F28</f>
        <v>21227</v>
      </c>
      <c r="J27" s="47">
        <f>ELECT.!H28</f>
        <v>48760</v>
      </c>
      <c r="K27" s="47">
        <f>ELECT.!K28</f>
        <v>6021</v>
      </c>
      <c r="L27" s="47">
        <f>ELECT.!M28</f>
        <v>4906</v>
      </c>
      <c r="M27" s="47">
        <f>ELECT.!O28</f>
        <v>16036</v>
      </c>
      <c r="N27" s="47">
        <f>ELECT.!Q28</f>
        <v>6678</v>
      </c>
      <c r="O27" s="47">
        <f>ELECT.!S28</f>
        <v>11044</v>
      </c>
      <c r="P27" s="47">
        <f>ELECT.!W28*2</f>
        <v>23436</v>
      </c>
      <c r="Q27" s="47">
        <f>ELECT.!D28</f>
        <v>480</v>
      </c>
      <c r="R27" s="48">
        <f>BTU!C28</f>
        <v>11.34400000000096</v>
      </c>
      <c r="S27" s="48">
        <f>BTU!F28</f>
        <v>1.8319999999998799</v>
      </c>
      <c r="T27" s="48">
        <f>BTU!I28</f>
        <v>6</v>
      </c>
      <c r="U27" s="48">
        <f>BTU!O28</f>
        <v>1.1659999999997126</v>
      </c>
      <c r="V27" s="48">
        <f>BTU!L28</f>
        <v>1.7099999999991269</v>
      </c>
      <c r="W27" s="48">
        <f>BTU!R28</f>
        <v>3.75</v>
      </c>
      <c r="X27" s="45">
        <f>ELECT.!B28</f>
        <v>216</v>
      </c>
      <c r="Y27" s="45">
        <f t="shared" si="0"/>
        <v>1866</v>
      </c>
      <c r="Z27">
        <f>'Mall, Citadel, Rotana'!C28+'Mall, Citadel, Rotana'!E28+'Mall, Citadel, Rotana'!G28+'Mall, Citadel, Rotana'!I28</f>
        <v>1474</v>
      </c>
      <c r="AA27">
        <f>'Mall, Citadel, Rotana'!K28+'Mall, Citadel, Rotana'!M28</f>
        <v>480</v>
      </c>
      <c r="AB27">
        <f>'Mall, Citadel, Rotana'!O28</f>
        <v>3</v>
      </c>
      <c r="AC27">
        <f>'Mall, Citadel, Rotana'!Q28+'Mall, Citadel, Rotana'!S28</f>
        <v>734</v>
      </c>
      <c r="AD27" s="45">
        <f t="shared" si="1"/>
        <v>108.51093999999999</v>
      </c>
      <c r="AE27" s="45">
        <f t="shared" si="2"/>
        <v>714.78905999999995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1280</v>
      </c>
      <c r="F28" s="47">
        <f>Water!E29</f>
        <v>0</v>
      </c>
      <c r="G28" s="47">
        <f>Water!G29</f>
        <v>510.3</v>
      </c>
      <c r="H28" s="47">
        <f>Water!I29</f>
        <v>3.8340000000000001</v>
      </c>
      <c r="I28" s="47">
        <f>ELECT.!F29</f>
        <v>13427</v>
      </c>
      <c r="J28" s="47">
        <f>ELECT.!H29</f>
        <v>46966</v>
      </c>
      <c r="K28" s="47">
        <f>ELECT.!K29</f>
        <v>5119</v>
      </c>
      <c r="L28" s="47">
        <f>ELECT.!M29</f>
        <v>4267</v>
      </c>
      <c r="M28" s="47">
        <f>ELECT.!O29</f>
        <v>9006</v>
      </c>
      <c r="N28" s="47">
        <f>ELECT.!Q29</f>
        <v>11794</v>
      </c>
      <c r="O28" s="47">
        <f>ELECT.!S29</f>
        <v>9275</v>
      </c>
      <c r="P28" s="47">
        <f>ELECT.!W29*2</f>
        <v>19744</v>
      </c>
      <c r="Q28" s="47">
        <f>ELECT.!D29</f>
        <v>800</v>
      </c>
      <c r="R28" s="48">
        <f>BTU!C29</f>
        <v>13.966999999996915</v>
      </c>
      <c r="S28" s="48">
        <f>BTU!F29</f>
        <v>2.6799999999998363</v>
      </c>
      <c r="T28" s="48">
        <f>BTU!I29</f>
        <v>9</v>
      </c>
      <c r="U28" s="48">
        <f>BTU!O29</f>
        <v>1.5880000000001928</v>
      </c>
      <c r="V28" s="48">
        <f>BTU!L29</f>
        <v>2.2900000000008731</v>
      </c>
      <c r="W28" s="48">
        <f>BTU!R29</f>
        <v>3.8000000000001819</v>
      </c>
      <c r="X28" s="45">
        <f>ELECT.!B29</f>
        <v>144</v>
      </c>
      <c r="Y28" s="45">
        <f t="shared" si="0"/>
        <v>1188</v>
      </c>
      <c r="Z28">
        <f>'Mall, Citadel, Rotana'!C29+'Mall, Citadel, Rotana'!E29+'Mall, Citadel, Rotana'!G29+'Mall, Citadel, Rotana'!I29</f>
        <v>2796</v>
      </c>
      <c r="AA28">
        <f>'Mall, Citadel, Rotana'!K29+'Mall, Citadel, Rotana'!M29</f>
        <v>640</v>
      </c>
      <c r="AB28">
        <f>'Mall, Citadel, Rotana'!O29</f>
        <v>3</v>
      </c>
      <c r="AC28">
        <f>'Mall, Citadel, Rotana'!Q29+'Mall, Citadel, Rotana'!S29</f>
        <v>0</v>
      </c>
      <c r="AD28" s="45">
        <f t="shared" si="1"/>
        <v>142.62947879999999</v>
      </c>
      <c r="AE28" s="45">
        <f t="shared" si="2"/>
        <v>939.53652119999992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1450</v>
      </c>
      <c r="F29" s="47">
        <f>Water!E30</f>
        <v>0</v>
      </c>
      <c r="G29" s="47">
        <f>Water!G30</f>
        <v>537.29999999999995</v>
      </c>
      <c r="H29" s="47">
        <f>Water!I30</f>
        <v>2.6459999999999999</v>
      </c>
      <c r="I29" s="47">
        <f>ELECT.!F30</f>
        <v>14942</v>
      </c>
      <c r="J29" s="47">
        <f>ELECT.!H30</f>
        <v>52455</v>
      </c>
      <c r="K29" s="47">
        <f>ELECT.!K30</f>
        <v>5557</v>
      </c>
      <c r="L29" s="47">
        <f>ELECT.!M30</f>
        <v>4636</v>
      </c>
      <c r="M29" s="47">
        <f>ELECT.!O30</f>
        <v>10150</v>
      </c>
      <c r="N29" s="47">
        <f>ELECT.!Q30</f>
        <v>13661</v>
      </c>
      <c r="O29" s="47">
        <f>ELECT.!S30</f>
        <v>9773</v>
      </c>
      <c r="P29" s="47">
        <f>ELECT.!W30*2</f>
        <v>21576</v>
      </c>
      <c r="Q29" s="47">
        <f>ELECT.!D30</f>
        <v>800</v>
      </c>
      <c r="R29" s="48">
        <f>BTU!C30</f>
        <v>15.166000000001077</v>
      </c>
      <c r="S29" s="48">
        <f>BTU!F30</f>
        <v>3.2580000000002656</v>
      </c>
      <c r="T29" s="48">
        <f>BTU!I30</f>
        <v>9</v>
      </c>
      <c r="U29" s="48">
        <f>BTU!O30</f>
        <v>1.556999999999789</v>
      </c>
      <c r="V29" s="48">
        <f>BTU!L30</f>
        <v>2.25</v>
      </c>
      <c r="W29" s="48">
        <f>BTU!R30</f>
        <v>3.3000000000001819</v>
      </c>
      <c r="X29" s="45">
        <f>ELECT.!B30</f>
        <v>0</v>
      </c>
      <c r="Y29" s="45">
        <f t="shared" si="0"/>
        <v>2044</v>
      </c>
      <c r="Z29">
        <f>'Mall, Citadel, Rotana'!C30+'Mall, Citadel, Rotana'!E30+'Mall, Citadel, Rotana'!G30+'Mall, Citadel, Rotana'!I30</f>
        <v>-48</v>
      </c>
      <c r="AA29">
        <f>'Mall, Citadel, Rotana'!K30+'Mall, Citadel, Rotana'!M30</f>
        <v>640</v>
      </c>
      <c r="AB29">
        <f>'Mall, Citadel, Rotana'!O30</f>
        <v>3</v>
      </c>
      <c r="AC29">
        <f>'Mall, Citadel, Rotana'!Q30+'Mall, Citadel, Rotana'!S30</f>
        <v>261</v>
      </c>
      <c r="AD29" s="45">
        <f t="shared" si="1"/>
        <v>165.19205719999999</v>
      </c>
      <c r="AE29" s="45">
        <f t="shared" si="2"/>
        <v>1088.1619428000001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1570</v>
      </c>
      <c r="F30" s="47">
        <f>Water!E31</f>
        <v>0</v>
      </c>
      <c r="G30" s="47">
        <f>Water!E31</f>
        <v>0</v>
      </c>
      <c r="H30" s="47">
        <f>Water!I31</f>
        <v>4.1580000000000004</v>
      </c>
      <c r="I30" s="47">
        <f>Water!G31</f>
        <v>513</v>
      </c>
      <c r="J30" s="47">
        <f>ELECT.!H31</f>
        <v>70323</v>
      </c>
      <c r="K30" s="47">
        <f>Water!I31</f>
        <v>4.1580000000000004</v>
      </c>
      <c r="L30" s="47">
        <f>Water!J31</f>
        <v>2087.1579999999999</v>
      </c>
      <c r="M30" s="47">
        <f>Water!K31</f>
        <v>12230.74588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15.224000000001979</v>
      </c>
      <c r="S30" s="48">
        <f>BTU!F31</f>
        <v>3.5670000000000073</v>
      </c>
      <c r="T30" s="48">
        <f>BTU!I31</f>
        <v>10</v>
      </c>
      <c r="U30" s="48">
        <f>BTU!O31</f>
        <v>1.6980000000003201</v>
      </c>
      <c r="V30" s="48">
        <f>BTU!L31</f>
        <v>1.6499999999996362</v>
      </c>
      <c r="W30" s="48">
        <f>BTU!R31</f>
        <v>2.9700000000002547</v>
      </c>
      <c r="X30" s="45">
        <f>ELECT.!B31</f>
        <v>191</v>
      </c>
      <c r="Y30" s="45">
        <f t="shared" si="0"/>
        <v>56513.938119999999</v>
      </c>
      <c r="Z30">
        <f>'Mall, Citadel, Rotana'!C31+'Mall, Citadel, Rotana'!E31+'Mall, Citadel, Rotana'!G31+'Mall, Citadel, Rotana'!I31</f>
        <v>1422</v>
      </c>
      <c r="AA30">
        <f>'Mall, Citadel, Rotana'!K31+'Mall, Citadel, Rotana'!M31</f>
        <v>640</v>
      </c>
      <c r="AB30">
        <f>'Mall, Citadel, Rotana'!O31</f>
        <v>3</v>
      </c>
      <c r="AC30">
        <f>'Mall, Citadel, Rotana'!Q31+'Mall, Citadel, Rotana'!S31</f>
        <v>259</v>
      </c>
      <c r="AD30" s="45">
        <f t="shared" si="1"/>
        <v>180.80877560000002</v>
      </c>
      <c r="AE30" s="45">
        <f t="shared" si="2"/>
        <v>1191.0332244000001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 t="str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 t="str">
        <f>BTU!C32</f>
        <v>0</v>
      </c>
      <c r="S31" s="48" t="str">
        <f>BTU!F32</f>
        <v>0</v>
      </c>
      <c r="T31" s="48" t="str">
        <f>BTU!I32</f>
        <v>0</v>
      </c>
      <c r="U31" s="48" t="str">
        <f>BTU!O32</f>
        <v>0</v>
      </c>
      <c r="V31" s="48" t="str">
        <f>BTU!L32</f>
        <v>0</v>
      </c>
      <c r="W31" s="48" t="str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A7" workbookViewId="0">
      <selection activeCell="A31" sqref="A31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v>45417</v>
      </c>
      <c r="C19" s="16">
        <f t="shared" si="0"/>
        <v>800</v>
      </c>
      <c r="D19" s="42">
        <v>39601</v>
      </c>
      <c r="E19" s="16">
        <f t="shared" si="1"/>
        <v>480</v>
      </c>
      <c r="F19" s="42">
        <v>20471</v>
      </c>
      <c r="G19" s="16">
        <f t="shared" si="2"/>
        <v>80</v>
      </c>
      <c r="H19" s="42">
        <v>243821</v>
      </c>
      <c r="I19" s="16">
        <f t="shared" si="3"/>
        <v>52</v>
      </c>
      <c r="J19" s="42">
        <v>303517</v>
      </c>
      <c r="K19" s="16">
        <f t="shared" si="4"/>
        <v>0</v>
      </c>
      <c r="L19" s="42">
        <v>25048</v>
      </c>
      <c r="M19" s="16">
        <f t="shared" si="5"/>
        <v>640</v>
      </c>
      <c r="N19" s="42">
        <v>215598</v>
      </c>
      <c r="O19" s="16">
        <f t="shared" si="6"/>
        <v>3</v>
      </c>
      <c r="P19" s="42">
        <v>108221</v>
      </c>
      <c r="Q19" s="16">
        <f t="shared" si="7"/>
        <v>120</v>
      </c>
      <c r="R19" s="1">
        <v>55047</v>
      </c>
      <c r="S19" s="16">
        <f t="shared" si="8"/>
        <v>0</v>
      </c>
      <c r="T19" s="42">
        <v>3670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44365</v>
      </c>
      <c r="B20" s="42">
        <v>45422</v>
      </c>
      <c r="C20" s="16">
        <f t="shared" si="0"/>
        <v>800</v>
      </c>
      <c r="D20" s="42">
        <v>39604</v>
      </c>
      <c r="E20" s="16">
        <f t="shared" si="1"/>
        <v>480</v>
      </c>
      <c r="F20" s="42">
        <v>20474</v>
      </c>
      <c r="G20" s="16">
        <f t="shared" si="2"/>
        <v>60</v>
      </c>
      <c r="H20" s="42">
        <v>243873</v>
      </c>
      <c r="I20" s="16">
        <f t="shared" si="3"/>
        <v>52</v>
      </c>
      <c r="J20" s="42">
        <v>303517</v>
      </c>
      <c r="K20" s="16">
        <v>0</v>
      </c>
      <c r="L20" s="42">
        <v>25051</v>
      </c>
      <c r="M20" s="16">
        <f t="shared" si="5"/>
        <v>480</v>
      </c>
      <c r="N20" s="42">
        <v>215602</v>
      </c>
      <c r="O20" s="16">
        <f t="shared" si="6"/>
        <v>4</v>
      </c>
      <c r="P20" s="42">
        <v>108350</v>
      </c>
      <c r="Q20" s="16">
        <f t="shared" si="7"/>
        <v>129</v>
      </c>
      <c r="R20" s="1">
        <v>55047</v>
      </c>
      <c r="S20" s="16">
        <f t="shared" si="8"/>
        <v>0</v>
      </c>
      <c r="T20" s="42">
        <v>3671</v>
      </c>
      <c r="U20" s="16">
        <f t="shared" si="9"/>
        <v>160</v>
      </c>
    </row>
    <row r="21" spans="1:23" ht="13.5" thickBot="1" x14ac:dyDescent="0.25">
      <c r="A21" s="10">
        <v>44366</v>
      </c>
      <c r="B21" s="42">
        <v>45427</v>
      </c>
      <c r="C21" s="16">
        <f t="shared" si="0"/>
        <v>800</v>
      </c>
      <c r="D21" s="42">
        <v>39607</v>
      </c>
      <c r="E21" s="16">
        <f t="shared" si="1"/>
        <v>480</v>
      </c>
      <c r="F21" s="42">
        <v>20477</v>
      </c>
      <c r="G21" s="16">
        <f t="shared" si="2"/>
        <v>60</v>
      </c>
      <c r="H21" s="42">
        <v>243925</v>
      </c>
      <c r="I21" s="16">
        <f t="shared" si="3"/>
        <v>52</v>
      </c>
      <c r="J21" s="42">
        <v>303517</v>
      </c>
      <c r="K21" s="16">
        <f t="shared" si="4"/>
        <v>0</v>
      </c>
      <c r="L21" s="42">
        <v>25054</v>
      </c>
      <c r="M21" s="16">
        <f t="shared" si="5"/>
        <v>480</v>
      </c>
      <c r="N21" s="42">
        <v>215604</v>
      </c>
      <c r="O21" s="16">
        <f t="shared" si="6"/>
        <v>2</v>
      </c>
      <c r="P21" s="42">
        <v>108469</v>
      </c>
      <c r="Q21" s="16">
        <f t="shared" si="7"/>
        <v>119</v>
      </c>
      <c r="R21" s="1">
        <v>55047</v>
      </c>
      <c r="S21" s="16">
        <f t="shared" si="8"/>
        <v>0</v>
      </c>
      <c r="T21" s="42">
        <v>3672</v>
      </c>
      <c r="U21" s="16">
        <f t="shared" si="9"/>
        <v>160</v>
      </c>
    </row>
    <row r="22" spans="1:23" ht="13.5" thickBot="1" x14ac:dyDescent="0.25">
      <c r="A22" s="10">
        <v>44367</v>
      </c>
      <c r="B22" s="42">
        <v>45432</v>
      </c>
      <c r="C22" s="16">
        <f t="shared" si="0"/>
        <v>800</v>
      </c>
      <c r="D22" s="42">
        <v>39610</v>
      </c>
      <c r="E22" s="16">
        <f t="shared" si="1"/>
        <v>480</v>
      </c>
      <c r="F22" s="42">
        <v>20481</v>
      </c>
      <c r="G22" s="16">
        <f t="shared" si="2"/>
        <v>80</v>
      </c>
      <c r="H22" s="42">
        <v>243975</v>
      </c>
      <c r="I22" s="16">
        <f t="shared" si="3"/>
        <v>50</v>
      </c>
      <c r="J22" s="42">
        <v>303517</v>
      </c>
      <c r="K22" s="16">
        <f t="shared" si="4"/>
        <v>0</v>
      </c>
      <c r="L22" s="42">
        <v>25058</v>
      </c>
      <c r="M22" s="16">
        <f t="shared" si="5"/>
        <v>640</v>
      </c>
      <c r="N22" s="42">
        <v>215608</v>
      </c>
      <c r="O22" s="16">
        <f t="shared" si="6"/>
        <v>4</v>
      </c>
      <c r="P22" s="42">
        <v>108906</v>
      </c>
      <c r="Q22" s="16">
        <f>P22-P21</f>
        <v>437</v>
      </c>
      <c r="R22" s="1">
        <v>55047</v>
      </c>
      <c r="S22" s="16">
        <f t="shared" si="8"/>
        <v>0</v>
      </c>
      <c r="T22" s="42">
        <v>3673</v>
      </c>
      <c r="U22" s="16">
        <f t="shared" si="9"/>
        <v>160</v>
      </c>
    </row>
    <row r="23" spans="1:23" ht="13.5" thickBot="1" x14ac:dyDescent="0.25">
      <c r="A23" s="10">
        <v>44368</v>
      </c>
      <c r="B23" s="42">
        <v>45437</v>
      </c>
      <c r="C23" s="16">
        <f t="shared" si="0"/>
        <v>800</v>
      </c>
      <c r="D23" s="42">
        <v>39613</v>
      </c>
      <c r="E23" s="16">
        <f t="shared" si="1"/>
        <v>480</v>
      </c>
      <c r="F23" s="42">
        <v>20484</v>
      </c>
      <c r="G23" s="16">
        <f t="shared" si="2"/>
        <v>60</v>
      </c>
      <c r="H23" s="42">
        <v>244021</v>
      </c>
      <c r="I23" s="16">
        <f t="shared" si="3"/>
        <v>46</v>
      </c>
      <c r="J23" s="42">
        <v>303517</v>
      </c>
      <c r="K23" s="16">
        <f t="shared" si="4"/>
        <v>0</v>
      </c>
      <c r="L23" s="42">
        <v>25063</v>
      </c>
      <c r="M23" s="16">
        <f t="shared" si="5"/>
        <v>800</v>
      </c>
      <c r="N23" s="42">
        <v>215612</v>
      </c>
      <c r="O23" s="16">
        <f t="shared" si="6"/>
        <v>4</v>
      </c>
      <c r="P23" s="42">
        <v>109052</v>
      </c>
      <c r="Q23" s="16">
        <f t="shared" si="7"/>
        <v>146</v>
      </c>
      <c r="R23" s="1">
        <v>55047</v>
      </c>
      <c r="S23" s="16">
        <f t="shared" si="8"/>
        <v>0</v>
      </c>
      <c r="T23" s="42">
        <v>3674</v>
      </c>
      <c r="U23" s="16">
        <f t="shared" si="9"/>
        <v>160</v>
      </c>
    </row>
    <row r="24" spans="1:23" s="153" customFormat="1" ht="13.5" thickBot="1" x14ac:dyDescent="0.25">
      <c r="A24" s="10">
        <v>44369</v>
      </c>
      <c r="B24" s="42">
        <v>45442</v>
      </c>
      <c r="C24" s="16">
        <f t="shared" si="0"/>
        <v>800</v>
      </c>
      <c r="D24" s="42">
        <v>39616</v>
      </c>
      <c r="E24" s="16">
        <f t="shared" si="1"/>
        <v>480</v>
      </c>
      <c r="F24" s="42">
        <v>20488</v>
      </c>
      <c r="G24" s="16">
        <f t="shared" si="2"/>
        <v>80</v>
      </c>
      <c r="H24" s="42">
        <v>244084</v>
      </c>
      <c r="I24" s="16">
        <f t="shared" si="3"/>
        <v>63</v>
      </c>
      <c r="J24" s="42">
        <v>303517</v>
      </c>
      <c r="K24" s="16">
        <f t="shared" si="4"/>
        <v>0</v>
      </c>
      <c r="L24" s="42">
        <v>25067</v>
      </c>
      <c r="M24" s="16">
        <f t="shared" si="5"/>
        <v>640</v>
      </c>
      <c r="N24" s="42">
        <v>215615</v>
      </c>
      <c r="O24" s="16">
        <f t="shared" si="6"/>
        <v>3</v>
      </c>
      <c r="P24" s="42">
        <f t="shared" ref="P24:P33" si="10">P23</f>
        <v>109052</v>
      </c>
      <c r="Q24" s="16">
        <f t="shared" si="7"/>
        <v>0</v>
      </c>
      <c r="R24" s="1">
        <v>55047</v>
      </c>
      <c r="S24" s="16">
        <f t="shared" si="8"/>
        <v>0</v>
      </c>
      <c r="T24" s="42">
        <v>3676</v>
      </c>
      <c r="U24" s="16">
        <f t="shared" si="9"/>
        <v>320</v>
      </c>
    </row>
    <row r="25" spans="1:23" ht="13.5" thickBot="1" x14ac:dyDescent="0.25">
      <c r="A25" s="10">
        <v>44370</v>
      </c>
      <c r="B25" s="42">
        <v>45444</v>
      </c>
      <c r="C25" s="16">
        <f t="shared" si="0"/>
        <v>320</v>
      </c>
      <c r="D25" s="42">
        <v>39618</v>
      </c>
      <c r="E25" s="16">
        <f t="shared" si="1"/>
        <v>320</v>
      </c>
      <c r="F25" s="42">
        <v>20492</v>
      </c>
      <c r="G25" s="16">
        <f t="shared" si="2"/>
        <v>80</v>
      </c>
      <c r="H25" s="42">
        <v>244140</v>
      </c>
      <c r="I25" s="16">
        <f t="shared" si="3"/>
        <v>56</v>
      </c>
      <c r="J25" s="42">
        <v>303517</v>
      </c>
      <c r="K25" s="16">
        <f t="shared" si="4"/>
        <v>0</v>
      </c>
      <c r="L25" s="42">
        <v>25071</v>
      </c>
      <c r="M25" s="16">
        <f t="shared" si="5"/>
        <v>640</v>
      </c>
      <c r="N25" s="42">
        <v>215618</v>
      </c>
      <c r="O25" s="16">
        <f t="shared" si="6"/>
        <v>3</v>
      </c>
      <c r="P25" s="42">
        <f t="shared" si="10"/>
        <v>109052</v>
      </c>
      <c r="Q25" s="16">
        <f t="shared" si="7"/>
        <v>0</v>
      </c>
      <c r="R25" s="1">
        <v>55047</v>
      </c>
      <c r="S25" s="16">
        <f t="shared" si="8"/>
        <v>0</v>
      </c>
      <c r="T25" s="42">
        <v>3677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44371</v>
      </c>
      <c r="B26" s="42">
        <v>45453</v>
      </c>
      <c r="C26" s="16">
        <f t="shared" si="0"/>
        <v>1440</v>
      </c>
      <c r="D26" s="42">
        <v>39621</v>
      </c>
      <c r="E26" s="16">
        <f t="shared" si="1"/>
        <v>480</v>
      </c>
      <c r="F26" s="42">
        <v>20495</v>
      </c>
      <c r="G26" s="16">
        <f t="shared" si="2"/>
        <v>60</v>
      </c>
      <c r="H26" s="42">
        <v>244199</v>
      </c>
      <c r="I26" s="16">
        <f t="shared" si="3"/>
        <v>59</v>
      </c>
      <c r="J26" s="42">
        <v>303517</v>
      </c>
      <c r="K26" s="16">
        <f t="shared" si="4"/>
        <v>0</v>
      </c>
      <c r="L26" s="42">
        <v>25075</v>
      </c>
      <c r="M26" s="16">
        <f t="shared" si="5"/>
        <v>640</v>
      </c>
      <c r="N26" s="42">
        <v>215621</v>
      </c>
      <c r="O26" s="16">
        <f t="shared" si="6"/>
        <v>3</v>
      </c>
      <c r="P26" s="42">
        <f t="shared" si="10"/>
        <v>109052</v>
      </c>
      <c r="Q26" s="16">
        <f t="shared" si="7"/>
        <v>0</v>
      </c>
      <c r="R26" s="1">
        <v>55047</v>
      </c>
      <c r="S26" s="16">
        <f t="shared" si="8"/>
        <v>0</v>
      </c>
      <c r="T26" s="42">
        <v>3678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44372</v>
      </c>
      <c r="B27" s="42">
        <v>45458</v>
      </c>
      <c r="C27" s="16">
        <f t="shared" si="0"/>
        <v>800</v>
      </c>
      <c r="D27" s="42">
        <v>39624</v>
      </c>
      <c r="E27" s="16">
        <f t="shared" si="1"/>
        <v>480</v>
      </c>
      <c r="F27" s="42">
        <v>20500</v>
      </c>
      <c r="G27" s="16">
        <f t="shared" si="2"/>
        <v>100</v>
      </c>
      <c r="H27" s="42">
        <v>244275</v>
      </c>
      <c r="I27" s="16">
        <f t="shared" si="3"/>
        <v>76</v>
      </c>
      <c r="J27" s="42">
        <v>303517</v>
      </c>
      <c r="K27" s="16">
        <f t="shared" si="4"/>
        <v>0</v>
      </c>
      <c r="L27" s="42">
        <v>25078</v>
      </c>
      <c r="M27" s="16">
        <f t="shared" si="5"/>
        <v>480</v>
      </c>
      <c r="N27" s="42">
        <v>215624</v>
      </c>
      <c r="O27" s="16">
        <f t="shared" si="6"/>
        <v>3</v>
      </c>
      <c r="P27" s="42">
        <f t="shared" si="10"/>
        <v>109052</v>
      </c>
      <c r="Q27" s="16">
        <f t="shared" si="7"/>
        <v>0</v>
      </c>
      <c r="R27" s="1">
        <v>55047</v>
      </c>
      <c r="S27" s="16">
        <f t="shared" si="8"/>
        <v>0</v>
      </c>
      <c r="T27" s="42">
        <v>3679</v>
      </c>
      <c r="U27" s="16">
        <f t="shared" si="9"/>
        <v>160</v>
      </c>
    </row>
    <row r="28" spans="1:23" ht="13.5" thickBot="1" x14ac:dyDescent="0.25">
      <c r="A28" s="10">
        <v>44373</v>
      </c>
      <c r="B28" s="42">
        <v>45463</v>
      </c>
      <c r="C28" s="16">
        <f t="shared" si="0"/>
        <v>800</v>
      </c>
      <c r="D28" s="42">
        <v>39627</v>
      </c>
      <c r="E28" s="16">
        <f t="shared" si="1"/>
        <v>480</v>
      </c>
      <c r="F28" s="42">
        <v>20507</v>
      </c>
      <c r="G28" s="16">
        <f t="shared" si="2"/>
        <v>140</v>
      </c>
      <c r="H28" s="42">
        <v>244329</v>
      </c>
      <c r="I28" s="16">
        <f t="shared" si="3"/>
        <v>54</v>
      </c>
      <c r="J28" s="42">
        <v>303517</v>
      </c>
      <c r="K28" s="16">
        <f t="shared" si="4"/>
        <v>0</v>
      </c>
      <c r="L28" s="42">
        <v>25081</v>
      </c>
      <c r="M28" s="16">
        <f t="shared" si="5"/>
        <v>480</v>
      </c>
      <c r="N28" s="42">
        <v>215627</v>
      </c>
      <c r="O28" s="16">
        <f t="shared" si="6"/>
        <v>3</v>
      </c>
      <c r="P28" s="42">
        <v>109786</v>
      </c>
      <c r="Q28" s="17">
        <f t="shared" si="7"/>
        <v>734</v>
      </c>
      <c r="R28" s="1">
        <v>55047</v>
      </c>
      <c r="S28" s="17">
        <f t="shared" si="8"/>
        <v>0</v>
      </c>
      <c r="T28" s="42">
        <v>3680</v>
      </c>
      <c r="U28" s="16">
        <f t="shared" si="9"/>
        <v>160</v>
      </c>
    </row>
    <row r="29" spans="1:23" ht="13.5" thickBot="1" x14ac:dyDescent="0.25">
      <c r="A29" s="10">
        <v>44374</v>
      </c>
      <c r="B29" s="42">
        <v>45468</v>
      </c>
      <c r="C29" s="16">
        <f t="shared" si="0"/>
        <v>800</v>
      </c>
      <c r="D29" s="42">
        <v>39639</v>
      </c>
      <c r="E29" s="16">
        <f t="shared" si="1"/>
        <v>1920</v>
      </c>
      <c r="F29" s="42">
        <v>20507</v>
      </c>
      <c r="G29" s="16">
        <f t="shared" si="2"/>
        <v>0</v>
      </c>
      <c r="H29" s="42">
        <v>244405</v>
      </c>
      <c r="I29" s="16">
        <f t="shared" si="3"/>
        <v>76</v>
      </c>
      <c r="J29" s="42">
        <v>303517</v>
      </c>
      <c r="K29" s="16">
        <f t="shared" si="4"/>
        <v>0</v>
      </c>
      <c r="L29" s="42">
        <v>25085</v>
      </c>
      <c r="M29" s="16">
        <f t="shared" si="5"/>
        <v>640</v>
      </c>
      <c r="N29" s="42">
        <v>215630</v>
      </c>
      <c r="O29" s="16">
        <f t="shared" si="6"/>
        <v>3</v>
      </c>
      <c r="P29" s="42">
        <v>109786</v>
      </c>
      <c r="Q29" s="16">
        <f t="shared" si="7"/>
        <v>0</v>
      </c>
      <c r="R29" s="1">
        <v>55047</v>
      </c>
      <c r="S29" s="16">
        <f t="shared" si="8"/>
        <v>0</v>
      </c>
      <c r="T29" s="42">
        <v>3681</v>
      </c>
      <c r="U29" s="16">
        <f t="shared" si="9"/>
        <v>160</v>
      </c>
    </row>
    <row r="30" spans="1:23" ht="13.5" thickBot="1" x14ac:dyDescent="0.25">
      <c r="A30" s="10">
        <v>44375</v>
      </c>
      <c r="B30" s="42">
        <v>45474</v>
      </c>
      <c r="C30" s="16">
        <f t="shared" si="0"/>
        <v>960</v>
      </c>
      <c r="D30" s="42">
        <v>39632</v>
      </c>
      <c r="E30" s="16">
        <f t="shared" si="1"/>
        <v>-1120</v>
      </c>
      <c r="F30" s="42">
        <v>20510</v>
      </c>
      <c r="G30" s="16">
        <f t="shared" si="2"/>
        <v>60</v>
      </c>
      <c r="H30" s="42">
        <v>244457</v>
      </c>
      <c r="I30" s="16">
        <f t="shared" si="3"/>
        <v>52</v>
      </c>
      <c r="J30" s="42">
        <v>303517</v>
      </c>
      <c r="K30" s="16">
        <f t="shared" si="4"/>
        <v>0</v>
      </c>
      <c r="L30" s="42">
        <v>25089</v>
      </c>
      <c r="M30" s="16">
        <f t="shared" si="5"/>
        <v>640</v>
      </c>
      <c r="N30" s="42">
        <v>215633</v>
      </c>
      <c r="O30" s="16">
        <f t="shared" si="6"/>
        <v>3</v>
      </c>
      <c r="P30" s="42">
        <v>110047</v>
      </c>
      <c r="Q30" s="16">
        <f t="shared" si="7"/>
        <v>261</v>
      </c>
      <c r="R30" s="1">
        <v>55047</v>
      </c>
      <c r="S30" s="16">
        <f t="shared" si="8"/>
        <v>0</v>
      </c>
      <c r="T30" s="42">
        <v>3682</v>
      </c>
      <c r="U30" s="16">
        <f t="shared" si="9"/>
        <v>160</v>
      </c>
    </row>
    <row r="31" spans="1:23" ht="13.5" thickBot="1" x14ac:dyDescent="0.25">
      <c r="A31" s="10">
        <v>44376</v>
      </c>
      <c r="B31" s="42">
        <v>45479</v>
      </c>
      <c r="C31" s="16">
        <f t="shared" si="0"/>
        <v>800</v>
      </c>
      <c r="D31" s="42">
        <v>39635</v>
      </c>
      <c r="E31" s="16">
        <f t="shared" si="1"/>
        <v>480</v>
      </c>
      <c r="F31" s="42">
        <v>20514</v>
      </c>
      <c r="G31" s="16">
        <f t="shared" si="2"/>
        <v>80</v>
      </c>
      <c r="H31" s="42">
        <v>244519</v>
      </c>
      <c r="I31" s="16">
        <f t="shared" si="3"/>
        <v>62</v>
      </c>
      <c r="J31" s="42">
        <v>303517</v>
      </c>
      <c r="K31" s="16">
        <f t="shared" si="4"/>
        <v>0</v>
      </c>
      <c r="L31" s="42">
        <v>25093</v>
      </c>
      <c r="M31" s="16">
        <f t="shared" si="5"/>
        <v>640</v>
      </c>
      <c r="N31" s="42">
        <v>215636</v>
      </c>
      <c r="O31" s="16">
        <f t="shared" si="6"/>
        <v>3</v>
      </c>
      <c r="P31" s="42">
        <v>110306</v>
      </c>
      <c r="Q31" s="16">
        <f t="shared" si="7"/>
        <v>259</v>
      </c>
      <c r="R31" s="1">
        <v>55047</v>
      </c>
      <c r="S31" s="16">
        <f t="shared" si="8"/>
        <v>0</v>
      </c>
      <c r="T31" s="42">
        <v>3684</v>
      </c>
      <c r="U31" s="16">
        <f t="shared" si="9"/>
        <v>320</v>
      </c>
    </row>
    <row r="32" spans="1:23" ht="15" customHeight="1" thickBot="1" x14ac:dyDescent="0.25">
      <c r="A32" s="10">
        <v>44377</v>
      </c>
      <c r="B32" s="42">
        <f t="shared" ref="B31:B33" si="11">B31</f>
        <v>45479</v>
      </c>
      <c r="C32" s="16">
        <f t="shared" si="0"/>
        <v>0</v>
      </c>
      <c r="D32" s="42">
        <f t="shared" ref="D31:D33" si="12">D31</f>
        <v>39635</v>
      </c>
      <c r="E32" s="16">
        <f t="shared" si="1"/>
        <v>0</v>
      </c>
      <c r="F32" s="42">
        <f t="shared" ref="F31:F33" si="13">F31</f>
        <v>20514</v>
      </c>
      <c r="G32" s="16">
        <f t="shared" si="2"/>
        <v>0</v>
      </c>
      <c r="H32" s="42">
        <f t="shared" ref="H31:H33" si="14">H31</f>
        <v>244519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ref="L31:L33" si="15">L31</f>
        <v>25093</v>
      </c>
      <c r="M32" s="16">
        <f t="shared" si="5"/>
        <v>0</v>
      </c>
      <c r="N32" s="42">
        <f t="shared" ref="N31:N33" si="16">N31</f>
        <v>215636</v>
      </c>
      <c r="O32" s="16">
        <f t="shared" si="6"/>
        <v>0</v>
      </c>
      <c r="P32" s="42">
        <f t="shared" si="10"/>
        <v>110306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ref="T31:T33" si="17">T31</f>
        <v>3684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1"/>
        <v>45479</v>
      </c>
      <c r="C33" s="16">
        <f t="shared" si="0"/>
        <v>0</v>
      </c>
      <c r="D33" s="42">
        <f t="shared" si="12"/>
        <v>39635</v>
      </c>
      <c r="E33" s="16">
        <f t="shared" si="1"/>
        <v>0</v>
      </c>
      <c r="F33" s="42">
        <f t="shared" si="13"/>
        <v>20514</v>
      </c>
      <c r="G33" s="16">
        <f t="shared" si="2"/>
        <v>0</v>
      </c>
      <c r="H33" s="42">
        <f t="shared" si="14"/>
        <v>244519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25093</v>
      </c>
      <c r="M33" s="16">
        <f t="shared" si="5"/>
        <v>0</v>
      </c>
      <c r="N33" s="42">
        <f t="shared" si="16"/>
        <v>215636</v>
      </c>
      <c r="O33" s="16">
        <f t="shared" si="6"/>
        <v>0</v>
      </c>
      <c r="P33" s="42">
        <f t="shared" si="10"/>
        <v>110306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3684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24160</v>
      </c>
      <c r="D34" s="13"/>
      <c r="E34" s="11">
        <f>SUM(E3:E33)</f>
        <v>13440</v>
      </c>
      <c r="F34" s="13"/>
      <c r="G34" s="11">
        <f>SUM(G3:G33)</f>
        <v>2060</v>
      </c>
      <c r="H34" s="13"/>
      <c r="I34" s="11">
        <f>SUM(I3:I33)</f>
        <v>1934</v>
      </c>
      <c r="J34" s="13"/>
      <c r="K34" s="11">
        <f>SUM(K3:K33)</f>
        <v>0</v>
      </c>
      <c r="L34" s="13"/>
      <c r="M34" s="11">
        <f>SUM(M3:M33)</f>
        <v>17440</v>
      </c>
      <c r="N34" s="43"/>
      <c r="O34" s="11">
        <f>SUM(O3:O33)</f>
        <v>92</v>
      </c>
      <c r="P34" s="13"/>
      <c r="Q34" s="11">
        <f>SUM(Q3:Q33)</f>
        <v>4135</v>
      </c>
      <c r="R34" s="1"/>
      <c r="S34" s="11">
        <f>SUM(S3:S33)</f>
        <v>0</v>
      </c>
      <c r="T34" s="1"/>
      <c r="U34" s="11">
        <f>SUM(U3:U33)</f>
        <v>5120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9" zoomScale="120" zoomScaleNormal="120" zoomScaleSheetLayoutView="110" workbookViewId="0">
      <selection activeCell="B31" sqref="B31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>
        <v>162</v>
      </c>
      <c r="C19" s="161">
        <v>18323</v>
      </c>
      <c r="D19" s="49">
        <f>IF((C19-C18)&lt;0,"0",(C19-C18))*160</f>
        <v>800</v>
      </c>
      <c r="E19" s="137">
        <v>26386525</v>
      </c>
      <c r="F19" s="146">
        <f t="shared" si="12"/>
        <v>23960</v>
      </c>
      <c r="G19" s="141">
        <v>83616032</v>
      </c>
      <c r="H19" s="49">
        <f t="shared" si="13"/>
        <v>61974</v>
      </c>
      <c r="I19" s="148">
        <f t="shared" si="14"/>
        <v>85934</v>
      </c>
      <c r="J19" s="137">
        <v>8190909</v>
      </c>
      <c r="K19" s="146">
        <f t="shared" si="15"/>
        <v>7227</v>
      </c>
      <c r="L19" s="139">
        <v>8163259</v>
      </c>
      <c r="M19" s="146">
        <f t="shared" si="16"/>
        <v>9218</v>
      </c>
      <c r="N19" s="137">
        <v>5284480</v>
      </c>
      <c r="O19" s="146">
        <f t="shared" si="23"/>
        <v>14538</v>
      </c>
      <c r="P19" s="139">
        <v>3734565</v>
      </c>
      <c r="Q19" s="146">
        <f t="shared" si="17"/>
        <v>13497</v>
      </c>
      <c r="R19" s="137">
        <v>17721854</v>
      </c>
      <c r="S19" s="146">
        <f t="shared" si="18"/>
        <v>12217</v>
      </c>
      <c r="T19" s="147">
        <v>0</v>
      </c>
      <c r="U19" s="140"/>
      <c r="V19" s="137">
        <v>5414953</v>
      </c>
      <c r="W19" s="146">
        <f t="shared" si="19"/>
        <v>13767</v>
      </c>
      <c r="X19" s="28">
        <f t="shared" si="20"/>
        <v>70464</v>
      </c>
      <c r="Y19" s="149">
        <f t="shared" si="21"/>
        <v>15470</v>
      </c>
      <c r="Z19" s="150">
        <f t="shared" si="22"/>
        <v>10365.282636800001</v>
      </c>
      <c r="AA19" s="150">
        <f t="shared" si="24"/>
        <v>34928.667217599999</v>
      </c>
    </row>
    <row r="20" spans="1:27" s="151" customFormat="1" ht="16.5" thickBot="1" x14ac:dyDescent="0.25">
      <c r="A20" s="10">
        <v>44365</v>
      </c>
      <c r="B20" s="146">
        <v>185</v>
      </c>
      <c r="C20" s="161">
        <v>18327</v>
      </c>
      <c r="D20" s="49">
        <f>IF((C20-C19)&lt;0,"0",(C20-C19))*160</f>
        <v>640</v>
      </c>
      <c r="E20" s="137">
        <v>26403574</v>
      </c>
      <c r="F20" s="146">
        <f t="shared" si="12"/>
        <v>17049</v>
      </c>
      <c r="G20" s="141">
        <v>83658967</v>
      </c>
      <c r="H20" s="49">
        <f t="shared" si="13"/>
        <v>42935</v>
      </c>
      <c r="I20" s="148">
        <f t="shared" si="14"/>
        <v>59984</v>
      </c>
      <c r="J20" s="137">
        <v>8195530</v>
      </c>
      <c r="K20" s="146">
        <f t="shared" si="15"/>
        <v>4621</v>
      </c>
      <c r="L20" s="139">
        <v>8169023</v>
      </c>
      <c r="M20" s="146">
        <f t="shared" si="16"/>
        <v>5764</v>
      </c>
      <c r="N20" s="137">
        <v>5290004</v>
      </c>
      <c r="O20" s="146">
        <f t="shared" si="23"/>
        <v>11048</v>
      </c>
      <c r="P20" s="139">
        <v>3744128</v>
      </c>
      <c r="Q20" s="146">
        <f t="shared" si="17"/>
        <v>9563</v>
      </c>
      <c r="R20" s="137">
        <v>17730577</v>
      </c>
      <c r="S20" s="146">
        <f t="shared" si="18"/>
        <v>8723</v>
      </c>
      <c r="T20" s="147">
        <v>0</v>
      </c>
      <c r="U20" s="140"/>
      <c r="V20" s="137">
        <v>5424517</v>
      </c>
      <c r="W20" s="146">
        <f t="shared" si="19"/>
        <v>9564</v>
      </c>
      <c r="X20" s="28">
        <f t="shared" si="20"/>
        <v>49283</v>
      </c>
      <c r="Y20" s="149">
        <f t="shared" si="21"/>
        <v>10701</v>
      </c>
      <c r="Z20" s="150">
        <f t="shared" si="22"/>
        <v>7422.3461103999998</v>
      </c>
      <c r="AA20" s="150">
        <f t="shared" si="24"/>
        <v>33917.549120000003</v>
      </c>
    </row>
    <row r="21" spans="1:27" s="151" customFormat="1" ht="16.5" thickBot="1" x14ac:dyDescent="0.25">
      <c r="A21" s="10">
        <v>44366</v>
      </c>
      <c r="B21" s="146">
        <v>160</v>
      </c>
      <c r="C21" s="161">
        <v>18330</v>
      </c>
      <c r="D21" s="49">
        <f>IF((C21-C20)&lt;0,"0",(C21-C20))*160</f>
        <v>480</v>
      </c>
      <c r="E21" s="137">
        <v>26423881</v>
      </c>
      <c r="F21" s="146">
        <f t="shared" si="12"/>
        <v>20307</v>
      </c>
      <c r="G21" s="141">
        <v>83711672</v>
      </c>
      <c r="H21" s="49">
        <f t="shared" si="13"/>
        <v>52705</v>
      </c>
      <c r="I21" s="148">
        <f t="shared" si="14"/>
        <v>73012</v>
      </c>
      <c r="J21" s="137">
        <v>8201697</v>
      </c>
      <c r="K21" s="146">
        <f t="shared" si="15"/>
        <v>6167</v>
      </c>
      <c r="L21" s="139">
        <v>8176007</v>
      </c>
      <c r="M21" s="146">
        <f t="shared" si="16"/>
        <v>6984</v>
      </c>
      <c r="N21" s="137">
        <v>5296601</v>
      </c>
      <c r="O21" s="146">
        <f t="shared" si="23"/>
        <v>13194</v>
      </c>
      <c r="P21" s="139">
        <v>3755918</v>
      </c>
      <c r="Q21" s="146">
        <f t="shared" si="17"/>
        <v>11790</v>
      </c>
      <c r="R21" s="137">
        <v>17741332</v>
      </c>
      <c r="S21" s="146">
        <f t="shared" si="18"/>
        <v>10755</v>
      </c>
      <c r="T21" s="147">
        <v>0</v>
      </c>
      <c r="U21" s="140"/>
      <c r="V21" s="137">
        <v>5435774</v>
      </c>
      <c r="W21" s="146">
        <f t="shared" si="19"/>
        <v>11257</v>
      </c>
      <c r="X21" s="28">
        <f t="shared" si="20"/>
        <v>60147</v>
      </c>
      <c r="Y21" s="149">
        <f t="shared" si="21"/>
        <v>12865</v>
      </c>
      <c r="Z21" s="150">
        <f t="shared" si="22"/>
        <v>8959.5306943999985</v>
      </c>
      <c r="AA21" s="150">
        <f t="shared" si="24"/>
        <v>33400.527471999994</v>
      </c>
    </row>
    <row r="22" spans="1:27" ht="16.5" thickBot="1" x14ac:dyDescent="0.25">
      <c r="A22" s="10">
        <v>44367</v>
      </c>
      <c r="B22" s="49">
        <v>196</v>
      </c>
      <c r="C22" s="161">
        <v>18333</v>
      </c>
      <c r="D22" s="49">
        <f t="shared" si="11"/>
        <v>480</v>
      </c>
      <c r="E22" s="137">
        <v>26438022</v>
      </c>
      <c r="F22" s="49">
        <f t="shared" si="12"/>
        <v>14141</v>
      </c>
      <c r="G22" s="141">
        <v>83765151</v>
      </c>
      <c r="H22" s="49">
        <f t="shared" si="13"/>
        <v>53479</v>
      </c>
      <c r="I22" s="138">
        <f t="shared" si="14"/>
        <v>67620</v>
      </c>
      <c r="J22" s="137">
        <v>8208116</v>
      </c>
      <c r="K22" s="49">
        <f t="shared" si="15"/>
        <v>6419</v>
      </c>
      <c r="L22" s="139">
        <v>8180564</v>
      </c>
      <c r="M22" s="49">
        <f t="shared" si="16"/>
        <v>4557</v>
      </c>
      <c r="N22" s="137">
        <v>5301316</v>
      </c>
      <c r="O22" s="49">
        <f t="shared" si="23"/>
        <v>9430</v>
      </c>
      <c r="P22" s="139">
        <v>3767874</v>
      </c>
      <c r="Q22" s="49">
        <f t="shared" si="17"/>
        <v>11956</v>
      </c>
      <c r="R22" s="137">
        <v>17751851</v>
      </c>
      <c r="S22" s="49">
        <f t="shared" si="18"/>
        <v>10519</v>
      </c>
      <c r="T22" s="137">
        <v>0</v>
      </c>
      <c r="U22" s="140"/>
      <c r="V22" s="137">
        <v>5447222</v>
      </c>
      <c r="W22" s="49">
        <f t="shared" si="19"/>
        <v>11448</v>
      </c>
      <c r="X22" s="28">
        <f t="shared" si="20"/>
        <v>54329</v>
      </c>
      <c r="Y22" s="35">
        <f t="shared" si="21"/>
        <v>13291</v>
      </c>
      <c r="Z22" s="27">
        <f t="shared" si="22"/>
        <v>8427.7332463999992</v>
      </c>
      <c r="AA22" s="27">
        <f t="shared" si="24"/>
        <v>35174.892688</v>
      </c>
    </row>
    <row r="23" spans="1:27" ht="16.5" thickBot="1" x14ac:dyDescent="0.25">
      <c r="A23" s="10">
        <v>44368</v>
      </c>
      <c r="B23" s="49">
        <v>201</v>
      </c>
      <c r="C23" s="161">
        <v>18336</v>
      </c>
      <c r="D23" s="49">
        <f t="shared" si="11"/>
        <v>480</v>
      </c>
      <c r="E23" s="137">
        <v>26448318</v>
      </c>
      <c r="F23" s="49">
        <f t="shared" si="12"/>
        <v>10296</v>
      </c>
      <c r="G23" s="141">
        <v>83802777</v>
      </c>
      <c r="H23" s="49">
        <f t="shared" si="13"/>
        <v>37626</v>
      </c>
      <c r="I23" s="138">
        <f t="shared" si="14"/>
        <v>47922</v>
      </c>
      <c r="J23" s="137">
        <v>8212658</v>
      </c>
      <c r="K23" s="49">
        <f t="shared" si="15"/>
        <v>4542</v>
      </c>
      <c r="L23" s="139">
        <v>8184040</v>
      </c>
      <c r="M23" s="49">
        <f t="shared" si="16"/>
        <v>3476</v>
      </c>
      <c r="N23" s="137">
        <v>5304658</v>
      </c>
      <c r="O23" s="49">
        <f t="shared" si="23"/>
        <v>6684</v>
      </c>
      <c r="P23" s="139">
        <v>3776585</v>
      </c>
      <c r="Q23" s="49">
        <f t="shared" si="17"/>
        <v>8711</v>
      </c>
      <c r="R23" s="137">
        <v>17759140</v>
      </c>
      <c r="S23" s="49">
        <f t="shared" si="18"/>
        <v>7289</v>
      </c>
      <c r="T23" s="137">
        <v>0</v>
      </c>
      <c r="U23" s="140"/>
      <c r="V23" s="137">
        <v>5455070</v>
      </c>
      <c r="W23" s="49">
        <f t="shared" si="19"/>
        <v>7848</v>
      </c>
      <c r="X23" s="28">
        <f t="shared" si="20"/>
        <v>38550</v>
      </c>
      <c r="Y23" s="35">
        <f t="shared" si="21"/>
        <v>9372</v>
      </c>
      <c r="Z23" s="27">
        <f t="shared" si="22"/>
        <v>5902.6833423999997</v>
      </c>
      <c r="AA23" s="27">
        <f t="shared" si="24"/>
        <v>30712.293393599997</v>
      </c>
    </row>
    <row r="24" spans="1:27" ht="16.5" thickBot="1" x14ac:dyDescent="0.25">
      <c r="A24" s="10">
        <v>44369</v>
      </c>
      <c r="B24" s="49">
        <v>197</v>
      </c>
      <c r="C24" s="161">
        <v>18343</v>
      </c>
      <c r="D24" s="49">
        <f t="shared" si="11"/>
        <v>1120</v>
      </c>
      <c r="E24" s="137">
        <v>26471132</v>
      </c>
      <c r="F24" s="49">
        <f t="shared" si="12"/>
        <v>22814</v>
      </c>
      <c r="G24" s="141">
        <v>83859447</v>
      </c>
      <c r="H24" s="49">
        <f t="shared" si="13"/>
        <v>56670</v>
      </c>
      <c r="I24" s="138">
        <f t="shared" si="14"/>
        <v>79484</v>
      </c>
      <c r="J24" s="137">
        <v>8219334</v>
      </c>
      <c r="K24" s="49">
        <f t="shared" si="15"/>
        <v>6676</v>
      </c>
      <c r="L24" s="139">
        <v>8191812</v>
      </c>
      <c r="M24" s="49">
        <f t="shared" si="16"/>
        <v>7772</v>
      </c>
      <c r="N24" s="137">
        <v>5312045</v>
      </c>
      <c r="O24" s="49">
        <f t="shared" si="23"/>
        <v>14774</v>
      </c>
      <c r="P24" s="139">
        <v>3789789</v>
      </c>
      <c r="Q24" s="49">
        <f t="shared" si="17"/>
        <v>13204</v>
      </c>
      <c r="R24" s="137">
        <v>17770013</v>
      </c>
      <c r="S24" s="49">
        <f t="shared" si="18"/>
        <v>10873</v>
      </c>
      <c r="T24" s="137">
        <v>0</v>
      </c>
      <c r="U24" s="140"/>
      <c r="V24" s="137">
        <v>5467030</v>
      </c>
      <c r="W24" s="49">
        <f t="shared" si="19"/>
        <v>11960</v>
      </c>
      <c r="X24" s="28">
        <f t="shared" si="20"/>
        <v>65259</v>
      </c>
      <c r="Y24" s="35">
        <f t="shared" si="21"/>
        <v>14225</v>
      </c>
      <c r="Z24" s="27">
        <f t="shared" si="22"/>
        <v>9592.2352656000003</v>
      </c>
      <c r="AA24" s="27">
        <f t="shared" si="24"/>
        <v>32882.182548799996</v>
      </c>
    </row>
    <row r="25" spans="1:27" ht="16.5" thickBot="1" x14ac:dyDescent="0.25">
      <c r="A25" s="10">
        <v>44370</v>
      </c>
      <c r="B25" s="49">
        <v>236</v>
      </c>
      <c r="C25" s="161">
        <v>18348</v>
      </c>
      <c r="D25" s="49">
        <f t="shared" si="11"/>
        <v>800</v>
      </c>
      <c r="E25" s="137">
        <v>26508692</v>
      </c>
      <c r="F25" s="49">
        <f t="shared" si="12"/>
        <v>37560</v>
      </c>
      <c r="G25" s="141">
        <v>83956381</v>
      </c>
      <c r="H25" s="49">
        <f t="shared" si="13"/>
        <v>96934</v>
      </c>
      <c r="I25" s="138">
        <f t="shared" si="14"/>
        <v>134494</v>
      </c>
      <c r="J25" s="137">
        <v>8230866</v>
      </c>
      <c r="K25" s="49">
        <f t="shared" si="15"/>
        <v>11532</v>
      </c>
      <c r="L25" s="139">
        <v>8203598</v>
      </c>
      <c r="M25" s="49">
        <f t="shared" si="16"/>
        <v>11786</v>
      </c>
      <c r="N25" s="137">
        <v>5324784</v>
      </c>
      <c r="O25" s="49">
        <f t="shared" si="23"/>
        <v>25478</v>
      </c>
      <c r="P25" s="139">
        <v>3808482</v>
      </c>
      <c r="Q25" s="49">
        <f t="shared" si="17"/>
        <v>18693</v>
      </c>
      <c r="R25" s="137">
        <v>17789434</v>
      </c>
      <c r="S25" s="49">
        <f t="shared" si="18"/>
        <v>19421</v>
      </c>
      <c r="T25" s="137">
        <v>0</v>
      </c>
      <c r="U25" s="140"/>
      <c r="V25" s="137">
        <v>5488854</v>
      </c>
      <c r="W25" s="49">
        <f t="shared" si="19"/>
        <v>21824</v>
      </c>
      <c r="X25" s="28">
        <f t="shared" si="20"/>
        <v>108734</v>
      </c>
      <c r="Y25" s="35">
        <f t="shared" si="21"/>
        <v>25760</v>
      </c>
      <c r="Z25" s="27">
        <f t="shared" si="22"/>
        <v>16405.335752000003</v>
      </c>
      <c r="AA25" s="27">
        <f t="shared" si="24"/>
        <v>40327.987606399998</v>
      </c>
    </row>
    <row r="26" spans="1:27" ht="16.5" thickBot="1" x14ac:dyDescent="0.25">
      <c r="A26" s="10">
        <v>44371</v>
      </c>
      <c r="B26" s="49">
        <v>254</v>
      </c>
      <c r="C26" s="161">
        <v>18354</v>
      </c>
      <c r="D26" s="49">
        <f t="shared" si="11"/>
        <v>960</v>
      </c>
      <c r="E26" s="137">
        <v>26508692</v>
      </c>
      <c r="F26" s="49">
        <f t="shared" si="12"/>
        <v>0</v>
      </c>
      <c r="G26" s="141">
        <v>83956381</v>
      </c>
      <c r="H26" s="49">
        <f t="shared" si="13"/>
        <v>0</v>
      </c>
      <c r="I26" s="138">
        <f t="shared" si="14"/>
        <v>0</v>
      </c>
      <c r="J26" s="137">
        <v>8230866</v>
      </c>
      <c r="K26" s="49">
        <f t="shared" si="15"/>
        <v>0</v>
      </c>
      <c r="L26" s="139">
        <v>8203598</v>
      </c>
      <c r="M26" s="49">
        <f t="shared" si="16"/>
        <v>0</v>
      </c>
      <c r="N26" s="137">
        <v>5324784</v>
      </c>
      <c r="O26" s="49">
        <f t="shared" si="23"/>
        <v>0</v>
      </c>
      <c r="P26" s="139">
        <v>3808482</v>
      </c>
      <c r="Q26" s="49">
        <f t="shared" si="17"/>
        <v>0</v>
      </c>
      <c r="R26" s="137">
        <v>17789434</v>
      </c>
      <c r="S26" s="49">
        <f t="shared" si="18"/>
        <v>0</v>
      </c>
      <c r="T26" s="137">
        <v>0</v>
      </c>
      <c r="U26" s="140"/>
      <c r="V26" s="137">
        <v>5488854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31900.254360000003</v>
      </c>
    </row>
    <row r="27" spans="1:27" ht="16.5" thickBot="1" x14ac:dyDescent="0.25">
      <c r="A27" s="10">
        <v>44372</v>
      </c>
      <c r="B27" s="49">
        <v>256</v>
      </c>
      <c r="C27" s="161">
        <v>18358</v>
      </c>
      <c r="D27" s="49">
        <f t="shared" si="11"/>
        <v>640</v>
      </c>
      <c r="E27" s="137">
        <v>26532814</v>
      </c>
      <c r="F27" s="49">
        <f t="shared" si="12"/>
        <v>24122</v>
      </c>
      <c r="G27" s="141">
        <v>84002534</v>
      </c>
      <c r="H27" s="49">
        <f t="shared" si="13"/>
        <v>46153</v>
      </c>
      <c r="I27" s="138">
        <f t="shared" si="14"/>
        <v>70275</v>
      </c>
      <c r="J27" s="137">
        <v>8236529</v>
      </c>
      <c r="K27" s="49">
        <f t="shared" si="15"/>
        <v>5663</v>
      </c>
      <c r="L27" s="139">
        <v>8208954</v>
      </c>
      <c r="M27" s="49">
        <f t="shared" si="16"/>
        <v>5356</v>
      </c>
      <c r="N27" s="137">
        <v>5334100</v>
      </c>
      <c r="O27" s="49">
        <f t="shared" si="23"/>
        <v>18632</v>
      </c>
      <c r="P27" s="139">
        <v>3812243</v>
      </c>
      <c r="Q27" s="49">
        <f t="shared" si="17"/>
        <v>3761</v>
      </c>
      <c r="R27" s="137">
        <v>17800369</v>
      </c>
      <c r="S27" s="49">
        <f t="shared" si="18"/>
        <v>10935</v>
      </c>
      <c r="T27" s="137">
        <v>0</v>
      </c>
      <c r="U27" s="140"/>
      <c r="V27" s="137">
        <v>5501100</v>
      </c>
      <c r="W27" s="49">
        <f t="shared" si="19"/>
        <v>12246</v>
      </c>
      <c r="X27" s="28">
        <f t="shared" si="20"/>
        <v>56593</v>
      </c>
      <c r="Y27" s="35">
        <f t="shared" si="21"/>
        <v>13682</v>
      </c>
      <c r="Z27" s="27">
        <f t="shared" si="22"/>
        <v>8868.1708752000013</v>
      </c>
      <c r="AA27" s="27">
        <f t="shared" si="24"/>
        <v>34865.741892800004</v>
      </c>
    </row>
    <row r="28" spans="1:27" ht="16.5" thickBot="1" x14ac:dyDescent="0.25">
      <c r="A28" s="10">
        <v>44373</v>
      </c>
      <c r="B28" s="49">
        <v>216</v>
      </c>
      <c r="C28" s="161">
        <v>18361</v>
      </c>
      <c r="D28" s="49">
        <f t="shared" si="11"/>
        <v>480</v>
      </c>
      <c r="E28" s="137">
        <v>26554041</v>
      </c>
      <c r="F28" s="49">
        <f t="shared" si="12"/>
        <v>21227</v>
      </c>
      <c r="G28" s="141">
        <v>84051294</v>
      </c>
      <c r="H28" s="49">
        <f t="shared" si="13"/>
        <v>48760</v>
      </c>
      <c r="I28" s="138">
        <f t="shared" si="14"/>
        <v>69987</v>
      </c>
      <c r="J28" s="137">
        <v>8242550</v>
      </c>
      <c r="K28" s="49">
        <f t="shared" si="15"/>
        <v>6021</v>
      </c>
      <c r="L28" s="139">
        <v>8213860</v>
      </c>
      <c r="M28" s="49">
        <f t="shared" si="16"/>
        <v>4906</v>
      </c>
      <c r="N28" s="137">
        <v>5342118</v>
      </c>
      <c r="O28" s="49">
        <f t="shared" si="23"/>
        <v>16036</v>
      </c>
      <c r="P28" s="139">
        <v>3818921</v>
      </c>
      <c r="Q28" s="49">
        <f t="shared" si="17"/>
        <v>6678</v>
      </c>
      <c r="R28" s="137">
        <v>17811413</v>
      </c>
      <c r="S28" s="49">
        <f t="shared" si="18"/>
        <v>11044</v>
      </c>
      <c r="T28" s="137">
        <v>0</v>
      </c>
      <c r="U28" s="140"/>
      <c r="V28" s="137">
        <v>5512818</v>
      </c>
      <c r="W28" s="49">
        <f t="shared" si="19"/>
        <v>11718</v>
      </c>
      <c r="X28" s="28">
        <f t="shared" si="20"/>
        <v>56403</v>
      </c>
      <c r="Y28" s="35">
        <f t="shared" si="21"/>
        <v>13584</v>
      </c>
      <c r="Z28" s="27">
        <f t="shared" si="22"/>
        <v>8812.9437343999998</v>
      </c>
      <c r="AA28" s="27">
        <f t="shared" si="24"/>
        <v>34086.4503616</v>
      </c>
    </row>
    <row r="29" spans="1:27" ht="16.5" thickBot="1" x14ac:dyDescent="0.25">
      <c r="A29" s="10">
        <v>44374</v>
      </c>
      <c r="B29" s="49">
        <v>144</v>
      </c>
      <c r="C29" s="161">
        <v>18366</v>
      </c>
      <c r="D29" s="49">
        <f t="shared" si="11"/>
        <v>800</v>
      </c>
      <c r="E29" s="137">
        <v>26567468</v>
      </c>
      <c r="F29" s="49">
        <f t="shared" si="12"/>
        <v>13427</v>
      </c>
      <c r="G29" s="141">
        <v>84098260</v>
      </c>
      <c r="H29" s="49">
        <f t="shared" si="13"/>
        <v>46966</v>
      </c>
      <c r="I29" s="138">
        <f t="shared" si="14"/>
        <v>60393</v>
      </c>
      <c r="J29" s="137">
        <v>8247669</v>
      </c>
      <c r="K29" s="49">
        <f t="shared" si="15"/>
        <v>5119</v>
      </c>
      <c r="L29" s="139">
        <v>8218127</v>
      </c>
      <c r="M29" s="49">
        <f t="shared" si="16"/>
        <v>4267</v>
      </c>
      <c r="N29" s="137">
        <v>5346621</v>
      </c>
      <c r="O29" s="49">
        <f t="shared" si="23"/>
        <v>9006</v>
      </c>
      <c r="P29" s="139">
        <v>3830715</v>
      </c>
      <c r="Q29" s="49">
        <f t="shared" si="17"/>
        <v>11794</v>
      </c>
      <c r="R29" s="137">
        <v>17820688</v>
      </c>
      <c r="S29" s="49">
        <f t="shared" si="18"/>
        <v>9275</v>
      </c>
      <c r="T29" s="137">
        <v>0</v>
      </c>
      <c r="U29" s="140"/>
      <c r="V29" s="137">
        <v>5522690</v>
      </c>
      <c r="W29" s="49">
        <f t="shared" si="19"/>
        <v>9872</v>
      </c>
      <c r="X29" s="28">
        <f t="shared" si="20"/>
        <v>49333</v>
      </c>
      <c r="Y29" s="35">
        <f t="shared" si="21"/>
        <v>11060</v>
      </c>
      <c r="Z29" s="27">
        <f t="shared" si="22"/>
        <v>7658.4423343999997</v>
      </c>
      <c r="AA29" s="27">
        <f t="shared" si="24"/>
        <v>25339.556944</v>
      </c>
    </row>
    <row r="30" spans="1:27" ht="16.5" thickBot="1" x14ac:dyDescent="0.25">
      <c r="A30" s="10">
        <v>44375</v>
      </c>
      <c r="B30" s="49"/>
      <c r="C30" s="161">
        <v>18371</v>
      </c>
      <c r="D30" s="49">
        <f t="shared" si="11"/>
        <v>800</v>
      </c>
      <c r="E30" s="137">
        <v>26582410</v>
      </c>
      <c r="F30" s="49">
        <f t="shared" si="12"/>
        <v>14942</v>
      </c>
      <c r="G30" s="141">
        <v>84150715</v>
      </c>
      <c r="H30" s="49">
        <f t="shared" si="13"/>
        <v>52455</v>
      </c>
      <c r="I30" s="138">
        <f t="shared" si="14"/>
        <v>67397</v>
      </c>
      <c r="J30" s="137">
        <v>8253226</v>
      </c>
      <c r="K30" s="49">
        <f t="shared" si="15"/>
        <v>5557</v>
      </c>
      <c r="L30" s="139">
        <v>8222763</v>
      </c>
      <c r="M30" s="49">
        <f t="shared" si="16"/>
        <v>4636</v>
      </c>
      <c r="N30" s="137">
        <v>5351696</v>
      </c>
      <c r="O30" s="49">
        <f t="shared" si="23"/>
        <v>10150</v>
      </c>
      <c r="P30" s="139">
        <v>3844376</v>
      </c>
      <c r="Q30" s="49">
        <f t="shared" si="17"/>
        <v>13661</v>
      </c>
      <c r="R30" s="137">
        <v>17830461</v>
      </c>
      <c r="S30" s="49">
        <f t="shared" si="18"/>
        <v>9773</v>
      </c>
      <c r="T30" s="137">
        <v>0</v>
      </c>
      <c r="U30" s="140"/>
      <c r="V30" s="137">
        <v>5533478</v>
      </c>
      <c r="W30" s="49">
        <f t="shared" si="19"/>
        <v>10788</v>
      </c>
      <c r="X30" s="28">
        <f t="shared" si="20"/>
        <v>54565</v>
      </c>
      <c r="Y30" s="35">
        <f t="shared" si="21"/>
        <v>12832</v>
      </c>
      <c r="Z30" s="27">
        <f t="shared" si="22"/>
        <v>8437.5380752000001</v>
      </c>
      <c r="AA30" s="27">
        <f t="shared" si="24"/>
        <v>33777.095019200002</v>
      </c>
    </row>
    <row r="31" spans="1:27" ht="16.5" thickBot="1" x14ac:dyDescent="0.25">
      <c r="A31" s="10">
        <v>44376</v>
      </c>
      <c r="B31" s="49">
        <v>191</v>
      </c>
      <c r="C31" s="161">
        <v>18378</v>
      </c>
      <c r="D31" s="49">
        <f t="shared" si="11"/>
        <v>1120</v>
      </c>
      <c r="E31" s="137">
        <v>2660293</v>
      </c>
      <c r="F31" s="49" t="str">
        <f t="shared" si="12"/>
        <v>0</v>
      </c>
      <c r="G31" s="141">
        <v>84221038</v>
      </c>
      <c r="H31" s="49">
        <f t="shared" si="13"/>
        <v>70323</v>
      </c>
      <c r="I31" s="28">
        <f>F31+H31</f>
        <v>70323</v>
      </c>
      <c r="J31" s="137">
        <v>8260374</v>
      </c>
      <c r="K31" s="49">
        <f t="shared" si="15"/>
        <v>7148</v>
      </c>
      <c r="L31" s="139">
        <v>8229734</v>
      </c>
      <c r="M31" s="49">
        <f t="shared" si="16"/>
        <v>6971</v>
      </c>
      <c r="N31" s="137">
        <v>5358374</v>
      </c>
      <c r="O31" s="49">
        <f t="shared" si="23"/>
        <v>13356</v>
      </c>
      <c r="P31" s="139">
        <v>3862372</v>
      </c>
      <c r="Q31" s="49">
        <f t="shared" si="17"/>
        <v>17996</v>
      </c>
      <c r="R31" s="137">
        <v>17843729</v>
      </c>
      <c r="S31" s="49">
        <f t="shared" si="18"/>
        <v>13268</v>
      </c>
      <c r="T31" s="137">
        <v>0</v>
      </c>
      <c r="U31" s="29"/>
      <c r="V31" s="137">
        <v>5548238</v>
      </c>
      <c r="W31" s="49">
        <f t="shared" si="19"/>
        <v>14760</v>
      </c>
      <c r="X31" s="28">
        <f t="shared" si="20"/>
        <v>73499</v>
      </c>
      <c r="Y31" s="35">
        <f t="shared" si="21"/>
        <v>-3176</v>
      </c>
      <c r="Z31" s="27">
        <f t="shared" si="22"/>
        <v>11341.587961599998</v>
      </c>
      <c r="AA31" s="27">
        <f t="shared" si="24"/>
        <v>36250.512105599992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 t="str">
        <f t="shared" si="12"/>
        <v>0</v>
      </c>
      <c r="G32" s="141"/>
      <c r="H32" s="49" t="str">
        <f t="shared" si="13"/>
        <v>0</v>
      </c>
      <c r="I32" s="28">
        <f>F32+H32</f>
        <v>0</v>
      </c>
      <c r="J32" s="137"/>
      <c r="K32" s="49" t="str">
        <f t="shared" si="15"/>
        <v>0</v>
      </c>
      <c r="L32" s="139"/>
      <c r="M32" s="49" t="str">
        <f t="shared" si="16"/>
        <v>0</v>
      </c>
      <c r="N32" s="137"/>
      <c r="O32" s="49">
        <f t="shared" si="23"/>
        <v>0</v>
      </c>
      <c r="P32" s="139"/>
      <c r="Q32" s="49" t="str">
        <f t="shared" si="17"/>
        <v>0</v>
      </c>
      <c r="R32" s="137"/>
      <c r="S32" s="49" t="str">
        <f t="shared" si="18"/>
        <v>0</v>
      </c>
      <c r="T32" s="137">
        <v>0</v>
      </c>
      <c r="U32" s="29"/>
      <c r="V32" s="137"/>
      <c r="W32" s="49" t="str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27437.568371199999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19779.1260368</v>
      </c>
    </row>
    <row r="34" spans="1:28" ht="16.5" thickBot="1" x14ac:dyDescent="0.25">
      <c r="A34" s="6" t="s">
        <v>23</v>
      </c>
      <c r="B34" s="159">
        <f>SUM(B2:B33)</f>
        <v>5222</v>
      </c>
      <c r="C34" s="159"/>
      <c r="D34" s="159">
        <f>SUM(D2:D33)</f>
        <v>20160</v>
      </c>
      <c r="E34" s="159">
        <v>0</v>
      </c>
      <c r="F34" s="159">
        <f>SUM(F2:F33)</f>
        <v>439047</v>
      </c>
      <c r="G34" s="159">
        <v>0</v>
      </c>
      <c r="H34" s="159">
        <f>SUM(H2:H33)</f>
        <v>1494723</v>
      </c>
      <c r="I34" s="159">
        <f>SUM(I5:I33)</f>
        <v>1793639</v>
      </c>
      <c r="J34" s="159">
        <v>0</v>
      </c>
      <c r="K34" s="159">
        <f>SUM(K2:K33)</f>
        <v>170936</v>
      </c>
      <c r="L34" s="159">
        <v>0</v>
      </c>
      <c r="M34" s="159">
        <f>SUM(M2:M33)</f>
        <v>158071</v>
      </c>
      <c r="N34" s="159">
        <v>0</v>
      </c>
      <c r="O34" s="159">
        <f>SUM(O2:O33)</f>
        <v>300238</v>
      </c>
      <c r="P34" s="159">
        <v>0</v>
      </c>
      <c r="Q34" s="159">
        <f>SUM(Q2:Q33)</f>
        <v>337646</v>
      </c>
      <c r="R34" s="159">
        <v>0</v>
      </c>
      <c r="S34" s="159">
        <f>SUM(S2:S33)</f>
        <v>291854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327074</v>
      </c>
      <c r="X34" s="159">
        <f>SUM(X5:X33)</f>
        <v>1469227</v>
      </c>
      <c r="Y34" s="159">
        <f>SUM(Y2:Y33)</f>
        <v>351852</v>
      </c>
      <c r="Z34" s="159">
        <f>SUM(Z2:Z33)</f>
        <v>242568.4242176</v>
      </c>
      <c r="AA34" s="159">
        <f>SUM(AA2:AA33)</f>
        <v>949225.64611680002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6" zoomScale="110" zoomScaleNormal="110" workbookViewId="0">
      <selection activeCell="J31" sqref="J31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>
        <v>414158</v>
      </c>
      <c r="C19" s="49">
        <f t="shared" si="9"/>
        <v>960</v>
      </c>
      <c r="D19" s="3">
        <v>4377900</v>
      </c>
      <c r="E19" s="49">
        <f t="shared" si="4"/>
        <v>0</v>
      </c>
      <c r="F19" s="3">
        <v>3595100</v>
      </c>
      <c r="G19" s="49">
        <f t="shared" si="7"/>
        <v>475.2</v>
      </c>
      <c r="H19" s="3">
        <v>736697</v>
      </c>
      <c r="I19" s="54">
        <f t="shared" si="8"/>
        <v>3.8609999999999998</v>
      </c>
      <c r="J19" s="23">
        <f t="shared" si="5"/>
        <v>1439.0610000000001</v>
      </c>
      <c r="K19" s="24">
        <f t="shared" si="6"/>
        <v>8432.897460000002</v>
      </c>
      <c r="Q19" t="s">
        <v>12</v>
      </c>
    </row>
    <row r="20" spans="1:25" ht="16.5" thickBot="1" x14ac:dyDescent="0.3">
      <c r="A20" s="10">
        <v>44365</v>
      </c>
      <c r="B20" s="3">
        <v>414248</v>
      </c>
      <c r="C20" s="49">
        <f t="shared" si="9"/>
        <v>900</v>
      </c>
      <c r="D20" s="3">
        <v>4377900</v>
      </c>
      <c r="E20" s="49">
        <f t="shared" si="4"/>
        <v>0</v>
      </c>
      <c r="F20" s="3">
        <v>3611100</v>
      </c>
      <c r="G20" s="49">
        <f t="shared" si="7"/>
        <v>432</v>
      </c>
      <c r="H20" s="3">
        <v>736890</v>
      </c>
      <c r="I20" s="54">
        <f t="shared" si="8"/>
        <v>5.2110000000000003</v>
      </c>
      <c r="J20" s="23">
        <f t="shared" si="5"/>
        <v>1337.211</v>
      </c>
      <c r="K20" s="24">
        <f t="shared" si="6"/>
        <v>7836.0564600000007</v>
      </c>
    </row>
    <row r="21" spans="1:25" ht="16.5" thickBot="1" x14ac:dyDescent="0.3">
      <c r="A21" s="10">
        <v>44366</v>
      </c>
      <c r="B21" s="3">
        <v>414348</v>
      </c>
      <c r="C21" s="49">
        <f t="shared" si="9"/>
        <v>1000</v>
      </c>
      <c r="D21" s="3">
        <v>4377900</v>
      </c>
      <c r="E21" s="49">
        <f t="shared" si="4"/>
        <v>0</v>
      </c>
      <c r="F21" s="3">
        <v>3629400</v>
      </c>
      <c r="G21" s="49">
        <f t="shared" si="7"/>
        <v>494.1</v>
      </c>
      <c r="H21" s="3">
        <v>737098</v>
      </c>
      <c r="I21" s="54">
        <f t="shared" si="8"/>
        <v>5.6159999999999997</v>
      </c>
      <c r="J21" s="23">
        <f t="shared" si="5"/>
        <v>1499.7159999999999</v>
      </c>
      <c r="K21" s="24">
        <f t="shared" si="6"/>
        <v>8788.3357599999999</v>
      </c>
    </row>
    <row r="22" spans="1:25" ht="16.5" thickBot="1" x14ac:dyDescent="0.3">
      <c r="A22" s="10">
        <v>44367</v>
      </c>
      <c r="B22" s="3">
        <v>414488</v>
      </c>
      <c r="C22" s="49">
        <f t="shared" si="9"/>
        <v>1400</v>
      </c>
      <c r="D22" s="3">
        <v>4377900</v>
      </c>
      <c r="E22" s="49">
        <f t="shared" si="4"/>
        <v>0</v>
      </c>
      <c r="F22" s="3">
        <v>3649100</v>
      </c>
      <c r="G22" s="49">
        <f t="shared" si="7"/>
        <v>531.9</v>
      </c>
      <c r="H22" s="3">
        <v>737246</v>
      </c>
      <c r="I22" s="54">
        <f t="shared" si="8"/>
        <v>3.996</v>
      </c>
      <c r="J22" s="23">
        <f t="shared" si="5"/>
        <v>1935.8960000000002</v>
      </c>
      <c r="K22" s="24">
        <f t="shared" si="6"/>
        <v>11344.350560000003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>
        <v>414628</v>
      </c>
      <c r="C23" s="49">
        <f t="shared" si="9"/>
        <v>1400</v>
      </c>
      <c r="D23" s="3">
        <v>4377900</v>
      </c>
      <c r="E23" s="49">
        <f t="shared" si="4"/>
        <v>0</v>
      </c>
      <c r="F23" s="3">
        <v>3665600</v>
      </c>
      <c r="G23" s="49">
        <f t="shared" si="7"/>
        <v>445.5</v>
      </c>
      <c r="H23" s="3">
        <v>737393</v>
      </c>
      <c r="I23" s="54">
        <f t="shared" si="8"/>
        <v>3.9689999999999999</v>
      </c>
      <c r="J23" s="23">
        <f t="shared" si="5"/>
        <v>1849.4690000000001</v>
      </c>
      <c r="K23" s="24">
        <f t="shared" si="6"/>
        <v>10837.888340000001</v>
      </c>
      <c r="Q23" t="s">
        <v>12</v>
      </c>
    </row>
    <row r="24" spans="1:25" ht="16.5" thickBot="1" x14ac:dyDescent="0.3">
      <c r="A24" s="10">
        <v>44369</v>
      </c>
      <c r="B24" s="3">
        <v>414705</v>
      </c>
      <c r="C24" s="49">
        <f t="shared" si="9"/>
        <v>770</v>
      </c>
      <c r="D24" s="3">
        <v>4377000</v>
      </c>
      <c r="E24" s="49">
        <f t="shared" si="4"/>
        <v>0</v>
      </c>
      <c r="F24" s="3">
        <v>3684900</v>
      </c>
      <c r="G24" s="49">
        <f t="shared" si="7"/>
        <v>521.1</v>
      </c>
      <c r="H24" s="3">
        <v>737884</v>
      </c>
      <c r="I24" s="54">
        <f t="shared" si="8"/>
        <v>13.257</v>
      </c>
      <c r="J24" s="23">
        <f t="shared" si="5"/>
        <v>1304.357</v>
      </c>
      <c r="K24" s="24">
        <f t="shared" si="6"/>
        <v>7643.5320200000006</v>
      </c>
    </row>
    <row r="25" spans="1:25" ht="17.25" customHeight="1" thickBot="1" x14ac:dyDescent="0.4">
      <c r="A25" s="10">
        <v>44370</v>
      </c>
      <c r="B25" s="3">
        <v>414810</v>
      </c>
      <c r="C25" s="49">
        <f t="shared" si="9"/>
        <v>1050</v>
      </c>
      <c r="D25" s="3">
        <v>4377000</v>
      </c>
      <c r="E25" s="49">
        <f t="shared" si="4"/>
        <v>0</v>
      </c>
      <c r="F25" s="3">
        <v>3701800</v>
      </c>
      <c r="G25" s="49">
        <f>F25-F24</f>
        <v>16900</v>
      </c>
      <c r="H25" s="3">
        <v>737630</v>
      </c>
      <c r="I25" s="54">
        <f t="shared" si="8"/>
        <v>0</v>
      </c>
      <c r="J25" s="23">
        <f t="shared" si="5"/>
        <v>17950</v>
      </c>
      <c r="K25" s="24">
        <f t="shared" si="6"/>
        <v>105187</v>
      </c>
      <c r="Y25" s="65"/>
    </row>
    <row r="26" spans="1:25" ht="16.5" thickBot="1" x14ac:dyDescent="0.3">
      <c r="A26" s="10">
        <v>44371</v>
      </c>
      <c r="B26" s="3">
        <v>414915</v>
      </c>
      <c r="C26" s="49">
        <f t="shared" si="9"/>
        <v>1050</v>
      </c>
      <c r="D26" s="3">
        <v>4377000</v>
      </c>
      <c r="E26" s="49">
        <f t="shared" si="4"/>
        <v>0</v>
      </c>
      <c r="F26" s="3">
        <v>3719100</v>
      </c>
      <c r="G26" s="49">
        <f t="shared" si="7"/>
        <v>467.1</v>
      </c>
      <c r="H26" s="3">
        <v>737751</v>
      </c>
      <c r="I26" s="54">
        <f t="shared" si="8"/>
        <v>3.2669999999999999</v>
      </c>
      <c r="J26" s="23">
        <f t="shared" si="5"/>
        <v>1520.367</v>
      </c>
      <c r="K26" s="24">
        <f t="shared" si="6"/>
        <v>8909.3506200000011</v>
      </c>
      <c r="L26" t="s">
        <v>12</v>
      </c>
    </row>
    <row r="27" spans="1:25" ht="16.5" thickBot="1" x14ac:dyDescent="0.3">
      <c r="A27" s="10">
        <v>44372</v>
      </c>
      <c r="B27" s="3">
        <v>415017</v>
      </c>
      <c r="C27" s="49">
        <f t="shared" si="9"/>
        <v>1020</v>
      </c>
      <c r="D27" s="3">
        <v>4377000</v>
      </c>
      <c r="E27" s="49">
        <f t="shared" si="4"/>
        <v>0</v>
      </c>
      <c r="F27" s="3">
        <v>3734600</v>
      </c>
      <c r="G27" s="49">
        <f t="shared" si="7"/>
        <v>418.5</v>
      </c>
      <c r="H27" s="3">
        <v>737818</v>
      </c>
      <c r="I27" s="54">
        <f t="shared" si="8"/>
        <v>1.8089999999999999</v>
      </c>
      <c r="J27" s="23">
        <f t="shared" si="5"/>
        <v>1440.309</v>
      </c>
      <c r="K27" s="24">
        <f t="shared" si="6"/>
        <v>8440.2107400000004</v>
      </c>
      <c r="O27" t="s">
        <v>12</v>
      </c>
    </row>
    <row r="28" spans="1:25" ht="16.5" thickBot="1" x14ac:dyDescent="0.3">
      <c r="A28" s="10">
        <v>44373</v>
      </c>
      <c r="B28" s="3">
        <v>415119</v>
      </c>
      <c r="C28" s="49">
        <f t="shared" si="9"/>
        <v>1020</v>
      </c>
      <c r="D28" s="3">
        <v>4377000</v>
      </c>
      <c r="E28" s="49">
        <f t="shared" si="4"/>
        <v>0</v>
      </c>
      <c r="F28" s="3">
        <v>3752800</v>
      </c>
      <c r="G28" s="49">
        <f t="shared" si="7"/>
        <v>491.4</v>
      </c>
      <c r="H28" s="3">
        <v>737918</v>
      </c>
      <c r="I28" s="54">
        <f t="shared" si="8"/>
        <v>2.7</v>
      </c>
      <c r="J28" s="23">
        <f t="shared" si="5"/>
        <v>1514.1000000000001</v>
      </c>
      <c r="K28" s="24">
        <f t="shared" si="6"/>
        <v>8872.626000000002</v>
      </c>
    </row>
    <row r="29" spans="1:25" ht="16.5" thickBot="1" x14ac:dyDescent="0.3">
      <c r="A29" s="10">
        <v>44374</v>
      </c>
      <c r="B29" s="3">
        <v>415247</v>
      </c>
      <c r="C29" s="49">
        <f t="shared" si="9"/>
        <v>1280</v>
      </c>
      <c r="D29" s="3">
        <v>4377000</v>
      </c>
      <c r="E29" s="49">
        <f t="shared" si="4"/>
        <v>0</v>
      </c>
      <c r="F29" s="3">
        <v>3771700</v>
      </c>
      <c r="G29" s="49">
        <f t="shared" si="7"/>
        <v>510.3</v>
      </c>
      <c r="H29" s="3">
        <v>738060</v>
      </c>
      <c r="I29" s="54">
        <f t="shared" si="8"/>
        <v>3.8340000000000001</v>
      </c>
      <c r="J29" s="23">
        <f t="shared" si="5"/>
        <v>1794.134</v>
      </c>
      <c r="K29" s="24">
        <f t="shared" si="6"/>
        <v>10513.625240000001</v>
      </c>
    </row>
    <row r="30" spans="1:25" ht="16.5" thickBot="1" x14ac:dyDescent="0.3">
      <c r="A30" s="10">
        <v>44375</v>
      </c>
      <c r="B30" s="3">
        <v>415392</v>
      </c>
      <c r="C30" s="49">
        <f t="shared" si="9"/>
        <v>1450</v>
      </c>
      <c r="D30" s="3">
        <v>4377000</v>
      </c>
      <c r="E30" s="49">
        <f t="shared" si="4"/>
        <v>0</v>
      </c>
      <c r="F30" s="3">
        <v>3791600</v>
      </c>
      <c r="G30" s="49">
        <f t="shared" si="7"/>
        <v>537.29999999999995</v>
      </c>
      <c r="H30" s="3">
        <v>738158</v>
      </c>
      <c r="I30" s="54">
        <f t="shared" si="8"/>
        <v>2.6459999999999999</v>
      </c>
      <c r="J30" s="23">
        <f t="shared" si="5"/>
        <v>1989.9459999999999</v>
      </c>
      <c r="K30" s="24">
        <f t="shared" si="6"/>
        <v>11661.083560000001</v>
      </c>
    </row>
    <row r="31" spans="1:25" ht="16.5" thickBot="1" x14ac:dyDescent="0.3">
      <c r="A31" s="10">
        <v>44376</v>
      </c>
      <c r="B31" s="3">
        <v>415549</v>
      </c>
      <c r="C31" s="49">
        <f t="shared" si="9"/>
        <v>1570</v>
      </c>
      <c r="D31" s="3">
        <v>4377000</v>
      </c>
      <c r="E31" s="49">
        <f t="shared" si="4"/>
        <v>0</v>
      </c>
      <c r="F31" s="3">
        <v>3810600</v>
      </c>
      <c r="G31" s="49">
        <f t="shared" si="7"/>
        <v>513</v>
      </c>
      <c r="H31" s="3">
        <v>738312</v>
      </c>
      <c r="I31" s="54">
        <f t="shared" si="8"/>
        <v>4.1580000000000004</v>
      </c>
      <c r="J31" s="23">
        <f t="shared" si="5"/>
        <v>2087.1579999999999</v>
      </c>
      <c r="K31" s="24">
        <f t="shared" si="6"/>
        <v>12230.74588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33090</v>
      </c>
      <c r="D34" s="3"/>
      <c r="E34" s="66">
        <f>SUM(E3:E33)</f>
        <v>16.2</v>
      </c>
      <c r="F34" s="3"/>
      <c r="G34" s="66">
        <f>SUM(G3:G33)</f>
        <v>31531.300000000003</v>
      </c>
      <c r="H34" s="3"/>
      <c r="I34" s="66">
        <f>SUM(I3:I33)</f>
        <v>133.70399999999998</v>
      </c>
      <c r="J34" s="66">
        <f>SUM(J3:J33)</f>
        <v>64771.204000000005</v>
      </c>
      <c r="K34" s="66">
        <f>SUM(K3:K33)</f>
        <v>379559.25544000004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9" zoomScale="80" zoomScaleNormal="55" zoomScaleSheetLayoutView="80" workbookViewId="0">
      <selection activeCell="B32" sqref="B3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>
        <v>17408550</v>
      </c>
      <c r="C19" s="55">
        <f t="shared" si="0"/>
        <v>2137</v>
      </c>
    </row>
    <row r="20" spans="1:9" ht="24" thickBot="1" x14ac:dyDescent="0.4">
      <c r="A20" s="10">
        <v>44365</v>
      </c>
      <c r="B20" s="154">
        <v>17410848</v>
      </c>
      <c r="C20" s="55">
        <f t="shared" si="0"/>
        <v>2298</v>
      </c>
    </row>
    <row r="21" spans="1:9" ht="24" thickBot="1" x14ac:dyDescent="0.4">
      <c r="A21" s="10">
        <v>44366</v>
      </c>
      <c r="B21" s="154">
        <v>17412750</v>
      </c>
      <c r="C21" s="55">
        <f t="shared" si="0"/>
        <v>1902</v>
      </c>
    </row>
    <row r="22" spans="1:9" ht="24" thickBot="1" x14ac:dyDescent="0.4">
      <c r="A22" s="10">
        <v>44367</v>
      </c>
      <c r="B22" s="154">
        <v>17414920</v>
      </c>
      <c r="C22" s="55">
        <f t="shared" si="0"/>
        <v>2170</v>
      </c>
    </row>
    <row r="23" spans="1:9" ht="24" thickBot="1" x14ac:dyDescent="0.4">
      <c r="A23" s="10">
        <v>44368</v>
      </c>
      <c r="B23" s="154">
        <v>17416666</v>
      </c>
      <c r="C23" s="55">
        <f t="shared" si="0"/>
        <v>1746</v>
      </c>
      <c r="F23" t="s">
        <v>12</v>
      </c>
    </row>
    <row r="24" spans="1:9" ht="24" thickBot="1" x14ac:dyDescent="0.4">
      <c r="A24" s="10">
        <v>44369</v>
      </c>
      <c r="B24" s="154">
        <v>17418800</v>
      </c>
      <c r="C24" s="55">
        <f t="shared" si="0"/>
        <v>2134</v>
      </c>
      <c r="E24" t="s">
        <v>12</v>
      </c>
    </row>
    <row r="25" spans="1:9" ht="24" thickBot="1" x14ac:dyDescent="0.4">
      <c r="A25" s="10">
        <v>44370</v>
      </c>
      <c r="B25" s="154">
        <v>17420832</v>
      </c>
      <c r="C25" s="55">
        <f t="shared" si="0"/>
        <v>2032</v>
      </c>
    </row>
    <row r="26" spans="1:9" ht="24" thickBot="1" x14ac:dyDescent="0.4">
      <c r="A26" s="10">
        <v>44371</v>
      </c>
      <c r="B26" s="154">
        <v>17422925</v>
      </c>
      <c r="C26" s="55">
        <f t="shared" si="0"/>
        <v>2093</v>
      </c>
    </row>
    <row r="27" spans="1:9" ht="24" thickBot="1" x14ac:dyDescent="0.4">
      <c r="A27" s="10">
        <v>44372</v>
      </c>
      <c r="B27" s="154">
        <v>17425339</v>
      </c>
      <c r="C27" s="55">
        <f t="shared" si="0"/>
        <v>2414</v>
      </c>
    </row>
    <row r="28" spans="1:9" ht="24" thickBot="1" x14ac:dyDescent="0.4">
      <c r="A28" s="10">
        <v>44373</v>
      </c>
      <c r="B28" s="154">
        <v>17427398</v>
      </c>
      <c r="C28" s="55">
        <f t="shared" si="0"/>
        <v>2059</v>
      </c>
      <c r="I28" t="s">
        <v>12</v>
      </c>
    </row>
    <row r="29" spans="1:9" ht="24" thickBot="1" x14ac:dyDescent="0.4">
      <c r="A29" s="10">
        <v>44374</v>
      </c>
      <c r="B29" s="154">
        <v>17429502</v>
      </c>
      <c r="C29" s="55">
        <f t="shared" si="0"/>
        <v>2104</v>
      </c>
    </row>
    <row r="30" spans="1:9" ht="24" thickBot="1" x14ac:dyDescent="0.4">
      <c r="A30" s="10">
        <v>44375</v>
      </c>
      <c r="B30" s="154">
        <v>17431426</v>
      </c>
      <c r="C30" s="55">
        <f t="shared" si="0"/>
        <v>1924</v>
      </c>
    </row>
    <row r="31" spans="1:9" ht="24" thickBot="1" x14ac:dyDescent="0.4">
      <c r="A31" s="10">
        <v>44376</v>
      </c>
      <c r="B31" s="154">
        <v>17433372</v>
      </c>
      <c r="C31" s="55">
        <f>IF((B31-B30)&lt;0,"0",(B31-B30))</f>
        <v>1946</v>
      </c>
    </row>
    <row r="32" spans="1:9" ht="24" thickBot="1" x14ac:dyDescent="0.4">
      <c r="A32" s="10">
        <v>44377</v>
      </c>
      <c r="B32" s="154"/>
      <c r="C32" s="55" t="str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59840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A10" zoomScale="87" zoomScaleNormal="87" workbookViewId="0">
      <pane xSplit="1" topLeftCell="G1" activePane="topRight" state="frozen"/>
      <selection pane="topRight" activeCell="U31" sqref="U31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>
        <v>20905.496999999999</v>
      </c>
      <c r="C19" s="54">
        <f t="shared" si="11"/>
        <v>11.015999999999622</v>
      </c>
      <c r="D19" s="38">
        <f t="shared" si="12"/>
        <v>20930.399999999281</v>
      </c>
      <c r="E19" s="1">
        <v>3655.87</v>
      </c>
      <c r="F19" s="54">
        <f t="shared" si="13"/>
        <v>3.3599999999996726</v>
      </c>
      <c r="G19" s="38">
        <f t="shared" si="14"/>
        <v>6383.9999999993779</v>
      </c>
      <c r="H19" s="1">
        <v>3297</v>
      </c>
      <c r="I19" s="54">
        <f t="shared" si="15"/>
        <v>8</v>
      </c>
      <c r="J19" s="38">
        <f t="shared" si="16"/>
        <v>15200</v>
      </c>
      <c r="K19" s="7">
        <v>13450.65</v>
      </c>
      <c r="L19" s="54">
        <f t="shared" si="17"/>
        <v>2.5799999999999272</v>
      </c>
      <c r="M19" s="38">
        <f t="shared" si="18"/>
        <v>4901.9999999998618</v>
      </c>
      <c r="N19" s="7">
        <v>3075.8850000000002</v>
      </c>
      <c r="O19" s="54">
        <f t="shared" si="19"/>
        <v>1.6010000000001128</v>
      </c>
      <c r="P19" s="38">
        <f t="shared" si="20"/>
        <v>3041.9000000002143</v>
      </c>
      <c r="Q19" s="7">
        <v>4853.75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29.436999999999443</v>
      </c>
      <c r="U19" s="40">
        <f t="shared" si="23"/>
        <v>55930.299999998933</v>
      </c>
    </row>
    <row r="20" spans="1:24" ht="16.5" thickBot="1" x14ac:dyDescent="0.25">
      <c r="A20" s="10">
        <v>44365</v>
      </c>
      <c r="B20" s="1">
        <v>20913.133000000002</v>
      </c>
      <c r="C20" s="54">
        <f t="shared" si="11"/>
        <v>7.636000000002241</v>
      </c>
      <c r="D20" s="38">
        <f t="shared" si="12"/>
        <v>14508.400000004258</v>
      </c>
      <c r="E20" s="1">
        <v>3657.0970000000002</v>
      </c>
      <c r="F20" s="54">
        <f t="shared" si="13"/>
        <v>1.2270000000003165</v>
      </c>
      <c r="G20" s="38">
        <f t="shared" si="14"/>
        <v>2331.3000000006014</v>
      </c>
      <c r="H20" s="1">
        <v>3302</v>
      </c>
      <c r="I20" s="54">
        <f t="shared" si="15"/>
        <v>5</v>
      </c>
      <c r="J20" s="38">
        <f t="shared" si="16"/>
        <v>9500</v>
      </c>
      <c r="K20" s="7">
        <v>13452.38</v>
      </c>
      <c r="L20" s="54">
        <f t="shared" si="17"/>
        <v>1.7299999999995634</v>
      </c>
      <c r="M20" s="38">
        <f t="shared" si="18"/>
        <v>3286.9999999991705</v>
      </c>
      <c r="N20" s="7">
        <v>3077.0140000000001</v>
      </c>
      <c r="O20" s="54">
        <f t="shared" si="19"/>
        <v>1.1289999999999054</v>
      </c>
      <c r="P20" s="38">
        <f t="shared" si="20"/>
        <v>2145.0999999998203</v>
      </c>
      <c r="Q20" s="7">
        <v>4855.34</v>
      </c>
      <c r="R20" s="54">
        <f t="shared" si="21"/>
        <v>1.5900000000001455</v>
      </c>
      <c r="S20" s="38">
        <f t="shared" si="22"/>
        <v>3021.000000000276</v>
      </c>
      <c r="T20" s="8">
        <f t="shared" si="24"/>
        <v>18.312000000002172</v>
      </c>
      <c r="U20" s="40">
        <f t="shared" si="23"/>
        <v>34792.800000004128</v>
      </c>
      <c r="X20" t="s">
        <v>12</v>
      </c>
    </row>
    <row r="21" spans="1:24" ht="16.5" thickBot="1" x14ac:dyDescent="0.25">
      <c r="A21" s="10">
        <v>44366</v>
      </c>
      <c r="B21" s="1">
        <v>20922.631000000001</v>
      </c>
      <c r="C21" s="54">
        <f t="shared" si="11"/>
        <v>9.4979999999995925</v>
      </c>
      <c r="D21" s="38">
        <f t="shared" si="12"/>
        <v>18046.199999999226</v>
      </c>
      <c r="E21" s="1">
        <v>3658.8989999999999</v>
      </c>
      <c r="F21" s="54">
        <f t="shared" si="13"/>
        <v>1.8019999999996799</v>
      </c>
      <c r="G21" s="38">
        <f t="shared" si="14"/>
        <v>3423.7999999993917</v>
      </c>
      <c r="H21" s="1">
        <v>3308</v>
      </c>
      <c r="I21" s="54">
        <f t="shared" si="15"/>
        <v>6</v>
      </c>
      <c r="J21" s="38">
        <f t="shared" si="16"/>
        <v>11399.999999999998</v>
      </c>
      <c r="K21" s="7">
        <v>13454.61</v>
      </c>
      <c r="L21" s="54">
        <f t="shared" si="17"/>
        <v>2.2300000000013824</v>
      </c>
      <c r="M21" s="38">
        <f t="shared" si="18"/>
        <v>4237.0000000026266</v>
      </c>
      <c r="N21" s="7">
        <v>3078.4859999999999</v>
      </c>
      <c r="O21" s="54">
        <f t="shared" si="19"/>
        <v>1.4719999999997526</v>
      </c>
      <c r="P21" s="38">
        <f t="shared" si="20"/>
        <v>2796.79999999953</v>
      </c>
      <c r="Q21" s="7">
        <v>4857.95</v>
      </c>
      <c r="R21" s="54">
        <f t="shared" si="21"/>
        <v>2.6099999999996726</v>
      </c>
      <c r="S21" s="38">
        <f t="shared" si="22"/>
        <v>4958.9999999993779</v>
      </c>
      <c r="T21" s="8">
        <f t="shared" si="24"/>
        <v>23.61200000000008</v>
      </c>
      <c r="U21" s="40">
        <f t="shared" si="23"/>
        <v>44862.800000000148</v>
      </c>
    </row>
    <row r="22" spans="1:24" ht="16.5" thickBot="1" x14ac:dyDescent="0.25">
      <c r="A22" s="10">
        <v>44367</v>
      </c>
      <c r="B22" s="1">
        <v>20931.509999999998</v>
      </c>
      <c r="C22" s="54">
        <f t="shared" si="11"/>
        <v>8.8789999999971769</v>
      </c>
      <c r="D22" s="38">
        <f t="shared" si="12"/>
        <v>16870.099999994636</v>
      </c>
      <c r="E22" s="1">
        <v>3661.18</v>
      </c>
      <c r="F22" s="54">
        <f t="shared" si="13"/>
        <v>2.2809999999999491</v>
      </c>
      <c r="G22" s="38">
        <f t="shared" si="14"/>
        <v>4333.8999999999032</v>
      </c>
      <c r="H22" s="1">
        <v>3315</v>
      </c>
      <c r="I22" s="54">
        <f t="shared" si="15"/>
        <v>7</v>
      </c>
      <c r="J22" s="38">
        <f t="shared" si="16"/>
        <v>13299.999999999998</v>
      </c>
      <c r="K22" s="7">
        <v>13456.76</v>
      </c>
      <c r="L22" s="54">
        <f t="shared" si="17"/>
        <v>2.1499999999996362</v>
      </c>
      <c r="M22" s="38">
        <f t="shared" si="18"/>
        <v>4084.9999999993088</v>
      </c>
      <c r="N22" s="7">
        <v>3079.9580000000001</v>
      </c>
      <c r="O22" s="54">
        <f t="shared" si="19"/>
        <v>1.4720000000002074</v>
      </c>
      <c r="P22" s="38">
        <f t="shared" si="20"/>
        <v>2796.800000000394</v>
      </c>
      <c r="Q22" s="7">
        <v>4859.8</v>
      </c>
      <c r="R22" s="54">
        <f t="shared" si="21"/>
        <v>1.8500000000003638</v>
      </c>
      <c r="S22" s="38">
        <f t="shared" si="22"/>
        <v>3515.0000000006912</v>
      </c>
      <c r="T22" s="8">
        <f t="shared" si="24"/>
        <v>23.631999999997333</v>
      </c>
      <c r="U22" s="40">
        <f t="shared" si="23"/>
        <v>44900.799999994932</v>
      </c>
    </row>
    <row r="23" spans="1:24" ht="16.5" thickBot="1" x14ac:dyDescent="0.25">
      <c r="A23" s="10">
        <v>44368</v>
      </c>
      <c r="B23" s="1">
        <v>20940.866000000002</v>
      </c>
      <c r="C23" s="54">
        <f t="shared" si="11"/>
        <v>9.3560000000034051</v>
      </c>
      <c r="D23" s="38">
        <f t="shared" si="12"/>
        <v>17776.40000000647</v>
      </c>
      <c r="E23" s="1">
        <v>3664.1439999999998</v>
      </c>
      <c r="F23" s="54">
        <f t="shared" si="13"/>
        <v>2.9639999999999418</v>
      </c>
      <c r="G23" s="38">
        <f t="shared" si="14"/>
        <v>5631.5999999998894</v>
      </c>
      <c r="H23" s="1">
        <v>3322</v>
      </c>
      <c r="I23" s="54">
        <f t="shared" si="15"/>
        <v>7</v>
      </c>
      <c r="J23" s="38">
        <f t="shared" si="16"/>
        <v>13299.999999999998</v>
      </c>
      <c r="K23" s="7">
        <v>13459.03</v>
      </c>
      <c r="L23" s="54">
        <f t="shared" si="17"/>
        <v>2.2700000000004366</v>
      </c>
      <c r="M23" s="38">
        <f t="shared" si="18"/>
        <v>4313.0000000008295</v>
      </c>
      <c r="N23" s="7">
        <v>3081.43</v>
      </c>
      <c r="O23" s="54">
        <f t="shared" si="19"/>
        <v>1.4719999999997526</v>
      </c>
      <c r="P23" s="38">
        <f t="shared" si="20"/>
        <v>2796.79999999953</v>
      </c>
      <c r="Q23" s="7">
        <v>4862.8500000000004</v>
      </c>
      <c r="R23" s="54">
        <f t="shared" si="21"/>
        <v>3.0500000000001819</v>
      </c>
      <c r="S23" s="38">
        <f t="shared" si="22"/>
        <v>5795.0000000003456</v>
      </c>
      <c r="T23" s="8">
        <f t="shared" si="24"/>
        <v>26.112000000003718</v>
      </c>
      <c r="U23" s="40">
        <f t="shared" si="23"/>
        <v>49612.800000007061</v>
      </c>
    </row>
    <row r="24" spans="1:24" ht="16.5" thickBot="1" x14ac:dyDescent="0.25">
      <c r="A24" s="10">
        <v>44369</v>
      </c>
      <c r="B24" s="1">
        <v>20951.650000000001</v>
      </c>
      <c r="C24" s="54">
        <f t="shared" si="11"/>
        <v>10.783999999999651</v>
      </c>
      <c r="D24" s="38">
        <f t="shared" si="12"/>
        <v>20489.599999999336</v>
      </c>
      <c r="E24" s="1">
        <v>3667.1</v>
      </c>
      <c r="F24" s="54">
        <f t="shared" si="13"/>
        <v>2.956000000000131</v>
      </c>
      <c r="G24" s="38">
        <f t="shared" si="14"/>
        <v>5616.4000000002479</v>
      </c>
      <c r="H24" s="1">
        <v>3329</v>
      </c>
      <c r="I24" s="54">
        <f t="shared" si="15"/>
        <v>7</v>
      </c>
      <c r="J24" s="38">
        <f t="shared" si="16"/>
        <v>13299.999999999998</v>
      </c>
      <c r="K24" s="7">
        <v>13461.24</v>
      </c>
      <c r="L24" s="54">
        <f t="shared" si="17"/>
        <v>2.2099999999991269</v>
      </c>
      <c r="M24" s="38">
        <f t="shared" si="18"/>
        <v>4198.9999999983411</v>
      </c>
      <c r="N24" s="7">
        <v>3082.8719999999998</v>
      </c>
      <c r="O24" s="54">
        <f t="shared" si="19"/>
        <v>1.4420000000000073</v>
      </c>
      <c r="P24" s="38">
        <f t="shared" si="20"/>
        <v>2739.8000000000134</v>
      </c>
      <c r="Q24" s="7">
        <v>4865.04</v>
      </c>
      <c r="R24" s="54">
        <f t="shared" si="21"/>
        <v>2.1899999999995998</v>
      </c>
      <c r="S24" s="38">
        <f t="shared" si="22"/>
        <v>4160.9999999992397</v>
      </c>
      <c r="T24" s="8">
        <f t="shared" si="24"/>
        <v>26.581999999998516</v>
      </c>
      <c r="U24" s="40">
        <f t="shared" si="23"/>
        <v>50505.79999999718</v>
      </c>
    </row>
    <row r="25" spans="1:24" ht="16.5" thickBot="1" x14ac:dyDescent="0.25">
      <c r="A25" s="10">
        <v>44370</v>
      </c>
      <c r="B25" s="1">
        <v>20963.233</v>
      </c>
      <c r="C25" s="54">
        <f t="shared" si="11"/>
        <v>11.582999999998719</v>
      </c>
      <c r="D25" s="38">
        <f t="shared" si="12"/>
        <v>22007.699999997567</v>
      </c>
      <c r="E25" s="1">
        <v>3670.3009999999999</v>
      </c>
      <c r="F25" s="54">
        <f t="shared" si="13"/>
        <v>3.2010000000000218</v>
      </c>
      <c r="G25" s="38">
        <f t="shared" si="14"/>
        <v>6081.9000000000406</v>
      </c>
      <c r="H25" s="1">
        <v>3337</v>
      </c>
      <c r="I25" s="54">
        <f t="shared" si="15"/>
        <v>8</v>
      </c>
      <c r="J25" s="38">
        <f t="shared" si="16"/>
        <v>15200</v>
      </c>
      <c r="K25" s="7">
        <v>13463.62</v>
      </c>
      <c r="L25" s="54">
        <f t="shared" si="17"/>
        <v>2.3800000000010186</v>
      </c>
      <c r="M25" s="38">
        <f t="shared" si="18"/>
        <v>4522.0000000019354</v>
      </c>
      <c r="N25" s="7">
        <v>3084.2049999999999</v>
      </c>
      <c r="O25" s="54">
        <f t="shared" si="19"/>
        <v>1.3330000000000837</v>
      </c>
      <c r="P25" s="38">
        <f t="shared" si="20"/>
        <v>2532.7000000001585</v>
      </c>
      <c r="Q25" s="7">
        <v>4867.5</v>
      </c>
      <c r="R25" s="54">
        <f t="shared" si="21"/>
        <v>2.4600000000000364</v>
      </c>
      <c r="S25" s="38">
        <f t="shared" si="22"/>
        <v>4674.0000000000691</v>
      </c>
      <c r="T25" s="8">
        <f t="shared" si="24"/>
        <v>28.95699999999988</v>
      </c>
      <c r="U25" s="40">
        <f t="shared" si="23"/>
        <v>55018.29999999977</v>
      </c>
    </row>
    <row r="26" spans="1:24" ht="16.5" thickBot="1" x14ac:dyDescent="0.25">
      <c r="A26" s="10">
        <v>44371</v>
      </c>
      <c r="B26" s="1">
        <v>20979.767</v>
      </c>
      <c r="C26" s="54">
        <f t="shared" si="11"/>
        <v>16.533999999999651</v>
      </c>
      <c r="D26" s="38">
        <f t="shared" si="12"/>
        <v>31414.599999999336</v>
      </c>
      <c r="E26" s="1">
        <v>3674.386</v>
      </c>
      <c r="F26" s="54">
        <f t="shared" si="13"/>
        <v>4.0850000000000364</v>
      </c>
      <c r="G26" s="38">
        <f t="shared" si="14"/>
        <v>7761.5000000000691</v>
      </c>
      <c r="H26" s="1">
        <v>3347</v>
      </c>
      <c r="I26" s="54">
        <f t="shared" si="15"/>
        <v>10</v>
      </c>
      <c r="J26" s="38">
        <f t="shared" si="16"/>
        <v>19000</v>
      </c>
      <c r="K26" s="7">
        <v>13466.77</v>
      </c>
      <c r="L26" s="54">
        <f t="shared" si="17"/>
        <v>3.1499999999996362</v>
      </c>
      <c r="M26" s="38">
        <f t="shared" si="18"/>
        <v>5984.9999999993088</v>
      </c>
      <c r="N26" s="7">
        <v>3086.18</v>
      </c>
      <c r="O26" s="54">
        <f t="shared" si="19"/>
        <v>1.9749999999999091</v>
      </c>
      <c r="P26" s="38">
        <f t="shared" si="20"/>
        <v>3752.4999999998272</v>
      </c>
      <c r="Q26" s="7">
        <v>4869.8</v>
      </c>
      <c r="R26" s="54">
        <f t="shared" si="21"/>
        <v>2.3000000000001819</v>
      </c>
      <c r="S26" s="38">
        <f t="shared" si="22"/>
        <v>4370.0000000003456</v>
      </c>
      <c r="T26" s="8">
        <f t="shared" si="24"/>
        <v>38.043999999999414</v>
      </c>
      <c r="U26" s="40">
        <f t="shared" si="23"/>
        <v>72283.599999998885</v>
      </c>
      <c r="V26" t="s">
        <v>12</v>
      </c>
    </row>
    <row r="27" spans="1:24" ht="16.5" thickBot="1" x14ac:dyDescent="0.25">
      <c r="A27" s="10">
        <v>44372</v>
      </c>
      <c r="B27" s="1">
        <v>20994.163</v>
      </c>
      <c r="C27" s="54">
        <f t="shared" si="11"/>
        <v>14.39600000000064</v>
      </c>
      <c r="D27" s="38">
        <f t="shared" si="12"/>
        <v>27352.400000001213</v>
      </c>
      <c r="E27" s="1">
        <v>3675.55</v>
      </c>
      <c r="F27" s="54">
        <f t="shared" si="13"/>
        <v>1.1640000000002146</v>
      </c>
      <c r="G27" s="38">
        <f t="shared" si="14"/>
        <v>2211.6000000004078</v>
      </c>
      <c r="H27" s="1">
        <v>3355</v>
      </c>
      <c r="I27" s="54">
        <f t="shared" si="15"/>
        <v>8</v>
      </c>
      <c r="J27" s="38">
        <f t="shared" si="16"/>
        <v>15200</v>
      </c>
      <c r="K27" s="7">
        <v>13469.1</v>
      </c>
      <c r="L27" s="54">
        <f t="shared" si="17"/>
        <v>2.3299999999999272</v>
      </c>
      <c r="M27" s="38">
        <f t="shared" si="18"/>
        <v>4426.9999999998618</v>
      </c>
      <c r="N27" s="7">
        <v>3087.55</v>
      </c>
      <c r="O27" s="54">
        <f t="shared" si="19"/>
        <v>1.3700000000003456</v>
      </c>
      <c r="P27" s="38">
        <f t="shared" si="20"/>
        <v>2603.0000000006567</v>
      </c>
      <c r="Q27" s="7">
        <v>4870.95</v>
      </c>
      <c r="R27" s="54">
        <f t="shared" si="21"/>
        <v>1.1499999999996362</v>
      </c>
      <c r="S27" s="38">
        <f t="shared" si="22"/>
        <v>2184.9999999993088</v>
      </c>
      <c r="T27" s="8">
        <f t="shared" si="24"/>
        <v>28.410000000000764</v>
      </c>
      <c r="U27" s="40">
        <f t="shared" si="23"/>
        <v>53979.000000001448</v>
      </c>
      <c r="V27" t="s">
        <v>12</v>
      </c>
    </row>
    <row r="28" spans="1:24" ht="16.5" thickBot="1" x14ac:dyDescent="0.25">
      <c r="A28" s="10">
        <v>44373</v>
      </c>
      <c r="B28" s="1">
        <v>21005.507000000001</v>
      </c>
      <c r="C28" s="54">
        <f t="shared" si="11"/>
        <v>11.34400000000096</v>
      </c>
      <c r="D28" s="38">
        <f t="shared" si="12"/>
        <v>21553.600000001825</v>
      </c>
      <c r="E28" s="1">
        <v>3677.3820000000001</v>
      </c>
      <c r="F28" s="54">
        <f t="shared" si="13"/>
        <v>1.8319999999998799</v>
      </c>
      <c r="G28" s="38">
        <f t="shared" si="14"/>
        <v>3480.7999999997714</v>
      </c>
      <c r="H28" s="1">
        <v>3361</v>
      </c>
      <c r="I28" s="54">
        <f t="shared" si="15"/>
        <v>6</v>
      </c>
      <c r="J28" s="38">
        <f t="shared" si="16"/>
        <v>11399.999999999998</v>
      </c>
      <c r="K28" s="7">
        <v>13470.81</v>
      </c>
      <c r="L28" s="54">
        <f t="shared" si="17"/>
        <v>1.7099999999991269</v>
      </c>
      <c r="M28" s="38">
        <f t="shared" si="18"/>
        <v>3248.9999999983411</v>
      </c>
      <c r="N28" s="7">
        <v>3088.7159999999999</v>
      </c>
      <c r="O28" s="54">
        <f t="shared" si="19"/>
        <v>1.1659999999997126</v>
      </c>
      <c r="P28" s="38">
        <f t="shared" si="20"/>
        <v>2215.3999999994539</v>
      </c>
      <c r="Q28" s="7">
        <v>4874.7</v>
      </c>
      <c r="R28" s="54">
        <f t="shared" si="21"/>
        <v>3.75</v>
      </c>
      <c r="S28" s="38">
        <f t="shared" si="22"/>
        <v>7125</v>
      </c>
      <c r="T28" s="8">
        <f t="shared" si="24"/>
        <v>25.80199999999968</v>
      </c>
      <c r="U28" s="40">
        <f t="shared" si="23"/>
        <v>49023.799999999392</v>
      </c>
    </row>
    <row r="29" spans="1:24" ht="16.5" thickBot="1" x14ac:dyDescent="0.25">
      <c r="A29" s="10">
        <v>44374</v>
      </c>
      <c r="B29" s="1">
        <v>21019.473999999998</v>
      </c>
      <c r="C29" s="54">
        <f t="shared" si="11"/>
        <v>13.966999999996915</v>
      </c>
      <c r="D29" s="38">
        <f t="shared" si="12"/>
        <v>26537.299999994135</v>
      </c>
      <c r="E29" s="1">
        <v>3680.0619999999999</v>
      </c>
      <c r="F29" s="54">
        <f t="shared" si="13"/>
        <v>2.6799999999998363</v>
      </c>
      <c r="G29" s="38">
        <f t="shared" si="14"/>
        <v>5091.999999999689</v>
      </c>
      <c r="H29" s="1">
        <v>3370</v>
      </c>
      <c r="I29" s="54">
        <f t="shared" si="15"/>
        <v>9</v>
      </c>
      <c r="J29" s="38">
        <f t="shared" si="16"/>
        <v>17099.999999999996</v>
      </c>
      <c r="K29" s="7">
        <v>13473.1</v>
      </c>
      <c r="L29" s="54">
        <f t="shared" si="17"/>
        <v>2.2900000000008731</v>
      </c>
      <c r="M29" s="38">
        <f t="shared" si="18"/>
        <v>4351.0000000016589</v>
      </c>
      <c r="N29" s="7">
        <v>3090.3040000000001</v>
      </c>
      <c r="O29" s="54">
        <f t="shared" si="19"/>
        <v>1.5880000000001928</v>
      </c>
      <c r="P29" s="38">
        <f t="shared" si="20"/>
        <v>3017.2000000003663</v>
      </c>
      <c r="Q29" s="7">
        <v>4878.5</v>
      </c>
      <c r="R29" s="54">
        <f t="shared" si="21"/>
        <v>3.8000000000001819</v>
      </c>
      <c r="S29" s="38">
        <f t="shared" si="22"/>
        <v>7220.0000000003456</v>
      </c>
      <c r="T29" s="8">
        <f t="shared" si="24"/>
        <v>33.324999999997999</v>
      </c>
      <c r="U29" s="40">
        <f t="shared" si="23"/>
        <v>63317.499999996195</v>
      </c>
    </row>
    <row r="30" spans="1:24" ht="16.5" thickBot="1" x14ac:dyDescent="0.25">
      <c r="A30" s="10">
        <v>44375</v>
      </c>
      <c r="B30" s="1">
        <v>21034.639999999999</v>
      </c>
      <c r="C30" s="54">
        <f t="shared" si="11"/>
        <v>15.166000000001077</v>
      </c>
      <c r="D30" s="38">
        <f t="shared" si="12"/>
        <v>28815.400000002042</v>
      </c>
      <c r="E30" s="1">
        <v>3683.32</v>
      </c>
      <c r="F30" s="54">
        <f t="shared" si="13"/>
        <v>3.2580000000002656</v>
      </c>
      <c r="G30" s="38">
        <f t="shared" si="14"/>
        <v>6190.2000000005046</v>
      </c>
      <c r="H30" s="1">
        <v>3379</v>
      </c>
      <c r="I30" s="54">
        <f t="shared" si="15"/>
        <v>9</v>
      </c>
      <c r="J30" s="38">
        <f t="shared" si="16"/>
        <v>17099.999999999996</v>
      </c>
      <c r="K30" s="7">
        <v>13475.35</v>
      </c>
      <c r="L30" s="54">
        <f t="shared" si="17"/>
        <v>2.25</v>
      </c>
      <c r="M30" s="38">
        <f t="shared" si="18"/>
        <v>4274.9999999999991</v>
      </c>
      <c r="N30" s="7">
        <v>3091.8609999999999</v>
      </c>
      <c r="O30" s="54">
        <f t="shared" si="19"/>
        <v>1.556999999999789</v>
      </c>
      <c r="P30" s="38">
        <f t="shared" si="20"/>
        <v>2958.2999999995991</v>
      </c>
      <c r="Q30" s="7">
        <v>4881.8</v>
      </c>
      <c r="R30" s="54">
        <f t="shared" si="21"/>
        <v>3.3000000000001819</v>
      </c>
      <c r="S30" s="38">
        <f t="shared" si="22"/>
        <v>6270.0000000003447</v>
      </c>
      <c r="T30" s="8">
        <f t="shared" si="24"/>
        <v>34.531000000001313</v>
      </c>
      <c r="U30" s="40">
        <f t="shared" si="23"/>
        <v>65608.900000002497</v>
      </c>
    </row>
    <row r="31" spans="1:24" ht="16.5" thickBot="1" x14ac:dyDescent="0.25">
      <c r="A31" s="10">
        <v>44376</v>
      </c>
      <c r="B31" s="1">
        <v>21049.864000000001</v>
      </c>
      <c r="C31" s="54">
        <f t="shared" si="11"/>
        <v>15.224000000001979</v>
      </c>
      <c r="D31" s="38">
        <f t="shared" si="12"/>
        <v>28925.600000003757</v>
      </c>
      <c r="E31" s="1">
        <v>3686.8870000000002</v>
      </c>
      <c r="F31" s="54">
        <f t="shared" si="13"/>
        <v>3.5670000000000073</v>
      </c>
      <c r="G31" s="38">
        <f t="shared" si="14"/>
        <v>6777.3000000000138</v>
      </c>
      <c r="H31" s="1">
        <v>3389</v>
      </c>
      <c r="I31" s="54">
        <f t="shared" si="15"/>
        <v>10</v>
      </c>
      <c r="J31" s="38">
        <f t="shared" si="16"/>
        <v>19000</v>
      </c>
      <c r="K31" s="7">
        <v>13477</v>
      </c>
      <c r="L31" s="54">
        <f t="shared" si="17"/>
        <v>1.6499999999996362</v>
      </c>
      <c r="M31" s="38">
        <f t="shared" si="18"/>
        <v>3134.9999999993088</v>
      </c>
      <c r="N31" s="7">
        <v>3093.5590000000002</v>
      </c>
      <c r="O31" s="54">
        <f t="shared" si="19"/>
        <v>1.6980000000003201</v>
      </c>
      <c r="P31" s="38">
        <f t="shared" si="20"/>
        <v>3226.2000000006078</v>
      </c>
      <c r="Q31" s="7">
        <v>4884.7700000000004</v>
      </c>
      <c r="R31" s="54">
        <f t="shared" si="21"/>
        <v>2.9700000000002547</v>
      </c>
      <c r="S31" s="38">
        <f t="shared" si="22"/>
        <v>5643.0000000004839</v>
      </c>
      <c r="T31" s="8">
        <f t="shared" si="24"/>
        <v>35.109000000002197</v>
      </c>
      <c r="U31" s="40">
        <f t="shared" si="23"/>
        <v>66707.100000004168</v>
      </c>
    </row>
    <row r="32" spans="1:24" ht="16.5" thickBot="1" x14ac:dyDescent="0.25">
      <c r="A32" s="10">
        <v>44377</v>
      </c>
      <c r="B32" s="1"/>
      <c r="C32" s="54" t="str">
        <f t="shared" si="11"/>
        <v>0</v>
      </c>
      <c r="D32" s="38">
        <f t="shared" si="12"/>
        <v>0</v>
      </c>
      <c r="E32" s="1"/>
      <c r="F32" s="54" t="str">
        <f t="shared" si="13"/>
        <v>0</v>
      </c>
      <c r="G32" s="38">
        <f t="shared" si="14"/>
        <v>0</v>
      </c>
      <c r="H32" s="1"/>
      <c r="I32" s="54" t="str">
        <f t="shared" si="15"/>
        <v>0</v>
      </c>
      <c r="J32" s="38">
        <f t="shared" si="16"/>
        <v>0</v>
      </c>
      <c r="K32" s="7"/>
      <c r="L32" s="54" t="str">
        <f t="shared" si="17"/>
        <v>0</v>
      </c>
      <c r="M32" s="38">
        <f t="shared" si="18"/>
        <v>0</v>
      </c>
      <c r="N32" s="7"/>
      <c r="O32" s="54" t="str">
        <f t="shared" si="19"/>
        <v>0</v>
      </c>
      <c r="P32" s="38">
        <f t="shared" si="20"/>
        <v>0</v>
      </c>
      <c r="Q32" s="7"/>
      <c r="R32" s="54" t="str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302.25700000000143</v>
      </c>
      <c r="D34" s="159">
        <f>SUM(D2:D33)</f>
        <v>593240.79999999981</v>
      </c>
      <c r="E34" s="159">
        <v>0</v>
      </c>
      <c r="F34" s="159">
        <f>SUM(F2:F33)</f>
        <v>75.802000000000135</v>
      </c>
      <c r="G34" s="159">
        <f>SUM(G2:G33)</f>
        <v>144023.80000000025</v>
      </c>
      <c r="H34" s="159"/>
      <c r="I34" s="159">
        <f>SUM(I2:I33)</f>
        <v>221</v>
      </c>
      <c r="J34" s="159">
        <f>SUM(J2:J33)</f>
        <v>419900</v>
      </c>
      <c r="K34" s="159"/>
      <c r="L34" s="159">
        <f>SUM(L2:L33)</f>
        <v>64.540000000000873</v>
      </c>
      <c r="M34" s="159">
        <f>SUM(M2:M33)</f>
        <v>122626.00000000163</v>
      </c>
      <c r="N34" s="159"/>
      <c r="O34" s="159">
        <f>SUM(O2:O33)</f>
        <v>42.831000000000131</v>
      </c>
      <c r="P34" s="159">
        <f>SUM(P2:P33)</f>
        <v>81378.900000000242</v>
      </c>
      <c r="Q34" s="159"/>
      <c r="R34" s="159">
        <f>SUM(R2:R33)</f>
        <v>73.0600000000004</v>
      </c>
      <c r="S34" s="159">
        <f>SUM(S2:S33)</f>
        <v>138814.00000000079</v>
      </c>
      <c r="T34" s="159">
        <f>SUM(T2:T33)</f>
        <v>789.46500000000151</v>
      </c>
      <c r="U34" s="159">
        <f>SUM(U2:U33)</f>
        <v>1499983.5000000028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-13307023</v>
      </c>
      <c r="D7" s="115">
        <f t="shared" si="0"/>
        <v>-16899919.210000001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35554</v>
      </c>
      <c r="D8" s="115">
        <f t="shared" si="0"/>
        <v>45153.58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5212</v>
      </c>
      <c r="D9" s="115">
        <f t="shared" si="0"/>
        <v>6619.24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17440</v>
      </c>
      <c r="D10" s="115">
        <f t="shared" si="0"/>
        <v>22148.799999999999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4135</v>
      </c>
      <c r="D11" s="115">
        <f t="shared" si="0"/>
        <v>5251.45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3684</v>
      </c>
      <c r="K16" s="104">
        <f>(J16-I16)*160</f>
        <v>5120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25093</v>
      </c>
      <c r="K18" s="104">
        <f>(J18-I18)*160</f>
        <v>17440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110306</v>
      </c>
      <c r="K19" s="104">
        <f>J19-I19</f>
        <v>4135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45479</v>
      </c>
      <c r="K21" s="104">
        <f>(J21-I21)*120</f>
        <v>18120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39635</v>
      </c>
      <c r="K22" s="104">
        <f>(J22-I22)*160</f>
        <v>13440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20514</v>
      </c>
      <c r="K23" s="104">
        <f>(J23-I23)*20</f>
        <v>2060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244519</v>
      </c>
      <c r="K24" s="104">
        <f>J24-I24</f>
        <v>1934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215636</v>
      </c>
      <c r="K25" s="104">
        <f>J25-I25</f>
        <v>92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2021-06-30T01:10:32Z</dcterms:modified>
</cp:coreProperties>
</file>