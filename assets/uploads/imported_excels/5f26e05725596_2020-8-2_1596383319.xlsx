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 activeTab="1"/>
  </bookViews>
  <sheets>
    <sheet name="TOTAL" sheetId="13" r:id="rId1"/>
    <sheet name="Consommation du 01.08 au 31.08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01.08 au 31.08'!$A$1:$AE$49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12" i="4" l="1"/>
  <c r="E12" i="4"/>
  <c r="C12" i="4"/>
  <c r="G17" i="6"/>
  <c r="E17" i="6"/>
  <c r="C17" i="6"/>
  <c r="U12" i="10" l="1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J11" i="10"/>
  <c r="K11" i="10"/>
  <c r="J12" i="10"/>
  <c r="K12" i="10"/>
  <c r="L12" i="10"/>
  <c r="J13" i="10"/>
  <c r="K13" i="10"/>
  <c r="L13" i="10"/>
  <c r="J14" i="10"/>
  <c r="K14" i="10"/>
  <c r="L14" i="10"/>
  <c r="J15" i="10"/>
  <c r="K15" i="10"/>
  <c r="L15" i="10"/>
  <c r="J16" i="10"/>
  <c r="K16" i="10"/>
  <c r="L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J10" i="10"/>
  <c r="C18" i="6"/>
  <c r="E18" i="6"/>
  <c r="G18" i="6"/>
  <c r="C19" i="6"/>
  <c r="E19" i="6"/>
  <c r="G19" i="6"/>
  <c r="C20" i="6"/>
  <c r="E20" i="6"/>
  <c r="G20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6" i="6"/>
  <c r="K10" i="10" s="1"/>
  <c r="E16" i="6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AC43" i="4"/>
  <c r="Z43" i="4"/>
  <c r="W43" i="4"/>
  <c r="T43" i="4"/>
  <c r="Q43" i="4"/>
  <c r="E43" i="4"/>
  <c r="C43" i="4"/>
  <c r="C13" i="4"/>
  <c r="E13" i="4"/>
  <c r="G13" i="4"/>
  <c r="C14" i="4"/>
  <c r="E14" i="4"/>
  <c r="G14" i="4"/>
  <c r="C15" i="4"/>
  <c r="E15" i="4"/>
  <c r="G15" i="4"/>
  <c r="C16" i="4"/>
  <c r="E16" i="4"/>
  <c r="G16" i="4"/>
  <c r="C17" i="4"/>
  <c r="E17" i="4"/>
  <c r="G17" i="4"/>
  <c r="C18" i="4"/>
  <c r="E18" i="4"/>
  <c r="G18" i="4"/>
  <c r="C19" i="4"/>
  <c r="E19" i="4"/>
  <c r="G19" i="4"/>
  <c r="C20" i="4"/>
  <c r="E20" i="4"/>
  <c r="G20" i="4"/>
  <c r="C21" i="4"/>
  <c r="E21" i="4"/>
  <c r="G21" i="4"/>
  <c r="C22" i="4"/>
  <c r="E22" i="4"/>
  <c r="G22" i="4"/>
  <c r="C23" i="4"/>
  <c r="E23" i="4"/>
  <c r="G23" i="4"/>
  <c r="C24" i="4"/>
  <c r="E24" i="4"/>
  <c r="G24" i="4"/>
  <c r="C25" i="4"/>
  <c r="E25" i="4"/>
  <c r="G25" i="4"/>
  <c r="C26" i="4"/>
  <c r="E26" i="4"/>
  <c r="G26" i="4"/>
  <c r="C27" i="4"/>
  <c r="E27" i="4"/>
  <c r="G27" i="4"/>
  <c r="C28" i="4"/>
  <c r="E28" i="4"/>
  <c r="G28" i="4"/>
  <c r="C29" i="4"/>
  <c r="E29" i="4"/>
  <c r="G29" i="4"/>
  <c r="C30" i="4"/>
  <c r="E30" i="4"/>
  <c r="G30" i="4"/>
  <c r="C31" i="4"/>
  <c r="E31" i="4"/>
  <c r="G31" i="4"/>
  <c r="C32" i="4"/>
  <c r="E32" i="4"/>
  <c r="G32" i="4"/>
  <c r="C33" i="4"/>
  <c r="E33" i="4"/>
  <c r="G33" i="4"/>
  <c r="C34" i="4"/>
  <c r="E34" i="4"/>
  <c r="G34" i="4"/>
  <c r="C35" i="4"/>
  <c r="E35" i="4"/>
  <c r="G35" i="4"/>
  <c r="C36" i="4"/>
  <c r="E36" i="4"/>
  <c r="G36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G11" i="4"/>
  <c r="G43" i="4" s="1"/>
  <c r="E11" i="4"/>
  <c r="C11" i="4"/>
  <c r="G10" i="4"/>
  <c r="E10" i="4"/>
  <c r="C10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C48" i="6" l="1"/>
  <c r="Y32" i="10"/>
  <c r="Y33" i="10"/>
  <c r="I20" i="4" l="1"/>
  <c r="B32" i="13" l="1"/>
  <c r="M32" i="13"/>
  <c r="K32" i="13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L11" i="10" s="1"/>
  <c r="I37" i="6"/>
  <c r="I38" i="6"/>
  <c r="I39" i="6"/>
  <c r="I40" i="6"/>
  <c r="I41" i="6"/>
  <c r="I42" i="6"/>
  <c r="I43" i="6"/>
  <c r="Y14" i="10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I32" i="13" s="1"/>
  <c r="K3" i="13"/>
  <c r="B11" i="10"/>
  <c r="B12" i="10" s="1"/>
  <c r="K6" i="13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44" i="6"/>
  <c r="I45" i="6"/>
  <c r="I46" i="6"/>
  <c r="I47" i="6"/>
  <c r="J4" i="4"/>
  <c r="K4" i="4" s="1"/>
  <c r="L4" i="4" s="1"/>
  <c r="N4" i="4" s="1"/>
  <c r="O4" i="4" s="1"/>
  <c r="P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 s="1"/>
  <c r="M8" i="4"/>
  <c r="AD8" i="4"/>
  <c r="AE8" i="4"/>
  <c r="J9" i="4"/>
  <c r="K9" i="4"/>
  <c r="M9" i="4"/>
  <c r="AC9" i="4"/>
  <c r="AD9" i="4"/>
  <c r="AE9" i="4"/>
  <c r="J10" i="4"/>
  <c r="K10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/>
  <c r="M42" i="4"/>
  <c r="AC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I43" i="4" s="1"/>
  <c r="F26" i="10"/>
  <c r="F29" i="10"/>
  <c r="F31" i="10"/>
  <c r="F35" i="10"/>
  <c r="K2" i="13"/>
  <c r="F27" i="10"/>
  <c r="F33" i="10"/>
  <c r="F10" i="10"/>
  <c r="K7" i="13"/>
  <c r="Z17" i="10"/>
  <c r="E48" i="6"/>
  <c r="K14" i="13"/>
  <c r="K16" i="13"/>
  <c r="Z11" i="10" l="1"/>
  <c r="O13" i="10"/>
  <c r="O11" i="10"/>
  <c r="O12" i="10"/>
  <c r="O40" i="10"/>
  <c r="O38" i="10"/>
  <c r="O36" i="10"/>
  <c r="O37" i="10"/>
  <c r="L39" i="4"/>
  <c r="N39" i="4" s="1"/>
  <c r="O39" i="4" s="1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L8" i="4"/>
  <c r="N8" i="4" s="1"/>
  <c r="O8" i="4" s="1"/>
  <c r="P8" i="4" s="1"/>
  <c r="L9" i="4"/>
  <c r="N9" i="4" s="1"/>
  <c r="O9" i="4" s="1"/>
  <c r="P9" i="4" s="1"/>
  <c r="Z29" i="10"/>
  <c r="L6" i="4"/>
  <c r="N6" i="4" s="1"/>
  <c r="O6" i="4" s="1"/>
  <c r="P6" i="4" s="1"/>
  <c r="L5" i="4"/>
  <c r="N5" i="4" s="1"/>
  <c r="O5" i="4" s="1"/>
  <c r="P5" i="4" s="1"/>
  <c r="I19" i="4"/>
  <c r="M30" i="10"/>
  <c r="E22" i="13" s="1"/>
  <c r="I4" i="4"/>
  <c r="I41" i="4"/>
  <c r="L25" i="4"/>
  <c r="N25" i="4" s="1"/>
  <c r="O25" i="4" s="1"/>
  <c r="I21" i="4"/>
  <c r="I18" i="4"/>
  <c r="I15" i="4"/>
  <c r="M40" i="10"/>
  <c r="E32" i="13" s="1"/>
  <c r="I6" i="4"/>
  <c r="Z38" i="10"/>
  <c r="G30" i="13"/>
  <c r="L36" i="4"/>
  <c r="N36" i="4" s="1"/>
  <c r="O36" i="4" s="1"/>
  <c r="G27" i="13" s="1"/>
  <c r="L24" i="4"/>
  <c r="N24" i="4" s="1"/>
  <c r="O24" i="4" s="1"/>
  <c r="P24" i="4" s="1"/>
  <c r="L21" i="4"/>
  <c r="N21" i="4" s="1"/>
  <c r="O21" i="4" s="1"/>
  <c r="G12" i="13" s="1"/>
  <c r="I17" i="4"/>
  <c r="L7" i="4"/>
  <c r="N7" i="4" s="1"/>
  <c r="O7" i="4" s="1"/>
  <c r="P7" i="4" s="1"/>
  <c r="L40" i="4"/>
  <c r="N40" i="4" s="1"/>
  <c r="O40" i="4" s="1"/>
  <c r="I14" i="4"/>
  <c r="I10" i="4"/>
  <c r="I27" i="4"/>
  <c r="Z34" i="10"/>
  <c r="L23" i="4"/>
  <c r="N23" i="4" s="1"/>
  <c r="O23" i="4" s="1"/>
  <c r="L17" i="4"/>
  <c r="N17" i="4" s="1"/>
  <c r="O17" i="4" s="1"/>
  <c r="P17" i="4" s="1"/>
  <c r="L12" i="4"/>
  <c r="N12" i="4" s="1"/>
  <c r="O12" i="4" s="1"/>
  <c r="K48" i="4"/>
  <c r="L48" i="4" s="1"/>
  <c r="M48" i="4" s="1"/>
  <c r="I5" i="4"/>
  <c r="Z20" i="10"/>
  <c r="Z27" i="10"/>
  <c r="Z22" i="10"/>
  <c r="G15" i="13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L19" i="4"/>
  <c r="N19" i="4" s="1"/>
  <c r="O19" i="4" s="1"/>
  <c r="Z40" i="10"/>
  <c r="I48" i="6"/>
  <c r="F39" i="10"/>
  <c r="K31" i="13"/>
  <c r="F24" i="10"/>
  <c r="F40" i="10"/>
  <c r="L37" i="4"/>
  <c r="N37" i="4" s="1"/>
  <c r="O37" i="4" s="1"/>
  <c r="G28" i="13" s="1"/>
  <c r="L38" i="4"/>
  <c r="N38" i="4" s="1"/>
  <c r="O38" i="4" s="1"/>
  <c r="P38" i="4" s="1"/>
  <c r="P39" i="4"/>
  <c r="L34" i="4"/>
  <c r="N34" i="4" s="1"/>
  <c r="O34" i="4" s="1"/>
  <c r="L35" i="4"/>
  <c r="N35" i="4" s="1"/>
  <c r="O35" i="4" s="1"/>
  <c r="G26" i="13" s="1"/>
  <c r="L30" i="4"/>
  <c r="N30" i="4" s="1"/>
  <c r="O30" i="4" s="1"/>
  <c r="L31" i="4"/>
  <c r="N31" i="4" s="1"/>
  <c r="O31" i="4" s="1"/>
  <c r="L33" i="4"/>
  <c r="N33" i="4" s="1"/>
  <c r="O33" i="4" s="1"/>
  <c r="G24" i="13" s="1"/>
  <c r="L32" i="4"/>
  <c r="N32" i="4" s="1"/>
  <c r="O32" i="4" s="1"/>
  <c r="L28" i="4"/>
  <c r="N28" i="4" s="1"/>
  <c r="O28" i="4" s="1"/>
  <c r="L29" i="4"/>
  <c r="N29" i="4" s="1"/>
  <c r="O29" i="4" s="1"/>
  <c r="L27" i="4"/>
  <c r="N27" i="4" s="1"/>
  <c r="O27" i="4" s="1"/>
  <c r="W25" i="10"/>
  <c r="G17" i="13"/>
  <c r="Z32" i="10"/>
  <c r="Z33" i="10"/>
  <c r="I25" i="13"/>
  <c r="Z28" i="10"/>
  <c r="I20" i="13"/>
  <c r="Z25" i="10"/>
  <c r="I17" i="13"/>
  <c r="Z30" i="10"/>
  <c r="I22" i="13"/>
  <c r="Z24" i="10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G32" i="13" s="1"/>
  <c r="I39" i="4"/>
  <c r="I36" i="4"/>
  <c r="L11" i="4"/>
  <c r="N11" i="4" s="1"/>
  <c r="N43" i="4" s="1"/>
  <c r="AC44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L14" i="4"/>
  <c r="N14" i="4" s="1"/>
  <c r="O14" i="4" s="1"/>
  <c r="F34" i="10"/>
  <c r="D5" i="6"/>
  <c r="L20" i="4"/>
  <c r="N20" i="4" s="1"/>
  <c r="O20" i="4" s="1"/>
  <c r="L18" i="4"/>
  <c r="N18" i="4" s="1"/>
  <c r="O18" i="4" s="1"/>
  <c r="L16" i="4"/>
  <c r="N16" i="4" s="1"/>
  <c r="O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12" i="4" l="1"/>
  <c r="U11" i="10"/>
  <c r="O25" i="10"/>
  <c r="AJ25" i="10" s="1"/>
  <c r="AK25" i="10" s="1"/>
  <c r="M37" i="10"/>
  <c r="E29" i="13" s="1"/>
  <c r="M33" i="10"/>
  <c r="E25" i="13" s="1"/>
  <c r="O23" i="10"/>
  <c r="O32" i="13"/>
  <c r="M38" i="10"/>
  <c r="E30" i="13" s="1"/>
  <c r="M35" i="10"/>
  <c r="E27" i="13" s="1"/>
  <c r="O27" i="13" s="1"/>
  <c r="O24" i="13"/>
  <c r="O26" i="13"/>
  <c r="P33" i="4"/>
  <c r="W20" i="10"/>
  <c r="Z41" i="10"/>
  <c r="O16" i="10"/>
  <c r="L41" i="10"/>
  <c r="G45" i="10" s="1"/>
  <c r="J45" i="10" s="1"/>
  <c r="F41" i="10"/>
  <c r="O12" i="13"/>
  <c r="W23" i="10"/>
  <c r="G8" i="13"/>
  <c r="O8" i="13" s="1"/>
  <c r="P25" i="4"/>
  <c r="M39" i="10"/>
  <c r="E31" i="13" s="1"/>
  <c r="O39" i="10"/>
  <c r="O30" i="13"/>
  <c r="W38" i="10"/>
  <c r="AJ38" i="10" s="1"/>
  <c r="AK38" i="10" s="1"/>
  <c r="W36" i="10"/>
  <c r="AJ36" i="10" s="1"/>
  <c r="AK36" i="10" s="1"/>
  <c r="O28" i="13"/>
  <c r="P37" i="4"/>
  <c r="P36" i="4"/>
  <c r="W35" i="10"/>
  <c r="AJ35" i="10" s="1"/>
  <c r="AK35" i="10" s="1"/>
  <c r="W34" i="10"/>
  <c r="AJ34" i="10" s="1"/>
  <c r="AK34" i="10" s="1"/>
  <c r="P35" i="4"/>
  <c r="G29" i="13"/>
  <c r="O29" i="13" s="1"/>
  <c r="M29" i="10"/>
  <c r="E21" i="13" s="1"/>
  <c r="P31" i="4"/>
  <c r="W32" i="10"/>
  <c r="AJ32" i="10" s="1"/>
  <c r="AK32" i="10" s="1"/>
  <c r="P23" i="4"/>
  <c r="P21" i="4"/>
  <c r="W29" i="10"/>
  <c r="AJ29" i="10" s="1"/>
  <c r="AK29" i="10" s="1"/>
  <c r="P40" i="4"/>
  <c r="W39" i="10"/>
  <c r="G25" i="13"/>
  <c r="O25" i="13" s="1"/>
  <c r="P28" i="4"/>
  <c r="G19" i="13"/>
  <c r="O19" i="13" s="1"/>
  <c r="M18" i="10"/>
  <c r="E10" i="13" s="1"/>
  <c r="W16" i="10"/>
  <c r="AJ16" i="10" s="1"/>
  <c r="AK16" i="10" s="1"/>
  <c r="M12" i="10"/>
  <c r="E4" i="13" s="1"/>
  <c r="O17" i="13"/>
  <c r="AJ20" i="10"/>
  <c r="AK20" i="10" s="1"/>
  <c r="F23" i="10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P27" i="4"/>
  <c r="G16" i="13"/>
  <c r="O16" i="13" s="1"/>
  <c r="W24" i="10"/>
  <c r="AJ24" i="10" s="1"/>
  <c r="AK24" i="10" s="1"/>
  <c r="P41" i="4"/>
  <c r="P16" i="4"/>
  <c r="P20" i="4"/>
  <c r="P22" i="4"/>
  <c r="B14" i="10"/>
  <c r="G43" i="10"/>
  <c r="J43" i="10" s="1"/>
  <c r="P10" i="4"/>
  <c r="P18" i="4"/>
  <c r="P14" i="4"/>
  <c r="M15" i="10"/>
  <c r="O11" i="4"/>
  <c r="U10" i="10" s="1"/>
  <c r="G2" i="13" s="1"/>
  <c r="O2" i="13" s="1"/>
  <c r="AJ23" i="10" l="1"/>
  <c r="AK23" i="10" s="1"/>
  <c r="O41" i="10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B15" i="10"/>
  <c r="K47" i="4"/>
  <c r="O43" i="4"/>
  <c r="P43" i="4" s="1"/>
  <c r="W10" i="10"/>
  <c r="AJ14" i="10" l="1"/>
  <c r="AK14" i="10" s="1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<sst xmlns="http://schemas.openxmlformats.org/spreadsheetml/2006/main" count="131" uniqueCount="86">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</sst>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4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4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622720"/>
        <c:axId val="250624256"/>
      </c:lineChart>
      <c:dateAx>
        <c:axId val="250622720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624256"/>
        <c:crosses val="autoZero"/>
        <c:auto val="1"/>
        <c:lblOffset val="100"/>
        <c:baseTimeUnit val="days"/>
      </c:dateAx>
      <c:valAx>
        <c:axId val="25062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62272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939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647296"/>
        <c:axId val="250648832"/>
      </c:lineChart>
      <c:dateAx>
        <c:axId val="250647296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648832"/>
        <c:crosses val="autoZero"/>
        <c:auto val="1"/>
        <c:lblOffset val="100"/>
        <c:baseTimeUnit val="days"/>
      </c:dateAx>
      <c:valAx>
        <c:axId val="2506488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64729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44043</c:v>
                </c:pt>
                <c:pt idx="1">
                  <c:v>44044</c:v>
                </c:pt>
                <c:pt idx="2">
                  <c:v>44045</c:v>
                </c:pt>
                <c:pt idx="3">
                  <c:v>44046</c:v>
                </c:pt>
                <c:pt idx="4">
                  <c:v>44047</c:v>
                </c:pt>
                <c:pt idx="5">
                  <c:v>44048</c:v>
                </c:pt>
                <c:pt idx="6">
                  <c:v>44049</c:v>
                </c:pt>
                <c:pt idx="7">
                  <c:v>44050</c:v>
                </c:pt>
                <c:pt idx="8">
                  <c:v>44051</c:v>
                </c:pt>
                <c:pt idx="9">
                  <c:v>44052</c:v>
                </c:pt>
                <c:pt idx="10">
                  <c:v>44053</c:v>
                </c:pt>
                <c:pt idx="11">
                  <c:v>44054</c:v>
                </c:pt>
                <c:pt idx="12">
                  <c:v>44055</c:v>
                </c:pt>
                <c:pt idx="13">
                  <c:v>44056</c:v>
                </c:pt>
                <c:pt idx="14">
                  <c:v>44057</c:v>
                </c:pt>
                <c:pt idx="15">
                  <c:v>44058</c:v>
                </c:pt>
                <c:pt idx="16">
                  <c:v>44059</c:v>
                </c:pt>
                <c:pt idx="17">
                  <c:v>44060</c:v>
                </c:pt>
                <c:pt idx="18">
                  <c:v>44061</c:v>
                </c:pt>
                <c:pt idx="19">
                  <c:v>44062</c:v>
                </c:pt>
                <c:pt idx="20">
                  <c:v>44063</c:v>
                </c:pt>
                <c:pt idx="21">
                  <c:v>44064</c:v>
                </c:pt>
                <c:pt idx="22">
                  <c:v>44065</c:v>
                </c:pt>
                <c:pt idx="23">
                  <c:v>44066</c:v>
                </c:pt>
                <c:pt idx="24">
                  <c:v>44067</c:v>
                </c:pt>
                <c:pt idx="25">
                  <c:v>44068</c:v>
                </c:pt>
                <c:pt idx="26">
                  <c:v>44069</c:v>
                </c:pt>
                <c:pt idx="27">
                  <c:v>44070</c:v>
                </c:pt>
                <c:pt idx="28">
                  <c:v>44071</c:v>
                </c:pt>
                <c:pt idx="29">
                  <c:v>44072</c:v>
                </c:pt>
                <c:pt idx="30">
                  <c:v>44073</c:v>
                </c:pt>
                <c:pt idx="31">
                  <c:v>44074</c:v>
                </c:pt>
                <c:pt idx="32">
                  <c:v>44075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350208"/>
        <c:axId val="250364288"/>
      </c:lineChart>
      <c:dateAx>
        <c:axId val="25035020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364288"/>
        <c:crosses val="autoZero"/>
        <c:auto val="1"/>
        <c:lblOffset val="100"/>
        <c:baseTimeUnit val="days"/>
      </c:dateAx>
      <c:valAx>
        <c:axId val="2503642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35020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selection activeCell="N3" sqref="N3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8</v>
      </c>
      <c r="D2" s="160">
        <v>2020</v>
      </c>
      <c r="E2" s="161">
        <f>'Consommation du 01.08 au 31.08'!M10</f>
        <v>2818</v>
      </c>
      <c r="F2" s="161">
        <v>0.99</v>
      </c>
      <c r="G2" s="161">
        <f>'Consommation du 01.08 au 31.08'!U10</f>
        <v>0</v>
      </c>
      <c r="H2" s="161">
        <v>7.8338000000000001</v>
      </c>
      <c r="I2" s="161">
        <f>'Consommation du 01.08 au 31.08'!Y10*1000</f>
        <v>29.999999998835847</v>
      </c>
      <c r="J2" s="161">
        <v>0.53</v>
      </c>
      <c r="K2" s="161">
        <f>'Consommation du 01.08 au 31.08'!D10</f>
        <v>70</v>
      </c>
      <c r="L2" s="161">
        <v>12.67</v>
      </c>
      <c r="M2" s="160">
        <f>'Consommation du 01.08 au 31.08'!AC10</f>
        <v>0</v>
      </c>
      <c r="N2" s="160">
        <v>0</v>
      </c>
      <c r="O2" s="161">
        <f>E2*F2+G2*H2+I2*J2+K2*L2</f>
        <v>3692.6199999993833</v>
      </c>
    </row>
    <row r="3" spans="1:15" x14ac:dyDescent="0.2">
      <c r="A3" s="158" t="s">
        <v>84</v>
      </c>
      <c r="B3" s="159">
        <f>B2+1</f>
        <v>2</v>
      </c>
      <c r="C3" s="159">
        <v>8</v>
      </c>
      <c r="D3" s="160">
        <v>2020</v>
      </c>
      <c r="E3" s="161">
        <f>'Consommation du 01.08 au 31.08'!M11</f>
        <v>0</v>
      </c>
      <c r="F3" s="161">
        <v>0.99</v>
      </c>
      <c r="G3" s="161">
        <f>'Consommation du 01.08 au 31.08'!U11</f>
        <v>0</v>
      </c>
      <c r="H3" s="161">
        <v>7.8338000000000001</v>
      </c>
      <c r="I3" s="161">
        <f>'Consommation du 01.08 au 31.08'!Y11*1000</f>
        <v>0</v>
      </c>
      <c r="J3" s="161">
        <v>0.53</v>
      </c>
      <c r="K3" s="161">
        <f>'Consommation du 01.08 au 31.08'!D11</f>
        <v>0</v>
      </c>
      <c r="L3" s="161">
        <v>12.67</v>
      </c>
      <c r="M3" s="160">
        <f>'Consommation du 01.08 au 31.08'!AC11</f>
        <v>0</v>
      </c>
      <c r="N3" s="160"/>
      <c r="O3" s="161">
        <f t="shared" ref="O3:O31" si="0">E3*F3+G3*H3+I3*J3+K3*L3</f>
        <v>0</v>
      </c>
    </row>
    <row r="4" spans="1:15" x14ac:dyDescent="0.2">
      <c r="A4" s="158" t="s">
        <v>84</v>
      </c>
      <c r="B4" s="159">
        <f t="shared" ref="B4:B32" si="1">B3+1</f>
        <v>3</v>
      </c>
      <c r="C4" s="159">
        <v>8</v>
      </c>
      <c r="D4" s="160">
        <v>2020</v>
      </c>
      <c r="E4" s="161">
        <f>'Consommation du 01.08 au 31.08'!M12</f>
        <v>0</v>
      </c>
      <c r="F4" s="161">
        <v>0.99</v>
      </c>
      <c r="G4" s="161">
        <f>'Consommation du 01.08 au 31.08'!U12</f>
        <v>0</v>
      </c>
      <c r="H4" s="161">
        <v>7.8338000000000001</v>
      </c>
      <c r="I4" s="161">
        <f>'Consommation du 01.08 au 31.08'!Y12*1000</f>
        <v>0</v>
      </c>
      <c r="J4" s="161">
        <v>0.53</v>
      </c>
      <c r="K4" s="161">
        <f>'Consommation du 01.08 au 31.08'!D12</f>
        <v>0</v>
      </c>
      <c r="L4" s="161">
        <v>12.67</v>
      </c>
      <c r="M4" s="160">
        <f>'Consommation du 01.08 au 31.08'!AC12</f>
        <v>0</v>
      </c>
      <c r="N4" s="160"/>
      <c r="O4" s="161">
        <f t="shared" si="0"/>
        <v>0</v>
      </c>
    </row>
    <row r="5" spans="1:15" x14ac:dyDescent="0.2">
      <c r="A5" s="158" t="s">
        <v>84</v>
      </c>
      <c r="B5" s="159">
        <f t="shared" si="1"/>
        <v>4</v>
      </c>
      <c r="C5" s="159">
        <v>8</v>
      </c>
      <c r="D5" s="160">
        <v>2020</v>
      </c>
      <c r="E5" s="161">
        <f>'Consommation du 01.08 au 31.08'!M13</f>
        <v>0</v>
      </c>
      <c r="F5" s="161">
        <v>0.99</v>
      </c>
      <c r="G5" s="161">
        <f>'Consommation du 01.08 au 31.08'!U13</f>
        <v>0</v>
      </c>
      <c r="H5" s="161">
        <v>7.8338000000000001</v>
      </c>
      <c r="I5" s="161">
        <f>'Consommation du 01.08 au 31.08'!Y13*1000</f>
        <v>0</v>
      </c>
      <c r="J5" s="161">
        <v>0.53</v>
      </c>
      <c r="K5" s="161">
        <f>'Consommation du 01.08 au 31.08'!D13</f>
        <v>0</v>
      </c>
      <c r="L5" s="161">
        <v>12.67</v>
      </c>
      <c r="M5" s="160">
        <f>'Consommation du 01.08 au 31.08'!AC13</f>
        <v>0</v>
      </c>
      <c r="N5" s="160"/>
      <c r="O5" s="161">
        <f t="shared" si="0"/>
        <v>0</v>
      </c>
    </row>
    <row r="6" spans="1:15" x14ac:dyDescent="0.2">
      <c r="A6" s="158" t="s">
        <v>84</v>
      </c>
      <c r="B6" s="159">
        <f t="shared" si="1"/>
        <v>5</v>
      </c>
      <c r="C6" s="159">
        <v>8</v>
      </c>
      <c r="D6" s="160">
        <v>2020</v>
      </c>
      <c r="E6" s="161">
        <f>'Consommation du 01.08 au 31.08'!M14</f>
        <v>0</v>
      </c>
      <c r="F6" s="161">
        <v>0.99</v>
      </c>
      <c r="G6" s="161">
        <f>'Consommation du 01.08 au 31.08'!U14</f>
        <v>0</v>
      </c>
      <c r="H6" s="161">
        <v>7.8338000000000001</v>
      </c>
      <c r="I6" s="161">
        <f>'Consommation du 01.08 au 31.08'!Y14*1000</f>
        <v>0</v>
      </c>
      <c r="J6" s="161">
        <v>0.53</v>
      </c>
      <c r="K6" s="161">
        <f>'Consommation du 01.08 au 31.08'!D14</f>
        <v>0</v>
      </c>
      <c r="L6" s="161">
        <v>12.67</v>
      </c>
      <c r="M6" s="160">
        <f>'Consommation du 01.08 au 31.08'!AC14</f>
        <v>0</v>
      </c>
      <c r="N6" s="160"/>
      <c r="O6" s="161">
        <f t="shared" si="0"/>
        <v>0</v>
      </c>
    </row>
    <row r="7" spans="1:15" x14ac:dyDescent="0.2">
      <c r="A7" s="158" t="s">
        <v>84</v>
      </c>
      <c r="B7" s="159">
        <f t="shared" si="1"/>
        <v>6</v>
      </c>
      <c r="C7" s="159">
        <v>8</v>
      </c>
      <c r="D7" s="160">
        <v>2020</v>
      </c>
      <c r="E7" s="161">
        <f>'Consommation du 01.08 au 31.08'!M15</f>
        <v>0</v>
      </c>
      <c r="F7" s="161">
        <v>0.99</v>
      </c>
      <c r="G7" s="161">
        <f>'Consommation du 01.08 au 31.08'!U15</f>
        <v>0</v>
      </c>
      <c r="H7" s="161">
        <v>7.8338000000000001</v>
      </c>
      <c r="I7" s="161">
        <f>'Consommation du 01.08 au 31.08'!Y15*1000</f>
        <v>0</v>
      </c>
      <c r="J7" s="161">
        <v>0.53</v>
      </c>
      <c r="K7" s="161">
        <f>'Consommation du 01.08 au 31.08'!D15</f>
        <v>0</v>
      </c>
      <c r="L7" s="161">
        <v>12.67</v>
      </c>
      <c r="M7" s="160">
        <f>'Consommation du 01.08 au 31.08'!AC15</f>
        <v>0</v>
      </c>
      <c r="N7" s="160"/>
      <c r="O7" s="161">
        <f t="shared" si="0"/>
        <v>0</v>
      </c>
    </row>
    <row r="8" spans="1:15" x14ac:dyDescent="0.2">
      <c r="A8" s="158" t="s">
        <v>84</v>
      </c>
      <c r="B8" s="159">
        <f t="shared" si="1"/>
        <v>7</v>
      </c>
      <c r="C8" s="159">
        <v>8</v>
      </c>
      <c r="D8" s="160">
        <v>2020</v>
      </c>
      <c r="E8" s="161">
        <f>'Consommation du 01.08 au 31.08'!M16</f>
        <v>0</v>
      </c>
      <c r="F8" s="161">
        <v>0.99</v>
      </c>
      <c r="G8" s="161">
        <f>'Consommation du 01.08 au 31.08'!U16</f>
        <v>0</v>
      </c>
      <c r="H8" s="161">
        <v>7.8338000000000001</v>
      </c>
      <c r="I8" s="161">
        <f>'Consommation du 01.08 au 31.08'!Y16*1000</f>
        <v>0</v>
      </c>
      <c r="J8" s="161">
        <v>0.53</v>
      </c>
      <c r="K8" s="161">
        <f>'Consommation du 01.08 au 31.08'!D16</f>
        <v>0</v>
      </c>
      <c r="L8" s="161">
        <v>12.67</v>
      </c>
      <c r="M8" s="160">
        <f>'Consommation du 01.08 au 31.08'!AC16</f>
        <v>0</v>
      </c>
      <c r="N8" s="160"/>
      <c r="O8" s="161">
        <f t="shared" si="0"/>
        <v>0</v>
      </c>
    </row>
    <row r="9" spans="1:15" x14ac:dyDescent="0.2">
      <c r="A9" s="158" t="s">
        <v>84</v>
      </c>
      <c r="B9" s="159">
        <f t="shared" si="1"/>
        <v>8</v>
      </c>
      <c r="C9" s="159">
        <v>8</v>
      </c>
      <c r="D9" s="160">
        <v>2020</v>
      </c>
      <c r="E9" s="161">
        <f>'Consommation du 01.08 au 31.08'!M17</f>
        <v>0</v>
      </c>
      <c r="F9" s="161">
        <v>0.99</v>
      </c>
      <c r="G9" s="161">
        <f>'Consommation du 01.08 au 31.08'!U17</f>
        <v>0</v>
      </c>
      <c r="H9" s="161">
        <v>7.8338000000000001</v>
      </c>
      <c r="I9" s="161">
        <f>'Consommation du 01.08 au 31.08'!Y17*1000</f>
        <v>0</v>
      </c>
      <c r="J9" s="161">
        <v>0.53</v>
      </c>
      <c r="K9" s="161">
        <f>'Consommation du 01.08 au 31.08'!D17</f>
        <v>0</v>
      </c>
      <c r="L9" s="161">
        <v>12.67</v>
      </c>
      <c r="M9" s="160">
        <f>'Consommation du 01.08 au 31.08'!AC17</f>
        <v>0</v>
      </c>
      <c r="N9" s="160"/>
      <c r="O9" s="161">
        <f t="shared" si="0"/>
        <v>0</v>
      </c>
    </row>
    <row r="10" spans="1:15" x14ac:dyDescent="0.2">
      <c r="A10" s="158" t="s">
        <v>84</v>
      </c>
      <c r="B10" s="159">
        <f t="shared" si="1"/>
        <v>9</v>
      </c>
      <c r="C10" s="159">
        <v>8</v>
      </c>
      <c r="D10" s="160">
        <v>2020</v>
      </c>
      <c r="E10" s="161">
        <f>'Consommation du 01.08 au 31.08'!M18</f>
        <v>0</v>
      </c>
      <c r="F10" s="161">
        <v>0.99</v>
      </c>
      <c r="G10" s="161">
        <f>'Consommation du 01.08 au 31.08'!U18</f>
        <v>0</v>
      </c>
      <c r="H10" s="161">
        <v>7.8338000000000001</v>
      </c>
      <c r="I10" s="161">
        <f>'Consommation du 01.08 au 31.08'!Y18*1000</f>
        <v>0</v>
      </c>
      <c r="J10" s="161">
        <v>0.53</v>
      </c>
      <c r="K10" s="161">
        <f>'Consommation du 01.08 au 31.08'!D18</f>
        <v>0</v>
      </c>
      <c r="L10" s="161">
        <v>12.67</v>
      </c>
      <c r="M10" s="160">
        <f>'Consommation du 01.08 au 31.08'!AC18</f>
        <v>0</v>
      </c>
      <c r="N10" s="160"/>
      <c r="O10" s="161">
        <f t="shared" si="0"/>
        <v>0</v>
      </c>
    </row>
    <row r="11" spans="1:15" x14ac:dyDescent="0.2">
      <c r="A11" s="158" t="s">
        <v>84</v>
      </c>
      <c r="B11" s="159">
        <f t="shared" si="1"/>
        <v>10</v>
      </c>
      <c r="C11" s="159">
        <v>8</v>
      </c>
      <c r="D11" s="160">
        <v>2020</v>
      </c>
      <c r="E11" s="161">
        <f>'Consommation du 01.08 au 31.08'!M19</f>
        <v>0</v>
      </c>
      <c r="F11" s="161">
        <v>0.99</v>
      </c>
      <c r="G11" s="161">
        <f>'Consommation du 01.08 au 31.08'!U19</f>
        <v>0</v>
      </c>
      <c r="H11" s="161">
        <v>7.8338000000000001</v>
      </c>
      <c r="I11" s="161">
        <f>'Consommation du 01.08 au 31.08'!Y19*1000</f>
        <v>0</v>
      </c>
      <c r="J11" s="161">
        <v>0.53</v>
      </c>
      <c r="K11" s="161">
        <f>'Consommation du 01.08 au 31.08'!D19</f>
        <v>0</v>
      </c>
      <c r="L11" s="161">
        <v>12.67</v>
      </c>
      <c r="M11" s="160">
        <f>'Consommation du 01.08 au 31.08'!AC19</f>
        <v>0</v>
      </c>
      <c r="N11" s="160"/>
      <c r="O11" s="161">
        <f t="shared" si="0"/>
        <v>0</v>
      </c>
    </row>
    <row r="12" spans="1:15" x14ac:dyDescent="0.2">
      <c r="A12" s="158" t="s">
        <v>84</v>
      </c>
      <c r="B12" s="159">
        <f t="shared" si="1"/>
        <v>11</v>
      </c>
      <c r="C12" s="159">
        <v>8</v>
      </c>
      <c r="D12" s="160">
        <v>2020</v>
      </c>
      <c r="E12" s="161">
        <f>'Consommation du 01.08 au 31.08'!M20</f>
        <v>0</v>
      </c>
      <c r="F12" s="161">
        <v>0.99</v>
      </c>
      <c r="G12" s="161">
        <f>'Consommation du 01.08 au 31.08'!U20</f>
        <v>0</v>
      </c>
      <c r="H12" s="161">
        <v>7.8338000000000001</v>
      </c>
      <c r="I12" s="161">
        <f>'Consommation du 01.08 au 31.08'!Y20*1000</f>
        <v>0</v>
      </c>
      <c r="J12" s="161">
        <v>0.53</v>
      </c>
      <c r="K12" s="161">
        <f>'Consommation du 01.08 au 31.08'!D20</f>
        <v>0</v>
      </c>
      <c r="L12" s="161">
        <v>12.67</v>
      </c>
      <c r="M12" s="160">
        <f>'Consommation du 01.08 au 31.08'!AC20</f>
        <v>0</v>
      </c>
      <c r="N12" s="160"/>
      <c r="O12" s="161">
        <f t="shared" si="0"/>
        <v>0</v>
      </c>
    </row>
    <row r="13" spans="1:15" x14ac:dyDescent="0.2">
      <c r="A13" s="158" t="s">
        <v>84</v>
      </c>
      <c r="B13" s="159">
        <f t="shared" si="1"/>
        <v>12</v>
      </c>
      <c r="C13" s="159">
        <v>8</v>
      </c>
      <c r="D13" s="160">
        <v>2020</v>
      </c>
      <c r="E13" s="161">
        <f>'Consommation du 01.08 au 31.08'!M21</f>
        <v>0</v>
      </c>
      <c r="F13" s="161">
        <v>0.99</v>
      </c>
      <c r="G13" s="161">
        <f>'Consommation du 01.08 au 31.08'!U21</f>
        <v>0</v>
      </c>
      <c r="H13" s="161">
        <v>7.8338000000000001</v>
      </c>
      <c r="I13" s="161">
        <f>'Consommation du 01.08 au 31.08'!Y21*1000</f>
        <v>0</v>
      </c>
      <c r="J13" s="161">
        <v>0.53</v>
      </c>
      <c r="K13" s="161">
        <f>'Consommation du 01.08 au 31.08'!D21</f>
        <v>0</v>
      </c>
      <c r="L13" s="161">
        <v>12.67</v>
      </c>
      <c r="M13" s="160">
        <f>'Consommation du 01.08 au 31.08'!AC21</f>
        <v>0</v>
      </c>
      <c r="N13" s="160"/>
      <c r="O13" s="161">
        <f t="shared" si="0"/>
        <v>0</v>
      </c>
    </row>
    <row r="14" spans="1:15" x14ac:dyDescent="0.2">
      <c r="A14" s="158" t="s">
        <v>84</v>
      </c>
      <c r="B14" s="159">
        <f t="shared" si="1"/>
        <v>13</v>
      </c>
      <c r="C14" s="159">
        <v>8</v>
      </c>
      <c r="D14" s="160">
        <v>2020</v>
      </c>
      <c r="E14" s="161">
        <f>'Consommation du 01.08 au 31.08'!M22</f>
        <v>0</v>
      </c>
      <c r="F14" s="161">
        <v>0.99</v>
      </c>
      <c r="G14" s="161">
        <f>'Consommation du 01.08 au 31.08'!U22</f>
        <v>0</v>
      </c>
      <c r="H14" s="161">
        <v>7.8338000000000001</v>
      </c>
      <c r="I14" s="161">
        <f>'Consommation du 01.08 au 31.08'!Y22*1000</f>
        <v>0</v>
      </c>
      <c r="J14" s="161">
        <v>0.53</v>
      </c>
      <c r="K14" s="161">
        <f>'Consommation du 01.08 au 31.08'!D22</f>
        <v>0</v>
      </c>
      <c r="L14" s="161">
        <v>12.67</v>
      </c>
      <c r="M14" s="160">
        <f>'Consommation du 01.08 au 31.08'!AC22</f>
        <v>0</v>
      </c>
      <c r="N14" s="160"/>
      <c r="O14" s="161">
        <f t="shared" si="0"/>
        <v>0</v>
      </c>
    </row>
    <row r="15" spans="1:15" x14ac:dyDescent="0.2">
      <c r="A15" s="158" t="s">
        <v>84</v>
      </c>
      <c r="B15" s="159">
        <f t="shared" si="1"/>
        <v>14</v>
      </c>
      <c r="C15" s="159">
        <v>8</v>
      </c>
      <c r="D15" s="160">
        <v>2020</v>
      </c>
      <c r="E15" s="161">
        <f>'Consommation du 01.08 au 31.08'!M23</f>
        <v>0</v>
      </c>
      <c r="F15" s="161">
        <v>0.99</v>
      </c>
      <c r="G15" s="161">
        <f>'Consommation du 01.08 au 31.08'!U23</f>
        <v>0</v>
      </c>
      <c r="H15" s="161">
        <v>7.8338000000000001</v>
      </c>
      <c r="I15" s="161">
        <f>'Consommation du 01.08 au 31.08'!Y23*1000</f>
        <v>0</v>
      </c>
      <c r="J15" s="161">
        <v>0.53</v>
      </c>
      <c r="K15" s="161">
        <f>'Consommation du 01.08 au 31.08'!D23</f>
        <v>0</v>
      </c>
      <c r="L15" s="161">
        <v>12.67</v>
      </c>
      <c r="M15" s="160">
        <f>'Consommation du 01.08 au 31.08'!AC23</f>
        <v>0</v>
      </c>
      <c r="N15" s="160"/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8</v>
      </c>
      <c r="D16" s="160">
        <v>2020</v>
      </c>
      <c r="E16" s="161">
        <f>'Consommation du 01.08 au 31.08'!M24</f>
        <v>0</v>
      </c>
      <c r="F16" s="161">
        <v>0.99</v>
      </c>
      <c r="G16" s="161">
        <f>'Consommation du 01.08 au 31.08'!U24</f>
        <v>0</v>
      </c>
      <c r="H16" s="161">
        <v>7.8338000000000001</v>
      </c>
      <c r="I16" s="161">
        <f>'Consommation du 01.08 au 31.08'!Y24*1000</f>
        <v>0</v>
      </c>
      <c r="J16" s="161">
        <v>0.53</v>
      </c>
      <c r="K16" s="161">
        <f>'Consommation du 01.08 au 31.08'!D24</f>
        <v>0</v>
      </c>
      <c r="L16" s="161">
        <v>12.67</v>
      </c>
      <c r="M16" s="160">
        <f>'Consommation du 01.08 au 31.08'!AC24</f>
        <v>0</v>
      </c>
      <c r="N16" s="160"/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8</v>
      </c>
      <c r="D17" s="160">
        <v>2020</v>
      </c>
      <c r="E17" s="161">
        <f>'Consommation du 01.08 au 31.08'!M25</f>
        <v>0</v>
      </c>
      <c r="F17" s="161">
        <v>0.99</v>
      </c>
      <c r="G17" s="161">
        <f>'Consommation du 01.08 au 31.08'!U25</f>
        <v>0</v>
      </c>
      <c r="H17" s="161">
        <v>7.8338000000000001</v>
      </c>
      <c r="I17" s="161">
        <f>'Consommation du 01.08 au 31.08'!Y25*1000</f>
        <v>0</v>
      </c>
      <c r="J17" s="161">
        <v>0.53</v>
      </c>
      <c r="K17" s="161">
        <f>'Consommation du 01.08 au 31.08'!D25</f>
        <v>0</v>
      </c>
      <c r="L17" s="161">
        <v>12.67</v>
      </c>
      <c r="M17" s="160">
        <f>'Consommation du 01.08 au 31.08'!AC25</f>
        <v>0</v>
      </c>
      <c r="N17" s="160"/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8</v>
      </c>
      <c r="D18" s="160">
        <v>2020</v>
      </c>
      <c r="E18" s="161">
        <f>'Consommation du 01.08 au 31.08'!M26</f>
        <v>0</v>
      </c>
      <c r="F18" s="161">
        <v>0.99</v>
      </c>
      <c r="G18" s="161">
        <f>'Consommation du 01.08 au 31.08'!U26</f>
        <v>0</v>
      </c>
      <c r="H18" s="161">
        <v>7.8338000000000001</v>
      </c>
      <c r="I18" s="161">
        <f>'Consommation du 01.08 au 31.08'!Y26*1000</f>
        <v>0</v>
      </c>
      <c r="J18" s="161">
        <v>0.53</v>
      </c>
      <c r="K18" s="161">
        <f>'Consommation du 01.08 au 31.08'!D26</f>
        <v>0</v>
      </c>
      <c r="L18" s="161">
        <v>12.67</v>
      </c>
      <c r="M18" s="160">
        <f>'Consommation du 01.08 au 31.08'!AC26</f>
        <v>0</v>
      </c>
      <c r="N18" s="160"/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8</v>
      </c>
      <c r="D19" s="160">
        <v>2020</v>
      </c>
      <c r="E19" s="161">
        <f>'Consommation du 01.08 au 31.08'!M27</f>
        <v>0</v>
      </c>
      <c r="F19" s="161">
        <v>0.99</v>
      </c>
      <c r="G19" s="161">
        <f>'Consommation du 01.08 au 31.08'!U27</f>
        <v>0</v>
      </c>
      <c r="H19" s="161">
        <v>7.8338000000000001</v>
      </c>
      <c r="I19" s="161">
        <f>'Consommation du 01.08 au 31.08'!Y27*1000</f>
        <v>0</v>
      </c>
      <c r="J19" s="161">
        <v>0.53</v>
      </c>
      <c r="K19" s="161">
        <f>'Consommation du 01.08 au 31.08'!D27</f>
        <v>0</v>
      </c>
      <c r="L19" s="161">
        <v>12.67</v>
      </c>
      <c r="M19" s="160">
        <f>'Consommation du 01.08 au 31.08'!AC27</f>
        <v>0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8</v>
      </c>
      <c r="D20" s="160">
        <v>2020</v>
      </c>
      <c r="E20" s="161">
        <f>'Consommation du 01.08 au 31.08'!M28</f>
        <v>0</v>
      </c>
      <c r="F20" s="161">
        <v>0.99</v>
      </c>
      <c r="G20" s="161">
        <f>'Consommation du 01.08 au 31.08'!U28</f>
        <v>0</v>
      </c>
      <c r="H20" s="161">
        <v>7.8338000000000001</v>
      </c>
      <c r="I20" s="161">
        <f>'Consommation du 01.08 au 31.08'!Y28*1000</f>
        <v>0</v>
      </c>
      <c r="J20" s="161">
        <v>0.53</v>
      </c>
      <c r="K20" s="161">
        <f>'Consommation du 01.08 au 31.08'!D28</f>
        <v>0</v>
      </c>
      <c r="L20" s="161">
        <v>12.67</v>
      </c>
      <c r="M20" s="160">
        <f>'Consommation du 01.08 au 31.08'!AC28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8</v>
      </c>
      <c r="D21" s="160">
        <v>2020</v>
      </c>
      <c r="E21" s="161">
        <f>'Consommation du 01.08 au 31.08'!M29</f>
        <v>0</v>
      </c>
      <c r="F21" s="161">
        <v>0.99</v>
      </c>
      <c r="G21" s="161">
        <f>'Consommation du 01.08 au 31.08'!U29</f>
        <v>0</v>
      </c>
      <c r="H21" s="161">
        <v>7.8338000000000001</v>
      </c>
      <c r="I21" s="161">
        <f>'Consommation du 01.08 au 31.08'!Y29*1000</f>
        <v>0</v>
      </c>
      <c r="J21" s="161">
        <v>0.53</v>
      </c>
      <c r="K21" s="161">
        <f>'Consommation du 01.08 au 31.08'!D29</f>
        <v>0</v>
      </c>
      <c r="L21" s="161">
        <v>12.67</v>
      </c>
      <c r="M21" s="160">
        <f>'Consommation du 01.08 au 31.08'!AC29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8</v>
      </c>
      <c r="D22" s="160">
        <v>2020</v>
      </c>
      <c r="E22" s="161">
        <f>'Consommation du 01.08 au 31.08'!M30</f>
        <v>0</v>
      </c>
      <c r="F22" s="161">
        <v>0.99</v>
      </c>
      <c r="G22" s="161">
        <f>'Consommation du 01.08 au 31.08'!U30</f>
        <v>0</v>
      </c>
      <c r="H22" s="161">
        <v>7.8338000000000001</v>
      </c>
      <c r="I22" s="161">
        <f>'Consommation du 01.08 au 31.08'!Y30*1000</f>
        <v>0</v>
      </c>
      <c r="J22" s="161">
        <v>0.53</v>
      </c>
      <c r="K22" s="161">
        <f>'Consommation du 01.08 au 31.08'!D30</f>
        <v>0</v>
      </c>
      <c r="L22" s="161">
        <v>12.67</v>
      </c>
      <c r="M22" s="160">
        <f>'Consommation du 01.08 au 31.08'!AC30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8</v>
      </c>
      <c r="D23" s="160">
        <v>2020</v>
      </c>
      <c r="E23" s="161">
        <f>'Consommation du 01.08 au 31.08'!M31</f>
        <v>0</v>
      </c>
      <c r="F23" s="161">
        <v>0.99</v>
      </c>
      <c r="G23" s="161">
        <f>'Consommation du 01.08 au 31.08'!U31</f>
        <v>0</v>
      </c>
      <c r="H23" s="161">
        <v>7.8338000000000001</v>
      </c>
      <c r="I23" s="161">
        <f>'Consommation du 01.08 au 31.08'!Y31*1000</f>
        <v>0</v>
      </c>
      <c r="J23" s="161">
        <v>0.53</v>
      </c>
      <c r="K23" s="161">
        <f>'Consommation du 01.08 au 31.08'!D31</f>
        <v>0</v>
      </c>
      <c r="L23" s="161">
        <v>12.67</v>
      </c>
      <c r="M23" s="160">
        <f>'Consommation du 01.08 au 31.08'!AC31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8</v>
      </c>
      <c r="D24" s="160">
        <v>2020</v>
      </c>
      <c r="E24" s="161">
        <f>'Consommation du 01.08 au 31.08'!M32</f>
        <v>0</v>
      </c>
      <c r="F24" s="161">
        <v>0.99</v>
      </c>
      <c r="G24" s="161">
        <f>'Consommation du 01.08 au 31.08'!U32</f>
        <v>0</v>
      </c>
      <c r="H24" s="161">
        <v>7.8338000000000001</v>
      </c>
      <c r="I24" s="161">
        <f>'Consommation du 01.08 au 31.08'!Y32*1000</f>
        <v>0</v>
      </c>
      <c r="J24" s="161">
        <v>0.53</v>
      </c>
      <c r="K24" s="161">
        <f>'Consommation du 01.08 au 31.08'!D32</f>
        <v>0</v>
      </c>
      <c r="L24" s="161">
        <v>12.67</v>
      </c>
      <c r="M24" s="160">
        <f>'Consommation du 01.08 au 31.08'!AC32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8</v>
      </c>
      <c r="D25" s="160">
        <v>2020</v>
      </c>
      <c r="E25" s="161">
        <f>'Consommation du 01.08 au 31.08'!M33</f>
        <v>0</v>
      </c>
      <c r="F25" s="161">
        <v>0.99</v>
      </c>
      <c r="G25" s="161">
        <f>'Consommation du 01.08 au 31.08'!U33</f>
        <v>0</v>
      </c>
      <c r="H25" s="161">
        <v>7.8338000000000001</v>
      </c>
      <c r="I25" s="161">
        <f>'Consommation du 01.08 au 31.08'!Y33*1000</f>
        <v>0</v>
      </c>
      <c r="J25" s="161">
        <v>0.53</v>
      </c>
      <c r="K25" s="161">
        <f>'Consommation du 01.08 au 31.08'!D33</f>
        <v>0</v>
      </c>
      <c r="L25" s="161">
        <v>12.67</v>
      </c>
      <c r="M25" s="160">
        <f>'Consommation du 01.08 au 31.08'!AC33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8</v>
      </c>
      <c r="D26" s="160">
        <v>2020</v>
      </c>
      <c r="E26" s="161">
        <f>'Consommation du 01.08 au 31.08'!M34</f>
        <v>0</v>
      </c>
      <c r="F26" s="161">
        <v>0.99</v>
      </c>
      <c r="G26" s="161">
        <f>'Consommation du 01.08 au 31.08'!U34</f>
        <v>0</v>
      </c>
      <c r="H26" s="161">
        <v>7.8338000000000001</v>
      </c>
      <c r="I26" s="161">
        <f>'Consommation du 01.08 au 31.08'!Y34*1000</f>
        <v>0</v>
      </c>
      <c r="J26" s="161">
        <v>0.53</v>
      </c>
      <c r="K26" s="161">
        <f>'Consommation du 01.08 au 31.08'!D34</f>
        <v>0</v>
      </c>
      <c r="L26" s="161">
        <v>12.67</v>
      </c>
      <c r="M26" s="160">
        <f>'Consommation du 01.08 au 31.08'!AC34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8</v>
      </c>
      <c r="D27" s="160">
        <v>2020</v>
      </c>
      <c r="E27" s="161">
        <f>'Consommation du 01.08 au 31.08'!M35</f>
        <v>0</v>
      </c>
      <c r="F27" s="161">
        <v>0.99</v>
      </c>
      <c r="G27" s="161">
        <f>'Consommation du 01.08 au 31.08'!U35</f>
        <v>0</v>
      </c>
      <c r="H27" s="161">
        <v>7.8338000000000001</v>
      </c>
      <c r="I27" s="161">
        <f>'Consommation du 01.08 au 31.08'!Y35*1000</f>
        <v>0</v>
      </c>
      <c r="J27" s="161">
        <v>0.53</v>
      </c>
      <c r="K27" s="161">
        <f>'Consommation du 01.08 au 31.08'!D35</f>
        <v>0</v>
      </c>
      <c r="L27" s="161">
        <v>12.67</v>
      </c>
      <c r="M27" s="160">
        <f>'Consommation du 01.08 au 31.08'!AC35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8</v>
      </c>
      <c r="D28" s="160">
        <v>2020</v>
      </c>
      <c r="E28" s="161">
        <f>'Consommation du 01.08 au 31.08'!M36</f>
        <v>0</v>
      </c>
      <c r="F28" s="161">
        <v>0.99</v>
      </c>
      <c r="G28" s="161">
        <f>'Consommation du 01.08 au 31.08'!U36</f>
        <v>0</v>
      </c>
      <c r="H28" s="161">
        <v>7.8338000000000001</v>
      </c>
      <c r="I28" s="161">
        <f>'Consommation du 01.08 au 31.08'!Y36*1000</f>
        <v>0</v>
      </c>
      <c r="J28" s="161">
        <v>0.53</v>
      </c>
      <c r="K28" s="161">
        <f>'Consommation du 01.08 au 31.08'!D36</f>
        <v>0</v>
      </c>
      <c r="L28" s="161">
        <v>12.67</v>
      </c>
      <c r="M28" s="160">
        <f>'Consommation du 01.08 au 31.08'!AC36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8</v>
      </c>
      <c r="D29" s="160">
        <v>2020</v>
      </c>
      <c r="E29" s="161">
        <f>'Consommation du 01.08 au 31.08'!M37</f>
        <v>0</v>
      </c>
      <c r="F29" s="161">
        <v>0.99</v>
      </c>
      <c r="G29" s="161">
        <f>'Consommation du 01.08 au 31.08'!U37</f>
        <v>0</v>
      </c>
      <c r="H29" s="161">
        <v>7.8338000000000001</v>
      </c>
      <c r="I29" s="161">
        <f>'Consommation du 01.08 au 31.08'!Y37*1000</f>
        <v>0</v>
      </c>
      <c r="J29" s="161">
        <v>0.53</v>
      </c>
      <c r="K29" s="161">
        <f>'Consommation du 01.08 au 31.08'!D37</f>
        <v>0</v>
      </c>
      <c r="L29" s="161">
        <v>12.67</v>
      </c>
      <c r="M29" s="160">
        <f>'Consommation du 01.08 au 31.08'!AC37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8</v>
      </c>
      <c r="D30" s="160">
        <v>2020</v>
      </c>
      <c r="E30" s="161">
        <f>'Consommation du 01.08 au 31.08'!M38</f>
        <v>0</v>
      </c>
      <c r="F30" s="161">
        <v>0.99</v>
      </c>
      <c r="G30" s="161">
        <f>'Consommation du 01.08 au 31.08'!U38</f>
        <v>0</v>
      </c>
      <c r="H30" s="161">
        <v>7.8338000000000001</v>
      </c>
      <c r="I30" s="161">
        <f>'Consommation du 01.08 au 31.08'!Y38*1000</f>
        <v>0</v>
      </c>
      <c r="J30" s="161">
        <v>0.53</v>
      </c>
      <c r="K30" s="161">
        <f>'Consommation du 01.08 au 31.08'!D38</f>
        <v>0</v>
      </c>
      <c r="L30" s="161">
        <v>12.67</v>
      </c>
      <c r="M30" s="160">
        <f>'Consommation du 01.08 au 31.08'!AC38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8</v>
      </c>
      <c r="D31" s="160">
        <v>2020</v>
      </c>
      <c r="E31" s="161">
        <f>'Consommation du 01.08 au 31.08'!M39</f>
        <v>0</v>
      </c>
      <c r="F31" s="161">
        <v>0.99</v>
      </c>
      <c r="G31" s="161">
        <f>'Consommation du 01.08 au 31.08'!U39</f>
        <v>0</v>
      </c>
      <c r="H31" s="161">
        <v>7.8338000000000001</v>
      </c>
      <c r="I31" s="161">
        <f>'Consommation du 01.08 au 31.08'!Y39*1000</f>
        <v>0</v>
      </c>
      <c r="J31" s="161">
        <v>0.53</v>
      </c>
      <c r="K31" s="161">
        <f>'Consommation du 01.08 au 31.08'!D39</f>
        <v>0</v>
      </c>
      <c r="L31" s="161">
        <v>12.67</v>
      </c>
      <c r="M31" s="160">
        <f>'Consommation du 01.08 au 31.08'!AC39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8</v>
      </c>
      <c r="D32" s="160">
        <v>2020</v>
      </c>
      <c r="E32" s="161">
        <f>'Consommation du 01.08 au 31.08'!M40</f>
        <v>0</v>
      </c>
      <c r="F32" s="161">
        <v>0.99</v>
      </c>
      <c r="G32" s="161">
        <f>'Consommation du 01.08 au 31.08'!U40</f>
        <v>0</v>
      </c>
      <c r="H32" s="161">
        <v>7.8338000000000001</v>
      </c>
      <c r="I32" s="161">
        <f>'Consommation du 01.08 au 31.08'!Y40*1000</f>
        <v>0</v>
      </c>
      <c r="J32" s="161">
        <v>0.53</v>
      </c>
      <c r="K32" s="161">
        <f>'Consommation du 01.08 au 31.08'!D40</f>
        <v>0</v>
      </c>
      <c r="L32" s="161">
        <v>12.67</v>
      </c>
      <c r="M32" s="160">
        <f>'Consommation du 01.08 au 31.08'!AC40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3692.6199999993833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tabSelected="1" view="pageBreakPreview" zoomScale="60" zoomScaleNormal="60" workbookViewId="0">
      <selection activeCell="F41" sqref="F41:H41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44044</v>
      </c>
      <c r="C10" s="93"/>
      <c r="D10" s="148">
        <f>'Suivi EAU-ELEC'!C16</f>
        <v>70</v>
      </c>
      <c r="E10" s="152"/>
      <c r="F10" s="186">
        <f t="shared" ref="F10:F40" si="0">D10*12.67</f>
        <v>886.9</v>
      </c>
      <c r="G10" s="187"/>
      <c r="H10" s="188"/>
      <c r="I10" s="143"/>
      <c r="J10" s="94">
        <f>'Suivi EAU-ELEC'!E16</f>
        <v>939</v>
      </c>
      <c r="K10" s="95">
        <f>'Suivi EAU-ELEC'!G16</f>
        <v>1319</v>
      </c>
      <c r="L10" s="95">
        <f>'Suivi EAU-ELEC'!I16</f>
        <v>560</v>
      </c>
      <c r="M10" s="82">
        <f>L10+K10+J10</f>
        <v>2818</v>
      </c>
      <c r="N10" s="58"/>
      <c r="O10" s="59">
        <f>J10*0.99+K10*0.99+L10*0.99</f>
        <v>2789.82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17028.59</v>
      </c>
      <c r="Y10" s="154">
        <f t="shared" ref="Y10:Y40" si="1">IF(X11&lt;X10,0,X11-X10)</f>
        <v>2.9999999998835847E-2</v>
      </c>
      <c r="Z10" s="64">
        <f>Y10*0.53*1000</f>
        <v>15.899999999382999</v>
      </c>
      <c r="AA10" s="58"/>
      <c r="AB10" s="84">
        <v>38</v>
      </c>
      <c r="AC10" s="78">
        <v>0</v>
      </c>
      <c r="AD10" s="79">
        <v>0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3692.6199999993833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44045</v>
      </c>
      <c r="C11" s="93"/>
      <c r="D11" s="148">
        <f>'Suivi EAU-ELEC'!C17</f>
        <v>0</v>
      </c>
      <c r="E11" s="96"/>
      <c r="F11" s="186">
        <f t="shared" si="0"/>
        <v>0</v>
      </c>
      <c r="G11" s="187"/>
      <c r="H11" s="188"/>
      <c r="I11" s="143"/>
      <c r="J11" s="94">
        <f>'Suivi EAU-ELEC'!E17</f>
        <v>0</v>
      </c>
      <c r="K11" s="95">
        <f>'Suivi EAU-ELEC'!G17</f>
        <v>0</v>
      </c>
      <c r="L11" s="95">
        <f>'Suivi EAU-ELEC'!I17</f>
        <v>0</v>
      </c>
      <c r="M11" s="82">
        <f t="shared" ref="M11:M40" si="4">L11+K11+J11</f>
        <v>0</v>
      </c>
      <c r="N11" s="58"/>
      <c r="O11" s="59">
        <f t="shared" ref="O11:O40" si="5">J11*0.99+K11*0.99+L11*0.99</f>
        <v>0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17028.62</v>
      </c>
      <c r="Y11" s="149">
        <f t="shared" si="1"/>
        <v>0</v>
      </c>
      <c r="Z11" s="64">
        <f t="shared" ref="Z11:Z40" si="7">Y11*0.53*1000</f>
        <v>0</v>
      </c>
      <c r="AA11" s="58"/>
      <c r="AB11" s="84"/>
      <c r="AC11" s="78"/>
      <c r="AD11" s="79"/>
      <c r="AE11" s="83"/>
      <c r="AF11" s="83"/>
      <c r="AG11" s="80"/>
      <c r="AH11" s="81"/>
      <c r="AI11" s="146"/>
      <c r="AJ11" s="130">
        <f t="shared" si="2"/>
        <v>0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44046</v>
      </c>
      <c r="C12" s="93"/>
      <c r="D12" s="148">
        <f>'Suivi EAU-ELEC'!C18</f>
        <v>0</v>
      </c>
      <c r="E12" s="96"/>
      <c r="F12" s="186">
        <f t="shared" si="0"/>
        <v>0</v>
      </c>
      <c r="G12" s="187"/>
      <c r="H12" s="188"/>
      <c r="I12" s="143"/>
      <c r="J12" s="94">
        <f>'Suivi EAU-ELEC'!E18</f>
        <v>0</v>
      </c>
      <c r="K12" s="95">
        <f>'Suivi EAU-ELEC'!G18</f>
        <v>0</v>
      </c>
      <c r="L12" s="95">
        <f>'Suivi EAU-ELEC'!I18</f>
        <v>0</v>
      </c>
      <c r="M12" s="82">
        <f t="shared" si="4"/>
        <v>0</v>
      </c>
      <c r="N12" s="58"/>
      <c r="O12" s="59">
        <f t="shared" si="5"/>
        <v>0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/>
      <c r="Y12" s="149">
        <f t="shared" si="1"/>
        <v>0</v>
      </c>
      <c r="Z12" s="64">
        <f t="shared" si="7"/>
        <v>0</v>
      </c>
      <c r="AA12" s="58"/>
      <c r="AB12" s="84"/>
      <c r="AC12" s="78"/>
      <c r="AD12" s="79"/>
      <c r="AE12" s="83"/>
      <c r="AF12" s="83"/>
      <c r="AG12" s="80"/>
      <c r="AH12" s="81"/>
      <c r="AI12" s="44"/>
      <c r="AJ12" s="130">
        <f t="shared" si="2"/>
        <v>0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44047</v>
      </c>
      <c r="C13" s="93"/>
      <c r="D13" s="148">
        <f>'Suivi EAU-ELEC'!C19</f>
        <v>0</v>
      </c>
      <c r="E13" s="96"/>
      <c r="F13" s="205">
        <f t="shared" si="0"/>
        <v>0</v>
      </c>
      <c r="G13" s="206"/>
      <c r="H13" s="207"/>
      <c r="I13" s="143"/>
      <c r="J13" s="94">
        <f>'Suivi EAU-ELEC'!E19</f>
        <v>0</v>
      </c>
      <c r="K13" s="95">
        <f>'Suivi EAU-ELEC'!G19</f>
        <v>0</v>
      </c>
      <c r="L13" s="95">
        <f>'Suivi EAU-ELEC'!I19</f>
        <v>0</v>
      </c>
      <c r="M13" s="82">
        <f t="shared" si="4"/>
        <v>0</v>
      </c>
      <c r="N13" s="58"/>
      <c r="O13" s="59">
        <f t="shared" si="5"/>
        <v>0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/>
      <c r="Y13" s="149">
        <f t="shared" si="1"/>
        <v>0</v>
      </c>
      <c r="Z13" s="64">
        <f t="shared" si="7"/>
        <v>0</v>
      </c>
      <c r="AA13" s="58"/>
      <c r="AB13" s="61"/>
      <c r="AC13" s="78"/>
      <c r="AD13" s="79"/>
      <c r="AE13" s="83"/>
      <c r="AF13" s="83"/>
      <c r="AG13" s="80"/>
      <c r="AH13" s="81"/>
      <c r="AI13" s="44"/>
      <c r="AJ13" s="130">
        <f t="shared" si="2"/>
        <v>0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44048</v>
      </c>
      <c r="C14" s="93"/>
      <c r="D14" s="148">
        <f>'Suivi EAU-ELEC'!C20</f>
        <v>0</v>
      </c>
      <c r="E14" s="96"/>
      <c r="F14" s="186">
        <f t="shared" si="0"/>
        <v>0</v>
      </c>
      <c r="G14" s="187"/>
      <c r="H14" s="188"/>
      <c r="I14" s="143"/>
      <c r="J14" s="94">
        <f>'Suivi EAU-ELEC'!E20</f>
        <v>0</v>
      </c>
      <c r="K14" s="95">
        <f>'Suivi EAU-ELEC'!G20</f>
        <v>0</v>
      </c>
      <c r="L14" s="95">
        <f>'Suivi EAU-ELEC'!I20</f>
        <v>0</v>
      </c>
      <c r="M14" s="82">
        <f t="shared" si="4"/>
        <v>0</v>
      </c>
      <c r="N14" s="58"/>
      <c r="O14" s="59">
        <f t="shared" si="5"/>
        <v>0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/>
      <c r="Y14" s="149">
        <f t="shared" si="1"/>
        <v>0</v>
      </c>
      <c r="Z14" s="64">
        <f t="shared" si="7"/>
        <v>0</v>
      </c>
      <c r="AA14" s="58"/>
      <c r="AB14" s="61"/>
      <c r="AC14" s="78"/>
      <c r="AD14" s="79"/>
      <c r="AE14" s="83"/>
      <c r="AF14" s="83"/>
      <c r="AG14" s="80"/>
      <c r="AH14" s="81"/>
      <c r="AI14" s="44"/>
      <c r="AJ14" s="130">
        <f t="shared" si="2"/>
        <v>0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44049</v>
      </c>
      <c r="C15" s="93"/>
      <c r="D15" s="148">
        <f>'Suivi EAU-ELEC'!C21</f>
        <v>0</v>
      </c>
      <c r="E15" s="96"/>
      <c r="F15" s="208">
        <f t="shared" si="0"/>
        <v>0</v>
      </c>
      <c r="G15" s="209"/>
      <c r="H15" s="210"/>
      <c r="I15" s="145"/>
      <c r="J15" s="94">
        <f>'Suivi EAU-ELEC'!E21</f>
        <v>0</v>
      </c>
      <c r="K15" s="95">
        <f>'Suivi EAU-ELEC'!G21</f>
        <v>0</v>
      </c>
      <c r="L15" s="95">
        <f>'Suivi EAU-ELEC'!I21</f>
        <v>0</v>
      </c>
      <c r="M15" s="82">
        <f t="shared" si="4"/>
        <v>0</v>
      </c>
      <c r="N15" s="58"/>
      <c r="O15" s="59">
        <f t="shared" si="5"/>
        <v>0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/>
      <c r="Y15" s="149">
        <f t="shared" si="1"/>
        <v>0</v>
      </c>
      <c r="Z15" s="64">
        <f t="shared" si="7"/>
        <v>0</v>
      </c>
      <c r="AA15" s="58"/>
      <c r="AB15" s="61"/>
      <c r="AC15" s="78"/>
      <c r="AD15" s="79"/>
      <c r="AE15" s="83"/>
      <c r="AF15" s="83"/>
      <c r="AG15" s="80"/>
      <c r="AH15" s="81"/>
      <c r="AI15" s="44"/>
      <c r="AJ15" s="130">
        <f t="shared" si="2"/>
        <v>0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44050</v>
      </c>
      <c r="C16" s="93"/>
      <c r="D16" s="148">
        <f>'Suivi EAU-ELEC'!C22</f>
        <v>0</v>
      </c>
      <c r="E16" s="96"/>
      <c r="F16" s="205">
        <f t="shared" si="0"/>
        <v>0</v>
      </c>
      <c r="G16" s="206"/>
      <c r="H16" s="207"/>
      <c r="I16" s="142"/>
      <c r="J16" s="94">
        <f>'Suivi EAU-ELEC'!E22</f>
        <v>0</v>
      </c>
      <c r="K16" s="95">
        <f>'Suivi EAU-ELEC'!G22</f>
        <v>0</v>
      </c>
      <c r="L16" s="95">
        <f>'Suivi EAU-ELEC'!I22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/>
      <c r="Y16" s="149">
        <f t="shared" si="1"/>
        <v>0</v>
      </c>
      <c r="Z16" s="64">
        <f t="shared" si="7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30">
        <f t="shared" si="2"/>
        <v>0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44051</v>
      </c>
      <c r="C17" s="93"/>
      <c r="D17" s="148">
        <f>'Suivi EAU-ELEC'!C23</f>
        <v>0</v>
      </c>
      <c r="E17" s="96"/>
      <c r="F17" s="186">
        <f t="shared" si="0"/>
        <v>0</v>
      </c>
      <c r="G17" s="187"/>
      <c r="H17" s="188"/>
      <c r="I17" s="143"/>
      <c r="J17" s="94">
        <f>'Suivi EAU-ELEC'!E23</f>
        <v>0</v>
      </c>
      <c r="K17" s="95">
        <f>'Suivi EAU-ELEC'!G23</f>
        <v>0</v>
      </c>
      <c r="L17" s="95">
        <f>'Suivi EAU-ELEC'!I23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/>
      <c r="Y17" s="149">
        <f t="shared" si="1"/>
        <v>0</v>
      </c>
      <c r="Z17" s="64">
        <f t="shared" si="7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30">
        <f t="shared" si="2"/>
        <v>0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44052</v>
      </c>
      <c r="C18" s="93"/>
      <c r="D18" s="148">
        <f>'Suivi EAU-ELEC'!C24</f>
        <v>0</v>
      </c>
      <c r="E18" s="96"/>
      <c r="F18" s="208">
        <f t="shared" si="0"/>
        <v>0</v>
      </c>
      <c r="G18" s="209"/>
      <c r="H18" s="210"/>
      <c r="I18" s="143"/>
      <c r="J18" s="94">
        <f>'Suivi EAU-ELEC'!E24</f>
        <v>0</v>
      </c>
      <c r="K18" s="95">
        <f>'Suivi EAU-ELEC'!G24</f>
        <v>0</v>
      </c>
      <c r="L18" s="95">
        <f>'Suivi EAU-ELEC'!I24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/>
      <c r="Y18" s="149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44053</v>
      </c>
      <c r="C19" s="93"/>
      <c r="D19" s="148">
        <f>'Suivi EAU-ELEC'!C25</f>
        <v>0</v>
      </c>
      <c r="E19" s="96"/>
      <c r="F19" s="186">
        <f t="shared" si="0"/>
        <v>0</v>
      </c>
      <c r="G19" s="187"/>
      <c r="H19" s="188"/>
      <c r="I19" s="143"/>
      <c r="J19" s="94">
        <f>'Suivi EAU-ELEC'!E25</f>
        <v>0</v>
      </c>
      <c r="K19" s="95">
        <f>'Suivi EAU-ELEC'!G25</f>
        <v>0</v>
      </c>
      <c r="L19" s="95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/>
      <c r="Y19" s="149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44054</v>
      </c>
      <c r="C20" s="93"/>
      <c r="D20" s="148">
        <f>'Suivi EAU-ELEC'!C26</f>
        <v>0</v>
      </c>
      <c r="E20" s="96"/>
      <c r="F20" s="205">
        <f t="shared" si="0"/>
        <v>0</v>
      </c>
      <c r="G20" s="206"/>
      <c r="H20" s="207"/>
      <c r="I20" s="143"/>
      <c r="J20" s="94">
        <f>'Suivi EAU-ELEC'!E26</f>
        <v>0</v>
      </c>
      <c r="K20" s="95">
        <f>'Suivi EAU-ELEC'!G26</f>
        <v>0</v>
      </c>
      <c r="L20" s="95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/>
      <c r="Y20" s="149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44055</v>
      </c>
      <c r="C21" s="93"/>
      <c r="D21" s="148">
        <f>'Suivi EAU-ELEC'!C27</f>
        <v>0</v>
      </c>
      <c r="E21" s="96"/>
      <c r="F21" s="186">
        <f t="shared" si="0"/>
        <v>0</v>
      </c>
      <c r="G21" s="187"/>
      <c r="H21" s="188"/>
      <c r="I21" s="143"/>
      <c r="J21" s="94">
        <f>'Suivi EAU-ELEC'!E27</f>
        <v>0</v>
      </c>
      <c r="K21" s="95">
        <f>'Suivi EAU-ELEC'!G27</f>
        <v>0</v>
      </c>
      <c r="L21" s="95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/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44056</v>
      </c>
      <c r="C22" s="93"/>
      <c r="D22" s="148">
        <f>'Suivi EAU-ELEC'!C28</f>
        <v>0</v>
      </c>
      <c r="E22" s="96"/>
      <c r="F22" s="208">
        <f t="shared" si="0"/>
        <v>0</v>
      </c>
      <c r="G22" s="209"/>
      <c r="H22" s="210"/>
      <c r="I22" s="143"/>
      <c r="J22" s="94">
        <f>'Suivi EAU-ELEC'!E28</f>
        <v>0</v>
      </c>
      <c r="K22" s="95">
        <f>'Suivi EAU-ELEC'!G28</f>
        <v>0</v>
      </c>
      <c r="L22" s="95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44057</v>
      </c>
      <c r="C23" s="93"/>
      <c r="D23" s="148">
        <f>'Suivi EAU-ELEC'!C29</f>
        <v>0</v>
      </c>
      <c r="E23" s="96"/>
      <c r="F23" s="186">
        <f t="shared" si="0"/>
        <v>0</v>
      </c>
      <c r="G23" s="187"/>
      <c r="H23" s="188"/>
      <c r="I23" s="143"/>
      <c r="J23" s="94">
        <f>'Suivi EAU-ELEC'!E29</f>
        <v>0</v>
      </c>
      <c r="K23" s="95">
        <f>'Suivi EAU-ELEC'!G29</f>
        <v>0</v>
      </c>
      <c r="L23" s="95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44058</v>
      </c>
      <c r="C24" s="93"/>
      <c r="D24" s="148">
        <f>'Suivi EAU-ELEC'!C30</f>
        <v>0</v>
      </c>
      <c r="E24" s="96"/>
      <c r="F24" s="186">
        <f t="shared" si="0"/>
        <v>0</v>
      </c>
      <c r="G24" s="187"/>
      <c r="H24" s="188"/>
      <c r="I24" s="143"/>
      <c r="J24" s="94">
        <f>'Suivi EAU-ELEC'!E30</f>
        <v>0</v>
      </c>
      <c r="K24" s="95">
        <f>'Suivi EAU-ELEC'!G30</f>
        <v>0</v>
      </c>
      <c r="L24" s="95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44059</v>
      </c>
      <c r="C25" s="93"/>
      <c r="D25" s="148">
        <f>'Suivi EAU-ELEC'!C31</f>
        <v>0</v>
      </c>
      <c r="E25" s="96"/>
      <c r="F25" s="186">
        <f t="shared" si="0"/>
        <v>0</v>
      </c>
      <c r="G25" s="187"/>
      <c r="H25" s="188"/>
      <c r="I25" s="143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44060</v>
      </c>
      <c r="C26" s="93"/>
      <c r="D26" s="148">
        <f>'Suivi EAU-ELEC'!C32</f>
        <v>0</v>
      </c>
      <c r="E26" s="151"/>
      <c r="F26" s="186">
        <f t="shared" si="0"/>
        <v>0</v>
      </c>
      <c r="G26" s="187"/>
      <c r="H26" s="188"/>
      <c r="I26" s="143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44061</v>
      </c>
      <c r="C27" s="93"/>
      <c r="D27" s="148">
        <f>'Suivi EAU-ELEC'!C33</f>
        <v>0</v>
      </c>
      <c r="E27" s="151"/>
      <c r="F27" s="186">
        <f t="shared" si="0"/>
        <v>0</v>
      </c>
      <c r="G27" s="187"/>
      <c r="H27" s="188"/>
      <c r="I27" s="143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44062</v>
      </c>
      <c r="C28" s="93"/>
      <c r="D28" s="148">
        <f>'Suivi EAU-ELEC'!C34</f>
        <v>0</v>
      </c>
      <c r="E28" s="151"/>
      <c r="F28" s="205">
        <f t="shared" si="0"/>
        <v>0</v>
      </c>
      <c r="G28" s="206"/>
      <c r="H28" s="207"/>
      <c r="I28" s="144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44063</v>
      </c>
      <c r="C29" s="93"/>
      <c r="D29" s="148">
        <f>'Suivi EAU-ELEC'!C35</f>
        <v>0</v>
      </c>
      <c r="E29" s="151"/>
      <c r="F29" s="186">
        <f t="shared" si="0"/>
        <v>0</v>
      </c>
      <c r="G29" s="187"/>
      <c r="H29" s="188"/>
      <c r="I29" s="144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44064</v>
      </c>
      <c r="C30" s="98"/>
      <c r="D30" s="148">
        <f>'Suivi EAU-ELEC'!C36</f>
        <v>0</v>
      </c>
      <c r="E30" s="151"/>
      <c r="F30" s="205">
        <f t="shared" si="0"/>
        <v>0</v>
      </c>
      <c r="G30" s="206"/>
      <c r="H30" s="207"/>
      <c r="I30" s="144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44065</v>
      </c>
      <c r="C31" s="93"/>
      <c r="D31" s="148">
        <f>'Suivi EAU-ELEC'!C37</f>
        <v>0</v>
      </c>
      <c r="E31" s="96"/>
      <c r="F31" s="186">
        <f t="shared" si="0"/>
        <v>0</v>
      </c>
      <c r="G31" s="187"/>
      <c r="H31" s="188"/>
      <c r="I31" s="145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>IF(X33&lt;X31,0,X33-X31)</f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44066</v>
      </c>
      <c r="C32" s="93"/>
      <c r="D32" s="148">
        <f>'Suivi EAU-ELEC'!C38</f>
        <v>0</v>
      </c>
      <c r="E32" s="96"/>
      <c r="F32" s="186">
        <f t="shared" si="0"/>
        <v>0</v>
      </c>
      <c r="G32" s="187"/>
      <c r="H32" s="188"/>
      <c r="I32" s="142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ref="Y32:Y33" si="9">IF(X34&lt;X32,0,X34-X32)</f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44067</v>
      </c>
      <c r="C33" s="93"/>
      <c r="D33" s="148">
        <f>'Suivi EAU-ELEC'!C39</f>
        <v>0</v>
      </c>
      <c r="E33" s="96"/>
      <c r="F33" s="186">
        <f t="shared" si="0"/>
        <v>0</v>
      </c>
      <c r="G33" s="187"/>
      <c r="H33" s="188"/>
      <c r="I33" s="143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9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44068</v>
      </c>
      <c r="C34" s="93"/>
      <c r="D34" s="148">
        <f>'Suivi EAU-ELEC'!C40</f>
        <v>0</v>
      </c>
      <c r="E34" s="96"/>
      <c r="F34" s="186">
        <f t="shared" si="0"/>
        <v>0</v>
      </c>
      <c r="G34" s="187"/>
      <c r="H34" s="188"/>
      <c r="I34" s="143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44069</v>
      </c>
      <c r="C35" s="93"/>
      <c r="D35" s="148">
        <f>'Suivi EAU-ELEC'!C41</f>
        <v>0</v>
      </c>
      <c r="E35" s="96"/>
      <c r="F35" s="208">
        <f t="shared" si="0"/>
        <v>0</v>
      </c>
      <c r="G35" s="209"/>
      <c r="H35" s="210"/>
      <c r="I35" s="143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44070</v>
      </c>
      <c r="C36" s="93"/>
      <c r="D36" s="148">
        <f>'Suivi EAU-ELEC'!C42</f>
        <v>0</v>
      </c>
      <c r="E36" s="96"/>
      <c r="F36" s="211">
        <f t="shared" si="0"/>
        <v>0</v>
      </c>
      <c r="G36" s="212"/>
      <c r="H36" s="213"/>
      <c r="I36" s="143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44071</v>
      </c>
      <c r="C37" s="93"/>
      <c r="D37" s="148">
        <f>'Suivi EAU-ELEC'!C43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44072</v>
      </c>
      <c r="C38" s="93"/>
      <c r="D38" s="148">
        <f>'Suivi EAU-ELEC'!C44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44073</v>
      </c>
      <c r="C39" s="93"/>
      <c r="D39" s="148">
        <f>'Suivi EAU-ELEC'!C45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44074</v>
      </c>
      <c r="C40" s="93"/>
      <c r="D40" s="148">
        <f>'Suivi EAU-ELEC'!C46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886.9</v>
      </c>
      <c r="G41" s="218"/>
      <c r="H41" s="219"/>
      <c r="I41" s="102"/>
      <c r="J41" s="104">
        <f>SUM(J10:J40)</f>
        <v>939</v>
      </c>
      <c r="K41" s="104">
        <f>SUM(K10:K40)</f>
        <v>1319</v>
      </c>
      <c r="L41" s="104">
        <f>SUM(L10:L40)</f>
        <v>560</v>
      </c>
      <c r="M41" s="104">
        <f>SUM(M10:M40)</f>
        <v>2818</v>
      </c>
      <c r="N41" s="103"/>
      <c r="O41" s="104">
        <f>SUM(O10:O40)</f>
        <v>2789.82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0</v>
      </c>
      <c r="V41" s="58"/>
      <c r="W41" s="104">
        <f>SUM(W10:W40)</f>
        <v>0</v>
      </c>
      <c r="X41" s="140"/>
      <c r="Y41" s="104">
        <f>SUM(Y10:Y40)</f>
        <v>2.9999999998835847E-2</v>
      </c>
      <c r="Z41" s="104">
        <f>SUM(Z10:Z40)</f>
        <v>15.899999999382999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3692.6199999993833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939</v>
      </c>
      <c r="H43" s="228"/>
      <c r="I43" s="229"/>
      <c r="J43" s="230">
        <f>G43*F43</f>
        <v>609.36405000000002</v>
      </c>
      <c r="K43" s="231"/>
      <c r="L43" s="232">
        <f>J43+J44+J45</f>
        <v>2473.4944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1319</v>
      </c>
      <c r="H44" s="228"/>
      <c r="I44" s="229"/>
      <c r="J44" s="230">
        <f>G44*F44</f>
        <v>1168.6999499999999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560</v>
      </c>
      <c r="H45" s="242"/>
      <c r="I45" s="243"/>
      <c r="J45" s="230">
        <f>G45*F45</f>
        <v>695.43040000000008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7.8338000000000001</v>
      </c>
      <c r="G47" s="256">
        <f>U41</f>
        <v>0</v>
      </c>
      <c r="H47" s="257"/>
      <c r="I47" s="258"/>
      <c r="J47" s="256">
        <f>G47*F47</f>
        <v>0</v>
      </c>
      <c r="K47" s="258"/>
      <c r="L47" s="259">
        <f>J47</f>
        <v>0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2" sqref="B12:H12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44037</v>
      </c>
      <c r="B4" s="20">
        <v>76</v>
      </c>
      <c r="C4" s="18">
        <f t="shared" ref="C4:C12" si="0">IF(AC4&gt;0,((B4-R4)+(S4-B5)),IF(B5=0, ,(B4-B5)))</f>
        <v>0</v>
      </c>
      <c r="D4" s="20">
        <v>77</v>
      </c>
      <c r="E4" s="18">
        <f t="shared" ref="E4:E12" si="1">IF(AC4&gt;0,((D4-U4)+(V4-D5)),IF(D5=0, ,(D4-D5)))</f>
        <v>0</v>
      </c>
      <c r="F4" s="20">
        <v>72</v>
      </c>
      <c r="G4" s="18">
        <f t="shared" ref="G4:G12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300</v>
      </c>
      <c r="K4" s="18">
        <f t="shared" ref="K4:K11" si="5">J4/4</f>
        <v>75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44038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72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300</v>
      </c>
      <c r="K5" s="18">
        <f t="shared" si="5"/>
        <v>75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44039</v>
      </c>
      <c r="B6" s="20">
        <v>76</v>
      </c>
      <c r="C6" s="18">
        <f t="shared" si="0"/>
        <v>1</v>
      </c>
      <c r="D6" s="20">
        <v>77</v>
      </c>
      <c r="E6" s="18">
        <f t="shared" si="1"/>
        <v>0</v>
      </c>
      <c r="F6" s="20">
        <v>72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300</v>
      </c>
      <c r="K6" s="18">
        <f t="shared" si="5"/>
        <v>75</v>
      </c>
      <c r="L6" s="18">
        <f t="shared" si="6"/>
        <v>0.25</v>
      </c>
      <c r="M6" s="18">
        <f t="shared" si="7"/>
        <v>28000</v>
      </c>
      <c r="N6" s="18">
        <f t="shared" si="8"/>
        <v>70</v>
      </c>
      <c r="O6" s="18">
        <f t="shared" si="9"/>
        <v>37.1</v>
      </c>
      <c r="P6" s="21">
        <f t="shared" si="10"/>
        <v>290.63398000000001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44040</v>
      </c>
      <c r="B7" s="20">
        <v>75</v>
      </c>
      <c r="C7" s="18">
        <f t="shared" si="0"/>
        <v>0</v>
      </c>
      <c r="D7" s="20">
        <v>77</v>
      </c>
      <c r="E7" s="18">
        <f t="shared" si="1"/>
        <v>0</v>
      </c>
      <c r="F7" s="20">
        <v>72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299</v>
      </c>
      <c r="K7" s="18">
        <f t="shared" si="5"/>
        <v>74.75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44041</v>
      </c>
      <c r="B8" s="20">
        <v>75</v>
      </c>
      <c r="C8" s="18">
        <f t="shared" si="0"/>
        <v>0</v>
      </c>
      <c r="D8" s="20">
        <v>77</v>
      </c>
      <c r="E8" s="18">
        <f t="shared" si="1"/>
        <v>0</v>
      </c>
      <c r="F8" s="20">
        <v>72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299</v>
      </c>
      <c r="K8" s="18">
        <f t="shared" si="5"/>
        <v>74.75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44042</v>
      </c>
      <c r="B9" s="20">
        <v>75</v>
      </c>
      <c r="C9" s="18">
        <f t="shared" si="0"/>
        <v>0</v>
      </c>
      <c r="D9" s="20">
        <v>77</v>
      </c>
      <c r="E9" s="18">
        <f t="shared" si="1"/>
        <v>0</v>
      </c>
      <c r="F9" s="20">
        <v>72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299</v>
      </c>
      <c r="K9" s="18">
        <f t="shared" si="5"/>
        <v>74.75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44043</v>
      </c>
      <c r="B10" s="20">
        <v>75</v>
      </c>
      <c r="C10" s="18">
        <f t="shared" si="0"/>
        <v>0</v>
      </c>
      <c r="D10" s="20">
        <v>77</v>
      </c>
      <c r="E10" s="18">
        <f t="shared" si="1"/>
        <v>0</v>
      </c>
      <c r="F10" s="20">
        <v>72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299</v>
      </c>
      <c r="K10" s="18">
        <f t="shared" si="5"/>
        <v>74.75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44044</v>
      </c>
      <c r="B11" s="20">
        <v>75</v>
      </c>
      <c r="C11" s="18">
        <f t="shared" si="0"/>
        <v>0</v>
      </c>
      <c r="D11" s="20">
        <v>77</v>
      </c>
      <c r="E11" s="18">
        <f t="shared" si="1"/>
        <v>0</v>
      </c>
      <c r="F11" s="20">
        <v>72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299</v>
      </c>
      <c r="K11" s="18">
        <f t="shared" si="5"/>
        <v>74.75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44045</v>
      </c>
      <c r="B12" s="20">
        <v>75</v>
      </c>
      <c r="C12" s="18">
        <f t="shared" ref="C12" si="16">IF(AC12&gt;0,((B12-R12)+(S12-B13)),IF(B13=0, ,(B12-B13)))</f>
        <v>0</v>
      </c>
      <c r="D12" s="20">
        <v>77</v>
      </c>
      <c r="E12" s="18">
        <f t="shared" ref="E12" si="17">IF(AC12&gt;0,((D12-U12)+(V12-D13)),IF(D13=0, ,(D12-D13)))</f>
        <v>0</v>
      </c>
      <c r="F12" s="20">
        <v>72</v>
      </c>
      <c r="G12" s="18">
        <f t="shared" ref="G12" si="18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9">B12+D12+F12+H12</f>
        <v>299</v>
      </c>
      <c r="K12" s="18">
        <f t="shared" ref="K12:K42" si="20">J12/4</f>
        <v>74.75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1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44046</v>
      </c>
      <c r="B13" s="20"/>
      <c r="C13" s="18">
        <f t="shared" ref="C13:C42" si="22">IF(AC13&gt;0,((B13-R13)+(S13-B14)),IF(B14=0, ,(B13-B14)))</f>
        <v>0</v>
      </c>
      <c r="D13" s="20"/>
      <c r="E13" s="18">
        <f t="shared" ref="E13:E42" si="23">IF(AC13&gt;0,((D13-U13)+(V13-D14)),IF(D14=0, ,(D13-D14)))</f>
        <v>0</v>
      </c>
      <c r="F13" s="20"/>
      <c r="G13" s="18">
        <f t="shared" ref="G13:G42" si="24">IF(AC13&gt;0,((F13-X13)+(Y13-F14)),IF(F14=0, ,(F13-F14)))</f>
        <v>0</v>
      </c>
      <c r="H13" s="20"/>
      <c r="I13" s="18">
        <f t="shared" si="3"/>
        <v>0</v>
      </c>
      <c r="J13" s="18">
        <f t="shared" si="19"/>
        <v>0</v>
      </c>
      <c r="K13" s="18">
        <f t="shared" si="20"/>
        <v>0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1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44047</v>
      </c>
      <c r="B14" s="20"/>
      <c r="C14" s="18">
        <f t="shared" si="22"/>
        <v>0</v>
      </c>
      <c r="D14" s="20"/>
      <c r="E14" s="18">
        <f t="shared" si="23"/>
        <v>0</v>
      </c>
      <c r="F14" s="20"/>
      <c r="G14" s="18">
        <f t="shared" si="24"/>
        <v>0</v>
      </c>
      <c r="H14" s="20"/>
      <c r="I14" s="18">
        <f t="shared" si="3"/>
        <v>0</v>
      </c>
      <c r="J14" s="18">
        <f t="shared" si="19"/>
        <v>0</v>
      </c>
      <c r="K14" s="18">
        <f t="shared" si="20"/>
        <v>0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4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1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3"/>
        <v>44048</v>
      </c>
      <c r="B15" s="20"/>
      <c r="C15" s="18">
        <f t="shared" si="22"/>
        <v>0</v>
      </c>
      <c r="D15" s="20"/>
      <c r="E15" s="18">
        <f t="shared" si="23"/>
        <v>0</v>
      </c>
      <c r="F15" s="20"/>
      <c r="G15" s="18">
        <f t="shared" si="24"/>
        <v>0</v>
      </c>
      <c r="H15" s="20"/>
      <c r="I15" s="18">
        <f t="shared" si="3"/>
        <v>0</v>
      </c>
      <c r="J15" s="18">
        <f t="shared" si="19"/>
        <v>0</v>
      </c>
      <c r="K15" s="18">
        <f t="shared" si="20"/>
        <v>0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1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3"/>
        <v>44049</v>
      </c>
      <c r="B16" s="20"/>
      <c r="C16" s="18">
        <f t="shared" si="22"/>
        <v>0</v>
      </c>
      <c r="D16" s="20"/>
      <c r="E16" s="18">
        <f t="shared" si="23"/>
        <v>0</v>
      </c>
      <c r="F16" s="20"/>
      <c r="G16" s="18">
        <f t="shared" si="24"/>
        <v>0</v>
      </c>
      <c r="H16" s="20"/>
      <c r="I16" s="18">
        <f t="shared" si="3"/>
        <v>0</v>
      </c>
      <c r="J16" s="18">
        <f t="shared" si="19"/>
        <v>0</v>
      </c>
      <c r="K16" s="18">
        <f t="shared" si="20"/>
        <v>0</v>
      </c>
      <c r="L16" s="18">
        <f t="shared" si="6"/>
        <v>0</v>
      </c>
      <c r="M16" s="18">
        <f t="shared" si="7"/>
        <v>28000</v>
      </c>
      <c r="N16" s="18">
        <f t="shared" ref="N16:N42" si="27">L16*M16/100</f>
        <v>0</v>
      </c>
      <c r="O16" s="18">
        <f t="shared" ref="O16:O42" si="28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1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3"/>
        <v>44050</v>
      </c>
      <c r="B17" s="20"/>
      <c r="C17" s="18">
        <f t="shared" si="22"/>
        <v>0</v>
      </c>
      <c r="D17" s="20"/>
      <c r="E17" s="18">
        <f t="shared" si="23"/>
        <v>0</v>
      </c>
      <c r="F17" s="20"/>
      <c r="G17" s="18">
        <f t="shared" si="24"/>
        <v>0</v>
      </c>
      <c r="H17" s="20"/>
      <c r="I17" s="18">
        <f t="shared" si="3"/>
        <v>0</v>
      </c>
      <c r="J17" s="18">
        <f t="shared" si="19"/>
        <v>0</v>
      </c>
      <c r="K17" s="18">
        <f t="shared" si="20"/>
        <v>0</v>
      </c>
      <c r="L17" s="18">
        <f t="shared" ref="L17:L42" si="29">IF(AC17&gt;0,((K17-AD17)+(AE17-K18)),IF(K18=0, ,(K17-K18)))</f>
        <v>0</v>
      </c>
      <c r="M17" s="18">
        <f t="shared" si="7"/>
        <v>28000</v>
      </c>
      <c r="N17" s="18">
        <f t="shared" si="27"/>
        <v>0</v>
      </c>
      <c r="O17" s="18">
        <f t="shared" si="28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1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3"/>
        <v>44051</v>
      </c>
      <c r="B18" s="20"/>
      <c r="C18" s="18">
        <f t="shared" si="22"/>
        <v>0</v>
      </c>
      <c r="D18" s="20"/>
      <c r="E18" s="18">
        <f t="shared" si="23"/>
        <v>0</v>
      </c>
      <c r="F18" s="20"/>
      <c r="G18" s="18">
        <f t="shared" si="24"/>
        <v>0</v>
      </c>
      <c r="H18" s="20"/>
      <c r="I18" s="18">
        <f t="shared" ref="I18:I42" si="30">IF(AC18&gt;0,((H18-AA18)+(AB18-H19)),IF(H19=0, ,(H18-H19)))</f>
        <v>0</v>
      </c>
      <c r="J18" s="18">
        <f t="shared" si="19"/>
        <v>0</v>
      </c>
      <c r="K18" s="18">
        <f t="shared" si="20"/>
        <v>0</v>
      </c>
      <c r="L18" s="18">
        <f t="shared" si="29"/>
        <v>0</v>
      </c>
      <c r="M18" s="18">
        <f t="shared" si="7"/>
        <v>28000</v>
      </c>
      <c r="N18" s="18">
        <f t="shared" si="27"/>
        <v>0</v>
      </c>
      <c r="O18" s="18">
        <f t="shared" si="28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1"/>
        <v>0</v>
      </c>
      <c r="AD18" s="49">
        <f t="shared" si="25"/>
        <v>0</v>
      </c>
      <c r="AE18" s="49">
        <f t="shared" si="26"/>
        <v>0</v>
      </c>
    </row>
    <row r="19" spans="1:31" ht="32.25" customHeight="1" x14ac:dyDescent="0.3">
      <c r="A19" s="19">
        <f t="shared" si="13"/>
        <v>44052</v>
      </c>
      <c r="B19" s="20"/>
      <c r="C19" s="18">
        <f t="shared" si="22"/>
        <v>0</v>
      </c>
      <c r="D19" s="20"/>
      <c r="E19" s="18">
        <f t="shared" si="23"/>
        <v>0</v>
      </c>
      <c r="F19" s="20"/>
      <c r="G19" s="18">
        <f t="shared" si="24"/>
        <v>0</v>
      </c>
      <c r="H19" s="20"/>
      <c r="I19" s="18">
        <f t="shared" si="30"/>
        <v>0</v>
      </c>
      <c r="J19" s="18">
        <f t="shared" si="19"/>
        <v>0</v>
      </c>
      <c r="K19" s="18">
        <f t="shared" si="20"/>
        <v>0</v>
      </c>
      <c r="L19" s="18">
        <f t="shared" si="29"/>
        <v>0</v>
      </c>
      <c r="M19" s="18">
        <f t="shared" si="7"/>
        <v>28000</v>
      </c>
      <c r="N19" s="18">
        <f t="shared" si="27"/>
        <v>0</v>
      </c>
      <c r="O19" s="18">
        <f t="shared" si="28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1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3"/>
        <v>44053</v>
      </c>
      <c r="B20" s="20"/>
      <c r="C20" s="18">
        <f t="shared" si="22"/>
        <v>0</v>
      </c>
      <c r="D20" s="20"/>
      <c r="E20" s="18">
        <f t="shared" si="23"/>
        <v>0</v>
      </c>
      <c r="F20" s="20"/>
      <c r="G20" s="18">
        <f t="shared" si="24"/>
        <v>0</v>
      </c>
      <c r="H20" s="20"/>
      <c r="I20" s="18">
        <f t="shared" si="30"/>
        <v>0</v>
      </c>
      <c r="J20" s="18">
        <f t="shared" si="19"/>
        <v>0</v>
      </c>
      <c r="K20" s="18">
        <f t="shared" si="20"/>
        <v>0</v>
      </c>
      <c r="L20" s="18">
        <f t="shared" si="29"/>
        <v>0</v>
      </c>
      <c r="M20" s="18">
        <f t="shared" si="7"/>
        <v>28000</v>
      </c>
      <c r="N20" s="18">
        <f t="shared" si="27"/>
        <v>0</v>
      </c>
      <c r="O20" s="18">
        <f t="shared" si="28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1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3"/>
        <v>44054</v>
      </c>
      <c r="B21" s="20"/>
      <c r="C21" s="18">
        <f t="shared" si="22"/>
        <v>0</v>
      </c>
      <c r="D21" s="20"/>
      <c r="E21" s="18">
        <f t="shared" si="23"/>
        <v>0</v>
      </c>
      <c r="F21" s="20"/>
      <c r="G21" s="18">
        <f t="shared" si="24"/>
        <v>0</v>
      </c>
      <c r="H21" s="20"/>
      <c r="I21" s="18">
        <f t="shared" si="30"/>
        <v>0</v>
      </c>
      <c r="J21" s="18">
        <f t="shared" si="19"/>
        <v>0</v>
      </c>
      <c r="K21" s="18">
        <f t="shared" si="20"/>
        <v>0</v>
      </c>
      <c r="L21" s="18">
        <f t="shared" si="29"/>
        <v>0</v>
      </c>
      <c r="M21" s="18">
        <f t="shared" si="7"/>
        <v>28000</v>
      </c>
      <c r="N21" s="18">
        <f t="shared" si="27"/>
        <v>0</v>
      </c>
      <c r="O21" s="18">
        <f t="shared" si="28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1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3"/>
        <v>44055</v>
      </c>
      <c r="B22" s="20"/>
      <c r="C22" s="18">
        <f t="shared" si="22"/>
        <v>0</v>
      </c>
      <c r="D22" s="20"/>
      <c r="E22" s="18">
        <f t="shared" si="23"/>
        <v>0</v>
      </c>
      <c r="F22" s="20"/>
      <c r="G22" s="18">
        <f t="shared" si="24"/>
        <v>0</v>
      </c>
      <c r="H22" s="20"/>
      <c r="I22" s="18">
        <f t="shared" si="30"/>
        <v>0</v>
      </c>
      <c r="J22" s="18">
        <f t="shared" si="19"/>
        <v>0</v>
      </c>
      <c r="K22" s="18">
        <f t="shared" si="20"/>
        <v>0</v>
      </c>
      <c r="L22" s="18">
        <f t="shared" si="29"/>
        <v>0</v>
      </c>
      <c r="M22" s="18">
        <f t="shared" si="7"/>
        <v>28000</v>
      </c>
      <c r="N22" s="18">
        <f t="shared" si="27"/>
        <v>0</v>
      </c>
      <c r="O22" s="18">
        <f t="shared" si="28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1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3"/>
        <v>44056</v>
      </c>
      <c r="B23" s="20"/>
      <c r="C23" s="18">
        <f t="shared" si="22"/>
        <v>0</v>
      </c>
      <c r="D23" s="20"/>
      <c r="E23" s="18">
        <f t="shared" si="23"/>
        <v>0</v>
      </c>
      <c r="F23" s="20"/>
      <c r="G23" s="18">
        <f t="shared" si="24"/>
        <v>0</v>
      </c>
      <c r="H23" s="20"/>
      <c r="I23" s="18">
        <f t="shared" si="30"/>
        <v>0</v>
      </c>
      <c r="J23" s="18">
        <f t="shared" si="19"/>
        <v>0</v>
      </c>
      <c r="K23" s="18">
        <f t="shared" si="20"/>
        <v>0</v>
      </c>
      <c r="L23" s="18">
        <f t="shared" si="29"/>
        <v>0</v>
      </c>
      <c r="M23" s="18">
        <f t="shared" si="7"/>
        <v>28000</v>
      </c>
      <c r="N23" s="18">
        <f t="shared" si="27"/>
        <v>0</v>
      </c>
      <c r="O23" s="18">
        <f t="shared" si="28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1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3"/>
        <v>44057</v>
      </c>
      <c r="B24" s="20"/>
      <c r="C24" s="18">
        <f t="shared" si="22"/>
        <v>0</v>
      </c>
      <c r="D24" s="20"/>
      <c r="E24" s="18">
        <f t="shared" si="23"/>
        <v>0</v>
      </c>
      <c r="F24" s="20"/>
      <c r="G24" s="18">
        <f t="shared" si="24"/>
        <v>0</v>
      </c>
      <c r="H24" s="20"/>
      <c r="I24" s="18">
        <f t="shared" si="30"/>
        <v>0</v>
      </c>
      <c r="J24" s="18">
        <f t="shared" si="19"/>
        <v>0</v>
      </c>
      <c r="K24" s="18">
        <f t="shared" si="20"/>
        <v>0</v>
      </c>
      <c r="L24" s="18">
        <f t="shared" si="29"/>
        <v>0</v>
      </c>
      <c r="M24" s="18">
        <f t="shared" si="7"/>
        <v>28000</v>
      </c>
      <c r="N24" s="18">
        <f t="shared" si="27"/>
        <v>0</v>
      </c>
      <c r="O24" s="18">
        <f t="shared" si="28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1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3"/>
        <v>44058</v>
      </c>
      <c r="B25" s="20"/>
      <c r="C25" s="18">
        <f t="shared" si="22"/>
        <v>0</v>
      </c>
      <c r="D25" s="20"/>
      <c r="E25" s="18">
        <f t="shared" si="23"/>
        <v>0</v>
      </c>
      <c r="F25" s="20"/>
      <c r="G25" s="18">
        <f t="shared" si="24"/>
        <v>0</v>
      </c>
      <c r="H25" s="20"/>
      <c r="I25" s="18">
        <f t="shared" si="30"/>
        <v>0</v>
      </c>
      <c r="J25" s="18">
        <f t="shared" si="19"/>
        <v>0</v>
      </c>
      <c r="K25" s="18">
        <f t="shared" si="20"/>
        <v>0</v>
      </c>
      <c r="L25" s="18">
        <f t="shared" si="29"/>
        <v>0</v>
      </c>
      <c r="M25" s="18">
        <f t="shared" si="7"/>
        <v>28000</v>
      </c>
      <c r="N25" s="18">
        <f t="shared" si="27"/>
        <v>0</v>
      </c>
      <c r="O25" s="18">
        <f t="shared" si="28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1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3"/>
        <v>44059</v>
      </c>
      <c r="B26" s="20"/>
      <c r="C26" s="18">
        <f t="shared" si="22"/>
        <v>0</v>
      </c>
      <c r="D26" s="20"/>
      <c r="E26" s="18">
        <f t="shared" si="23"/>
        <v>0</v>
      </c>
      <c r="F26" s="20"/>
      <c r="G26" s="18">
        <f t="shared" si="24"/>
        <v>0</v>
      </c>
      <c r="H26" s="20"/>
      <c r="I26" s="18">
        <f t="shared" si="30"/>
        <v>0</v>
      </c>
      <c r="J26" s="18">
        <f t="shared" si="19"/>
        <v>0</v>
      </c>
      <c r="K26" s="18">
        <f t="shared" si="20"/>
        <v>0</v>
      </c>
      <c r="L26" s="18">
        <f t="shared" si="29"/>
        <v>0</v>
      </c>
      <c r="M26" s="18">
        <f t="shared" si="7"/>
        <v>28000</v>
      </c>
      <c r="N26" s="18">
        <f t="shared" si="27"/>
        <v>0</v>
      </c>
      <c r="O26" s="18">
        <f t="shared" si="28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1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3"/>
        <v>44060</v>
      </c>
      <c r="B27" s="20"/>
      <c r="C27" s="18">
        <f t="shared" si="22"/>
        <v>0</v>
      </c>
      <c r="D27" s="20"/>
      <c r="E27" s="18">
        <f t="shared" si="23"/>
        <v>0</v>
      </c>
      <c r="F27" s="20"/>
      <c r="G27" s="18">
        <f t="shared" si="24"/>
        <v>0</v>
      </c>
      <c r="H27" s="20"/>
      <c r="I27" s="18">
        <f t="shared" si="30"/>
        <v>0</v>
      </c>
      <c r="J27" s="18">
        <f t="shared" si="19"/>
        <v>0</v>
      </c>
      <c r="K27" s="18">
        <f t="shared" si="20"/>
        <v>0</v>
      </c>
      <c r="L27" s="18">
        <f t="shared" si="29"/>
        <v>0</v>
      </c>
      <c r="M27" s="18">
        <f t="shared" si="7"/>
        <v>28000</v>
      </c>
      <c r="N27" s="18">
        <f t="shared" si="27"/>
        <v>0</v>
      </c>
      <c r="O27" s="18">
        <f t="shared" si="28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1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3"/>
        <v>44061</v>
      </c>
      <c r="B28" s="20"/>
      <c r="C28" s="18">
        <f t="shared" si="22"/>
        <v>0</v>
      </c>
      <c r="D28" s="20"/>
      <c r="E28" s="18">
        <f t="shared" si="23"/>
        <v>0</v>
      </c>
      <c r="F28" s="20"/>
      <c r="G28" s="18">
        <f t="shared" si="24"/>
        <v>0</v>
      </c>
      <c r="H28" s="20"/>
      <c r="I28" s="18">
        <f t="shared" si="30"/>
        <v>0</v>
      </c>
      <c r="J28" s="18">
        <f t="shared" si="19"/>
        <v>0</v>
      </c>
      <c r="K28" s="18">
        <f t="shared" si="20"/>
        <v>0</v>
      </c>
      <c r="L28" s="18">
        <f t="shared" si="29"/>
        <v>0</v>
      </c>
      <c r="M28" s="18">
        <f t="shared" si="7"/>
        <v>28000</v>
      </c>
      <c r="N28" s="18">
        <f t="shared" si="27"/>
        <v>0</v>
      </c>
      <c r="O28" s="18">
        <f t="shared" si="28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1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3"/>
        <v>44062</v>
      </c>
      <c r="B29" s="20"/>
      <c r="C29" s="18">
        <f t="shared" si="22"/>
        <v>0</v>
      </c>
      <c r="D29" s="20"/>
      <c r="E29" s="18">
        <f t="shared" si="23"/>
        <v>0</v>
      </c>
      <c r="F29" s="20"/>
      <c r="G29" s="18">
        <f t="shared" si="24"/>
        <v>0</v>
      </c>
      <c r="H29" s="20"/>
      <c r="I29" s="18">
        <f t="shared" si="30"/>
        <v>0</v>
      </c>
      <c r="J29" s="18">
        <f t="shared" si="19"/>
        <v>0</v>
      </c>
      <c r="K29" s="18">
        <f t="shared" si="20"/>
        <v>0</v>
      </c>
      <c r="L29" s="18">
        <f t="shared" si="29"/>
        <v>0</v>
      </c>
      <c r="M29" s="18">
        <f t="shared" si="7"/>
        <v>28000</v>
      </c>
      <c r="N29" s="18">
        <f t="shared" si="27"/>
        <v>0</v>
      </c>
      <c r="O29" s="18">
        <f t="shared" si="28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1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3"/>
        <v>44063</v>
      </c>
      <c r="B30" s="20"/>
      <c r="C30" s="18">
        <f t="shared" si="22"/>
        <v>0</v>
      </c>
      <c r="D30" s="20"/>
      <c r="E30" s="18">
        <f t="shared" si="23"/>
        <v>0</v>
      </c>
      <c r="F30" s="20"/>
      <c r="G30" s="18">
        <f t="shared" si="24"/>
        <v>0</v>
      </c>
      <c r="H30" s="20"/>
      <c r="I30" s="18">
        <f t="shared" si="30"/>
        <v>0</v>
      </c>
      <c r="J30" s="18">
        <f t="shared" si="19"/>
        <v>0</v>
      </c>
      <c r="K30" s="18">
        <f t="shared" si="20"/>
        <v>0</v>
      </c>
      <c r="L30" s="18">
        <f t="shared" si="29"/>
        <v>0</v>
      </c>
      <c r="M30" s="18">
        <f t="shared" si="7"/>
        <v>28000</v>
      </c>
      <c r="N30" s="18">
        <f t="shared" si="27"/>
        <v>0</v>
      </c>
      <c r="O30" s="18">
        <f t="shared" si="28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1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3"/>
        <v>44064</v>
      </c>
      <c r="B31" s="20"/>
      <c r="C31" s="18">
        <f t="shared" si="22"/>
        <v>0</v>
      </c>
      <c r="D31" s="20"/>
      <c r="E31" s="18">
        <f t="shared" si="23"/>
        <v>0</v>
      </c>
      <c r="F31" s="20"/>
      <c r="G31" s="18">
        <f t="shared" si="24"/>
        <v>0</v>
      </c>
      <c r="H31" s="20"/>
      <c r="I31" s="18">
        <f t="shared" si="30"/>
        <v>0</v>
      </c>
      <c r="J31" s="18">
        <f t="shared" si="19"/>
        <v>0</v>
      </c>
      <c r="K31" s="18">
        <f t="shared" si="20"/>
        <v>0</v>
      </c>
      <c r="L31" s="18">
        <f t="shared" si="29"/>
        <v>0</v>
      </c>
      <c r="M31" s="18">
        <f t="shared" si="7"/>
        <v>28000</v>
      </c>
      <c r="N31" s="18">
        <f t="shared" si="27"/>
        <v>0</v>
      </c>
      <c r="O31" s="18">
        <f t="shared" si="28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1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3"/>
        <v>44065</v>
      </c>
      <c r="B32" s="20"/>
      <c r="C32" s="18">
        <f t="shared" si="22"/>
        <v>0</v>
      </c>
      <c r="D32" s="20"/>
      <c r="E32" s="18">
        <f t="shared" si="23"/>
        <v>0</v>
      </c>
      <c r="F32" s="20"/>
      <c r="G32" s="18">
        <f t="shared" si="24"/>
        <v>0</v>
      </c>
      <c r="H32" s="20"/>
      <c r="I32" s="18">
        <f t="shared" si="30"/>
        <v>0</v>
      </c>
      <c r="J32" s="18">
        <f t="shared" si="19"/>
        <v>0</v>
      </c>
      <c r="K32" s="18">
        <f t="shared" si="20"/>
        <v>0</v>
      </c>
      <c r="L32" s="18">
        <f t="shared" si="29"/>
        <v>0</v>
      </c>
      <c r="M32" s="18">
        <f t="shared" si="7"/>
        <v>28000</v>
      </c>
      <c r="N32" s="18">
        <f t="shared" si="27"/>
        <v>0</v>
      </c>
      <c r="O32" s="18">
        <f t="shared" si="28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1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3"/>
        <v>44066</v>
      </c>
      <c r="B33" s="20"/>
      <c r="C33" s="18">
        <f t="shared" si="22"/>
        <v>0</v>
      </c>
      <c r="D33" s="20"/>
      <c r="E33" s="18">
        <f t="shared" si="23"/>
        <v>0</v>
      </c>
      <c r="F33" s="20"/>
      <c r="G33" s="18">
        <f t="shared" si="24"/>
        <v>0</v>
      </c>
      <c r="H33" s="20"/>
      <c r="I33" s="18">
        <f t="shared" si="30"/>
        <v>0</v>
      </c>
      <c r="J33" s="18">
        <f t="shared" si="19"/>
        <v>0</v>
      </c>
      <c r="K33" s="18">
        <f t="shared" si="20"/>
        <v>0</v>
      </c>
      <c r="L33" s="18">
        <f t="shared" si="29"/>
        <v>0</v>
      </c>
      <c r="M33" s="18">
        <f t="shared" si="7"/>
        <v>28000</v>
      </c>
      <c r="N33" s="18">
        <f t="shared" si="27"/>
        <v>0</v>
      </c>
      <c r="O33" s="18">
        <f t="shared" si="28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1"/>
        <v>0</v>
      </c>
      <c r="AD33" s="49">
        <f t="shared" si="25"/>
        <v>0</v>
      </c>
      <c r="AE33" s="49">
        <f t="shared" si="26"/>
        <v>0</v>
      </c>
    </row>
    <row r="34" spans="1:31" ht="32.25" customHeight="1" x14ac:dyDescent="0.3">
      <c r="A34" s="19">
        <f t="shared" si="13"/>
        <v>44067</v>
      </c>
      <c r="B34" s="20"/>
      <c r="C34" s="18">
        <f t="shared" si="22"/>
        <v>0</v>
      </c>
      <c r="D34" s="20"/>
      <c r="E34" s="18">
        <f t="shared" si="23"/>
        <v>0</v>
      </c>
      <c r="F34" s="20"/>
      <c r="G34" s="18">
        <f t="shared" si="24"/>
        <v>0</v>
      </c>
      <c r="H34" s="20"/>
      <c r="I34" s="18">
        <f t="shared" si="30"/>
        <v>0</v>
      </c>
      <c r="J34" s="18">
        <f t="shared" si="19"/>
        <v>0</v>
      </c>
      <c r="K34" s="18">
        <f t="shared" si="20"/>
        <v>0</v>
      </c>
      <c r="L34" s="18">
        <f t="shared" si="29"/>
        <v>0</v>
      </c>
      <c r="M34" s="18">
        <f t="shared" si="7"/>
        <v>28000</v>
      </c>
      <c r="N34" s="18">
        <f t="shared" si="27"/>
        <v>0</v>
      </c>
      <c r="O34" s="18">
        <f t="shared" si="28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1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3"/>
        <v>44068</v>
      </c>
      <c r="B35" s="20"/>
      <c r="C35" s="18">
        <f t="shared" si="22"/>
        <v>0</v>
      </c>
      <c r="D35" s="20"/>
      <c r="E35" s="18">
        <f t="shared" si="23"/>
        <v>0</v>
      </c>
      <c r="F35" s="20"/>
      <c r="G35" s="18">
        <f t="shared" si="24"/>
        <v>0</v>
      </c>
      <c r="H35" s="20"/>
      <c r="I35" s="18">
        <f t="shared" si="30"/>
        <v>0</v>
      </c>
      <c r="J35" s="18">
        <f t="shared" si="19"/>
        <v>0</v>
      </c>
      <c r="K35" s="18">
        <f t="shared" si="20"/>
        <v>0</v>
      </c>
      <c r="L35" s="18">
        <f t="shared" si="29"/>
        <v>0</v>
      </c>
      <c r="M35" s="18">
        <f t="shared" si="7"/>
        <v>28000</v>
      </c>
      <c r="N35" s="18">
        <f t="shared" si="27"/>
        <v>0</v>
      </c>
      <c r="O35" s="18">
        <f t="shared" si="28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1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3"/>
        <v>44069</v>
      </c>
      <c r="B36" s="20"/>
      <c r="C36" s="18">
        <f t="shared" si="22"/>
        <v>0</v>
      </c>
      <c r="D36" s="20"/>
      <c r="E36" s="18">
        <f t="shared" si="23"/>
        <v>0</v>
      </c>
      <c r="F36" s="20"/>
      <c r="G36" s="18">
        <f t="shared" si="24"/>
        <v>0</v>
      </c>
      <c r="H36" s="20"/>
      <c r="I36" s="18">
        <f t="shared" si="30"/>
        <v>0</v>
      </c>
      <c r="J36" s="18">
        <f t="shared" si="19"/>
        <v>0</v>
      </c>
      <c r="K36" s="18">
        <f t="shared" si="20"/>
        <v>0</v>
      </c>
      <c r="L36" s="18">
        <f t="shared" si="29"/>
        <v>0</v>
      </c>
      <c r="M36" s="18">
        <f t="shared" si="7"/>
        <v>28000</v>
      </c>
      <c r="N36" s="18">
        <f t="shared" si="27"/>
        <v>0</v>
      </c>
      <c r="O36" s="18">
        <f t="shared" si="28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1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3"/>
        <v>44070</v>
      </c>
      <c r="B37" s="20"/>
      <c r="C37" s="18">
        <f t="shared" si="22"/>
        <v>0</v>
      </c>
      <c r="D37" s="20"/>
      <c r="E37" s="18">
        <f t="shared" si="23"/>
        <v>0</v>
      </c>
      <c r="F37" s="20"/>
      <c r="G37" s="18">
        <f t="shared" si="24"/>
        <v>0</v>
      </c>
      <c r="H37" s="20"/>
      <c r="I37" s="18">
        <f t="shared" si="30"/>
        <v>0</v>
      </c>
      <c r="J37" s="18">
        <f t="shared" si="19"/>
        <v>0</v>
      </c>
      <c r="K37" s="18">
        <f t="shared" si="20"/>
        <v>0</v>
      </c>
      <c r="L37" s="18">
        <f t="shared" si="29"/>
        <v>0</v>
      </c>
      <c r="M37" s="18">
        <f t="shared" si="7"/>
        <v>28000</v>
      </c>
      <c r="N37" s="18">
        <f t="shared" si="27"/>
        <v>0</v>
      </c>
      <c r="O37" s="18">
        <f t="shared" si="28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1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3"/>
        <v>44071</v>
      </c>
      <c r="B38" s="20"/>
      <c r="C38" s="18">
        <f t="shared" si="22"/>
        <v>0</v>
      </c>
      <c r="D38" s="20"/>
      <c r="E38" s="18">
        <f t="shared" si="23"/>
        <v>0</v>
      </c>
      <c r="F38" s="20"/>
      <c r="G38" s="18">
        <f t="shared" si="24"/>
        <v>0</v>
      </c>
      <c r="H38" s="20"/>
      <c r="I38" s="18">
        <f t="shared" si="30"/>
        <v>0</v>
      </c>
      <c r="J38" s="18">
        <f t="shared" si="19"/>
        <v>0</v>
      </c>
      <c r="K38" s="18">
        <f t="shared" si="20"/>
        <v>0</v>
      </c>
      <c r="L38" s="18">
        <f t="shared" si="29"/>
        <v>0</v>
      </c>
      <c r="M38" s="18">
        <f t="shared" si="7"/>
        <v>28000</v>
      </c>
      <c r="N38" s="18">
        <f t="shared" si="27"/>
        <v>0</v>
      </c>
      <c r="O38" s="18">
        <f t="shared" si="28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1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3"/>
        <v>44072</v>
      </c>
      <c r="B39" s="20"/>
      <c r="C39" s="18">
        <f t="shared" si="22"/>
        <v>0</v>
      </c>
      <c r="D39" s="20"/>
      <c r="E39" s="18">
        <f t="shared" si="23"/>
        <v>0</v>
      </c>
      <c r="F39" s="20"/>
      <c r="G39" s="18">
        <f t="shared" si="24"/>
        <v>0</v>
      </c>
      <c r="H39" s="20"/>
      <c r="I39" s="18">
        <f t="shared" si="30"/>
        <v>0</v>
      </c>
      <c r="J39" s="18">
        <f t="shared" si="19"/>
        <v>0</v>
      </c>
      <c r="K39" s="18">
        <f t="shared" si="20"/>
        <v>0</v>
      </c>
      <c r="L39" s="18">
        <f t="shared" si="29"/>
        <v>0</v>
      </c>
      <c r="M39" s="18">
        <f t="shared" si="7"/>
        <v>28000</v>
      </c>
      <c r="N39" s="18">
        <f t="shared" si="27"/>
        <v>0</v>
      </c>
      <c r="O39" s="18">
        <f t="shared" si="28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1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3"/>
        <v>44073</v>
      </c>
      <c r="B40" s="20"/>
      <c r="C40" s="18">
        <f t="shared" si="22"/>
        <v>0</v>
      </c>
      <c r="D40" s="20"/>
      <c r="E40" s="18">
        <f t="shared" si="23"/>
        <v>0</v>
      </c>
      <c r="F40" s="20"/>
      <c r="G40" s="18">
        <f t="shared" si="24"/>
        <v>0</v>
      </c>
      <c r="H40" s="20"/>
      <c r="I40" s="18">
        <f t="shared" si="30"/>
        <v>0</v>
      </c>
      <c r="J40" s="18">
        <f t="shared" si="19"/>
        <v>0</v>
      </c>
      <c r="K40" s="18">
        <f t="shared" si="20"/>
        <v>0</v>
      </c>
      <c r="L40" s="18">
        <f t="shared" si="29"/>
        <v>0</v>
      </c>
      <c r="M40" s="18">
        <f t="shared" si="7"/>
        <v>28000</v>
      </c>
      <c r="N40" s="18">
        <f t="shared" si="27"/>
        <v>0</v>
      </c>
      <c r="O40" s="18">
        <f t="shared" si="28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1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3"/>
        <v>44074</v>
      </c>
      <c r="B41" s="20"/>
      <c r="C41" s="18">
        <f t="shared" si="22"/>
        <v>0</v>
      </c>
      <c r="D41" s="20"/>
      <c r="E41" s="18">
        <f t="shared" si="23"/>
        <v>0</v>
      </c>
      <c r="F41" s="20"/>
      <c r="G41" s="18">
        <f t="shared" si="24"/>
        <v>0</v>
      </c>
      <c r="H41" s="20"/>
      <c r="I41" s="18">
        <f t="shared" si="30"/>
        <v>0</v>
      </c>
      <c r="J41" s="18">
        <f t="shared" si="19"/>
        <v>0</v>
      </c>
      <c r="K41" s="18">
        <f t="shared" si="20"/>
        <v>0</v>
      </c>
      <c r="L41" s="18">
        <f t="shared" si="29"/>
        <v>0</v>
      </c>
      <c r="M41" s="18">
        <f t="shared" si="7"/>
        <v>28000</v>
      </c>
      <c r="N41" s="18">
        <f t="shared" si="27"/>
        <v>0</v>
      </c>
      <c r="O41" s="18">
        <f t="shared" si="28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1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3"/>
        <v>44075</v>
      </c>
      <c r="B42" s="20"/>
      <c r="C42" s="18">
        <f t="shared" si="22"/>
        <v>0</v>
      </c>
      <c r="D42" s="20"/>
      <c r="E42" s="18">
        <f t="shared" si="23"/>
        <v>0</v>
      </c>
      <c r="F42" s="20"/>
      <c r="G42" s="18">
        <f t="shared" si="24"/>
        <v>0</v>
      </c>
      <c r="H42" s="20"/>
      <c r="I42" s="18">
        <f t="shared" si="30"/>
        <v>0</v>
      </c>
      <c r="J42" s="18">
        <f t="shared" si="19"/>
        <v>0</v>
      </c>
      <c r="K42" s="18">
        <f t="shared" si="20"/>
        <v>0</v>
      </c>
      <c r="L42" s="18">
        <f t="shared" si="29"/>
        <v>0</v>
      </c>
      <c r="M42" s="18">
        <f t="shared" si="7"/>
        <v>28000</v>
      </c>
      <c r="N42" s="18">
        <f t="shared" si="27"/>
        <v>0</v>
      </c>
      <c r="O42" s="18">
        <f t="shared" si="28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1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SUM(C11:C41)</f>
        <v>0</v>
      </c>
      <c r="D43" s="20"/>
      <c r="E43" s="18">
        <f>SUM(E11:E41)</f>
        <v>0</v>
      </c>
      <c r="F43" s="20"/>
      <c r="G43" s="18">
        <f>SUM(G11:G41)</f>
        <v>0</v>
      </c>
      <c r="H43" s="20"/>
      <c r="I43" s="18">
        <f>SUM(I11:I41)</f>
        <v>0</v>
      </c>
      <c r="J43" s="16"/>
      <c r="K43" s="16"/>
      <c r="L43" s="16"/>
      <c r="M43" s="16"/>
      <c r="N43" s="18">
        <f>SUM(N11:N41)</f>
        <v>0</v>
      </c>
      <c r="O43" s="18">
        <f>N43*0.53</f>
        <v>0</v>
      </c>
      <c r="P43" s="21">
        <f>O43*7.8338</f>
        <v>0</v>
      </c>
      <c r="Q43" s="277">
        <f>SUM(Q11:Q41)</f>
        <v>0</v>
      </c>
      <c r="R43" s="278"/>
      <c r="S43" s="279"/>
      <c r="T43" s="280">
        <f>SUM(T11:T41)</f>
        <v>0</v>
      </c>
      <c r="U43" s="278"/>
      <c r="V43" s="279"/>
      <c r="W43" s="280">
        <f>SUM(W11:W41)</f>
        <v>0</v>
      </c>
      <c r="X43" s="278"/>
      <c r="Y43" s="279"/>
      <c r="Z43" s="277">
        <f>SUM(Z11:Z41)</f>
        <v>0</v>
      </c>
      <c r="AA43" s="278"/>
      <c r="AB43" s="279"/>
      <c r="AC43" s="138">
        <f>SUM(AC11:AC41)</f>
        <v>0</v>
      </c>
      <c r="AD43" s="139"/>
      <c r="AE43" s="136"/>
    </row>
    <row r="44" spans="1:31" ht="35.25" customHeight="1" thickBot="1" x14ac:dyDescent="0.35">
      <c r="B44" s="281"/>
      <c r="C44" s="282"/>
      <c r="D44" s="282"/>
      <c r="E44" s="282"/>
      <c r="F44" s="282"/>
      <c r="G44" s="282"/>
      <c r="H44" s="282"/>
      <c r="I44" s="283"/>
      <c r="J44" s="16"/>
      <c r="K44" s="16"/>
      <c r="L44" s="16"/>
      <c r="M44" s="16"/>
      <c r="N44" s="16"/>
      <c r="O44" s="16"/>
      <c r="P44" s="16"/>
      <c r="Q44" s="284">
        <f>Q43+T43+W43+Z43</f>
        <v>0</v>
      </c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6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7" t="s">
        <v>36</v>
      </c>
      <c r="I47" s="288"/>
      <c r="J47" s="289"/>
      <c r="K47" s="28">
        <f>N43</f>
        <v>0</v>
      </c>
      <c r="L47" s="29">
        <f>O43</f>
        <v>0</v>
      </c>
      <c r="M47" s="29">
        <f>P43</f>
        <v>0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7" sqref="B17:H17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70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44037</v>
      </c>
      <c r="B9" s="40">
        <v>123696</v>
      </c>
      <c r="C9" s="41">
        <f t="shared" ref="C9:C17" si="0">IF(B10&lt;B9,0,B10-B9)*10</f>
        <v>70</v>
      </c>
      <c r="D9" s="42">
        <v>18505152</v>
      </c>
      <c r="E9" s="41">
        <f t="shared" ref="E9:E17" si="1">IF(D10&lt;D9,0,D10-D9)</f>
        <v>932</v>
      </c>
      <c r="F9" s="42">
        <v>33253571</v>
      </c>
      <c r="G9" s="41">
        <f t="shared" ref="G9:G17" si="2">IF(F10&lt;F9,0,F10-F9)</f>
        <v>1411</v>
      </c>
      <c r="H9" s="42">
        <v>14719712</v>
      </c>
      <c r="I9" s="41">
        <f t="shared" ref="I9:I16" si="3">IF(H10&lt;H9,0,H10-H9)</f>
        <v>600</v>
      </c>
    </row>
    <row r="10" spans="1:20" ht="21" thickTop="1" thickBot="1" x14ac:dyDescent="0.35">
      <c r="A10" s="39">
        <f>(A9+1)</f>
        <v>44038</v>
      </c>
      <c r="B10" s="40">
        <v>123703</v>
      </c>
      <c r="C10" s="41">
        <f t="shared" si="0"/>
        <v>80</v>
      </c>
      <c r="D10" s="42">
        <v>18506084</v>
      </c>
      <c r="E10" s="41">
        <f t="shared" si="1"/>
        <v>967</v>
      </c>
      <c r="F10" s="42">
        <v>33254982</v>
      </c>
      <c r="G10" s="41">
        <f t="shared" si="2"/>
        <v>1264</v>
      </c>
      <c r="H10" s="42">
        <v>14720312</v>
      </c>
      <c r="I10" s="41">
        <f t="shared" si="3"/>
        <v>490</v>
      </c>
    </row>
    <row r="11" spans="1:20" ht="21" thickTop="1" thickBot="1" x14ac:dyDescent="0.35">
      <c r="A11" s="39">
        <f t="shared" ref="A11:A47" si="4">(A10+1)</f>
        <v>44039</v>
      </c>
      <c r="B11" s="40">
        <v>123711</v>
      </c>
      <c r="C11" s="41">
        <f t="shared" si="0"/>
        <v>70</v>
      </c>
      <c r="D11" s="42">
        <v>18507051</v>
      </c>
      <c r="E11" s="41">
        <f t="shared" si="1"/>
        <v>967</v>
      </c>
      <c r="F11" s="42">
        <v>33256246</v>
      </c>
      <c r="G11" s="41">
        <f t="shared" si="2"/>
        <v>1518</v>
      </c>
      <c r="H11" s="42">
        <v>14720802</v>
      </c>
      <c r="I11" s="41">
        <f t="shared" si="3"/>
        <v>627</v>
      </c>
    </row>
    <row r="12" spans="1:20" ht="21" thickTop="1" thickBot="1" x14ac:dyDescent="0.35">
      <c r="A12" s="39">
        <f t="shared" si="4"/>
        <v>44040</v>
      </c>
      <c r="B12" s="40">
        <v>123718</v>
      </c>
      <c r="C12" s="41">
        <f t="shared" si="0"/>
        <v>70</v>
      </c>
      <c r="D12" s="42">
        <v>18508018</v>
      </c>
      <c r="E12" s="41">
        <f t="shared" si="1"/>
        <v>1000</v>
      </c>
      <c r="F12" s="42">
        <v>33257764</v>
      </c>
      <c r="G12" s="41">
        <f t="shared" si="2"/>
        <v>1500</v>
      </c>
      <c r="H12" s="42">
        <v>14721429</v>
      </c>
      <c r="I12" s="41">
        <f t="shared" si="3"/>
        <v>615</v>
      </c>
    </row>
    <row r="13" spans="1:20" ht="21" thickTop="1" thickBot="1" x14ac:dyDescent="0.35">
      <c r="A13" s="39">
        <f t="shared" si="4"/>
        <v>44041</v>
      </c>
      <c r="B13" s="40">
        <v>123725</v>
      </c>
      <c r="C13" s="41">
        <f t="shared" si="0"/>
        <v>90</v>
      </c>
      <c r="D13" s="42">
        <v>18509018</v>
      </c>
      <c r="E13" s="41">
        <f t="shared" si="1"/>
        <v>927</v>
      </c>
      <c r="F13" s="42">
        <v>33259264</v>
      </c>
      <c r="G13" s="41">
        <f t="shared" si="2"/>
        <v>1479</v>
      </c>
      <c r="H13" s="42">
        <v>14722044</v>
      </c>
      <c r="I13" s="41">
        <f t="shared" si="3"/>
        <v>574</v>
      </c>
    </row>
    <row r="14" spans="1:20" ht="21" thickTop="1" thickBot="1" x14ac:dyDescent="0.35">
      <c r="A14" s="39">
        <f t="shared" si="4"/>
        <v>44042</v>
      </c>
      <c r="B14" s="40">
        <v>123734</v>
      </c>
      <c r="C14" s="41">
        <f t="shared" si="0"/>
        <v>80</v>
      </c>
      <c r="D14" s="42">
        <v>18509945</v>
      </c>
      <c r="E14" s="41">
        <f t="shared" si="1"/>
        <v>920</v>
      </c>
      <c r="F14" s="42">
        <v>33260743</v>
      </c>
      <c r="G14" s="41">
        <f t="shared" si="2"/>
        <v>1411</v>
      </c>
      <c r="H14" s="42">
        <v>14722618</v>
      </c>
      <c r="I14" s="41">
        <f t="shared" si="3"/>
        <v>583</v>
      </c>
    </row>
    <row r="15" spans="1:20" ht="21" thickTop="1" thickBot="1" x14ac:dyDescent="0.35">
      <c r="A15" s="39">
        <f t="shared" si="4"/>
        <v>44043</v>
      </c>
      <c r="B15" s="40">
        <v>123742</v>
      </c>
      <c r="C15" s="41">
        <f t="shared" si="0"/>
        <v>80</v>
      </c>
      <c r="D15" s="42">
        <v>18510865</v>
      </c>
      <c r="E15" s="41">
        <f t="shared" si="1"/>
        <v>964</v>
      </c>
      <c r="F15" s="42">
        <v>33262154</v>
      </c>
      <c r="G15" s="41">
        <f t="shared" si="2"/>
        <v>1439</v>
      </c>
      <c r="H15" s="42">
        <v>14723201</v>
      </c>
      <c r="I15" s="41">
        <f t="shared" si="3"/>
        <v>595</v>
      </c>
    </row>
    <row r="16" spans="1:20" ht="21" thickTop="1" thickBot="1" x14ac:dyDescent="0.35">
      <c r="A16" s="39">
        <f t="shared" si="4"/>
        <v>44044</v>
      </c>
      <c r="B16" s="40">
        <v>123750</v>
      </c>
      <c r="C16" s="41">
        <f t="shared" si="0"/>
        <v>70</v>
      </c>
      <c r="D16" s="42">
        <v>18511829</v>
      </c>
      <c r="E16" s="41">
        <f t="shared" si="1"/>
        <v>939</v>
      </c>
      <c r="F16" s="42">
        <v>33263593</v>
      </c>
      <c r="G16" s="41">
        <f t="shared" si="2"/>
        <v>1319</v>
      </c>
      <c r="H16" s="42">
        <v>14723796</v>
      </c>
      <c r="I16" s="41">
        <f t="shared" si="3"/>
        <v>560</v>
      </c>
    </row>
    <row r="17" spans="1:9" ht="21" thickTop="1" thickBot="1" x14ac:dyDescent="0.35">
      <c r="A17" s="39">
        <f t="shared" si="4"/>
        <v>44045</v>
      </c>
      <c r="B17" s="40">
        <v>123757</v>
      </c>
      <c r="C17" s="41">
        <f>IF(B18&lt;B17,0,B18-B17)*10</f>
        <v>0</v>
      </c>
      <c r="D17" s="42">
        <v>18512768</v>
      </c>
      <c r="E17" s="41">
        <f>IF(D18&lt;D17,0,D18-D17)</f>
        <v>0</v>
      </c>
      <c r="F17" s="42">
        <v>33264912</v>
      </c>
      <c r="G17" s="41">
        <f t="shared" si="2"/>
        <v>0</v>
      </c>
      <c r="H17" s="42">
        <v>14724356</v>
      </c>
      <c r="I17" s="41">
        <f t="shared" ref="I17:I43" si="5">IF(H18&lt;H17,0,H18-H17)</f>
        <v>0</v>
      </c>
    </row>
    <row r="18" spans="1:9" ht="21" thickTop="1" thickBot="1" x14ac:dyDescent="0.35">
      <c r="A18" s="39">
        <f t="shared" si="4"/>
        <v>44046</v>
      </c>
      <c r="B18" s="40"/>
      <c r="C18" s="41">
        <f t="shared" ref="C18:C47" si="6">IF(B19&lt;B18,0,B19-B18)*10</f>
        <v>0</v>
      </c>
      <c r="D18" s="42"/>
      <c r="E18" s="41">
        <f t="shared" ref="E18:E47" si="7">IF(D19&lt;D18,0,D19-D18)</f>
        <v>0</v>
      </c>
      <c r="F18" s="42"/>
      <c r="G18" s="41">
        <f t="shared" ref="G18:G47" si="8">IF(F19&lt;F18,0,F19-F18)</f>
        <v>0</v>
      </c>
      <c r="H18" s="42"/>
      <c r="I18" s="41">
        <f t="shared" si="5"/>
        <v>0</v>
      </c>
    </row>
    <row r="19" spans="1:9" ht="21" thickTop="1" thickBot="1" x14ac:dyDescent="0.35">
      <c r="A19" s="39">
        <f t="shared" si="4"/>
        <v>44047</v>
      </c>
      <c r="B19" s="40"/>
      <c r="C19" s="41">
        <f t="shared" si="6"/>
        <v>0</v>
      </c>
      <c r="D19" s="42"/>
      <c r="E19" s="41">
        <f t="shared" si="7"/>
        <v>0</v>
      </c>
      <c r="F19" s="42"/>
      <c r="G19" s="41">
        <f t="shared" si="8"/>
        <v>0</v>
      </c>
      <c r="H19" s="42"/>
      <c r="I19" s="41">
        <f t="shared" si="5"/>
        <v>0</v>
      </c>
    </row>
    <row r="20" spans="1:9" ht="21" thickTop="1" thickBot="1" x14ac:dyDescent="0.35">
      <c r="A20" s="39">
        <f t="shared" si="4"/>
        <v>44048</v>
      </c>
      <c r="B20" s="40"/>
      <c r="C20" s="41">
        <f t="shared" si="6"/>
        <v>0</v>
      </c>
      <c r="D20" s="42"/>
      <c r="E20" s="41">
        <f t="shared" si="7"/>
        <v>0</v>
      </c>
      <c r="F20" s="42"/>
      <c r="G20" s="41">
        <f t="shared" si="8"/>
        <v>0</v>
      </c>
      <c r="H20" s="42"/>
      <c r="I20" s="41">
        <f t="shared" si="5"/>
        <v>0</v>
      </c>
    </row>
    <row r="21" spans="1:9" ht="21" thickTop="1" thickBot="1" x14ac:dyDescent="0.35">
      <c r="A21" s="39">
        <f t="shared" si="4"/>
        <v>44049</v>
      </c>
      <c r="B21" s="40"/>
      <c r="C21" s="41">
        <f t="shared" si="6"/>
        <v>0</v>
      </c>
      <c r="D21" s="42"/>
      <c r="E21" s="41">
        <f t="shared" si="7"/>
        <v>0</v>
      </c>
      <c r="F21" s="42"/>
      <c r="G21" s="41">
        <f t="shared" si="8"/>
        <v>0</v>
      </c>
      <c r="H21" s="42"/>
      <c r="I21" s="41">
        <f t="shared" si="5"/>
        <v>0</v>
      </c>
    </row>
    <row r="22" spans="1:9" ht="21" thickTop="1" thickBot="1" x14ac:dyDescent="0.35">
      <c r="A22" s="39">
        <f t="shared" si="4"/>
        <v>44050</v>
      </c>
      <c r="B22" s="40"/>
      <c r="C22" s="41">
        <f t="shared" si="6"/>
        <v>0</v>
      </c>
      <c r="D22" s="42"/>
      <c r="E22" s="41">
        <f t="shared" si="7"/>
        <v>0</v>
      </c>
      <c r="F22" s="42"/>
      <c r="G22" s="41">
        <f t="shared" si="8"/>
        <v>0</v>
      </c>
      <c r="H22" s="42"/>
      <c r="I22" s="41">
        <f t="shared" si="5"/>
        <v>0</v>
      </c>
    </row>
    <row r="23" spans="1:9" ht="21" thickTop="1" thickBot="1" x14ac:dyDescent="0.35">
      <c r="A23" s="39">
        <f t="shared" si="4"/>
        <v>44051</v>
      </c>
      <c r="B23" s="40"/>
      <c r="C23" s="41">
        <f t="shared" si="6"/>
        <v>0</v>
      </c>
      <c r="D23" s="42"/>
      <c r="E23" s="41">
        <f t="shared" si="7"/>
        <v>0</v>
      </c>
      <c r="F23" s="42"/>
      <c r="G23" s="41">
        <f t="shared" si="8"/>
        <v>0</v>
      </c>
      <c r="H23" s="42"/>
      <c r="I23" s="41">
        <f t="shared" si="5"/>
        <v>0</v>
      </c>
    </row>
    <row r="24" spans="1:9" ht="21" thickTop="1" thickBot="1" x14ac:dyDescent="0.35">
      <c r="A24" s="39">
        <f t="shared" si="4"/>
        <v>44052</v>
      </c>
      <c r="B24" s="40"/>
      <c r="C24" s="41">
        <f t="shared" si="6"/>
        <v>0</v>
      </c>
      <c r="D24" s="42"/>
      <c r="E24" s="41">
        <f t="shared" si="7"/>
        <v>0</v>
      </c>
      <c r="F24" s="42"/>
      <c r="G24" s="41">
        <f t="shared" si="8"/>
        <v>0</v>
      </c>
      <c r="H24" s="42"/>
      <c r="I24" s="41">
        <f t="shared" si="5"/>
        <v>0</v>
      </c>
    </row>
    <row r="25" spans="1:9" ht="21" thickTop="1" thickBot="1" x14ac:dyDescent="0.35">
      <c r="A25" s="39">
        <f t="shared" si="4"/>
        <v>44053</v>
      </c>
      <c r="B25" s="40"/>
      <c r="C25" s="41">
        <f t="shared" si="6"/>
        <v>0</v>
      </c>
      <c r="D25" s="42"/>
      <c r="E25" s="41">
        <f t="shared" si="7"/>
        <v>0</v>
      </c>
      <c r="F25" s="42"/>
      <c r="G25" s="41">
        <f t="shared" si="8"/>
        <v>0</v>
      </c>
      <c r="H25" s="42"/>
      <c r="I25" s="41">
        <f t="shared" si="5"/>
        <v>0</v>
      </c>
    </row>
    <row r="26" spans="1:9" ht="21" thickTop="1" thickBot="1" x14ac:dyDescent="0.35">
      <c r="A26" s="39">
        <f t="shared" si="4"/>
        <v>44054</v>
      </c>
      <c r="B26" s="40"/>
      <c r="C26" s="41">
        <f t="shared" si="6"/>
        <v>0</v>
      </c>
      <c r="D26" s="42"/>
      <c r="E26" s="41">
        <f t="shared" si="7"/>
        <v>0</v>
      </c>
      <c r="F26" s="42"/>
      <c r="G26" s="41">
        <f t="shared" si="8"/>
        <v>0</v>
      </c>
      <c r="H26" s="42"/>
      <c r="I26" s="41">
        <f t="shared" si="5"/>
        <v>0</v>
      </c>
    </row>
    <row r="27" spans="1:9" ht="21" thickTop="1" thickBot="1" x14ac:dyDescent="0.35">
      <c r="A27" s="39">
        <f t="shared" si="4"/>
        <v>44055</v>
      </c>
      <c r="B27" s="40"/>
      <c r="C27" s="41">
        <f t="shared" si="6"/>
        <v>0</v>
      </c>
      <c r="D27" s="42"/>
      <c r="E27" s="41">
        <f t="shared" si="7"/>
        <v>0</v>
      </c>
      <c r="F27" s="42"/>
      <c r="G27" s="41">
        <f t="shared" si="8"/>
        <v>0</v>
      </c>
      <c r="H27" s="42"/>
      <c r="I27" s="41">
        <f t="shared" si="5"/>
        <v>0</v>
      </c>
    </row>
    <row r="28" spans="1:9" ht="21" thickTop="1" thickBot="1" x14ac:dyDescent="0.35">
      <c r="A28" s="39">
        <f t="shared" si="4"/>
        <v>44056</v>
      </c>
      <c r="B28" s="40"/>
      <c r="C28" s="41">
        <f t="shared" si="6"/>
        <v>0</v>
      </c>
      <c r="D28" s="42"/>
      <c r="E28" s="41">
        <f t="shared" si="7"/>
        <v>0</v>
      </c>
      <c r="F28" s="42"/>
      <c r="G28" s="41">
        <f t="shared" si="8"/>
        <v>0</v>
      </c>
      <c r="H28" s="42"/>
      <c r="I28" s="41">
        <f t="shared" si="5"/>
        <v>0</v>
      </c>
    </row>
    <row r="29" spans="1:9" ht="21" thickTop="1" thickBot="1" x14ac:dyDescent="0.35">
      <c r="A29" s="39">
        <f t="shared" si="4"/>
        <v>44057</v>
      </c>
      <c r="B29" s="40"/>
      <c r="C29" s="41">
        <f t="shared" si="6"/>
        <v>0</v>
      </c>
      <c r="D29" s="42"/>
      <c r="E29" s="41">
        <f t="shared" si="7"/>
        <v>0</v>
      </c>
      <c r="F29" s="42"/>
      <c r="G29" s="41">
        <f t="shared" si="8"/>
        <v>0</v>
      </c>
      <c r="H29" s="42"/>
      <c r="I29" s="41">
        <f t="shared" si="5"/>
        <v>0</v>
      </c>
    </row>
    <row r="30" spans="1:9" ht="21" thickTop="1" thickBot="1" x14ac:dyDescent="0.35">
      <c r="A30" s="39">
        <f t="shared" si="4"/>
        <v>44058</v>
      </c>
      <c r="B30" s="40"/>
      <c r="C30" s="41">
        <f t="shared" si="6"/>
        <v>0</v>
      </c>
      <c r="D30" s="42"/>
      <c r="E30" s="41">
        <f t="shared" si="7"/>
        <v>0</v>
      </c>
      <c r="F30" s="42"/>
      <c r="G30" s="41">
        <f t="shared" si="8"/>
        <v>0</v>
      </c>
      <c r="H30" s="42"/>
      <c r="I30" s="41">
        <f t="shared" si="5"/>
        <v>0</v>
      </c>
    </row>
    <row r="31" spans="1:9" ht="21" thickTop="1" thickBot="1" x14ac:dyDescent="0.35">
      <c r="A31" s="39">
        <f t="shared" si="4"/>
        <v>44059</v>
      </c>
      <c r="B31" s="40"/>
      <c r="C31" s="41">
        <f t="shared" si="6"/>
        <v>0</v>
      </c>
      <c r="D31" s="42"/>
      <c r="E31" s="41">
        <f t="shared" si="7"/>
        <v>0</v>
      </c>
      <c r="F31" s="42"/>
      <c r="G31" s="41">
        <f t="shared" si="8"/>
        <v>0</v>
      </c>
      <c r="H31" s="42"/>
      <c r="I31" s="41">
        <f t="shared" si="5"/>
        <v>0</v>
      </c>
    </row>
    <row r="32" spans="1:9" ht="21" thickTop="1" thickBot="1" x14ac:dyDescent="0.35">
      <c r="A32" s="39">
        <f t="shared" si="4"/>
        <v>44060</v>
      </c>
      <c r="B32" s="40"/>
      <c r="C32" s="41">
        <f t="shared" si="6"/>
        <v>0</v>
      </c>
      <c r="D32" s="42"/>
      <c r="E32" s="41">
        <f t="shared" si="7"/>
        <v>0</v>
      </c>
      <c r="F32" s="42"/>
      <c r="G32" s="41">
        <f t="shared" si="8"/>
        <v>0</v>
      </c>
      <c r="H32" s="42"/>
      <c r="I32" s="41">
        <f t="shared" si="5"/>
        <v>0</v>
      </c>
    </row>
    <row r="33" spans="1:9" ht="21" thickTop="1" thickBot="1" x14ac:dyDescent="0.35">
      <c r="A33" s="39">
        <f t="shared" si="4"/>
        <v>44061</v>
      </c>
      <c r="B33" s="40"/>
      <c r="C33" s="41">
        <f t="shared" si="6"/>
        <v>0</v>
      </c>
      <c r="D33" s="42"/>
      <c r="E33" s="41">
        <f t="shared" si="7"/>
        <v>0</v>
      </c>
      <c r="F33" s="42"/>
      <c r="G33" s="41">
        <f t="shared" si="8"/>
        <v>0</v>
      </c>
      <c r="H33" s="42"/>
      <c r="I33" s="41">
        <f t="shared" si="5"/>
        <v>0</v>
      </c>
    </row>
    <row r="34" spans="1:9" ht="21" thickTop="1" thickBot="1" x14ac:dyDescent="0.35">
      <c r="A34" s="39">
        <f t="shared" si="4"/>
        <v>44062</v>
      </c>
      <c r="B34" s="40"/>
      <c r="C34" s="41">
        <f t="shared" si="6"/>
        <v>0</v>
      </c>
      <c r="D34" s="42"/>
      <c r="E34" s="41">
        <f t="shared" si="7"/>
        <v>0</v>
      </c>
      <c r="F34" s="42"/>
      <c r="G34" s="41">
        <f t="shared" si="8"/>
        <v>0</v>
      </c>
      <c r="H34" s="42"/>
      <c r="I34" s="41">
        <f t="shared" si="5"/>
        <v>0</v>
      </c>
    </row>
    <row r="35" spans="1:9" ht="21" thickTop="1" thickBot="1" x14ac:dyDescent="0.35">
      <c r="A35" s="39">
        <f t="shared" si="4"/>
        <v>44063</v>
      </c>
      <c r="B35" s="40"/>
      <c r="C35" s="41">
        <f t="shared" si="6"/>
        <v>0</v>
      </c>
      <c r="D35" s="42"/>
      <c r="E35" s="41">
        <f t="shared" si="7"/>
        <v>0</v>
      </c>
      <c r="F35" s="42"/>
      <c r="G35" s="41">
        <f t="shared" si="8"/>
        <v>0</v>
      </c>
      <c r="H35" s="42"/>
      <c r="I35" s="41">
        <f t="shared" si="5"/>
        <v>0</v>
      </c>
    </row>
    <row r="36" spans="1:9" ht="21" thickTop="1" thickBot="1" x14ac:dyDescent="0.35">
      <c r="A36" s="39">
        <f t="shared" si="4"/>
        <v>44064</v>
      </c>
      <c r="B36" s="40"/>
      <c r="C36" s="41">
        <f t="shared" si="6"/>
        <v>0</v>
      </c>
      <c r="D36" s="42"/>
      <c r="E36" s="41">
        <f t="shared" si="7"/>
        <v>0</v>
      </c>
      <c r="F36" s="42"/>
      <c r="G36" s="41">
        <f t="shared" si="8"/>
        <v>0</v>
      </c>
      <c r="H36" s="42"/>
      <c r="I36" s="41">
        <f t="shared" si="5"/>
        <v>0</v>
      </c>
    </row>
    <row r="37" spans="1:9" ht="21" thickTop="1" thickBot="1" x14ac:dyDescent="0.35">
      <c r="A37" s="39">
        <f t="shared" si="4"/>
        <v>44065</v>
      </c>
      <c r="B37" s="40"/>
      <c r="C37" s="41">
        <f t="shared" si="6"/>
        <v>0</v>
      </c>
      <c r="D37" s="42"/>
      <c r="E37" s="41">
        <f t="shared" si="7"/>
        <v>0</v>
      </c>
      <c r="F37" s="42"/>
      <c r="G37" s="41">
        <f t="shared" si="8"/>
        <v>0</v>
      </c>
      <c r="H37" s="42"/>
      <c r="I37" s="41">
        <f t="shared" si="5"/>
        <v>0</v>
      </c>
    </row>
    <row r="38" spans="1:9" ht="21" thickTop="1" thickBot="1" x14ac:dyDescent="0.35">
      <c r="A38" s="39">
        <f t="shared" si="4"/>
        <v>44066</v>
      </c>
      <c r="B38" s="40"/>
      <c r="C38" s="41">
        <f t="shared" si="6"/>
        <v>0</v>
      </c>
      <c r="D38" s="42"/>
      <c r="E38" s="41">
        <f t="shared" si="7"/>
        <v>0</v>
      </c>
      <c r="F38" s="42"/>
      <c r="G38" s="41">
        <f t="shared" si="8"/>
        <v>0</v>
      </c>
      <c r="H38" s="42"/>
      <c r="I38" s="41">
        <f t="shared" si="5"/>
        <v>0</v>
      </c>
    </row>
    <row r="39" spans="1:9" ht="21" thickTop="1" thickBot="1" x14ac:dyDescent="0.35">
      <c r="A39" s="39">
        <f t="shared" si="4"/>
        <v>44067</v>
      </c>
      <c r="B39" s="40"/>
      <c r="C39" s="41">
        <f t="shared" si="6"/>
        <v>0</v>
      </c>
      <c r="D39" s="42"/>
      <c r="E39" s="41">
        <f t="shared" si="7"/>
        <v>0</v>
      </c>
      <c r="F39" s="42"/>
      <c r="G39" s="41">
        <f t="shared" si="8"/>
        <v>0</v>
      </c>
      <c r="H39" s="42"/>
      <c r="I39" s="41">
        <f t="shared" si="5"/>
        <v>0</v>
      </c>
    </row>
    <row r="40" spans="1:9" ht="21" thickTop="1" thickBot="1" x14ac:dyDescent="0.35">
      <c r="A40" s="39">
        <f t="shared" si="4"/>
        <v>44068</v>
      </c>
      <c r="B40" s="40"/>
      <c r="C40" s="41">
        <f t="shared" si="6"/>
        <v>0</v>
      </c>
      <c r="D40" s="42"/>
      <c r="E40" s="41">
        <f t="shared" si="7"/>
        <v>0</v>
      </c>
      <c r="F40" s="42"/>
      <c r="G40" s="41">
        <f t="shared" si="8"/>
        <v>0</v>
      </c>
      <c r="H40" s="42"/>
      <c r="I40" s="41">
        <f t="shared" si="5"/>
        <v>0</v>
      </c>
    </row>
    <row r="41" spans="1:9" ht="21" thickTop="1" thickBot="1" x14ac:dyDescent="0.35">
      <c r="A41" s="39">
        <f t="shared" si="4"/>
        <v>44069</v>
      </c>
      <c r="B41" s="40"/>
      <c r="C41" s="41">
        <f t="shared" si="6"/>
        <v>0</v>
      </c>
      <c r="D41" s="42"/>
      <c r="E41" s="41">
        <f t="shared" si="7"/>
        <v>0</v>
      </c>
      <c r="F41" s="42"/>
      <c r="G41" s="41">
        <f t="shared" si="8"/>
        <v>0</v>
      </c>
      <c r="H41" s="42"/>
      <c r="I41" s="41">
        <f t="shared" si="5"/>
        <v>0</v>
      </c>
    </row>
    <row r="42" spans="1:9" ht="21" thickTop="1" thickBot="1" x14ac:dyDescent="0.35">
      <c r="A42" s="39">
        <f t="shared" si="4"/>
        <v>44070</v>
      </c>
      <c r="B42" s="40"/>
      <c r="C42" s="41">
        <f t="shared" si="6"/>
        <v>0</v>
      </c>
      <c r="D42" s="42"/>
      <c r="E42" s="41">
        <f t="shared" si="7"/>
        <v>0</v>
      </c>
      <c r="F42" s="42"/>
      <c r="G42" s="41">
        <f t="shared" si="8"/>
        <v>0</v>
      </c>
      <c r="H42" s="42"/>
      <c r="I42" s="41">
        <f t="shared" si="5"/>
        <v>0</v>
      </c>
    </row>
    <row r="43" spans="1:9" ht="21" thickTop="1" thickBot="1" x14ac:dyDescent="0.35">
      <c r="A43" s="39">
        <f t="shared" si="4"/>
        <v>44071</v>
      </c>
      <c r="B43" s="40"/>
      <c r="C43" s="41">
        <f t="shared" si="6"/>
        <v>0</v>
      </c>
      <c r="D43" s="42"/>
      <c r="E43" s="41">
        <f t="shared" si="7"/>
        <v>0</v>
      </c>
      <c r="F43" s="42"/>
      <c r="G43" s="41">
        <f t="shared" si="8"/>
        <v>0</v>
      </c>
      <c r="H43" s="42"/>
      <c r="I43" s="41">
        <f t="shared" si="5"/>
        <v>0</v>
      </c>
    </row>
    <row r="44" spans="1:9" ht="21" thickTop="1" thickBot="1" x14ac:dyDescent="0.35">
      <c r="A44" s="39">
        <f t="shared" si="4"/>
        <v>44072</v>
      </c>
      <c r="B44" s="40"/>
      <c r="C44" s="41">
        <f t="shared" si="6"/>
        <v>0</v>
      </c>
      <c r="D44" s="42"/>
      <c r="E44" s="41">
        <f t="shared" si="7"/>
        <v>0</v>
      </c>
      <c r="F44" s="42"/>
      <c r="G44" s="41">
        <f t="shared" si="8"/>
        <v>0</v>
      </c>
      <c r="H44" s="42"/>
      <c r="I44" s="41">
        <f>IF(H45&lt;H44,0,H45-H44)</f>
        <v>0</v>
      </c>
    </row>
    <row r="45" spans="1:9" ht="21" thickTop="1" thickBot="1" x14ac:dyDescent="0.35">
      <c r="A45" s="39">
        <f t="shared" si="4"/>
        <v>44073</v>
      </c>
      <c r="B45" s="40"/>
      <c r="C45" s="41">
        <f t="shared" si="6"/>
        <v>0</v>
      </c>
      <c r="D45" s="42"/>
      <c r="E45" s="41">
        <f t="shared" si="7"/>
        <v>0</v>
      </c>
      <c r="F45" s="42"/>
      <c r="G45" s="41">
        <f t="shared" si="8"/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44074</v>
      </c>
      <c r="B46" s="40"/>
      <c r="C46" s="41">
        <f t="shared" si="6"/>
        <v>0</v>
      </c>
      <c r="D46" s="42"/>
      <c r="E46" s="41">
        <f t="shared" si="7"/>
        <v>0</v>
      </c>
      <c r="F46" s="42"/>
      <c r="G46" s="41">
        <f t="shared" si="8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44075</v>
      </c>
      <c r="B47" s="40"/>
      <c r="C47" s="41">
        <f t="shared" si="6"/>
        <v>0</v>
      </c>
      <c r="D47" s="42"/>
      <c r="E47" s="41">
        <f t="shared" si="7"/>
        <v>0</v>
      </c>
      <c r="F47" s="42"/>
      <c r="G47" s="41">
        <f t="shared" si="8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SUM(C16:C46)</f>
        <v>70</v>
      </c>
      <c r="E48" s="41">
        <f>SUM(E16:E45)</f>
        <v>939</v>
      </c>
      <c r="F48" s="53"/>
      <c r="G48" s="41">
        <f>SUM(G16:G45)</f>
        <v>1319</v>
      </c>
      <c r="H48" s="53"/>
      <c r="I48" s="41">
        <f>SUM(I16:I45)</f>
        <v>560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40" priority="662" stopIfTrue="1" operator="lessThanOrEqual">
      <formula>0</formula>
    </cfRule>
  </conditionalFormatting>
  <conditionalFormatting sqref="C48">
    <cfRule type="cellIs" dxfId="39" priority="324" stopIfTrue="1" operator="lessThanOrEqual">
      <formula>0</formula>
    </cfRule>
  </conditionalFormatting>
  <conditionalFormatting sqref="C48">
    <cfRule type="cellIs" dxfId="38" priority="323" stopIfTrue="1" operator="lessThanOrEqual">
      <formula>0</formula>
    </cfRule>
  </conditionalFormatting>
  <conditionalFormatting sqref="C48">
    <cfRule type="cellIs" dxfId="37" priority="322" stopIfTrue="1" operator="lessThanOrEqual">
      <formula>0</formula>
    </cfRule>
  </conditionalFormatting>
  <conditionalFormatting sqref="C48">
    <cfRule type="cellIs" dxfId="36" priority="321" stopIfTrue="1" operator="lessThanOrEqual">
      <formula>0</formula>
    </cfRule>
  </conditionalFormatting>
  <conditionalFormatting sqref="E48">
    <cfRule type="cellIs" dxfId="35" priority="264" stopIfTrue="1" operator="lessThanOrEqual">
      <formula>0</formula>
    </cfRule>
  </conditionalFormatting>
  <conditionalFormatting sqref="E48">
    <cfRule type="cellIs" dxfId="34" priority="263" stopIfTrue="1" operator="lessThanOrEqual">
      <formula>0</formula>
    </cfRule>
  </conditionalFormatting>
  <conditionalFormatting sqref="E48">
    <cfRule type="cellIs" dxfId="33" priority="262" stopIfTrue="1" operator="lessThanOrEqual">
      <formula>0</formula>
    </cfRule>
  </conditionalFormatting>
  <conditionalFormatting sqref="E48">
    <cfRule type="cellIs" dxfId="32" priority="261" stopIfTrue="1" operator="lessThanOrEqual">
      <formula>0</formula>
    </cfRule>
  </conditionalFormatting>
  <conditionalFormatting sqref="G48">
    <cfRule type="cellIs" dxfId="31" priority="260" stopIfTrue="1" operator="lessThanOrEqual">
      <formula>0</formula>
    </cfRule>
  </conditionalFormatting>
  <conditionalFormatting sqref="G48">
    <cfRule type="cellIs" dxfId="30" priority="259" stopIfTrue="1" operator="lessThanOrEqual">
      <formula>0</formula>
    </cfRule>
  </conditionalFormatting>
  <conditionalFormatting sqref="G48">
    <cfRule type="cellIs" dxfId="29" priority="258" stopIfTrue="1" operator="lessThanOrEqual">
      <formula>0</formula>
    </cfRule>
  </conditionalFormatting>
  <conditionalFormatting sqref="G48">
    <cfRule type="cellIs" dxfId="28" priority="257" stopIfTrue="1" operator="lessThanOrEqual">
      <formula>0</formula>
    </cfRule>
  </conditionalFormatting>
  <conditionalFormatting sqref="I48">
    <cfRule type="cellIs" dxfId="27" priority="256" stopIfTrue="1" operator="lessThanOrEqual">
      <formula>0</formula>
    </cfRule>
  </conditionalFormatting>
  <conditionalFormatting sqref="I48">
    <cfRule type="cellIs" dxfId="26" priority="255" stopIfTrue="1" operator="lessThanOrEqual">
      <formula>0</formula>
    </cfRule>
  </conditionalFormatting>
  <conditionalFormatting sqref="I48">
    <cfRule type="cellIs" dxfId="25" priority="254" stopIfTrue="1" operator="lessThanOrEqual">
      <formula>0</formula>
    </cfRule>
  </conditionalFormatting>
  <conditionalFormatting sqref="I48">
    <cfRule type="cellIs" dxfId="24" priority="253" stopIfTrue="1" operator="lessThanOrEqual">
      <formula>0</formula>
    </cfRule>
  </conditionalFormatting>
  <conditionalFormatting sqref="C18:C47">
    <cfRule type="cellIs" dxfId="23" priority="20" stopIfTrue="1" operator="lessThanOrEqual">
      <formula>0</formula>
    </cfRule>
  </conditionalFormatting>
  <conditionalFormatting sqref="C18:C47">
    <cfRule type="cellIs" dxfId="22" priority="19" stopIfTrue="1" operator="lessThanOrEqual">
      <formula>0</formula>
    </cfRule>
  </conditionalFormatting>
  <conditionalFormatting sqref="C18:C47">
    <cfRule type="cellIs" dxfId="21" priority="18" stopIfTrue="1" operator="lessThanOrEqual">
      <formula>0</formula>
    </cfRule>
  </conditionalFormatting>
  <conditionalFormatting sqref="C18:C47">
    <cfRule type="cellIs" dxfId="20" priority="17" stopIfTrue="1" operator="lessThanOrEqual">
      <formula>0</formula>
    </cfRule>
  </conditionalFormatting>
  <conditionalFormatting sqref="C9">
    <cfRule type="cellIs" dxfId="19" priority="16" stopIfTrue="1" operator="lessThanOrEqual">
      <formula>0</formula>
    </cfRule>
  </conditionalFormatting>
  <conditionalFormatting sqref="C9">
    <cfRule type="cellIs" dxfId="18" priority="15" stopIfTrue="1" operator="lessThanOrEqual">
      <formula>0</formula>
    </cfRule>
  </conditionalFormatting>
  <conditionalFormatting sqref="C9">
    <cfRule type="cellIs" dxfId="17" priority="14" stopIfTrue="1" operator="lessThanOrEqual">
      <formula>0</formula>
    </cfRule>
  </conditionalFormatting>
  <conditionalFormatting sqref="C9">
    <cfRule type="cellIs" dxfId="16" priority="13" stopIfTrue="1" operator="lessThanOrEqual">
      <formula>0</formula>
    </cfRule>
  </conditionalFormatting>
  <conditionalFormatting sqref="C10:C15">
    <cfRule type="cellIs" dxfId="15" priority="12" stopIfTrue="1" operator="lessThanOrEqual">
      <formula>0</formula>
    </cfRule>
  </conditionalFormatting>
  <conditionalFormatting sqref="C10:C15">
    <cfRule type="cellIs" dxfId="14" priority="11" stopIfTrue="1" operator="lessThanOrEqual">
      <formula>0</formula>
    </cfRule>
  </conditionalFormatting>
  <conditionalFormatting sqref="C10:C15">
    <cfRule type="cellIs" dxfId="13" priority="10" stopIfTrue="1" operator="lessThanOrEqual">
      <formula>0</formula>
    </cfRule>
  </conditionalFormatting>
  <conditionalFormatting sqref="C10:C15">
    <cfRule type="cellIs" dxfId="12" priority="9" stopIfTrue="1" operator="lessThanOrEqual">
      <formula>0</formula>
    </cfRule>
  </conditionalFormatting>
  <conditionalFormatting sqref="C16">
    <cfRule type="cellIs" dxfId="11" priority="8" stopIfTrue="1" operator="lessThanOrEqual">
      <formula>0</formula>
    </cfRule>
  </conditionalFormatting>
  <conditionalFormatting sqref="C16">
    <cfRule type="cellIs" dxfId="10" priority="7" stopIfTrue="1" operator="lessThanOrEqual">
      <formula>0</formula>
    </cfRule>
  </conditionalFormatting>
  <conditionalFormatting sqref="C16">
    <cfRule type="cellIs" dxfId="9" priority="6" stopIfTrue="1" operator="lessThanOrEqual">
      <formula>0</formula>
    </cfRule>
  </conditionalFormatting>
  <conditionalFormatting sqref="C16">
    <cfRule type="cellIs" dxfId="8" priority="5" stopIfTrue="1" operator="lessThanOrEqual">
      <formula>0</formula>
    </cfRule>
  </conditionalFormatting>
  <conditionalFormatting sqref="C17">
    <cfRule type="cellIs" dxfId="7" priority="4" stopIfTrue="1" operator="lessThanOrEqual">
      <formula>0</formula>
    </cfRule>
  </conditionalFormatting>
  <conditionalFormatting sqref="C17">
    <cfRule type="cellIs" dxfId="5" priority="3" stopIfTrue="1" operator="lessThanOrEqual">
      <formula>0</formula>
    </cfRule>
  </conditionalFormatting>
  <conditionalFormatting sqref="C17">
    <cfRule type="cellIs" dxfId="3" priority="2" stopIfTrue="1" operator="lessThanOrEqual">
      <formula>0</formula>
    </cfRule>
  </conditionalFormatting>
  <conditionalFormatting sqref="C1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01.08 au 31.08</vt:lpstr>
      <vt:lpstr>Suivi Gaz</vt:lpstr>
      <vt:lpstr>Suivi EAU-ELEC</vt:lpstr>
      <vt:lpstr>Feuil1</vt:lpstr>
      <vt:lpstr>'Consommation du 01.08 au 31.08'!Print_Area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2020-08-02T15:47:19Z</dcterms:modified>
</cp:coreProperties>
</file>