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B35" i="3" l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5" i="3"/>
  <c r="L5" i="3" s="1"/>
  <c r="K6" i="3"/>
  <c r="K7" i="3"/>
  <c r="K8" i="3"/>
  <c r="K9" i="3"/>
  <c r="L9" i="3" s="1"/>
  <c r="K10" i="3"/>
  <c r="K11" i="3"/>
  <c r="K12" i="3"/>
  <c r="K13" i="3"/>
  <c r="L13" i="3" s="1"/>
  <c r="K14" i="3"/>
  <c r="K15" i="3"/>
  <c r="K16" i="3"/>
  <c r="K17" i="3"/>
  <c r="L17" i="3" s="1"/>
  <c r="K18" i="3"/>
  <c r="K19" i="3"/>
  <c r="K20" i="3"/>
  <c r="K21" i="3"/>
  <c r="L21" i="3" s="1"/>
  <c r="K22" i="3"/>
  <c r="K23" i="3"/>
  <c r="K24" i="3"/>
  <c r="K25" i="3"/>
  <c r="L25" i="3" s="1"/>
  <c r="K26" i="3"/>
  <c r="K27" i="3"/>
  <c r="K28" i="3"/>
  <c r="K29" i="3"/>
  <c r="K30" i="3"/>
  <c r="K31" i="3"/>
  <c r="K32" i="3"/>
  <c r="K33" i="3"/>
  <c r="K34" i="3"/>
  <c r="L34" i="3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I3" i="2" l="1"/>
  <c r="I31" i="2"/>
  <c r="L33" i="3"/>
  <c r="I25" i="2"/>
  <c r="L27" i="3"/>
  <c r="I13" i="2"/>
  <c r="L15" i="3"/>
  <c r="I7" i="2"/>
  <c r="I30" i="2"/>
  <c r="L32" i="3"/>
  <c r="I24" i="2"/>
  <c r="L26" i="3"/>
  <c r="I18" i="2"/>
  <c r="L20" i="3"/>
  <c r="I12" i="2"/>
  <c r="L14" i="3"/>
  <c r="I6" i="2"/>
  <c r="L8" i="3"/>
  <c r="I29" i="2"/>
  <c r="L31" i="3"/>
  <c r="I17" i="2"/>
  <c r="L19" i="3"/>
  <c r="I5" i="2"/>
  <c r="L7" i="3"/>
  <c r="I23" i="2"/>
  <c r="I28" i="2"/>
  <c r="L30" i="3"/>
  <c r="I22" i="2"/>
  <c r="L24" i="3"/>
  <c r="I16" i="2"/>
  <c r="L18" i="3"/>
  <c r="I10" i="2"/>
  <c r="L12" i="3"/>
  <c r="I4" i="2"/>
  <c r="L6" i="3"/>
  <c r="I19" i="2"/>
  <c r="I2" i="2"/>
  <c r="L4" i="3"/>
  <c r="I27" i="2"/>
  <c r="L29" i="3"/>
  <c r="I21" i="2"/>
  <c r="L23" i="3"/>
  <c r="I9" i="2"/>
  <c r="L11" i="3"/>
  <c r="I15" i="2"/>
  <c r="I26" i="2"/>
  <c r="L28" i="3"/>
  <c r="I20" i="2"/>
  <c r="L22" i="3"/>
  <c r="I14" i="2"/>
  <c r="L16" i="3"/>
  <c r="I8" i="2"/>
  <c r="L10" i="3"/>
  <c r="I11" i="2"/>
  <c r="I32" i="2"/>
  <c r="K35" i="3"/>
  <c r="E32" i="2"/>
  <c r="I35" i="3"/>
  <c r="G3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<sst xmlns="http://schemas.openxmlformats.org/spreadsheetml/2006/main" count="63" uniqueCount="28">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</sst>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0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2" sqref="K2:K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7</v>
      </c>
      <c r="D2" s="6">
        <v>2022</v>
      </c>
      <c r="E2" s="8">
        <f>'FSRW Meter Readings'!I4</f>
        <v>21600</v>
      </c>
      <c r="F2" s="9">
        <v>0.06</v>
      </c>
      <c r="G2" s="8">
        <f>'FSRW Meter Readings'!F4</f>
        <v>1234.1799999999998</v>
      </c>
      <c r="H2" s="9">
        <v>0.4</v>
      </c>
      <c r="I2" s="8">
        <f>'FSRW Meter Readings'!K4</f>
        <v>29</v>
      </c>
      <c r="J2" s="9"/>
      <c r="K2" s="8">
        <f>'FSRW Meter Readings'!B4</f>
        <v>154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7</v>
      </c>
      <c r="D3" s="6">
        <v>2022</v>
      </c>
      <c r="E3" s="8">
        <f>'FSRW Meter Readings'!I5</f>
        <v>22800</v>
      </c>
      <c r="F3" s="9">
        <v>0.06</v>
      </c>
      <c r="G3" s="8">
        <f>'FSRW Meter Readings'!F5</f>
        <v>1314.6699999999998</v>
      </c>
      <c r="H3" s="9">
        <v>0.4</v>
      </c>
      <c r="I3" s="8">
        <f>'FSRW Meter Readings'!K5</f>
        <v>47</v>
      </c>
      <c r="J3" s="9"/>
      <c r="K3" s="8">
        <f>'FSRW Meter Readings'!B5</f>
        <v>185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7</v>
      </c>
      <c r="D4" s="6">
        <v>2022</v>
      </c>
      <c r="E4" s="8">
        <f>'FSRW Meter Readings'!I6</f>
        <v>19200</v>
      </c>
      <c r="F4" s="9">
        <v>0.06</v>
      </c>
      <c r="G4" s="8">
        <f>'FSRW Meter Readings'!F6</f>
        <v>1153.6899999999998</v>
      </c>
      <c r="H4" s="9">
        <v>0.4</v>
      </c>
      <c r="I4" s="8">
        <f>'FSRW Meter Readings'!K6</f>
        <v>36</v>
      </c>
      <c r="J4" s="9"/>
      <c r="K4" s="8">
        <f>'FSRW Meter Readings'!B6</f>
        <v>131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7</v>
      </c>
      <c r="D5" s="6">
        <v>2022</v>
      </c>
      <c r="E5" s="8">
        <f>'FSRW Meter Readings'!I7</f>
        <v>21600</v>
      </c>
      <c r="F5" s="9">
        <v>0.06</v>
      </c>
      <c r="G5" s="8">
        <f>'FSRW Meter Readings'!F7</f>
        <v>1636.6299999999999</v>
      </c>
      <c r="H5" s="9">
        <v>0.4</v>
      </c>
      <c r="I5" s="8">
        <f>'FSRW Meter Readings'!K7</f>
        <v>27</v>
      </c>
      <c r="J5" s="9"/>
      <c r="K5" s="8">
        <f>'FSRW Meter Readings'!B7</f>
        <v>102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7</v>
      </c>
      <c r="D6" s="6">
        <v>2022</v>
      </c>
      <c r="E6" s="8">
        <f>'FSRW Meter Readings'!I8</f>
        <v>21600</v>
      </c>
      <c r="F6" s="9">
        <v>0.06</v>
      </c>
      <c r="G6" s="8">
        <f>'FSRW Meter Readings'!F8</f>
        <v>1556.1399999999999</v>
      </c>
      <c r="H6" s="9">
        <v>0.4</v>
      </c>
      <c r="I6" s="8">
        <f>'FSRW Meter Readings'!K8</f>
        <v>35</v>
      </c>
      <c r="J6" s="9"/>
      <c r="K6" s="8">
        <f>'FSRW Meter Readings'!B8</f>
        <v>117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7</v>
      </c>
      <c r="D7" s="6">
        <v>2022</v>
      </c>
      <c r="E7" s="8">
        <f>'FSRW Meter Readings'!I9</f>
        <v>18000</v>
      </c>
      <c r="F7" s="9">
        <v>0.06</v>
      </c>
      <c r="G7" s="8">
        <f>'FSRW Meter Readings'!F9</f>
        <v>1287.8399999999999</v>
      </c>
      <c r="H7" s="9">
        <v>0.4</v>
      </c>
      <c r="I7" s="8">
        <f>'FSRW Meter Readings'!K9</f>
        <v>29</v>
      </c>
      <c r="J7" s="9"/>
      <c r="K7" s="8">
        <f>'FSRW Meter Readings'!B9</f>
        <v>170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7</v>
      </c>
      <c r="D8" s="6">
        <v>2022</v>
      </c>
      <c r="E8" s="8">
        <f>'FSRW Meter Readings'!I10</f>
        <v>20400</v>
      </c>
      <c r="F8" s="9">
        <v>0.06</v>
      </c>
      <c r="G8" s="8">
        <f>'FSRW Meter Readings'!F10</f>
        <v>1395.1599999999999</v>
      </c>
      <c r="H8" s="9">
        <v>0.4</v>
      </c>
      <c r="I8" s="8">
        <f>'FSRW Meter Readings'!K10</f>
        <v>32</v>
      </c>
      <c r="J8" s="9"/>
      <c r="K8" s="8">
        <f>'FSRW Meter Readings'!B10</f>
        <v>174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7</v>
      </c>
      <c r="D9" s="6">
        <v>2022</v>
      </c>
      <c r="E9" s="8">
        <f>'FSRW Meter Readings'!I11</f>
        <v>20400</v>
      </c>
      <c r="F9" s="9">
        <v>0.06</v>
      </c>
      <c r="G9" s="8">
        <f>'FSRW Meter Readings'!F11</f>
        <v>1395.1599999999999</v>
      </c>
      <c r="H9" s="9">
        <v>0.4</v>
      </c>
      <c r="I9" s="8">
        <f>'FSRW Meter Readings'!K11</f>
        <v>28</v>
      </c>
      <c r="J9" s="9"/>
      <c r="K9" s="8">
        <f>'FSRW Meter Readings'!B11</f>
        <v>180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7</v>
      </c>
      <c r="D10" s="6">
        <v>2022</v>
      </c>
      <c r="E10" s="8">
        <f>'FSRW Meter Readings'!I12</f>
        <v>22800</v>
      </c>
      <c r="F10" s="9">
        <v>0.06</v>
      </c>
      <c r="G10" s="8">
        <f>'FSRW Meter Readings'!F12</f>
        <v>1636.6299999999999</v>
      </c>
      <c r="H10" s="9">
        <v>0.4</v>
      </c>
      <c r="I10" s="8">
        <f>'FSRW Meter Readings'!K12</f>
        <v>30</v>
      </c>
      <c r="J10" s="9"/>
      <c r="K10" s="8">
        <f>'FSRW Meter Readings'!B12</f>
        <v>181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7</v>
      </c>
      <c r="D11" s="6">
        <v>2022</v>
      </c>
      <c r="E11" s="8">
        <f>'FSRW Meter Readings'!I13</f>
        <v>20400</v>
      </c>
      <c r="F11" s="9">
        <v>0.06</v>
      </c>
      <c r="G11" s="8">
        <f>'FSRW Meter Readings'!F13</f>
        <v>1368.33</v>
      </c>
      <c r="H11" s="9">
        <v>0.4</v>
      </c>
      <c r="I11" s="8">
        <f>'FSRW Meter Readings'!K13</f>
        <v>37</v>
      </c>
      <c r="J11" s="9"/>
      <c r="K11" s="8">
        <f>'FSRW Meter Readings'!B13</f>
        <v>144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7</v>
      </c>
      <c r="D12" s="6">
        <v>2022</v>
      </c>
      <c r="E12" s="8">
        <f>'FSRW Meter Readings'!I14</f>
        <v>20400</v>
      </c>
      <c r="F12" s="9">
        <v>0.06</v>
      </c>
      <c r="G12" s="8">
        <f>'FSRW Meter Readings'!F14</f>
        <v>1556.1399999999999</v>
      </c>
      <c r="H12" s="9">
        <v>0.4</v>
      </c>
      <c r="I12" s="8">
        <f>'FSRW Meter Readings'!K14</f>
        <v>48</v>
      </c>
      <c r="J12" s="9"/>
      <c r="K12" s="8">
        <f>'FSRW Meter Readings'!B14</f>
        <v>159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7</v>
      </c>
      <c r="D13" s="6">
        <v>2022</v>
      </c>
      <c r="E13" s="8">
        <f>'FSRW Meter Readings'!I15</f>
        <v>26400</v>
      </c>
      <c r="F13" s="9">
        <v>0.06</v>
      </c>
      <c r="G13" s="8">
        <f>'FSRW Meter Readings'!F15</f>
        <v>1421.99</v>
      </c>
      <c r="H13" s="9">
        <v>0.4</v>
      </c>
      <c r="I13" s="8">
        <f>'FSRW Meter Readings'!K15</f>
        <v>49</v>
      </c>
      <c r="J13" s="9"/>
      <c r="K13" s="8">
        <f>'FSRW Meter Readings'!B15</f>
        <v>167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7</v>
      </c>
      <c r="D14" s="6">
        <v>2022</v>
      </c>
      <c r="E14" s="8">
        <f>'FSRW Meter Readings'!I16</f>
        <v>19200</v>
      </c>
      <c r="F14" s="9">
        <v>0.06</v>
      </c>
      <c r="G14" s="8">
        <f>'FSRW Meter Readings'!F16</f>
        <v>1287.8399999999999</v>
      </c>
      <c r="H14" s="9">
        <v>0.4</v>
      </c>
      <c r="I14" s="8">
        <f>'FSRW Meter Readings'!K16</f>
        <v>34</v>
      </c>
      <c r="J14" s="9"/>
      <c r="K14" s="8">
        <f>'FSRW Meter Readings'!B16</f>
        <v>152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7</v>
      </c>
      <c r="D15" s="6">
        <v>2022</v>
      </c>
      <c r="E15" s="8">
        <f>'FSRW Meter Readings'!I17</f>
        <v>20400</v>
      </c>
      <c r="F15" s="9">
        <v>0.06</v>
      </c>
      <c r="G15" s="8">
        <f>'FSRW Meter Readings'!F17</f>
        <v>1341.5</v>
      </c>
      <c r="H15" s="9">
        <v>0.4</v>
      </c>
      <c r="I15" s="8">
        <f>'FSRW Meter Readings'!K17</f>
        <v>42</v>
      </c>
      <c r="J15" s="9"/>
      <c r="K15" s="8">
        <f>'FSRW Meter Readings'!B17</f>
        <v>155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7</v>
      </c>
      <c r="D16" s="6">
        <v>2022</v>
      </c>
      <c r="E16" s="8">
        <f>'FSRW Meter Readings'!I18</f>
        <v>18000</v>
      </c>
      <c r="F16" s="9">
        <v>0.06</v>
      </c>
      <c r="G16" s="8">
        <f>'FSRW Meter Readings'!F18</f>
        <v>1153.6899999999998</v>
      </c>
      <c r="H16" s="9">
        <v>0.4</v>
      </c>
      <c r="I16" s="8">
        <f>'FSRW Meter Readings'!K18</f>
        <v>37</v>
      </c>
      <c r="J16" s="9"/>
      <c r="K16" s="8">
        <f>'FSRW Meter Readings'!B18</f>
        <v>184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7</v>
      </c>
      <c r="D17" s="6">
        <v>2022</v>
      </c>
      <c r="E17" s="8">
        <f>'FSRW Meter Readings'!I19</f>
        <v>21600</v>
      </c>
      <c r="F17" s="9">
        <v>0.06</v>
      </c>
      <c r="G17" s="8">
        <f>'FSRW Meter Readings'!F19</f>
        <v>1475.6499999999999</v>
      </c>
      <c r="H17" s="9">
        <v>0.4</v>
      </c>
      <c r="I17" s="8">
        <f>'FSRW Meter Readings'!K19</f>
        <v>38</v>
      </c>
      <c r="J17" s="9"/>
      <c r="K17" s="8">
        <f>'FSRW Meter Readings'!B19</f>
        <v>186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7</v>
      </c>
      <c r="D18" s="6">
        <v>2022</v>
      </c>
      <c r="E18" s="8">
        <f>'FSRW Meter Readings'!I20</f>
        <v>19200</v>
      </c>
      <c r="F18" s="9">
        <v>0.06</v>
      </c>
      <c r="G18" s="8">
        <f>'FSRW Meter Readings'!F20</f>
        <v>1609.8</v>
      </c>
      <c r="H18" s="9">
        <v>0.4</v>
      </c>
      <c r="I18" s="8">
        <f>'FSRW Meter Readings'!K20</f>
        <v>40</v>
      </c>
      <c r="J18" s="9"/>
      <c r="K18" s="8">
        <f>'FSRW Meter Readings'!B20</f>
        <v>124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7</v>
      </c>
      <c r="D19" s="6">
        <v>2022</v>
      </c>
      <c r="E19" s="8">
        <f>'FSRW Meter Readings'!I21</f>
        <v>21600</v>
      </c>
      <c r="F19" s="9">
        <v>0.06</v>
      </c>
      <c r="G19" s="8">
        <f>'FSRW Meter Readings'!F21</f>
        <v>1368.33</v>
      </c>
      <c r="H19" s="9">
        <v>0.4</v>
      </c>
      <c r="I19" s="8">
        <f>'FSRW Meter Readings'!K21</f>
        <v>40</v>
      </c>
      <c r="J19" s="9"/>
      <c r="K19" s="8">
        <f>'FSRW Meter Readings'!B21</f>
        <v>173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7</v>
      </c>
      <c r="D20" s="6">
        <v>2022</v>
      </c>
      <c r="E20" s="8">
        <f>'FSRW Meter Readings'!I22</f>
        <v>22800</v>
      </c>
      <c r="F20" s="9">
        <v>0.06</v>
      </c>
      <c r="G20" s="8">
        <f>'FSRW Meter Readings'!F22</f>
        <v>1717.12</v>
      </c>
      <c r="H20" s="9">
        <v>0.4</v>
      </c>
      <c r="I20" s="8">
        <f>'FSRW Meter Readings'!K22</f>
        <v>43</v>
      </c>
      <c r="J20" s="9"/>
      <c r="K20" s="8">
        <f>'FSRW Meter Readings'!B22</f>
        <v>167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7</v>
      </c>
      <c r="D21" s="6">
        <v>2022</v>
      </c>
      <c r="E21" s="8">
        <f>'FSRW Meter Readings'!I23</f>
        <v>19200</v>
      </c>
      <c r="F21" s="9">
        <v>0.06</v>
      </c>
      <c r="G21" s="8">
        <f>'FSRW Meter Readings'!F23</f>
        <v>1261.01</v>
      </c>
      <c r="H21" s="9">
        <v>0.4</v>
      </c>
      <c r="I21" s="8">
        <f>'FSRW Meter Readings'!K23</f>
        <v>48</v>
      </c>
      <c r="J21" s="9"/>
      <c r="K21" s="8">
        <f>'FSRW Meter Readings'!B23</f>
        <v>164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7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1261.01</v>
      </c>
      <c r="H22" s="9">
        <v>0.4</v>
      </c>
      <c r="I22" s="8">
        <f>'FSRW Meter Readings'!K24</f>
        <v>48</v>
      </c>
      <c r="J22" s="9"/>
      <c r="K22" s="8">
        <f>'FSRW Meter Readings'!B24</f>
        <v>164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7</v>
      </c>
      <c r="D23" s="6">
        <v>2022</v>
      </c>
      <c r="E23" s="8">
        <f>'FSRW Meter Readings'!I25</f>
        <v>21600</v>
      </c>
      <c r="F23" s="9">
        <v>0.06</v>
      </c>
      <c r="G23" s="8">
        <f>'FSRW Meter Readings'!F25</f>
        <v>1287.8399999999999</v>
      </c>
      <c r="H23" s="9">
        <v>0.4</v>
      </c>
      <c r="I23" s="8">
        <f>'FSRW Meter Readings'!K25</f>
        <v>42</v>
      </c>
      <c r="J23" s="9"/>
      <c r="K23" s="8">
        <f>'FSRW Meter Readings'!B25</f>
        <v>203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7</v>
      </c>
      <c r="D24" s="6">
        <v>2022</v>
      </c>
      <c r="E24" s="8">
        <f>'FSRW Meter Readings'!I26</f>
        <v>21600</v>
      </c>
      <c r="F24" s="9">
        <v>0.06</v>
      </c>
      <c r="G24" s="8">
        <f>'FSRW Meter Readings'!F26</f>
        <v>1502.48</v>
      </c>
      <c r="H24" s="9">
        <v>0.4</v>
      </c>
      <c r="I24" s="8">
        <f>'FSRW Meter Readings'!K26</f>
        <v>43</v>
      </c>
      <c r="J24" s="9"/>
      <c r="K24" s="8">
        <f>'FSRW Meter Readings'!B26</f>
        <v>244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7</v>
      </c>
      <c r="D25" s="6">
        <v>2022</v>
      </c>
      <c r="E25" s="8">
        <f>'FSRW Meter Readings'!I27</f>
        <v>22800</v>
      </c>
      <c r="F25" s="9">
        <v>0.06</v>
      </c>
      <c r="G25" s="8">
        <f>'FSRW Meter Readings'!F27</f>
        <v>1368.33</v>
      </c>
      <c r="H25" s="9">
        <v>0.4</v>
      </c>
      <c r="I25" s="8">
        <f>'FSRW Meter Readings'!K27</f>
        <v>53</v>
      </c>
      <c r="J25" s="9"/>
      <c r="K25" s="8">
        <f>'FSRW Meter Readings'!B27</f>
        <v>161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7</v>
      </c>
      <c r="D26" s="6">
        <v>2022</v>
      </c>
      <c r="E26" s="8">
        <f>'FSRW Meter Readings'!I28</f>
        <v>19200</v>
      </c>
      <c r="F26" s="9">
        <v>0.06</v>
      </c>
      <c r="G26" s="8">
        <f>'FSRW Meter Readings'!F28</f>
        <v>1261.01</v>
      </c>
      <c r="H26" s="9">
        <v>0.4</v>
      </c>
      <c r="I26" s="8">
        <f>'FSRW Meter Readings'!K28</f>
        <v>27</v>
      </c>
      <c r="J26" s="9"/>
      <c r="K26" s="8">
        <f>'FSRW Meter Readings'!B28</f>
        <v>172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7</v>
      </c>
      <c r="D27" s="6">
        <v>2022</v>
      </c>
      <c r="E27" s="8">
        <f>'FSRW Meter Readings'!I29</f>
        <v>25200</v>
      </c>
      <c r="F27" s="9">
        <v>0.06</v>
      </c>
      <c r="G27" s="8">
        <f>'FSRW Meter Readings'!F29</f>
        <v>1180.52</v>
      </c>
      <c r="H27" s="9">
        <v>0.4</v>
      </c>
      <c r="I27" s="8">
        <f>'FSRW Meter Readings'!K29</f>
        <v>38</v>
      </c>
      <c r="J27" s="9"/>
      <c r="K27" s="8">
        <f>'FSRW Meter Readings'!B29</f>
        <v>192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7</v>
      </c>
      <c r="D28" s="6">
        <v>2022</v>
      </c>
      <c r="E28" s="8">
        <f>'FSRW Meter Readings'!I30</f>
        <v>22800</v>
      </c>
      <c r="F28" s="9">
        <v>0.06</v>
      </c>
      <c r="G28" s="8">
        <f>'FSRW Meter Readings'!F30</f>
        <v>1341.5</v>
      </c>
      <c r="H28" s="9">
        <v>0.4</v>
      </c>
      <c r="I28" s="8">
        <f>'FSRW Meter Readings'!K30</f>
        <v>55</v>
      </c>
      <c r="J28" s="9"/>
      <c r="K28" s="8">
        <f>'FSRW Meter Readings'!B30</f>
        <v>233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7</v>
      </c>
      <c r="D29" s="6">
        <v>2022</v>
      </c>
      <c r="E29" s="8">
        <f>'FSRW Meter Readings'!I31</f>
        <v>24000</v>
      </c>
      <c r="F29" s="9">
        <v>0.06</v>
      </c>
      <c r="G29" s="8">
        <f>'FSRW Meter Readings'!F31</f>
        <v>1368.33</v>
      </c>
      <c r="H29" s="9">
        <v>0.4</v>
      </c>
      <c r="I29" s="8">
        <f>'FSRW Meter Readings'!K31</f>
        <v>65</v>
      </c>
      <c r="J29" s="9"/>
      <c r="K29" s="8">
        <f>'FSRW Meter Readings'!B31</f>
        <v>222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7</v>
      </c>
      <c r="D30" s="6">
        <v>2022</v>
      </c>
      <c r="E30" s="8">
        <f>'FSRW Meter Readings'!I32</f>
        <v>25200</v>
      </c>
      <c r="F30" s="9">
        <v>0.06</v>
      </c>
      <c r="G30" s="8">
        <f>'FSRW Meter Readings'!F32</f>
        <v>1368.33</v>
      </c>
      <c r="H30" s="9">
        <v>0.4</v>
      </c>
      <c r="I30" s="8">
        <f>'FSRW Meter Readings'!K32</f>
        <v>46</v>
      </c>
      <c r="J30" s="9"/>
      <c r="K30" s="8">
        <f>'FSRW Meter Readings'!B32</f>
        <v>243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7</v>
      </c>
      <c r="D31" s="6">
        <v>2022</v>
      </c>
      <c r="E31" s="8">
        <f>'FSRW Meter Readings'!I33</f>
        <v>19200</v>
      </c>
      <c r="F31" s="9">
        <v>0.06</v>
      </c>
      <c r="G31" s="8">
        <f>'FSRW Meter Readings'!F33</f>
        <v>1100.03</v>
      </c>
      <c r="H31" s="9">
        <v>0.4</v>
      </c>
      <c r="I31" s="8">
        <f>'FSRW Meter Readings'!K33</f>
        <v>51</v>
      </c>
      <c r="J31" s="9"/>
      <c r="K31" s="8">
        <f>'FSRW Meter Readings'!B33</f>
        <v>256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7</v>
      </c>
      <c r="D32" s="6">
        <v>2022</v>
      </c>
      <c r="E32" s="8">
        <f>'FSRW Meter Readings'!I34</f>
        <v>45600</v>
      </c>
      <c r="F32" s="9">
        <v>0.06</v>
      </c>
      <c r="G32" s="8">
        <f>'FSRW Meter Readings'!F34</f>
        <v>1207.3499999999999</v>
      </c>
      <c r="H32" s="9">
        <v>0.4</v>
      </c>
      <c r="I32" s="8">
        <f>'FSRW Meter Readings'!K34</f>
        <v>49</v>
      </c>
      <c r="J32" s="9"/>
      <c r="K32" s="8">
        <f>'FSRW Meter Readings'!B34</f>
        <v>231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zoomScale="70" zoomScaleNormal="70" workbookViewId="0">
      <selection activeCell="B4" sqref="B4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1"/>
    <col min="13" max="16384" width="8.85546875" style="16"/>
  </cols>
  <sheetData>
    <row r="1" spans="1:12" ht="45" customHeight="1" thickBot="1" x14ac:dyDescent="0.3">
      <c r="A1" s="55" t="s">
        <v>16</v>
      </c>
      <c r="B1" s="57" t="s">
        <v>19</v>
      </c>
      <c r="C1" s="57" t="s">
        <v>13</v>
      </c>
      <c r="D1" s="59" t="s">
        <v>23</v>
      </c>
      <c r="E1" s="60"/>
      <c r="F1" s="61"/>
      <c r="G1" s="59" t="s">
        <v>24</v>
      </c>
      <c r="H1" s="60"/>
      <c r="I1" s="62"/>
      <c r="J1" s="53" t="s">
        <v>26</v>
      </c>
      <c r="K1" s="54"/>
      <c r="L1" s="54"/>
    </row>
    <row r="2" spans="1:12" s="13" customFormat="1" ht="64.900000000000006" customHeight="1" thickBot="1" x14ac:dyDescent="0.3">
      <c r="A2" s="56"/>
      <c r="B2" s="58"/>
      <c r="C2" s="58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0" t="s">
        <v>27</v>
      </c>
    </row>
    <row r="3" spans="1:12" ht="30" customHeight="1" x14ac:dyDescent="0.25">
      <c r="A3" s="38">
        <v>44742</v>
      </c>
      <c r="B3" s="32" t="s">
        <v>20</v>
      </c>
      <c r="C3" s="32" t="s">
        <v>20</v>
      </c>
      <c r="D3" s="36">
        <v>188340</v>
      </c>
      <c r="E3" s="30"/>
      <c r="F3" s="43" t="s">
        <v>20</v>
      </c>
      <c r="G3" s="37">
        <v>52018</v>
      </c>
      <c r="H3" s="30"/>
      <c r="I3" s="46" t="s">
        <v>20</v>
      </c>
      <c r="J3" s="18">
        <v>105884</v>
      </c>
      <c r="K3" s="42" t="s">
        <v>20</v>
      </c>
    </row>
    <row r="4" spans="1:12" ht="30" customHeight="1" x14ac:dyDescent="0.25">
      <c r="A4" s="38">
        <v>44743</v>
      </c>
      <c r="B4" s="32">
        <v>154</v>
      </c>
      <c r="C4" s="32">
        <v>0</v>
      </c>
      <c r="D4" s="37">
        <v>188386</v>
      </c>
      <c r="E4" s="31">
        <f>IF(D4-D3&lt;0,"0",D4-D3)</f>
        <v>46</v>
      </c>
      <c r="F4" s="44">
        <f>E4*26.83</f>
        <v>1234.1799999999998</v>
      </c>
      <c r="G4" s="37">
        <v>52036</v>
      </c>
      <c r="H4" s="31">
        <f>IF(G4-G3&lt;0,"0",G4-G3)</f>
        <v>18</v>
      </c>
      <c r="I4" s="47">
        <f>H4*1200</f>
        <v>21600</v>
      </c>
      <c r="J4" s="19">
        <v>105913</v>
      </c>
      <c r="K4" s="31">
        <f>IF(J4-J3&lt;0,"0",J4-J3)</f>
        <v>29</v>
      </c>
      <c r="L4" s="52">
        <f>SUM(K4*4.7)</f>
        <v>136.30000000000001</v>
      </c>
    </row>
    <row r="5" spans="1:12" ht="30" customHeight="1" x14ac:dyDescent="0.25">
      <c r="A5" s="38">
        <v>44744</v>
      </c>
      <c r="B5" s="32">
        <v>185</v>
      </c>
      <c r="C5" s="32">
        <v>0</v>
      </c>
      <c r="D5" s="37">
        <v>188435</v>
      </c>
      <c r="E5" s="31">
        <f t="shared" ref="E5:E34" si="0">IF(D5-D4&lt;0,"0",D5-D4)</f>
        <v>49</v>
      </c>
      <c r="F5" s="44">
        <f t="shared" ref="F5:F34" si="1">E5*26.83</f>
        <v>1314.6699999999998</v>
      </c>
      <c r="G5" s="37">
        <v>52055</v>
      </c>
      <c r="H5" s="31">
        <f t="shared" ref="H5:H34" si="2">IF(G5-G4&lt;0,"0",G5-G4)</f>
        <v>19</v>
      </c>
      <c r="I5" s="47">
        <f t="shared" ref="I5:I34" si="3">H5*1200</f>
        <v>22800</v>
      </c>
      <c r="J5" s="19">
        <v>105960</v>
      </c>
      <c r="K5" s="31">
        <f t="shared" ref="K5:K34" si="4">IF(J5-J4&lt;0,"0",J5-J4)</f>
        <v>47</v>
      </c>
      <c r="L5" s="52">
        <f t="shared" ref="L5:L34" si="5">SUM(K5*4.7)</f>
        <v>220.9</v>
      </c>
    </row>
    <row r="6" spans="1:12" ht="30" customHeight="1" x14ac:dyDescent="0.25">
      <c r="A6" s="38">
        <v>44745</v>
      </c>
      <c r="B6" s="32">
        <v>131</v>
      </c>
      <c r="C6" s="32">
        <v>0</v>
      </c>
      <c r="D6" s="37">
        <v>188478</v>
      </c>
      <c r="E6" s="31">
        <f t="shared" si="0"/>
        <v>43</v>
      </c>
      <c r="F6" s="44">
        <f t="shared" si="1"/>
        <v>1153.6899999999998</v>
      </c>
      <c r="G6" s="37">
        <v>52071</v>
      </c>
      <c r="H6" s="31">
        <f t="shared" si="2"/>
        <v>16</v>
      </c>
      <c r="I6" s="47">
        <f t="shared" si="3"/>
        <v>19200</v>
      </c>
      <c r="J6" s="19">
        <v>105996</v>
      </c>
      <c r="K6" s="31">
        <f t="shared" si="4"/>
        <v>36</v>
      </c>
      <c r="L6" s="52">
        <f t="shared" si="5"/>
        <v>169.20000000000002</v>
      </c>
    </row>
    <row r="7" spans="1:12" ht="30" customHeight="1" x14ac:dyDescent="0.25">
      <c r="A7" s="38">
        <v>44746</v>
      </c>
      <c r="B7" s="32">
        <v>102</v>
      </c>
      <c r="C7" s="32">
        <v>0</v>
      </c>
      <c r="D7" s="37">
        <v>188539</v>
      </c>
      <c r="E7" s="31">
        <f t="shared" si="0"/>
        <v>61</v>
      </c>
      <c r="F7" s="44">
        <f t="shared" si="1"/>
        <v>1636.6299999999999</v>
      </c>
      <c r="G7" s="37">
        <v>52089</v>
      </c>
      <c r="H7" s="31">
        <f t="shared" si="2"/>
        <v>18</v>
      </c>
      <c r="I7" s="47">
        <f t="shared" si="3"/>
        <v>21600</v>
      </c>
      <c r="J7" s="19">
        <v>106023</v>
      </c>
      <c r="K7" s="31">
        <f t="shared" si="4"/>
        <v>27</v>
      </c>
      <c r="L7" s="52">
        <f t="shared" si="5"/>
        <v>126.9</v>
      </c>
    </row>
    <row r="8" spans="1:12" ht="30" customHeight="1" x14ac:dyDescent="0.25">
      <c r="A8" s="38">
        <v>44747</v>
      </c>
      <c r="B8" s="32">
        <v>117</v>
      </c>
      <c r="C8" s="32">
        <v>0</v>
      </c>
      <c r="D8" s="37">
        <v>188597</v>
      </c>
      <c r="E8" s="31">
        <f t="shared" si="0"/>
        <v>58</v>
      </c>
      <c r="F8" s="44">
        <f t="shared" si="1"/>
        <v>1556.1399999999999</v>
      </c>
      <c r="G8" s="37">
        <v>52107</v>
      </c>
      <c r="H8" s="31">
        <f t="shared" si="2"/>
        <v>18</v>
      </c>
      <c r="I8" s="47">
        <f t="shared" si="3"/>
        <v>21600</v>
      </c>
      <c r="J8" s="19">
        <v>106058</v>
      </c>
      <c r="K8" s="31">
        <f t="shared" si="4"/>
        <v>35</v>
      </c>
      <c r="L8" s="52">
        <f t="shared" si="5"/>
        <v>164.5</v>
      </c>
    </row>
    <row r="9" spans="1:12" ht="30" customHeight="1" x14ac:dyDescent="0.25">
      <c r="A9" s="38">
        <v>44748</v>
      </c>
      <c r="B9" s="32">
        <v>170</v>
      </c>
      <c r="C9" s="32">
        <v>0</v>
      </c>
      <c r="D9" s="37">
        <v>188645</v>
      </c>
      <c r="E9" s="31">
        <f t="shared" si="0"/>
        <v>48</v>
      </c>
      <c r="F9" s="44">
        <f t="shared" si="1"/>
        <v>1287.8399999999999</v>
      </c>
      <c r="G9" s="37">
        <v>52122</v>
      </c>
      <c r="H9" s="31">
        <f t="shared" si="2"/>
        <v>15</v>
      </c>
      <c r="I9" s="47">
        <f t="shared" si="3"/>
        <v>18000</v>
      </c>
      <c r="J9" s="19">
        <v>106087</v>
      </c>
      <c r="K9" s="31">
        <f t="shared" si="4"/>
        <v>29</v>
      </c>
      <c r="L9" s="52">
        <f t="shared" si="5"/>
        <v>136.30000000000001</v>
      </c>
    </row>
    <row r="10" spans="1:12" ht="30" customHeight="1" x14ac:dyDescent="0.25">
      <c r="A10" s="38">
        <v>44749</v>
      </c>
      <c r="B10" s="32">
        <v>174</v>
      </c>
      <c r="C10" s="32">
        <v>0</v>
      </c>
      <c r="D10" s="37">
        <v>188697</v>
      </c>
      <c r="E10" s="31">
        <f t="shared" si="0"/>
        <v>52</v>
      </c>
      <c r="F10" s="44">
        <f t="shared" si="1"/>
        <v>1395.1599999999999</v>
      </c>
      <c r="G10" s="37">
        <v>52139</v>
      </c>
      <c r="H10" s="31">
        <f t="shared" si="2"/>
        <v>17</v>
      </c>
      <c r="I10" s="47">
        <f t="shared" si="3"/>
        <v>20400</v>
      </c>
      <c r="J10" s="19">
        <v>106119</v>
      </c>
      <c r="K10" s="31">
        <f t="shared" si="4"/>
        <v>32</v>
      </c>
      <c r="L10" s="52">
        <f t="shared" si="5"/>
        <v>150.4</v>
      </c>
    </row>
    <row r="11" spans="1:12" ht="30" customHeight="1" x14ac:dyDescent="0.25">
      <c r="A11" s="38">
        <v>44750</v>
      </c>
      <c r="B11" s="32">
        <v>180</v>
      </c>
      <c r="C11" s="32">
        <v>0</v>
      </c>
      <c r="D11" s="37">
        <v>188749</v>
      </c>
      <c r="E11" s="31">
        <f t="shared" si="0"/>
        <v>52</v>
      </c>
      <c r="F11" s="44">
        <f t="shared" si="1"/>
        <v>1395.1599999999999</v>
      </c>
      <c r="G11" s="37">
        <v>52156</v>
      </c>
      <c r="H11" s="31">
        <f t="shared" si="2"/>
        <v>17</v>
      </c>
      <c r="I11" s="47">
        <f t="shared" si="3"/>
        <v>20400</v>
      </c>
      <c r="J11" s="19">
        <v>106147</v>
      </c>
      <c r="K11" s="31">
        <f t="shared" si="4"/>
        <v>28</v>
      </c>
      <c r="L11" s="52">
        <f t="shared" si="5"/>
        <v>131.6</v>
      </c>
    </row>
    <row r="12" spans="1:12" ht="30" customHeight="1" x14ac:dyDescent="0.25">
      <c r="A12" s="38">
        <v>44751</v>
      </c>
      <c r="B12" s="32">
        <v>181</v>
      </c>
      <c r="C12" s="32">
        <v>0</v>
      </c>
      <c r="D12" s="37">
        <v>188810</v>
      </c>
      <c r="E12" s="31">
        <f t="shared" si="0"/>
        <v>61</v>
      </c>
      <c r="F12" s="44">
        <f t="shared" si="1"/>
        <v>1636.6299999999999</v>
      </c>
      <c r="G12" s="37">
        <v>52175</v>
      </c>
      <c r="H12" s="31">
        <f t="shared" si="2"/>
        <v>19</v>
      </c>
      <c r="I12" s="47">
        <f t="shared" si="3"/>
        <v>22800</v>
      </c>
      <c r="J12" s="19">
        <v>106177</v>
      </c>
      <c r="K12" s="31">
        <f t="shared" si="4"/>
        <v>30</v>
      </c>
      <c r="L12" s="52">
        <f t="shared" si="5"/>
        <v>141</v>
      </c>
    </row>
    <row r="13" spans="1:12" ht="30" customHeight="1" x14ac:dyDescent="0.25">
      <c r="A13" s="38">
        <v>44752</v>
      </c>
      <c r="B13" s="32">
        <v>144</v>
      </c>
      <c r="C13" s="32">
        <v>0</v>
      </c>
      <c r="D13" s="37">
        <v>188861</v>
      </c>
      <c r="E13" s="31">
        <f t="shared" si="0"/>
        <v>51</v>
      </c>
      <c r="F13" s="44">
        <f t="shared" si="1"/>
        <v>1368.33</v>
      </c>
      <c r="G13" s="37">
        <v>52192</v>
      </c>
      <c r="H13" s="31">
        <f t="shared" si="2"/>
        <v>17</v>
      </c>
      <c r="I13" s="47">
        <f t="shared" si="3"/>
        <v>20400</v>
      </c>
      <c r="J13" s="19">
        <v>106214</v>
      </c>
      <c r="K13" s="31">
        <f t="shared" si="4"/>
        <v>37</v>
      </c>
      <c r="L13" s="52">
        <f t="shared" si="5"/>
        <v>173.9</v>
      </c>
    </row>
    <row r="14" spans="1:12" ht="30" customHeight="1" x14ac:dyDescent="0.25">
      <c r="A14" s="38">
        <v>44753</v>
      </c>
      <c r="B14" s="32">
        <v>159</v>
      </c>
      <c r="C14" s="32">
        <v>0</v>
      </c>
      <c r="D14" s="37">
        <v>188919</v>
      </c>
      <c r="E14" s="31">
        <f t="shared" si="0"/>
        <v>58</v>
      </c>
      <c r="F14" s="44">
        <f t="shared" si="1"/>
        <v>1556.1399999999999</v>
      </c>
      <c r="G14" s="37">
        <v>52209</v>
      </c>
      <c r="H14" s="31">
        <f t="shared" si="2"/>
        <v>17</v>
      </c>
      <c r="I14" s="47">
        <f t="shared" si="3"/>
        <v>20400</v>
      </c>
      <c r="J14" s="19">
        <v>106262</v>
      </c>
      <c r="K14" s="31">
        <f t="shared" si="4"/>
        <v>48</v>
      </c>
      <c r="L14" s="52">
        <f t="shared" si="5"/>
        <v>225.60000000000002</v>
      </c>
    </row>
    <row r="15" spans="1:12" ht="30" customHeight="1" x14ac:dyDescent="0.25">
      <c r="A15" s="38">
        <v>44754</v>
      </c>
      <c r="B15" s="32">
        <v>167</v>
      </c>
      <c r="C15" s="32">
        <v>0</v>
      </c>
      <c r="D15" s="37">
        <v>188972</v>
      </c>
      <c r="E15" s="31">
        <f t="shared" si="0"/>
        <v>53</v>
      </c>
      <c r="F15" s="44">
        <f t="shared" si="1"/>
        <v>1421.99</v>
      </c>
      <c r="G15" s="37">
        <v>52231</v>
      </c>
      <c r="H15" s="31">
        <f t="shared" si="2"/>
        <v>22</v>
      </c>
      <c r="I15" s="47">
        <f t="shared" si="3"/>
        <v>26400</v>
      </c>
      <c r="J15" s="19">
        <v>106311</v>
      </c>
      <c r="K15" s="31">
        <f t="shared" si="4"/>
        <v>49</v>
      </c>
      <c r="L15" s="52">
        <f t="shared" si="5"/>
        <v>230.3</v>
      </c>
    </row>
    <row r="16" spans="1:12" ht="30" customHeight="1" x14ac:dyDescent="0.25">
      <c r="A16" s="38">
        <v>44755</v>
      </c>
      <c r="B16" s="32">
        <v>152</v>
      </c>
      <c r="C16" s="32">
        <v>0</v>
      </c>
      <c r="D16" s="37">
        <v>189020</v>
      </c>
      <c r="E16" s="31">
        <f t="shared" si="0"/>
        <v>48</v>
      </c>
      <c r="F16" s="44">
        <f t="shared" si="1"/>
        <v>1287.8399999999999</v>
      </c>
      <c r="G16" s="37">
        <v>52247</v>
      </c>
      <c r="H16" s="31">
        <f t="shared" si="2"/>
        <v>16</v>
      </c>
      <c r="I16" s="47">
        <f t="shared" si="3"/>
        <v>19200</v>
      </c>
      <c r="J16" s="19">
        <v>106345</v>
      </c>
      <c r="K16" s="31">
        <f t="shared" si="4"/>
        <v>34</v>
      </c>
      <c r="L16" s="52">
        <f t="shared" si="5"/>
        <v>159.80000000000001</v>
      </c>
    </row>
    <row r="17" spans="1:12" ht="30" customHeight="1" x14ac:dyDescent="0.25">
      <c r="A17" s="38">
        <v>44756</v>
      </c>
      <c r="B17" s="32">
        <v>155</v>
      </c>
      <c r="C17" s="32">
        <v>0</v>
      </c>
      <c r="D17" s="37">
        <v>189070</v>
      </c>
      <c r="E17" s="31">
        <f t="shared" si="0"/>
        <v>50</v>
      </c>
      <c r="F17" s="44">
        <f t="shared" si="1"/>
        <v>1341.5</v>
      </c>
      <c r="G17" s="37">
        <v>52264</v>
      </c>
      <c r="H17" s="31">
        <f t="shared" si="2"/>
        <v>17</v>
      </c>
      <c r="I17" s="47">
        <f t="shared" si="3"/>
        <v>20400</v>
      </c>
      <c r="J17" s="19">
        <v>106387</v>
      </c>
      <c r="K17" s="31">
        <f t="shared" si="4"/>
        <v>42</v>
      </c>
      <c r="L17" s="52">
        <f t="shared" si="5"/>
        <v>197.4</v>
      </c>
    </row>
    <row r="18" spans="1:12" ht="30" customHeight="1" x14ac:dyDescent="0.25">
      <c r="A18" s="38">
        <v>44757</v>
      </c>
      <c r="B18" s="32">
        <v>184</v>
      </c>
      <c r="C18" s="32">
        <v>0</v>
      </c>
      <c r="D18" s="37">
        <v>189113</v>
      </c>
      <c r="E18" s="31">
        <f t="shared" si="0"/>
        <v>43</v>
      </c>
      <c r="F18" s="44">
        <f t="shared" si="1"/>
        <v>1153.6899999999998</v>
      </c>
      <c r="G18" s="37">
        <v>52279</v>
      </c>
      <c r="H18" s="31">
        <f t="shared" si="2"/>
        <v>15</v>
      </c>
      <c r="I18" s="47">
        <f t="shared" si="3"/>
        <v>18000</v>
      </c>
      <c r="J18" s="19">
        <v>106424</v>
      </c>
      <c r="K18" s="31">
        <f t="shared" si="4"/>
        <v>37</v>
      </c>
      <c r="L18" s="52">
        <f t="shared" si="5"/>
        <v>173.9</v>
      </c>
    </row>
    <row r="19" spans="1:12" ht="30" customHeight="1" x14ac:dyDescent="0.25">
      <c r="A19" s="38">
        <v>44758</v>
      </c>
      <c r="B19" s="32">
        <v>186</v>
      </c>
      <c r="C19" s="32">
        <v>0</v>
      </c>
      <c r="D19" s="37">
        <v>189168</v>
      </c>
      <c r="E19" s="31">
        <f t="shared" si="0"/>
        <v>55</v>
      </c>
      <c r="F19" s="44">
        <f t="shared" si="1"/>
        <v>1475.6499999999999</v>
      </c>
      <c r="G19" s="37">
        <v>52297</v>
      </c>
      <c r="H19" s="31">
        <f t="shared" si="2"/>
        <v>18</v>
      </c>
      <c r="I19" s="47">
        <f t="shared" si="3"/>
        <v>21600</v>
      </c>
      <c r="J19" s="19">
        <v>106462</v>
      </c>
      <c r="K19" s="31">
        <f t="shared" si="4"/>
        <v>38</v>
      </c>
      <c r="L19" s="52">
        <f t="shared" si="5"/>
        <v>178.6</v>
      </c>
    </row>
    <row r="20" spans="1:12" ht="30" customHeight="1" x14ac:dyDescent="0.25">
      <c r="A20" s="38">
        <v>44759</v>
      </c>
      <c r="B20" s="32">
        <v>124</v>
      </c>
      <c r="C20" s="32">
        <v>0</v>
      </c>
      <c r="D20" s="37">
        <v>189228</v>
      </c>
      <c r="E20" s="31">
        <f t="shared" si="0"/>
        <v>60</v>
      </c>
      <c r="F20" s="44">
        <f t="shared" si="1"/>
        <v>1609.8</v>
      </c>
      <c r="G20" s="37">
        <v>52313</v>
      </c>
      <c r="H20" s="31">
        <f t="shared" si="2"/>
        <v>16</v>
      </c>
      <c r="I20" s="47">
        <f t="shared" si="3"/>
        <v>19200</v>
      </c>
      <c r="J20" s="19">
        <v>106502</v>
      </c>
      <c r="K20" s="31">
        <f t="shared" si="4"/>
        <v>40</v>
      </c>
      <c r="L20" s="52">
        <f t="shared" si="5"/>
        <v>188</v>
      </c>
    </row>
    <row r="21" spans="1:12" ht="30" customHeight="1" x14ac:dyDescent="0.25">
      <c r="A21" s="38">
        <v>44760</v>
      </c>
      <c r="B21" s="32">
        <v>173</v>
      </c>
      <c r="C21" s="32">
        <v>0</v>
      </c>
      <c r="D21" s="37">
        <v>189279</v>
      </c>
      <c r="E21" s="31">
        <f t="shared" si="0"/>
        <v>51</v>
      </c>
      <c r="F21" s="44">
        <f t="shared" si="1"/>
        <v>1368.33</v>
      </c>
      <c r="G21" s="37">
        <v>52331</v>
      </c>
      <c r="H21" s="31">
        <f t="shared" si="2"/>
        <v>18</v>
      </c>
      <c r="I21" s="47">
        <f t="shared" si="3"/>
        <v>21600</v>
      </c>
      <c r="J21" s="19">
        <v>106542</v>
      </c>
      <c r="K21" s="31">
        <f t="shared" si="4"/>
        <v>40</v>
      </c>
      <c r="L21" s="52">
        <f t="shared" si="5"/>
        <v>188</v>
      </c>
    </row>
    <row r="22" spans="1:12" ht="30" customHeight="1" x14ac:dyDescent="0.25">
      <c r="A22" s="38">
        <v>44761</v>
      </c>
      <c r="B22" s="32">
        <v>167</v>
      </c>
      <c r="C22" s="32">
        <v>0</v>
      </c>
      <c r="D22" s="37">
        <v>189343</v>
      </c>
      <c r="E22" s="31">
        <f t="shared" si="0"/>
        <v>64</v>
      </c>
      <c r="F22" s="44">
        <f t="shared" si="1"/>
        <v>1717.12</v>
      </c>
      <c r="G22" s="37">
        <v>52350</v>
      </c>
      <c r="H22" s="31">
        <f t="shared" si="2"/>
        <v>19</v>
      </c>
      <c r="I22" s="47">
        <f t="shared" si="3"/>
        <v>22800</v>
      </c>
      <c r="J22" s="19">
        <v>106585</v>
      </c>
      <c r="K22" s="31">
        <f t="shared" si="4"/>
        <v>43</v>
      </c>
      <c r="L22" s="52">
        <f t="shared" si="5"/>
        <v>202.1</v>
      </c>
    </row>
    <row r="23" spans="1:12" ht="30" customHeight="1" x14ac:dyDescent="0.25">
      <c r="A23" s="38">
        <v>44762</v>
      </c>
      <c r="B23" s="32">
        <v>164</v>
      </c>
      <c r="C23" s="32">
        <v>0</v>
      </c>
      <c r="D23" s="37">
        <v>189390</v>
      </c>
      <c r="E23" s="31">
        <f t="shared" si="0"/>
        <v>47</v>
      </c>
      <c r="F23" s="44">
        <f t="shared" si="1"/>
        <v>1261.01</v>
      </c>
      <c r="G23" s="37">
        <v>52366</v>
      </c>
      <c r="H23" s="31">
        <f t="shared" si="2"/>
        <v>16</v>
      </c>
      <c r="I23" s="47">
        <f t="shared" si="3"/>
        <v>19200</v>
      </c>
      <c r="J23" s="19">
        <v>106633</v>
      </c>
      <c r="K23" s="31">
        <f t="shared" si="4"/>
        <v>48</v>
      </c>
      <c r="L23" s="52">
        <f t="shared" si="5"/>
        <v>225.60000000000002</v>
      </c>
    </row>
    <row r="24" spans="1:12" ht="30" customHeight="1" x14ac:dyDescent="0.25">
      <c r="A24" s="38">
        <v>44763</v>
      </c>
      <c r="B24" s="32">
        <v>164</v>
      </c>
      <c r="C24" s="32">
        <v>0</v>
      </c>
      <c r="D24" s="37">
        <v>189437</v>
      </c>
      <c r="E24" s="31">
        <f t="shared" si="0"/>
        <v>47</v>
      </c>
      <c r="F24" s="44">
        <f t="shared" si="1"/>
        <v>1261.01</v>
      </c>
      <c r="G24" s="37">
        <v>52383</v>
      </c>
      <c r="H24" s="31">
        <f t="shared" si="2"/>
        <v>17</v>
      </c>
      <c r="I24" s="47">
        <f t="shared" si="3"/>
        <v>20400</v>
      </c>
      <c r="J24" s="19">
        <v>106681</v>
      </c>
      <c r="K24" s="31">
        <f t="shared" si="4"/>
        <v>48</v>
      </c>
      <c r="L24" s="52">
        <f t="shared" si="5"/>
        <v>225.60000000000002</v>
      </c>
    </row>
    <row r="25" spans="1:12" ht="30" customHeight="1" x14ac:dyDescent="0.25">
      <c r="A25" s="38">
        <v>44764</v>
      </c>
      <c r="B25" s="32">
        <v>203</v>
      </c>
      <c r="C25" s="32">
        <v>0</v>
      </c>
      <c r="D25" s="37">
        <v>189485</v>
      </c>
      <c r="E25" s="31">
        <f t="shared" si="0"/>
        <v>48</v>
      </c>
      <c r="F25" s="44">
        <f t="shared" si="1"/>
        <v>1287.8399999999999</v>
      </c>
      <c r="G25" s="37">
        <v>52401</v>
      </c>
      <c r="H25" s="31">
        <f t="shared" si="2"/>
        <v>18</v>
      </c>
      <c r="I25" s="47">
        <f t="shared" si="3"/>
        <v>21600</v>
      </c>
      <c r="J25" s="19">
        <v>106723</v>
      </c>
      <c r="K25" s="31">
        <f t="shared" si="4"/>
        <v>42</v>
      </c>
      <c r="L25" s="52">
        <f t="shared" si="5"/>
        <v>197.4</v>
      </c>
    </row>
    <row r="26" spans="1:12" ht="30" customHeight="1" x14ac:dyDescent="0.25">
      <c r="A26" s="38">
        <v>44765</v>
      </c>
      <c r="B26" s="32">
        <v>244</v>
      </c>
      <c r="C26" s="32">
        <v>0</v>
      </c>
      <c r="D26" s="19">
        <v>189541</v>
      </c>
      <c r="E26" s="31">
        <f t="shared" si="0"/>
        <v>56</v>
      </c>
      <c r="F26" s="44">
        <f t="shared" si="1"/>
        <v>1502.48</v>
      </c>
      <c r="G26" s="19">
        <v>52419</v>
      </c>
      <c r="H26" s="31">
        <f t="shared" si="2"/>
        <v>18</v>
      </c>
      <c r="I26" s="47">
        <f t="shared" si="3"/>
        <v>21600</v>
      </c>
      <c r="J26" s="19">
        <v>106766</v>
      </c>
      <c r="K26" s="31">
        <f t="shared" si="4"/>
        <v>43</v>
      </c>
      <c r="L26" s="52">
        <f t="shared" si="5"/>
        <v>202.1</v>
      </c>
    </row>
    <row r="27" spans="1:12" ht="30" customHeight="1" x14ac:dyDescent="0.25">
      <c r="A27" s="38">
        <v>44766</v>
      </c>
      <c r="B27" s="32">
        <v>161</v>
      </c>
      <c r="C27" s="32">
        <v>0</v>
      </c>
      <c r="D27" s="19">
        <v>189592</v>
      </c>
      <c r="E27" s="31">
        <f t="shared" si="0"/>
        <v>51</v>
      </c>
      <c r="F27" s="44">
        <f t="shared" si="1"/>
        <v>1368.33</v>
      </c>
      <c r="G27" s="19">
        <v>52438</v>
      </c>
      <c r="H27" s="31">
        <f t="shared" si="2"/>
        <v>19</v>
      </c>
      <c r="I27" s="47">
        <f t="shared" si="3"/>
        <v>22800</v>
      </c>
      <c r="J27" s="19">
        <v>106819</v>
      </c>
      <c r="K27" s="31">
        <f t="shared" si="4"/>
        <v>53</v>
      </c>
      <c r="L27" s="52">
        <f t="shared" si="5"/>
        <v>249.10000000000002</v>
      </c>
    </row>
    <row r="28" spans="1:12" ht="30" customHeight="1" x14ac:dyDescent="0.25">
      <c r="A28" s="38">
        <v>44767</v>
      </c>
      <c r="B28" s="32">
        <v>172</v>
      </c>
      <c r="C28" s="32">
        <v>0</v>
      </c>
      <c r="D28" s="19">
        <v>189639</v>
      </c>
      <c r="E28" s="31">
        <f t="shared" si="0"/>
        <v>47</v>
      </c>
      <c r="F28" s="44">
        <f t="shared" si="1"/>
        <v>1261.01</v>
      </c>
      <c r="G28" s="19">
        <v>52454</v>
      </c>
      <c r="H28" s="31">
        <f t="shared" si="2"/>
        <v>16</v>
      </c>
      <c r="I28" s="47">
        <f t="shared" si="3"/>
        <v>19200</v>
      </c>
      <c r="J28" s="19">
        <v>106846</v>
      </c>
      <c r="K28" s="31">
        <f t="shared" si="4"/>
        <v>27</v>
      </c>
      <c r="L28" s="52">
        <f t="shared" si="5"/>
        <v>126.9</v>
      </c>
    </row>
    <row r="29" spans="1:12" ht="30" customHeight="1" x14ac:dyDescent="0.25">
      <c r="A29" s="38">
        <v>44768</v>
      </c>
      <c r="B29" s="32">
        <v>192</v>
      </c>
      <c r="C29" s="32">
        <v>0</v>
      </c>
      <c r="D29" s="19">
        <v>189683</v>
      </c>
      <c r="E29" s="31">
        <f t="shared" si="0"/>
        <v>44</v>
      </c>
      <c r="F29" s="44">
        <f t="shared" si="1"/>
        <v>1180.52</v>
      </c>
      <c r="G29" s="19">
        <v>52475</v>
      </c>
      <c r="H29" s="31">
        <f t="shared" si="2"/>
        <v>21</v>
      </c>
      <c r="I29" s="47">
        <f t="shared" si="3"/>
        <v>25200</v>
      </c>
      <c r="J29" s="19">
        <v>106884</v>
      </c>
      <c r="K29" s="31">
        <f t="shared" si="4"/>
        <v>38</v>
      </c>
      <c r="L29" s="52">
        <f t="shared" si="5"/>
        <v>178.6</v>
      </c>
    </row>
    <row r="30" spans="1:12" ht="30" customHeight="1" x14ac:dyDescent="0.25">
      <c r="A30" s="38">
        <v>44769</v>
      </c>
      <c r="B30" s="32">
        <v>233</v>
      </c>
      <c r="C30" s="32">
        <v>0</v>
      </c>
      <c r="D30" s="19">
        <v>189733</v>
      </c>
      <c r="E30" s="31">
        <f t="shared" si="0"/>
        <v>50</v>
      </c>
      <c r="F30" s="44">
        <f t="shared" si="1"/>
        <v>1341.5</v>
      </c>
      <c r="G30" s="19">
        <v>52494</v>
      </c>
      <c r="H30" s="31">
        <f t="shared" si="2"/>
        <v>19</v>
      </c>
      <c r="I30" s="47">
        <f t="shared" si="3"/>
        <v>22800</v>
      </c>
      <c r="J30" s="19">
        <v>106939</v>
      </c>
      <c r="K30" s="31">
        <f t="shared" si="4"/>
        <v>55</v>
      </c>
      <c r="L30" s="52">
        <f t="shared" si="5"/>
        <v>258.5</v>
      </c>
    </row>
    <row r="31" spans="1:12" ht="30" customHeight="1" x14ac:dyDescent="0.25">
      <c r="A31" s="38">
        <v>44770</v>
      </c>
      <c r="B31" s="32">
        <v>222</v>
      </c>
      <c r="C31" s="32">
        <v>0</v>
      </c>
      <c r="D31" s="19">
        <v>189784</v>
      </c>
      <c r="E31" s="31">
        <f t="shared" si="0"/>
        <v>51</v>
      </c>
      <c r="F31" s="44">
        <f t="shared" si="1"/>
        <v>1368.33</v>
      </c>
      <c r="G31" s="19">
        <v>52514</v>
      </c>
      <c r="H31" s="31">
        <f t="shared" si="2"/>
        <v>20</v>
      </c>
      <c r="I31" s="47">
        <f t="shared" si="3"/>
        <v>24000</v>
      </c>
      <c r="J31" s="19">
        <v>107004</v>
      </c>
      <c r="K31" s="31">
        <f t="shared" si="4"/>
        <v>65</v>
      </c>
      <c r="L31" s="52">
        <f t="shared" si="5"/>
        <v>305.5</v>
      </c>
    </row>
    <row r="32" spans="1:12" ht="30" customHeight="1" x14ac:dyDescent="0.25">
      <c r="A32" s="38">
        <v>44771</v>
      </c>
      <c r="B32" s="32">
        <v>243</v>
      </c>
      <c r="C32" s="32">
        <v>0</v>
      </c>
      <c r="D32" s="19">
        <v>189835</v>
      </c>
      <c r="E32" s="31">
        <f t="shared" si="0"/>
        <v>51</v>
      </c>
      <c r="F32" s="44">
        <f t="shared" si="1"/>
        <v>1368.33</v>
      </c>
      <c r="G32" s="19">
        <v>52535</v>
      </c>
      <c r="H32" s="31">
        <f t="shared" si="2"/>
        <v>21</v>
      </c>
      <c r="I32" s="47">
        <f t="shared" si="3"/>
        <v>25200</v>
      </c>
      <c r="J32" s="19">
        <v>107050</v>
      </c>
      <c r="K32" s="31">
        <f t="shared" si="4"/>
        <v>46</v>
      </c>
      <c r="L32" s="52">
        <f t="shared" si="5"/>
        <v>216.20000000000002</v>
      </c>
    </row>
    <row r="33" spans="1:12" ht="30" customHeight="1" x14ac:dyDescent="0.25">
      <c r="A33" s="38">
        <v>44772</v>
      </c>
      <c r="B33" s="32">
        <v>256</v>
      </c>
      <c r="C33" s="32">
        <v>0</v>
      </c>
      <c r="D33" s="19">
        <v>189876</v>
      </c>
      <c r="E33" s="31">
        <f t="shared" si="0"/>
        <v>41</v>
      </c>
      <c r="F33" s="44">
        <f t="shared" si="1"/>
        <v>1100.03</v>
      </c>
      <c r="G33" s="19">
        <v>52551</v>
      </c>
      <c r="H33" s="31">
        <f t="shared" si="2"/>
        <v>16</v>
      </c>
      <c r="I33" s="47">
        <f t="shared" si="3"/>
        <v>19200</v>
      </c>
      <c r="J33" s="19">
        <v>107101</v>
      </c>
      <c r="K33" s="31">
        <f t="shared" si="4"/>
        <v>51</v>
      </c>
      <c r="L33" s="52">
        <f t="shared" si="5"/>
        <v>239.70000000000002</v>
      </c>
    </row>
    <row r="34" spans="1:12" ht="30" customHeight="1" x14ac:dyDescent="0.25">
      <c r="A34" s="38">
        <v>44773</v>
      </c>
      <c r="B34" s="32">
        <v>231</v>
      </c>
      <c r="C34" s="32">
        <v>0</v>
      </c>
      <c r="D34" s="19">
        <v>189921</v>
      </c>
      <c r="E34" s="31">
        <f t="shared" si="0"/>
        <v>45</v>
      </c>
      <c r="F34" s="44">
        <f t="shared" si="1"/>
        <v>1207.3499999999999</v>
      </c>
      <c r="G34" s="19">
        <v>52589</v>
      </c>
      <c r="H34" s="31">
        <f t="shared" si="2"/>
        <v>38</v>
      </c>
      <c r="I34" s="47">
        <f t="shared" si="3"/>
        <v>45600</v>
      </c>
      <c r="J34" s="19">
        <v>107150</v>
      </c>
      <c r="K34" s="31">
        <f t="shared" si="4"/>
        <v>49</v>
      </c>
      <c r="L34" s="52">
        <f t="shared" si="5"/>
        <v>230.3</v>
      </c>
    </row>
    <row r="35" spans="1:12" x14ac:dyDescent="0.25">
      <c r="A35" s="21"/>
      <c r="B35" s="33">
        <f>SUM(B4:B34)</f>
        <v>5490</v>
      </c>
      <c r="C35" s="33"/>
      <c r="F35" s="48">
        <f>SUM(F4:F34)</f>
        <v>42418.229999999989</v>
      </c>
      <c r="G35" s="17"/>
      <c r="H35" s="24"/>
      <c r="I35" s="49">
        <f>SUM(I4:I34)</f>
        <v>685200</v>
      </c>
      <c r="J35" s="25"/>
      <c r="K35" s="15">
        <f>SUM(K4:K34)</f>
        <v>1266</v>
      </c>
      <c r="L35" s="15">
        <f>SUM(L4:L34)</f>
        <v>5950.2000000000007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2021-04-27T16:40:17Z</cp:lastPrinted>
  <dcterms:created xsi:type="dcterms:W3CDTF">2021-03-09T05:20:06Z</dcterms:created>
  <dcterms:modified xsi:type="dcterms:W3CDTF">2022-08-01T18:38:27Z</dcterms:modified>
</cp:coreProperties>
</file>