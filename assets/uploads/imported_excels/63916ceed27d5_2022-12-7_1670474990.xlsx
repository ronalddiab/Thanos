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J7" i="2" l="1"/>
  <c r="I7" i="2"/>
  <c r="H7" i="2"/>
  <c r="F7" i="2"/>
  <c r="E7" i="2"/>
  <c r="L7" i="3"/>
  <c r="K7" i="3"/>
  <c r="I7" i="3"/>
  <c r="G7" i="3"/>
  <c r="E7" i="3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K10" i="3" l="1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<sst xmlns="http://schemas.openxmlformats.org/spreadsheetml/2006/main" count="107" uniqueCount="38">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</sst>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43" fontId="10" fillId="0" borderId="1" xfId="2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N21" sqref="N21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'12 - 2022'!B13-'12 - 2022'!B12+'12 - 2022'!C13-'12 - 2022'!C12</f>
        <v>9605.1000000000931</v>
      </c>
      <c r="F7" s="13">
        <v>0.11799999999999999</v>
      </c>
      <c r="G7" s="15">
        <f>'12 - 2022'!D13-'12 - 2022'!D12+'12 - 2022'!E13-'12 - 2022'!E12</f>
        <v>20.109999999999673</v>
      </c>
      <c r="H7" s="13">
        <v>0.99</v>
      </c>
      <c r="I7" s="15">
        <f>'12 - 2022'!J13-'12 - 2022'!J12</f>
        <v>20228</v>
      </c>
      <c r="J7" s="13">
        <v>8.1000000000000003E-2</v>
      </c>
      <c r="K7" s="21">
        <f>'12 - 2022'!H13-'12 - 2022'!H12</f>
        <v>0</v>
      </c>
      <c r="L7" s="15">
        <f>'12 - 2022'!I13-'12 - 2022'!I12</f>
        <v>114</v>
      </c>
      <c r="M7" s="14">
        <v>4.393629424766913</v>
      </c>
      <c r="N7" s="16">
        <v>92</v>
      </c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'12 - 2022'!B14-'12 - 2022'!B13+'12 - 2022'!C14-'12 - 2022'!C13</f>
        <v>9939.7999999999302</v>
      </c>
      <c r="F8" s="13">
        <v>0.11799999999999999</v>
      </c>
      <c r="G8" s="15">
        <f>'12 - 2022'!D14-'12 - 2022'!D13+'12 - 2022'!E14-'12 - 2022'!E13</f>
        <v>23.099999999999454</v>
      </c>
      <c r="H8" s="13">
        <v>0.99</v>
      </c>
      <c r="I8" s="15">
        <f>'12 - 2022'!J14-'12 - 2022'!J13</f>
        <v>20480</v>
      </c>
      <c r="J8" s="13">
        <v>8.1000000000000003E-2</v>
      </c>
      <c r="K8" s="21">
        <f>'12 - 2022'!H14-'12 - 2022'!H13</f>
        <v>0</v>
      </c>
      <c r="L8" s="15">
        <f>'12 - 2022'!I14-'12 - 2022'!I13</f>
        <v>124</v>
      </c>
      <c r="M8" s="14">
        <v>4.393629424766913</v>
      </c>
      <c r="N8" s="16">
        <v>94</v>
      </c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'12 - 2022'!B15-'12 - 2022'!B14+'12 - 2022'!C15-'12 - 2022'!C14</f>
        <v>9903.8000000000466</v>
      </c>
      <c r="F9" s="13">
        <v>0.11799999999999999</v>
      </c>
      <c r="G9" s="15">
        <f>'12 - 2022'!D15-'12 - 2022'!D14+'12 - 2022'!E15-'12 - 2022'!E14</f>
        <v>22.989999999999782</v>
      </c>
      <c r="H9" s="13">
        <v>0.99</v>
      </c>
      <c r="I9" s="15">
        <f>'12 - 2022'!J15-'12 - 2022'!J14</f>
        <v>19134</v>
      </c>
      <c r="J9" s="13">
        <v>8.1000000000000003E-2</v>
      </c>
      <c r="K9" s="21">
        <f>'12 - 2022'!H15-'12 - 2022'!H14</f>
        <v>0</v>
      </c>
      <c r="L9" s="15">
        <f>'12 - 2022'!I15-'12 - 2022'!I14</f>
        <v>117</v>
      </c>
      <c r="M9" s="14">
        <v>4.393629424766913</v>
      </c>
      <c r="N9" s="16">
        <v>95</v>
      </c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v>0</v>
      </c>
      <c r="F10" s="13">
        <v>0.11799999999999999</v>
      </c>
      <c r="G10" s="15">
        <v>0</v>
      </c>
      <c r="H10" s="13">
        <v>0.99</v>
      </c>
      <c r="I10" s="15">
        <v>0</v>
      </c>
      <c r="J10" s="13">
        <v>8.1000000000000003E-2</v>
      </c>
      <c r="K10" s="21">
        <f>'12 - 2022'!H16-'12 - 2022'!H15</f>
        <v>0</v>
      </c>
      <c r="L10" s="15"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0</v>
      </c>
      <c r="F11" s="13">
        <v>0.11799999999999999</v>
      </c>
      <c r="G11" s="15">
        <f>'12 - 2022'!D17-'12 - 2022'!D16+'12 - 2022'!E17-'12 - 2022'!E16</f>
        <v>0</v>
      </c>
      <c r="H11" s="13">
        <v>0.99</v>
      </c>
      <c r="I11" s="15">
        <f>'12 - 2022'!J17-'12 - 2022'!J16</f>
        <v>0</v>
      </c>
      <c r="J11" s="13">
        <v>8.1000000000000003E-2</v>
      </c>
      <c r="K11" s="21">
        <f>'12 - 2022'!H17-'12 - 2022'!H16</f>
        <v>0</v>
      </c>
      <c r="L11" s="15">
        <f>'12 - 2022'!I17-'12 - 2022'!I16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0</v>
      </c>
      <c r="F12" s="13">
        <v>0.11799999999999999</v>
      </c>
      <c r="G12" s="15">
        <f>'12 - 2022'!D18-'12 - 2022'!D17+'12 - 2022'!E18-'12 - 2022'!E17</f>
        <v>0</v>
      </c>
      <c r="H12" s="13">
        <v>0.99</v>
      </c>
      <c r="I12" s="15">
        <f>'12 - 2022'!J18-'12 - 2022'!J17</f>
        <v>0</v>
      </c>
      <c r="J12" s="13">
        <v>8.1000000000000003E-2</v>
      </c>
      <c r="K12" s="21">
        <f>'12 - 2022'!H18-'12 - 2022'!H17</f>
        <v>0</v>
      </c>
      <c r="L12" s="15">
        <f>'12 - 2022'!I18-'12 - 2022'!I17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0</v>
      </c>
      <c r="F13" s="13">
        <v>0.11799999999999999</v>
      </c>
      <c r="G13" s="15">
        <f>'12 - 2022'!D19-'12 - 2022'!D18+'12 - 2022'!E19-'12 - 2022'!E18</f>
        <v>0</v>
      </c>
      <c r="H13" s="13">
        <v>0.99</v>
      </c>
      <c r="I13" s="15">
        <f>'12 - 2022'!J19-'12 - 2022'!J18</f>
        <v>0</v>
      </c>
      <c r="J13" s="13">
        <v>8.1000000000000003E-2</v>
      </c>
      <c r="K13" s="21">
        <f>'12 - 2022'!H19-'12 - 2022'!H18</f>
        <v>0</v>
      </c>
      <c r="L13" s="15">
        <f>'12 - 2022'!I19-'12 - 2022'!I18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'12 - 2022'!B20-'12 - 2022'!B19+'12 - 2022'!C20-'12 - 2022'!C19</f>
        <v>0</v>
      </c>
      <c r="F14" s="13">
        <v>0.11799999999999999</v>
      </c>
      <c r="G14" s="15">
        <f>'12 - 2022'!D20-'12 - 2022'!D19+'12 - 2022'!E20-'12 - 2022'!E19</f>
        <v>0</v>
      </c>
      <c r="H14" s="13">
        <v>0.99</v>
      </c>
      <c r="I14" s="15">
        <f>'12 - 2022'!J20-'12 - 2022'!J19</f>
        <v>0</v>
      </c>
      <c r="J14" s="13">
        <v>8.1000000000000003E-2</v>
      </c>
      <c r="K14" s="21">
        <f>'12 - 2022'!H20-'12 - 2022'!H19</f>
        <v>0</v>
      </c>
      <c r="L14" s="15">
        <f>'12 - 2022'!I20-'12 - 2022'!I19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'12 - 2022'!B21-'12 - 2022'!B20+'12 - 2022'!C21-'12 - 2022'!C20</f>
        <v>0</v>
      </c>
      <c r="F15" s="13">
        <v>0.11799999999999999</v>
      </c>
      <c r="G15" s="15">
        <f>'12 - 2022'!D21-'12 - 2022'!D20+'12 - 2022'!E21-'12 - 2022'!E20</f>
        <v>0</v>
      </c>
      <c r="H15" s="13">
        <v>0.99</v>
      </c>
      <c r="I15" s="15">
        <f>'12 - 2022'!J21-'12 - 2022'!J20</f>
        <v>0</v>
      </c>
      <c r="J15" s="13">
        <v>8.1000000000000003E-2</v>
      </c>
      <c r="K15" s="21">
        <f>'12 - 2022'!H21-'12 - 2022'!H20</f>
        <v>0</v>
      </c>
      <c r="L15" s="15">
        <f>'12 - 2022'!I21-'12 - 2022'!I20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'12 - 2022'!B22-'12 - 2022'!B21+'12 - 2022'!C22-'12 - 2022'!C21</f>
        <v>0</v>
      </c>
      <c r="F16" s="13">
        <v>0.11799999999999999</v>
      </c>
      <c r="G16" s="15">
        <f>'12 - 2022'!D22-'12 - 2022'!D21+'12 - 2022'!E22-'12 - 2022'!E21</f>
        <v>0</v>
      </c>
      <c r="H16" s="13">
        <v>0.99</v>
      </c>
      <c r="I16" s="15">
        <f>'12 - 2022'!J22-'12 - 2022'!J21</f>
        <v>0</v>
      </c>
      <c r="J16" s="13">
        <v>8.1000000000000003E-2</v>
      </c>
      <c r="K16" s="21">
        <f>'12 - 2022'!H22-'12 - 2022'!H21</f>
        <v>0</v>
      </c>
      <c r="L16" s="15">
        <f>'12 - 2022'!I22-'12 - 2022'!I21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0</v>
      </c>
      <c r="F17" s="13">
        <v>0.11799999999999999</v>
      </c>
      <c r="G17" s="15">
        <f>'12 - 2022'!D23-'12 - 2022'!D22+'12 - 2022'!E23-'12 - 2022'!E22</f>
        <v>0</v>
      </c>
      <c r="H17" s="13">
        <v>0.99</v>
      </c>
      <c r="I17" s="15">
        <f>'12 - 2022'!J23-'12 - 2022'!J22</f>
        <v>0</v>
      </c>
      <c r="J17" s="13">
        <v>8.1000000000000003E-2</v>
      </c>
      <c r="K17" s="21">
        <f>'12 - 2022'!H23-'12 - 2022'!H22</f>
        <v>0</v>
      </c>
      <c r="L17" s="15">
        <f>'12 - 2022'!I23-'12 - 2022'!I22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0</v>
      </c>
      <c r="F18" s="13">
        <v>0.11799999999999999</v>
      </c>
      <c r="G18" s="15">
        <f>'12 - 2022'!D24-'12 - 2022'!D23+'12 - 2022'!E24-'12 - 2022'!E23</f>
        <v>0</v>
      </c>
      <c r="H18" s="13">
        <v>0.99</v>
      </c>
      <c r="I18" s="15">
        <f>'12 - 2022'!J24-'12 - 2022'!J23</f>
        <v>0</v>
      </c>
      <c r="J18" s="13">
        <v>8.1000000000000003E-2</v>
      </c>
      <c r="K18" s="21">
        <f>'12 - 2022'!H24-'12 - 2022'!H23</f>
        <v>0</v>
      </c>
      <c r="L18" s="15">
        <f>'12 - 2022'!I24-'12 - 2022'!I23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0</v>
      </c>
      <c r="F19" s="13">
        <v>0.11799999999999999</v>
      </c>
      <c r="G19" s="15">
        <f>'12 - 2022'!D25-'12 - 2022'!D24+'12 - 2022'!E25-'12 - 2022'!E24</f>
        <v>0</v>
      </c>
      <c r="H19" s="13">
        <v>0.99</v>
      </c>
      <c r="I19" s="15">
        <f>'12 - 2022'!J25-'12 - 2022'!J24</f>
        <v>0</v>
      </c>
      <c r="J19" s="13">
        <v>8.1000000000000003E-2</v>
      </c>
      <c r="K19" s="21">
        <f>'12 - 2022'!H25-'12 - 2022'!H24</f>
        <v>0</v>
      </c>
      <c r="L19" s="15">
        <f>'12 - 2022'!I25-'12 - 2022'!I24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0</v>
      </c>
      <c r="F20" s="13">
        <v>0.11799999999999999</v>
      </c>
      <c r="G20" s="15">
        <f>'12 - 2022'!D26-'12 - 2022'!D25+'12 - 2022'!E26-'12 - 2022'!E25</f>
        <v>0</v>
      </c>
      <c r="H20" s="13">
        <v>0.99</v>
      </c>
      <c r="I20" s="15">
        <f>'12 - 2022'!J26-'12 - 2022'!J25</f>
        <v>0</v>
      </c>
      <c r="J20" s="13">
        <v>8.1000000000000003E-2</v>
      </c>
      <c r="K20" s="21">
        <f>'12 - 2022'!H26-'12 - 2022'!H25</f>
        <v>0</v>
      </c>
      <c r="L20" s="15">
        <f>'12 - 2022'!I26-'12 - 2022'!I25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0</v>
      </c>
      <c r="F21" s="13">
        <v>0.11799999999999999</v>
      </c>
      <c r="G21" s="15">
        <f>'12 - 2022'!D27-'12 - 2022'!D26+'12 - 2022'!E27-'12 - 2022'!E26</f>
        <v>0</v>
      </c>
      <c r="H21" s="13">
        <v>0.99</v>
      </c>
      <c r="I21" s="15">
        <f>'12 - 2022'!J27-'12 - 2022'!J26</f>
        <v>0</v>
      </c>
      <c r="J21" s="13">
        <v>8.1000000000000003E-2</v>
      </c>
      <c r="K21" s="21">
        <f>'12 - 2022'!H27-'12 - 2022'!H26</f>
        <v>0</v>
      </c>
      <c r="L21" s="15">
        <f>'12 - 2022'!I27-'12 - 2022'!I26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'12 - 2022'!B28-'12 - 2022'!B27+'12 - 2022'!C28-'12 - 2022'!C27</f>
        <v>0</v>
      </c>
      <c r="F22" s="13">
        <v>0.11799999999999999</v>
      </c>
      <c r="G22" s="15">
        <f>'12 - 2022'!D28-'12 - 2022'!D27+'12 - 2022'!E28-'12 - 2022'!E27</f>
        <v>0</v>
      </c>
      <c r="H22" s="13">
        <v>0.99</v>
      </c>
      <c r="I22" s="15">
        <f>'12 - 2022'!J28-'12 - 2022'!J27</f>
        <v>0</v>
      </c>
      <c r="J22" s="13">
        <v>8.1000000000000003E-2</v>
      </c>
      <c r="K22" s="21">
        <f>'12 - 2022'!H28-'12 - 2022'!H27</f>
        <v>0</v>
      </c>
      <c r="L22" s="15">
        <f>'12 - 2022'!I28-'12 - 2022'!I27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'12 - 2022'!B29-'12 - 2022'!B28+'12 - 2022'!C29-'12 - 2022'!C28</f>
        <v>0</v>
      </c>
      <c r="F23" s="13">
        <v>0.11799999999999999</v>
      </c>
      <c r="G23" s="15">
        <f>'12 - 2022'!D29-'12 - 2022'!D28+'12 - 2022'!E29-'12 - 2022'!E28</f>
        <v>0</v>
      </c>
      <c r="H23" s="13">
        <v>0.99</v>
      </c>
      <c r="I23" s="15">
        <f>'12 - 2022'!J29-'12 - 2022'!J28</f>
        <v>0</v>
      </c>
      <c r="J23" s="13">
        <v>8.1000000000000003E-2</v>
      </c>
      <c r="K23" s="21">
        <f>'12 - 2022'!H29-'12 - 2022'!H28</f>
        <v>0</v>
      </c>
      <c r="L23" s="15">
        <f>'12 - 2022'!I29-'12 - 2022'!I28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0</v>
      </c>
      <c r="F24" s="13">
        <v>0.11799999999999999</v>
      </c>
      <c r="G24" s="15">
        <f>'12 - 2022'!D30-'12 - 2022'!D29+'12 - 2022'!E30-'12 - 2022'!E29</f>
        <v>0</v>
      </c>
      <c r="H24" s="13">
        <v>0.99</v>
      </c>
      <c r="I24" s="15">
        <f>'12 - 2022'!J30-'12 - 2022'!J29</f>
        <v>0</v>
      </c>
      <c r="J24" s="13">
        <v>8.1000000000000003E-2</v>
      </c>
      <c r="K24" s="21">
        <f>'12 - 2022'!H30-'12 - 2022'!H29</f>
        <v>0</v>
      </c>
      <c r="L24" s="15">
        <f>'12 - 2022'!I30-'12 - 2022'!I29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'12 - 2022'!B31-'12 - 2022'!B30+'12 - 2022'!C31-'12 - 2022'!C30</f>
        <v>0</v>
      </c>
      <c r="F25" s="13">
        <v>0.11799999999999999</v>
      </c>
      <c r="G25" s="15">
        <f>'12 - 2022'!D31-'12 - 2022'!D30+'12 - 2022'!E31-'12 - 2022'!E30</f>
        <v>0</v>
      </c>
      <c r="H25" s="13">
        <v>0.99</v>
      </c>
      <c r="I25" s="15">
        <f>'12 - 2022'!J31-'12 - 2022'!J30</f>
        <v>0</v>
      </c>
      <c r="J25" s="13">
        <v>8.1000000000000003E-2</v>
      </c>
      <c r="K25" s="21">
        <f>'12 - 2022'!H31-'12 - 2022'!H30</f>
        <v>0</v>
      </c>
      <c r="L25" s="15">
        <f>'12 - 2022'!I31-'12 - 2022'!I30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0</v>
      </c>
      <c r="F26" s="13">
        <v>0.11799999999999999</v>
      </c>
      <c r="G26" s="15">
        <f>'12 - 2022'!D32-'12 - 2022'!D31+'12 - 2022'!E32-'12 - 2022'!E31</f>
        <v>0</v>
      </c>
      <c r="H26" s="13">
        <v>0.99</v>
      </c>
      <c r="I26" s="15">
        <f>'12 - 2022'!J32-'12 - 2022'!J31</f>
        <v>0</v>
      </c>
      <c r="J26" s="13">
        <v>8.1000000000000003E-2</v>
      </c>
      <c r="K26" s="21">
        <f>'12 - 2022'!H32-'12 - 2022'!H31</f>
        <v>0</v>
      </c>
      <c r="L26" s="15">
        <f>'12 - 2022'!I32-'12 - 2022'!I31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0</v>
      </c>
      <c r="F27" s="13">
        <v>0.11799999999999999</v>
      </c>
      <c r="G27" s="15">
        <f>'12 - 2022'!D33-'12 - 2022'!D32+'12 - 2022'!E33-'12 - 2022'!E32</f>
        <v>0</v>
      </c>
      <c r="H27" s="13">
        <v>0.99</v>
      </c>
      <c r="I27" s="15">
        <f>'12 - 2022'!J33-'12 - 2022'!J32</f>
        <v>0</v>
      </c>
      <c r="J27" s="13">
        <v>8.1000000000000003E-2</v>
      </c>
      <c r="K27" s="21">
        <f>'12 - 2022'!H33-'12 - 2022'!H32</f>
        <v>0</v>
      </c>
      <c r="L27" s="15">
        <f>'12 - 2022'!I33-'12 - 2022'!I32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0</v>
      </c>
      <c r="F28" s="13">
        <v>0.11799999999999999</v>
      </c>
      <c r="G28" s="15">
        <f>'12 - 2022'!D34-'12 - 2022'!D33+'12 - 2022'!E34-'12 - 2022'!E33</f>
        <v>0</v>
      </c>
      <c r="H28" s="13">
        <v>0.99</v>
      </c>
      <c r="I28" s="15">
        <f>'12 - 2022'!J34-'12 - 2022'!J33</f>
        <v>0</v>
      </c>
      <c r="J28" s="13">
        <v>8.1000000000000003E-2</v>
      </c>
      <c r="K28" s="21">
        <f>'12 - 2022'!H34-'12 - 2022'!H33</f>
        <v>0</v>
      </c>
      <c r="L28" s="15">
        <f>'12 - 2022'!I34-'12 - 2022'!I33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'12 - 2022'!B35-'12 - 2022'!B34+'12 - 2022'!C35-'12 - 2022'!C34</f>
        <v>0</v>
      </c>
      <c r="F29" s="13">
        <v>0.11799999999999999</v>
      </c>
      <c r="G29" s="15">
        <f>'12 - 2022'!D35-'12 - 2022'!D34+'12 - 2022'!E35-'12 - 2022'!E34</f>
        <v>0</v>
      </c>
      <c r="H29" s="13">
        <v>0.99</v>
      </c>
      <c r="I29" s="15">
        <f>'12 - 2022'!J35-'12 - 2022'!J34</f>
        <v>0</v>
      </c>
      <c r="J29" s="13">
        <v>8.1000000000000003E-2</v>
      </c>
      <c r="K29" s="21">
        <f>'12 - 2022'!H35-'12 - 2022'!H34</f>
        <v>0</v>
      </c>
      <c r="L29" s="15">
        <f>'12 - 2022'!I35-'12 - 2022'!I34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'12 - 2022'!B36-'12 - 2022'!B35+'12 - 2022'!C36-'12 - 2022'!C35</f>
        <v>0</v>
      </c>
      <c r="F30" s="13">
        <v>0.11799999999999999</v>
      </c>
      <c r="G30" s="15">
        <f>'12 - 2022'!D36-'12 - 2022'!D35+'12 - 2022'!E36-'12 - 2022'!E35</f>
        <v>0</v>
      </c>
      <c r="H30" s="13">
        <v>0.99</v>
      </c>
      <c r="I30" s="15">
        <f>'12 - 2022'!J36-'12 - 2022'!J35</f>
        <v>0</v>
      </c>
      <c r="J30" s="13">
        <v>8.1000000000000003E-2</v>
      </c>
      <c r="K30" s="21">
        <f>'12 - 2022'!H36-'12 - 2022'!H35</f>
        <v>0</v>
      </c>
      <c r="L30" s="15">
        <f>'12 - 2022'!I36-'12 - 2022'!I35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0" sqref="K1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</f>
        <v>3875</v>
      </c>
      <c r="F7" s="15">
        <f>'12 - 2022'!C13-'12 - 2022'!C12</f>
        <v>5730.1000000000931</v>
      </c>
      <c r="G7" s="13">
        <v>0.11799999999999999</v>
      </c>
      <c r="H7" s="15">
        <f>'12 - 2022'!E13-'12 - 2022'!E12</f>
        <v>20.210000000000036</v>
      </c>
      <c r="I7" s="15">
        <f>'12 - 2022'!F13-'12 - 2022'!F12</f>
        <v>7.5499999999997272</v>
      </c>
      <c r="J7" s="15">
        <f>'12 - 2022'!G13-'12 - 2022'!G12</f>
        <v>30.839999999996508</v>
      </c>
      <c r="K7" s="13">
        <v>0.74</v>
      </c>
      <c r="L7" s="16">
        <v>92</v>
      </c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</f>
        <v>4050</v>
      </c>
      <c r="F8" s="15">
        <f>'12 - 2022'!C14-'12 - 2022'!C13</f>
        <v>5889.7999999999302</v>
      </c>
      <c r="G8" s="13">
        <v>0.11799999999999999</v>
      </c>
      <c r="H8" s="15">
        <f>'12 - 2022'!E14-'12 - 2022'!E13</f>
        <v>23.179999999999382</v>
      </c>
      <c r="I8" s="15">
        <f>'12 - 2022'!F14-'12 - 2022'!F13</f>
        <v>9.3400000000001455</v>
      </c>
      <c r="J8" s="15">
        <f>'12 - 2022'!G14-'12 - 2022'!G13</f>
        <v>35.730000000003201</v>
      </c>
      <c r="K8" s="13">
        <v>0.74</v>
      </c>
      <c r="L8" s="16">
        <v>94</v>
      </c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</f>
        <v>4024</v>
      </c>
      <c r="F9" s="15">
        <f>'12 - 2022'!C15-'12 - 2022'!C14</f>
        <v>5879.8000000000466</v>
      </c>
      <c r="G9" s="13">
        <v>0.11799999999999999</v>
      </c>
      <c r="H9" s="15">
        <f>'12 - 2022'!E15-'12 - 2022'!E14</f>
        <v>23.050000000000182</v>
      </c>
      <c r="I9" s="15">
        <f>'12 - 2022'!F15-'12 - 2022'!F14</f>
        <v>7.6399999999998727</v>
      </c>
      <c r="J9" s="15">
        <f>'12 - 2022'!G15-'12 - 2022'!G14</f>
        <v>34.159999999996217</v>
      </c>
      <c r="K9" s="13">
        <v>0.74</v>
      </c>
      <c r="L9" s="16">
        <v>95</v>
      </c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v>0</v>
      </c>
      <c r="F10" s="15">
        <v>0</v>
      </c>
      <c r="G10" s="13">
        <v>0.11799999999999999</v>
      </c>
      <c r="H10" s="15">
        <v>0</v>
      </c>
      <c r="I10" s="15">
        <v>0</v>
      </c>
      <c r="J10" s="15"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0</v>
      </c>
      <c r="F11" s="15">
        <f>'12 - 2022'!C17-'12 - 2022'!C16</f>
        <v>0</v>
      </c>
      <c r="G11" s="13">
        <v>0.11799999999999999</v>
      </c>
      <c r="H11" s="15">
        <f>'12 - 2022'!E17-'12 - 2022'!E16</f>
        <v>0</v>
      </c>
      <c r="I11" s="15">
        <f>'12 - 2022'!F17-'12 - 2022'!F16</f>
        <v>0</v>
      </c>
      <c r="J11" s="15">
        <f>'12 - 2022'!G17-'12 - 2022'!G16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0</v>
      </c>
      <c r="F12" s="15">
        <f>'12 - 2022'!C18-'12 - 2022'!C17</f>
        <v>0</v>
      </c>
      <c r="G12" s="13">
        <v>0.11799999999999999</v>
      </c>
      <c r="H12" s="15">
        <f>'12 - 2022'!E18-'12 - 2022'!E17</f>
        <v>0</v>
      </c>
      <c r="I12" s="15">
        <f>'12 - 2022'!F18-'12 - 2022'!F17</f>
        <v>0</v>
      </c>
      <c r="J12" s="15">
        <f>'12 - 2022'!G18-'12 - 2022'!G17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0</v>
      </c>
      <c r="F13" s="15">
        <f>'12 - 2022'!C19-'12 - 2022'!C18</f>
        <v>0</v>
      </c>
      <c r="G13" s="13">
        <v>0.11799999999999999</v>
      </c>
      <c r="H13" s="15">
        <f>'12 - 2022'!E19-'12 - 2022'!E18</f>
        <v>0</v>
      </c>
      <c r="I13" s="15">
        <f>'12 - 2022'!F19-'12 - 2022'!F18</f>
        <v>0</v>
      </c>
      <c r="J13" s="15">
        <f>'12 - 2022'!G19-'12 - 2022'!G18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</f>
        <v>0</v>
      </c>
      <c r="F14" s="15">
        <f>'12 - 2022'!C20-'12 - 2022'!C19</f>
        <v>0</v>
      </c>
      <c r="G14" s="13">
        <v>0.11799999999999999</v>
      </c>
      <c r="H14" s="15">
        <f>'12 - 2022'!E20-'12 - 2022'!E19</f>
        <v>0</v>
      </c>
      <c r="I14" s="15">
        <f>'12 - 2022'!F20-'12 - 2022'!F19</f>
        <v>0</v>
      </c>
      <c r="J14" s="15">
        <f>'12 - 2022'!G20-'12 - 2022'!G19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</f>
        <v>0</v>
      </c>
      <c r="F15" s="15">
        <f>'12 - 2022'!C21-'12 - 2022'!C20</f>
        <v>0</v>
      </c>
      <c r="G15" s="13">
        <v>0.11799999999999999</v>
      </c>
      <c r="H15" s="15">
        <f>'12 - 2022'!E21-'12 - 2022'!E20</f>
        <v>0</v>
      </c>
      <c r="I15" s="15">
        <f>'12 - 2022'!F21-'12 - 2022'!F20</f>
        <v>0</v>
      </c>
      <c r="J15" s="15">
        <f>'12 - 2022'!G21-'12 - 2022'!G20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0</v>
      </c>
      <c r="F16" s="15">
        <f>'12 - 2022'!C22-'12 - 2022'!C21</f>
        <v>0</v>
      </c>
      <c r="G16" s="13">
        <v>0.11799999999999999</v>
      </c>
      <c r="H16" s="15">
        <f>'12 - 2022'!E22-'12 - 2022'!E21</f>
        <v>0</v>
      </c>
      <c r="I16" s="15">
        <f>'12 - 2022'!F22-'12 - 2022'!F21</f>
        <v>0</v>
      </c>
      <c r="J16" s="15">
        <f>'12 - 2022'!G22-'12 - 2022'!G21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</f>
        <v>0</v>
      </c>
      <c r="F17" s="15">
        <f>'12 - 2022'!C23-'12 - 2022'!C22</f>
        <v>0</v>
      </c>
      <c r="G17" s="13">
        <v>0.11799999999999999</v>
      </c>
      <c r="H17" s="15">
        <f>'12 - 2022'!E23-'12 - 2022'!E22</f>
        <v>0</v>
      </c>
      <c r="I17" s="15">
        <f>'12 - 2022'!F23-'12 - 2022'!F22</f>
        <v>0</v>
      </c>
      <c r="J17" s="15">
        <f>'12 - 2022'!G23-'12 - 2022'!G22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0</v>
      </c>
      <c r="F18" s="15">
        <f>'12 - 2022'!C24-'12 - 2022'!C23</f>
        <v>0</v>
      </c>
      <c r="G18" s="13">
        <v>0.11799999999999999</v>
      </c>
      <c r="H18" s="15">
        <f>'12 - 2022'!E24-'12 - 2022'!E23</f>
        <v>0</v>
      </c>
      <c r="I18" s="15">
        <f>'12 - 2022'!F24-'12 - 2022'!F23</f>
        <v>0</v>
      </c>
      <c r="J18" s="15">
        <f>'12 - 2022'!G24-'12 - 2022'!G23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0</v>
      </c>
      <c r="F19" s="15">
        <f>'12 - 2022'!C25-'12 - 2022'!C24</f>
        <v>0</v>
      </c>
      <c r="G19" s="13">
        <v>0.11799999999999999</v>
      </c>
      <c r="H19" s="15">
        <f>'12 - 2022'!E25-'12 - 2022'!E24</f>
        <v>0</v>
      </c>
      <c r="I19" s="15">
        <f>'12 - 2022'!F25-'12 - 2022'!F24</f>
        <v>0</v>
      </c>
      <c r="J19" s="15">
        <f>'12 - 2022'!G25-'12 - 2022'!G24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0</v>
      </c>
      <c r="F20" s="15">
        <f>'12 - 2022'!C26-'12 - 2022'!C25</f>
        <v>0</v>
      </c>
      <c r="G20" s="13">
        <v>0.11799999999999999</v>
      </c>
      <c r="H20" s="15">
        <f>'12 - 2022'!E26-'12 - 2022'!E25</f>
        <v>0</v>
      </c>
      <c r="I20" s="15">
        <f>'12 - 2022'!F26-'12 - 2022'!F25</f>
        <v>0</v>
      </c>
      <c r="J20" s="15">
        <f>'12 - 2022'!G26-'12 - 2022'!G25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0</v>
      </c>
      <c r="F21" s="15">
        <f>'12 - 2022'!C27-'12 - 2022'!C26</f>
        <v>0</v>
      </c>
      <c r="G21" s="13">
        <v>0.11799999999999999</v>
      </c>
      <c r="H21" s="15">
        <f>'12 - 2022'!E27-'12 - 2022'!E26</f>
        <v>0</v>
      </c>
      <c r="I21" s="15">
        <f>'12 - 2022'!F27-'12 - 2022'!F26</f>
        <v>0</v>
      </c>
      <c r="J21" s="15">
        <f>'12 - 2022'!G27-'12 - 2022'!G26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</f>
        <v>0</v>
      </c>
      <c r="F22" s="15">
        <f>'12 - 2022'!C28-'12 - 2022'!C27</f>
        <v>0</v>
      </c>
      <c r="G22" s="13">
        <v>0.11799999999999999</v>
      </c>
      <c r="H22" s="15">
        <f>'12 - 2022'!E28-'12 - 2022'!E27</f>
        <v>0</v>
      </c>
      <c r="I22" s="15">
        <f>'12 - 2022'!F28-'12 - 2022'!F27</f>
        <v>0</v>
      </c>
      <c r="J22" s="15">
        <f>'12 - 2022'!G28-'12 - 2022'!G27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</f>
        <v>0</v>
      </c>
      <c r="F23" s="15">
        <f>'12 - 2022'!C29-'12 - 2022'!C28</f>
        <v>0</v>
      </c>
      <c r="G23" s="13">
        <v>0.11799999999999999</v>
      </c>
      <c r="H23" s="15">
        <f>'12 - 2022'!E29-'12 - 2022'!E28</f>
        <v>0</v>
      </c>
      <c r="I23" s="15">
        <f>'12 - 2022'!F29-'12 - 2022'!F28</f>
        <v>0</v>
      </c>
      <c r="J23" s="15">
        <f>'12 - 2022'!G29-'12 - 2022'!G28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0</v>
      </c>
      <c r="F24" s="15">
        <f>'12 - 2022'!C30-'12 - 2022'!C29</f>
        <v>0</v>
      </c>
      <c r="G24" s="13">
        <v>0.11799999999999999</v>
      </c>
      <c r="H24" s="15">
        <f>'12 - 2022'!E30-'12 - 2022'!E29</f>
        <v>0</v>
      </c>
      <c r="I24" s="15">
        <f>'12 - 2022'!F30-'12 - 2022'!F29</f>
        <v>0</v>
      </c>
      <c r="J24" s="15">
        <f>'12 - 2022'!G30-'12 - 2022'!G29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</f>
        <v>0</v>
      </c>
      <c r="F25" s="15">
        <f>'12 - 2022'!C31-'12 - 2022'!C30</f>
        <v>0</v>
      </c>
      <c r="G25" s="13">
        <v>0.11799999999999999</v>
      </c>
      <c r="H25" s="15">
        <f>'12 - 2022'!E31-'12 - 2022'!E30</f>
        <v>0</v>
      </c>
      <c r="I25" s="15">
        <f>'12 - 2022'!F31-'12 - 2022'!F30</f>
        <v>0</v>
      </c>
      <c r="J25" s="15">
        <f>'12 - 2022'!G31-'12 - 2022'!G30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0</v>
      </c>
      <c r="F26" s="15">
        <f>'12 - 2022'!C32-'12 - 2022'!C31</f>
        <v>0</v>
      </c>
      <c r="G26" s="13">
        <v>0.11799999999999999</v>
      </c>
      <c r="H26" s="15">
        <f>'12 - 2022'!E32-'12 - 2022'!E31</f>
        <v>0</v>
      </c>
      <c r="I26" s="15">
        <f>'12 - 2022'!F32-'12 - 2022'!F31</f>
        <v>0</v>
      </c>
      <c r="J26" s="15">
        <f>'12 - 2022'!G32-'12 - 2022'!G31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0</v>
      </c>
      <c r="F27" s="15">
        <f>'12 - 2022'!C33-'12 - 2022'!C32</f>
        <v>0</v>
      </c>
      <c r="G27" s="13">
        <v>0.11799999999999999</v>
      </c>
      <c r="H27" s="15">
        <f>'12 - 2022'!E33-'12 - 2022'!E32</f>
        <v>0</v>
      </c>
      <c r="I27" s="15">
        <f>'12 - 2022'!F33-'12 - 2022'!F32</f>
        <v>0</v>
      </c>
      <c r="J27" s="15">
        <f>'12 - 2022'!G33-'12 - 2022'!G32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0</v>
      </c>
      <c r="F28" s="15">
        <f>'12 - 2022'!C34-'12 - 2022'!C33</f>
        <v>0</v>
      </c>
      <c r="G28" s="13">
        <v>0.11799999999999999</v>
      </c>
      <c r="H28" s="15">
        <f>'12 - 2022'!E34-'12 - 2022'!E33</f>
        <v>0</v>
      </c>
      <c r="I28" s="15">
        <f>'12 - 2022'!F34-'12 - 2022'!F33</f>
        <v>0</v>
      </c>
      <c r="J28" s="15">
        <f>'12 - 2022'!G34-'12 - 2022'!G33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</f>
        <v>0</v>
      </c>
      <c r="F29" s="15">
        <f>'12 - 2022'!C35-'12 - 2022'!C34</f>
        <v>0</v>
      </c>
      <c r="G29" s="13">
        <v>0.11799999999999999</v>
      </c>
      <c r="H29" s="15">
        <f>'12 - 2022'!E35-'12 - 2022'!E34</f>
        <v>0</v>
      </c>
      <c r="I29" s="15">
        <f>'12 - 2022'!F35-'12 - 2022'!F34</f>
        <v>0</v>
      </c>
      <c r="J29" s="15">
        <f>'12 - 2022'!G35-'12 - 2022'!G34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</f>
        <v>0</v>
      </c>
      <c r="F30" s="15">
        <f>'12 - 2022'!C36-'12 - 2022'!C35</f>
        <v>0</v>
      </c>
      <c r="G30" s="13">
        <v>0.11799999999999999</v>
      </c>
      <c r="H30" s="15">
        <f>'12 - 2022'!E36-'12 - 2022'!E35</f>
        <v>0</v>
      </c>
      <c r="I30" s="15">
        <f>'12 - 2022'!F36-'12 - 2022'!F35</f>
        <v>0</v>
      </c>
      <c r="J30" s="15">
        <f>'12 - 2022'!G36-'12 - 2022'!G35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C25" sqref="C24:C25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8" t="s">
        <v>30</v>
      </c>
      <c r="B3" s="98"/>
      <c r="C3" s="98"/>
      <c r="D3" s="98"/>
      <c r="E3" s="98"/>
      <c r="F3" s="98"/>
      <c r="G3" s="98"/>
      <c r="H3" s="98"/>
      <c r="I3" s="98"/>
      <c r="J3" s="98"/>
      <c r="K3" s="47"/>
      <c r="L3" s="47"/>
    </row>
    <row r="4" spans="1:17" ht="16.5" thickBot="1" x14ac:dyDescent="0.3">
      <c r="A4" s="99" t="s">
        <v>37</v>
      </c>
      <c r="B4" s="99"/>
      <c r="C4" s="99"/>
      <c r="D4" s="99"/>
      <c r="E4" s="99"/>
      <c r="F4" s="99"/>
      <c r="G4" s="99"/>
      <c r="H4" s="99"/>
      <c r="I4" s="99"/>
      <c r="J4" s="99"/>
      <c r="K4" s="47"/>
      <c r="L4" s="47"/>
    </row>
    <row r="5" spans="1:17" ht="16.5" thickBot="1" x14ac:dyDescent="0.3">
      <c r="A5" s="48"/>
      <c r="B5" s="100" t="s">
        <v>36</v>
      </c>
      <c r="C5" s="101"/>
      <c r="D5" s="100" t="s">
        <v>0</v>
      </c>
      <c r="E5" s="102"/>
      <c r="F5" s="102"/>
      <c r="G5" s="103"/>
      <c r="H5" s="104" t="s">
        <v>1</v>
      </c>
      <c r="I5" s="105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7" t="s">
        <v>31</v>
      </c>
      <c r="L6" s="68" t="s">
        <v>32</v>
      </c>
    </row>
    <row r="7" spans="1:17" s="27" customFormat="1" ht="12.95" customHeight="1" thickBot="1" x14ac:dyDescent="0.3">
      <c r="A7" s="74">
        <v>44530</v>
      </c>
      <c r="B7" s="75">
        <v>855326</v>
      </c>
      <c r="C7" s="76">
        <v>983814</v>
      </c>
      <c r="D7" s="77">
        <v>0.5</v>
      </c>
      <c r="E7" s="78">
        <v>6408.19</v>
      </c>
      <c r="F7" s="79">
        <v>3984.34</v>
      </c>
      <c r="G7" s="79">
        <v>47991.95</v>
      </c>
      <c r="H7" s="75">
        <v>14528</v>
      </c>
      <c r="I7" s="75">
        <v>179600</v>
      </c>
      <c r="J7" s="75">
        <v>61843296</v>
      </c>
      <c r="K7" s="80"/>
      <c r="L7" s="69"/>
      <c r="M7" s="26"/>
    </row>
    <row r="8" spans="1:17" s="29" customFormat="1" ht="12.95" customHeight="1" thickTop="1" x14ac:dyDescent="0.25">
      <c r="A8" s="81">
        <f>A7+1</f>
        <v>44531</v>
      </c>
      <c r="B8" s="82">
        <v>859341</v>
      </c>
      <c r="C8" s="82">
        <v>989744</v>
      </c>
      <c r="D8" s="83">
        <v>0.47</v>
      </c>
      <c r="E8" s="84">
        <v>6433.35</v>
      </c>
      <c r="F8" s="85">
        <v>3992.88</v>
      </c>
      <c r="G8" s="82">
        <v>48026.080000000002</v>
      </c>
      <c r="H8" s="82">
        <v>14528</v>
      </c>
      <c r="I8" s="82">
        <v>179704</v>
      </c>
      <c r="J8" s="82">
        <v>61863665</v>
      </c>
      <c r="K8" s="86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87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87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87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88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>
        <v>878635</v>
      </c>
      <c r="C13" s="40">
        <v>1019307.3</v>
      </c>
      <c r="D13" s="41">
        <v>0.7</v>
      </c>
      <c r="E13" s="87">
        <v>6538.6</v>
      </c>
      <c r="F13" s="40">
        <v>4032.58</v>
      </c>
      <c r="G13" s="40">
        <v>48173.81</v>
      </c>
      <c r="H13" s="42">
        <v>14528</v>
      </c>
      <c r="I13" s="40">
        <v>180207</v>
      </c>
      <c r="J13" s="40">
        <v>61967688</v>
      </c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>
        <v>882685</v>
      </c>
      <c r="C14" s="42">
        <v>1025197.1</v>
      </c>
      <c r="D14" s="41">
        <v>0.62</v>
      </c>
      <c r="E14" s="87">
        <v>6561.78</v>
      </c>
      <c r="F14" s="40">
        <v>4041.92</v>
      </c>
      <c r="G14" s="40">
        <v>48209.54</v>
      </c>
      <c r="H14" s="42">
        <v>14528</v>
      </c>
      <c r="I14" s="42">
        <v>180331</v>
      </c>
      <c r="J14" s="42">
        <v>61988168</v>
      </c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>
        <v>886709</v>
      </c>
      <c r="C15" s="42">
        <v>1031076.9</v>
      </c>
      <c r="D15" s="41">
        <v>0.56000000000000005</v>
      </c>
      <c r="E15" s="40">
        <v>6584.83</v>
      </c>
      <c r="F15" s="59">
        <v>4049.56</v>
      </c>
      <c r="G15" s="40">
        <v>48243.7</v>
      </c>
      <c r="H15" s="42">
        <v>14528</v>
      </c>
      <c r="I15" s="42">
        <v>180448</v>
      </c>
      <c r="J15" s="42">
        <v>62007302</v>
      </c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/>
      <c r="C16" s="42"/>
      <c r="D16" s="41"/>
      <c r="E16" s="40"/>
      <c r="F16" s="59"/>
      <c r="G16" s="40"/>
      <c r="H16" s="42">
        <v>14528</v>
      </c>
      <c r="I16" s="42"/>
      <c r="J16" s="42"/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/>
      <c r="C17" s="40"/>
      <c r="D17" s="41"/>
      <c r="E17" s="40"/>
      <c r="F17" s="59"/>
      <c r="G17" s="40"/>
      <c r="H17" s="42">
        <v>14528</v>
      </c>
      <c r="I17" s="40"/>
      <c r="J17" s="40"/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/>
      <c r="C18" s="42"/>
      <c r="D18" s="41"/>
      <c r="E18" s="40"/>
      <c r="F18" s="40"/>
      <c r="G18" s="40"/>
      <c r="H18" s="42">
        <v>14528</v>
      </c>
      <c r="I18" s="42"/>
      <c r="J18" s="42"/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/>
      <c r="C19" s="42"/>
      <c r="D19" s="41"/>
      <c r="E19" s="40"/>
      <c r="F19" s="40"/>
      <c r="G19" s="40"/>
      <c r="H19" s="42">
        <v>14528</v>
      </c>
      <c r="I19" s="42"/>
      <c r="J19" s="42"/>
      <c r="K19" s="54"/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/>
      <c r="C20" s="44"/>
      <c r="D20" s="41"/>
      <c r="E20" s="42"/>
      <c r="F20" s="42"/>
      <c r="G20" s="45"/>
      <c r="H20" s="42">
        <v>14528</v>
      </c>
      <c r="I20" s="44"/>
      <c r="J20" s="44"/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/>
      <c r="C21" s="44"/>
      <c r="D21" s="41"/>
      <c r="E21" s="45"/>
      <c r="F21" s="40"/>
      <c r="G21" s="45"/>
      <c r="H21" s="42">
        <v>14528</v>
      </c>
      <c r="I21" s="44"/>
      <c r="J21" s="44"/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/>
      <c r="C22" s="42"/>
      <c r="D22" s="41"/>
      <c r="E22" s="40"/>
      <c r="F22" s="40"/>
      <c r="G22" s="45"/>
      <c r="H22" s="42">
        <v>14528</v>
      </c>
      <c r="I22" s="45"/>
      <c r="J22" s="44"/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/>
      <c r="C23" s="44"/>
      <c r="D23" s="41"/>
      <c r="E23" s="45"/>
      <c r="F23" s="40"/>
      <c r="G23" s="45"/>
      <c r="H23" s="42">
        <v>14528</v>
      </c>
      <c r="I23" s="44"/>
      <c r="J23" s="44"/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/>
      <c r="C24" s="44"/>
      <c r="D24" s="41"/>
      <c r="E24" s="45"/>
      <c r="F24" s="40"/>
      <c r="G24" s="45"/>
      <c r="H24" s="42">
        <v>14528</v>
      </c>
      <c r="I24" s="44"/>
      <c r="J24" s="44"/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/>
      <c r="C25" s="45"/>
      <c r="D25" s="41"/>
      <c r="E25" s="45"/>
      <c r="F25" s="40"/>
      <c r="G25" s="45"/>
      <c r="H25" s="42">
        <v>14528</v>
      </c>
      <c r="I25" s="44"/>
      <c r="J25" s="44"/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/>
      <c r="C26" s="45"/>
      <c r="D26" s="43"/>
      <c r="E26" s="45"/>
      <c r="F26" s="40"/>
      <c r="G26" s="45"/>
      <c r="H26" s="42">
        <v>14528</v>
      </c>
      <c r="I26" s="44"/>
      <c r="J26" s="44"/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/>
      <c r="C27" s="44"/>
      <c r="D27" s="41"/>
      <c r="E27" s="45"/>
      <c r="F27" s="40"/>
      <c r="G27" s="45"/>
      <c r="H27" s="42">
        <v>14528</v>
      </c>
      <c r="I27" s="44"/>
      <c r="J27" s="44"/>
      <c r="K27" s="63"/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/>
      <c r="C28" s="44"/>
      <c r="D28" s="41"/>
      <c r="E28" s="45"/>
      <c r="F28" s="40"/>
      <c r="G28" s="45"/>
      <c r="H28" s="42">
        <v>14528</v>
      </c>
      <c r="I28" s="44"/>
      <c r="J28" s="44"/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/>
      <c r="C29" s="44"/>
      <c r="D29" s="41"/>
      <c r="E29" s="45"/>
      <c r="F29" s="40"/>
      <c r="G29" s="45"/>
      <c r="H29" s="42">
        <v>14528</v>
      </c>
      <c r="I29" s="44"/>
      <c r="J29" s="44"/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/>
      <c r="C30" s="44"/>
      <c r="D30" s="41"/>
      <c r="E30" s="45"/>
      <c r="F30" s="40"/>
      <c r="G30" s="45"/>
      <c r="H30" s="42">
        <v>14528</v>
      </c>
      <c r="I30" s="44"/>
      <c r="J30" s="44"/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/>
      <c r="C31" s="44"/>
      <c r="D31" s="41"/>
      <c r="E31" s="45"/>
      <c r="F31" s="40"/>
      <c r="G31" s="45"/>
      <c r="H31" s="42">
        <v>14528</v>
      </c>
      <c r="I31" s="44"/>
      <c r="J31" s="44"/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/>
      <c r="C32" s="44"/>
      <c r="D32" s="41"/>
      <c r="E32" s="45"/>
      <c r="F32" s="40"/>
      <c r="G32" s="45"/>
      <c r="H32" s="42">
        <v>14528</v>
      </c>
      <c r="I32" s="44"/>
      <c r="J32" s="44"/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/>
      <c r="C33" s="44"/>
      <c r="D33" s="41"/>
      <c r="E33" s="45"/>
      <c r="F33" s="40"/>
      <c r="G33" s="45"/>
      <c r="H33" s="42">
        <v>14528</v>
      </c>
      <c r="I33" s="44"/>
      <c r="J33" s="44"/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/>
      <c r="C34" s="44"/>
      <c r="D34" s="41"/>
      <c r="E34" s="45"/>
      <c r="F34" s="40"/>
      <c r="G34" s="45"/>
      <c r="H34" s="42">
        <v>14528</v>
      </c>
      <c r="I34" s="45"/>
      <c r="J34" s="45"/>
      <c r="K34" s="54"/>
      <c r="L34" s="64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/>
      <c r="C35" s="46"/>
      <c r="D35" s="41"/>
      <c r="E35" s="45"/>
      <c r="F35" s="40"/>
      <c r="G35" s="40"/>
      <c r="H35" s="42">
        <v>14528</v>
      </c>
      <c r="I35" s="42"/>
      <c r="J35" s="42"/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89"/>
      <c r="F36" s="40"/>
      <c r="G36" s="40"/>
      <c r="H36" s="42">
        <v>14528</v>
      </c>
      <c r="I36" s="42"/>
      <c r="J36" s="42"/>
      <c r="K36" s="54"/>
      <c r="L36" s="65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89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90">
        <f t="shared" si="0"/>
        <v>44561</v>
      </c>
      <c r="B38" s="91"/>
      <c r="C38" s="92"/>
      <c r="D38" s="93"/>
      <c r="E38" s="94"/>
      <c r="F38" s="95"/>
      <c r="G38" s="95"/>
      <c r="H38" s="42">
        <v>14528</v>
      </c>
      <c r="I38" s="91"/>
      <c r="J38" s="91"/>
      <c r="K38" s="96"/>
      <c r="L38" s="97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4200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6"/>
      <c r="F40" s="66"/>
      <c r="G40" s="66"/>
      <c r="H40" s="37">
        <f>H39*219.969</f>
        <v>0</v>
      </c>
      <c r="I40" s="36">
        <f>I39*219.969</f>
        <v>-39506432.399999999</v>
      </c>
      <c r="J40" s="66"/>
      <c r="K40" s="47"/>
      <c r="L40" s="47"/>
    </row>
    <row r="41" spans="1:16" x14ac:dyDescent="0.25">
      <c r="A41" s="70"/>
      <c r="B41" s="71"/>
      <c r="C41" s="71"/>
      <c r="D41" s="70"/>
      <c r="E41" s="71"/>
      <c r="F41" s="71"/>
      <c r="G41" s="71"/>
      <c r="H41" s="71"/>
      <c r="I41" s="71"/>
      <c r="J41" s="71"/>
      <c r="K41" s="70"/>
      <c r="L41" s="70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6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2"/>
      <c r="K44" s="47"/>
      <c r="L44" s="47"/>
    </row>
    <row r="45" spans="1:16" x14ac:dyDescent="0.25">
      <c r="A45" s="47"/>
      <c r="B45" s="47"/>
      <c r="C45" s="73"/>
      <c r="D45" s="47"/>
      <c r="E45" s="47"/>
      <c r="F45" s="47"/>
      <c r="G45" s="47"/>
      <c r="H45" s="47"/>
      <c r="I45" s="72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2022-12-08T04:38:59Z</dcterms:modified>
</cp:coreProperties>
</file>