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"/>
    </mc:Choice>
  </mc:AlternateContent>
  <bookViews>
    <workbookView xWindow="-105" yWindow="-105" windowWidth="19425" windowHeight="10425" tabRatio="816"/>
  </bookViews>
  <sheets>
    <sheet name="TOTAL" sheetId="36" r:id="rId1"/>
    <sheet name="SUBMETERING" sheetId="31" r:id="rId2"/>
  </sheets>
  <externalReferences>
    <externalReference r:id="rId3"/>
  </externalReferences>
  <calcPr calcId="162913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36" l="1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2" i="36"/>
  <c r="V6" i="31"/>
  <c r="V7" i="31"/>
  <c r="V8" i="31"/>
  <c r="V9" i="31"/>
  <c r="V10" i="31"/>
  <c r="V11" i="31"/>
  <c r="V12" i="31"/>
  <c r="V13" i="31"/>
  <c r="V14" i="31"/>
  <c r="V15" i="31"/>
  <c r="V16" i="31"/>
  <c r="V17" i="31"/>
  <c r="V18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5" i="31"/>
  <c r="P6" i="31"/>
  <c r="P7" i="31"/>
  <c r="P8" i="31"/>
  <c r="P9" i="31"/>
  <c r="P10" i="31"/>
  <c r="P11" i="31"/>
  <c r="P12" i="31"/>
  <c r="P13" i="31"/>
  <c r="P14" i="31"/>
  <c r="P15" i="31"/>
  <c r="P16" i="31"/>
  <c r="P17" i="31"/>
  <c r="P18" i="31"/>
  <c r="P19" i="31"/>
  <c r="P20" i="31"/>
  <c r="P21" i="31"/>
  <c r="P22" i="31"/>
  <c r="P23" i="31"/>
  <c r="P24" i="31"/>
  <c r="P25" i="31"/>
  <c r="P26" i="31"/>
  <c r="P27" i="31"/>
  <c r="P28" i="31"/>
  <c r="P29" i="31"/>
  <c r="P30" i="31"/>
  <c r="P31" i="31"/>
  <c r="P32" i="31"/>
  <c r="P5" i="31"/>
  <c r="K6" i="31"/>
  <c r="L6" i="31"/>
  <c r="K7" i="31"/>
  <c r="L7" i="31"/>
  <c r="K8" i="31"/>
  <c r="L8" i="31"/>
  <c r="K9" i="31"/>
  <c r="L9" i="31"/>
  <c r="K10" i="31"/>
  <c r="L10" i="31"/>
  <c r="K11" i="31"/>
  <c r="L11" i="31"/>
  <c r="K12" i="31"/>
  <c r="L12" i="31"/>
  <c r="K13" i="31"/>
  <c r="L13" i="31"/>
  <c r="K14" i="31"/>
  <c r="L14" i="31"/>
  <c r="K15" i="31"/>
  <c r="L15" i="31"/>
  <c r="K16" i="31"/>
  <c r="L16" i="31"/>
  <c r="K17" i="31"/>
  <c r="L17" i="31"/>
  <c r="K18" i="31"/>
  <c r="L18" i="31"/>
  <c r="K19" i="31"/>
  <c r="L19" i="31"/>
  <c r="K20" i="31"/>
  <c r="L20" i="31"/>
  <c r="K21" i="31"/>
  <c r="L21" i="31"/>
  <c r="K22" i="31"/>
  <c r="L22" i="31"/>
  <c r="K23" i="31"/>
  <c r="L23" i="31"/>
  <c r="K24" i="31"/>
  <c r="L24" i="31"/>
  <c r="K25" i="31"/>
  <c r="L25" i="31"/>
  <c r="K26" i="31"/>
  <c r="L26" i="31"/>
  <c r="K27" i="31"/>
  <c r="L27" i="31"/>
  <c r="K28" i="31"/>
  <c r="L28" i="31"/>
  <c r="K29" i="31"/>
  <c r="L29" i="31"/>
  <c r="K30" i="31"/>
  <c r="L30" i="31"/>
  <c r="K31" i="31"/>
  <c r="L31" i="31"/>
  <c r="K32" i="31"/>
  <c r="L32" i="31"/>
  <c r="K5" i="31"/>
  <c r="L5" i="31"/>
  <c r="J6" i="31"/>
  <c r="J7" i="31"/>
  <c r="J8" i="31"/>
  <c r="J9" i="31"/>
  <c r="J10" i="31"/>
  <c r="J11" i="31"/>
  <c r="J12" i="31"/>
  <c r="J13" i="31"/>
  <c r="J14" i="31"/>
  <c r="J15" i="31"/>
  <c r="J16" i="31"/>
  <c r="J17" i="31"/>
  <c r="J18" i="31"/>
  <c r="J19" i="31"/>
  <c r="J20" i="31"/>
  <c r="J21" i="31"/>
  <c r="J22" i="31"/>
  <c r="J23" i="31"/>
  <c r="J24" i="31"/>
  <c r="J25" i="31"/>
  <c r="J26" i="31"/>
  <c r="J27" i="31"/>
  <c r="J28" i="31"/>
  <c r="J29" i="31"/>
  <c r="J30" i="31"/>
  <c r="J31" i="31"/>
  <c r="J32" i="31"/>
  <c r="J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H27" i="31"/>
  <c r="H28" i="31"/>
  <c r="H29" i="31"/>
  <c r="H30" i="31"/>
  <c r="H31" i="31"/>
  <c r="H32" i="31"/>
  <c r="H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5" i="31"/>
  <c r="W6" i="31"/>
  <c r="W7" i="31"/>
  <c r="W8" i="31"/>
  <c r="W9" i="31"/>
  <c r="W10" i="31"/>
  <c r="W11" i="31"/>
  <c r="W12" i="31"/>
  <c r="W13" i="31"/>
  <c r="W14" i="31"/>
  <c r="W15" i="31"/>
  <c r="W16" i="31"/>
  <c r="W17" i="31"/>
  <c r="W18" i="31"/>
  <c r="W19" i="31"/>
  <c r="W20" i="31"/>
  <c r="W21" i="31"/>
  <c r="W22" i="31"/>
  <c r="W23" i="31"/>
  <c r="W24" i="31"/>
  <c r="W25" i="31"/>
  <c r="W26" i="31"/>
  <c r="W27" i="31"/>
  <c r="W28" i="31"/>
  <c r="W29" i="31"/>
  <c r="W30" i="31"/>
  <c r="W31" i="31"/>
  <c r="W32" i="31"/>
  <c r="W5" i="31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2" i="36"/>
  <c r="S33" i="31"/>
  <c r="S34" i="31"/>
  <c r="S35" i="31"/>
  <c r="W35" i="31"/>
  <c r="W34" i="31"/>
  <c r="W33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7" i="31"/>
  <c r="S6" i="31"/>
  <c r="Q35" i="31"/>
  <c r="Q34" i="31"/>
  <c r="Q33" i="31"/>
  <c r="Q32" i="31"/>
  <c r="Q31" i="31"/>
  <c r="Q30" i="31"/>
  <c r="Q29" i="31"/>
  <c r="Q28" i="31"/>
  <c r="Q27" i="31"/>
  <c r="Q26" i="31"/>
  <c r="Q25" i="31"/>
  <c r="Q24" i="31"/>
  <c r="Q23" i="31"/>
  <c r="Q22" i="31"/>
  <c r="Q21" i="31"/>
  <c r="Q20" i="31"/>
  <c r="Q19" i="31"/>
  <c r="Q18" i="31"/>
  <c r="Q17" i="31"/>
  <c r="Q16" i="31"/>
  <c r="Q15" i="31"/>
  <c r="Q14" i="31"/>
  <c r="Q13" i="31"/>
  <c r="Q12" i="31"/>
  <c r="Q11" i="31"/>
  <c r="Q10" i="31"/>
  <c r="Q9" i="31"/>
  <c r="Q7" i="31"/>
  <c r="Q6" i="31"/>
  <c r="Q5" i="31"/>
  <c r="J35" i="31"/>
  <c r="J34" i="31"/>
  <c r="J33" i="31"/>
  <c r="H35" i="31"/>
  <c r="H34" i="31"/>
  <c r="H33" i="31"/>
  <c r="F35" i="31"/>
  <c r="F34" i="31"/>
  <c r="F33" i="31"/>
  <c r="V37" i="31"/>
  <c r="H37" i="31"/>
  <c r="F37" i="31"/>
  <c r="W37" i="31"/>
  <c r="I37" i="31"/>
  <c r="K34" i="31"/>
  <c r="L34" i="31"/>
  <c r="R37" i="31"/>
  <c r="E37" i="31"/>
  <c r="K35" i="31"/>
  <c r="L35" i="31"/>
  <c r="K33" i="31"/>
  <c r="L33" i="31"/>
  <c r="G37" i="31"/>
  <c r="P37" i="31"/>
  <c r="S5" i="31"/>
  <c r="S37" i="31"/>
  <c r="Q8" i="31"/>
  <c r="Q37" i="31"/>
  <c r="M37" i="31"/>
  <c r="J37" i="31"/>
  <c r="L37" i="31"/>
  <c r="K37" i="31"/>
  <c r="J3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7" i="36"/>
  <c r="J18" i="36"/>
  <c r="J19" i="36"/>
  <c r="J20" i="36"/>
  <c r="J21" i="36"/>
  <c r="J22" i="36"/>
  <c r="J23" i="36"/>
  <c r="J24" i="36"/>
  <c r="J25" i="36"/>
  <c r="J26" i="36"/>
  <c r="J27" i="36"/>
  <c r="J28" i="36"/>
  <c r="J29" i="36"/>
  <c r="H3" i="36"/>
  <c r="H4" i="36"/>
  <c r="H5" i="36"/>
  <c r="H6" i="36"/>
  <c r="H7" i="36"/>
  <c r="H8" i="36"/>
  <c r="H9" i="36"/>
  <c r="H10" i="36"/>
  <c r="H11" i="36"/>
  <c r="H12" i="36"/>
  <c r="H13" i="36"/>
  <c r="H14" i="36"/>
  <c r="H15" i="36"/>
  <c r="H16" i="36"/>
  <c r="H17" i="36"/>
  <c r="H18" i="36"/>
  <c r="H19" i="36"/>
  <c r="H20" i="36"/>
  <c r="H21" i="36"/>
  <c r="H22" i="36"/>
  <c r="H23" i="36"/>
  <c r="H24" i="36"/>
  <c r="H25" i="36"/>
  <c r="H26" i="36"/>
  <c r="H27" i="36"/>
  <c r="H28" i="36"/>
  <c r="H29" i="36"/>
  <c r="F3" i="36"/>
  <c r="F4" i="36"/>
  <c r="F5" i="36"/>
  <c r="F6" i="36"/>
  <c r="F7" i="36"/>
  <c r="F8" i="36"/>
  <c r="F9" i="36"/>
  <c r="F10" i="36"/>
  <c r="F11" i="36"/>
  <c r="F12" i="36"/>
  <c r="F13" i="36"/>
  <c r="F14" i="36"/>
  <c r="F15" i="36"/>
  <c r="F16" i="36"/>
  <c r="F17" i="36"/>
  <c r="F18" i="36"/>
  <c r="F19" i="36"/>
  <c r="F20" i="36"/>
  <c r="F21" i="36"/>
  <c r="F22" i="36"/>
  <c r="F23" i="36"/>
  <c r="F24" i="36"/>
  <c r="F25" i="36"/>
  <c r="F26" i="36"/>
  <c r="F27" i="36"/>
  <c r="F28" i="36"/>
  <c r="F29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2" i="36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/>
  <c r="B5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N3" i="36"/>
  <c r="N2" i="36"/>
  <c r="K10" i="36"/>
  <c r="K5" i="36"/>
  <c r="L10" i="36"/>
  <c r="L5" i="36"/>
  <c r="K18" i="36"/>
  <c r="K14" i="36"/>
  <c r="K7" i="36"/>
  <c r="I28" i="36"/>
  <c r="I22" i="36"/>
  <c r="I18" i="36"/>
  <c r="I8" i="36"/>
  <c r="I23" i="36"/>
  <c r="I2" i="36"/>
  <c r="I11" i="36"/>
  <c r="I7" i="36"/>
  <c r="I29" i="36"/>
  <c r="I16" i="36"/>
  <c r="I14" i="36"/>
  <c r="I20" i="36"/>
  <c r="I27" i="36"/>
  <c r="I13" i="36"/>
  <c r="I26" i="36"/>
  <c r="I3" i="36"/>
  <c r="I9" i="36"/>
  <c r="K22" i="36"/>
  <c r="K19" i="36"/>
  <c r="K28" i="36"/>
  <c r="K21" i="36"/>
  <c r="K16" i="36"/>
  <c r="K9" i="36"/>
  <c r="K3" i="36"/>
  <c r="K13" i="36"/>
  <c r="K20" i="36"/>
  <c r="K2" i="36"/>
  <c r="K12" i="36"/>
  <c r="K4" i="36"/>
  <c r="L14" i="36"/>
  <c r="K11" i="36"/>
  <c r="K24" i="36"/>
  <c r="L7" i="36"/>
  <c r="K8" i="36"/>
  <c r="K15" i="36"/>
  <c r="K17" i="36"/>
  <c r="K23" i="36"/>
  <c r="K26" i="36"/>
  <c r="K6" i="36"/>
  <c r="K29" i="36"/>
  <c r="K27" i="36"/>
  <c r="L18" i="36"/>
  <c r="I21" i="36"/>
  <c r="I12" i="36"/>
  <c r="I24" i="36"/>
  <c r="I19" i="36"/>
  <c r="I10" i="36"/>
  <c r="I17" i="36"/>
  <c r="X10" i="31"/>
  <c r="I4" i="36"/>
  <c r="I15" i="36"/>
  <c r="I25" i="36"/>
  <c r="I5" i="36"/>
  <c r="I6" i="36"/>
  <c r="X17" i="31"/>
  <c r="X6" i="31"/>
  <c r="X35" i="31"/>
  <c r="L26" i="36"/>
  <c r="L2" i="36"/>
  <c r="L9" i="36"/>
  <c r="L19" i="36"/>
  <c r="L6" i="36"/>
  <c r="L11" i="36"/>
  <c r="L3" i="36"/>
  <c r="L28" i="36"/>
  <c r="L8" i="36"/>
  <c r="X16" i="31"/>
  <c r="L23" i="36"/>
  <c r="L16" i="36"/>
  <c r="L24" i="36"/>
  <c r="L21" i="36"/>
  <c r="L4" i="36"/>
  <c r="L22" i="36"/>
  <c r="L17" i="36"/>
  <c r="L13" i="36"/>
  <c r="L15" i="36"/>
  <c r="L27" i="36"/>
  <c r="L20" i="36"/>
  <c r="L29" i="36"/>
  <c r="L12" i="36"/>
  <c r="K25" i="36"/>
  <c r="O13" i="36"/>
  <c r="X7" i="31"/>
  <c r="O7" i="36"/>
  <c r="X11" i="31"/>
  <c r="O14" i="36"/>
  <c r="O4" i="36"/>
  <c r="X9" i="31"/>
  <c r="O3" i="36"/>
  <c r="X30" i="31"/>
  <c r="X25" i="31"/>
  <c r="X8" i="31"/>
  <c r="X32" i="31"/>
  <c r="X33" i="31"/>
  <c r="X27" i="31"/>
  <c r="X24" i="31"/>
  <c r="X23" i="31"/>
  <c r="X29" i="31"/>
  <c r="X21" i="31"/>
  <c r="X15" i="31"/>
  <c r="X26" i="31"/>
  <c r="O2" i="36"/>
  <c r="X22" i="31"/>
  <c r="X12" i="31"/>
  <c r="X34" i="31"/>
  <c r="X31" i="31"/>
  <c r="X18" i="31"/>
  <c r="X19" i="31"/>
  <c r="L25" i="36"/>
  <c r="X28" i="31"/>
  <c r="X13" i="31"/>
  <c r="O20" i="36"/>
  <c r="O5" i="36"/>
  <c r="O9" i="36"/>
  <c r="X20" i="31"/>
  <c r="O8" i="36"/>
  <c r="O18" i="36"/>
  <c r="X14" i="31"/>
  <c r="O16" i="36"/>
  <c r="O17" i="36"/>
  <c r="O19" i="36"/>
  <c r="O11" i="36"/>
  <c r="O12" i="36"/>
  <c r="O6" i="36"/>
  <c r="O10" i="36"/>
  <c r="O15" i="36"/>
  <c r="X5" i="31"/>
  <c r="X37" i="31"/>
  <c r="O21" i="36"/>
  <c r="O22" i="36"/>
  <c r="O23" i="36"/>
  <c r="O24" i="36"/>
  <c r="O25" i="36"/>
  <c r="O26" i="36"/>
  <c r="O27" i="36"/>
  <c r="O28" i="36"/>
  <c r="O29" i="36"/>
</calcChain>
</file>

<file path=xl/sharedStrings.xml><?xml version="1.0" encoding="utf-8"?>
<sst xmlns="http://schemas.openxmlformats.org/spreadsheetml/2006/main" count="111" uniqueCount="66">
  <si>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</si>
  <si>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</si>
  <si>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</si>
  <si>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</si>
  <si>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</si>
  <si>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</si>
  <si>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</si>
  <si>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</si>
  <si>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</si>
  <si>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</si>
  <si>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</si>
  <si>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</si>
  <si>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</si>
  <si>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</si>
  <si>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</si>
  <si>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</si>
  <si>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r>
      <t xml:space="preserve">    UTILITIES CONSUMPTION REPORT(2020-11)  </t>
    </r>
    <r>
      <rPr>
        <b/>
        <sz val="10"/>
        <rFont val="仿宋"/>
        <family val="3"/>
        <charset val="134"/>
      </rPr>
      <t>电费从2019年8月1号开始下降改为0.675169/Kwh，天然气从2020年9月1号开始下降改为3.95/m³2020年裙楼空调冷量价格为291.66/Mw.h+每天固定人工等1655.02元</t>
    </r>
  </si>
  <si>
    <t>DATE                      日期</t>
  </si>
  <si>
    <t>Out door Temp℃                                 户外          温度</t>
  </si>
  <si>
    <t>Event Cover                                        宴会         人数</t>
  </si>
  <si>
    <t>RoomOcc.%            客房率</t>
  </si>
  <si>
    <t>Kitchen Gas               厨房天然气                (RMB3.95/m³)</t>
  </si>
  <si>
    <t>Boiler Gas           锅炉天然气(蒸汽)
(RMB3.95/m³)</t>
  </si>
  <si>
    <t>Boiler Gas                锅炉天然气(热水)
(RMB3.95/m³)</t>
  </si>
  <si>
    <t>General Gas               总天然气               (RMB3.95/m³)</t>
  </si>
  <si>
    <r>
      <t>General electricity      总电量</t>
    </r>
    <r>
      <rPr>
        <b/>
        <sz val="9"/>
        <rFont val="仿宋"/>
        <family val="3"/>
        <charset val="134"/>
      </rPr>
      <t>(*10000)(RMB0.675169/Kwh)</t>
    </r>
    <phoneticPr fontId="2" type="noConversion"/>
  </si>
  <si>
    <t>Podium AC Consumption              裙楼空调用量              (Mw/h)Rmb291.66/MwH+1655.02/天</t>
    <phoneticPr fontId="2" type="noConversion"/>
  </si>
  <si>
    <t>Water Consumption         水用量</t>
    <phoneticPr fontId="2" type="noConversion"/>
  </si>
  <si>
    <t>Daily Total Utility Expense(RMB)                            每日能耗总费用</t>
  </si>
  <si>
    <t>Totalgas (m³)</t>
    <phoneticPr fontId="2" type="noConversion"/>
  </si>
  <si>
    <t>Total RMB</t>
  </si>
  <si>
    <t>Total RMB</t>
    <phoneticPr fontId="2" type="noConversion"/>
  </si>
  <si>
    <t>Totalgas(m³)</t>
    <phoneticPr fontId="2" type="noConversion"/>
  </si>
  <si>
    <t>Totalgas   (m³)</t>
    <phoneticPr fontId="2" type="noConversion"/>
  </si>
  <si>
    <t>Total electric (KWH)</t>
    <phoneticPr fontId="2" type="noConversion"/>
  </si>
  <si>
    <t>Total electric  (KWH)</t>
    <phoneticPr fontId="2" type="noConversion"/>
  </si>
  <si>
    <t>Total 
(Mw/h0</t>
    <phoneticPr fontId="2" type="noConversion"/>
  </si>
  <si>
    <r>
      <t>Total Water   (m</t>
    </r>
    <r>
      <rPr>
        <b/>
        <vertAlign val="superscript"/>
        <sz val="7"/>
        <rFont val="仿宋"/>
        <family val="3"/>
        <charset val="134"/>
      </rPr>
      <t>3</t>
    </r>
    <r>
      <rPr>
        <b/>
        <sz val="7"/>
        <rFont val="仿宋"/>
        <family val="3"/>
        <charset val="134"/>
      </rPr>
      <t>)</t>
    </r>
    <phoneticPr fontId="2" type="noConversion"/>
  </si>
  <si>
    <t>Aver.</t>
  </si>
  <si>
    <t>Total</t>
  </si>
  <si>
    <t>12\23</t>
    <phoneticPr fontId="2" type="noConversion"/>
  </si>
  <si>
    <t>16/26</t>
    <phoneticPr fontId="2" type="noConversion"/>
  </si>
  <si>
    <t>15/28</t>
    <phoneticPr fontId="2" type="noConversion"/>
  </si>
  <si>
    <t>14/26</t>
    <phoneticPr fontId="2" type="noConversion"/>
  </si>
  <si>
    <t>14/27</t>
  </si>
  <si>
    <t>15/26</t>
    <phoneticPr fontId="2" type="noConversion"/>
  </si>
  <si>
    <t>16/28</t>
    <phoneticPr fontId="2" type="noConversion"/>
  </si>
  <si>
    <t>17/27</t>
    <phoneticPr fontId="2" type="noConversion"/>
  </si>
  <si>
    <t>14/20</t>
    <phoneticPr fontId="2" type="noConversion"/>
  </si>
  <si>
    <t>14/16</t>
    <phoneticPr fontId="2" type="noConversion"/>
  </si>
  <si>
    <t>13/22</t>
    <phoneticPr fontId="2" type="noConversion"/>
  </si>
  <si>
    <t>14/23</t>
    <phoneticPr fontId="2" type="noConversion"/>
  </si>
  <si>
    <t>14/22</t>
    <phoneticPr fontId="2" type="noConversion"/>
  </si>
  <si>
    <t>16/27</t>
    <phoneticPr fontId="2" type="noConversion"/>
  </si>
  <si>
    <t>13/24</t>
    <phoneticPr fontId="2" type="noConversion"/>
  </si>
  <si>
    <t>17/28</t>
    <phoneticPr fontId="2" type="noConversion"/>
  </si>
  <si>
    <t>17/29</t>
    <phoneticPr fontId="2" type="noConversion"/>
  </si>
  <si>
    <t>18/29</t>
    <phoneticPr fontId="2" type="noConversion"/>
  </si>
  <si>
    <t>15/23</t>
    <phoneticPr fontId="2" type="noConversion"/>
  </si>
  <si>
    <t>15/19</t>
    <phoneticPr fontId="2" type="noConversion"/>
  </si>
  <si>
    <r>
      <t>domestic Water 生活水RMB4.86/m</t>
    </r>
    <r>
      <rPr>
        <b/>
        <vertAlign val="superscript"/>
        <sz val="10"/>
        <rFont val="仿宋"/>
        <family val="3"/>
        <charset val="134"/>
      </rPr>
      <t xml:space="preserve">3 </t>
    </r>
    <phoneticPr fontId="2" type="noConversion"/>
  </si>
  <si>
    <t xml:space="preserve">Chiller Electricity                    制冷主机用电                       </t>
  </si>
  <si>
    <t>Podium Electricity  裙楼用电      每月10.20.月末日抄表</t>
  </si>
  <si>
    <t xml:space="preserve">Main Tower electricity     
 主塔用电 </t>
  </si>
  <si>
    <t xml:space="preserve"> 主塔用水</t>
  </si>
  <si>
    <t>裙楼用水     每月10.20.30日抄表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</si>
</sst>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3" formatCode="_(* #,##0.00_);_(* \(#,##0.00\);_(* &quot;-&quot;??_);_(@_)"/>
    <numFmt numFmtId="176" formatCode="0_ "/>
    <numFmt numFmtId="177" formatCode="[$￥-804]#,##0.00"/>
    <numFmt numFmtId="178" formatCode="[$￥-804]#,##0.00_);[Red]\([$￥-804]#,##0.00\)"/>
  </numFmts>
  <fonts count="22">
    <font>
      <sz val="12"/>
      <name val="宋体"/>
      <charset val="134"/>
    </font>
    <font>
      <sz val="11"/>
      <color theme="1"/>
      <name val="宋体"/>
      <family val="2"/>
      <scheme val="minor"/>
    </font>
    <font>
      <sz val="9"/>
      <name val="宋体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vertAlign val="superscript"/>
      <sz val="10"/>
      <name val="仿宋"/>
      <family val="3"/>
      <charset val="134"/>
    </font>
    <font>
      <b/>
      <sz val="7"/>
      <name val="仿宋"/>
      <family val="3"/>
      <charset val="134"/>
    </font>
    <font>
      <b/>
      <vertAlign val="superscript"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宋体"/>
      <family val="2"/>
      <scheme val="minor"/>
    </font>
    <font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21" fillId="0" borderId="0"/>
  </cellStyleXfs>
  <cellXfs count="118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3" xfId="0" applyFont="1" applyBorder="1" applyAlignment="1" applyProtection="1">
      <alignment horizontal="center" vertical="center"/>
      <protection locked="0"/>
    </xf>
    <xf numFmtId="41" fontId="7" fillId="0" borderId="4" xfId="0" applyNumberFormat="1" applyFont="1" applyBorder="1" applyAlignment="1" applyProtection="1">
      <alignment horizontal="center" vertical="center"/>
      <protection locked="0"/>
    </xf>
    <xf numFmtId="41" fontId="7" fillId="3" borderId="5" xfId="0" applyNumberFormat="1" applyFont="1" applyFill="1" applyBorder="1" applyAlignment="1" applyProtection="1">
      <alignment horizontal="center" vertical="center"/>
      <protection locked="0"/>
    </xf>
    <xf numFmtId="177" fontId="7" fillId="0" borderId="6" xfId="0" applyNumberFormat="1" applyFont="1" applyBorder="1" applyAlignment="1" applyProtection="1">
      <alignment horizontal="center" vertical="center"/>
      <protection locked="0"/>
    </xf>
    <xf numFmtId="178" fontId="7" fillId="0" borderId="6" xfId="0" applyNumberFormat="1" applyFont="1" applyBorder="1" applyAlignment="1" applyProtection="1">
      <alignment horizontal="center" vertical="center"/>
      <protection locked="0"/>
    </xf>
    <xf numFmtId="178" fontId="7" fillId="0" borderId="7" xfId="0" applyNumberFormat="1" applyFont="1" applyBorder="1" applyAlignment="1" applyProtection="1">
      <alignment horizontal="center" vertical="center"/>
      <protection locked="0"/>
    </xf>
    <xf numFmtId="177" fontId="7" fillId="3" borderId="5" xfId="0" applyNumberFormat="1" applyFont="1" applyFill="1" applyBorder="1" applyAlignment="1" applyProtection="1">
      <alignment horizontal="center" vertical="center"/>
      <protection locked="0"/>
    </xf>
    <xf numFmtId="178" fontId="7" fillId="3" borderId="5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 applyProtection="1">
      <alignment horizontal="center" vertical="center" wrapText="1"/>
      <protection locked="0"/>
    </xf>
    <xf numFmtId="0" fontId="12" fillId="0" borderId="12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14" xfId="0" applyFont="1" applyBorder="1" applyAlignment="1" applyProtection="1">
      <alignment horizontal="center" vertical="center" wrapText="1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  <xf numFmtId="41" fontId="7" fillId="3" borderId="15" xfId="0" applyNumberFormat="1" applyFont="1" applyFill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41" fontId="7" fillId="0" borderId="17" xfId="0" applyNumberFormat="1" applyFont="1" applyBorder="1" applyAlignment="1" applyProtection="1">
      <alignment horizontal="center" vertical="center"/>
      <protection locked="0"/>
    </xf>
    <xf numFmtId="41" fontId="7" fillId="0" borderId="2" xfId="0" applyNumberFormat="1" applyFont="1" applyBorder="1" applyAlignment="1" applyProtection="1">
      <alignment horizontal="center" vertical="center"/>
      <protection locked="0"/>
    </xf>
    <xf numFmtId="178" fontId="7" fillId="0" borderId="18" xfId="0" applyNumberFormat="1" applyFont="1" applyBorder="1" applyAlignment="1" applyProtection="1">
      <alignment horizontal="center" vertical="center"/>
      <protection locked="0"/>
    </xf>
    <xf numFmtId="178" fontId="7" fillId="0" borderId="1" xfId="0" applyNumberFormat="1" applyFont="1" applyBorder="1" applyAlignment="1" applyProtection="1">
      <alignment horizontal="center" vertical="center"/>
      <protection locked="0"/>
    </xf>
    <xf numFmtId="177" fontId="7" fillId="0" borderId="7" xfId="0" applyNumberFormat="1" applyFont="1" applyBorder="1" applyAlignment="1" applyProtection="1">
      <alignment horizontal="center" vertical="center"/>
      <protection locked="0"/>
    </xf>
    <xf numFmtId="177" fontId="7" fillId="3" borderId="19" xfId="0" applyNumberFormat="1" applyFont="1" applyFill="1" applyBorder="1" applyAlignment="1" applyProtection="1">
      <alignment horizontal="center" vertical="center"/>
      <protection locked="0"/>
    </xf>
    <xf numFmtId="177" fontId="7" fillId="0" borderId="18" xfId="0" applyNumberFormat="1" applyFont="1" applyBorder="1" applyAlignment="1" applyProtection="1">
      <alignment horizontal="center" vertical="center"/>
      <protection locked="0"/>
    </xf>
    <xf numFmtId="177" fontId="7" fillId="0" borderId="1" xfId="0" applyNumberFormat="1" applyFont="1" applyBorder="1" applyAlignment="1" applyProtection="1">
      <alignment horizontal="center" vertical="center"/>
      <protection locked="0"/>
    </xf>
    <xf numFmtId="177" fontId="7" fillId="3" borderId="15" xfId="0" applyNumberFormat="1" applyFont="1" applyFill="1" applyBorder="1" applyAlignment="1" applyProtection="1">
      <alignment horizontal="center" vertical="center"/>
      <protection locked="0"/>
    </xf>
    <xf numFmtId="178" fontId="7" fillId="3" borderId="19" xfId="0" applyNumberFormat="1" applyFont="1" applyFill="1" applyBorder="1" applyAlignment="1" applyProtection="1">
      <alignment horizontal="center" vertical="center"/>
      <protection locked="0"/>
    </xf>
    <xf numFmtId="178" fontId="9" fillId="0" borderId="20" xfId="0" applyNumberFormat="1" applyFont="1" applyBorder="1" applyAlignment="1" applyProtection="1">
      <alignment horizontal="center" vertical="center" wrapText="1"/>
      <protection locked="0"/>
    </xf>
    <xf numFmtId="178" fontId="9" fillId="0" borderId="21" xfId="0" applyNumberFormat="1" applyFont="1" applyBorder="1" applyAlignment="1" applyProtection="1">
      <alignment horizontal="center" vertical="center" wrapText="1"/>
      <protection locked="0"/>
    </xf>
    <xf numFmtId="41" fontId="14" fillId="0" borderId="22" xfId="0" applyNumberFormat="1" applyFont="1" applyBorder="1" applyAlignment="1" applyProtection="1">
      <alignment horizontal="center" vertical="center" wrapText="1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2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16" fillId="0" borderId="5" xfId="1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1" fontId="17" fillId="0" borderId="5" xfId="1" applyNumberFormat="1" applyFont="1" applyBorder="1" applyAlignment="1">
      <alignment horizontal="center"/>
    </xf>
    <xf numFmtId="1" fontId="16" fillId="0" borderId="5" xfId="1" applyNumberFormat="1" applyFont="1" applyBorder="1" applyAlignment="1">
      <alignment horizontal="center" wrapText="1"/>
    </xf>
    <xf numFmtId="0" fontId="16" fillId="0" borderId="5" xfId="1" applyFont="1" applyBorder="1" applyAlignment="1">
      <alignment horizontal="center" wrapText="1"/>
    </xf>
    <xf numFmtId="0" fontId="16" fillId="0" borderId="0" xfId="1" applyFont="1" applyAlignment="1">
      <alignment wrapText="1"/>
    </xf>
    <xf numFmtId="0" fontId="16" fillId="0" borderId="0" xfId="1" applyFont="1"/>
    <xf numFmtId="0" fontId="18" fillId="0" borderId="0" xfId="1" applyFont="1" applyAlignment="1">
      <alignment horizontal="center"/>
    </xf>
    <xf numFmtId="0" fontId="19" fillId="0" borderId="0" xfId="1" applyFont="1" applyAlignment="1">
      <alignment horizontal="center"/>
    </xf>
    <xf numFmtId="1" fontId="19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7" fillId="0" borderId="5" xfId="1" applyFont="1" applyBorder="1" applyAlignment="1">
      <alignment horizontal="center" wrapText="1"/>
    </xf>
    <xf numFmtId="2" fontId="20" fillId="0" borderId="0" xfId="1" applyNumberFormat="1" applyFont="1" applyAlignment="1">
      <alignment horizontal="center"/>
    </xf>
    <xf numFmtId="0" fontId="20" fillId="0" borderId="0" xfId="1" applyFont="1" applyAlignment="1">
      <alignment horizontal="center"/>
    </xf>
    <xf numFmtId="1" fontId="20" fillId="0" borderId="0" xfId="1" applyNumberFormat="1" applyFont="1" applyAlignment="1">
      <alignment horizontal="center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178" fontId="14" fillId="0" borderId="22" xfId="0" applyNumberFormat="1" applyFont="1" applyBorder="1" applyAlignment="1" applyProtection="1">
      <alignment horizontal="center" vertical="center" wrapText="1"/>
      <protection locked="0"/>
    </xf>
    <xf numFmtId="41" fontId="7" fillId="0" borderId="4" xfId="0" applyNumberFormat="1" applyFont="1" applyFill="1" applyBorder="1" applyAlignment="1" applyProtection="1">
      <alignment horizontal="center" vertical="center"/>
      <protection locked="0"/>
    </xf>
    <xf numFmtId="178" fontId="15" fillId="0" borderId="11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27" xfId="0" applyFont="1" applyBorder="1" applyAlignment="1" applyProtection="1">
      <alignment horizontal="center" vertical="center" wrapText="1"/>
      <protection locked="0"/>
    </xf>
    <xf numFmtId="0" fontId="9" fillId="0" borderId="28" xfId="0" applyFont="1" applyBorder="1" applyAlignment="1" applyProtection="1">
      <alignment horizontal="center" vertical="center" wrapText="1"/>
      <protection locked="0"/>
    </xf>
    <xf numFmtId="0" fontId="9" fillId="2" borderId="26" xfId="0" applyFont="1" applyFill="1" applyBorder="1" applyAlignment="1" applyProtection="1">
      <alignment horizontal="center" vertical="center" wrapText="1"/>
      <protection locked="0"/>
    </xf>
    <xf numFmtId="0" fontId="9" fillId="2" borderId="27" xfId="0" applyFont="1" applyFill="1" applyBorder="1" applyAlignment="1" applyProtection="1">
      <alignment horizontal="center" vertical="center" wrapText="1"/>
      <protection locked="0"/>
    </xf>
    <xf numFmtId="0" fontId="9" fillId="2" borderId="28" xfId="0" applyFont="1" applyFill="1" applyBorder="1" applyAlignment="1" applyProtection="1">
      <alignment horizontal="center" vertical="center" wrapText="1"/>
      <protection locked="0"/>
    </xf>
    <xf numFmtId="176" fontId="9" fillId="2" borderId="29" xfId="0" applyNumberFormat="1" applyFont="1" applyFill="1" applyBorder="1" applyAlignment="1" applyProtection="1">
      <alignment horizontal="center" vertical="center" wrapText="1"/>
      <protection locked="0"/>
    </xf>
    <xf numFmtId="176" fontId="9" fillId="2" borderId="30" xfId="0" applyNumberFormat="1" applyFont="1" applyFill="1" applyBorder="1" applyAlignment="1" applyProtection="1">
      <alignment horizontal="center" vertical="center" wrapText="1"/>
      <protection locked="0"/>
    </xf>
    <xf numFmtId="176" fontId="9" fillId="2" borderId="15" xfId="0" applyNumberFormat="1" applyFont="1" applyFill="1" applyBorder="1" applyAlignment="1" applyProtection="1">
      <alignment horizontal="center" vertical="center" wrapText="1"/>
      <protection locked="0"/>
    </xf>
    <xf numFmtId="176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9" fillId="0" borderId="19" xfId="0" applyFont="1" applyBorder="1" applyAlignment="1" applyProtection="1">
      <alignment horizontal="center" vertical="center" wrapText="1"/>
      <protection locked="0"/>
    </xf>
    <xf numFmtId="0" fontId="9" fillId="2" borderId="29" xfId="0" applyFont="1" applyFill="1" applyBorder="1" applyAlignment="1" applyProtection="1">
      <alignment horizontal="center" vertical="center" wrapText="1"/>
      <protection locked="0"/>
    </xf>
    <xf numFmtId="0" fontId="9" fillId="2" borderId="30" xfId="0" applyFont="1" applyFill="1" applyBorder="1" applyAlignment="1" applyProtection="1">
      <alignment horizontal="center" vertical="center" wrapText="1"/>
      <protection locked="0"/>
    </xf>
    <xf numFmtId="0" fontId="9" fillId="2" borderId="15" xfId="0" applyFont="1" applyFill="1" applyBorder="1" applyAlignment="1" applyProtection="1">
      <alignment horizontal="center" vertical="center" wrapText="1"/>
      <protection locked="0"/>
    </xf>
    <xf numFmtId="0" fontId="9" fillId="2" borderId="19" xfId="0" applyFont="1" applyFill="1" applyBorder="1" applyAlignment="1" applyProtection="1">
      <alignment horizontal="center" vertical="center" wrapText="1"/>
      <protection locked="0"/>
    </xf>
    <xf numFmtId="43" fontId="6" fillId="0" borderId="31" xfId="0" applyNumberFormat="1" applyFont="1" applyBorder="1" applyAlignment="1" applyProtection="1">
      <alignment horizontal="center" vertical="center"/>
      <protection locked="0"/>
    </xf>
    <xf numFmtId="43" fontId="6" fillId="0" borderId="32" xfId="0" applyNumberFormat="1" applyFont="1" applyBorder="1" applyAlignment="1" applyProtection="1">
      <alignment horizontal="center" vertical="center"/>
      <protection locked="0"/>
    </xf>
    <xf numFmtId="0" fontId="9" fillId="2" borderId="31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15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4" xfId="0" applyFont="1" applyBorder="1" applyAlignment="1" applyProtection="1">
      <alignment horizontal="center" vertical="center" wrapText="1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6" fillId="2" borderId="31" xfId="0" applyFont="1" applyFill="1" applyBorder="1" applyAlignment="1" applyProtection="1">
      <alignment horizontal="center" vertical="center" wrapText="1"/>
      <protection locked="0"/>
    </xf>
    <xf numFmtId="0" fontId="6" fillId="2" borderId="33" xfId="0" applyFont="1" applyFill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9" fillId="0" borderId="29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6" fillId="0" borderId="29" xfId="2" applyFont="1" applyBorder="1" applyAlignment="1" applyProtection="1">
      <alignment horizontal="center" vertical="center" wrapText="1"/>
      <protection locked="0"/>
    </xf>
    <xf numFmtId="0" fontId="9" fillId="0" borderId="26" xfId="2" applyFont="1" applyBorder="1" applyAlignment="1" applyProtection="1">
      <alignment horizontal="center" vertical="center" wrapText="1"/>
      <protection locked="0"/>
    </xf>
    <xf numFmtId="0" fontId="6" fillId="0" borderId="15" xfId="2" applyFont="1" applyBorder="1" applyAlignment="1" applyProtection="1">
      <alignment horizontal="center" vertical="center" wrapText="1"/>
      <protection locked="0"/>
    </xf>
    <xf numFmtId="0" fontId="9" fillId="0" borderId="28" xfId="2" applyFont="1" applyBorder="1" applyAlignment="1" applyProtection="1">
      <alignment horizontal="center" vertical="center" wrapText="1"/>
      <protection locked="0"/>
    </xf>
    <xf numFmtId="0" fontId="14" fillId="0" borderId="22" xfId="0" applyNumberFormat="1" applyFont="1" applyBorder="1" applyAlignment="1" applyProtection="1">
      <alignment horizontal="center" vertical="center" wrapText="1"/>
      <protection locked="0"/>
    </xf>
    <xf numFmtId="178" fontId="7" fillId="0" borderId="38" xfId="0" applyNumberFormat="1" applyFont="1" applyBorder="1" applyAlignment="1" applyProtection="1">
      <alignment horizontal="center" vertical="center"/>
      <protection locked="0"/>
    </xf>
    <xf numFmtId="0" fontId="9" fillId="2" borderId="29" xfId="2" applyFont="1" applyFill="1" applyBorder="1" applyAlignment="1" applyProtection="1">
      <alignment horizontal="center" vertical="center" wrapText="1"/>
      <protection locked="0"/>
    </xf>
    <xf numFmtId="0" fontId="9" fillId="2" borderId="15" xfId="2" applyFont="1" applyFill="1" applyBorder="1" applyAlignment="1" applyProtection="1">
      <alignment horizontal="center" vertical="center" wrapText="1"/>
      <protection locked="0"/>
    </xf>
    <xf numFmtId="0" fontId="7" fillId="0" borderId="37" xfId="0" applyNumberFormat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zoomScale="85" zoomScaleNormal="85" workbookViewId="0">
      <selection activeCell="H32" sqref="H32"/>
    </sheetView>
  </sheetViews>
  <sheetFormatPr defaultColWidth="10.125" defaultRowHeight="14.25"/>
  <cols>
    <col min="1" max="1" width="10.75" style="60" customWidth="1"/>
    <col min="2" max="3" width="10.125" style="54"/>
    <col min="4" max="4" width="11.75" style="55" customWidth="1"/>
    <col min="5" max="5" width="11" style="56" customWidth="1"/>
    <col min="6" max="6" width="11" style="63" customWidth="1"/>
    <col min="7" max="7" width="10.125" style="60"/>
    <col min="8" max="8" width="10.125" style="63"/>
    <col min="9" max="9" width="10.125" style="60"/>
    <col min="10" max="12" width="10.125" style="63"/>
    <col min="13" max="14" width="10.125" style="56"/>
    <col min="15" max="15" width="0" style="59" hidden="1" customWidth="1"/>
    <col min="16" max="258" width="10.125" style="59"/>
    <col min="259" max="259" width="10.75" style="59" customWidth="1"/>
    <col min="260" max="261" width="10.125" style="59"/>
    <col min="262" max="262" width="11.75" style="59" customWidth="1"/>
    <col min="263" max="264" width="11" style="59" customWidth="1"/>
    <col min="265" max="270" width="10.125" style="59"/>
    <col min="271" max="271" width="0" style="59" hidden="1" customWidth="1"/>
    <col min="272" max="514" width="10.125" style="59"/>
    <col min="515" max="515" width="10.75" style="59" customWidth="1"/>
    <col min="516" max="517" width="10.125" style="59"/>
    <col min="518" max="518" width="11.75" style="59" customWidth="1"/>
    <col min="519" max="520" width="11" style="59" customWidth="1"/>
    <col min="521" max="526" width="10.125" style="59"/>
    <col min="527" max="527" width="0" style="59" hidden="1" customWidth="1"/>
    <col min="528" max="770" width="10.125" style="59"/>
    <col min="771" max="771" width="10.75" style="59" customWidth="1"/>
    <col min="772" max="773" width="10.125" style="59"/>
    <col min="774" max="774" width="11.75" style="59" customWidth="1"/>
    <col min="775" max="776" width="11" style="59" customWidth="1"/>
    <col min="777" max="782" width="10.125" style="59"/>
    <col min="783" max="783" width="0" style="59" hidden="1" customWidth="1"/>
    <col min="784" max="1026" width="10.125" style="59"/>
    <col min="1027" max="1027" width="10.75" style="59" customWidth="1"/>
    <col min="1028" max="1029" width="10.125" style="59"/>
    <col min="1030" max="1030" width="11.75" style="59" customWidth="1"/>
    <col min="1031" max="1032" width="11" style="59" customWidth="1"/>
    <col min="1033" max="1038" width="10.125" style="59"/>
    <col min="1039" max="1039" width="0" style="59" hidden="1" customWidth="1"/>
    <col min="1040" max="1282" width="10.125" style="59"/>
    <col min="1283" max="1283" width="10.75" style="59" customWidth="1"/>
    <col min="1284" max="1285" width="10.125" style="59"/>
    <col min="1286" max="1286" width="11.75" style="59" customWidth="1"/>
    <col min="1287" max="1288" width="11" style="59" customWidth="1"/>
    <col min="1289" max="1294" width="10.125" style="59"/>
    <col min="1295" max="1295" width="0" style="59" hidden="1" customWidth="1"/>
    <col min="1296" max="1538" width="10.125" style="59"/>
    <col min="1539" max="1539" width="10.75" style="59" customWidth="1"/>
    <col min="1540" max="1541" width="10.125" style="59"/>
    <col min="1542" max="1542" width="11.75" style="59" customWidth="1"/>
    <col min="1543" max="1544" width="11" style="59" customWidth="1"/>
    <col min="1545" max="1550" width="10.125" style="59"/>
    <col min="1551" max="1551" width="0" style="59" hidden="1" customWidth="1"/>
    <col min="1552" max="1794" width="10.125" style="59"/>
    <col min="1795" max="1795" width="10.75" style="59" customWidth="1"/>
    <col min="1796" max="1797" width="10.125" style="59"/>
    <col min="1798" max="1798" width="11.75" style="59" customWidth="1"/>
    <col min="1799" max="1800" width="11" style="59" customWidth="1"/>
    <col min="1801" max="1806" width="10.125" style="59"/>
    <col min="1807" max="1807" width="0" style="59" hidden="1" customWidth="1"/>
    <col min="1808" max="2050" width="10.125" style="59"/>
    <col min="2051" max="2051" width="10.75" style="59" customWidth="1"/>
    <col min="2052" max="2053" width="10.125" style="59"/>
    <col min="2054" max="2054" width="11.75" style="59" customWidth="1"/>
    <col min="2055" max="2056" width="11" style="59" customWidth="1"/>
    <col min="2057" max="2062" width="10.125" style="59"/>
    <col min="2063" max="2063" width="0" style="59" hidden="1" customWidth="1"/>
    <col min="2064" max="2306" width="10.125" style="59"/>
    <col min="2307" max="2307" width="10.75" style="59" customWidth="1"/>
    <col min="2308" max="2309" width="10.125" style="59"/>
    <col min="2310" max="2310" width="11.75" style="59" customWidth="1"/>
    <col min="2311" max="2312" width="11" style="59" customWidth="1"/>
    <col min="2313" max="2318" width="10.125" style="59"/>
    <col min="2319" max="2319" width="0" style="59" hidden="1" customWidth="1"/>
    <col min="2320" max="2562" width="10.125" style="59"/>
    <col min="2563" max="2563" width="10.75" style="59" customWidth="1"/>
    <col min="2564" max="2565" width="10.125" style="59"/>
    <col min="2566" max="2566" width="11.75" style="59" customWidth="1"/>
    <col min="2567" max="2568" width="11" style="59" customWidth="1"/>
    <col min="2569" max="2574" width="10.125" style="59"/>
    <col min="2575" max="2575" width="0" style="59" hidden="1" customWidth="1"/>
    <col min="2576" max="2818" width="10.125" style="59"/>
    <col min="2819" max="2819" width="10.75" style="59" customWidth="1"/>
    <col min="2820" max="2821" width="10.125" style="59"/>
    <col min="2822" max="2822" width="11.75" style="59" customWidth="1"/>
    <col min="2823" max="2824" width="11" style="59" customWidth="1"/>
    <col min="2825" max="2830" width="10.125" style="59"/>
    <col min="2831" max="2831" width="0" style="59" hidden="1" customWidth="1"/>
    <col min="2832" max="3074" width="10.125" style="59"/>
    <col min="3075" max="3075" width="10.75" style="59" customWidth="1"/>
    <col min="3076" max="3077" width="10.125" style="59"/>
    <col min="3078" max="3078" width="11.75" style="59" customWidth="1"/>
    <col min="3079" max="3080" width="11" style="59" customWidth="1"/>
    <col min="3081" max="3086" width="10.125" style="59"/>
    <col min="3087" max="3087" width="0" style="59" hidden="1" customWidth="1"/>
    <col min="3088" max="3330" width="10.125" style="59"/>
    <col min="3331" max="3331" width="10.75" style="59" customWidth="1"/>
    <col min="3332" max="3333" width="10.125" style="59"/>
    <col min="3334" max="3334" width="11.75" style="59" customWidth="1"/>
    <col min="3335" max="3336" width="11" style="59" customWidth="1"/>
    <col min="3337" max="3342" width="10.125" style="59"/>
    <col min="3343" max="3343" width="0" style="59" hidden="1" customWidth="1"/>
    <col min="3344" max="3586" width="10.125" style="59"/>
    <col min="3587" max="3587" width="10.75" style="59" customWidth="1"/>
    <col min="3588" max="3589" width="10.125" style="59"/>
    <col min="3590" max="3590" width="11.75" style="59" customWidth="1"/>
    <col min="3591" max="3592" width="11" style="59" customWidth="1"/>
    <col min="3593" max="3598" width="10.125" style="59"/>
    <col min="3599" max="3599" width="0" style="59" hidden="1" customWidth="1"/>
    <col min="3600" max="3842" width="10.125" style="59"/>
    <col min="3843" max="3843" width="10.75" style="59" customWidth="1"/>
    <col min="3844" max="3845" width="10.125" style="59"/>
    <col min="3846" max="3846" width="11.75" style="59" customWidth="1"/>
    <col min="3847" max="3848" width="11" style="59" customWidth="1"/>
    <col min="3849" max="3854" width="10.125" style="59"/>
    <col min="3855" max="3855" width="0" style="59" hidden="1" customWidth="1"/>
    <col min="3856" max="4098" width="10.125" style="59"/>
    <col min="4099" max="4099" width="10.75" style="59" customWidth="1"/>
    <col min="4100" max="4101" width="10.125" style="59"/>
    <col min="4102" max="4102" width="11.75" style="59" customWidth="1"/>
    <col min="4103" max="4104" width="11" style="59" customWidth="1"/>
    <col min="4105" max="4110" width="10.125" style="59"/>
    <col min="4111" max="4111" width="0" style="59" hidden="1" customWidth="1"/>
    <col min="4112" max="4354" width="10.125" style="59"/>
    <col min="4355" max="4355" width="10.75" style="59" customWidth="1"/>
    <col min="4356" max="4357" width="10.125" style="59"/>
    <col min="4358" max="4358" width="11.75" style="59" customWidth="1"/>
    <col min="4359" max="4360" width="11" style="59" customWidth="1"/>
    <col min="4361" max="4366" width="10.125" style="59"/>
    <col min="4367" max="4367" width="0" style="59" hidden="1" customWidth="1"/>
    <col min="4368" max="4610" width="10.125" style="59"/>
    <col min="4611" max="4611" width="10.75" style="59" customWidth="1"/>
    <col min="4612" max="4613" width="10.125" style="59"/>
    <col min="4614" max="4614" width="11.75" style="59" customWidth="1"/>
    <col min="4615" max="4616" width="11" style="59" customWidth="1"/>
    <col min="4617" max="4622" width="10.125" style="59"/>
    <col min="4623" max="4623" width="0" style="59" hidden="1" customWidth="1"/>
    <col min="4624" max="4866" width="10.125" style="59"/>
    <col min="4867" max="4867" width="10.75" style="59" customWidth="1"/>
    <col min="4868" max="4869" width="10.125" style="59"/>
    <col min="4870" max="4870" width="11.75" style="59" customWidth="1"/>
    <col min="4871" max="4872" width="11" style="59" customWidth="1"/>
    <col min="4873" max="4878" width="10.125" style="59"/>
    <col min="4879" max="4879" width="0" style="59" hidden="1" customWidth="1"/>
    <col min="4880" max="5122" width="10.125" style="59"/>
    <col min="5123" max="5123" width="10.75" style="59" customWidth="1"/>
    <col min="5124" max="5125" width="10.125" style="59"/>
    <col min="5126" max="5126" width="11.75" style="59" customWidth="1"/>
    <col min="5127" max="5128" width="11" style="59" customWidth="1"/>
    <col min="5129" max="5134" width="10.125" style="59"/>
    <col min="5135" max="5135" width="0" style="59" hidden="1" customWidth="1"/>
    <col min="5136" max="5378" width="10.125" style="59"/>
    <col min="5379" max="5379" width="10.75" style="59" customWidth="1"/>
    <col min="5380" max="5381" width="10.125" style="59"/>
    <col min="5382" max="5382" width="11.75" style="59" customWidth="1"/>
    <col min="5383" max="5384" width="11" style="59" customWidth="1"/>
    <col min="5385" max="5390" width="10.125" style="59"/>
    <col min="5391" max="5391" width="0" style="59" hidden="1" customWidth="1"/>
    <col min="5392" max="5634" width="10.125" style="59"/>
    <col min="5635" max="5635" width="10.75" style="59" customWidth="1"/>
    <col min="5636" max="5637" width="10.125" style="59"/>
    <col min="5638" max="5638" width="11.75" style="59" customWidth="1"/>
    <col min="5639" max="5640" width="11" style="59" customWidth="1"/>
    <col min="5641" max="5646" width="10.125" style="59"/>
    <col min="5647" max="5647" width="0" style="59" hidden="1" customWidth="1"/>
    <col min="5648" max="5890" width="10.125" style="59"/>
    <col min="5891" max="5891" width="10.75" style="59" customWidth="1"/>
    <col min="5892" max="5893" width="10.125" style="59"/>
    <col min="5894" max="5894" width="11.75" style="59" customWidth="1"/>
    <col min="5895" max="5896" width="11" style="59" customWidth="1"/>
    <col min="5897" max="5902" width="10.125" style="59"/>
    <col min="5903" max="5903" width="0" style="59" hidden="1" customWidth="1"/>
    <col min="5904" max="6146" width="10.125" style="59"/>
    <col min="6147" max="6147" width="10.75" style="59" customWidth="1"/>
    <col min="6148" max="6149" width="10.125" style="59"/>
    <col min="6150" max="6150" width="11.75" style="59" customWidth="1"/>
    <col min="6151" max="6152" width="11" style="59" customWidth="1"/>
    <col min="6153" max="6158" width="10.125" style="59"/>
    <col min="6159" max="6159" width="0" style="59" hidden="1" customWidth="1"/>
    <col min="6160" max="6402" width="10.125" style="59"/>
    <col min="6403" max="6403" width="10.75" style="59" customWidth="1"/>
    <col min="6404" max="6405" width="10.125" style="59"/>
    <col min="6406" max="6406" width="11.75" style="59" customWidth="1"/>
    <col min="6407" max="6408" width="11" style="59" customWidth="1"/>
    <col min="6409" max="6414" width="10.125" style="59"/>
    <col min="6415" max="6415" width="0" style="59" hidden="1" customWidth="1"/>
    <col min="6416" max="6658" width="10.125" style="59"/>
    <col min="6659" max="6659" width="10.75" style="59" customWidth="1"/>
    <col min="6660" max="6661" width="10.125" style="59"/>
    <col min="6662" max="6662" width="11.75" style="59" customWidth="1"/>
    <col min="6663" max="6664" width="11" style="59" customWidth="1"/>
    <col min="6665" max="6670" width="10.125" style="59"/>
    <col min="6671" max="6671" width="0" style="59" hidden="1" customWidth="1"/>
    <col min="6672" max="6914" width="10.125" style="59"/>
    <col min="6915" max="6915" width="10.75" style="59" customWidth="1"/>
    <col min="6916" max="6917" width="10.125" style="59"/>
    <col min="6918" max="6918" width="11.75" style="59" customWidth="1"/>
    <col min="6919" max="6920" width="11" style="59" customWidth="1"/>
    <col min="6921" max="6926" width="10.125" style="59"/>
    <col min="6927" max="6927" width="0" style="59" hidden="1" customWidth="1"/>
    <col min="6928" max="7170" width="10.125" style="59"/>
    <col min="7171" max="7171" width="10.75" style="59" customWidth="1"/>
    <col min="7172" max="7173" width="10.125" style="59"/>
    <col min="7174" max="7174" width="11.75" style="59" customWidth="1"/>
    <col min="7175" max="7176" width="11" style="59" customWidth="1"/>
    <col min="7177" max="7182" width="10.125" style="59"/>
    <col min="7183" max="7183" width="0" style="59" hidden="1" customWidth="1"/>
    <col min="7184" max="7426" width="10.125" style="59"/>
    <col min="7427" max="7427" width="10.75" style="59" customWidth="1"/>
    <col min="7428" max="7429" width="10.125" style="59"/>
    <col min="7430" max="7430" width="11.75" style="59" customWidth="1"/>
    <col min="7431" max="7432" width="11" style="59" customWidth="1"/>
    <col min="7433" max="7438" width="10.125" style="59"/>
    <col min="7439" max="7439" width="0" style="59" hidden="1" customWidth="1"/>
    <col min="7440" max="7682" width="10.125" style="59"/>
    <col min="7683" max="7683" width="10.75" style="59" customWidth="1"/>
    <col min="7684" max="7685" width="10.125" style="59"/>
    <col min="7686" max="7686" width="11.75" style="59" customWidth="1"/>
    <col min="7687" max="7688" width="11" style="59" customWidth="1"/>
    <col min="7689" max="7694" width="10.125" style="59"/>
    <col min="7695" max="7695" width="0" style="59" hidden="1" customWidth="1"/>
    <col min="7696" max="7938" width="10.125" style="59"/>
    <col min="7939" max="7939" width="10.75" style="59" customWidth="1"/>
    <col min="7940" max="7941" width="10.125" style="59"/>
    <col min="7942" max="7942" width="11.75" style="59" customWidth="1"/>
    <col min="7943" max="7944" width="11" style="59" customWidth="1"/>
    <col min="7945" max="7950" width="10.125" style="59"/>
    <col min="7951" max="7951" width="0" style="59" hidden="1" customWidth="1"/>
    <col min="7952" max="8194" width="10.125" style="59"/>
    <col min="8195" max="8195" width="10.75" style="59" customWidth="1"/>
    <col min="8196" max="8197" width="10.125" style="59"/>
    <col min="8198" max="8198" width="11.75" style="59" customWidth="1"/>
    <col min="8199" max="8200" width="11" style="59" customWidth="1"/>
    <col min="8201" max="8206" width="10.125" style="59"/>
    <col min="8207" max="8207" width="0" style="59" hidden="1" customWidth="1"/>
    <col min="8208" max="8450" width="10.125" style="59"/>
    <col min="8451" max="8451" width="10.75" style="59" customWidth="1"/>
    <col min="8452" max="8453" width="10.125" style="59"/>
    <col min="8454" max="8454" width="11.75" style="59" customWidth="1"/>
    <col min="8455" max="8456" width="11" style="59" customWidth="1"/>
    <col min="8457" max="8462" width="10.125" style="59"/>
    <col min="8463" max="8463" width="0" style="59" hidden="1" customWidth="1"/>
    <col min="8464" max="8706" width="10.125" style="59"/>
    <col min="8707" max="8707" width="10.75" style="59" customWidth="1"/>
    <col min="8708" max="8709" width="10.125" style="59"/>
    <col min="8710" max="8710" width="11.75" style="59" customWidth="1"/>
    <col min="8711" max="8712" width="11" style="59" customWidth="1"/>
    <col min="8713" max="8718" width="10.125" style="59"/>
    <col min="8719" max="8719" width="0" style="59" hidden="1" customWidth="1"/>
    <col min="8720" max="8962" width="10.125" style="59"/>
    <col min="8963" max="8963" width="10.75" style="59" customWidth="1"/>
    <col min="8964" max="8965" width="10.125" style="59"/>
    <col min="8966" max="8966" width="11.75" style="59" customWidth="1"/>
    <col min="8967" max="8968" width="11" style="59" customWidth="1"/>
    <col min="8969" max="8974" width="10.125" style="59"/>
    <col min="8975" max="8975" width="0" style="59" hidden="1" customWidth="1"/>
    <col min="8976" max="9218" width="10.125" style="59"/>
    <col min="9219" max="9219" width="10.75" style="59" customWidth="1"/>
    <col min="9220" max="9221" width="10.125" style="59"/>
    <col min="9222" max="9222" width="11.75" style="59" customWidth="1"/>
    <col min="9223" max="9224" width="11" style="59" customWidth="1"/>
    <col min="9225" max="9230" width="10.125" style="59"/>
    <col min="9231" max="9231" width="0" style="59" hidden="1" customWidth="1"/>
    <col min="9232" max="9474" width="10.125" style="59"/>
    <col min="9475" max="9475" width="10.75" style="59" customWidth="1"/>
    <col min="9476" max="9477" width="10.125" style="59"/>
    <col min="9478" max="9478" width="11.75" style="59" customWidth="1"/>
    <col min="9479" max="9480" width="11" style="59" customWidth="1"/>
    <col min="9481" max="9486" width="10.125" style="59"/>
    <col min="9487" max="9487" width="0" style="59" hidden="1" customWidth="1"/>
    <col min="9488" max="9730" width="10.125" style="59"/>
    <col min="9731" max="9731" width="10.75" style="59" customWidth="1"/>
    <col min="9732" max="9733" width="10.125" style="59"/>
    <col min="9734" max="9734" width="11.75" style="59" customWidth="1"/>
    <col min="9735" max="9736" width="11" style="59" customWidth="1"/>
    <col min="9737" max="9742" width="10.125" style="59"/>
    <col min="9743" max="9743" width="0" style="59" hidden="1" customWidth="1"/>
    <col min="9744" max="9986" width="10.125" style="59"/>
    <col min="9987" max="9987" width="10.75" style="59" customWidth="1"/>
    <col min="9988" max="9989" width="10.125" style="59"/>
    <col min="9990" max="9990" width="11.75" style="59" customWidth="1"/>
    <col min="9991" max="9992" width="11" style="59" customWidth="1"/>
    <col min="9993" max="9998" width="10.125" style="59"/>
    <col min="9999" max="9999" width="0" style="59" hidden="1" customWidth="1"/>
    <col min="10000" max="10242" width="10.125" style="59"/>
    <col min="10243" max="10243" width="10.75" style="59" customWidth="1"/>
    <col min="10244" max="10245" width="10.125" style="59"/>
    <col min="10246" max="10246" width="11.75" style="59" customWidth="1"/>
    <col min="10247" max="10248" width="11" style="59" customWidth="1"/>
    <col min="10249" max="10254" width="10.125" style="59"/>
    <col min="10255" max="10255" width="0" style="59" hidden="1" customWidth="1"/>
    <col min="10256" max="10498" width="10.125" style="59"/>
    <col min="10499" max="10499" width="10.75" style="59" customWidth="1"/>
    <col min="10500" max="10501" width="10.125" style="59"/>
    <col min="10502" max="10502" width="11.75" style="59" customWidth="1"/>
    <col min="10503" max="10504" width="11" style="59" customWidth="1"/>
    <col min="10505" max="10510" width="10.125" style="59"/>
    <col min="10511" max="10511" width="0" style="59" hidden="1" customWidth="1"/>
    <col min="10512" max="10754" width="10.125" style="59"/>
    <col min="10755" max="10755" width="10.75" style="59" customWidth="1"/>
    <col min="10756" max="10757" width="10.125" style="59"/>
    <col min="10758" max="10758" width="11.75" style="59" customWidth="1"/>
    <col min="10759" max="10760" width="11" style="59" customWidth="1"/>
    <col min="10761" max="10766" width="10.125" style="59"/>
    <col min="10767" max="10767" width="0" style="59" hidden="1" customWidth="1"/>
    <col min="10768" max="11010" width="10.125" style="59"/>
    <col min="11011" max="11011" width="10.75" style="59" customWidth="1"/>
    <col min="11012" max="11013" width="10.125" style="59"/>
    <col min="11014" max="11014" width="11.75" style="59" customWidth="1"/>
    <col min="11015" max="11016" width="11" style="59" customWidth="1"/>
    <col min="11017" max="11022" width="10.125" style="59"/>
    <col min="11023" max="11023" width="0" style="59" hidden="1" customWidth="1"/>
    <col min="11024" max="11266" width="10.125" style="59"/>
    <col min="11267" max="11267" width="10.75" style="59" customWidth="1"/>
    <col min="11268" max="11269" width="10.125" style="59"/>
    <col min="11270" max="11270" width="11.75" style="59" customWidth="1"/>
    <col min="11271" max="11272" width="11" style="59" customWidth="1"/>
    <col min="11273" max="11278" width="10.125" style="59"/>
    <col min="11279" max="11279" width="0" style="59" hidden="1" customWidth="1"/>
    <col min="11280" max="11522" width="10.125" style="59"/>
    <col min="11523" max="11523" width="10.75" style="59" customWidth="1"/>
    <col min="11524" max="11525" width="10.125" style="59"/>
    <col min="11526" max="11526" width="11.75" style="59" customWidth="1"/>
    <col min="11527" max="11528" width="11" style="59" customWidth="1"/>
    <col min="11529" max="11534" width="10.125" style="59"/>
    <col min="11535" max="11535" width="0" style="59" hidden="1" customWidth="1"/>
    <col min="11536" max="11778" width="10.125" style="59"/>
    <col min="11779" max="11779" width="10.75" style="59" customWidth="1"/>
    <col min="11780" max="11781" width="10.125" style="59"/>
    <col min="11782" max="11782" width="11.75" style="59" customWidth="1"/>
    <col min="11783" max="11784" width="11" style="59" customWidth="1"/>
    <col min="11785" max="11790" width="10.125" style="59"/>
    <col min="11791" max="11791" width="0" style="59" hidden="1" customWidth="1"/>
    <col min="11792" max="12034" width="10.125" style="59"/>
    <col min="12035" max="12035" width="10.75" style="59" customWidth="1"/>
    <col min="12036" max="12037" width="10.125" style="59"/>
    <col min="12038" max="12038" width="11.75" style="59" customWidth="1"/>
    <col min="12039" max="12040" width="11" style="59" customWidth="1"/>
    <col min="12041" max="12046" width="10.125" style="59"/>
    <col min="12047" max="12047" width="0" style="59" hidden="1" customWidth="1"/>
    <col min="12048" max="12290" width="10.125" style="59"/>
    <col min="12291" max="12291" width="10.75" style="59" customWidth="1"/>
    <col min="12292" max="12293" width="10.125" style="59"/>
    <col min="12294" max="12294" width="11.75" style="59" customWidth="1"/>
    <col min="12295" max="12296" width="11" style="59" customWidth="1"/>
    <col min="12297" max="12302" width="10.125" style="59"/>
    <col min="12303" max="12303" width="0" style="59" hidden="1" customWidth="1"/>
    <col min="12304" max="12546" width="10.125" style="59"/>
    <col min="12547" max="12547" width="10.75" style="59" customWidth="1"/>
    <col min="12548" max="12549" width="10.125" style="59"/>
    <col min="12550" max="12550" width="11.75" style="59" customWidth="1"/>
    <col min="12551" max="12552" width="11" style="59" customWidth="1"/>
    <col min="12553" max="12558" width="10.125" style="59"/>
    <col min="12559" max="12559" width="0" style="59" hidden="1" customWidth="1"/>
    <col min="12560" max="12802" width="10.125" style="59"/>
    <col min="12803" max="12803" width="10.75" style="59" customWidth="1"/>
    <col min="12804" max="12805" width="10.125" style="59"/>
    <col min="12806" max="12806" width="11.75" style="59" customWidth="1"/>
    <col min="12807" max="12808" width="11" style="59" customWidth="1"/>
    <col min="12809" max="12814" width="10.125" style="59"/>
    <col min="12815" max="12815" width="0" style="59" hidden="1" customWidth="1"/>
    <col min="12816" max="13058" width="10.125" style="59"/>
    <col min="13059" max="13059" width="10.75" style="59" customWidth="1"/>
    <col min="13060" max="13061" width="10.125" style="59"/>
    <col min="13062" max="13062" width="11.75" style="59" customWidth="1"/>
    <col min="13063" max="13064" width="11" style="59" customWidth="1"/>
    <col min="13065" max="13070" width="10.125" style="59"/>
    <col min="13071" max="13071" width="0" style="59" hidden="1" customWidth="1"/>
    <col min="13072" max="13314" width="10.125" style="59"/>
    <col min="13315" max="13315" width="10.75" style="59" customWidth="1"/>
    <col min="13316" max="13317" width="10.125" style="59"/>
    <col min="13318" max="13318" width="11.75" style="59" customWidth="1"/>
    <col min="13319" max="13320" width="11" style="59" customWidth="1"/>
    <col min="13321" max="13326" width="10.125" style="59"/>
    <col min="13327" max="13327" width="0" style="59" hidden="1" customWidth="1"/>
    <col min="13328" max="13570" width="10.125" style="59"/>
    <col min="13571" max="13571" width="10.75" style="59" customWidth="1"/>
    <col min="13572" max="13573" width="10.125" style="59"/>
    <col min="13574" max="13574" width="11.75" style="59" customWidth="1"/>
    <col min="13575" max="13576" width="11" style="59" customWidth="1"/>
    <col min="13577" max="13582" width="10.125" style="59"/>
    <col min="13583" max="13583" width="0" style="59" hidden="1" customWidth="1"/>
    <col min="13584" max="13826" width="10.125" style="59"/>
    <col min="13827" max="13827" width="10.75" style="59" customWidth="1"/>
    <col min="13828" max="13829" width="10.125" style="59"/>
    <col min="13830" max="13830" width="11.75" style="59" customWidth="1"/>
    <col min="13831" max="13832" width="11" style="59" customWidth="1"/>
    <col min="13833" max="13838" width="10.125" style="59"/>
    <col min="13839" max="13839" width="0" style="59" hidden="1" customWidth="1"/>
    <col min="13840" max="14082" width="10.125" style="59"/>
    <col min="14083" max="14083" width="10.75" style="59" customWidth="1"/>
    <col min="14084" max="14085" width="10.125" style="59"/>
    <col min="14086" max="14086" width="11.75" style="59" customWidth="1"/>
    <col min="14087" max="14088" width="11" style="59" customWidth="1"/>
    <col min="14089" max="14094" width="10.125" style="59"/>
    <col min="14095" max="14095" width="0" style="59" hidden="1" customWidth="1"/>
    <col min="14096" max="14338" width="10.125" style="59"/>
    <col min="14339" max="14339" width="10.75" style="59" customWidth="1"/>
    <col min="14340" max="14341" width="10.125" style="59"/>
    <col min="14342" max="14342" width="11.75" style="59" customWidth="1"/>
    <col min="14343" max="14344" width="11" style="59" customWidth="1"/>
    <col min="14345" max="14350" width="10.125" style="59"/>
    <col min="14351" max="14351" width="0" style="59" hidden="1" customWidth="1"/>
    <col min="14352" max="14594" width="10.125" style="59"/>
    <col min="14595" max="14595" width="10.75" style="59" customWidth="1"/>
    <col min="14596" max="14597" width="10.125" style="59"/>
    <col min="14598" max="14598" width="11.75" style="59" customWidth="1"/>
    <col min="14599" max="14600" width="11" style="59" customWidth="1"/>
    <col min="14601" max="14606" width="10.125" style="59"/>
    <col min="14607" max="14607" width="0" style="59" hidden="1" customWidth="1"/>
    <col min="14608" max="14850" width="10.125" style="59"/>
    <col min="14851" max="14851" width="10.75" style="59" customWidth="1"/>
    <col min="14852" max="14853" width="10.125" style="59"/>
    <col min="14854" max="14854" width="11.75" style="59" customWidth="1"/>
    <col min="14855" max="14856" width="11" style="59" customWidth="1"/>
    <col min="14857" max="14862" width="10.125" style="59"/>
    <col min="14863" max="14863" width="0" style="59" hidden="1" customWidth="1"/>
    <col min="14864" max="15106" width="10.125" style="59"/>
    <col min="15107" max="15107" width="10.75" style="59" customWidth="1"/>
    <col min="15108" max="15109" width="10.125" style="59"/>
    <col min="15110" max="15110" width="11.75" style="59" customWidth="1"/>
    <col min="15111" max="15112" width="11" style="59" customWidth="1"/>
    <col min="15113" max="15118" width="10.125" style="59"/>
    <col min="15119" max="15119" width="0" style="59" hidden="1" customWidth="1"/>
    <col min="15120" max="15362" width="10.125" style="59"/>
    <col min="15363" max="15363" width="10.75" style="59" customWidth="1"/>
    <col min="15364" max="15365" width="10.125" style="59"/>
    <col min="15366" max="15366" width="11.75" style="59" customWidth="1"/>
    <col min="15367" max="15368" width="11" style="59" customWidth="1"/>
    <col min="15369" max="15374" width="10.125" style="59"/>
    <col min="15375" max="15375" width="0" style="59" hidden="1" customWidth="1"/>
    <col min="15376" max="15618" width="10.125" style="59"/>
    <col min="15619" max="15619" width="10.75" style="59" customWidth="1"/>
    <col min="15620" max="15621" width="10.125" style="59"/>
    <col min="15622" max="15622" width="11.75" style="59" customWidth="1"/>
    <col min="15623" max="15624" width="11" style="59" customWidth="1"/>
    <col min="15625" max="15630" width="10.125" style="59"/>
    <col min="15631" max="15631" width="0" style="59" hidden="1" customWidth="1"/>
    <col min="15632" max="15874" width="10.125" style="59"/>
    <col min="15875" max="15875" width="10.75" style="59" customWidth="1"/>
    <col min="15876" max="15877" width="10.125" style="59"/>
    <col min="15878" max="15878" width="11.75" style="59" customWidth="1"/>
    <col min="15879" max="15880" width="11" style="59" customWidth="1"/>
    <col min="15881" max="15886" width="10.125" style="59"/>
    <col min="15887" max="15887" width="0" style="59" hidden="1" customWidth="1"/>
    <col min="15888" max="16130" width="10.125" style="59"/>
    <col min="16131" max="16131" width="10.75" style="59" customWidth="1"/>
    <col min="16132" max="16133" width="10.125" style="59"/>
    <col min="16134" max="16134" width="11.75" style="59" customWidth="1"/>
    <col min="16135" max="16136" width="11" style="59" customWidth="1"/>
    <col min="16137" max="16142" width="10.125" style="59"/>
    <col min="16143" max="16143" width="0" style="59" hidden="1" customWidth="1"/>
    <col min="16144" max="16384" width="10.125" style="59"/>
  </cols>
  <sheetData>
    <row r="1" spans="1:15" s="52" customFormat="1" ht="67.5">
      <c r="A1" s="46" t="s">
        <v>0</v>
      </c>
      <c r="B1" s="47" t="s">
        <v>1</v>
      </c>
      <c r="C1" s="47" t="s">
        <v>2</v>
      </c>
      <c r="D1" s="48" t="s">
        <v>3</v>
      </c>
      <c r="E1" s="49" t="s">
        <v>4</v>
      </c>
      <c r="F1" s="61" t="s">
        <v>5</v>
      </c>
      <c r="G1" s="49" t="s">
        <v>6</v>
      </c>
      <c r="H1" s="61" t="s">
        <v>7</v>
      </c>
      <c r="I1" s="50" t="s">
        <v>8</v>
      </c>
      <c r="J1" s="61" t="s">
        <v>9</v>
      </c>
      <c r="K1" s="50" t="s">
        <v>10</v>
      </c>
      <c r="L1" s="61" t="s">
        <v>11</v>
      </c>
      <c r="M1" s="49" t="s">
        <v>12</v>
      </c>
      <c r="N1" s="49" t="s">
        <v>13</v>
      </c>
      <c r="O1" s="51" t="s">
        <v>14</v>
      </c>
    </row>
    <row r="2" spans="1:15">
      <c r="A2" s="53" t="s">
        <v>15</v>
      </c>
      <c r="B2" s="54">
        <v>1</v>
      </c>
      <c r="C2" s="54">
        <v>2</v>
      </c>
      <c r="D2" s="55">
        <v>2021</v>
      </c>
      <c r="E2" s="56">
        <f>SUBMETERING!P5</f>
        <v>44491.950000000543</v>
      </c>
      <c r="F2" s="62">
        <v>0.67516900000000002</v>
      </c>
      <c r="G2" s="57">
        <f>SUBMETERING!K5</f>
        <v>3161</v>
      </c>
      <c r="H2" s="62">
        <v>3.95</v>
      </c>
      <c r="I2" s="57">
        <f>SUBMETERING!V5</f>
        <v>260.64</v>
      </c>
      <c r="J2" s="62">
        <v>4.8600000000000003</v>
      </c>
      <c r="K2" s="64">
        <f>SUBMETERING!R5*1000</f>
        <v>9000</v>
      </c>
      <c r="L2" s="62">
        <f>SUBMETERING!S5/TOTAL!K2</f>
        <v>0.41699999999999998</v>
      </c>
      <c r="M2" s="56">
        <f>(SUBMETERING!D5/100)*344</f>
        <v>152.0136</v>
      </c>
      <c r="N2" s="56">
        <f>'[1]Consommation mensuel énergie'!E10</f>
        <v>0</v>
      </c>
      <c r="O2" s="58" t="e">
        <f>E2*F2+G2*H2+#REF!*#REF!+I2*J2</f>
        <v>#REF!</v>
      </c>
    </row>
    <row r="3" spans="1:15">
      <c r="A3" s="53" t="s">
        <v>15</v>
      </c>
      <c r="B3" s="54">
        <f>B2+1</f>
        <v>2</v>
      </c>
      <c r="C3" s="54">
        <v>2</v>
      </c>
      <c r="D3" s="55">
        <v>2021</v>
      </c>
      <c r="E3" s="56">
        <f>SUBMETERING!P6</f>
        <v>43109.540000000088</v>
      </c>
      <c r="F3" s="62">
        <f>F2</f>
        <v>0.67516900000000002</v>
      </c>
      <c r="G3" s="57">
        <f>SUBMETERING!K6</f>
        <v>3027</v>
      </c>
      <c r="H3" s="62">
        <f>H2</f>
        <v>3.95</v>
      </c>
      <c r="I3" s="57">
        <f>SUBMETERING!V6</f>
        <v>290.64</v>
      </c>
      <c r="J3" s="62">
        <f>J2</f>
        <v>4.8600000000000003</v>
      </c>
      <c r="K3" s="64">
        <f>SUBMETERING!R6*1000</f>
        <v>10000</v>
      </c>
      <c r="L3" s="62">
        <f>SUBMETERING!S6/TOTAL!K3</f>
        <v>0.41699999999999998</v>
      </c>
      <c r="M3" s="56">
        <f>(SUBMETERING!D6/100)*344</f>
        <v>124.012</v>
      </c>
      <c r="N3" s="56">
        <f>'[1]Consommation mensuel énergie'!E11</f>
        <v>0</v>
      </c>
      <c r="O3" s="58" t="e">
        <f>E3*F3+G3*H3+#REF!*#REF!+I3*J3</f>
        <v>#REF!</v>
      </c>
    </row>
    <row r="4" spans="1:15">
      <c r="A4" s="53" t="s">
        <v>15</v>
      </c>
      <c r="B4" s="54">
        <f t="shared" ref="B4:B29" si="0">B3+1</f>
        <v>3</v>
      </c>
      <c r="C4" s="54">
        <v>2</v>
      </c>
      <c r="D4" s="55">
        <v>2021</v>
      </c>
      <c r="E4" s="56">
        <f>SUBMETERING!P7</f>
        <v>45027.129999998906</v>
      </c>
      <c r="F4" s="62">
        <f t="shared" ref="F4:F29" si="1">F3</f>
        <v>0.67516900000000002</v>
      </c>
      <c r="G4" s="57">
        <f>SUBMETERING!K7</f>
        <v>2795</v>
      </c>
      <c r="H4" s="62">
        <f t="shared" ref="H4:H29" si="2">H3</f>
        <v>3.95</v>
      </c>
      <c r="I4" s="57">
        <f>SUBMETERING!V7</f>
        <v>280.64</v>
      </c>
      <c r="J4" s="62">
        <f t="shared" ref="J4:J29" si="3">J3</f>
        <v>4.8600000000000003</v>
      </c>
      <c r="K4" s="64">
        <f>SUBMETERING!R7*1000</f>
        <v>11000</v>
      </c>
      <c r="L4" s="62">
        <f>SUBMETERING!S7/TOTAL!K4</f>
        <v>0.41699999999999998</v>
      </c>
      <c r="M4" s="56">
        <f>(SUBMETERING!D7/100)*344</f>
        <v>138.0128</v>
      </c>
      <c r="N4" s="56">
        <f>'[1]Consommation mensuel énergie'!E12</f>
        <v>0</v>
      </c>
      <c r="O4" s="58" t="e">
        <f>E4*F4+G4*H4+#REF!*#REF!+I4*J4</f>
        <v>#REF!</v>
      </c>
    </row>
    <row r="5" spans="1:15">
      <c r="A5" s="53" t="s">
        <v>15</v>
      </c>
      <c r="B5" s="54">
        <f t="shared" si="0"/>
        <v>4</v>
      </c>
      <c r="C5" s="54">
        <v>2</v>
      </c>
      <c r="D5" s="55">
        <v>2021</v>
      </c>
      <c r="E5" s="56">
        <f>SUBMETERING!P8</f>
        <v>43691.95000000127</v>
      </c>
      <c r="F5" s="62">
        <f t="shared" si="1"/>
        <v>0.67516900000000002</v>
      </c>
      <c r="G5" s="57">
        <f>SUBMETERING!K8</f>
        <v>2852</v>
      </c>
      <c r="H5" s="62">
        <f t="shared" si="2"/>
        <v>3.95</v>
      </c>
      <c r="I5" s="57">
        <f>SUBMETERING!V8</f>
        <v>321.64</v>
      </c>
      <c r="J5" s="62">
        <f t="shared" si="3"/>
        <v>4.8600000000000003</v>
      </c>
      <c r="K5" s="64">
        <f>SUBMETERING!R8*1000</f>
        <v>9000</v>
      </c>
      <c r="L5" s="62">
        <f>SUBMETERING!S8/TOTAL!K5</f>
        <v>0.41699999999999998</v>
      </c>
      <c r="M5" s="56">
        <f>(SUBMETERING!D8/100)*344</f>
        <v>167.012</v>
      </c>
      <c r="N5" s="56">
        <f>'[1]Consommation mensuel énergie'!E13</f>
        <v>0</v>
      </c>
      <c r="O5" s="58" t="e">
        <f>E5*F5+G5*H5+#REF!*#REF!+I5*J5</f>
        <v>#REF!</v>
      </c>
    </row>
    <row r="6" spans="1:15">
      <c r="A6" s="53" t="s">
        <v>15</v>
      </c>
      <c r="B6" s="54">
        <f t="shared" si="0"/>
        <v>5</v>
      </c>
      <c r="C6" s="54">
        <v>2</v>
      </c>
      <c r="D6" s="55">
        <v>2021</v>
      </c>
      <c r="E6" s="56">
        <f>SUBMETERING!P9</f>
        <v>42874.359999999186</v>
      </c>
      <c r="F6" s="62">
        <f t="shared" si="1"/>
        <v>0.67516900000000002</v>
      </c>
      <c r="G6" s="57">
        <f>SUBMETERING!K9</f>
        <v>3146</v>
      </c>
      <c r="H6" s="62">
        <f t="shared" si="2"/>
        <v>3.95</v>
      </c>
      <c r="I6" s="57">
        <f>SUBMETERING!V9</f>
        <v>313.64</v>
      </c>
      <c r="J6" s="62">
        <f t="shared" si="3"/>
        <v>4.8600000000000003</v>
      </c>
      <c r="K6" s="64">
        <f>SUBMETERING!R9*1000</f>
        <v>8000</v>
      </c>
      <c r="L6" s="62">
        <f>SUBMETERING!S9/TOTAL!K6</f>
        <v>0.41699999999999998</v>
      </c>
      <c r="M6" s="56">
        <f>(SUBMETERING!D9/100)*344</f>
        <v>162.9872</v>
      </c>
      <c r="N6" s="56">
        <f>'[1]Consommation mensuel énergie'!E14</f>
        <v>0</v>
      </c>
      <c r="O6" s="58" t="e">
        <f>E6*F6+G6*H6+#REF!*#REF!+I6*J6</f>
        <v>#REF!</v>
      </c>
    </row>
    <row r="7" spans="1:15">
      <c r="A7" s="53" t="s">
        <v>15</v>
      </c>
      <c r="B7" s="54">
        <f t="shared" si="0"/>
        <v>6</v>
      </c>
      <c r="C7" s="54">
        <v>2</v>
      </c>
      <c r="D7" s="55">
        <v>2021</v>
      </c>
      <c r="E7" s="56">
        <f>SUBMETERING!P10</f>
        <v>44074.360000000364</v>
      </c>
      <c r="F7" s="62">
        <f t="shared" si="1"/>
        <v>0.67516900000000002</v>
      </c>
      <c r="G7" s="57">
        <f>SUBMETERING!K10</f>
        <v>3064</v>
      </c>
      <c r="H7" s="62">
        <f t="shared" si="2"/>
        <v>3.95</v>
      </c>
      <c r="I7" s="57">
        <f>SUBMETERING!V10</f>
        <v>270.64</v>
      </c>
      <c r="J7" s="62">
        <f t="shared" si="3"/>
        <v>4.8600000000000003</v>
      </c>
      <c r="K7" s="64">
        <f>SUBMETERING!R10*1000</f>
        <v>8000</v>
      </c>
      <c r="L7" s="62">
        <f>SUBMETERING!S10/TOTAL!K7</f>
        <v>0.41699999999999998</v>
      </c>
      <c r="M7" s="56">
        <f>(SUBMETERING!D10/100)*344</f>
        <v>155.00640000000001</v>
      </c>
      <c r="N7" s="56">
        <f>'[1]Consommation mensuel énergie'!E15</f>
        <v>0</v>
      </c>
      <c r="O7" s="58" t="e">
        <f>E7*F7+G7*H7+#REF!*#REF!+I7*J7</f>
        <v>#REF!</v>
      </c>
    </row>
    <row r="8" spans="1:15">
      <c r="A8" s="53" t="s">
        <v>15</v>
      </c>
      <c r="B8" s="54">
        <f t="shared" si="0"/>
        <v>7</v>
      </c>
      <c r="C8" s="54">
        <v>2</v>
      </c>
      <c r="D8" s="55">
        <v>2021</v>
      </c>
      <c r="E8" s="56">
        <f>SUBMETERING!P11</f>
        <v>44891.950000000179</v>
      </c>
      <c r="F8" s="62">
        <f t="shared" si="1"/>
        <v>0.67516900000000002</v>
      </c>
      <c r="G8" s="57">
        <f>SUBMETERING!K11</f>
        <v>2910</v>
      </c>
      <c r="H8" s="62">
        <f t="shared" si="2"/>
        <v>3.95</v>
      </c>
      <c r="I8" s="57">
        <f>SUBMETERING!V11</f>
        <v>322.64</v>
      </c>
      <c r="J8" s="62">
        <f t="shared" si="3"/>
        <v>4.8600000000000003</v>
      </c>
      <c r="K8" s="64">
        <f>SUBMETERING!R11*1000</f>
        <v>9000</v>
      </c>
      <c r="L8" s="62">
        <f>SUBMETERING!S11/TOTAL!K8</f>
        <v>0.41699999999999998</v>
      </c>
      <c r="M8" s="56">
        <f>(SUBMETERING!D11/100)*344</f>
        <v>196.0112</v>
      </c>
      <c r="N8" s="56">
        <f>'[1]Consommation mensuel énergie'!E16</f>
        <v>0</v>
      </c>
      <c r="O8" s="58" t="e">
        <f>E8*F8+G8*H8+#REF!*#REF!+I8*J8</f>
        <v>#REF!</v>
      </c>
    </row>
    <row r="9" spans="1:15">
      <c r="A9" s="53" t="s">
        <v>15</v>
      </c>
      <c r="B9" s="54">
        <f t="shared" si="0"/>
        <v>8</v>
      </c>
      <c r="C9" s="54">
        <v>2</v>
      </c>
      <c r="D9" s="55">
        <v>2021</v>
      </c>
      <c r="E9" s="56">
        <f>SUBMETERING!P12</f>
        <v>43391.949999999269</v>
      </c>
      <c r="F9" s="62">
        <f t="shared" si="1"/>
        <v>0.67516900000000002</v>
      </c>
      <c r="G9" s="57">
        <f>SUBMETERING!K12</f>
        <v>3072</v>
      </c>
      <c r="H9" s="62">
        <f t="shared" si="2"/>
        <v>3.95</v>
      </c>
      <c r="I9" s="57">
        <f>SUBMETERING!V12</f>
        <v>263.64</v>
      </c>
      <c r="J9" s="62">
        <f t="shared" si="3"/>
        <v>4.8600000000000003</v>
      </c>
      <c r="K9" s="64">
        <f>SUBMETERING!R12*1000</f>
        <v>9000</v>
      </c>
      <c r="L9" s="62">
        <f>SUBMETERING!S12/TOTAL!K9</f>
        <v>0.41699999999999998</v>
      </c>
      <c r="M9" s="56">
        <f>(SUBMETERING!D12/100)*344</f>
        <v>204.9896</v>
      </c>
      <c r="N9" s="56">
        <f>'[1]Consommation mensuel énergie'!E17</f>
        <v>0</v>
      </c>
      <c r="O9" s="58" t="e">
        <f>E9*F9+G9*H9+#REF!*#REF!+I9*J9</f>
        <v>#REF!</v>
      </c>
    </row>
    <row r="10" spans="1:15">
      <c r="A10" s="53" t="s">
        <v>15</v>
      </c>
      <c r="B10" s="54">
        <f t="shared" si="0"/>
        <v>9</v>
      </c>
      <c r="C10" s="54">
        <v>2</v>
      </c>
      <c r="D10" s="55">
        <v>2021</v>
      </c>
      <c r="E10" s="56">
        <f>SUBMETERING!P13</f>
        <v>42674.35999999936</v>
      </c>
      <c r="F10" s="62">
        <f t="shared" si="1"/>
        <v>0.67516900000000002</v>
      </c>
      <c r="G10" s="57">
        <f>SUBMETERING!K13</f>
        <v>3420</v>
      </c>
      <c r="H10" s="62">
        <f t="shared" si="2"/>
        <v>3.95</v>
      </c>
      <c r="I10" s="57">
        <f>SUBMETERING!V13</f>
        <v>351.64</v>
      </c>
      <c r="J10" s="62">
        <f t="shared" si="3"/>
        <v>4.8600000000000003</v>
      </c>
      <c r="K10" s="64">
        <f>SUBMETERING!R13*1000</f>
        <v>8000</v>
      </c>
      <c r="L10" s="62">
        <f>SUBMETERING!S13/TOTAL!K10</f>
        <v>0.41699999999999998</v>
      </c>
      <c r="M10" s="56">
        <f>(SUBMETERING!D13/100)*344</f>
        <v>205.9872</v>
      </c>
      <c r="N10" s="56">
        <f>'[1]Consommation mensuel énergie'!E18</f>
        <v>0</v>
      </c>
      <c r="O10" s="58" t="e">
        <f>E10*F10+G10*H10+#REF!*#REF!+I10*J10</f>
        <v>#REF!</v>
      </c>
    </row>
    <row r="11" spans="1:15">
      <c r="A11" s="53" t="s">
        <v>15</v>
      </c>
      <c r="B11" s="54">
        <f t="shared" si="0"/>
        <v>10</v>
      </c>
      <c r="C11" s="54">
        <v>2</v>
      </c>
      <c r="D11" s="55">
        <v>2021</v>
      </c>
      <c r="E11" s="56">
        <f>SUBMETERING!P14</f>
        <v>40239.180000000451</v>
      </c>
      <c r="F11" s="62">
        <f t="shared" si="1"/>
        <v>0.67516900000000002</v>
      </c>
      <c r="G11" s="57">
        <f>SUBMETERING!K14</f>
        <v>3574</v>
      </c>
      <c r="H11" s="62">
        <f t="shared" si="2"/>
        <v>3.95</v>
      </c>
      <c r="I11" s="57">
        <f>SUBMETERING!V14</f>
        <v>279.64</v>
      </c>
      <c r="J11" s="62">
        <f t="shared" si="3"/>
        <v>4.8600000000000003</v>
      </c>
      <c r="K11" s="64">
        <f>SUBMETERING!R14*1000</f>
        <v>6000</v>
      </c>
      <c r="L11" s="62">
        <f>SUBMETERING!S14/TOTAL!K11</f>
        <v>0.41699999999999998</v>
      </c>
      <c r="M11" s="56">
        <f>(SUBMETERING!D14/100)*344</f>
        <v>158.99680000000001</v>
      </c>
      <c r="N11" s="56">
        <f>'[1]Consommation mensuel énergie'!E19</f>
        <v>0</v>
      </c>
      <c r="O11" s="58" t="e">
        <f>E11*F11+G11*H11+#REF!*#REF!+I11*J11</f>
        <v>#REF!</v>
      </c>
    </row>
    <row r="12" spans="1:15">
      <c r="A12" s="53" t="s">
        <v>15</v>
      </c>
      <c r="B12" s="54">
        <f t="shared" si="0"/>
        <v>11</v>
      </c>
      <c r="C12" s="54">
        <v>2</v>
      </c>
      <c r="D12" s="55">
        <v>2021</v>
      </c>
      <c r="E12" s="56">
        <f>SUBMETERING!P15</f>
        <v>41139.179999999636</v>
      </c>
      <c r="F12" s="62">
        <f t="shared" si="1"/>
        <v>0.67516900000000002</v>
      </c>
      <c r="G12" s="57">
        <f>SUBMETERING!K15</f>
        <v>3704</v>
      </c>
      <c r="H12" s="62">
        <f t="shared" si="2"/>
        <v>3.95</v>
      </c>
      <c r="I12" s="57">
        <f>SUBMETERING!V15</f>
        <v>307.64</v>
      </c>
      <c r="J12" s="62">
        <f t="shared" si="3"/>
        <v>4.8600000000000003</v>
      </c>
      <c r="K12" s="64">
        <f>SUBMETERING!R15*1000</f>
        <v>6000</v>
      </c>
      <c r="L12" s="62">
        <f>SUBMETERING!S15/TOTAL!K12</f>
        <v>0.41699999999999998</v>
      </c>
      <c r="M12" s="56">
        <f>(SUBMETERING!D15/100)*344</f>
        <v>192.98400000000001</v>
      </c>
      <c r="N12" s="56">
        <f>'[1]Consommation mensuel énergie'!E20</f>
        <v>0</v>
      </c>
      <c r="O12" s="58" t="e">
        <f>E12*F12+G12*H12+#REF!*#REF!+I12*J12</f>
        <v>#REF!</v>
      </c>
    </row>
    <row r="13" spans="1:15">
      <c r="A13" s="53" t="s">
        <v>15</v>
      </c>
      <c r="B13" s="54">
        <f t="shared" si="0"/>
        <v>12</v>
      </c>
      <c r="C13" s="54">
        <v>2</v>
      </c>
      <c r="D13" s="55">
        <v>2021</v>
      </c>
      <c r="E13" s="56">
        <f>SUBMETERING!P16</f>
        <v>39621.590000000448</v>
      </c>
      <c r="F13" s="62">
        <f t="shared" si="1"/>
        <v>0.67516900000000002</v>
      </c>
      <c r="G13" s="57">
        <f>SUBMETERING!K16</f>
        <v>3557</v>
      </c>
      <c r="H13" s="62">
        <f t="shared" si="2"/>
        <v>3.95</v>
      </c>
      <c r="I13" s="57">
        <f>SUBMETERING!V16</f>
        <v>349.64</v>
      </c>
      <c r="J13" s="62">
        <f t="shared" si="3"/>
        <v>4.8600000000000003</v>
      </c>
      <c r="K13" s="64">
        <f>SUBMETERING!R16*1000</f>
        <v>5000</v>
      </c>
      <c r="L13" s="62">
        <f>SUBMETERING!S16/TOTAL!K13</f>
        <v>0.41699999999999998</v>
      </c>
      <c r="M13" s="56">
        <f>(SUBMETERING!D16/100)*344</f>
        <v>160.99199999999999</v>
      </c>
      <c r="N13" s="56">
        <f>'[1]Consommation mensuel énergie'!E21</f>
        <v>0</v>
      </c>
      <c r="O13" s="58" t="e">
        <f>E13*F13+G13*H13+#REF!*#REF!+I13*J13</f>
        <v>#REF!</v>
      </c>
    </row>
    <row r="14" spans="1:15">
      <c r="A14" s="53" t="s">
        <v>15</v>
      </c>
      <c r="B14" s="54">
        <f t="shared" si="0"/>
        <v>13</v>
      </c>
      <c r="C14" s="54">
        <v>2</v>
      </c>
      <c r="D14" s="55">
        <v>2021</v>
      </c>
      <c r="E14" s="56">
        <f>SUBMETERING!P17</f>
        <v>42239.179999998632</v>
      </c>
      <c r="F14" s="62">
        <f t="shared" si="1"/>
        <v>0.67516900000000002</v>
      </c>
      <c r="G14" s="57">
        <f>SUBMETERING!K17</f>
        <v>3400</v>
      </c>
      <c r="H14" s="62">
        <f t="shared" si="2"/>
        <v>3.95</v>
      </c>
      <c r="I14" s="57">
        <f>SUBMETERING!V17</f>
        <v>346.64</v>
      </c>
      <c r="J14" s="62">
        <f t="shared" si="3"/>
        <v>4.8600000000000003</v>
      </c>
      <c r="K14" s="64">
        <f>SUBMETERING!R17*1000</f>
        <v>6000</v>
      </c>
      <c r="L14" s="62">
        <f>SUBMETERING!S17/TOTAL!K14</f>
        <v>0.41699999999999998</v>
      </c>
      <c r="M14" s="56">
        <f>(SUBMETERING!D17/100)*344</f>
        <v>219.98800000000003</v>
      </c>
      <c r="N14" s="56">
        <f>'[1]Consommation mensuel énergie'!E22</f>
        <v>0</v>
      </c>
      <c r="O14" s="58" t="e">
        <f>E14*F14+G14*H14+#REF!*#REF!+I14*J14</f>
        <v>#REF!</v>
      </c>
    </row>
    <row r="15" spans="1:15">
      <c r="A15" s="53" t="s">
        <v>15</v>
      </c>
      <c r="B15" s="54">
        <f t="shared" si="0"/>
        <v>14</v>
      </c>
      <c r="C15" s="54">
        <v>2</v>
      </c>
      <c r="D15" s="55">
        <v>2021</v>
      </c>
      <c r="E15" s="56">
        <f>SUBMETERING!P18</f>
        <v>43739.180000001819</v>
      </c>
      <c r="F15" s="62">
        <f t="shared" si="1"/>
        <v>0.67516900000000002</v>
      </c>
      <c r="G15" s="57">
        <f>SUBMETERING!K18</f>
        <v>3500</v>
      </c>
      <c r="H15" s="62">
        <f t="shared" si="2"/>
        <v>3.95</v>
      </c>
      <c r="I15" s="57">
        <f>SUBMETERING!V18</f>
        <v>338.64</v>
      </c>
      <c r="J15" s="62">
        <f t="shared" si="3"/>
        <v>4.8600000000000003</v>
      </c>
      <c r="K15" s="64">
        <f>SUBMETERING!R18*1000</f>
        <v>6000</v>
      </c>
      <c r="L15" s="62">
        <f>SUBMETERING!S18/TOTAL!K15</f>
        <v>0.41699999999999998</v>
      </c>
      <c r="M15" s="56">
        <f>(SUBMETERING!D18/100)*344</f>
        <v>280.01600000000002</v>
      </c>
      <c r="N15" s="56">
        <f>'[1]Consommation mensuel énergie'!E23</f>
        <v>0</v>
      </c>
      <c r="O15" s="58" t="e">
        <f>E15*F15+G15*H15+#REF!*#REF!+I15*J15</f>
        <v>#REF!</v>
      </c>
    </row>
    <row r="16" spans="1:15">
      <c r="A16" s="53" t="s">
        <v>15</v>
      </c>
      <c r="B16" s="54">
        <f t="shared" si="0"/>
        <v>15</v>
      </c>
      <c r="C16" s="54">
        <v>2</v>
      </c>
      <c r="D16" s="55">
        <v>2021</v>
      </c>
      <c r="E16" s="56">
        <f>SUBMETERING!P19</f>
        <v>44656.769999999269</v>
      </c>
      <c r="F16" s="62">
        <f t="shared" si="1"/>
        <v>0.67516900000000002</v>
      </c>
      <c r="G16" s="57">
        <f>SUBMETERING!K19</f>
        <v>3119</v>
      </c>
      <c r="H16" s="62">
        <f t="shared" si="2"/>
        <v>3.95</v>
      </c>
      <c r="I16" s="57">
        <f>SUBMETERING!V19</f>
        <v>444.64</v>
      </c>
      <c r="J16" s="62">
        <f t="shared" si="3"/>
        <v>4.8600000000000003</v>
      </c>
      <c r="K16" s="64">
        <f>SUBMETERING!R19*1000</f>
        <v>7000</v>
      </c>
      <c r="L16" s="62">
        <f>SUBMETERING!S19/TOTAL!K16</f>
        <v>0.41699999999999998</v>
      </c>
      <c r="M16" s="56">
        <f>(SUBMETERING!D19/100)*344</f>
        <v>219.98800000000003</v>
      </c>
      <c r="N16" s="56">
        <f>'[1]Consommation mensuel énergie'!E24</f>
        <v>0</v>
      </c>
      <c r="O16" s="58" t="e">
        <f>E16*F16+G16*H16+#REF!*#REF!+I16*J16</f>
        <v>#REF!</v>
      </c>
    </row>
    <row r="17" spans="1:15">
      <c r="A17" s="53" t="s">
        <v>15</v>
      </c>
      <c r="B17" s="54">
        <f t="shared" si="0"/>
        <v>16</v>
      </c>
      <c r="C17" s="54">
        <v>2</v>
      </c>
      <c r="D17" s="55">
        <v>2021</v>
      </c>
      <c r="E17" s="56">
        <f>SUBMETERING!P20</f>
        <v>44256.770000001903</v>
      </c>
      <c r="F17" s="62">
        <f t="shared" si="1"/>
        <v>0.67516900000000002</v>
      </c>
      <c r="G17" s="57">
        <f>SUBMETERING!K20</f>
        <v>3415</v>
      </c>
      <c r="H17" s="62">
        <f t="shared" si="2"/>
        <v>3.95</v>
      </c>
      <c r="I17" s="57">
        <f>SUBMETERING!V20</f>
        <v>318.64</v>
      </c>
      <c r="J17" s="62">
        <f t="shared" si="3"/>
        <v>4.8600000000000003</v>
      </c>
      <c r="K17" s="64">
        <f>SUBMETERING!R20*1000</f>
        <v>7000</v>
      </c>
      <c r="L17" s="62">
        <f>SUBMETERING!S20/TOTAL!K17</f>
        <v>0.41699999999999998</v>
      </c>
      <c r="M17" s="56">
        <f>(SUBMETERING!D20/100)*344</f>
        <v>247.9896</v>
      </c>
      <c r="N17" s="56">
        <f>'[1]Consommation mensuel énergie'!E25</f>
        <v>0</v>
      </c>
      <c r="O17" s="58" t="e">
        <f>E17*F17+G17*H17+#REF!*#REF!+I17*J17</f>
        <v>#REF!</v>
      </c>
    </row>
    <row r="18" spans="1:15">
      <c r="A18" s="53" t="s">
        <v>15</v>
      </c>
      <c r="B18" s="54">
        <f t="shared" si="0"/>
        <v>17</v>
      </c>
      <c r="C18" s="54">
        <v>2</v>
      </c>
      <c r="D18" s="55">
        <v>2021</v>
      </c>
      <c r="E18" s="56">
        <f>SUBMETERING!P21</f>
        <v>43356.769999998178</v>
      </c>
      <c r="F18" s="62">
        <f t="shared" si="1"/>
        <v>0.67516900000000002</v>
      </c>
      <c r="G18" s="57">
        <f>SUBMETERING!K21</f>
        <v>3472</v>
      </c>
      <c r="H18" s="62">
        <f t="shared" si="2"/>
        <v>3.95</v>
      </c>
      <c r="I18" s="57">
        <f>SUBMETERING!V21</f>
        <v>387.64</v>
      </c>
      <c r="J18" s="62">
        <f t="shared" si="3"/>
        <v>4.8600000000000003</v>
      </c>
      <c r="K18" s="64">
        <f>SUBMETERING!R21*1000</f>
        <v>7000</v>
      </c>
      <c r="L18" s="62">
        <f>SUBMETERING!S21/TOTAL!K18</f>
        <v>0.41699999999999998</v>
      </c>
      <c r="M18" s="56">
        <f>(SUBMETERING!D21/100)*344</f>
        <v>256.00479999999999</v>
      </c>
      <c r="N18" s="56">
        <f>'[1]Consommation mensuel énergie'!E26</f>
        <v>0</v>
      </c>
      <c r="O18" s="58" t="e">
        <f>E18*F18+G18*H18+#REF!*#REF!+I18*J18</f>
        <v>#REF!</v>
      </c>
    </row>
    <row r="19" spans="1:15">
      <c r="A19" s="53" t="s">
        <v>15</v>
      </c>
      <c r="B19" s="54">
        <f t="shared" si="0"/>
        <v>18</v>
      </c>
      <c r="C19" s="54">
        <v>2</v>
      </c>
      <c r="D19" s="55">
        <v>2021</v>
      </c>
      <c r="E19" s="56">
        <f>SUBMETERING!P22</f>
        <v>44039.180000001543</v>
      </c>
      <c r="F19" s="62">
        <f t="shared" si="1"/>
        <v>0.67516900000000002</v>
      </c>
      <c r="G19" s="57">
        <f>SUBMETERING!K22</f>
        <v>3451</v>
      </c>
      <c r="H19" s="62">
        <f t="shared" si="2"/>
        <v>3.95</v>
      </c>
      <c r="I19" s="57">
        <f>SUBMETERING!V22</f>
        <v>418.64</v>
      </c>
      <c r="J19" s="62">
        <f t="shared" si="3"/>
        <v>4.8600000000000003</v>
      </c>
      <c r="K19" s="64">
        <f>SUBMETERING!R22*1000</f>
        <v>6000</v>
      </c>
      <c r="L19" s="62">
        <f>SUBMETERING!S22/TOTAL!K19</f>
        <v>0.41699999999999998</v>
      </c>
      <c r="M19" s="56">
        <f>(SUBMETERING!D22/100)*344</f>
        <v>213.00479999999999</v>
      </c>
      <c r="N19" s="56">
        <f>'[1]Consommation mensuel énergie'!E27</f>
        <v>0</v>
      </c>
      <c r="O19" s="58" t="e">
        <f>E19*F19+G19*H19+#REF!*#REF!+I19*J19</f>
        <v>#REF!</v>
      </c>
    </row>
    <row r="20" spans="1:15">
      <c r="A20" s="53" t="s">
        <v>15</v>
      </c>
      <c r="B20" s="54">
        <f t="shared" si="0"/>
        <v>19</v>
      </c>
      <c r="C20" s="54">
        <v>2</v>
      </c>
      <c r="D20" s="55">
        <v>2021</v>
      </c>
      <c r="E20" s="56">
        <f>SUBMETERING!P23</f>
        <v>41939.179999998909</v>
      </c>
      <c r="F20" s="62">
        <f t="shared" si="1"/>
        <v>0.67516900000000002</v>
      </c>
      <c r="G20" s="57">
        <f>SUBMETERING!K23</f>
        <v>3247</v>
      </c>
      <c r="H20" s="62">
        <f t="shared" si="2"/>
        <v>3.95</v>
      </c>
      <c r="I20" s="57">
        <f>SUBMETERING!V23</f>
        <v>357.64</v>
      </c>
      <c r="J20" s="62">
        <f t="shared" si="3"/>
        <v>4.8600000000000003</v>
      </c>
      <c r="K20" s="64">
        <f>SUBMETERING!R23*1000</f>
        <v>6000</v>
      </c>
      <c r="L20" s="62">
        <f>SUBMETERING!S23/TOTAL!K20</f>
        <v>0.41699999999999998</v>
      </c>
      <c r="M20" s="56">
        <f>(SUBMETERING!D23/100)*344</f>
        <v>183.00800000000001</v>
      </c>
      <c r="N20" s="56">
        <f>'[1]Consommation mensuel énergie'!E28</f>
        <v>0</v>
      </c>
      <c r="O20" s="58" t="e">
        <f>E20*F20+G20*H20+#REF!*#REF!+I20*J20</f>
        <v>#REF!</v>
      </c>
    </row>
    <row r="21" spans="1:15">
      <c r="A21" s="53" t="s">
        <v>15</v>
      </c>
      <c r="B21" s="54">
        <f t="shared" si="0"/>
        <v>20</v>
      </c>
      <c r="C21" s="54">
        <v>2</v>
      </c>
      <c r="D21" s="55">
        <v>2021</v>
      </c>
      <c r="E21" s="56">
        <f>SUBMETERING!P24</f>
        <v>43456.770000000361</v>
      </c>
      <c r="F21" s="62">
        <f t="shared" si="1"/>
        <v>0.67516900000000002</v>
      </c>
      <c r="G21" s="57">
        <f>SUBMETERING!K24</f>
        <v>3155</v>
      </c>
      <c r="H21" s="62">
        <f t="shared" si="2"/>
        <v>3.95</v>
      </c>
      <c r="I21" s="57">
        <f>SUBMETERING!V24</f>
        <v>310.64</v>
      </c>
      <c r="J21" s="62">
        <f t="shared" si="3"/>
        <v>4.8600000000000003</v>
      </c>
      <c r="K21" s="64">
        <f>SUBMETERING!R24*1000</f>
        <v>7000</v>
      </c>
      <c r="L21" s="62">
        <f>SUBMETERING!S24/TOTAL!K21</f>
        <v>0.41699999999999998</v>
      </c>
      <c r="M21" s="56">
        <f>(SUBMETERING!D24/100)*344</f>
        <v>200.9992</v>
      </c>
      <c r="N21" s="56">
        <f>'[1]Consommation mensuel énergie'!E29</f>
        <v>0</v>
      </c>
      <c r="O21" s="58" t="e">
        <f>E21*F21+G21*H21+#REF!*#REF!+I21*J21</f>
        <v>#REF!</v>
      </c>
    </row>
    <row r="22" spans="1:15">
      <c r="A22" s="53" t="s">
        <v>15</v>
      </c>
      <c r="B22" s="54">
        <f t="shared" si="0"/>
        <v>21</v>
      </c>
      <c r="C22" s="54">
        <v>2</v>
      </c>
      <c r="D22" s="55">
        <v>2021</v>
      </c>
      <c r="E22" s="56">
        <f>SUBMETERING!P25</f>
        <v>44491.949999998265</v>
      </c>
      <c r="F22" s="62">
        <f t="shared" si="1"/>
        <v>0.67516900000000002</v>
      </c>
      <c r="G22" s="57">
        <f>SUBMETERING!K25</f>
        <v>3121</v>
      </c>
      <c r="H22" s="62">
        <f t="shared" si="2"/>
        <v>3.95</v>
      </c>
      <c r="I22" s="57">
        <f>SUBMETERING!V25</f>
        <v>363.64</v>
      </c>
      <c r="J22" s="62">
        <f t="shared" si="3"/>
        <v>4.8600000000000003</v>
      </c>
      <c r="K22" s="64">
        <f>SUBMETERING!R25*1000</f>
        <v>9000</v>
      </c>
      <c r="L22" s="62">
        <f>SUBMETERING!S25/TOTAL!K22</f>
        <v>0.41699999999999998</v>
      </c>
      <c r="M22" s="56">
        <f>(SUBMETERING!D25/100)*344</f>
        <v>147.9888</v>
      </c>
      <c r="N22" s="56">
        <f>'[1]Consommation mensuel énergie'!E30</f>
        <v>0</v>
      </c>
      <c r="O22" s="58" t="e">
        <f>E22*F22+G22*H22+#REF!*#REF!+I22*J22</f>
        <v>#REF!</v>
      </c>
    </row>
    <row r="23" spans="1:15">
      <c r="A23" s="53" t="s">
        <v>15</v>
      </c>
      <c r="B23" s="54">
        <f t="shared" si="0"/>
        <v>22</v>
      </c>
      <c r="C23" s="54">
        <v>2</v>
      </c>
      <c r="D23" s="55">
        <v>2021</v>
      </c>
      <c r="E23" s="56">
        <f>SUBMETERING!P26</f>
        <v>43974.360000002729</v>
      </c>
      <c r="F23" s="62">
        <f t="shared" si="1"/>
        <v>0.67516900000000002</v>
      </c>
      <c r="G23" s="57">
        <f>SUBMETERING!K26</f>
        <v>2971</v>
      </c>
      <c r="H23" s="62">
        <f t="shared" si="2"/>
        <v>3.95</v>
      </c>
      <c r="I23" s="57">
        <f>SUBMETERING!V26</f>
        <v>330.64</v>
      </c>
      <c r="J23" s="62">
        <f t="shared" si="3"/>
        <v>4.8600000000000003</v>
      </c>
      <c r="K23" s="64">
        <f>SUBMETERING!R26*1000</f>
        <v>8000</v>
      </c>
      <c r="L23" s="62">
        <f>SUBMETERING!S26/TOTAL!K23</f>
        <v>0.41699999999999998</v>
      </c>
      <c r="M23" s="56">
        <f>(SUBMETERING!D26/100)*344</f>
        <v>180.01519999999999</v>
      </c>
      <c r="N23" s="56">
        <f>'[1]Consommation mensuel énergie'!E31</f>
        <v>0</v>
      </c>
      <c r="O23" s="58" t="e">
        <f>E23*F23+G23*H23+#REF!*#REF!+I23*J23</f>
        <v>#REF!</v>
      </c>
    </row>
    <row r="24" spans="1:15">
      <c r="A24" s="53" t="s">
        <v>15</v>
      </c>
      <c r="B24" s="54">
        <f t="shared" si="0"/>
        <v>23</v>
      </c>
      <c r="C24" s="54">
        <v>2</v>
      </c>
      <c r="D24" s="55">
        <v>2021</v>
      </c>
      <c r="E24" s="56">
        <f>SUBMETERING!P27</f>
        <v>47344.719999997367</v>
      </c>
      <c r="F24" s="62">
        <f t="shared" si="1"/>
        <v>0.67516900000000002</v>
      </c>
      <c r="G24" s="57">
        <f>SUBMETERING!K27</f>
        <v>3159</v>
      </c>
      <c r="H24" s="62">
        <f t="shared" si="2"/>
        <v>3.95</v>
      </c>
      <c r="I24" s="57">
        <f>SUBMETERING!V27</f>
        <v>332.64</v>
      </c>
      <c r="J24" s="62">
        <f t="shared" si="3"/>
        <v>4.8600000000000003</v>
      </c>
      <c r="K24" s="64">
        <f>SUBMETERING!R27*1000</f>
        <v>12000</v>
      </c>
      <c r="L24" s="62">
        <f>SUBMETERING!S27/TOTAL!K24</f>
        <v>0.41699999999999998</v>
      </c>
      <c r="M24" s="56">
        <f>(SUBMETERING!D27/100)*344</f>
        <v>237.01600000000002</v>
      </c>
      <c r="N24" s="56">
        <f>'[1]Consommation mensuel énergie'!E32</f>
        <v>0</v>
      </c>
      <c r="O24" s="58" t="e">
        <f>E24*F24+G24*H24+#REF!*#REF!+I24*J24</f>
        <v>#REF!</v>
      </c>
    </row>
    <row r="25" spans="1:15">
      <c r="A25" s="53" t="s">
        <v>15</v>
      </c>
      <c r="B25" s="54">
        <f t="shared" si="0"/>
        <v>24</v>
      </c>
      <c r="C25" s="54">
        <v>2</v>
      </c>
      <c r="D25" s="55">
        <v>2021</v>
      </c>
      <c r="E25" s="56">
        <f>SUBMETERING!P28</f>
        <v>44974.36000000182</v>
      </c>
      <c r="F25" s="62">
        <f t="shared" si="1"/>
        <v>0.67516900000000002</v>
      </c>
      <c r="G25" s="57">
        <f>SUBMETERING!K28</f>
        <v>2898</v>
      </c>
      <c r="H25" s="62">
        <f t="shared" si="2"/>
        <v>3.95</v>
      </c>
      <c r="I25" s="57">
        <f>SUBMETERING!V28</f>
        <v>332.64</v>
      </c>
      <c r="J25" s="62">
        <f t="shared" si="3"/>
        <v>4.8600000000000003</v>
      </c>
      <c r="K25" s="64">
        <f>SUBMETERING!R28*1000</f>
        <v>8000</v>
      </c>
      <c r="L25" s="62">
        <f>SUBMETERING!S28/TOTAL!K25</f>
        <v>0.41699999999999998</v>
      </c>
      <c r="M25" s="56">
        <f>(SUBMETERING!D28/100)*344</f>
        <v>232.99119999999999</v>
      </c>
      <c r="N25" s="56">
        <f>'[1]Consommation mensuel énergie'!E33</f>
        <v>0</v>
      </c>
      <c r="O25" s="58" t="e">
        <f>E25*F25+G25*H25+#REF!*#REF!+I25*J25</f>
        <v>#REF!</v>
      </c>
    </row>
    <row r="26" spans="1:15">
      <c r="A26" s="53" t="s">
        <v>15</v>
      </c>
      <c r="B26" s="54">
        <f>B25+1</f>
        <v>25</v>
      </c>
      <c r="C26" s="54">
        <v>2</v>
      </c>
      <c r="D26" s="55">
        <v>2021</v>
      </c>
      <c r="E26" s="56">
        <f>SUBMETERING!P29</f>
        <v>44691.950000000361</v>
      </c>
      <c r="F26" s="62">
        <f t="shared" si="1"/>
        <v>0.67516900000000002</v>
      </c>
      <c r="G26" s="57">
        <f>SUBMETERING!K29</f>
        <v>3002</v>
      </c>
      <c r="H26" s="62">
        <f t="shared" si="2"/>
        <v>3.95</v>
      </c>
      <c r="I26" s="57">
        <f>SUBMETERING!V29</f>
        <v>376.64</v>
      </c>
      <c r="J26" s="62">
        <f t="shared" si="3"/>
        <v>4.8600000000000003</v>
      </c>
      <c r="K26" s="64">
        <f>SUBMETERING!R29*1000</f>
        <v>9000</v>
      </c>
      <c r="L26" s="62">
        <f>SUBMETERING!S29/TOTAL!K26</f>
        <v>0.41699999999999998</v>
      </c>
      <c r="M26" s="56">
        <f>(SUBMETERING!D29/100)*344</f>
        <v>183.00800000000001</v>
      </c>
      <c r="N26" s="56">
        <f>'[1]Consommation mensuel énergie'!E34</f>
        <v>0</v>
      </c>
      <c r="O26" s="58" t="e">
        <f>E26*F26+G26*H26+#REF!*#REF!+I26*J26</f>
        <v>#REF!</v>
      </c>
    </row>
    <row r="27" spans="1:15">
      <c r="A27" s="53" t="s">
        <v>15</v>
      </c>
      <c r="B27" s="54">
        <f t="shared" si="0"/>
        <v>26</v>
      </c>
      <c r="C27" s="54">
        <v>2</v>
      </c>
      <c r="D27" s="55">
        <v>2021</v>
      </c>
      <c r="E27" s="56">
        <f>SUBMETERING!P30</f>
        <v>44844.719999999637</v>
      </c>
      <c r="F27" s="62">
        <f t="shared" si="1"/>
        <v>0.67516900000000002</v>
      </c>
      <c r="G27" s="57">
        <f>SUBMETERING!K30</f>
        <v>2825</v>
      </c>
      <c r="H27" s="62">
        <f t="shared" si="2"/>
        <v>3.95</v>
      </c>
      <c r="I27" s="57">
        <f>SUBMETERING!V30</f>
        <v>317.64</v>
      </c>
      <c r="J27" s="62">
        <f t="shared" si="3"/>
        <v>4.8600000000000003</v>
      </c>
      <c r="K27" s="64">
        <f>SUBMETERING!R30*1000</f>
        <v>12000</v>
      </c>
      <c r="L27" s="62">
        <f>SUBMETERING!S30/TOTAL!K27</f>
        <v>0.41699999999999998</v>
      </c>
      <c r="M27" s="56">
        <f>(SUBMETERING!D30/100)*344</f>
        <v>195.0136</v>
      </c>
      <c r="N27" s="56">
        <f>'[1]Consommation mensuel énergie'!E35</f>
        <v>0</v>
      </c>
      <c r="O27" s="58" t="e">
        <f>E27*F27+G27*H27+#REF!*#REF!+I27*J27</f>
        <v>#REF!</v>
      </c>
    </row>
    <row r="28" spans="1:15">
      <c r="A28" s="53" t="s">
        <v>15</v>
      </c>
      <c r="B28" s="54">
        <f t="shared" si="0"/>
        <v>27</v>
      </c>
      <c r="C28" s="54">
        <v>2</v>
      </c>
      <c r="D28" s="55">
        <v>2021</v>
      </c>
      <c r="E28" s="56">
        <f>SUBMETERING!P31</f>
        <v>41591.949999998629</v>
      </c>
      <c r="F28" s="62">
        <f t="shared" si="1"/>
        <v>0.67516900000000002</v>
      </c>
      <c r="G28" s="57">
        <f>SUBMETERING!K31</f>
        <v>3161</v>
      </c>
      <c r="H28" s="62">
        <f t="shared" si="2"/>
        <v>3.95</v>
      </c>
      <c r="I28" s="57">
        <f>SUBMETERING!V31</f>
        <v>336.64</v>
      </c>
      <c r="J28" s="62">
        <f t="shared" si="3"/>
        <v>4.8600000000000003</v>
      </c>
      <c r="K28" s="64">
        <f>SUBMETERING!R31*1000</f>
        <v>9000</v>
      </c>
      <c r="L28" s="62">
        <f>SUBMETERING!S31/TOTAL!K28</f>
        <v>0.41699999999999998</v>
      </c>
      <c r="M28" s="56">
        <f>(SUBMETERING!D31/100)*344</f>
        <v>266.01519999999999</v>
      </c>
      <c r="N28" s="56">
        <f>'[1]Consommation mensuel énergie'!E36</f>
        <v>0</v>
      </c>
      <c r="O28" s="58" t="e">
        <f>E28*F28+G28*H28+#REF!*#REF!+I28*J28</f>
        <v>#REF!</v>
      </c>
    </row>
    <row r="29" spans="1:15">
      <c r="A29" s="53" t="s">
        <v>15</v>
      </c>
      <c r="B29" s="54">
        <f t="shared" si="0"/>
        <v>28</v>
      </c>
      <c r="C29" s="54">
        <v>2</v>
      </c>
      <c r="D29" s="55">
        <v>2021</v>
      </c>
      <c r="E29" s="56">
        <f>SUBMETERING!P32</f>
        <v>41874.360000002365</v>
      </c>
      <c r="F29" s="62">
        <f t="shared" si="1"/>
        <v>0.67516900000000002</v>
      </c>
      <c r="G29" s="57">
        <f>SUBMETERING!K32</f>
        <v>3020</v>
      </c>
      <c r="H29" s="62">
        <f t="shared" si="2"/>
        <v>3.95</v>
      </c>
      <c r="I29" s="57">
        <f>SUBMETERING!V32</f>
        <v>343.64</v>
      </c>
      <c r="J29" s="62">
        <f t="shared" si="3"/>
        <v>4.8600000000000003</v>
      </c>
      <c r="K29" s="64">
        <f>SUBMETERING!R32*1000</f>
        <v>8000</v>
      </c>
      <c r="L29" s="62">
        <f>SUBMETERING!S32/TOTAL!K29</f>
        <v>0.41699999999999998</v>
      </c>
      <c r="M29" s="56">
        <f>(SUBMETERING!D32/100)*344</f>
        <v>167.012</v>
      </c>
      <c r="N29" s="56">
        <f>'[1]Consommation mensuel énergie'!E37</f>
        <v>0</v>
      </c>
      <c r="O29" s="58" t="e">
        <f>E29*F29+G29*H29+#REF!*#REF!+I29*J29</f>
        <v>#REF!</v>
      </c>
    </row>
    <row r="30" spans="1:15" s="56" customFormat="1">
      <c r="A30" s="60"/>
      <c r="B30" s="54"/>
      <c r="C30" s="54"/>
      <c r="D30" s="55"/>
      <c r="F30" s="62"/>
      <c r="G30" s="57"/>
      <c r="H30" s="62"/>
      <c r="I30" s="57"/>
      <c r="J30" s="62"/>
      <c r="K30" s="62"/>
      <c r="L30" s="62"/>
      <c r="O30" s="59"/>
    </row>
    <row r="31" spans="1:15" s="56" customFormat="1">
      <c r="A31" s="60"/>
      <c r="B31" s="54"/>
      <c r="C31" s="54"/>
      <c r="D31" s="55"/>
      <c r="F31" s="62"/>
      <c r="G31" s="57"/>
      <c r="H31" s="62"/>
      <c r="I31" s="57"/>
      <c r="J31" s="62"/>
      <c r="K31" s="62"/>
      <c r="L31" s="62"/>
      <c r="O31" s="59"/>
    </row>
    <row r="32" spans="1:15" s="56" customFormat="1">
      <c r="A32" s="60"/>
      <c r="B32" s="54"/>
      <c r="C32" s="54"/>
      <c r="D32" s="55"/>
      <c r="F32" s="62"/>
      <c r="G32" s="57"/>
      <c r="H32" s="62"/>
      <c r="I32" s="57"/>
      <c r="J32" s="62"/>
      <c r="K32" s="62"/>
      <c r="L32" s="62"/>
      <c r="O32" s="59"/>
    </row>
    <row r="33" spans="1:15" s="56" customFormat="1">
      <c r="A33" s="60"/>
      <c r="B33" s="54"/>
      <c r="C33" s="54"/>
      <c r="D33" s="55"/>
      <c r="F33" s="62"/>
      <c r="G33" s="57"/>
      <c r="H33" s="62"/>
      <c r="I33" s="57"/>
      <c r="J33" s="62"/>
      <c r="K33" s="62"/>
      <c r="L33" s="62"/>
      <c r="O33" s="59"/>
    </row>
    <row r="34" spans="1:15" s="56" customFormat="1">
      <c r="A34" s="60"/>
      <c r="B34" s="54"/>
      <c r="C34" s="54"/>
      <c r="D34" s="55"/>
      <c r="F34" s="62"/>
      <c r="G34" s="57"/>
      <c r="H34" s="62"/>
      <c r="I34" s="57"/>
      <c r="J34" s="62"/>
      <c r="K34" s="62"/>
      <c r="L34" s="62"/>
      <c r="O34" s="59"/>
    </row>
    <row r="35" spans="1:15" s="56" customFormat="1">
      <c r="A35" s="60"/>
      <c r="B35" s="54"/>
      <c r="C35" s="54"/>
      <c r="D35" s="55"/>
      <c r="F35" s="62"/>
      <c r="G35" s="57"/>
      <c r="H35" s="62"/>
      <c r="I35" s="57"/>
      <c r="J35" s="62"/>
      <c r="K35" s="62"/>
      <c r="L35" s="62"/>
      <c r="O35" s="5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1"/>
  <sheetViews>
    <sheetView topLeftCell="O25" zoomScale="115" zoomScaleNormal="115" workbookViewId="0">
      <selection activeCell="R40" sqref="R40"/>
    </sheetView>
  </sheetViews>
  <sheetFormatPr defaultColWidth="9" defaultRowHeight="14.25"/>
  <cols>
    <col min="1" max="1" width="4.625" style="2" customWidth="1"/>
    <col min="2" max="4" width="6.625" style="2" customWidth="1"/>
    <col min="5" max="5" width="8.625" style="2" customWidth="1"/>
    <col min="6" max="6" width="11.625" style="2" customWidth="1"/>
    <col min="7" max="7" width="10.75" style="3" customWidth="1"/>
    <col min="8" max="8" width="12.25" style="2" customWidth="1"/>
    <col min="9" max="9" width="10.75" style="2" customWidth="1"/>
    <col min="10" max="10" width="11.625" style="2" customWidth="1"/>
    <col min="11" max="11" width="11.5" style="2" customWidth="1"/>
    <col min="12" max="12" width="13.625" style="2" customWidth="1"/>
    <col min="13" max="13" width="12.25" style="2" customWidth="1"/>
    <col min="14" max="14" width="11.5" style="2" customWidth="1"/>
    <col min="15" max="15" width="12.875" style="2" customWidth="1"/>
    <col min="16" max="16" width="14.375" style="2" customWidth="1"/>
    <col min="17" max="17" width="13.625" style="2" customWidth="1"/>
    <col min="18" max="18" width="7.875" style="2" customWidth="1"/>
    <col min="19" max="21" width="12.625" style="2" customWidth="1"/>
    <col min="22" max="22" width="9.625" style="2" customWidth="1"/>
    <col min="23" max="23" width="11.625" style="1" customWidth="1"/>
    <col min="24" max="24" width="17.875" style="9" customWidth="1"/>
    <col min="25" max="28" width="8" style="2" bestFit="1" customWidth="1"/>
    <col min="29" max="29" width="16.25" style="2" customWidth="1"/>
    <col min="30" max="16384" width="9" style="2"/>
  </cols>
  <sheetData>
    <row r="1" spans="1:24" ht="24" customHeight="1" thickBot="1">
      <c r="A1" s="71" t="s">
        <v>16</v>
      </c>
      <c r="B1" s="71"/>
      <c r="C1" s="71"/>
      <c r="D1" s="71"/>
      <c r="E1" s="71"/>
      <c r="F1" s="71"/>
      <c r="G1" s="72"/>
      <c r="H1" s="71"/>
      <c r="I1" s="71"/>
      <c r="J1" s="71"/>
      <c r="K1" s="71"/>
      <c r="L1" s="71"/>
      <c r="M1" s="71"/>
      <c r="N1" s="71"/>
      <c r="O1" s="71"/>
      <c r="P1" s="73"/>
      <c r="Q1" s="73"/>
      <c r="R1" s="73"/>
      <c r="S1" s="73"/>
      <c r="T1" s="73"/>
      <c r="U1" s="73"/>
      <c r="V1" s="73"/>
      <c r="W1" s="73"/>
      <c r="X1" s="73"/>
    </row>
    <row r="2" spans="1:24" s="10" customFormat="1" ht="26.25" customHeight="1" thickBot="1">
      <c r="A2" s="74" t="s">
        <v>17</v>
      </c>
      <c r="B2" s="77" t="s">
        <v>18</v>
      </c>
      <c r="C2" s="77" t="s">
        <v>19</v>
      </c>
      <c r="D2" s="74" t="s">
        <v>20</v>
      </c>
      <c r="E2" s="80" t="s">
        <v>21</v>
      </c>
      <c r="F2" s="81"/>
      <c r="G2" s="84" t="s">
        <v>22</v>
      </c>
      <c r="H2" s="96"/>
      <c r="I2" s="99" t="s">
        <v>23</v>
      </c>
      <c r="J2" s="96"/>
      <c r="K2" s="84" t="s">
        <v>24</v>
      </c>
      <c r="L2" s="85"/>
      <c r="M2" s="107" t="s">
        <v>61</v>
      </c>
      <c r="N2" s="109" t="s">
        <v>62</v>
      </c>
      <c r="O2" s="110" t="s">
        <v>63</v>
      </c>
      <c r="P2" s="88" t="s">
        <v>25</v>
      </c>
      <c r="Q2" s="89"/>
      <c r="R2" s="103" t="s">
        <v>26</v>
      </c>
      <c r="S2" s="104"/>
      <c r="T2" s="115" t="s">
        <v>64</v>
      </c>
      <c r="U2" s="109" t="s">
        <v>65</v>
      </c>
      <c r="V2" s="101" t="s">
        <v>27</v>
      </c>
      <c r="W2" s="102"/>
      <c r="X2" s="85" t="s">
        <v>28</v>
      </c>
    </row>
    <row r="3" spans="1:24" s="11" customFormat="1" ht="38.25" customHeight="1" thickBot="1">
      <c r="A3" s="75"/>
      <c r="B3" s="78"/>
      <c r="C3" s="78"/>
      <c r="D3" s="75"/>
      <c r="E3" s="82"/>
      <c r="F3" s="83"/>
      <c r="G3" s="97"/>
      <c r="H3" s="98"/>
      <c r="I3" s="100"/>
      <c r="J3" s="98"/>
      <c r="K3" s="86"/>
      <c r="L3" s="87"/>
      <c r="M3" s="108"/>
      <c r="N3" s="111"/>
      <c r="O3" s="112"/>
      <c r="P3" s="90"/>
      <c r="Q3" s="91"/>
      <c r="R3" s="105"/>
      <c r="S3" s="106"/>
      <c r="T3" s="116"/>
      <c r="U3" s="111"/>
      <c r="V3" s="94" t="s">
        <v>60</v>
      </c>
      <c r="W3" s="95"/>
      <c r="X3" s="75"/>
    </row>
    <row r="4" spans="1:24" s="10" customFormat="1" ht="24.75" customHeight="1" thickBot="1">
      <c r="A4" s="76"/>
      <c r="B4" s="79"/>
      <c r="C4" s="79"/>
      <c r="D4" s="76"/>
      <c r="E4" s="20" t="s">
        <v>29</v>
      </c>
      <c r="F4" s="21" t="s">
        <v>30</v>
      </c>
      <c r="G4" s="20" t="s">
        <v>29</v>
      </c>
      <c r="H4" s="21" t="s">
        <v>31</v>
      </c>
      <c r="I4" s="22" t="s">
        <v>32</v>
      </c>
      <c r="J4" s="23" t="s">
        <v>31</v>
      </c>
      <c r="K4" s="22" t="s">
        <v>33</v>
      </c>
      <c r="L4" s="23" t="s">
        <v>31</v>
      </c>
      <c r="M4" s="24" t="s">
        <v>34</v>
      </c>
      <c r="N4" s="24" t="s">
        <v>34</v>
      </c>
      <c r="O4" s="24" t="s">
        <v>34</v>
      </c>
      <c r="P4" s="20" t="s">
        <v>35</v>
      </c>
      <c r="Q4" s="21" t="s">
        <v>30</v>
      </c>
      <c r="R4" s="25" t="s">
        <v>36</v>
      </c>
      <c r="S4" s="26" t="s">
        <v>31</v>
      </c>
      <c r="T4" s="20" t="s">
        <v>37</v>
      </c>
      <c r="U4" s="20" t="s">
        <v>37</v>
      </c>
      <c r="V4" s="20" t="s">
        <v>37</v>
      </c>
      <c r="W4" s="21" t="s">
        <v>30</v>
      </c>
      <c r="X4" s="76"/>
    </row>
    <row r="5" spans="1:24" s="4" customFormat="1" ht="22.5" customHeight="1" thickBot="1">
      <c r="A5" s="43">
        <v>1</v>
      </c>
      <c r="B5" s="27" t="s">
        <v>42</v>
      </c>
      <c r="C5" s="12">
        <v>396</v>
      </c>
      <c r="D5" s="29">
        <v>44.19</v>
      </c>
      <c r="E5" s="13">
        <v>632</v>
      </c>
      <c r="F5" s="32">
        <f>IF(E5&gt;0,E5*3.95,0)</f>
        <v>2496.4</v>
      </c>
      <c r="G5" s="13">
        <v>1450</v>
      </c>
      <c r="H5" s="15">
        <f>IF(G5&gt;0,G5*3.95,0)</f>
        <v>5727.5</v>
      </c>
      <c r="I5" s="30">
        <v>1079</v>
      </c>
      <c r="J5" s="36">
        <f>IF(I5&gt;0,I5*3.95,0)</f>
        <v>4262.05</v>
      </c>
      <c r="K5" s="13">
        <f t="shared" ref="K5:K34" si="0">SUM(I5+G5+E5)</f>
        <v>3161</v>
      </c>
      <c r="L5" s="15">
        <f>IF(K5&gt;0,K5*3.95,0)</f>
        <v>12485.95</v>
      </c>
      <c r="M5" s="30">
        <v>6034</v>
      </c>
      <c r="N5" s="30">
        <v>9533.64</v>
      </c>
      <c r="O5" s="13">
        <v>29400.000000000546</v>
      </c>
      <c r="P5" s="13">
        <f>N5+O5+R5*617.59</f>
        <v>44491.950000000543</v>
      </c>
      <c r="Q5" s="16">
        <f>IF(P5&gt;0,P5*0.675169)</f>
        <v>30039.585389550368</v>
      </c>
      <c r="R5" s="31">
        <v>9</v>
      </c>
      <c r="S5" s="32">
        <f t="shared" ref="S5:S18" si="1">IF(R5*417&gt;0,R5*417,0)</f>
        <v>3753</v>
      </c>
      <c r="T5" s="13">
        <v>100</v>
      </c>
      <c r="U5" s="117">
        <v>160.63999999999999</v>
      </c>
      <c r="V5" s="13">
        <f>T5+U5</f>
        <v>260.64</v>
      </c>
      <c r="W5" s="16">
        <f>V5*4.86</f>
        <v>1266.7103999999999</v>
      </c>
      <c r="X5" s="40">
        <f>SUM(L5+Q5+S5+W5)</f>
        <v>47545.245789550361</v>
      </c>
    </row>
    <row r="6" spans="1:24" s="4" customFormat="1" ht="22.5" customHeight="1" thickBot="1">
      <c r="A6" s="44">
        <v>2</v>
      </c>
      <c r="B6" s="27" t="s">
        <v>43</v>
      </c>
      <c r="C6" s="12">
        <v>757</v>
      </c>
      <c r="D6" s="29">
        <v>36.049999999999997</v>
      </c>
      <c r="E6" s="13">
        <v>592</v>
      </c>
      <c r="F6" s="32">
        <f t="shared" ref="F6:F32" si="2">IF(E6&gt;0,E6*3.95,0)</f>
        <v>2338.4</v>
      </c>
      <c r="G6" s="13">
        <v>1435</v>
      </c>
      <c r="H6" s="15">
        <f t="shared" ref="H6:H32" si="3">IF(G6&gt;0,G6*3.95,0)</f>
        <v>5668.25</v>
      </c>
      <c r="I6" s="30">
        <v>1000</v>
      </c>
      <c r="J6" s="36">
        <f t="shared" ref="J6:J32" si="4">IF(I6&gt;0,I6*3.95,0)</f>
        <v>3950</v>
      </c>
      <c r="K6" s="13">
        <f t="shared" si="0"/>
        <v>3027</v>
      </c>
      <c r="L6" s="15">
        <f t="shared" ref="L6:L32" si="5">IF(K6&gt;0,K6*3.95,0)</f>
        <v>11956.65</v>
      </c>
      <c r="M6" s="30">
        <v>6121</v>
      </c>
      <c r="N6" s="30">
        <v>9533.64</v>
      </c>
      <c r="O6" s="13">
        <v>27400.000000000091</v>
      </c>
      <c r="P6" s="13">
        <f t="shared" ref="P6:P32" si="6">N6+O6+R6*617.59</f>
        <v>43109.540000000088</v>
      </c>
      <c r="Q6" s="16">
        <f>IF(P6&gt;0,P6*0.675169)</f>
        <v>29106.22501226006</v>
      </c>
      <c r="R6" s="31">
        <v>10</v>
      </c>
      <c r="S6" s="33">
        <f t="shared" si="1"/>
        <v>4170</v>
      </c>
      <c r="T6" s="13">
        <v>130</v>
      </c>
      <c r="U6" s="117">
        <v>160.63999999999999</v>
      </c>
      <c r="V6" s="13">
        <f t="shared" ref="V6:V32" si="7">T6+U6</f>
        <v>290.64</v>
      </c>
      <c r="W6" s="16">
        <f t="shared" ref="W6:W32" si="8">V6*4.86</f>
        <v>1412.5104000000001</v>
      </c>
      <c r="X6" s="40">
        <f>SUM(L6+Q6+S6+W6)</f>
        <v>46645.385412260061</v>
      </c>
    </row>
    <row r="7" spans="1:24" s="4" customFormat="1" ht="22.5" customHeight="1" thickBot="1">
      <c r="A7" s="44">
        <v>3</v>
      </c>
      <c r="B7" s="27" t="s">
        <v>44</v>
      </c>
      <c r="C7" s="12">
        <v>172</v>
      </c>
      <c r="D7" s="29">
        <v>40.119999999999997</v>
      </c>
      <c r="E7" s="13">
        <v>628</v>
      </c>
      <c r="F7" s="32">
        <f t="shared" si="2"/>
        <v>2480.6</v>
      </c>
      <c r="G7" s="13">
        <v>1300</v>
      </c>
      <c r="H7" s="15">
        <f t="shared" si="3"/>
        <v>5135</v>
      </c>
      <c r="I7" s="30">
        <v>867</v>
      </c>
      <c r="J7" s="36">
        <f t="shared" si="4"/>
        <v>3424.65</v>
      </c>
      <c r="K7" s="13">
        <f t="shared" si="0"/>
        <v>2795</v>
      </c>
      <c r="L7" s="15">
        <f t="shared" si="5"/>
        <v>11040.25</v>
      </c>
      <c r="M7" s="30">
        <v>6437</v>
      </c>
      <c r="N7" s="30">
        <v>9533.64</v>
      </c>
      <c r="O7" s="13">
        <v>28699.999999998909</v>
      </c>
      <c r="P7" s="13">
        <f t="shared" si="6"/>
        <v>45027.129999998906</v>
      </c>
      <c r="Q7" s="16">
        <f t="shared" ref="Q7:Q34" si="9">IF(P7&gt;0,P7*0.675169)</f>
        <v>30400.922334969262</v>
      </c>
      <c r="R7" s="31">
        <v>11</v>
      </c>
      <c r="S7" s="33">
        <f t="shared" si="1"/>
        <v>4587</v>
      </c>
      <c r="T7" s="13">
        <v>120</v>
      </c>
      <c r="U7" s="117">
        <v>160.63999999999999</v>
      </c>
      <c r="V7" s="13">
        <f t="shared" si="7"/>
        <v>280.64</v>
      </c>
      <c r="W7" s="16">
        <f t="shared" si="8"/>
        <v>1363.9104</v>
      </c>
      <c r="X7" s="40">
        <f>SUM(L7+Q7+S7+W7)</f>
        <v>47392.082734969263</v>
      </c>
    </row>
    <row r="8" spans="1:24" s="4" customFormat="1" ht="22.5" customHeight="1" thickBot="1">
      <c r="A8" s="44">
        <v>4</v>
      </c>
      <c r="B8" s="27" t="s">
        <v>45</v>
      </c>
      <c r="C8" s="12">
        <v>15</v>
      </c>
      <c r="D8" s="29">
        <v>48.55</v>
      </c>
      <c r="E8" s="13">
        <v>611</v>
      </c>
      <c r="F8" s="32">
        <f t="shared" si="2"/>
        <v>2413.4500000000003</v>
      </c>
      <c r="G8" s="13">
        <v>1319</v>
      </c>
      <c r="H8" s="15">
        <f t="shared" si="3"/>
        <v>5210.05</v>
      </c>
      <c r="I8" s="30">
        <v>922</v>
      </c>
      <c r="J8" s="36">
        <f t="shared" si="4"/>
        <v>3641.9</v>
      </c>
      <c r="K8" s="13">
        <f t="shared" si="0"/>
        <v>2852</v>
      </c>
      <c r="L8" s="15">
        <f t="shared" si="5"/>
        <v>11265.4</v>
      </c>
      <c r="M8" s="30">
        <v>6418</v>
      </c>
      <c r="N8" s="30">
        <v>9533.64</v>
      </c>
      <c r="O8" s="13">
        <v>28600.000000001273</v>
      </c>
      <c r="P8" s="13">
        <f t="shared" si="6"/>
        <v>43691.95000000127</v>
      </c>
      <c r="Q8" s="16">
        <f t="shared" si="9"/>
        <v>29499.450189550858</v>
      </c>
      <c r="R8" s="31">
        <v>9</v>
      </c>
      <c r="S8" s="33">
        <f t="shared" si="1"/>
        <v>3753</v>
      </c>
      <c r="T8" s="13">
        <v>161</v>
      </c>
      <c r="U8" s="117">
        <v>160.63999999999999</v>
      </c>
      <c r="V8" s="13">
        <f t="shared" si="7"/>
        <v>321.64</v>
      </c>
      <c r="W8" s="16">
        <f t="shared" si="8"/>
        <v>1563.1704</v>
      </c>
      <c r="X8" s="40">
        <f>SUM(L8+Q8+S8+W8)</f>
        <v>46081.020589550862</v>
      </c>
    </row>
    <row r="9" spans="1:24" s="4" customFormat="1" ht="22.5" customHeight="1" thickBot="1">
      <c r="A9" s="44">
        <v>5</v>
      </c>
      <c r="B9" s="27" t="s">
        <v>46</v>
      </c>
      <c r="C9" s="12">
        <v>57</v>
      </c>
      <c r="D9" s="29">
        <v>47.38</v>
      </c>
      <c r="E9" s="13">
        <v>650</v>
      </c>
      <c r="F9" s="32">
        <f t="shared" si="2"/>
        <v>2567.5</v>
      </c>
      <c r="G9" s="13">
        <v>1512</v>
      </c>
      <c r="H9" s="15">
        <f t="shared" si="3"/>
        <v>5972.4000000000005</v>
      </c>
      <c r="I9" s="30">
        <v>984</v>
      </c>
      <c r="J9" s="36">
        <f t="shared" si="4"/>
        <v>3886.8</v>
      </c>
      <c r="K9" s="13">
        <f t="shared" si="0"/>
        <v>3146</v>
      </c>
      <c r="L9" s="15">
        <f t="shared" si="5"/>
        <v>12426.7</v>
      </c>
      <c r="M9" s="30">
        <v>5901</v>
      </c>
      <c r="N9" s="30">
        <v>9533.64</v>
      </c>
      <c r="O9" s="13">
        <v>28399.999999999181</v>
      </c>
      <c r="P9" s="13">
        <f t="shared" si="6"/>
        <v>42874.359999999186</v>
      </c>
      <c r="Q9" s="16">
        <f t="shared" si="9"/>
        <v>28947.438766839452</v>
      </c>
      <c r="R9" s="31">
        <v>8</v>
      </c>
      <c r="S9" s="33">
        <f t="shared" si="1"/>
        <v>3336</v>
      </c>
      <c r="T9" s="13">
        <v>153</v>
      </c>
      <c r="U9" s="117">
        <v>160.63999999999999</v>
      </c>
      <c r="V9" s="13">
        <f t="shared" si="7"/>
        <v>313.64</v>
      </c>
      <c r="W9" s="16">
        <f t="shared" si="8"/>
        <v>1524.2904000000001</v>
      </c>
      <c r="X9" s="40">
        <f>SUM(L9+Q9+S9+W9)</f>
        <v>46234.429166839451</v>
      </c>
    </row>
    <row r="10" spans="1:24" s="4" customFormat="1" ht="22.5" customHeight="1" thickBot="1">
      <c r="A10" s="44">
        <v>6</v>
      </c>
      <c r="B10" s="27" t="s">
        <v>46</v>
      </c>
      <c r="C10" s="12">
        <v>107</v>
      </c>
      <c r="D10" s="29">
        <v>45.06</v>
      </c>
      <c r="E10" s="13">
        <v>649</v>
      </c>
      <c r="F10" s="32">
        <f t="shared" si="2"/>
        <v>2563.5500000000002</v>
      </c>
      <c r="G10" s="13">
        <v>1453</v>
      </c>
      <c r="H10" s="15">
        <f t="shared" si="3"/>
        <v>5739.35</v>
      </c>
      <c r="I10" s="30">
        <v>962</v>
      </c>
      <c r="J10" s="36">
        <f t="shared" si="4"/>
        <v>3799.9</v>
      </c>
      <c r="K10" s="13">
        <f t="shared" si="0"/>
        <v>3064</v>
      </c>
      <c r="L10" s="15">
        <f t="shared" si="5"/>
        <v>12102.800000000001</v>
      </c>
      <c r="M10" s="30">
        <v>6701</v>
      </c>
      <c r="N10" s="30">
        <v>9533.64</v>
      </c>
      <c r="O10" s="13">
        <v>29600.000000000364</v>
      </c>
      <c r="P10" s="13">
        <f t="shared" si="6"/>
        <v>44074.360000000364</v>
      </c>
      <c r="Q10" s="16">
        <f t="shared" si="9"/>
        <v>29757.641566840248</v>
      </c>
      <c r="R10" s="31">
        <v>8</v>
      </c>
      <c r="S10" s="33">
        <f t="shared" si="1"/>
        <v>3336</v>
      </c>
      <c r="T10" s="13">
        <v>110</v>
      </c>
      <c r="U10" s="117">
        <v>160.63999999999999</v>
      </c>
      <c r="V10" s="13">
        <f t="shared" si="7"/>
        <v>270.64</v>
      </c>
      <c r="W10" s="16">
        <f t="shared" si="8"/>
        <v>1315.3104000000001</v>
      </c>
      <c r="X10" s="40">
        <f>SUM(L10+Q10+S10+W10)</f>
        <v>46511.751966840253</v>
      </c>
    </row>
    <row r="11" spans="1:24" s="4" customFormat="1" ht="22.5" customHeight="1" thickBot="1">
      <c r="A11" s="44">
        <v>7</v>
      </c>
      <c r="B11" s="27" t="s">
        <v>47</v>
      </c>
      <c r="C11" s="12">
        <v>28</v>
      </c>
      <c r="D11" s="29">
        <v>56.98</v>
      </c>
      <c r="E11" s="13">
        <v>588</v>
      </c>
      <c r="F11" s="32">
        <f t="shared" si="2"/>
        <v>2322.6</v>
      </c>
      <c r="G11" s="13">
        <v>1384</v>
      </c>
      <c r="H11" s="15">
        <f t="shared" si="3"/>
        <v>5466.8</v>
      </c>
      <c r="I11" s="30">
        <v>938</v>
      </c>
      <c r="J11" s="36">
        <f t="shared" si="4"/>
        <v>3705.1000000000004</v>
      </c>
      <c r="K11" s="13">
        <f t="shared" si="0"/>
        <v>2910</v>
      </c>
      <c r="L11" s="15">
        <f t="shared" si="5"/>
        <v>11494.5</v>
      </c>
      <c r="M11" s="30">
        <v>7166</v>
      </c>
      <c r="N11" s="30">
        <v>9533.64</v>
      </c>
      <c r="O11" s="13">
        <v>29800.000000000182</v>
      </c>
      <c r="P11" s="13">
        <f t="shared" si="6"/>
        <v>44891.950000000179</v>
      </c>
      <c r="Q11" s="16">
        <f t="shared" si="9"/>
        <v>30309.652989550123</v>
      </c>
      <c r="R11" s="31">
        <v>9</v>
      </c>
      <c r="S11" s="33">
        <f t="shared" si="1"/>
        <v>3753</v>
      </c>
      <c r="T11" s="13">
        <v>162</v>
      </c>
      <c r="U11" s="117">
        <v>160.63999999999999</v>
      </c>
      <c r="V11" s="13">
        <f t="shared" si="7"/>
        <v>322.64</v>
      </c>
      <c r="W11" s="16">
        <f t="shared" si="8"/>
        <v>1568.0304000000001</v>
      </c>
      <c r="X11" s="40">
        <f>SUM(L11+Q11+S11+W11)</f>
        <v>47125.183389550126</v>
      </c>
    </row>
    <row r="12" spans="1:24" s="4" customFormat="1" ht="22.5" customHeight="1" thickBot="1">
      <c r="A12" s="44">
        <v>8</v>
      </c>
      <c r="B12" s="27" t="s">
        <v>48</v>
      </c>
      <c r="C12" s="12">
        <v>28</v>
      </c>
      <c r="D12" s="29">
        <v>59.59</v>
      </c>
      <c r="E12" s="13">
        <v>575</v>
      </c>
      <c r="F12" s="32">
        <f t="shared" si="2"/>
        <v>2271.25</v>
      </c>
      <c r="G12" s="13">
        <v>1379</v>
      </c>
      <c r="H12" s="15">
        <f t="shared" si="3"/>
        <v>5447.05</v>
      </c>
      <c r="I12" s="30">
        <v>1118</v>
      </c>
      <c r="J12" s="36">
        <f t="shared" si="4"/>
        <v>4416.1000000000004</v>
      </c>
      <c r="K12" s="13">
        <f t="shared" si="0"/>
        <v>3072</v>
      </c>
      <c r="L12" s="15">
        <f t="shared" si="5"/>
        <v>12134.400000000001</v>
      </c>
      <c r="M12" s="30">
        <v>6215</v>
      </c>
      <c r="N12" s="30">
        <v>9533.64</v>
      </c>
      <c r="O12" s="13">
        <v>28299.999999999272</v>
      </c>
      <c r="P12" s="13">
        <f t="shared" si="6"/>
        <v>43391.949999999269</v>
      </c>
      <c r="Q12" s="16">
        <f t="shared" si="9"/>
        <v>29296.899489549509</v>
      </c>
      <c r="R12" s="31">
        <v>9</v>
      </c>
      <c r="S12" s="33">
        <f t="shared" si="1"/>
        <v>3753</v>
      </c>
      <c r="T12" s="13">
        <v>103</v>
      </c>
      <c r="U12" s="117">
        <v>160.63999999999999</v>
      </c>
      <c r="V12" s="13">
        <f t="shared" si="7"/>
        <v>263.64</v>
      </c>
      <c r="W12" s="16">
        <f t="shared" si="8"/>
        <v>1281.2904000000001</v>
      </c>
      <c r="X12" s="40">
        <f>SUM(L12+Q12+S12+W12)</f>
        <v>46465.589889549505</v>
      </c>
    </row>
    <row r="13" spans="1:24" s="4" customFormat="1" ht="22.5" customHeight="1" thickBot="1">
      <c r="A13" s="44">
        <v>9</v>
      </c>
      <c r="B13" s="27" t="s">
        <v>49</v>
      </c>
      <c r="C13" s="12">
        <v>8</v>
      </c>
      <c r="D13" s="29">
        <v>59.88</v>
      </c>
      <c r="E13" s="13">
        <v>623</v>
      </c>
      <c r="F13" s="32">
        <f t="shared" si="2"/>
        <v>2460.85</v>
      </c>
      <c r="G13" s="13">
        <v>1580</v>
      </c>
      <c r="H13" s="15">
        <f t="shared" si="3"/>
        <v>6241</v>
      </c>
      <c r="I13" s="30">
        <v>1217</v>
      </c>
      <c r="J13" s="36">
        <f t="shared" si="4"/>
        <v>4807.1500000000005</v>
      </c>
      <c r="K13" s="13">
        <f t="shared" si="0"/>
        <v>3420</v>
      </c>
      <c r="L13" s="15">
        <f t="shared" si="5"/>
        <v>13509</v>
      </c>
      <c r="M13" s="30">
        <v>4973</v>
      </c>
      <c r="N13" s="30">
        <v>9533.64</v>
      </c>
      <c r="O13" s="13">
        <v>28199.999999999363</v>
      </c>
      <c r="P13" s="13">
        <f t="shared" si="6"/>
        <v>42674.35999999936</v>
      </c>
      <c r="Q13" s="16">
        <f t="shared" si="9"/>
        <v>28812.404966839567</v>
      </c>
      <c r="R13" s="31">
        <v>8</v>
      </c>
      <c r="S13" s="33">
        <f t="shared" si="1"/>
        <v>3336</v>
      </c>
      <c r="T13" s="13">
        <v>191</v>
      </c>
      <c r="U13" s="117">
        <v>160.63999999999999</v>
      </c>
      <c r="V13" s="13">
        <f t="shared" si="7"/>
        <v>351.64</v>
      </c>
      <c r="W13" s="16">
        <f t="shared" si="8"/>
        <v>1708.9704000000002</v>
      </c>
      <c r="X13" s="40">
        <f>SUM(L13+Q13+S13+W13)</f>
        <v>47366.375366839566</v>
      </c>
    </row>
    <row r="14" spans="1:24" s="4" customFormat="1" ht="22.5" customHeight="1" thickBot="1">
      <c r="A14" s="44">
        <v>10</v>
      </c>
      <c r="B14" s="27" t="s">
        <v>50</v>
      </c>
      <c r="C14" s="12">
        <v>0</v>
      </c>
      <c r="D14" s="29">
        <v>46.22</v>
      </c>
      <c r="E14" s="13">
        <v>588</v>
      </c>
      <c r="F14" s="32">
        <f t="shared" si="2"/>
        <v>2322.6</v>
      </c>
      <c r="G14" s="13">
        <v>1569</v>
      </c>
      <c r="H14" s="15">
        <f t="shared" si="3"/>
        <v>6197.55</v>
      </c>
      <c r="I14" s="30">
        <v>1417</v>
      </c>
      <c r="J14" s="36">
        <f t="shared" si="4"/>
        <v>5597.1500000000005</v>
      </c>
      <c r="K14" s="13">
        <f>SUM(I14+G14+E14)</f>
        <v>3574</v>
      </c>
      <c r="L14" s="15">
        <f t="shared" si="5"/>
        <v>14117.300000000001</v>
      </c>
      <c r="M14" s="30">
        <v>4663</v>
      </c>
      <c r="N14" s="30">
        <v>9533.64</v>
      </c>
      <c r="O14" s="13">
        <v>27000.000000000455</v>
      </c>
      <c r="P14" s="13">
        <f t="shared" si="6"/>
        <v>40239.180000000451</v>
      </c>
      <c r="Q14" s="16">
        <f t="shared" si="9"/>
        <v>27168.246921420305</v>
      </c>
      <c r="R14" s="31">
        <v>6</v>
      </c>
      <c r="S14" s="33">
        <f t="shared" si="1"/>
        <v>2502</v>
      </c>
      <c r="T14" s="13">
        <v>119</v>
      </c>
      <c r="U14" s="117">
        <v>160.63999999999999</v>
      </c>
      <c r="V14" s="13">
        <f t="shared" si="7"/>
        <v>279.64</v>
      </c>
      <c r="W14" s="16">
        <f t="shared" si="8"/>
        <v>1359.0504000000001</v>
      </c>
      <c r="X14" s="40">
        <f>SUM(L14+Q14+S14+W14)</f>
        <v>45146.597321420304</v>
      </c>
    </row>
    <row r="15" spans="1:24" s="4" customFormat="1" ht="22.5" customHeight="1" thickBot="1">
      <c r="A15" s="44">
        <v>11</v>
      </c>
      <c r="B15" s="27" t="s">
        <v>51</v>
      </c>
      <c r="C15" s="12">
        <v>0</v>
      </c>
      <c r="D15" s="29">
        <v>56.1</v>
      </c>
      <c r="E15" s="13">
        <v>646</v>
      </c>
      <c r="F15" s="32">
        <f t="shared" si="2"/>
        <v>2551.7000000000003</v>
      </c>
      <c r="G15" s="13">
        <v>1537</v>
      </c>
      <c r="H15" s="15">
        <f t="shared" si="3"/>
        <v>6071.1500000000005</v>
      </c>
      <c r="I15" s="30">
        <v>1521</v>
      </c>
      <c r="J15" s="36">
        <f t="shared" si="4"/>
        <v>6007.95</v>
      </c>
      <c r="K15" s="13">
        <f t="shared" si="0"/>
        <v>3704</v>
      </c>
      <c r="L15" s="15">
        <f t="shared" si="5"/>
        <v>14630.800000000001</v>
      </c>
      <c r="M15" s="30">
        <v>5126</v>
      </c>
      <c r="N15" s="30">
        <v>9533.64</v>
      </c>
      <c r="O15" s="13">
        <v>27899.999999999636</v>
      </c>
      <c r="P15" s="13">
        <f t="shared" si="6"/>
        <v>41139.179999999636</v>
      </c>
      <c r="Q15" s="16">
        <f t="shared" si="9"/>
        <v>27775.899021419755</v>
      </c>
      <c r="R15" s="31">
        <v>6</v>
      </c>
      <c r="S15" s="33">
        <f t="shared" si="1"/>
        <v>2502</v>
      </c>
      <c r="T15" s="13">
        <v>147</v>
      </c>
      <c r="U15" s="117">
        <v>160.63999999999999</v>
      </c>
      <c r="V15" s="13">
        <f t="shared" si="7"/>
        <v>307.64</v>
      </c>
      <c r="W15" s="16">
        <f t="shared" si="8"/>
        <v>1495.1304</v>
      </c>
      <c r="X15" s="40">
        <f>SUM(L15+Q15+S15+W15)</f>
        <v>46403.829421419759</v>
      </c>
    </row>
    <row r="16" spans="1:24" s="4" customFormat="1" ht="22.5" customHeight="1" thickBot="1">
      <c r="A16" s="44">
        <v>12</v>
      </c>
      <c r="B16" s="27" t="s">
        <v>52</v>
      </c>
      <c r="C16" s="12">
        <v>0</v>
      </c>
      <c r="D16" s="29">
        <v>46.8</v>
      </c>
      <c r="E16" s="13">
        <v>639</v>
      </c>
      <c r="F16" s="32">
        <f t="shared" si="2"/>
        <v>2524.0500000000002</v>
      </c>
      <c r="G16" s="13">
        <v>1616</v>
      </c>
      <c r="H16" s="15">
        <f t="shared" si="3"/>
        <v>6383.2000000000007</v>
      </c>
      <c r="I16" s="30">
        <v>1302</v>
      </c>
      <c r="J16" s="36">
        <f t="shared" si="4"/>
        <v>5142.9000000000005</v>
      </c>
      <c r="K16" s="13">
        <f t="shared" si="0"/>
        <v>3557</v>
      </c>
      <c r="L16" s="15">
        <f t="shared" si="5"/>
        <v>14050.150000000001</v>
      </c>
      <c r="M16" s="30">
        <v>4746</v>
      </c>
      <c r="N16" s="30">
        <v>9533.64</v>
      </c>
      <c r="O16" s="13">
        <v>27000.000000000455</v>
      </c>
      <c r="P16" s="13">
        <f t="shared" si="6"/>
        <v>39621.590000000448</v>
      </c>
      <c r="Q16" s="16">
        <f t="shared" si="9"/>
        <v>26751.269298710304</v>
      </c>
      <c r="R16" s="31">
        <v>5</v>
      </c>
      <c r="S16" s="33">
        <f t="shared" si="1"/>
        <v>2085</v>
      </c>
      <c r="T16" s="13">
        <v>189</v>
      </c>
      <c r="U16" s="117">
        <v>160.63999999999999</v>
      </c>
      <c r="V16" s="13">
        <f t="shared" si="7"/>
        <v>349.64</v>
      </c>
      <c r="W16" s="16">
        <f t="shared" si="8"/>
        <v>1699.2504000000001</v>
      </c>
      <c r="X16" s="40">
        <f>SUM(L16+Q16+S16+W16)</f>
        <v>44585.669698710299</v>
      </c>
    </row>
    <row r="17" spans="1:24" s="4" customFormat="1" ht="22.5" customHeight="1" thickBot="1">
      <c r="A17" s="44">
        <v>13</v>
      </c>
      <c r="B17" s="27" t="s">
        <v>45</v>
      </c>
      <c r="C17" s="12">
        <v>0</v>
      </c>
      <c r="D17" s="29">
        <v>63.95</v>
      </c>
      <c r="E17" s="13">
        <v>611</v>
      </c>
      <c r="F17" s="32">
        <f t="shared" si="2"/>
        <v>2413.4500000000003</v>
      </c>
      <c r="G17" s="13">
        <v>1466</v>
      </c>
      <c r="H17" s="15">
        <f t="shared" si="3"/>
        <v>5790.7</v>
      </c>
      <c r="I17" s="30">
        <v>1323</v>
      </c>
      <c r="J17" s="36">
        <f t="shared" si="4"/>
        <v>5225.8500000000004</v>
      </c>
      <c r="K17" s="13">
        <f t="shared" si="0"/>
        <v>3400</v>
      </c>
      <c r="L17" s="15">
        <f t="shared" si="5"/>
        <v>13430</v>
      </c>
      <c r="M17" s="30">
        <v>5577</v>
      </c>
      <c r="N17" s="30">
        <v>9533.64</v>
      </c>
      <c r="O17" s="13">
        <v>28999.999999998636</v>
      </c>
      <c r="P17" s="13">
        <f t="shared" si="6"/>
        <v>42239.179999998632</v>
      </c>
      <c r="Q17" s="16">
        <f t="shared" si="9"/>
        <v>28518.584921419078</v>
      </c>
      <c r="R17" s="31">
        <v>6</v>
      </c>
      <c r="S17" s="33">
        <f t="shared" si="1"/>
        <v>2502</v>
      </c>
      <c r="T17" s="13">
        <v>186</v>
      </c>
      <c r="U17" s="117">
        <v>160.63999999999999</v>
      </c>
      <c r="V17" s="13">
        <f t="shared" si="7"/>
        <v>346.64</v>
      </c>
      <c r="W17" s="16">
        <f t="shared" si="8"/>
        <v>1684.6704</v>
      </c>
      <c r="X17" s="40">
        <f>SUM(L17+Q17+S17+W17)</f>
        <v>46135.255321419085</v>
      </c>
    </row>
    <row r="18" spans="1:24" s="4" customFormat="1" ht="22.5" customHeight="1" thickBot="1">
      <c r="A18" s="44">
        <v>14</v>
      </c>
      <c r="B18" s="27" t="s">
        <v>53</v>
      </c>
      <c r="C18" s="12">
        <v>0</v>
      </c>
      <c r="D18" s="29">
        <v>81.400000000000006</v>
      </c>
      <c r="E18" s="13">
        <v>598</v>
      </c>
      <c r="F18" s="32">
        <f t="shared" si="2"/>
        <v>2362.1</v>
      </c>
      <c r="G18" s="13">
        <v>1460</v>
      </c>
      <c r="H18" s="15">
        <f t="shared" si="3"/>
        <v>5767</v>
      </c>
      <c r="I18" s="30">
        <v>1442</v>
      </c>
      <c r="J18" s="36">
        <f t="shared" si="4"/>
        <v>5695.9000000000005</v>
      </c>
      <c r="K18" s="13">
        <f t="shared" si="0"/>
        <v>3500</v>
      </c>
      <c r="L18" s="15">
        <f t="shared" si="5"/>
        <v>13825</v>
      </c>
      <c r="M18" s="30">
        <v>6701</v>
      </c>
      <c r="N18" s="30">
        <v>9533.64</v>
      </c>
      <c r="O18" s="13">
        <v>30500.000000001819</v>
      </c>
      <c r="P18" s="13">
        <f t="shared" si="6"/>
        <v>43739.180000001819</v>
      </c>
      <c r="Q18" s="16">
        <f t="shared" si="9"/>
        <v>29531.338421421227</v>
      </c>
      <c r="R18" s="31">
        <v>6</v>
      </c>
      <c r="S18" s="33">
        <f t="shared" si="1"/>
        <v>2502</v>
      </c>
      <c r="T18" s="13">
        <v>178</v>
      </c>
      <c r="U18" s="117">
        <v>160.63999999999999</v>
      </c>
      <c r="V18" s="13">
        <f t="shared" si="7"/>
        <v>338.64</v>
      </c>
      <c r="W18" s="16">
        <f t="shared" si="8"/>
        <v>1645.7904000000001</v>
      </c>
      <c r="X18" s="40">
        <f>SUM(L18+Q18+S18+W18)</f>
        <v>47504.128821421225</v>
      </c>
    </row>
    <row r="19" spans="1:24" s="4" customFormat="1" ht="22.5" customHeight="1" thickBot="1">
      <c r="A19" s="44">
        <v>15</v>
      </c>
      <c r="B19" s="27" t="s">
        <v>41</v>
      </c>
      <c r="C19" s="12">
        <v>0</v>
      </c>
      <c r="D19" s="29">
        <v>63.95</v>
      </c>
      <c r="E19" s="13">
        <v>599</v>
      </c>
      <c r="F19" s="32">
        <f t="shared" si="2"/>
        <v>2366.0500000000002</v>
      </c>
      <c r="G19" s="13">
        <v>1554</v>
      </c>
      <c r="H19" s="15">
        <f t="shared" si="3"/>
        <v>6138.3</v>
      </c>
      <c r="I19" s="30">
        <v>966</v>
      </c>
      <c r="J19" s="36">
        <f t="shared" si="4"/>
        <v>3815.7000000000003</v>
      </c>
      <c r="K19" s="13">
        <f t="shared" si="0"/>
        <v>3119</v>
      </c>
      <c r="L19" s="15">
        <f t="shared" si="5"/>
        <v>12320.050000000001</v>
      </c>
      <c r="M19" s="30">
        <v>6996</v>
      </c>
      <c r="N19" s="30">
        <v>9533.64</v>
      </c>
      <c r="O19" s="13">
        <v>30799.999999999272</v>
      </c>
      <c r="P19" s="13">
        <f t="shared" si="6"/>
        <v>44656.769999999269</v>
      </c>
      <c r="Q19" s="16">
        <f t="shared" si="9"/>
        <v>30150.866744129507</v>
      </c>
      <c r="R19" s="31">
        <v>7</v>
      </c>
      <c r="S19" s="33">
        <f>SUM(R19*417)</f>
        <v>2919</v>
      </c>
      <c r="T19" s="13">
        <v>284</v>
      </c>
      <c r="U19" s="117">
        <v>160.63999999999999</v>
      </c>
      <c r="V19" s="13">
        <f t="shared" si="7"/>
        <v>444.64</v>
      </c>
      <c r="W19" s="16">
        <f t="shared" si="8"/>
        <v>2160.9504000000002</v>
      </c>
      <c r="X19" s="40">
        <f>SUM(L19+Q19+S19+W19)</f>
        <v>47550.867144129508</v>
      </c>
    </row>
    <row r="20" spans="1:24" s="4" customFormat="1" ht="22.5" customHeight="1" thickBot="1">
      <c r="A20" s="44">
        <v>16</v>
      </c>
      <c r="B20" s="27" t="s">
        <v>54</v>
      </c>
      <c r="C20" s="12">
        <v>0</v>
      </c>
      <c r="D20" s="29">
        <v>72.09</v>
      </c>
      <c r="E20" s="13">
        <v>597</v>
      </c>
      <c r="F20" s="32">
        <f t="shared" si="2"/>
        <v>2358.15</v>
      </c>
      <c r="G20" s="13">
        <v>1682</v>
      </c>
      <c r="H20" s="15">
        <f t="shared" si="3"/>
        <v>6643.9000000000005</v>
      </c>
      <c r="I20" s="30">
        <v>1136</v>
      </c>
      <c r="J20" s="36">
        <f t="shared" si="4"/>
        <v>4487.2</v>
      </c>
      <c r="K20" s="13">
        <f t="shared" si="0"/>
        <v>3415</v>
      </c>
      <c r="L20" s="15">
        <f t="shared" si="5"/>
        <v>13489.25</v>
      </c>
      <c r="M20" s="30">
        <v>6732</v>
      </c>
      <c r="N20" s="30">
        <v>9533.64</v>
      </c>
      <c r="O20" s="13">
        <v>30400.00000000191</v>
      </c>
      <c r="P20" s="13">
        <f t="shared" si="6"/>
        <v>44256.770000001903</v>
      </c>
      <c r="Q20" s="16">
        <f t="shared" si="9"/>
        <v>29880.799144131284</v>
      </c>
      <c r="R20" s="31">
        <v>7</v>
      </c>
      <c r="S20" s="33">
        <f t="shared" ref="S20:S34" si="10">SUM(R20*417)</f>
        <v>2919</v>
      </c>
      <c r="T20" s="13">
        <v>158</v>
      </c>
      <c r="U20" s="117">
        <v>160.63999999999999</v>
      </c>
      <c r="V20" s="13">
        <f t="shared" si="7"/>
        <v>318.64</v>
      </c>
      <c r="W20" s="16">
        <f t="shared" si="8"/>
        <v>1548.5904</v>
      </c>
      <c r="X20" s="40">
        <f>SUM(L20+Q20+S20+W20)</f>
        <v>47837.639544131285</v>
      </c>
    </row>
    <row r="21" spans="1:24" s="4" customFormat="1" ht="22.5" customHeight="1" thickBot="1">
      <c r="A21" s="44">
        <v>17</v>
      </c>
      <c r="B21" s="27" t="s">
        <v>40</v>
      </c>
      <c r="C21" s="12">
        <v>0</v>
      </c>
      <c r="D21" s="29">
        <v>74.42</v>
      </c>
      <c r="E21" s="13">
        <v>607</v>
      </c>
      <c r="F21" s="32">
        <f t="shared" si="2"/>
        <v>2397.65</v>
      </c>
      <c r="G21" s="13">
        <v>1707</v>
      </c>
      <c r="H21" s="15">
        <f t="shared" si="3"/>
        <v>6742.6500000000005</v>
      </c>
      <c r="I21" s="30">
        <v>1158</v>
      </c>
      <c r="J21" s="36">
        <f t="shared" si="4"/>
        <v>4574.1000000000004</v>
      </c>
      <c r="K21" s="13">
        <f>SUM(E21+G21+I21)</f>
        <v>3472</v>
      </c>
      <c r="L21" s="15">
        <f t="shared" si="5"/>
        <v>13714.400000000001</v>
      </c>
      <c r="M21" s="30">
        <v>6305</v>
      </c>
      <c r="N21" s="30">
        <v>9533.64</v>
      </c>
      <c r="O21" s="13">
        <v>29499.999999998181</v>
      </c>
      <c r="P21" s="13">
        <f t="shared" si="6"/>
        <v>43356.769999998178</v>
      </c>
      <c r="Q21" s="16">
        <f t="shared" si="9"/>
        <v>29273.147044128771</v>
      </c>
      <c r="R21" s="31">
        <v>7</v>
      </c>
      <c r="S21" s="33">
        <f t="shared" si="10"/>
        <v>2919</v>
      </c>
      <c r="T21" s="13">
        <v>227</v>
      </c>
      <c r="U21" s="117">
        <v>160.63999999999999</v>
      </c>
      <c r="V21" s="13">
        <f t="shared" si="7"/>
        <v>387.64</v>
      </c>
      <c r="W21" s="16">
        <f t="shared" si="8"/>
        <v>1883.9304</v>
      </c>
      <c r="X21" s="40">
        <f>SUM(L21+Q21+S21+W21)</f>
        <v>47790.477444128774</v>
      </c>
    </row>
    <row r="22" spans="1:24" s="4" customFormat="1" ht="22.5" customHeight="1" thickBot="1">
      <c r="A22" s="44">
        <v>18</v>
      </c>
      <c r="B22" s="27" t="s">
        <v>54</v>
      </c>
      <c r="C22" s="12">
        <v>0</v>
      </c>
      <c r="D22" s="29">
        <v>61.92</v>
      </c>
      <c r="E22" s="13">
        <v>625</v>
      </c>
      <c r="F22" s="32">
        <f t="shared" si="2"/>
        <v>2468.75</v>
      </c>
      <c r="G22" s="13">
        <v>1679</v>
      </c>
      <c r="H22" s="15">
        <f t="shared" si="3"/>
        <v>6632.05</v>
      </c>
      <c r="I22" s="30">
        <v>1147</v>
      </c>
      <c r="J22" s="36">
        <f t="shared" si="4"/>
        <v>4530.6500000000005</v>
      </c>
      <c r="K22" s="13">
        <f t="shared" si="0"/>
        <v>3451</v>
      </c>
      <c r="L22" s="15">
        <f t="shared" si="5"/>
        <v>13631.45</v>
      </c>
      <c r="M22" s="30">
        <v>6092</v>
      </c>
      <c r="N22" s="30">
        <v>9533.64</v>
      </c>
      <c r="O22" s="13">
        <v>30800.000000001546</v>
      </c>
      <c r="P22" s="13">
        <f t="shared" si="6"/>
        <v>44039.180000001543</v>
      </c>
      <c r="Q22" s="16">
        <f t="shared" si="9"/>
        <v>29733.889121421042</v>
      </c>
      <c r="R22" s="31">
        <v>6</v>
      </c>
      <c r="S22" s="33">
        <f t="shared" si="10"/>
        <v>2502</v>
      </c>
      <c r="T22" s="13">
        <v>258</v>
      </c>
      <c r="U22" s="117">
        <v>160.63999999999999</v>
      </c>
      <c r="V22" s="13">
        <f t="shared" si="7"/>
        <v>418.64</v>
      </c>
      <c r="W22" s="16">
        <f t="shared" si="8"/>
        <v>2034.5904</v>
      </c>
      <c r="X22" s="40">
        <f>SUM(L22+Q22+S22+W22)</f>
        <v>47901.929521421043</v>
      </c>
    </row>
    <row r="23" spans="1:24" s="4" customFormat="1" ht="22.5" customHeight="1" thickBot="1">
      <c r="A23" s="44">
        <v>19</v>
      </c>
      <c r="B23" s="27" t="s">
        <v>45</v>
      </c>
      <c r="C23" s="12">
        <v>0</v>
      </c>
      <c r="D23" s="29">
        <v>53.2</v>
      </c>
      <c r="E23" s="13">
        <v>552</v>
      </c>
      <c r="F23" s="32">
        <f t="shared" si="2"/>
        <v>2180.4</v>
      </c>
      <c r="G23" s="13">
        <v>1643</v>
      </c>
      <c r="H23" s="15">
        <f t="shared" si="3"/>
        <v>6489.85</v>
      </c>
      <c r="I23" s="30">
        <v>1052</v>
      </c>
      <c r="J23" s="36">
        <f t="shared" si="4"/>
        <v>4155.4000000000005</v>
      </c>
      <c r="K23" s="13">
        <f t="shared" si="0"/>
        <v>3247</v>
      </c>
      <c r="L23" s="15">
        <f t="shared" si="5"/>
        <v>12825.650000000001</v>
      </c>
      <c r="M23" s="30">
        <v>6228</v>
      </c>
      <c r="N23" s="30">
        <v>9533.64</v>
      </c>
      <c r="O23" s="13">
        <v>28699.999999998909</v>
      </c>
      <c r="P23" s="13">
        <f t="shared" si="6"/>
        <v>41939.179999998909</v>
      </c>
      <c r="Q23" s="16">
        <f t="shared" si="9"/>
        <v>28316.034221419264</v>
      </c>
      <c r="R23" s="31">
        <v>6</v>
      </c>
      <c r="S23" s="33">
        <f t="shared" si="10"/>
        <v>2502</v>
      </c>
      <c r="T23" s="13">
        <v>197</v>
      </c>
      <c r="U23" s="117">
        <v>160.63999999999999</v>
      </c>
      <c r="V23" s="13">
        <f t="shared" si="7"/>
        <v>357.64</v>
      </c>
      <c r="W23" s="16">
        <f t="shared" si="8"/>
        <v>1738.1304</v>
      </c>
      <c r="X23" s="40">
        <f>SUM(L23+Q23+S23+W23)</f>
        <v>45381.814621419267</v>
      </c>
    </row>
    <row r="24" spans="1:24" s="4" customFormat="1" ht="22.5" customHeight="1" thickBot="1">
      <c r="A24" s="44">
        <v>20</v>
      </c>
      <c r="B24" s="27" t="s">
        <v>53</v>
      </c>
      <c r="C24" s="12">
        <v>0</v>
      </c>
      <c r="D24" s="29">
        <v>58.43</v>
      </c>
      <c r="E24" s="13">
        <v>582</v>
      </c>
      <c r="F24" s="32">
        <f t="shared" si="2"/>
        <v>2298.9</v>
      </c>
      <c r="G24" s="13">
        <v>1563</v>
      </c>
      <c r="H24" s="15">
        <f t="shared" si="3"/>
        <v>6173.85</v>
      </c>
      <c r="I24" s="30">
        <v>1010</v>
      </c>
      <c r="J24" s="36">
        <f t="shared" si="4"/>
        <v>3989.5</v>
      </c>
      <c r="K24" s="13">
        <f t="shared" si="0"/>
        <v>3155</v>
      </c>
      <c r="L24" s="15">
        <f t="shared" si="5"/>
        <v>12462.25</v>
      </c>
      <c r="M24" s="30">
        <v>7133</v>
      </c>
      <c r="N24" s="30">
        <v>9533.64</v>
      </c>
      <c r="O24" s="13">
        <v>29600.000000000364</v>
      </c>
      <c r="P24" s="13">
        <f t="shared" si="6"/>
        <v>43456.770000000361</v>
      </c>
      <c r="Q24" s="16">
        <f t="shared" si="9"/>
        <v>29340.663944130243</v>
      </c>
      <c r="R24" s="31">
        <v>7</v>
      </c>
      <c r="S24" s="33">
        <f t="shared" si="10"/>
        <v>2919</v>
      </c>
      <c r="T24" s="13">
        <v>150</v>
      </c>
      <c r="U24" s="117">
        <v>160.63999999999999</v>
      </c>
      <c r="V24" s="13">
        <f t="shared" si="7"/>
        <v>310.64</v>
      </c>
      <c r="W24" s="16">
        <f t="shared" si="8"/>
        <v>1509.7103999999999</v>
      </c>
      <c r="X24" s="40">
        <f>SUM(L24+Q24+S24+W24)</f>
        <v>46231.624344130236</v>
      </c>
    </row>
    <row r="25" spans="1:24" s="4" customFormat="1" ht="22.5" customHeight="1" thickBot="1">
      <c r="A25" s="44">
        <v>21</v>
      </c>
      <c r="B25" s="27" t="s">
        <v>55</v>
      </c>
      <c r="C25" s="12">
        <v>0</v>
      </c>
      <c r="D25" s="29">
        <v>43.02</v>
      </c>
      <c r="E25" s="13">
        <v>602</v>
      </c>
      <c r="F25" s="32">
        <f t="shared" si="2"/>
        <v>2377.9</v>
      </c>
      <c r="G25" s="13">
        <v>1505</v>
      </c>
      <c r="H25" s="15">
        <f t="shared" si="3"/>
        <v>5944.75</v>
      </c>
      <c r="I25" s="30">
        <v>1014</v>
      </c>
      <c r="J25" s="36">
        <f t="shared" si="4"/>
        <v>4005.3</v>
      </c>
      <c r="K25" s="13">
        <f t="shared" si="0"/>
        <v>3121</v>
      </c>
      <c r="L25" s="15">
        <f t="shared" si="5"/>
        <v>12327.95</v>
      </c>
      <c r="M25" s="30">
        <v>7339</v>
      </c>
      <c r="N25" s="30">
        <v>9533.64</v>
      </c>
      <c r="O25" s="13">
        <v>29399.999999998272</v>
      </c>
      <c r="P25" s="13">
        <f t="shared" si="6"/>
        <v>44491.949999998265</v>
      </c>
      <c r="Q25" s="16">
        <f t="shared" si="9"/>
        <v>30039.585389548829</v>
      </c>
      <c r="R25" s="31">
        <v>9</v>
      </c>
      <c r="S25" s="33">
        <f t="shared" si="10"/>
        <v>3753</v>
      </c>
      <c r="T25" s="13">
        <v>203</v>
      </c>
      <c r="U25" s="117">
        <v>160.63999999999999</v>
      </c>
      <c r="V25" s="13">
        <f t="shared" si="7"/>
        <v>363.64</v>
      </c>
      <c r="W25" s="16">
        <f t="shared" si="8"/>
        <v>1767.2904000000001</v>
      </c>
      <c r="X25" s="40">
        <f>SUM(L25+Q25+S25+W25)</f>
        <v>47887.825789548828</v>
      </c>
    </row>
    <row r="26" spans="1:24" s="4" customFormat="1" ht="22.5" customHeight="1" thickBot="1">
      <c r="A26" s="44">
        <v>22</v>
      </c>
      <c r="B26" s="27" t="s">
        <v>56</v>
      </c>
      <c r="C26" s="12">
        <v>0</v>
      </c>
      <c r="D26" s="29">
        <v>52.33</v>
      </c>
      <c r="E26" s="13">
        <v>600</v>
      </c>
      <c r="F26" s="32">
        <f t="shared" si="2"/>
        <v>2370</v>
      </c>
      <c r="G26" s="13">
        <v>1446</v>
      </c>
      <c r="H26" s="15">
        <f t="shared" si="3"/>
        <v>5711.7</v>
      </c>
      <c r="I26" s="30">
        <v>925</v>
      </c>
      <c r="J26" s="36">
        <f t="shared" si="4"/>
        <v>3653.75</v>
      </c>
      <c r="K26" s="13">
        <f t="shared" si="0"/>
        <v>2971</v>
      </c>
      <c r="L26" s="15">
        <f t="shared" si="5"/>
        <v>11735.45</v>
      </c>
      <c r="M26" s="30">
        <v>7702</v>
      </c>
      <c r="N26" s="30">
        <v>9533.64</v>
      </c>
      <c r="O26" s="13">
        <v>29500.000000002728</v>
      </c>
      <c r="P26" s="13">
        <f t="shared" si="6"/>
        <v>43974.360000002729</v>
      </c>
      <c r="Q26" s="16">
        <f t="shared" si="9"/>
        <v>29690.124666841843</v>
      </c>
      <c r="R26" s="31">
        <v>8</v>
      </c>
      <c r="S26" s="33">
        <f t="shared" si="10"/>
        <v>3336</v>
      </c>
      <c r="T26" s="13">
        <v>170</v>
      </c>
      <c r="U26" s="117">
        <v>160.63999999999999</v>
      </c>
      <c r="V26" s="13">
        <f t="shared" si="7"/>
        <v>330.64</v>
      </c>
      <c r="W26" s="16">
        <f t="shared" si="8"/>
        <v>1606.9104</v>
      </c>
      <c r="X26" s="40">
        <f>SUM(L26+Q26+S26+W26)</f>
        <v>46368.485066841844</v>
      </c>
    </row>
    <row r="27" spans="1:24" s="4" customFormat="1" ht="22.5" customHeight="1" thickBot="1">
      <c r="A27" s="44">
        <v>23</v>
      </c>
      <c r="B27" s="27" t="s">
        <v>57</v>
      </c>
      <c r="C27" s="12">
        <v>271</v>
      </c>
      <c r="D27" s="29">
        <v>68.900000000000006</v>
      </c>
      <c r="E27" s="13">
        <v>727</v>
      </c>
      <c r="F27" s="32">
        <f t="shared" si="2"/>
        <v>2871.65</v>
      </c>
      <c r="G27" s="13">
        <v>1473</v>
      </c>
      <c r="H27" s="15">
        <f t="shared" si="3"/>
        <v>5818.35</v>
      </c>
      <c r="I27" s="30">
        <v>959</v>
      </c>
      <c r="J27" s="36">
        <f t="shared" si="4"/>
        <v>3788.05</v>
      </c>
      <c r="K27" s="13">
        <f t="shared" si="0"/>
        <v>3159</v>
      </c>
      <c r="L27" s="15">
        <f t="shared" si="5"/>
        <v>12478.050000000001</v>
      </c>
      <c r="M27" s="30">
        <v>7975</v>
      </c>
      <c r="N27" s="30">
        <v>9533.64</v>
      </c>
      <c r="O27" s="13">
        <v>30399.999999997362</v>
      </c>
      <c r="P27" s="13">
        <f t="shared" si="6"/>
        <v>47344.719999997367</v>
      </c>
      <c r="Q27" s="16">
        <f t="shared" si="9"/>
        <v>31965.687257678223</v>
      </c>
      <c r="R27" s="31">
        <v>12</v>
      </c>
      <c r="S27" s="33">
        <f t="shared" si="10"/>
        <v>5004</v>
      </c>
      <c r="T27" s="13">
        <v>172</v>
      </c>
      <c r="U27" s="117">
        <v>160.63999999999999</v>
      </c>
      <c r="V27" s="13">
        <f t="shared" si="7"/>
        <v>332.64</v>
      </c>
      <c r="W27" s="16">
        <f t="shared" si="8"/>
        <v>1616.6304</v>
      </c>
      <c r="X27" s="40">
        <f>SUM(L27+Q27+S27+W27)</f>
        <v>51064.367657678224</v>
      </c>
    </row>
    <row r="28" spans="1:24" s="4" customFormat="1" ht="22.5" customHeight="1" thickBot="1">
      <c r="A28" s="44">
        <v>24</v>
      </c>
      <c r="B28" s="27" t="s">
        <v>57</v>
      </c>
      <c r="C28" s="12">
        <v>100</v>
      </c>
      <c r="D28" s="29">
        <v>67.73</v>
      </c>
      <c r="E28" s="13">
        <v>554</v>
      </c>
      <c r="F28" s="32">
        <f t="shared" si="2"/>
        <v>2188.3000000000002</v>
      </c>
      <c r="G28" s="13">
        <v>1412</v>
      </c>
      <c r="H28" s="15">
        <f t="shared" si="3"/>
        <v>5577.4000000000005</v>
      </c>
      <c r="I28" s="30">
        <v>932</v>
      </c>
      <c r="J28" s="36">
        <f t="shared" si="4"/>
        <v>3681.4</v>
      </c>
      <c r="K28" s="13">
        <f t="shared" si="0"/>
        <v>2898</v>
      </c>
      <c r="L28" s="15">
        <f t="shared" si="5"/>
        <v>11447.1</v>
      </c>
      <c r="M28" s="30">
        <v>7446</v>
      </c>
      <c r="N28" s="30">
        <v>9533.64</v>
      </c>
      <c r="O28" s="13">
        <v>30500.000000001819</v>
      </c>
      <c r="P28" s="13">
        <f t="shared" si="6"/>
        <v>44974.36000000182</v>
      </c>
      <c r="Q28" s="16">
        <f t="shared" si="9"/>
        <v>30365.293666841229</v>
      </c>
      <c r="R28" s="31">
        <v>8</v>
      </c>
      <c r="S28" s="33">
        <f t="shared" si="10"/>
        <v>3336</v>
      </c>
      <c r="T28" s="13">
        <v>172</v>
      </c>
      <c r="U28" s="117">
        <v>160.63999999999999</v>
      </c>
      <c r="V28" s="13">
        <f t="shared" si="7"/>
        <v>332.64</v>
      </c>
      <c r="W28" s="16">
        <f t="shared" si="8"/>
        <v>1616.6304</v>
      </c>
      <c r="X28" s="40">
        <f>SUM(L28+Q28+S28+W28)</f>
        <v>46765.02406684123</v>
      </c>
    </row>
    <row r="29" spans="1:24" s="4" customFormat="1" ht="22.5" customHeight="1" thickBot="1">
      <c r="A29" s="44">
        <v>25</v>
      </c>
      <c r="B29" s="27" t="s">
        <v>58</v>
      </c>
      <c r="C29" s="12">
        <v>50</v>
      </c>
      <c r="D29" s="29">
        <v>53.2</v>
      </c>
      <c r="E29" s="13">
        <v>559</v>
      </c>
      <c r="F29" s="32">
        <f t="shared" si="2"/>
        <v>2208.0500000000002</v>
      </c>
      <c r="G29" s="13">
        <v>1448</v>
      </c>
      <c r="H29" s="15">
        <f t="shared" si="3"/>
        <v>5719.6</v>
      </c>
      <c r="I29" s="30">
        <v>995</v>
      </c>
      <c r="J29" s="36">
        <f t="shared" si="4"/>
        <v>3930.25</v>
      </c>
      <c r="K29" s="13">
        <f>SUM(I29+G29+E29)</f>
        <v>3002</v>
      </c>
      <c r="L29" s="15">
        <f t="shared" si="5"/>
        <v>11857.9</v>
      </c>
      <c r="M29" s="30">
        <v>6783</v>
      </c>
      <c r="N29" s="30">
        <v>9533.64</v>
      </c>
      <c r="O29" s="13">
        <v>29600.000000000364</v>
      </c>
      <c r="P29" s="13">
        <f t="shared" si="6"/>
        <v>44691.950000000361</v>
      </c>
      <c r="Q29" s="16">
        <f t="shared" si="9"/>
        <v>30174.619189550245</v>
      </c>
      <c r="R29" s="31">
        <v>9</v>
      </c>
      <c r="S29" s="33">
        <f t="shared" si="10"/>
        <v>3753</v>
      </c>
      <c r="T29" s="13">
        <v>216</v>
      </c>
      <c r="U29" s="117">
        <v>160.63999999999999</v>
      </c>
      <c r="V29" s="13">
        <f t="shared" si="7"/>
        <v>376.64</v>
      </c>
      <c r="W29" s="16">
        <f t="shared" si="8"/>
        <v>1830.4704000000002</v>
      </c>
      <c r="X29" s="40">
        <f>SUM(L29+Q29+S29+W29)</f>
        <v>47615.989589550241</v>
      </c>
    </row>
    <row r="30" spans="1:24" s="4" customFormat="1" ht="22.5" customHeight="1" thickBot="1">
      <c r="A30" s="44">
        <v>26</v>
      </c>
      <c r="B30" s="27" t="s">
        <v>59</v>
      </c>
      <c r="C30" s="12">
        <v>85</v>
      </c>
      <c r="D30" s="65">
        <v>56.69</v>
      </c>
      <c r="E30" s="13">
        <v>558</v>
      </c>
      <c r="F30" s="32">
        <f t="shared" si="2"/>
        <v>2204.1</v>
      </c>
      <c r="G30" s="13">
        <v>1471</v>
      </c>
      <c r="H30" s="15">
        <f t="shared" si="3"/>
        <v>5810.45</v>
      </c>
      <c r="I30" s="30">
        <v>796</v>
      </c>
      <c r="J30" s="36">
        <f t="shared" si="4"/>
        <v>3144.2000000000003</v>
      </c>
      <c r="K30" s="13">
        <f t="shared" si="0"/>
        <v>2825</v>
      </c>
      <c r="L30" s="15">
        <f t="shared" si="5"/>
        <v>11158.75</v>
      </c>
      <c r="M30" s="30">
        <v>5639</v>
      </c>
      <c r="N30" s="30">
        <v>9533.64</v>
      </c>
      <c r="O30" s="13">
        <v>27899.999999999636</v>
      </c>
      <c r="P30" s="13">
        <f t="shared" si="6"/>
        <v>44844.719999999637</v>
      </c>
      <c r="Q30" s="16">
        <f t="shared" si="9"/>
        <v>30277.764757679757</v>
      </c>
      <c r="R30" s="31">
        <v>12</v>
      </c>
      <c r="S30" s="33">
        <f t="shared" si="10"/>
        <v>5004</v>
      </c>
      <c r="T30" s="13">
        <v>157</v>
      </c>
      <c r="U30" s="117">
        <v>160.63999999999999</v>
      </c>
      <c r="V30" s="13">
        <f t="shared" si="7"/>
        <v>317.64</v>
      </c>
      <c r="W30" s="16">
        <f t="shared" si="8"/>
        <v>1543.7304000000001</v>
      </c>
      <c r="X30" s="40">
        <f>SUM(L30+Q30+S30+W30)</f>
        <v>47984.245157679761</v>
      </c>
    </row>
    <row r="31" spans="1:24" s="4" customFormat="1" ht="22.5" customHeight="1" thickBot="1">
      <c r="A31" s="44">
        <v>27</v>
      </c>
      <c r="B31" s="27" t="s">
        <v>59</v>
      </c>
      <c r="C31" s="12">
        <v>56</v>
      </c>
      <c r="D31" s="29">
        <v>77.33</v>
      </c>
      <c r="E31" s="13">
        <v>662</v>
      </c>
      <c r="F31" s="32">
        <f t="shared" si="2"/>
        <v>2614.9</v>
      </c>
      <c r="G31" s="13">
        <v>1475</v>
      </c>
      <c r="H31" s="15">
        <f t="shared" si="3"/>
        <v>5826.25</v>
      </c>
      <c r="I31" s="30">
        <v>1024</v>
      </c>
      <c r="J31" s="36">
        <f t="shared" si="4"/>
        <v>4044.8</v>
      </c>
      <c r="K31" s="13">
        <f t="shared" si="0"/>
        <v>3161</v>
      </c>
      <c r="L31" s="15">
        <f t="shared" si="5"/>
        <v>12485.95</v>
      </c>
      <c r="M31" s="30">
        <v>4392</v>
      </c>
      <c r="N31" s="30">
        <v>9533.64</v>
      </c>
      <c r="O31" s="13">
        <v>26499.999999998636</v>
      </c>
      <c r="P31" s="13">
        <f t="shared" si="6"/>
        <v>41591.949999998629</v>
      </c>
      <c r="Q31" s="16">
        <f t="shared" si="9"/>
        <v>28081.595289549074</v>
      </c>
      <c r="R31" s="31">
        <v>9</v>
      </c>
      <c r="S31" s="33">
        <f t="shared" si="10"/>
        <v>3753</v>
      </c>
      <c r="T31" s="13">
        <v>176</v>
      </c>
      <c r="U31" s="117">
        <v>160.63999999999999</v>
      </c>
      <c r="V31" s="13">
        <f t="shared" si="7"/>
        <v>336.64</v>
      </c>
      <c r="W31" s="16">
        <f t="shared" si="8"/>
        <v>1636.0704000000001</v>
      </c>
      <c r="X31" s="40">
        <f>SUM(L31+Q31+S31+W31)</f>
        <v>45956.615689549071</v>
      </c>
    </row>
    <row r="32" spans="1:24" s="4" customFormat="1" ht="22.5" customHeight="1" thickBot="1">
      <c r="A32" s="44">
        <v>28</v>
      </c>
      <c r="B32" s="27" t="s">
        <v>43</v>
      </c>
      <c r="C32" s="12">
        <v>0</v>
      </c>
      <c r="D32" s="29">
        <v>48.55</v>
      </c>
      <c r="E32" s="13">
        <v>546</v>
      </c>
      <c r="F32" s="32">
        <f t="shared" si="2"/>
        <v>2156.7000000000003</v>
      </c>
      <c r="G32" s="13">
        <v>1459</v>
      </c>
      <c r="H32" s="15">
        <f t="shared" si="3"/>
        <v>5763.05</v>
      </c>
      <c r="I32" s="30">
        <v>1015</v>
      </c>
      <c r="J32" s="36">
        <f t="shared" si="4"/>
        <v>4009.25</v>
      </c>
      <c r="K32" s="13">
        <f t="shared" si="0"/>
        <v>3020</v>
      </c>
      <c r="L32" s="15">
        <f t="shared" si="5"/>
        <v>11929</v>
      </c>
      <c r="M32" s="30">
        <v>4798</v>
      </c>
      <c r="N32" s="30">
        <v>9533.64</v>
      </c>
      <c r="O32" s="13">
        <v>27400.000000002365</v>
      </c>
      <c r="P32" s="13">
        <f t="shared" si="6"/>
        <v>41874.360000002365</v>
      </c>
      <c r="Q32" s="16">
        <f t="shared" si="9"/>
        <v>28272.269766841597</v>
      </c>
      <c r="R32" s="31">
        <v>8</v>
      </c>
      <c r="S32" s="33">
        <f t="shared" si="10"/>
        <v>3336</v>
      </c>
      <c r="T32" s="13">
        <v>183</v>
      </c>
      <c r="U32" s="117">
        <v>160.63999999999999</v>
      </c>
      <c r="V32" s="13">
        <f t="shared" si="7"/>
        <v>343.64</v>
      </c>
      <c r="W32" s="16">
        <f t="shared" si="8"/>
        <v>1670.0904</v>
      </c>
      <c r="X32" s="40">
        <f>SUM(L32+Q32+S32+W32)</f>
        <v>45207.360166841594</v>
      </c>
    </row>
    <row r="33" spans="1:24" s="4" customFormat="1" ht="22.5" customHeight="1" thickBot="1">
      <c r="A33" s="44">
        <v>29</v>
      </c>
      <c r="B33" s="27"/>
      <c r="C33" s="12"/>
      <c r="D33" s="29"/>
      <c r="E33" s="13"/>
      <c r="F33" s="33">
        <f t="shared" ref="F33:F34" si="11">IF(E33&gt;0,E33*4.17,0)</f>
        <v>0</v>
      </c>
      <c r="G33" s="13"/>
      <c r="H33" s="34">
        <f t="shared" ref="H33:H34" si="12">IF(G33&gt;0,G33*4.17,0)</f>
        <v>0</v>
      </c>
      <c r="I33" s="30"/>
      <c r="J33" s="37">
        <f t="shared" ref="J33:J34" si="13">IF(I33&gt;0,I33*4.17,0)</f>
        <v>0</v>
      </c>
      <c r="K33" s="13">
        <f t="shared" si="0"/>
        <v>0</v>
      </c>
      <c r="L33" s="34">
        <f>IF(K33&gt;0,K33*4.17,0)</f>
        <v>0</v>
      </c>
      <c r="M33" s="30"/>
      <c r="N33" s="30"/>
      <c r="O33" s="30"/>
      <c r="P33" s="13"/>
      <c r="Q33" s="16" t="b">
        <f t="shared" si="9"/>
        <v>0</v>
      </c>
      <c r="R33" s="31"/>
      <c r="S33" s="33">
        <f t="shared" si="10"/>
        <v>0</v>
      </c>
      <c r="T33" s="114"/>
      <c r="U33" s="114"/>
      <c r="V33" s="13"/>
      <c r="W33" s="17">
        <f>V33*3.7287</f>
        <v>0</v>
      </c>
      <c r="X33" s="40">
        <f>SUM(L33+Q33+S33+W33)</f>
        <v>0</v>
      </c>
    </row>
    <row r="34" spans="1:24" s="4" customFormat="1" ht="22.5" customHeight="1" thickBot="1">
      <c r="A34" s="44">
        <v>30</v>
      </c>
      <c r="B34" s="27"/>
      <c r="C34" s="12"/>
      <c r="D34" s="29"/>
      <c r="E34" s="13"/>
      <c r="F34" s="33">
        <f t="shared" si="11"/>
        <v>0</v>
      </c>
      <c r="G34" s="13"/>
      <c r="H34" s="34">
        <f t="shared" si="12"/>
        <v>0</v>
      </c>
      <c r="I34" s="30"/>
      <c r="J34" s="37">
        <f t="shared" si="13"/>
        <v>0</v>
      </c>
      <c r="K34" s="13">
        <f t="shared" si="0"/>
        <v>0</v>
      </c>
      <c r="L34" s="34">
        <f>IF(K34&gt;0,K34*4.17,0)</f>
        <v>0</v>
      </c>
      <c r="M34" s="30"/>
      <c r="N34" s="30"/>
      <c r="O34" s="30"/>
      <c r="P34" s="13"/>
      <c r="Q34" s="16" t="b">
        <f t="shared" si="9"/>
        <v>0</v>
      </c>
      <c r="R34" s="31"/>
      <c r="S34" s="33">
        <f t="shared" si="10"/>
        <v>0</v>
      </c>
      <c r="T34" s="114"/>
      <c r="U34" s="114"/>
      <c r="V34" s="69"/>
      <c r="W34" s="17">
        <f>V34*3.7287</f>
        <v>0</v>
      </c>
      <c r="X34" s="40">
        <f>SUM(L34+Q34+S34+W34)</f>
        <v>0</v>
      </c>
    </row>
    <row r="35" spans="1:24" s="4" customFormat="1" ht="22.5" customHeight="1">
      <c r="A35" s="44">
        <v>31</v>
      </c>
      <c r="B35" s="27"/>
      <c r="C35" s="66"/>
      <c r="D35" s="67"/>
      <c r="E35" s="13"/>
      <c r="F35" s="33">
        <f>IF(E35&gt;0,E35*4.17,0)</f>
        <v>0</v>
      </c>
      <c r="G35" s="13"/>
      <c r="H35" s="34">
        <f>IF(G35&gt;0,G35*4.17,0)</f>
        <v>0</v>
      </c>
      <c r="I35" s="30"/>
      <c r="J35" s="37">
        <f>IF(I35&gt;0,I35*4.17,0)</f>
        <v>0</v>
      </c>
      <c r="K35" s="13">
        <f>SUM(I35+G35+E35)</f>
        <v>0</v>
      </c>
      <c r="L35" s="34">
        <f>IF(K35&gt;0,K35*4.17,0)</f>
        <v>0</v>
      </c>
      <c r="M35" s="30"/>
      <c r="N35" s="30"/>
      <c r="O35" s="30"/>
      <c r="P35" s="13"/>
      <c r="Q35" s="16" t="b">
        <f>IF(P35&gt;0,P35*0.675169)</f>
        <v>0</v>
      </c>
      <c r="R35" s="31"/>
      <c r="S35" s="33">
        <f>SUM(R35*417)</f>
        <v>0</v>
      </c>
      <c r="T35" s="114"/>
      <c r="U35" s="114"/>
      <c r="V35" s="69"/>
      <c r="W35" s="17">
        <f>V35*3.7287</f>
        <v>0</v>
      </c>
      <c r="X35" s="40">
        <f>SUM(L35+Q35+S35+W35)</f>
        <v>0</v>
      </c>
    </row>
    <row r="36" spans="1:24" s="4" customFormat="1" ht="22.5" customHeight="1" thickBot="1">
      <c r="A36" s="45" t="s">
        <v>38</v>
      </c>
      <c r="B36" s="27"/>
      <c r="C36" s="12"/>
      <c r="D36" s="29"/>
      <c r="E36" s="28"/>
      <c r="F36" s="19"/>
      <c r="G36" s="28"/>
      <c r="H36" s="35"/>
      <c r="I36" s="14"/>
      <c r="J36" s="18"/>
      <c r="K36" s="38"/>
      <c r="L36" s="35"/>
      <c r="M36" s="14"/>
      <c r="N36" s="14"/>
      <c r="O36" s="14"/>
      <c r="P36" s="28"/>
      <c r="Q36" s="39"/>
      <c r="R36" s="14"/>
      <c r="S36" s="19"/>
      <c r="T36" s="19"/>
      <c r="U36" s="19"/>
      <c r="V36" s="28"/>
      <c r="W36" s="39"/>
      <c r="X36" s="41"/>
    </row>
    <row r="37" spans="1:24" s="4" customFormat="1" ht="23.1" customHeight="1" thickBot="1">
      <c r="A37" s="92" t="s">
        <v>39</v>
      </c>
      <c r="B37" s="93"/>
      <c r="C37" s="93"/>
      <c r="D37" s="93"/>
      <c r="E37" s="42">
        <f>SUM(E5:E35)</f>
        <v>17000</v>
      </c>
      <c r="F37" s="68">
        <f>SUM(F5:F35)</f>
        <v>67150.000000000015</v>
      </c>
      <c r="G37" s="68">
        <f t="shared" ref="G37:W37" si="14">SUM(G5:G35)</f>
        <v>41977</v>
      </c>
      <c r="H37" s="68">
        <f t="shared" si="14"/>
        <v>165809.15000000002</v>
      </c>
      <c r="I37" s="68">
        <f t="shared" si="14"/>
        <v>30221</v>
      </c>
      <c r="J37" s="68">
        <f t="shared" si="14"/>
        <v>119372.95</v>
      </c>
      <c r="K37" s="113">
        <f t="shared" si="14"/>
        <v>89198</v>
      </c>
      <c r="L37" s="68">
        <f t="shared" si="14"/>
        <v>352332.1</v>
      </c>
      <c r="M37" s="68">
        <f t="shared" si="14"/>
        <v>174339</v>
      </c>
      <c r="N37" s="68"/>
      <c r="O37" s="68"/>
      <c r="P37" s="113">
        <f t="shared" si="14"/>
        <v>1216699.6700000018</v>
      </c>
      <c r="Q37" s="68">
        <f t="shared" si="14"/>
        <v>821477.89949423121</v>
      </c>
      <c r="R37" s="68">
        <f t="shared" si="14"/>
        <v>225</v>
      </c>
      <c r="S37" s="68">
        <f t="shared" si="14"/>
        <v>93825</v>
      </c>
      <c r="T37" s="68"/>
      <c r="U37" s="68"/>
      <c r="V37" s="113">
        <f t="shared" si="14"/>
        <v>9269.92</v>
      </c>
      <c r="W37" s="68">
        <f t="shared" si="14"/>
        <v>45051.811200000004</v>
      </c>
      <c r="X37" s="70">
        <f>SUM(X5:X35)</f>
        <v>1312686.8106942314</v>
      </c>
    </row>
    <row r="38" spans="1:24" ht="19.5" customHeight="1">
      <c r="E38" s="5"/>
      <c r="F38" s="5"/>
      <c r="G38" s="6"/>
      <c r="Q38" s="7"/>
      <c r="W38" s="2"/>
      <c r="X38" s="2"/>
    </row>
    <row r="39" spans="1:24" ht="19.149999999999999" customHeight="1">
      <c r="E39" s="8"/>
      <c r="F39" s="5"/>
      <c r="G39" s="6"/>
      <c r="Q39" s="1"/>
      <c r="W39" s="2"/>
      <c r="X39" s="2"/>
    </row>
    <row r="40" spans="1:24" ht="19.149999999999999" customHeight="1">
      <c r="E40" s="9"/>
      <c r="Q40" s="1"/>
      <c r="W40" s="2"/>
      <c r="X40" s="2"/>
    </row>
    <row r="41" spans="1:24" ht="19.149999999999999" customHeight="1">
      <c r="Q41" s="1"/>
      <c r="W41" s="2"/>
      <c r="X41" s="2"/>
    </row>
    <row r="42" spans="1:24" ht="19.149999999999999" customHeight="1">
      <c r="Q42" s="1"/>
      <c r="W42" s="2"/>
      <c r="X42" s="2"/>
    </row>
    <row r="43" spans="1:24" ht="19.149999999999999" customHeight="1">
      <c r="Q43" s="1"/>
      <c r="W43" s="2"/>
      <c r="X43" s="2"/>
    </row>
    <row r="44" spans="1:24" ht="19.149999999999999" customHeight="1">
      <c r="Q44" s="1"/>
      <c r="W44" s="2"/>
      <c r="X44" s="2"/>
    </row>
    <row r="45" spans="1:24" ht="19.149999999999999" customHeight="1">
      <c r="Q45" s="1"/>
      <c r="W45" s="2"/>
      <c r="X45" s="2"/>
    </row>
    <row r="46" spans="1:24" ht="19.149999999999999" customHeight="1"/>
    <row r="47" spans="1:24" ht="19.149999999999999" customHeight="1"/>
    <row r="48" spans="1:24" ht="19.149999999999999" customHeight="1"/>
    <row r="49" ht="19.149999999999999" customHeight="1"/>
    <row r="50" ht="19.149999999999999" customHeight="1"/>
    <row r="51" ht="19.149999999999999" customHeight="1"/>
    <row r="52" ht="19.149999999999999" customHeight="1"/>
    <row r="53" ht="19.149999999999999" customHeight="1"/>
    <row r="54" ht="19.149999999999999" customHeight="1"/>
    <row r="55" ht="19.149999999999999" customHeight="1"/>
    <row r="56" ht="19.149999999999999" customHeight="1"/>
    <row r="57" ht="19.149999999999999" customHeight="1"/>
    <row r="58" ht="19.149999999999999" customHeight="1"/>
    <row r="59" ht="19.149999999999999" customHeight="1"/>
    <row r="60" ht="19.149999999999999" customHeight="1"/>
    <row r="61" ht="19.149999999999999" customHeight="1"/>
  </sheetData>
  <mergeCells count="20">
    <mergeCell ref="A37:D37"/>
    <mergeCell ref="X2:X4"/>
    <mergeCell ref="V3:W3"/>
    <mergeCell ref="G2:H3"/>
    <mergeCell ref="I2:J3"/>
    <mergeCell ref="V2:W2"/>
    <mergeCell ref="R2:S3"/>
    <mergeCell ref="N2:N3"/>
    <mergeCell ref="O2:O3"/>
    <mergeCell ref="T2:T3"/>
    <mergeCell ref="U2:U3"/>
    <mergeCell ref="A1:X1"/>
    <mergeCell ref="A2:A4"/>
    <mergeCell ref="B2:B4"/>
    <mergeCell ref="C2:C4"/>
    <mergeCell ref="D2:D4"/>
    <mergeCell ref="E2:F3"/>
    <mergeCell ref="M2:M3"/>
    <mergeCell ref="P2:Q3"/>
    <mergeCell ref="K2:L3"/>
  </mergeCells>
  <phoneticPr fontId="2" type="noConversion"/>
  <printOptions horizontalCentered="1" verticalCentered="1"/>
  <pageMargins left="0.23622047244094491" right="0.23622047244094491" top="0" bottom="0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SUBMETERING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</cp:lastModifiedBy>
  <cp:revision/>
  <cp:lastPrinted>2021-02-08T02:55:33Z</cp:lastPrinted>
  <dcterms:created xsi:type="dcterms:W3CDTF">2009-01-03T01:47:59Z</dcterms:created>
  <dcterms:modified xsi:type="dcterms:W3CDTF">2021-09-17T03:20:55Z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