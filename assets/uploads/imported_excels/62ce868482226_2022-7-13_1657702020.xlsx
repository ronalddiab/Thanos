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28" documentId="13_ncr:1_{76C55D63-F869-4AF5-AAA3-3D809A91432B}" xr6:coauthVersionLast="47" xr6:coauthVersionMax="47" xr10:uidLastSave="{D9360D5B-DEAB-487F-B0B5-182B5DDEE3A0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7" i="27" l="1"/>
  <c r="J16" i="27"/>
  <c r="J15" i="27"/>
  <c r="J14" i="27"/>
  <c r="J13" i="27"/>
  <c r="J12" i="27"/>
  <c r="J11" i="27"/>
  <c r="J10" i="27"/>
  <c r="J9" i="27"/>
  <c r="J8" i="27"/>
  <c r="J7" i="27"/>
  <c r="J5" i="27"/>
  <c r="J6" i="27"/>
  <c r="L37" i="27"/>
  <c r="L36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<sst xmlns="http://schemas.openxmlformats.org/spreadsheetml/2006/main" count="72" uniqueCount="33">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</sst>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7"/>
    </row>
    <row r="3" spans="1:15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26849.999999999454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1519</v>
      </c>
      <c r="J6" s="83">
        <v>0.21186441</v>
      </c>
      <c r="K6" s="11">
        <f>IF('Water, Gas, Diesel'!F10&lt;0,0,'Water, Gas, Diesel'!F10)</f>
        <v>213</v>
      </c>
      <c r="L6" s="83">
        <v>1.6949000000000001</v>
      </c>
      <c r="M6" s="11">
        <f>Electricity!H12</f>
        <v>98</v>
      </c>
    </row>
    <row r="7" spans="1:15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21887.500000002547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1450</v>
      </c>
      <c r="J7" s="83">
        <v>0.21186441</v>
      </c>
      <c r="K7" s="11">
        <f>IF('Water, Gas, Diesel'!F11&lt;0,0,'Water, Gas, Diesel'!F11)</f>
        <v>225</v>
      </c>
      <c r="L7" s="83">
        <v>1.6949000000000001</v>
      </c>
      <c r="M7" s="11">
        <f>Electricity!H13</f>
        <v>94</v>
      </c>
    </row>
    <row r="8" spans="1:15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25747.500000002219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1729</v>
      </c>
      <c r="J8" s="83">
        <v>0.21186441</v>
      </c>
      <c r="K8" s="11">
        <f>IF('Water, Gas, Diesel'!F12&lt;0,0,'Water, Gas, Diesel'!F12)</f>
        <v>262</v>
      </c>
      <c r="L8" s="83">
        <v>1.6949000000000001</v>
      </c>
      <c r="M8" s="11">
        <f>Electricity!H14</f>
        <v>119</v>
      </c>
    </row>
    <row r="9" spans="1:15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21794.999999997344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1621</v>
      </c>
      <c r="J9" s="83">
        <v>0.21186441</v>
      </c>
      <c r="K9" s="11">
        <f>IF('Water, Gas, Diesel'!F13&lt;0,0,'Water, Gas, Diesel'!F13)</f>
        <v>260</v>
      </c>
      <c r="L9" s="83">
        <v>1.6949000000000001</v>
      </c>
      <c r="M9" s="11">
        <f>Electricity!H15</f>
        <v>133</v>
      </c>
    </row>
    <row r="10" spans="1:15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23837.499999999636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1403</v>
      </c>
      <c r="J10" s="83">
        <v>0.21186441</v>
      </c>
      <c r="K10" s="11">
        <f>IF('Water, Gas, Diesel'!F14&lt;0,0,'Water, Gas, Diesel'!F14)</f>
        <v>253</v>
      </c>
      <c r="L10" s="83">
        <v>1.6949000000000001</v>
      </c>
      <c r="M10" s="11">
        <f>Electricity!H16</f>
        <v>129</v>
      </c>
    </row>
    <row r="11" spans="1:15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21484.999999997854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1020</v>
      </c>
      <c r="J11" s="83">
        <v>0.21186441</v>
      </c>
      <c r="K11" s="11">
        <f>IF('Water, Gas, Diesel'!F15&lt;0,0,'Water, Gas, Diesel'!F15)</f>
        <v>229</v>
      </c>
      <c r="L11" s="83">
        <v>1.6949000000000001</v>
      </c>
      <c r="M11" s="11">
        <f>Electricity!H17</f>
        <v>146</v>
      </c>
    </row>
    <row r="12" spans="1:15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21055.000000001201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962</v>
      </c>
      <c r="J12" s="83">
        <v>0.21186441</v>
      </c>
      <c r="K12" s="11">
        <f>IF('Water, Gas, Diesel'!F16&lt;0,0,'Water, Gas, Diesel'!F16)</f>
        <v>236</v>
      </c>
      <c r="L12" s="83">
        <v>1.6949000000000001</v>
      </c>
      <c r="M12" s="11">
        <f>Electricity!H18</f>
        <v>147</v>
      </c>
    </row>
    <row r="13" spans="1:15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11680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146</v>
      </c>
    </row>
    <row r="14" spans="1:15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0" activePane="bottomLeft" state="frozen"/>
      <selection pane="bottomLeft" activeCell="H20" sqref="H20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 ht="15.75" thickBot="1">
      <c r="A5" s="149"/>
      <c r="B5" s="17" t="s">
        <v>22</v>
      </c>
      <c r="C5" s="62" t="s">
        <v>23</v>
      </c>
      <c r="D5" s="63" t="s">
        <v>22</v>
      </c>
      <c r="E5" s="62" t="s">
        <v>23</v>
      </c>
      <c r="F5" s="154"/>
      <c r="G5" s="156"/>
      <c r="H5" s="146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hidden="1" customHeight="1">
      <c r="A7" s="99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5">
        <f t="shared" ref="F7:F38" si="2">C7+E7</f>
        <v>23002.499999997781</v>
      </c>
      <c r="G7" s="67">
        <f>F7*0.0932</f>
        <v>2143.8329999997932</v>
      </c>
      <c r="H7" s="141">
        <v>141</v>
      </c>
    </row>
    <row r="8" spans="1:8" ht="30.95" customHeight="1">
      <c r="A8" s="100">
        <v>1</v>
      </c>
      <c r="B8" s="94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101">
        <v>141</v>
      </c>
    </row>
    <row r="9" spans="1:8" ht="30.95" customHeight="1">
      <c r="A9" s="102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3">
        <v>108</v>
      </c>
    </row>
    <row r="10" spans="1:8" ht="30.95" customHeight="1">
      <c r="A10" s="100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3">
        <v>82</v>
      </c>
    </row>
    <row r="11" spans="1:8" ht="30.95" customHeight="1">
      <c r="A11" s="102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3">
        <v>95</v>
      </c>
    </row>
    <row r="12" spans="1:8" ht="30.95" customHeight="1">
      <c r="A12" s="100">
        <v>5</v>
      </c>
      <c r="B12" s="77">
        <v>15434.189</v>
      </c>
      <c r="C12" s="70">
        <f t="shared" si="0"/>
        <v>12624.999999998181</v>
      </c>
      <c r="D12" s="74">
        <v>15781.781999999999</v>
      </c>
      <c r="E12" s="70">
        <f t="shared" si="1"/>
        <v>14225.000000001273</v>
      </c>
      <c r="F12" s="51">
        <f t="shared" si="2"/>
        <v>26849.999999999454</v>
      </c>
      <c r="G12" s="67">
        <f t="shared" si="3"/>
        <v>2502.4199999999491</v>
      </c>
      <c r="H12" s="103">
        <v>98</v>
      </c>
    </row>
    <row r="13" spans="1:8" ht="30.95" customHeight="1">
      <c r="A13" s="102">
        <v>6</v>
      </c>
      <c r="B13" s="75">
        <v>15439.239</v>
      </c>
      <c r="C13" s="39">
        <f t="shared" si="0"/>
        <v>9529.9999999997453</v>
      </c>
      <c r="D13" s="76">
        <v>15787.472</v>
      </c>
      <c r="E13" s="39">
        <f t="shared" si="1"/>
        <v>12357.500000002801</v>
      </c>
      <c r="F13" s="47">
        <f t="shared" si="2"/>
        <v>21887.500000002547</v>
      </c>
      <c r="G13" s="67">
        <f t="shared" si="3"/>
        <v>2039.9150000002373</v>
      </c>
      <c r="H13" s="103">
        <v>94</v>
      </c>
    </row>
    <row r="14" spans="1:8" ht="30.95" customHeight="1">
      <c r="A14" s="100">
        <v>7</v>
      </c>
      <c r="B14" s="77">
        <v>15443.050999999999</v>
      </c>
      <c r="C14" s="70">
        <f t="shared" si="0"/>
        <v>10815.000000002328</v>
      </c>
      <c r="D14" s="104">
        <v>15792.415000000001</v>
      </c>
      <c r="E14" s="70">
        <f t="shared" si="1"/>
        <v>14932.499999999891</v>
      </c>
      <c r="F14" s="51">
        <f t="shared" si="2"/>
        <v>25747.500000002219</v>
      </c>
      <c r="G14" s="67">
        <f t="shared" si="3"/>
        <v>2399.6670000002068</v>
      </c>
      <c r="H14" s="103">
        <v>119</v>
      </c>
    </row>
    <row r="15" spans="1:8" ht="30.95" customHeight="1">
      <c r="A15" s="102">
        <v>8</v>
      </c>
      <c r="B15" s="75">
        <v>15447.377</v>
      </c>
      <c r="C15" s="39">
        <f t="shared" si="0"/>
        <v>9119.9999999980719</v>
      </c>
      <c r="D15" s="78">
        <v>15798.388000000001</v>
      </c>
      <c r="E15" s="39">
        <f t="shared" si="1"/>
        <v>12674.999999999272</v>
      </c>
      <c r="F15" s="47">
        <f t="shared" si="2"/>
        <v>21794.999999997344</v>
      </c>
      <c r="G15" s="67">
        <f t="shared" si="3"/>
        <v>2031.2939999997525</v>
      </c>
      <c r="H15" s="103">
        <v>133</v>
      </c>
    </row>
    <row r="16" spans="1:8" ht="30.95" customHeight="1">
      <c r="A16" s="100">
        <v>9</v>
      </c>
      <c r="B16" s="79">
        <v>15451.025</v>
      </c>
      <c r="C16" s="70">
        <f t="shared" si="0"/>
        <v>10275.000000001455</v>
      </c>
      <c r="D16" s="80">
        <v>15803.458000000001</v>
      </c>
      <c r="E16" s="70">
        <f t="shared" si="1"/>
        <v>13562.499999998181</v>
      </c>
      <c r="F16" s="51">
        <f t="shared" si="2"/>
        <v>23837.499999999636</v>
      </c>
      <c r="G16" s="67">
        <f t="shared" si="3"/>
        <v>2221.6549999999661</v>
      </c>
      <c r="H16" s="103">
        <v>129</v>
      </c>
    </row>
    <row r="17" spans="1:8" ht="30.95" customHeight="1">
      <c r="A17" s="102">
        <v>10</v>
      </c>
      <c r="B17" s="77">
        <v>15455.135</v>
      </c>
      <c r="C17" s="39">
        <f t="shared" si="0"/>
        <v>9342.4999999979264</v>
      </c>
      <c r="D17" s="104">
        <v>15808.883</v>
      </c>
      <c r="E17" s="39">
        <f t="shared" si="1"/>
        <v>12142.499999999927</v>
      </c>
      <c r="F17" s="47">
        <f t="shared" si="2"/>
        <v>21484.999999997854</v>
      </c>
      <c r="G17" s="67">
        <f t="shared" si="3"/>
        <v>2002.4019999998</v>
      </c>
      <c r="H17" s="103">
        <v>146</v>
      </c>
    </row>
    <row r="18" spans="1:8" ht="30.95" customHeight="1">
      <c r="A18" s="100">
        <v>11</v>
      </c>
      <c r="B18" s="75">
        <v>15458.871999999999</v>
      </c>
      <c r="C18" s="70">
        <f t="shared" si="0"/>
        <v>8947.4999999993088</v>
      </c>
      <c r="D18" s="78">
        <v>15813.74</v>
      </c>
      <c r="E18" s="70">
        <f t="shared" si="1"/>
        <v>12107.500000001892</v>
      </c>
      <c r="F18" s="51">
        <f t="shared" si="2"/>
        <v>21055.000000001201</v>
      </c>
      <c r="G18" s="67">
        <f t="shared" si="3"/>
        <v>1962.3260000001119</v>
      </c>
      <c r="H18" s="103">
        <v>147</v>
      </c>
    </row>
    <row r="19" spans="1:8" ht="30.95" customHeight="1">
      <c r="A19" s="102">
        <v>12</v>
      </c>
      <c r="B19" s="77">
        <v>15462.450999999999</v>
      </c>
      <c r="C19" s="39">
        <f t="shared" si="0"/>
        <v>-38656127.5</v>
      </c>
      <c r="D19" s="104">
        <v>15818.583000000001</v>
      </c>
      <c r="E19" s="39">
        <f t="shared" si="1"/>
        <v>-39546457.5</v>
      </c>
      <c r="F19" s="47">
        <f t="shared" si="2"/>
        <v>-78202585</v>
      </c>
      <c r="G19" s="67">
        <f t="shared" si="3"/>
        <v>-7288480.9220000003</v>
      </c>
      <c r="H19" s="103">
        <v>146</v>
      </c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9" activePane="bottomLeft" state="frozen"/>
      <selection pane="bottomLeft" activeCell="O11" sqref="O11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1">
        <v>30</v>
      </c>
      <c r="B5" s="91">
        <v>6917661</v>
      </c>
      <c r="C5" s="105">
        <f>B6-B5</f>
        <v>1773</v>
      </c>
      <c r="D5" s="34">
        <f>C5*0.21186441</f>
        <v>375.63559893000001</v>
      </c>
      <c r="E5" s="35">
        <v>541238</v>
      </c>
      <c r="F5" s="106">
        <f>E6-E5</f>
        <v>266</v>
      </c>
      <c r="G5" s="36">
        <f>F5*0.84746</f>
        <v>225.42436000000001</v>
      </c>
      <c r="H5" s="36">
        <f>F5*0.84746</f>
        <v>225.42436000000001</v>
      </c>
      <c r="I5" s="92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1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6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6" si="4">F7*0.84746</f>
        <v>191.52596</v>
      </c>
      <c r="H7" s="48">
        <f t="shared" ref="H7:H36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>5250+6430</f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6925409</v>
      </c>
      <c r="C10" s="53">
        <f t="shared" si="0"/>
        <v>1519</v>
      </c>
      <c r="D10" s="46">
        <f t="shared" si="7"/>
        <v>321.82203879000002</v>
      </c>
      <c r="E10" s="47">
        <v>542448</v>
      </c>
      <c r="F10" s="54">
        <f t="shared" si="1"/>
        <v>213</v>
      </c>
      <c r="G10" s="43">
        <f t="shared" si="4"/>
        <v>180.50898000000001</v>
      </c>
      <c r="H10" s="43">
        <f t="shared" si="5"/>
        <v>180.50898000000001</v>
      </c>
      <c r="I10" s="49">
        <f t="shared" si="2"/>
        <v>361.01796000000002</v>
      </c>
      <c r="J10" s="37">
        <f>5250+6430</f>
        <v>11680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6926928</v>
      </c>
      <c r="C11" s="55">
        <f t="shared" si="0"/>
        <v>1450</v>
      </c>
      <c r="D11" s="46">
        <f t="shared" si="7"/>
        <v>307.2033945</v>
      </c>
      <c r="E11" s="47">
        <v>542661</v>
      </c>
      <c r="F11" s="56">
        <f t="shared" si="1"/>
        <v>225</v>
      </c>
      <c r="G11" s="48">
        <f t="shared" si="4"/>
        <v>190.67849999999999</v>
      </c>
      <c r="H11" s="48">
        <f t="shared" si="5"/>
        <v>190.67849999999999</v>
      </c>
      <c r="I11" s="49">
        <f t="shared" si="2"/>
        <v>381.35699999999997</v>
      </c>
      <c r="J11" s="37">
        <f>5250+6430</f>
        <v>11680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6928378</v>
      </c>
      <c r="C12" s="53">
        <f t="shared" si="0"/>
        <v>1729</v>
      </c>
      <c r="D12" s="46">
        <f t="shared" si="7"/>
        <v>366.31356489000001</v>
      </c>
      <c r="E12" s="47">
        <v>542886</v>
      </c>
      <c r="F12" s="54">
        <f t="shared" si="1"/>
        <v>262</v>
      </c>
      <c r="G12" s="43">
        <f t="shared" si="4"/>
        <v>222.03451999999999</v>
      </c>
      <c r="H12" s="43">
        <f t="shared" si="5"/>
        <v>222.03451999999999</v>
      </c>
      <c r="I12" s="49">
        <f t="shared" si="2"/>
        <v>444.06903999999997</v>
      </c>
      <c r="J12" s="37">
        <f>5250+6430</f>
        <v>11680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6930107</v>
      </c>
      <c r="C13" s="55">
        <f t="shared" si="0"/>
        <v>1621</v>
      </c>
      <c r="D13" s="46">
        <f t="shared" si="7"/>
        <v>343.43220861000003</v>
      </c>
      <c r="E13" s="47">
        <v>543148</v>
      </c>
      <c r="F13" s="56">
        <f t="shared" si="1"/>
        <v>260</v>
      </c>
      <c r="G13" s="48">
        <f t="shared" si="4"/>
        <v>220.33959999999999</v>
      </c>
      <c r="H13" s="48">
        <f t="shared" si="5"/>
        <v>220.33959999999999</v>
      </c>
      <c r="I13" s="49">
        <f t="shared" si="2"/>
        <v>440.67919999999998</v>
      </c>
      <c r="J13" s="37">
        <f>5250+6430</f>
        <v>11680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6931728</v>
      </c>
      <c r="C14" s="53">
        <f t="shared" si="0"/>
        <v>1403</v>
      </c>
      <c r="D14" s="46">
        <f t="shared" si="7"/>
        <v>297.24576723000001</v>
      </c>
      <c r="E14" s="47">
        <v>543408</v>
      </c>
      <c r="F14" s="54">
        <f t="shared" si="1"/>
        <v>253</v>
      </c>
      <c r="G14" s="48">
        <f t="shared" si="4"/>
        <v>214.40737999999999</v>
      </c>
      <c r="H14" s="43">
        <f t="shared" si="5"/>
        <v>214.40737999999999</v>
      </c>
      <c r="I14" s="49">
        <f t="shared" si="2"/>
        <v>428.81475999999998</v>
      </c>
      <c r="J14" s="37">
        <f>5250+6430</f>
        <v>11680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6933131</v>
      </c>
      <c r="C15" s="55">
        <f t="shared" si="0"/>
        <v>1020</v>
      </c>
      <c r="D15" s="46">
        <f t="shared" si="7"/>
        <v>216.10169820000002</v>
      </c>
      <c r="E15" s="47">
        <v>543661</v>
      </c>
      <c r="F15" s="56">
        <f t="shared" si="1"/>
        <v>229</v>
      </c>
      <c r="G15" s="48">
        <f t="shared" si="4"/>
        <v>194.06834000000001</v>
      </c>
      <c r="H15" s="48">
        <f t="shared" si="5"/>
        <v>194.06834000000001</v>
      </c>
      <c r="I15" s="49">
        <f t="shared" si="2"/>
        <v>388.13668000000001</v>
      </c>
      <c r="J15" s="37">
        <f>5250+6430</f>
        <v>11680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6934151</v>
      </c>
      <c r="C16" s="53">
        <f>B17-B16</f>
        <v>962</v>
      </c>
      <c r="D16" s="46">
        <f t="shared" si="7"/>
        <v>203.81356242000001</v>
      </c>
      <c r="E16" s="47">
        <v>543890</v>
      </c>
      <c r="F16" s="54">
        <f>E17-E16</f>
        <v>236</v>
      </c>
      <c r="G16" s="43">
        <f t="shared" si="4"/>
        <v>200.00056000000001</v>
      </c>
      <c r="H16" s="43">
        <f t="shared" si="5"/>
        <v>200.00056000000001</v>
      </c>
      <c r="I16" s="49">
        <f t="shared" si="2"/>
        <v>400.00112000000001</v>
      </c>
      <c r="J16" s="37">
        <f>5250+6430</f>
        <v>11680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6935113</v>
      </c>
      <c r="C17" s="55">
        <f t="shared" ref="C17:C35" si="8">B18-B17</f>
        <v>-6935113</v>
      </c>
      <c r="D17" s="46">
        <f t="shared" si="7"/>
        <v>-1469303.62402833</v>
      </c>
      <c r="E17" s="47">
        <v>544126</v>
      </c>
      <c r="F17" s="56">
        <f t="shared" ref="F17:F35" si="9">E18-E17</f>
        <v>-544126</v>
      </c>
      <c r="G17" s="48">
        <f t="shared" si="4"/>
        <v>-461125.01996000001</v>
      </c>
      <c r="H17" s="48">
        <f t="shared" si="5"/>
        <v>-461125.01996000001</v>
      </c>
      <c r="I17" s="49">
        <f t="shared" si="2"/>
        <v>-922250.03992000001</v>
      </c>
      <c r="J17" s="37">
        <f>5250+6430</f>
        <v>11680</v>
      </c>
      <c r="K17" s="38">
        <f t="shared" si="3"/>
        <v>11680</v>
      </c>
      <c r="L17" s="39">
        <f t="shared" si="6"/>
        <v>8175.9999999999991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31">
        <f>K36*0.7</f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2022-07-13T08:46:07Z</dcterms:modified>
  <cp:category/>
  <cp:contentStatus/>
</cp:coreProperties>
</file>