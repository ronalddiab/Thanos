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3584" documentId="8_{5B502D95-7A37-4D5A-8B6B-374537CC2F26}" xr6:coauthVersionLast="47" xr6:coauthVersionMax="47" xr10:uidLastSave="{1009158C-4115-4635-A025-D64145902828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48" i="4" l="1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V12" i="2"/>
  <c r="K12" i="6"/>
  <c r="I12" i="6"/>
  <c r="G12" i="6"/>
  <c r="E12" i="6"/>
  <c r="C12" i="6"/>
  <c r="I25" i="21"/>
  <c r="I26" i="21"/>
  <c r="I27" i="21"/>
  <c r="I28" i="21"/>
  <c r="I29" i="21"/>
  <c r="I30" i="21"/>
  <c r="I31" i="21"/>
  <c r="I32" i="21"/>
  <c r="H24" i="21"/>
  <c r="H25" i="21"/>
  <c r="H26" i="21"/>
  <c r="H27" i="21"/>
  <c r="H28" i="21"/>
  <c r="H29" i="21"/>
  <c r="H30" i="21"/>
  <c r="H31" i="21"/>
  <c r="H32" i="21"/>
  <c r="G23" i="21"/>
  <c r="G24" i="21"/>
  <c r="G25" i="21"/>
  <c r="G26" i="21"/>
  <c r="G27" i="21"/>
  <c r="G28" i="21"/>
  <c r="G29" i="21"/>
  <c r="G30" i="21"/>
  <c r="G31" i="21"/>
  <c r="G32" i="21"/>
  <c r="F22" i="21"/>
  <c r="F23" i="21"/>
  <c r="F24" i="21"/>
  <c r="F25" i="21"/>
  <c r="F26" i="21"/>
  <c r="F27" i="21"/>
  <c r="F28" i="21"/>
  <c r="F29" i="21"/>
  <c r="F30" i="21"/>
  <c r="F31" i="21"/>
  <c r="F32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26" i="22"/>
  <c r="E27" i="22"/>
  <c r="E28" i="22"/>
  <c r="E29" i="22"/>
  <c r="E30" i="22"/>
  <c r="E31" i="22"/>
  <c r="E32" i="22"/>
  <c r="L30" i="22"/>
  <c r="L31" i="22"/>
  <c r="L32" i="22"/>
  <c r="K29" i="22"/>
  <c r="K30" i="22"/>
  <c r="K31" i="22"/>
  <c r="K32" i="22"/>
  <c r="I28" i="22"/>
  <c r="I29" i="22"/>
  <c r="I30" i="22"/>
  <c r="I31" i="22"/>
  <c r="I32" i="22"/>
  <c r="G30" i="22"/>
  <c r="G31" i="22"/>
  <c r="G32" i="22"/>
  <c r="E17" i="22"/>
  <c r="E18" i="22"/>
  <c r="E19" i="22"/>
  <c r="E20" i="22"/>
  <c r="E21" i="22"/>
  <c r="E22" i="22"/>
  <c r="E23" i="22"/>
  <c r="E24" i="22"/>
  <c r="E25" i="22"/>
  <c r="V11" i="2"/>
  <c r="V10" i="2"/>
  <c r="K11" i="6"/>
  <c r="I11" i="6"/>
  <c r="G11" i="6"/>
  <c r="E11" i="6"/>
  <c r="C11" i="6"/>
  <c r="G4" i="4"/>
  <c r="E4" i="4"/>
  <c r="C4" i="4"/>
  <c r="Q39" i="2"/>
  <c r="Q40" i="2"/>
  <c r="O39" i="2"/>
  <c r="O40" i="2"/>
  <c r="N39" i="2"/>
  <c r="N40" i="2"/>
  <c r="M39" i="2"/>
  <c r="M40" i="2"/>
  <c r="L39" i="2"/>
  <c r="L40" i="2"/>
  <c r="H39" i="2"/>
  <c r="F39" i="2"/>
  <c r="B31" i="21"/>
  <c r="B32" i="21"/>
  <c r="B31" i="22"/>
  <c r="B32" i="22"/>
  <c r="K39" i="6"/>
  <c r="I39" i="6"/>
  <c r="G39" i="6"/>
  <c r="E39" i="6"/>
  <c r="C39" i="6"/>
  <c r="K38" i="6"/>
  <c r="I38" i="6"/>
  <c r="G38" i="6"/>
  <c r="E38" i="6"/>
  <c r="F40" i="2" s="1"/>
  <c r="C38" i="6"/>
  <c r="K37" i="6"/>
  <c r="N38" i="2" s="1"/>
  <c r="I37" i="6"/>
  <c r="M38" i="2" s="1"/>
  <c r="G37" i="6"/>
  <c r="L38" i="2" s="1"/>
  <c r="E37" i="6"/>
  <c r="F38" i="2" s="1"/>
  <c r="C37" i="6"/>
  <c r="K36" i="6"/>
  <c r="N37" i="2" s="1"/>
  <c r="I36" i="6"/>
  <c r="M37" i="2" s="1"/>
  <c r="G36" i="6"/>
  <c r="L37" i="2" s="1"/>
  <c r="E36" i="6"/>
  <c r="F37" i="2" s="1"/>
  <c r="C36" i="6"/>
  <c r="K34" i="6"/>
  <c r="N35" i="2" s="1"/>
  <c r="K35" i="6"/>
  <c r="N36" i="2" s="1"/>
  <c r="I34" i="6"/>
  <c r="M35" i="2" s="1"/>
  <c r="I35" i="6"/>
  <c r="M36" i="2" s="1"/>
  <c r="G34" i="6"/>
  <c r="L35" i="2" s="1"/>
  <c r="G35" i="6"/>
  <c r="L36" i="2" s="1"/>
  <c r="E34" i="6"/>
  <c r="F35" i="2" s="1"/>
  <c r="E35" i="6"/>
  <c r="F36" i="2" s="1"/>
  <c r="C34" i="6"/>
  <c r="C35" i="6"/>
  <c r="K33" i="6"/>
  <c r="N34" i="2" s="1"/>
  <c r="I33" i="6"/>
  <c r="M34" i="2" s="1"/>
  <c r="G33" i="6"/>
  <c r="L34" i="2" s="1"/>
  <c r="E33" i="6"/>
  <c r="F34" i="2" s="1"/>
  <c r="C33" i="6"/>
  <c r="K32" i="6"/>
  <c r="N33" i="2" s="1"/>
  <c r="I32" i="6"/>
  <c r="M33" i="2" s="1"/>
  <c r="G32" i="6"/>
  <c r="L33" i="2" s="1"/>
  <c r="E32" i="6"/>
  <c r="F33" i="2" s="1"/>
  <c r="C32" i="6"/>
  <c r="K31" i="6"/>
  <c r="N32" i="2" s="1"/>
  <c r="I31" i="6"/>
  <c r="M32" i="2" s="1"/>
  <c r="G31" i="6"/>
  <c r="L32" i="2" s="1"/>
  <c r="E31" i="6"/>
  <c r="F32" i="2" s="1"/>
  <c r="C31" i="6"/>
  <c r="K30" i="6"/>
  <c r="N31" i="2" s="1"/>
  <c r="I30" i="6"/>
  <c r="M31" i="2" s="1"/>
  <c r="G30" i="6"/>
  <c r="L31" i="2" s="1"/>
  <c r="E30" i="6"/>
  <c r="F31" i="2" s="1"/>
  <c r="C30" i="6"/>
  <c r="K29" i="6"/>
  <c r="N30" i="2" s="1"/>
  <c r="I29" i="6"/>
  <c r="M30" i="2" s="1"/>
  <c r="G29" i="6"/>
  <c r="E29" i="6"/>
  <c r="F30" i="2" s="1"/>
  <c r="C29" i="6"/>
  <c r="L30" i="2"/>
  <c r="C28" i="6"/>
  <c r="K28" i="6"/>
  <c r="N29" i="2" s="1"/>
  <c r="I28" i="6"/>
  <c r="M29" i="2" s="1"/>
  <c r="G28" i="6"/>
  <c r="L29" i="2" s="1"/>
  <c r="E28" i="6"/>
  <c r="F29" i="2" s="1"/>
  <c r="K27" i="6"/>
  <c r="N28" i="2" s="1"/>
  <c r="I27" i="6"/>
  <c r="M28" i="2" s="1"/>
  <c r="G27" i="6"/>
  <c r="L28" i="2" s="1"/>
  <c r="E27" i="6"/>
  <c r="F28" i="2" s="1"/>
  <c r="C27" i="6"/>
  <c r="K26" i="6"/>
  <c r="N27" i="2" s="1"/>
  <c r="I26" i="6"/>
  <c r="M27" i="2" s="1"/>
  <c r="G26" i="6"/>
  <c r="L27" i="2" s="1"/>
  <c r="E26" i="6"/>
  <c r="F27" i="2" s="1"/>
  <c r="C26" i="6"/>
  <c r="K25" i="6"/>
  <c r="N26" i="2" s="1"/>
  <c r="I25" i="6"/>
  <c r="M26" i="2" s="1"/>
  <c r="G25" i="6"/>
  <c r="L26" i="2" s="1"/>
  <c r="E25" i="6"/>
  <c r="F26" i="2" s="1"/>
  <c r="C25" i="6"/>
  <c r="K24" i="6"/>
  <c r="N25" i="2" s="1"/>
  <c r="I24" i="6"/>
  <c r="M25" i="2" s="1"/>
  <c r="G24" i="6"/>
  <c r="L25" i="2" s="1"/>
  <c r="E24" i="6"/>
  <c r="F25" i="2" s="1"/>
  <c r="C24" i="6"/>
  <c r="K23" i="6"/>
  <c r="N24" i="2" s="1"/>
  <c r="I23" i="6"/>
  <c r="M24" i="2" s="1"/>
  <c r="G23" i="6"/>
  <c r="L24" i="2" s="1"/>
  <c r="E23" i="6"/>
  <c r="F24" i="2" s="1"/>
  <c r="C23" i="6"/>
  <c r="K22" i="6"/>
  <c r="N23" i="2" s="1"/>
  <c r="I22" i="6"/>
  <c r="M23" i="2" s="1"/>
  <c r="G22" i="6"/>
  <c r="L23" i="2" s="1"/>
  <c r="E22" i="6"/>
  <c r="F23" i="2" s="1"/>
  <c r="C22" i="6"/>
  <c r="K21" i="6"/>
  <c r="N22" i="2" s="1"/>
  <c r="I21" i="6"/>
  <c r="M22" i="2" s="1"/>
  <c r="G21" i="6"/>
  <c r="L22" i="2" s="1"/>
  <c r="E21" i="6"/>
  <c r="F22" i="2" s="1"/>
  <c r="C21" i="6"/>
  <c r="K19" i="6"/>
  <c r="N20" i="2" s="1"/>
  <c r="K20" i="6"/>
  <c r="N21" i="2" s="1"/>
  <c r="I19" i="6"/>
  <c r="M20" i="2" s="1"/>
  <c r="I20" i="6"/>
  <c r="M21" i="2" s="1"/>
  <c r="G19" i="6"/>
  <c r="L20" i="2" s="1"/>
  <c r="G20" i="6"/>
  <c r="L21" i="2" s="1"/>
  <c r="E19" i="6"/>
  <c r="F20" i="2" s="1"/>
  <c r="E20" i="6"/>
  <c r="F21" i="2" s="1"/>
  <c r="C19" i="6"/>
  <c r="C20" i="6"/>
  <c r="K18" i="6"/>
  <c r="N19" i="2" s="1"/>
  <c r="I18" i="6"/>
  <c r="M19" i="2" s="1"/>
  <c r="G18" i="6"/>
  <c r="L19" i="2" s="1"/>
  <c r="E18" i="6"/>
  <c r="F19" i="2" s="1"/>
  <c r="C18" i="6"/>
  <c r="K17" i="6"/>
  <c r="N18" i="2" s="1"/>
  <c r="I17" i="6"/>
  <c r="M18" i="2" s="1"/>
  <c r="G17" i="6"/>
  <c r="L18" i="2" s="1"/>
  <c r="E17" i="6"/>
  <c r="F18" i="2" s="1"/>
  <c r="C17" i="6"/>
  <c r="K16" i="6"/>
  <c r="N17" i="2" s="1"/>
  <c r="I16" i="6"/>
  <c r="M17" i="2" s="1"/>
  <c r="G16" i="6"/>
  <c r="L17" i="2" s="1"/>
  <c r="E16" i="6"/>
  <c r="F17" i="2" s="1"/>
  <c r="C16" i="6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K15" i="6"/>
  <c r="N16" i="2" s="1"/>
  <c r="I15" i="6"/>
  <c r="M16" i="2" s="1"/>
  <c r="G15" i="6"/>
  <c r="L16" i="2" s="1"/>
  <c r="E15" i="6"/>
  <c r="F16" i="2" s="1"/>
  <c r="C15" i="6"/>
  <c r="G3" i="22"/>
  <c r="G4" i="22"/>
  <c r="G5" i="22"/>
  <c r="G6" i="22"/>
  <c r="K14" i="6"/>
  <c r="N15" i="2" s="1"/>
  <c r="I14" i="6"/>
  <c r="M15" i="2" s="1"/>
  <c r="G14" i="6"/>
  <c r="L15" i="2" s="1"/>
  <c r="E14" i="6"/>
  <c r="F15" i="2" s="1"/>
  <c r="C14" i="6"/>
  <c r="N14" i="2"/>
  <c r="M14" i="2"/>
  <c r="L14" i="2"/>
  <c r="F14" i="2"/>
  <c r="N13" i="2"/>
  <c r="M13" i="2"/>
  <c r="L13" i="2"/>
  <c r="F13" i="2"/>
  <c r="N12" i="2"/>
  <c r="M12" i="2"/>
  <c r="L12" i="2"/>
  <c r="F12" i="2"/>
  <c r="N10" i="2"/>
  <c r="M10" i="2"/>
  <c r="L10" i="2"/>
  <c r="F10" i="2"/>
  <c r="K10" i="6"/>
  <c r="N11" i="2" s="1"/>
  <c r="I10" i="6"/>
  <c r="M11" i="2" s="1"/>
  <c r="G10" i="6"/>
  <c r="L11" i="2" s="1"/>
  <c r="E10" i="6"/>
  <c r="F11" i="2" s="1"/>
  <c r="C10" i="6"/>
  <c r="C35" i="4"/>
  <c r="H40" i="2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L9" i="4"/>
  <c r="N9" i="4"/>
  <c r="AC43" i="4"/>
  <c r="I9" i="4"/>
  <c r="O9" i="4"/>
  <c r="G30" i="4" l="1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J14" i="21"/>
  <c r="I4" i="4"/>
  <c r="L4" i="4"/>
  <c r="N4" i="4" s="1"/>
  <c r="Q41" i="2" l="1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<sst xmlns="http://schemas.openxmlformats.org/spreadsheetml/2006/main" count="484" uniqueCount="187">
  <si>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</si>
  <si>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</si>
  <si>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</si>
  <si>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</si>
  <si>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</si>
  <si>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</si>
  <si>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</si>
  <si>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</si>
  <si>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</si>
  <si>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</si>
  <si>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</si>
  <si>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</si>
  <si>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</si>
  <si>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</si>
  <si>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</si>
  <si>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</si>
  <si>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</si>
  <si>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</si>
  <si>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</si>
  <si>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</si>
  <si>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</si>
  <si>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</si>
  <si>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</si>
  <si>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</si>
  <si>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</si>
  <si>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</si>
  <si>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</si>
  <si>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</si>
  <si>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</si>
  <si>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</si>
  <si>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</si>
  <si>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</si>
  <si>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</si>
  <si>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</si>
  <si>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</si>
  <si>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</si>
  <si>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</si>
  <si>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</si>
  <si>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</si>
  <si>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</si>
  <si>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</si>
  <si>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JUILL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</si>
  <si>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</si>
  <si>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</si>
  <si>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</si>
  <si>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</si>
  <si>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</si>
  <si>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</si>
  <si>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</si>
  <si>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</si>
  <si>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</si>
  <si>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</si>
  <si>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</si>
  <si>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</si>
  <si>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</si>
  <si>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</si>
  <si>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</si>
  <si>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juil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</si>
  <si>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</si>
  <si>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</si>
  <si>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</si>
  <si>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</si>
  <si>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</si>
  <si>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</si>
  <si>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</si>
  <si>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</si>
  <si>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</si>
  <si>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</si>
  <si>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</si>
  <si>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</si>
  <si>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</si>
  <si>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</si>
  <si>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</si>
  <si>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</si>
  <si>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</si>
  <si>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</si>
  <si>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</si>
  <si>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</si>
  <si>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</si>
  <si>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</si>
  <si>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</si>
  <si>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</si>
  <si>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</si>
  <si>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</si>
  <si>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</si>
  <si>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</si>
  <si>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</si>
  <si>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</si>
  <si>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</si>
  <si>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</si>
  <si>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</si>
  <si>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</si>
  <si>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</si>
  <si>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</si>
  <si>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</si>
  <si>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</si>
  <si>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</si>
  <si>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</si>
  <si>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</si>
  <si>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</si>
  <si>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</si>
  <si>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</si>
  <si>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</si>
  <si>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</si>
  <si>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</si>
  <si>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</si>
  <si>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</si>
  <si>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</si>
  <si>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</si>
  <si>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</si>
  <si>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</si>
  <si>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</si>
  <si>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</si>
  <si>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</si>
  <si>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</si>
  <si>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</si>
  <si>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</si>
  <si>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</si>
  <si>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</si>
  <si>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</si>
  <si>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</si>
  <si>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</si>
  <si>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</si>
  <si>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</si>
  <si>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</si>
  <si>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</si>
  <si>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</si>
  <si>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</si>
  <si>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</si>
  <si>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</si>
  <si>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</si>
  <si>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</si>
  <si>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juil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</si>
  <si>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</si>
  <si>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</si>
  <si>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</si>
  <si>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</si>
  <si>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</si>
  <si>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</si>
  <si>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</si>
  <si>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</si>
  <si>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</si>
  <si>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</si>
  <si>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</si>
  <si>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</si>
  <si>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</si>
  <si>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</si>
  <si>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</si>
  <si>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</si>
  <si>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</si>
  <si>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</si>
  <si>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</si>
  <si>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</si>
  <si>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Estimation de la consommation d'Eau Sanitaire Juill 2022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</si>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</sst>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171.70000000001164</c:v>
                </c:pt>
                <c:pt idx="1">
                  <c:v>147</c:v>
                </c:pt>
                <c:pt idx="2">
                  <c:v>199</c:v>
                </c:pt>
                <c:pt idx="3">
                  <c:v>231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5543</c:v>
                </c:pt>
                <c:pt idx="1">
                  <c:v>4535</c:v>
                </c:pt>
                <c:pt idx="2">
                  <c:v>6834</c:v>
                </c:pt>
                <c:pt idx="3">
                  <c:v>4745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9745</c:v>
                </c:pt>
                <c:pt idx="1">
                  <c:v>10210</c:v>
                </c:pt>
                <c:pt idx="2">
                  <c:v>9841</c:v>
                </c:pt>
                <c:pt idx="3">
                  <c:v>10015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3279</c:v>
                </c:pt>
                <c:pt idx="1">
                  <c:v>3658</c:v>
                </c:pt>
                <c:pt idx="2">
                  <c:v>4802</c:v>
                </c:pt>
                <c:pt idx="3">
                  <c:v>3926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127.99684000000001</c:v>
                </c:pt>
                <c:pt idx="2">
                  <c:v>351.99131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1" workbookViewId="0">
      <selection activeCell="H2" sqref="H2:H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7</v>
      </c>
      <c r="D2" s="141">
        <v>2022</v>
      </c>
      <c r="E2" s="137">
        <f>submetering!E2+submetering!F2+submetering!G2</f>
        <v>18567</v>
      </c>
      <c r="F2" s="134">
        <v>1.05</v>
      </c>
      <c r="G2" s="134">
        <f>'Consommation mensuel énergie'!V10</f>
        <v>287.99288999999999</v>
      </c>
      <c r="H2" s="134">
        <v>11.766</v>
      </c>
      <c r="I2" s="134">
        <f>'Consommation mensuel énergie'!F10</f>
        <v>171.70000000001164</v>
      </c>
      <c r="J2" s="134">
        <v>11.4</v>
      </c>
      <c r="K2" s="137">
        <f>'Consommation mensuel énergie'!D10</f>
        <v>157</v>
      </c>
      <c r="L2" s="137">
        <f>'Consommation mensuel énergie'!E10</f>
        <v>284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7</v>
      </c>
      <c r="D3" s="141">
        <v>2022</v>
      </c>
      <c r="E3" s="137">
        <f>submetering!E3+submetering!F3+submetering!G3</f>
        <v>14745</v>
      </c>
      <c r="F3" s="134">
        <v>1.05</v>
      </c>
      <c r="G3" s="134">
        <f>'Consommation mensuel énergie'!V11</f>
        <v>127.99684000000001</v>
      </c>
      <c r="H3" s="134">
        <v>11.766</v>
      </c>
      <c r="I3" s="134">
        <f>'Consommation mensuel énergie'!F11</f>
        <v>147</v>
      </c>
      <c r="J3" s="134">
        <v>11.4</v>
      </c>
      <c r="K3" s="137">
        <f>'Consommation mensuel énergie'!D11</f>
        <v>155</v>
      </c>
      <c r="L3" s="137">
        <f>'Consommation mensuel énergie'!E11</f>
        <v>282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7</v>
      </c>
      <c r="D4" s="141">
        <v>2022</v>
      </c>
      <c r="E4" s="137">
        <f>submetering!E4+submetering!F4+submetering!G4</f>
        <v>21477</v>
      </c>
      <c r="F4" s="134">
        <v>1.05</v>
      </c>
      <c r="G4" s="134">
        <f>'Consommation mensuel énergie'!V12</f>
        <v>351.99131</v>
      </c>
      <c r="H4" s="134">
        <v>11.766</v>
      </c>
      <c r="I4" s="134">
        <f>'Consommation mensuel énergie'!F12</f>
        <v>199</v>
      </c>
      <c r="J4" s="134">
        <v>11.4</v>
      </c>
      <c r="K4" s="137">
        <f>'Consommation mensuel énergie'!D12</f>
        <v>147</v>
      </c>
      <c r="L4" s="137">
        <f>'Consommation mensuel énergie'!E12</f>
        <v>267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7</v>
      </c>
      <c r="D5" s="141">
        <v>2022</v>
      </c>
      <c r="E5" s="137">
        <f>submetering!E5+submetering!F5+submetering!G5</f>
        <v>18686</v>
      </c>
      <c r="F5" s="134">
        <v>1.05</v>
      </c>
      <c r="G5" s="134">
        <f>'Consommation mensuel énergie'!V13</f>
        <v>0</v>
      </c>
      <c r="H5" s="134">
        <v>11.766</v>
      </c>
      <c r="I5" s="134">
        <f>'Consommation mensuel énergie'!F13</f>
        <v>231</v>
      </c>
      <c r="J5" s="134">
        <v>11.4</v>
      </c>
      <c r="K5" s="137">
        <f>'Consommation mensuel énergie'!D13</f>
        <v>0</v>
      </c>
      <c r="L5" s="137">
        <f>'Consommation mensuel énergie'!E13</f>
        <v>0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7</v>
      </c>
      <c r="D6" s="141">
        <v>2022</v>
      </c>
      <c r="E6" s="137">
        <f>submetering!E6+submetering!F6+submetering!G6</f>
        <v>0</v>
      </c>
      <c r="F6" s="134">
        <v>1.05</v>
      </c>
      <c r="G6" s="134">
        <f>'Consommation mensuel énergie'!V14</f>
        <v>0</v>
      </c>
      <c r="H6" s="134">
        <v>11.766</v>
      </c>
      <c r="I6" s="134">
        <f>'Consommation mensuel énergie'!F14</f>
        <v>0</v>
      </c>
      <c r="J6" s="134">
        <v>11.4</v>
      </c>
      <c r="K6" s="137">
        <f>'Consommation mensuel énergie'!D14</f>
        <v>0</v>
      </c>
      <c r="L6" s="137">
        <f>'Consommation mensuel énergie'!E14</f>
        <v>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7</v>
      </c>
      <c r="D7" s="141">
        <v>2022</v>
      </c>
      <c r="E7" s="137">
        <f>submetering!E7+submetering!F7+submetering!G7</f>
        <v>0</v>
      </c>
      <c r="F7" s="134">
        <v>1.05</v>
      </c>
      <c r="G7" s="134">
        <f>'Consommation mensuel énergie'!V15</f>
        <v>0</v>
      </c>
      <c r="H7" s="134">
        <v>11.766</v>
      </c>
      <c r="I7" s="134">
        <f>'Consommation mensuel énergie'!F15</f>
        <v>0</v>
      </c>
      <c r="J7" s="134">
        <v>11.4</v>
      </c>
      <c r="K7" s="137">
        <f>'Consommation mensuel énergie'!D15</f>
        <v>0</v>
      </c>
      <c r="L7" s="137">
        <f>'Consommation mensuel énergie'!E15</f>
        <v>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7</v>
      </c>
      <c r="D8" s="141">
        <v>2022</v>
      </c>
      <c r="E8" s="137">
        <f>submetering!E8+submetering!F8+submetering!G8</f>
        <v>0</v>
      </c>
      <c r="F8" s="134">
        <v>1.05</v>
      </c>
      <c r="G8" s="134">
        <f>'Consommation mensuel énergie'!V16</f>
        <v>0</v>
      </c>
      <c r="H8" s="134">
        <v>11.766</v>
      </c>
      <c r="I8" s="134">
        <f>'Consommation mensuel énergie'!F16</f>
        <v>0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7</v>
      </c>
      <c r="D9" s="141">
        <v>2022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11.766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7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énergie'!V18</f>
        <v>0</v>
      </c>
      <c r="H10" s="134">
        <v>11.766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7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énergie'!V19</f>
        <v>0</v>
      </c>
      <c r="H11" s="134">
        <v>11.766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7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énergie'!V20</f>
        <v>0</v>
      </c>
      <c r="H12" s="134">
        <v>11.766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7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énergie'!V21</f>
        <v>0</v>
      </c>
      <c r="H13" s="134">
        <v>11.766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7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énergie'!V22</f>
        <v>0</v>
      </c>
      <c r="H14" s="134">
        <v>11.766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7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énergie'!V23</f>
        <v>0</v>
      </c>
      <c r="H15" s="134">
        <v>11.766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7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énergie'!V24</f>
        <v>0</v>
      </c>
      <c r="H16" s="134">
        <v>11.766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7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énergie'!V25</f>
        <v>0</v>
      </c>
      <c r="H17" s="134">
        <v>11.766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7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11.766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7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11.766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7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11.766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7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11.766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7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11.766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7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11.766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7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11.766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7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11.766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7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11.766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7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11.766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7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11.766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7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11.766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7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11.766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7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11.766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7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énergie'!V40</f>
        <v>0</v>
      </c>
      <c r="H32" s="134">
        <v>11.766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24" sqref="I24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7</v>
      </c>
      <c r="D2" s="141">
        <v>2022</v>
      </c>
      <c r="E2" s="137">
        <f>'Consommation mensuel énergie'!L10</f>
        <v>5543</v>
      </c>
      <c r="F2" s="137">
        <f>'Consommation mensuel énergie'!M10</f>
        <v>9745</v>
      </c>
      <c r="G2" s="137">
        <f>'Consommation mensuel énergie'!N10</f>
        <v>3279</v>
      </c>
      <c r="H2" s="137">
        <f>'Consommation mensuel énergie'!D10</f>
        <v>157</v>
      </c>
      <c r="I2" s="137">
        <f>'Consommation mensuel énergie'!E10</f>
        <v>284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7</v>
      </c>
      <c r="D3" s="141">
        <v>2022</v>
      </c>
      <c r="E3" s="137">
        <f>'Consommation mensuel énergie'!L11</f>
        <v>4535</v>
      </c>
      <c r="F3" s="137">
        <f>'Consommation mensuel énergie'!M11</f>
        <v>10210</v>
      </c>
      <c r="G3" s="137">
        <f>'Consommation mensuel énergie'!N14</f>
        <v>0</v>
      </c>
      <c r="H3" s="137">
        <f>'Consommation mensuel énergie'!D11</f>
        <v>155</v>
      </c>
      <c r="I3" s="137">
        <f>'Consommation mensuel énergie'!E11</f>
        <v>282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7</v>
      </c>
      <c r="D4" s="141">
        <v>2022</v>
      </c>
      <c r="E4" s="137">
        <f>'Consommation mensuel énergie'!L12</f>
        <v>6834</v>
      </c>
      <c r="F4" s="137">
        <f>'Consommation mensuel énergie'!M12</f>
        <v>9841</v>
      </c>
      <c r="G4" s="137">
        <f>'Consommation mensuel énergie'!N12</f>
        <v>4802</v>
      </c>
      <c r="H4" s="137">
        <f>'Consommation mensuel énergie'!D12</f>
        <v>147</v>
      </c>
      <c r="I4" s="137">
        <f>'Consommation mensuel énergie'!E12</f>
        <v>267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7</v>
      </c>
      <c r="D5" s="141">
        <v>2022</v>
      </c>
      <c r="E5" s="137">
        <f>'Consommation mensuel énergie'!L13</f>
        <v>4745</v>
      </c>
      <c r="F5" s="137">
        <f>'Consommation mensuel énergie'!M13</f>
        <v>10015</v>
      </c>
      <c r="G5" s="137">
        <f>'Consommation mensuel énergie'!N13</f>
        <v>3926</v>
      </c>
      <c r="H5" s="137">
        <f>'Consommation mensuel énergie'!D13</f>
        <v>0</v>
      </c>
      <c r="I5" s="137">
        <f>'Consommation mensuel énergie'!E13</f>
        <v>0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7</v>
      </c>
      <c r="D6" s="141">
        <v>2022</v>
      </c>
      <c r="E6" s="137">
        <f>'Consommation mensuel énergie'!L14</f>
        <v>0</v>
      </c>
      <c r="F6" s="137">
        <f>'Consommation mensuel énergie'!M14</f>
        <v>0</v>
      </c>
      <c r="G6" s="137">
        <f>'Consommation mensuel énergie'!N14</f>
        <v>0</v>
      </c>
      <c r="H6" s="137">
        <f>'Consommation mensuel énergie'!D14</f>
        <v>0</v>
      </c>
      <c r="I6" s="137">
        <f>'Consommation mensuel énergie'!E14</f>
        <v>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7</v>
      </c>
      <c r="D7" s="141">
        <v>2022</v>
      </c>
      <c r="E7" s="137">
        <f>'Consommation mensuel énergie'!L15</f>
        <v>0</v>
      </c>
      <c r="F7" s="137">
        <f>'Consommation mensuel énergie'!M15</f>
        <v>0</v>
      </c>
      <c r="G7" s="137">
        <f>'Consommation mensuel énergie'!N15</f>
        <v>0</v>
      </c>
      <c r="H7" s="137">
        <f>'Consommation mensuel énergie'!D15</f>
        <v>0</v>
      </c>
      <c r="I7" s="137">
        <f>'Consommation mensuel énergie'!E15</f>
        <v>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7</v>
      </c>
      <c r="D8" s="141">
        <v>2022</v>
      </c>
      <c r="E8" s="137">
        <f>'Consommation mensuel énergie'!L16</f>
        <v>0</v>
      </c>
      <c r="F8" s="137">
        <f>'Consommation mensuel énergie'!M16</f>
        <v>0</v>
      </c>
      <c r="G8" s="137">
        <f>'Consommation mensuel énergie'!N16</f>
        <v>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7</v>
      </c>
      <c r="D9" s="141">
        <v>2022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7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7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7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7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7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7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7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7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7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7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7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7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7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7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7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7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7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7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7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7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7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7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7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0" activePane="bottomRight" state="frozen"/>
      <selection pane="bottomRight" activeCell="H50" sqref="H50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44743</v>
      </c>
      <c r="C10" s="7"/>
      <c r="D10" s="143">
        <v>157</v>
      </c>
      <c r="E10" s="143">
        <v>284</v>
      </c>
      <c r="F10" s="13">
        <f>'Suivi EAU-ELEC'!E9</f>
        <v>171.70000000001164</v>
      </c>
      <c r="G10" s="11"/>
      <c r="H10" s="168">
        <f>F10*8.79</f>
        <v>1509.2430000001023</v>
      </c>
      <c r="I10" s="169"/>
      <c r="J10" s="169"/>
      <c r="K10" s="60">
        <v>42278</v>
      </c>
      <c r="L10" s="90">
        <f>'Suivi EAU-ELEC'!G9</f>
        <v>5543</v>
      </c>
      <c r="M10" s="91">
        <f>'Suivi EAU-ELEC'!I9</f>
        <v>9745</v>
      </c>
      <c r="N10" s="91">
        <f>'Suivi EAU-ELEC'!K9</f>
        <v>3279</v>
      </c>
      <c r="O10" s="91">
        <f>L10+M10+N10</f>
        <v>18567</v>
      </c>
      <c r="P10" s="11"/>
      <c r="Q10" s="34">
        <f>L10*0.6985+M10*0.9514+N10*1.3304</f>
        <v>17505.560099999999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V10*11.766</f>
        <v>3388.5243437399999</v>
      </c>
    </row>
    <row r="11" spans="1:24" ht="32.25" customHeight="1">
      <c r="A11" s="2"/>
      <c r="B11" s="6">
        <v>44744</v>
      </c>
      <c r="C11" s="7"/>
      <c r="D11" s="143">
        <v>155</v>
      </c>
      <c r="E11" s="143">
        <v>282</v>
      </c>
      <c r="F11" s="13">
        <f>'Suivi EAU-ELEC'!E10</f>
        <v>147</v>
      </c>
      <c r="G11" s="11"/>
      <c r="H11" s="168">
        <f t="shared" ref="H11:H21" si="0">F11*8.79</f>
        <v>1292.1299999999999</v>
      </c>
      <c r="I11" s="169"/>
      <c r="J11" s="169"/>
      <c r="K11" s="60">
        <v>42279</v>
      </c>
      <c r="L11" s="90">
        <f>'Suivi EAU-ELEC'!G10</f>
        <v>4535</v>
      </c>
      <c r="M11" s="91">
        <f>'Suivi EAU-ELEC'!I10</f>
        <v>10210</v>
      </c>
      <c r="N11" s="91">
        <f>'Suivi EAU-ELEC'!K10</f>
        <v>3658</v>
      </c>
      <c r="O11" s="91">
        <f>L11+M11+N11</f>
        <v>18403</v>
      </c>
      <c r="P11" s="11"/>
      <c r="Q11" s="34">
        <f>L11*0.6985+M11*0.9514+N14*1.3304</f>
        <v>12881.4915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1">V11*11.766</f>
        <v>1506.01081944</v>
      </c>
    </row>
    <row r="12" spans="1:24" ht="32.25" customHeight="1">
      <c r="A12" s="2"/>
      <c r="B12" s="6">
        <v>44745</v>
      </c>
      <c r="C12" s="7"/>
      <c r="D12" s="143">
        <v>147</v>
      </c>
      <c r="E12" s="143">
        <v>267</v>
      </c>
      <c r="F12" s="13">
        <f>'Suivi EAU-ELEC'!E11</f>
        <v>199</v>
      </c>
      <c r="G12" s="11"/>
      <c r="H12" s="168">
        <f t="shared" si="0"/>
        <v>1749.2099999999998</v>
      </c>
      <c r="I12" s="169"/>
      <c r="J12" s="169"/>
      <c r="K12" s="60">
        <v>42280</v>
      </c>
      <c r="L12" s="90">
        <f>'Suivi EAU-ELEC'!G11</f>
        <v>6834</v>
      </c>
      <c r="M12" s="91">
        <f>'Suivi EAU-ELEC'!I11</f>
        <v>9841</v>
      </c>
      <c r="N12" s="91">
        <f>'Suivi EAU-ELEC'!K11</f>
        <v>4802</v>
      </c>
      <c r="O12" s="91">
        <f>L12+M12+N12</f>
        <v>21477</v>
      </c>
      <c r="P12" s="11"/>
      <c r="Q12" s="34">
        <f>L12*0.6985+M12*0.9514+N12*1.3304</f>
        <v>20524.857199999999</v>
      </c>
      <c r="R12" s="11"/>
      <c r="S12" s="28"/>
      <c r="T12" s="11"/>
      <c r="U12" s="28"/>
      <c r="V12" s="146">
        <f>'Suvi Gaz'!O6</f>
        <v>351.99131</v>
      </c>
      <c r="W12" s="11"/>
      <c r="X12" s="34">
        <f t="shared" si="1"/>
        <v>4141.5297534600004</v>
      </c>
    </row>
    <row r="13" spans="1:24" ht="32.25" customHeight="1">
      <c r="A13" s="2"/>
      <c r="B13" s="6">
        <v>44746</v>
      </c>
      <c r="C13" s="7"/>
      <c r="D13" s="143"/>
      <c r="E13" s="143"/>
      <c r="F13" s="13">
        <f>'Suivi EAU-ELEC'!E12</f>
        <v>231</v>
      </c>
      <c r="G13" s="11"/>
      <c r="H13" s="168">
        <f t="shared" si="0"/>
        <v>2030.4899999999998</v>
      </c>
      <c r="I13" s="169"/>
      <c r="J13" s="169"/>
      <c r="K13" s="60">
        <v>42281</v>
      </c>
      <c r="L13" s="90">
        <f>'Suivi EAU-ELEC'!G12</f>
        <v>4745</v>
      </c>
      <c r="M13" s="91">
        <f>'Suivi EAU-ELEC'!I12</f>
        <v>10015</v>
      </c>
      <c r="N13" s="91">
        <f>'Suivi EAU-ELEC'!K12</f>
        <v>3926</v>
      </c>
      <c r="O13" s="91">
        <f t="shared" ref="O13:O36" si="2">L13+M13+N13</f>
        <v>18686</v>
      </c>
      <c r="P13" s="11"/>
      <c r="Q13" s="34">
        <f t="shared" ref="Q13:Q36" si="3">L13*0.6985+M13*0.9514+N13*1.3304</f>
        <v>18065.803899999999</v>
      </c>
      <c r="R13" s="11"/>
      <c r="S13" s="28"/>
      <c r="T13" s="11"/>
      <c r="U13" s="28"/>
      <c r="V13" s="146"/>
      <c r="W13" s="11"/>
      <c r="X13" s="34">
        <f t="shared" si="1"/>
        <v>0</v>
      </c>
    </row>
    <row r="14" spans="1:24" ht="32.25" customHeight="1">
      <c r="A14" s="2"/>
      <c r="B14" s="6">
        <v>44747</v>
      </c>
      <c r="C14" s="7"/>
      <c r="D14" s="143"/>
      <c r="E14" s="143"/>
      <c r="F14" s="13">
        <f>'Suivi EAU-ELEC'!E13</f>
        <v>0</v>
      </c>
      <c r="G14" s="12"/>
      <c r="H14" s="168">
        <f t="shared" si="0"/>
        <v>0</v>
      </c>
      <c r="I14" s="169"/>
      <c r="J14" s="169"/>
      <c r="K14" s="60">
        <v>42282</v>
      </c>
      <c r="L14" s="90">
        <f>'Suivi EAU-ELEC'!G13</f>
        <v>0</v>
      </c>
      <c r="M14" s="91">
        <f>'Suivi EAU-ELEC'!I13</f>
        <v>0</v>
      </c>
      <c r="N14" s="91">
        <f>'Suivi EAU-ELEC'!K13</f>
        <v>0</v>
      </c>
      <c r="O14" s="91">
        <f t="shared" si="2"/>
        <v>0</v>
      </c>
      <c r="P14" s="12"/>
      <c r="Q14" s="34">
        <f t="shared" si="3"/>
        <v>0</v>
      </c>
      <c r="R14" s="12"/>
      <c r="S14" s="28"/>
      <c r="T14" s="12"/>
      <c r="U14" s="28"/>
      <c r="V14" s="146"/>
      <c r="W14" s="11"/>
      <c r="X14" s="34">
        <f t="shared" si="1"/>
        <v>0</v>
      </c>
    </row>
    <row r="15" spans="1:24" ht="32.25" customHeight="1">
      <c r="A15" s="5"/>
      <c r="B15" s="6">
        <v>44748</v>
      </c>
      <c r="C15" s="7"/>
      <c r="D15" s="143"/>
      <c r="E15" s="143"/>
      <c r="F15" s="13">
        <f>'Suivi EAU-ELEC'!E14</f>
        <v>0</v>
      </c>
      <c r="G15" s="11"/>
      <c r="H15" s="168">
        <f t="shared" si="0"/>
        <v>0</v>
      </c>
      <c r="I15" s="169"/>
      <c r="J15" s="169"/>
      <c r="K15" s="60">
        <v>42283</v>
      </c>
      <c r="L15" s="90">
        <f>'Suivi EAU-ELEC'!G14</f>
        <v>0</v>
      </c>
      <c r="M15" s="91">
        <f>'Suivi EAU-ELEC'!I14</f>
        <v>0</v>
      </c>
      <c r="N15" s="91">
        <f>'Suivi EAU-ELEC'!K14</f>
        <v>0</v>
      </c>
      <c r="O15" s="91">
        <f t="shared" si="2"/>
        <v>0</v>
      </c>
      <c r="P15" s="12"/>
      <c r="Q15" s="34">
        <f>L15*0.6985+M15*0.9514+N15*1.3304</f>
        <v>0</v>
      </c>
      <c r="R15" s="12"/>
      <c r="S15" s="28"/>
      <c r="T15" s="12"/>
      <c r="U15" s="28"/>
      <c r="V15" s="146"/>
      <c r="W15" s="11"/>
      <c r="X15" s="34">
        <f t="shared" si="1"/>
        <v>0</v>
      </c>
    </row>
    <row r="16" spans="1:24" ht="32.25" customHeight="1">
      <c r="A16" s="5"/>
      <c r="B16" s="6">
        <v>44749</v>
      </c>
      <c r="C16" s="7"/>
      <c r="D16" s="143"/>
      <c r="E16" s="143"/>
      <c r="F16" s="13">
        <f>'Suivi EAU-ELEC'!E15</f>
        <v>0</v>
      </c>
      <c r="G16" s="11"/>
      <c r="H16" s="168">
        <f t="shared" si="0"/>
        <v>0</v>
      </c>
      <c r="I16" s="169"/>
      <c r="J16" s="169"/>
      <c r="K16" s="60">
        <v>42284</v>
      </c>
      <c r="L16" s="90">
        <f>'Suivi EAU-ELEC'!G15</f>
        <v>0</v>
      </c>
      <c r="M16" s="91">
        <f>'Suivi EAU-ELEC'!I15</f>
        <v>0</v>
      </c>
      <c r="N16" s="91">
        <f>'Suivi EAU-ELEC'!K15</f>
        <v>0</v>
      </c>
      <c r="O16" s="91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46"/>
      <c r="W16" s="11"/>
      <c r="X16" s="34">
        <f t="shared" si="1"/>
        <v>0</v>
      </c>
    </row>
    <row r="17" spans="1:24" s="5" customFormat="1" ht="32.25" customHeight="1">
      <c r="A17" s="2"/>
      <c r="B17" s="6">
        <v>44750</v>
      </c>
      <c r="C17" s="7"/>
      <c r="D17" s="143"/>
      <c r="E17" s="143"/>
      <c r="F17" s="13">
        <f>'Suivi EAU-ELEC'!E16</f>
        <v>0</v>
      </c>
      <c r="G17" s="11"/>
      <c r="H17" s="168">
        <f t="shared" si="0"/>
        <v>0</v>
      </c>
      <c r="I17" s="169"/>
      <c r="J17" s="169"/>
      <c r="K17" s="60">
        <v>42285</v>
      </c>
      <c r="L17" s="90">
        <f>'Suivi EAU-ELEC'!G16</f>
        <v>0</v>
      </c>
      <c r="M17" s="91">
        <f>'Suivi EAU-ELEC'!I16</f>
        <v>0</v>
      </c>
      <c r="N17" s="91">
        <f>'Suivi EAU-ELEC'!K16</f>
        <v>0</v>
      </c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44751</v>
      </c>
      <c r="C18" s="7"/>
      <c r="D18" s="143"/>
      <c r="E18" s="143"/>
      <c r="F18" s="13">
        <f>'Suivi EAU-ELEC'!E17</f>
        <v>0</v>
      </c>
      <c r="G18" s="11"/>
      <c r="H18" s="168">
        <f t="shared" si="0"/>
        <v>0</v>
      </c>
      <c r="I18" s="169"/>
      <c r="J18" s="169"/>
      <c r="K18" s="60">
        <v>42286</v>
      </c>
      <c r="L18" s="90">
        <f>'Suivi EAU-ELEC'!G17</f>
        <v>0</v>
      </c>
      <c r="M18" s="91">
        <f>'Suivi EAU-ELEC'!I17</f>
        <v>0</v>
      </c>
      <c r="N18" s="91">
        <f>'Suivi EAU-ELEC'!K17</f>
        <v>0</v>
      </c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44752</v>
      </c>
      <c r="C19" s="7"/>
      <c r="D19" s="143"/>
      <c r="E19" s="143"/>
      <c r="F19" s="13">
        <f>'Suivi EAU-ELEC'!E18</f>
        <v>0</v>
      </c>
      <c r="G19" s="12"/>
      <c r="H19" s="168">
        <f t="shared" si="0"/>
        <v>0</v>
      </c>
      <c r="I19" s="169"/>
      <c r="J19" s="169"/>
      <c r="K19" s="60">
        <v>42287</v>
      </c>
      <c r="L19" s="90">
        <f>'Suivi EAU-ELEC'!G18</f>
        <v>0</v>
      </c>
      <c r="M19" s="91">
        <f>'Suivi EAU-ELEC'!I18</f>
        <v>0</v>
      </c>
      <c r="N19" s="91">
        <f>'Suivi EAU-ELEC'!K18</f>
        <v>0</v>
      </c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44753</v>
      </c>
      <c r="C20" s="7"/>
      <c r="D20" s="143"/>
      <c r="E20" s="143"/>
      <c r="F20" s="13">
        <f>'Suivi EAU-ELEC'!E19</f>
        <v>0</v>
      </c>
      <c r="G20" s="12"/>
      <c r="H20" s="168">
        <f t="shared" si="0"/>
        <v>0</v>
      </c>
      <c r="I20" s="169"/>
      <c r="J20" s="169"/>
      <c r="K20" s="60">
        <v>42288</v>
      </c>
      <c r="L20" s="90">
        <f>'Suivi EAU-ELEC'!G19</f>
        <v>0</v>
      </c>
      <c r="M20" s="91">
        <f>'Suivi EAU-ELEC'!I19</f>
        <v>0</v>
      </c>
      <c r="N20" s="91">
        <f>'Suivi EAU-ELEC'!K19</f>
        <v>0</v>
      </c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44754</v>
      </c>
      <c r="C21" s="7"/>
      <c r="D21" s="143"/>
      <c r="E21" s="143"/>
      <c r="F21" s="13">
        <f>'Suivi EAU-ELEC'!E20</f>
        <v>0</v>
      </c>
      <c r="G21" s="12"/>
      <c r="H21" s="168">
        <f t="shared" si="0"/>
        <v>0</v>
      </c>
      <c r="I21" s="169"/>
      <c r="J21" s="169"/>
      <c r="K21" s="60">
        <v>42289</v>
      </c>
      <c r="L21" s="90">
        <f>'Suivi EAU-ELEC'!G20</f>
        <v>0</v>
      </c>
      <c r="M21" s="91">
        <f>'Suivi EAU-ELEC'!I20</f>
        <v>0</v>
      </c>
      <c r="N21" s="91">
        <f>'Suivi EAU-ELEC'!K20</f>
        <v>0</v>
      </c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44755</v>
      </c>
      <c r="C22" s="7"/>
      <c r="D22" s="143"/>
      <c r="E22" s="143"/>
      <c r="F22" s="13">
        <f>'Suivi EAU-ELEC'!E21</f>
        <v>0</v>
      </c>
      <c r="G22" s="12"/>
      <c r="H22" s="168">
        <f t="shared" ref="H22:H35" si="4">F22*8.79</f>
        <v>0</v>
      </c>
      <c r="I22" s="169"/>
      <c r="J22" s="169"/>
      <c r="K22" s="60">
        <v>42290</v>
      </c>
      <c r="L22" s="90">
        <f>'Suivi EAU-ELEC'!G21</f>
        <v>0</v>
      </c>
      <c r="M22" s="91">
        <f>'Suivi EAU-ELEC'!I21</f>
        <v>0</v>
      </c>
      <c r="N22" s="91">
        <f>'Suivi EAU-ELEC'!K21</f>
        <v>0</v>
      </c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44756</v>
      </c>
      <c r="C23" s="7"/>
      <c r="D23" s="143"/>
      <c r="E23" s="143"/>
      <c r="F23" s="13">
        <f>'Suivi EAU-ELEC'!E22</f>
        <v>0</v>
      </c>
      <c r="G23" s="14"/>
      <c r="H23" s="168">
        <f t="shared" si="4"/>
        <v>0</v>
      </c>
      <c r="I23" s="169"/>
      <c r="J23" s="169"/>
      <c r="K23" s="60">
        <v>42291</v>
      </c>
      <c r="L23" s="90">
        <f>'Suivi EAU-ELEC'!G22</f>
        <v>0</v>
      </c>
      <c r="M23" s="91">
        <f>'Suivi EAU-ELEC'!I22</f>
        <v>0</v>
      </c>
      <c r="N23" s="91">
        <f>'Suivi EAU-ELEC'!K22</f>
        <v>0</v>
      </c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44757</v>
      </c>
      <c r="C24" s="7"/>
      <c r="D24" s="143"/>
      <c r="E24" s="143"/>
      <c r="F24" s="13">
        <f>'Suivi EAU-ELEC'!E23</f>
        <v>0</v>
      </c>
      <c r="G24" s="14"/>
      <c r="H24" s="168">
        <f t="shared" si="4"/>
        <v>0</v>
      </c>
      <c r="I24" s="169"/>
      <c r="J24" s="169"/>
      <c r="K24" s="60">
        <v>42292</v>
      </c>
      <c r="L24" s="90">
        <f>'Suivi EAU-ELEC'!G23</f>
        <v>0</v>
      </c>
      <c r="M24" s="91">
        <f>'Suivi EAU-ELEC'!I23</f>
        <v>0</v>
      </c>
      <c r="N24" s="91">
        <f>'Suivi EAU-ELEC'!K23</f>
        <v>0</v>
      </c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44758</v>
      </c>
      <c r="C25" s="7"/>
      <c r="D25" s="143"/>
      <c r="E25" s="143"/>
      <c r="F25" s="13">
        <f>'Suivi EAU-ELEC'!E24</f>
        <v>0</v>
      </c>
      <c r="G25" s="14"/>
      <c r="H25" s="168">
        <f t="shared" si="4"/>
        <v>0</v>
      </c>
      <c r="I25" s="169"/>
      <c r="J25" s="169"/>
      <c r="K25" s="60">
        <v>42293</v>
      </c>
      <c r="L25" s="90">
        <f>'Suivi EAU-ELEC'!G24</f>
        <v>0</v>
      </c>
      <c r="M25" s="91">
        <f>'Suivi EAU-ELEC'!I24</f>
        <v>0</v>
      </c>
      <c r="N25" s="91">
        <f>'Suivi EAU-ELEC'!K24</f>
        <v>0</v>
      </c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44759</v>
      </c>
      <c r="C26" s="7"/>
      <c r="D26" s="143"/>
      <c r="E26" s="143"/>
      <c r="F26" s="13">
        <f>'Suivi EAU-ELEC'!E25</f>
        <v>0</v>
      </c>
      <c r="G26" s="14"/>
      <c r="H26" s="168">
        <f t="shared" si="4"/>
        <v>0</v>
      </c>
      <c r="I26" s="169"/>
      <c r="J26" s="169"/>
      <c r="K26" s="60">
        <v>42294</v>
      </c>
      <c r="L26" s="90">
        <f>'Suivi EAU-ELEC'!G25</f>
        <v>0</v>
      </c>
      <c r="M26" s="91">
        <f>'Suivi EAU-ELEC'!I25</f>
        <v>0</v>
      </c>
      <c r="N26" s="91">
        <f>'Suivi EAU-ELEC'!K25</f>
        <v>0</v>
      </c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44760</v>
      </c>
      <c r="C27" s="7"/>
      <c r="D27" s="143"/>
      <c r="E27" s="143"/>
      <c r="F27" s="13">
        <f>'Suivi EAU-ELEC'!E26</f>
        <v>0</v>
      </c>
      <c r="G27" s="14"/>
      <c r="H27" s="168">
        <f t="shared" si="4"/>
        <v>0</v>
      </c>
      <c r="I27" s="169"/>
      <c r="J27" s="169"/>
      <c r="K27" s="60">
        <v>42295</v>
      </c>
      <c r="L27" s="90">
        <f>'Suivi EAU-ELEC'!G26</f>
        <v>0</v>
      </c>
      <c r="M27" s="91">
        <f>'Suivi EAU-ELEC'!I26</f>
        <v>0</v>
      </c>
      <c r="N27" s="91">
        <f>'Suivi EAU-ELEC'!K26</f>
        <v>0</v>
      </c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44761</v>
      </c>
      <c r="C28" s="7"/>
      <c r="D28" s="143"/>
      <c r="E28" s="143"/>
      <c r="F28" s="13">
        <f>'Suivi EAU-ELEC'!E27</f>
        <v>0</v>
      </c>
      <c r="G28" s="11"/>
      <c r="H28" s="168">
        <f t="shared" si="4"/>
        <v>0</v>
      </c>
      <c r="I28" s="169"/>
      <c r="J28" s="169"/>
      <c r="K28" s="60">
        <v>42296</v>
      </c>
      <c r="L28" s="90">
        <f>'Suivi EAU-ELEC'!G27</f>
        <v>0</v>
      </c>
      <c r="M28" s="91">
        <f>'Suivi EAU-ELEC'!I27</f>
        <v>0</v>
      </c>
      <c r="N28" s="91">
        <f>'Suivi EAU-ELEC'!K27</f>
        <v>0</v>
      </c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44762</v>
      </c>
      <c r="C29" s="7"/>
      <c r="D29" s="143"/>
      <c r="E29" s="143"/>
      <c r="F29" s="13">
        <f>'Suivi EAU-ELEC'!E28</f>
        <v>0</v>
      </c>
      <c r="G29" s="11"/>
      <c r="H29" s="168">
        <f t="shared" si="4"/>
        <v>0</v>
      </c>
      <c r="I29" s="169"/>
      <c r="J29" s="169"/>
      <c r="K29" s="60">
        <v>42297</v>
      </c>
      <c r="L29" s="90">
        <f>'Suivi EAU-ELEC'!G28</f>
        <v>0</v>
      </c>
      <c r="M29" s="91">
        <f>'Suivi EAU-ELEC'!I28</f>
        <v>0</v>
      </c>
      <c r="N29" s="91">
        <f>'Suivi EAU-ELEC'!K28</f>
        <v>0</v>
      </c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44763</v>
      </c>
      <c r="C30" s="7"/>
      <c r="D30" s="143"/>
      <c r="E30" s="143"/>
      <c r="F30" s="13">
        <f>'Suivi EAU-ELEC'!E29</f>
        <v>0</v>
      </c>
      <c r="G30" s="11"/>
      <c r="H30" s="168">
        <f t="shared" si="4"/>
        <v>0</v>
      </c>
      <c r="I30" s="169"/>
      <c r="J30" s="169"/>
      <c r="K30" s="60">
        <v>42298</v>
      </c>
      <c r="L30" s="90">
        <f>'Suivi EAU-ELEC'!G29</f>
        <v>0</v>
      </c>
      <c r="M30" s="91">
        <f>'Suivi EAU-ELEC'!I29</f>
        <v>0</v>
      </c>
      <c r="N30" s="91">
        <f>'Suivi EAU-ELEC'!K29</f>
        <v>0</v>
      </c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44764</v>
      </c>
      <c r="C31" s="7"/>
      <c r="D31" s="143"/>
      <c r="E31" s="143"/>
      <c r="F31" s="13">
        <f>'Suivi EAU-ELEC'!E30</f>
        <v>0</v>
      </c>
      <c r="G31" s="11"/>
      <c r="H31" s="168">
        <f t="shared" si="4"/>
        <v>0</v>
      </c>
      <c r="I31" s="169"/>
      <c r="J31" s="169"/>
      <c r="K31" s="60">
        <v>42299</v>
      </c>
      <c r="L31" s="90">
        <f>'Suivi EAU-ELEC'!G30</f>
        <v>0</v>
      </c>
      <c r="M31" s="91">
        <f>'Suivi EAU-ELEC'!I30</f>
        <v>0</v>
      </c>
      <c r="N31" s="91">
        <f>'Suivi EAU-ELEC'!K30</f>
        <v>0</v>
      </c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44765</v>
      </c>
      <c r="C32" s="7"/>
      <c r="D32" s="143"/>
      <c r="E32" s="143"/>
      <c r="F32" s="13">
        <f>'Suivi EAU-ELEC'!E31</f>
        <v>0</v>
      </c>
      <c r="G32" s="11"/>
      <c r="H32" s="168">
        <f t="shared" si="4"/>
        <v>0</v>
      </c>
      <c r="I32" s="169"/>
      <c r="J32" s="169"/>
      <c r="K32" s="60">
        <v>42300</v>
      </c>
      <c r="L32" s="90">
        <f>'Suivi EAU-ELEC'!G31</f>
        <v>0</v>
      </c>
      <c r="M32" s="91">
        <f>'Suivi EAU-ELEC'!I31</f>
        <v>0</v>
      </c>
      <c r="N32" s="91">
        <f>'Suivi EAU-ELEC'!K31</f>
        <v>0</v>
      </c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44766</v>
      </c>
      <c r="C33" s="7"/>
      <c r="D33" s="143"/>
      <c r="E33" s="143"/>
      <c r="F33" s="13">
        <f>'Suivi EAU-ELEC'!E32</f>
        <v>0</v>
      </c>
      <c r="G33" s="11"/>
      <c r="H33" s="168">
        <f t="shared" si="4"/>
        <v>0</v>
      </c>
      <c r="I33" s="169"/>
      <c r="J33" s="169"/>
      <c r="K33" s="60">
        <v>42301</v>
      </c>
      <c r="L33" s="90">
        <f>'Suivi EAU-ELEC'!G32</f>
        <v>0</v>
      </c>
      <c r="M33" s="91">
        <f>'Suivi EAU-ELEC'!I32</f>
        <v>0</v>
      </c>
      <c r="N33" s="91">
        <f>'Suivi EAU-ELEC'!K32</f>
        <v>0</v>
      </c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44767</v>
      </c>
      <c r="C34" s="7"/>
      <c r="D34" s="143"/>
      <c r="E34" s="143"/>
      <c r="F34" s="13">
        <f>'Suivi EAU-ELEC'!E33</f>
        <v>0</v>
      </c>
      <c r="G34" s="11"/>
      <c r="H34" s="168">
        <f t="shared" si="4"/>
        <v>0</v>
      </c>
      <c r="I34" s="169"/>
      <c r="J34" s="169"/>
      <c r="K34" s="60">
        <v>42302</v>
      </c>
      <c r="L34" s="90">
        <f>'Suivi EAU-ELEC'!G33</f>
        <v>0</v>
      </c>
      <c r="M34" s="91">
        <f>'Suivi EAU-ELEC'!I33</f>
        <v>0</v>
      </c>
      <c r="N34" s="91">
        <f>'Suivi EAU-ELEC'!K33</f>
        <v>0</v>
      </c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44768</v>
      </c>
      <c r="C35" s="7"/>
      <c r="D35" s="143"/>
      <c r="E35" s="143"/>
      <c r="F35" s="13">
        <f>'Suivi EAU-ELEC'!E34</f>
        <v>0</v>
      </c>
      <c r="G35" s="11"/>
      <c r="H35" s="168">
        <f t="shared" si="4"/>
        <v>0</v>
      </c>
      <c r="I35" s="169"/>
      <c r="J35" s="169"/>
      <c r="K35" s="60">
        <v>42303</v>
      </c>
      <c r="L35" s="90">
        <f>'Suivi EAU-ELEC'!G34</f>
        <v>0</v>
      </c>
      <c r="M35" s="91">
        <f>'Suivi EAU-ELEC'!I34</f>
        <v>0</v>
      </c>
      <c r="N35" s="91">
        <f>'Suivi EAU-ELEC'!K34</f>
        <v>0</v>
      </c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44769</v>
      </c>
      <c r="C36" s="7"/>
      <c r="D36" s="143"/>
      <c r="E36" s="143"/>
      <c r="F36" s="13">
        <f>'Suivi EAU-ELEC'!E35</f>
        <v>0</v>
      </c>
      <c r="G36" s="11"/>
      <c r="H36" s="168">
        <f t="shared" ref="H36:H37" si="5">F36*8.79</f>
        <v>0</v>
      </c>
      <c r="I36" s="169"/>
      <c r="J36" s="169"/>
      <c r="K36" s="60"/>
      <c r="L36" s="90">
        <f>'Suivi EAU-ELEC'!G35</f>
        <v>0</v>
      </c>
      <c r="M36" s="91">
        <f>'Suivi EAU-ELEC'!I35</f>
        <v>0</v>
      </c>
      <c r="N36" s="91">
        <f>'Suivi EAU-ELEC'!K35</f>
        <v>0</v>
      </c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44770</v>
      </c>
      <c r="C37" s="7"/>
      <c r="D37" s="143"/>
      <c r="E37" s="143"/>
      <c r="F37" s="13">
        <f>'Suivi EAU-ELEC'!E36</f>
        <v>0</v>
      </c>
      <c r="G37" s="11"/>
      <c r="H37" s="168">
        <f t="shared" si="5"/>
        <v>0</v>
      </c>
      <c r="I37" s="169"/>
      <c r="J37" s="169"/>
      <c r="K37" s="60"/>
      <c r="L37" s="90">
        <f>'Suivi EAU-ELEC'!G36</f>
        <v>0</v>
      </c>
      <c r="M37" s="91">
        <f>'Suivi EAU-ELEC'!I36</f>
        <v>0</v>
      </c>
      <c r="N37" s="91">
        <f>'Suivi EAU-ELEC'!K36</f>
        <v>0</v>
      </c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44771</v>
      </c>
      <c r="C38" s="7"/>
      <c r="D38" s="143"/>
      <c r="E38" s="143"/>
      <c r="F38" s="13">
        <f>'Suivi EAU-ELEC'!E37</f>
        <v>0</v>
      </c>
      <c r="G38" s="11"/>
      <c r="H38" s="168">
        <f>F38*8.79</f>
        <v>0</v>
      </c>
      <c r="I38" s="169"/>
      <c r="J38" s="169"/>
      <c r="K38" s="60">
        <v>42304</v>
      </c>
      <c r="L38" s="90">
        <f>'Suivi EAU-ELEC'!G37</f>
        <v>0</v>
      </c>
      <c r="M38" s="91">
        <f>'Suivi EAU-ELEC'!I37</f>
        <v>0</v>
      </c>
      <c r="N38" s="91">
        <f>'Suivi EAU-ELEC'!K37</f>
        <v>0</v>
      </c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44772</v>
      </c>
      <c r="C39" s="7"/>
      <c r="D39" s="143"/>
      <c r="E39" s="143"/>
      <c r="F39" s="13">
        <f>'Suivi EAU-ELEC'!E38</f>
        <v>0</v>
      </c>
      <c r="G39" s="11"/>
      <c r="H39" s="168">
        <f>F39*8.79</f>
        <v>0</v>
      </c>
      <c r="I39" s="169"/>
      <c r="J39" s="169"/>
      <c r="K39" s="60"/>
      <c r="L39" s="90">
        <f>'Suivi EAU-ELEC'!G38</f>
        <v>0</v>
      </c>
      <c r="M39" s="91">
        <f>'Suivi EAU-ELEC'!I38</f>
        <v>0</v>
      </c>
      <c r="N39" s="91">
        <f>'Suivi EAU-ELEC'!K38</f>
        <v>0</v>
      </c>
      <c r="O39" s="91">
        <f t="shared" ref="O39:O40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44773</v>
      </c>
      <c r="C40" s="7"/>
      <c r="D40" s="143"/>
      <c r="E40" s="143"/>
      <c r="F40" s="13">
        <f>'Suivi EAU-ELEC'!E38</f>
        <v>0</v>
      </c>
      <c r="G40" s="11"/>
      <c r="H40" s="168">
        <f>F40*8.79</f>
        <v>0</v>
      </c>
      <c r="I40" s="169"/>
      <c r="J40" s="169"/>
      <c r="K40" s="60"/>
      <c r="L40" s="90">
        <f>'Suivi EAU-ELEC'!G39</f>
        <v>0</v>
      </c>
      <c r="M40" s="91">
        <f>'Suivi EAU-ELEC'!I39</f>
        <v>0</v>
      </c>
      <c r="N40" s="91">
        <f>'Suivi EAU-ELEC'!K39</f>
        <v>0</v>
      </c>
      <c r="O40" s="91">
        <f t="shared" si="6"/>
        <v>0</v>
      </c>
      <c r="P40" s="11"/>
      <c r="Q40" s="34">
        <f t="shared" si="7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459</v>
      </c>
      <c r="E41" s="8">
        <f>SUM(E10:E40)</f>
        <v>833</v>
      </c>
      <c r="F41" s="152">
        <f>SUM(F10:F40)</f>
        <v>748.70000000001164</v>
      </c>
      <c r="G41" s="1"/>
      <c r="H41" s="249">
        <f>SUM(H10:H40)</f>
        <v>6581.0730000001022</v>
      </c>
      <c r="I41" s="250"/>
      <c r="J41" s="251"/>
      <c r="K41" s="1"/>
      <c r="L41" s="53">
        <f>SUM(L10:L40)</f>
        <v>21657</v>
      </c>
      <c r="M41" s="53">
        <f>SUM(M10:M40)</f>
        <v>39811</v>
      </c>
      <c r="N41" s="54">
        <f>SUM(N10:N40)</f>
        <v>15665</v>
      </c>
      <c r="O41" s="55">
        <f>SUM(O10:O40)</f>
        <v>77133</v>
      </c>
      <c r="P41" s="31"/>
      <c r="Q41" s="34">
        <f t="shared" ref="Q40:Q41" si="8">L41*0.6985+M41*0.9514+N41*1.3304</f>
        <v>73844.315900000001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767.98104000000001</v>
      </c>
      <c r="W41" s="31"/>
      <c r="X41" s="32">
        <f>SUM(X10:X40)</f>
        <v>9036.0649166399999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21657</v>
      </c>
      <c r="J44" s="210"/>
      <c r="K44" s="211"/>
      <c r="L44" s="170">
        <f>I44*H44</f>
        <v>15127.414500000001</v>
      </c>
      <c r="M44" s="171"/>
      <c r="N44" s="227">
        <f>L44+L45+L46</f>
        <v>73844.315900000001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39811</v>
      </c>
      <c r="J45" s="210"/>
      <c r="K45" s="211"/>
      <c r="L45" s="170">
        <f>I45*H45</f>
        <v>37876.185400000002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15665</v>
      </c>
      <c r="J46" s="241"/>
      <c r="K46" s="242"/>
      <c r="L46" s="170">
        <f>I46*H46</f>
        <v>20840.716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95997.610670000009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748.70000000001164</v>
      </c>
      <c r="J48" s="202"/>
      <c r="K48" s="203"/>
      <c r="L48" s="207">
        <f>I48*H48</f>
        <v>6581.0730000001013</v>
      </c>
      <c r="M48" s="208"/>
      <c r="N48" s="224">
        <f>L48</f>
        <v>6581.0730000001013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>
      <c r="A49" s="236" t="s">
        <v>40</v>
      </c>
      <c r="B49" s="237"/>
      <c r="C49" s="237"/>
      <c r="D49" s="237"/>
      <c r="E49" s="237"/>
      <c r="F49" s="238"/>
      <c r="G49" s="24"/>
      <c r="H49" s="25">
        <v>11.766</v>
      </c>
      <c r="I49" s="199">
        <f>V41</f>
        <v>767.98104000000001</v>
      </c>
      <c r="J49" s="239"/>
      <c r="K49" s="200"/>
      <c r="L49" s="199">
        <f>I49*H49</f>
        <v>9036.0649166399999</v>
      </c>
      <c r="M49" s="200"/>
      <c r="N49" s="221">
        <f>L49</f>
        <v>9036.0649166399999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1" activePane="bottomRight" state="frozen"/>
      <selection pane="bottomRight" activeCell="B12" sqref="B12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44743</v>
      </c>
      <c r="B9" s="116">
        <v>2560</v>
      </c>
      <c r="C9" s="115">
        <v>0</v>
      </c>
      <c r="D9" s="57">
        <v>153235</v>
      </c>
      <c r="E9" s="50">
        <v>171.70000000001164</v>
      </c>
      <c r="F9" s="51">
        <v>11987278</v>
      </c>
      <c r="G9" s="50">
        <v>5543</v>
      </c>
      <c r="H9" s="51">
        <v>20409181</v>
      </c>
      <c r="I9" s="50">
        <v>9745</v>
      </c>
      <c r="J9" s="51">
        <v>8949480</v>
      </c>
      <c r="K9" s="50">
        <v>3279</v>
      </c>
    </row>
    <row r="10" spans="1:12" ht="19.5">
      <c r="A10" s="59">
        <v>44744</v>
      </c>
      <c r="B10" s="116">
        <v>2560</v>
      </c>
      <c r="C10" s="115">
        <f>B10-B9</f>
        <v>0</v>
      </c>
      <c r="D10" s="57">
        <v>153382</v>
      </c>
      <c r="E10" s="50">
        <f>D10-D9</f>
        <v>147</v>
      </c>
      <c r="F10" s="51">
        <v>11991813</v>
      </c>
      <c r="G10" s="50">
        <f>F10-F9</f>
        <v>4535</v>
      </c>
      <c r="H10" s="51">
        <v>20419391</v>
      </c>
      <c r="I10" s="50">
        <f>H10-H9</f>
        <v>10210</v>
      </c>
      <c r="J10" s="51">
        <v>8953138</v>
      </c>
      <c r="K10" s="50">
        <f>J10-J9</f>
        <v>3658</v>
      </c>
    </row>
    <row r="11" spans="1:12" ht="19.5">
      <c r="A11" s="59">
        <v>44745</v>
      </c>
      <c r="B11" s="116">
        <v>2560</v>
      </c>
      <c r="C11" s="115">
        <f>B11-B10</f>
        <v>0</v>
      </c>
      <c r="D11" s="57">
        <v>153581</v>
      </c>
      <c r="E11" s="50">
        <f>D11-D10</f>
        <v>199</v>
      </c>
      <c r="F11" s="51">
        <v>11998647</v>
      </c>
      <c r="G11" s="50">
        <f>F11-F10</f>
        <v>6834</v>
      </c>
      <c r="H11" s="51">
        <v>20429232</v>
      </c>
      <c r="I11" s="50">
        <f>H11-H10</f>
        <v>9841</v>
      </c>
      <c r="J11" s="51">
        <v>8957940</v>
      </c>
      <c r="K11" s="50">
        <f>J11-J10</f>
        <v>4802</v>
      </c>
    </row>
    <row r="12" spans="1:12" ht="19.5">
      <c r="A12" s="59">
        <v>44746</v>
      </c>
      <c r="B12" s="116">
        <v>2560</v>
      </c>
      <c r="C12" s="115">
        <f>B12-B11</f>
        <v>0</v>
      </c>
      <c r="D12" s="57">
        <v>153812</v>
      </c>
      <c r="E12" s="50">
        <f>D12-D11</f>
        <v>231</v>
      </c>
      <c r="F12" s="51">
        <v>12003392</v>
      </c>
      <c r="G12" s="50">
        <f>F12-F11</f>
        <v>4745</v>
      </c>
      <c r="H12" s="51">
        <v>20439247</v>
      </c>
      <c r="I12" s="50">
        <f>H12-H11</f>
        <v>10015</v>
      </c>
      <c r="J12" s="51">
        <v>8961866</v>
      </c>
      <c r="K12" s="50">
        <f>J12-J11</f>
        <v>3926</v>
      </c>
    </row>
    <row r="13" spans="1:12" ht="19.5">
      <c r="A13" s="59">
        <v>44747</v>
      </c>
      <c r="B13" s="116"/>
      <c r="C13" s="115"/>
      <c r="D13" s="57"/>
      <c r="E13" s="50"/>
      <c r="F13" s="51"/>
      <c r="G13" s="50"/>
      <c r="H13" s="51"/>
      <c r="I13" s="50"/>
      <c r="J13" s="51"/>
      <c r="K13" s="50"/>
    </row>
    <row r="14" spans="1:12" ht="19.5">
      <c r="A14" s="59">
        <v>44748</v>
      </c>
      <c r="B14" s="116"/>
      <c r="C14" s="115">
        <f>B14-B13</f>
        <v>0</v>
      </c>
      <c r="D14" s="57"/>
      <c r="E14" s="50">
        <f>D14-D13</f>
        <v>0</v>
      </c>
      <c r="F14" s="51"/>
      <c r="G14" s="50">
        <f>F14-F13</f>
        <v>0</v>
      </c>
      <c r="H14" s="51"/>
      <c r="I14" s="50">
        <f>H14-H13</f>
        <v>0</v>
      </c>
      <c r="J14" s="51"/>
      <c r="K14" s="50">
        <f>J14-J13</f>
        <v>0</v>
      </c>
    </row>
    <row r="15" spans="1:12" ht="19.5">
      <c r="A15" s="59">
        <v>44749</v>
      </c>
      <c r="B15" s="116"/>
      <c r="C15" s="115">
        <f>B15-B14</f>
        <v>0</v>
      </c>
      <c r="D15" s="57"/>
      <c r="E15" s="50">
        <f t="shared" ref="E15:E39" si="0">D15-D14</f>
        <v>0</v>
      </c>
      <c r="F15" s="51"/>
      <c r="G15" s="50">
        <f>F15-F14</f>
        <v>0</v>
      </c>
      <c r="H15" s="51"/>
      <c r="I15" s="50">
        <f>H15-H14</f>
        <v>0</v>
      </c>
      <c r="J15" s="51"/>
      <c r="K15" s="50">
        <f>J15-J14</f>
        <v>0</v>
      </c>
    </row>
    <row r="16" spans="1:12" ht="19.5">
      <c r="A16" s="59">
        <v>44750</v>
      </c>
      <c r="B16" s="116"/>
      <c r="C16" s="115">
        <f>B16-B15</f>
        <v>0</v>
      </c>
      <c r="D16" s="57"/>
      <c r="E16" s="50">
        <f t="shared" si="0"/>
        <v>0</v>
      </c>
      <c r="F16" s="51"/>
      <c r="G16" s="50">
        <f>F16-F15</f>
        <v>0</v>
      </c>
      <c r="H16" s="51"/>
      <c r="I16" s="50">
        <f>H16-H15</f>
        <v>0</v>
      </c>
      <c r="J16" s="51"/>
      <c r="K16" s="50">
        <f>J16-J15</f>
        <v>0</v>
      </c>
    </row>
    <row r="17" spans="1:29" ht="19.5">
      <c r="A17" s="59">
        <v>44751</v>
      </c>
      <c r="B17" s="116"/>
      <c r="C17" s="115">
        <f>B17-B16</f>
        <v>0</v>
      </c>
      <c r="D17" s="57"/>
      <c r="E17" s="50">
        <f t="shared" si="0"/>
        <v>0</v>
      </c>
      <c r="F17" s="51"/>
      <c r="G17" s="50">
        <f>F17-F16</f>
        <v>0</v>
      </c>
      <c r="H17" s="51"/>
      <c r="I17" s="50">
        <f>H17-H16</f>
        <v>0</v>
      </c>
      <c r="J17" s="51"/>
      <c r="K17" s="50">
        <f>J17-J16</f>
        <v>0</v>
      </c>
    </row>
    <row r="18" spans="1:29" ht="19.5">
      <c r="A18" s="59">
        <v>44752</v>
      </c>
      <c r="B18" s="116"/>
      <c r="C18" s="115">
        <f>B18-B17</f>
        <v>0</v>
      </c>
      <c r="D18" s="57"/>
      <c r="E18" s="50">
        <f t="shared" si="0"/>
        <v>0</v>
      </c>
      <c r="F18" s="51"/>
      <c r="G18" s="50">
        <f>F18-F17</f>
        <v>0</v>
      </c>
      <c r="H18" s="51"/>
      <c r="I18" s="50">
        <f>H18-H17</f>
        <v>0</v>
      </c>
      <c r="J18" s="51"/>
      <c r="K18" s="50">
        <f>J18-J17</f>
        <v>0</v>
      </c>
    </row>
    <row r="19" spans="1:29" ht="19.5">
      <c r="A19" s="59">
        <v>44753</v>
      </c>
      <c r="B19" s="116"/>
      <c r="C19" s="115">
        <f t="shared" ref="C19:C39" si="1">B19-B18</f>
        <v>0</v>
      </c>
      <c r="D19" s="57"/>
      <c r="E19" s="50">
        <f t="shared" si="0"/>
        <v>0</v>
      </c>
      <c r="F19" s="51"/>
      <c r="G19" s="50">
        <f t="shared" ref="G19:G39" si="2">F19-F18</f>
        <v>0</v>
      </c>
      <c r="H19" s="51"/>
      <c r="I19" s="50">
        <f t="shared" ref="I19:I39" si="3">H19-H18</f>
        <v>0</v>
      </c>
      <c r="J19" s="51"/>
      <c r="K19" s="50">
        <f t="shared" ref="K19:K39" si="4">J19-J18</f>
        <v>0</v>
      </c>
    </row>
    <row r="20" spans="1:29" ht="25.5">
      <c r="A20" s="59">
        <v>44754</v>
      </c>
      <c r="B20" s="116"/>
      <c r="C20" s="115">
        <f t="shared" si="1"/>
        <v>0</v>
      </c>
      <c r="D20" s="57"/>
      <c r="E20" s="50">
        <f t="shared" si="0"/>
        <v>0</v>
      </c>
      <c r="F20" s="51"/>
      <c r="G20" s="50">
        <f t="shared" si="2"/>
        <v>0</v>
      </c>
      <c r="H20" s="51"/>
      <c r="I20" s="50">
        <f t="shared" si="3"/>
        <v>0</v>
      </c>
      <c r="J20" s="51"/>
      <c r="K20" s="50">
        <f t="shared" si="4"/>
        <v>0</v>
      </c>
      <c r="L20" s="117" t="s">
        <v>18</v>
      </c>
      <c r="AC20" t="s">
        <v>56</v>
      </c>
    </row>
    <row r="21" spans="1:29" ht="19.5">
      <c r="A21" s="59">
        <v>44755</v>
      </c>
      <c r="B21" s="116"/>
      <c r="C21" s="115">
        <f t="shared" si="1"/>
        <v>0</v>
      </c>
      <c r="D21" s="57"/>
      <c r="E21" s="50">
        <f t="shared" si="0"/>
        <v>0</v>
      </c>
      <c r="F21" s="51"/>
      <c r="G21" s="50">
        <f t="shared" si="2"/>
        <v>0</v>
      </c>
      <c r="H21" s="51"/>
      <c r="I21" s="50">
        <f t="shared" si="3"/>
        <v>0</v>
      </c>
      <c r="J21" s="51"/>
      <c r="K21" s="50">
        <f t="shared" si="4"/>
        <v>0</v>
      </c>
    </row>
    <row r="22" spans="1:29" ht="19.5">
      <c r="A22" s="59">
        <v>44756</v>
      </c>
      <c r="B22" s="116"/>
      <c r="C22" s="115">
        <f t="shared" si="1"/>
        <v>0</v>
      </c>
      <c r="D22" s="57"/>
      <c r="E22" s="50">
        <f t="shared" si="0"/>
        <v>0</v>
      </c>
      <c r="F22" s="51"/>
      <c r="G22" s="50">
        <f t="shared" si="2"/>
        <v>0</v>
      </c>
      <c r="H22" s="51"/>
      <c r="I22" s="50">
        <f t="shared" si="3"/>
        <v>0</v>
      </c>
      <c r="J22" s="51"/>
      <c r="K22" s="50">
        <f t="shared" si="4"/>
        <v>0</v>
      </c>
    </row>
    <row r="23" spans="1:29" ht="19.5">
      <c r="A23" s="59">
        <v>44757</v>
      </c>
      <c r="B23" s="116"/>
      <c r="C23" s="115">
        <f t="shared" si="1"/>
        <v>0</v>
      </c>
      <c r="D23" s="57"/>
      <c r="E23" s="50">
        <f t="shared" si="0"/>
        <v>0</v>
      </c>
      <c r="F23" s="51"/>
      <c r="G23" s="50">
        <f t="shared" si="2"/>
        <v>0</v>
      </c>
      <c r="H23" s="51"/>
      <c r="I23" s="50">
        <f t="shared" si="3"/>
        <v>0</v>
      </c>
      <c r="J23" s="51"/>
      <c r="K23" s="50">
        <f t="shared" si="4"/>
        <v>0</v>
      </c>
    </row>
    <row r="24" spans="1:29" ht="19.5">
      <c r="A24" s="59">
        <v>44758</v>
      </c>
      <c r="B24" s="116"/>
      <c r="C24" s="115">
        <f t="shared" si="1"/>
        <v>0</v>
      </c>
      <c r="D24" s="57"/>
      <c r="E24" s="50">
        <f t="shared" si="0"/>
        <v>0</v>
      </c>
      <c r="F24" s="51"/>
      <c r="G24" s="50">
        <f t="shared" si="2"/>
        <v>0</v>
      </c>
      <c r="H24" s="51"/>
      <c r="I24" s="50">
        <f t="shared" si="3"/>
        <v>0</v>
      </c>
      <c r="J24" s="51"/>
      <c r="K24" s="50">
        <f t="shared" si="4"/>
        <v>0</v>
      </c>
    </row>
    <row r="25" spans="1:29" ht="19.5">
      <c r="A25" s="59">
        <v>44759</v>
      </c>
      <c r="B25" s="116"/>
      <c r="C25" s="115">
        <f t="shared" si="1"/>
        <v>0</v>
      </c>
      <c r="D25" s="57"/>
      <c r="E25" s="50">
        <f t="shared" si="0"/>
        <v>0</v>
      </c>
      <c r="F25" s="51"/>
      <c r="G25" s="50">
        <f t="shared" si="2"/>
        <v>0</v>
      </c>
      <c r="H25" s="51"/>
      <c r="I25" s="50">
        <f t="shared" si="3"/>
        <v>0</v>
      </c>
      <c r="J25" s="51"/>
      <c r="K25" s="50">
        <f t="shared" si="4"/>
        <v>0</v>
      </c>
    </row>
    <row r="26" spans="1:29" ht="19.5">
      <c r="A26" s="59">
        <v>44760</v>
      </c>
      <c r="B26" s="116"/>
      <c r="C26" s="115">
        <f t="shared" si="1"/>
        <v>0</v>
      </c>
      <c r="D26" s="57"/>
      <c r="E26" s="50">
        <f t="shared" si="0"/>
        <v>0</v>
      </c>
      <c r="F26" s="51"/>
      <c r="G26" s="50">
        <f t="shared" si="2"/>
        <v>0</v>
      </c>
      <c r="H26" s="51"/>
      <c r="I26" s="50">
        <f t="shared" si="3"/>
        <v>0</v>
      </c>
      <c r="J26" s="51"/>
      <c r="K26" s="50">
        <f t="shared" si="4"/>
        <v>0</v>
      </c>
    </row>
    <row r="27" spans="1:29" ht="19.5">
      <c r="A27" s="59">
        <v>44761</v>
      </c>
      <c r="B27" s="116"/>
      <c r="C27" s="115">
        <f t="shared" si="1"/>
        <v>0</v>
      </c>
      <c r="D27" s="57"/>
      <c r="E27" s="50">
        <f t="shared" si="0"/>
        <v>0</v>
      </c>
      <c r="F27" s="51"/>
      <c r="G27" s="50">
        <f t="shared" si="2"/>
        <v>0</v>
      </c>
      <c r="H27" s="51"/>
      <c r="I27" s="50">
        <f t="shared" si="3"/>
        <v>0</v>
      </c>
      <c r="J27" s="51"/>
      <c r="K27" s="50">
        <f t="shared" si="4"/>
        <v>0</v>
      </c>
    </row>
    <row r="28" spans="1:29" ht="19.5">
      <c r="A28" s="59">
        <v>44762</v>
      </c>
      <c r="B28" s="116"/>
      <c r="C28" s="115">
        <f t="shared" si="1"/>
        <v>0</v>
      </c>
      <c r="D28" s="57"/>
      <c r="E28" s="50">
        <f t="shared" si="0"/>
        <v>0</v>
      </c>
      <c r="F28" s="51"/>
      <c r="G28" s="50">
        <f t="shared" si="2"/>
        <v>0</v>
      </c>
      <c r="H28" s="51"/>
      <c r="I28" s="50">
        <f t="shared" si="3"/>
        <v>0</v>
      </c>
      <c r="J28" s="51"/>
      <c r="K28" s="50">
        <f t="shared" si="4"/>
        <v>0</v>
      </c>
    </row>
    <row r="29" spans="1:29" ht="19.5">
      <c r="A29" s="59">
        <v>44763</v>
      </c>
      <c r="B29" s="116"/>
      <c r="C29" s="115">
        <f t="shared" si="1"/>
        <v>0</v>
      </c>
      <c r="D29" s="57"/>
      <c r="E29" s="50">
        <f t="shared" si="0"/>
        <v>0</v>
      </c>
      <c r="F29" s="51"/>
      <c r="G29" s="50">
        <f t="shared" si="2"/>
        <v>0</v>
      </c>
      <c r="H29" s="51"/>
      <c r="I29" s="50">
        <f t="shared" si="3"/>
        <v>0</v>
      </c>
      <c r="J29" s="51"/>
      <c r="K29" s="50">
        <f t="shared" si="4"/>
        <v>0</v>
      </c>
    </row>
    <row r="30" spans="1:29" ht="19.5">
      <c r="A30" s="59">
        <v>44764</v>
      </c>
      <c r="B30" s="116"/>
      <c r="C30" s="115">
        <f t="shared" si="1"/>
        <v>0</v>
      </c>
      <c r="D30" s="57"/>
      <c r="E30" s="50">
        <f t="shared" si="0"/>
        <v>0</v>
      </c>
      <c r="F30" s="51"/>
      <c r="G30" s="50">
        <f t="shared" si="2"/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44765</v>
      </c>
      <c r="B31" s="116"/>
      <c r="C31" s="115">
        <f t="shared" si="1"/>
        <v>0</v>
      </c>
      <c r="D31" s="57"/>
      <c r="E31" s="50">
        <f t="shared" si="0"/>
        <v>0</v>
      </c>
      <c r="F31" s="51"/>
      <c r="G31" s="50">
        <f t="shared" si="2"/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44766</v>
      </c>
      <c r="B32" s="116"/>
      <c r="C32" s="115">
        <f t="shared" si="1"/>
        <v>0</v>
      </c>
      <c r="D32" s="57"/>
      <c r="E32" s="50">
        <f t="shared" si="0"/>
        <v>0</v>
      </c>
      <c r="F32" s="51"/>
      <c r="G32" s="50">
        <f t="shared" si="2"/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44767</v>
      </c>
      <c r="B33" s="116"/>
      <c r="C33" s="115">
        <f t="shared" si="1"/>
        <v>0</v>
      </c>
      <c r="D33" s="57"/>
      <c r="E33" s="50">
        <f t="shared" si="0"/>
        <v>0</v>
      </c>
      <c r="F33" s="51"/>
      <c r="G33" s="50">
        <f t="shared" si="2"/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44768</v>
      </c>
      <c r="B34" s="116"/>
      <c r="C34" s="115">
        <f t="shared" si="1"/>
        <v>0</v>
      </c>
      <c r="D34" s="57"/>
      <c r="E34" s="50">
        <f t="shared" si="0"/>
        <v>0</v>
      </c>
      <c r="F34" s="51"/>
      <c r="G34" s="50">
        <f t="shared" si="2"/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44769</v>
      </c>
      <c r="B35" s="116"/>
      <c r="C35" s="115">
        <f t="shared" si="1"/>
        <v>0</v>
      </c>
      <c r="D35" s="57"/>
      <c r="E35" s="50">
        <f t="shared" si="0"/>
        <v>0</v>
      </c>
      <c r="F35" s="51"/>
      <c r="G35" s="50">
        <f t="shared" si="2"/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44770</v>
      </c>
      <c r="B36" s="116"/>
      <c r="C36" s="115">
        <f t="shared" si="1"/>
        <v>0</v>
      </c>
      <c r="D36" s="57"/>
      <c r="E36" s="50">
        <f t="shared" si="0"/>
        <v>0</v>
      </c>
      <c r="F36" s="51"/>
      <c r="G36" s="50">
        <f t="shared" si="2"/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44771</v>
      </c>
      <c r="B37" s="116"/>
      <c r="C37" s="115">
        <f t="shared" si="1"/>
        <v>0</v>
      </c>
      <c r="D37" s="57"/>
      <c r="E37" s="50">
        <f t="shared" si="0"/>
        <v>0</v>
      </c>
      <c r="F37" s="51"/>
      <c r="G37" s="50">
        <f t="shared" si="2"/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>
        <v>44772</v>
      </c>
      <c r="B38" s="116"/>
      <c r="C38" s="115">
        <f t="shared" si="1"/>
        <v>0</v>
      </c>
      <c r="D38" s="57"/>
      <c r="E38" s="50">
        <f t="shared" si="0"/>
        <v>0</v>
      </c>
      <c r="F38" s="51"/>
      <c r="G38" s="50">
        <f t="shared" si="2"/>
        <v>0</v>
      </c>
      <c r="H38" s="51"/>
      <c r="I38" s="50">
        <f t="shared" si="3"/>
        <v>0</v>
      </c>
      <c r="J38" s="51"/>
      <c r="K38" s="50">
        <f t="shared" si="4"/>
        <v>0</v>
      </c>
    </row>
    <row r="39" spans="1:11" ht="19.5">
      <c r="A39" s="59">
        <v>44773</v>
      </c>
      <c r="B39" s="116"/>
      <c r="C39" s="115">
        <f t="shared" si="1"/>
        <v>0</v>
      </c>
      <c r="D39" s="57"/>
      <c r="E39" s="50">
        <f t="shared" si="0"/>
        <v>0</v>
      </c>
      <c r="F39" s="51"/>
      <c r="G39" s="50">
        <f t="shared" si="2"/>
        <v>0</v>
      </c>
      <c r="H39" s="51"/>
      <c r="I39" s="50">
        <f t="shared" si="3"/>
        <v>0</v>
      </c>
      <c r="J39" s="51"/>
      <c r="K39" s="50">
        <f t="shared" si="4"/>
        <v>0</v>
      </c>
    </row>
    <row r="40" spans="1:11" ht="19.5">
      <c r="A40" s="59">
        <v>44774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3" stopIfTrue="1" operator="lessThanOrEqual">
      <formula>0</formula>
    </cfRule>
  </conditionalFormatting>
  <conditionalFormatting sqref="E10:E39">
    <cfRule type="cellIs" dxfId="5" priority="10" stopIfTrue="1" operator="lessThanOrEqual">
      <formula>0</formula>
    </cfRule>
  </conditionalFormatting>
  <conditionalFormatting sqref="E10:E39">
    <cfRule type="cellIs" dxfId="4" priority="9" stopIfTrue="1" operator="lessThanOrEqual">
      <formula>0</formula>
    </cfRule>
  </conditionalFormatting>
  <conditionalFormatting sqref="E9">
    <cfRule type="cellIs" dxfId="3" priority="8" stopIfTrue="1" operator="lessThanOrEqual">
      <formula>0</formula>
    </cfRule>
  </conditionalFormatting>
  <conditionalFormatting sqref="E9">
    <cfRule type="cellIs" dxfId="2" priority="7" stopIfTrue="1" operator="lessThanOrEqual">
      <formula>0</formula>
    </cfRule>
  </conditionalFormatting>
  <conditionalFormatting sqref="E40">
    <cfRule type="cellIs" dxfId="1" priority="2" stopIfTrue="1" operator="lessThanOrEqual">
      <formula>0</formula>
    </cfRule>
  </conditionalFormatting>
  <conditionalFormatting sqref="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2" activePane="bottomRight" state="frozen"/>
      <selection pane="bottomRight" activeCell="M49" sqref="M49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44743</v>
      </c>
      <c r="B4" s="41">
        <v>81</v>
      </c>
      <c r="C4" s="39">
        <f t="shared" ref="C4" si="0">IF(AC4&gt;0,((B4-R4)+(S4-B5)),IF(B5=0, ,(B4-B5)))</f>
        <v>1</v>
      </c>
      <c r="D4" s="41">
        <v>80</v>
      </c>
      <c r="E4" s="39">
        <f t="shared" ref="E4" si="1">IF(AC4&gt;0,((D4-U4)+(V4-D5)),IF(D5=0, ,(D4-D5)))</f>
        <v>2</v>
      </c>
      <c r="F4" s="41">
        <v>82</v>
      </c>
      <c r="G4" s="39">
        <f t="shared" ref="G4" si="2">IF(AC4&gt;0,((F4-X4)+(Y4-F5)),IF(F5=0, ,(F4-F5)))</f>
        <v>3</v>
      </c>
      <c r="H4" s="41">
        <v>82</v>
      </c>
      <c r="I4" s="39">
        <f>IF(AC4&gt;0,((H4-AA4)+(AB4-H5)),IF(H5=0, ,(H4-H5)))</f>
        <v>3</v>
      </c>
      <c r="J4" s="39">
        <f>B4+D4+F4+H4</f>
        <v>325</v>
      </c>
      <c r="K4" s="39">
        <f>J4/4</f>
        <v>81.25</v>
      </c>
      <c r="L4" s="39">
        <f>IF(AC4&gt;0,((K4-AD4)+(AE4-K5)),IF(K5=0, ,(K4-K5)))</f>
        <v>2.25</v>
      </c>
      <c r="M4" s="149">
        <f t="shared" ref="M4:M7" si="3">6049*4</f>
        <v>24196</v>
      </c>
      <c r="N4" s="39">
        <f>L4*M4/100</f>
        <v>544.41</v>
      </c>
      <c r="O4" s="167">
        <f>N4*0.529</f>
        <v>287.99288999999999</v>
      </c>
      <c r="P4" s="42">
        <f>O4*11.766</f>
        <v>3388.5243437399999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44744</v>
      </c>
      <c r="B5" s="41">
        <v>80</v>
      </c>
      <c r="C5" s="39">
        <f t="shared" ref="C4:C35" si="7">IF(AC5&gt;0,((B5-R5)+(S5-B6)),IF(B6=0, ,(B5-B6)))</f>
        <v>1</v>
      </c>
      <c r="D5" s="41">
        <v>78</v>
      </c>
      <c r="E5" s="39">
        <f t="shared" ref="E4:E35" si="8">IF(AC5&gt;0,((D5-U5)+(V5-D6)),IF(D6=0, ,(D5-D6)))</f>
        <v>3</v>
      </c>
      <c r="F5" s="41">
        <v>79</v>
      </c>
      <c r="G5" s="39">
        <f t="shared" ref="G4:G35" si="9">IF(AC5&gt;0,((F5-X5)+(Y5-F6)),IF(F6=0, ,(F5-F6)))</f>
        <v>0</v>
      </c>
      <c r="H5" s="41">
        <v>79</v>
      </c>
      <c r="I5" s="39">
        <f>IF(AC5&gt;0,((H5-AA5)+(AB5-H6)),IF(H6=0, ,(H5-H6)))</f>
        <v>0</v>
      </c>
      <c r="J5" s="39">
        <f>B5+D5+F5+H5</f>
        <v>316</v>
      </c>
      <c r="K5" s="39">
        <f>J5/4</f>
        <v>79</v>
      </c>
      <c r="L5" s="39">
        <f>IF(AC5&gt;0,((K5-AD5)+(AE5-K6)),IF(K6=0, ,(K5-K6)))</f>
        <v>1</v>
      </c>
      <c r="M5" s="149">
        <f t="shared" si="3"/>
        <v>24196</v>
      </c>
      <c r="N5" s="39">
        <f>L5*M5/100</f>
        <v>241.96</v>
      </c>
      <c r="O5" s="39">
        <f>N5*0.529</f>
        <v>127.99684000000001</v>
      </c>
      <c r="P5" s="42">
        <f t="shared" ref="P5:P38" si="10">O5*11.766</f>
        <v>1506.01081944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44745</v>
      </c>
      <c r="B6" s="41">
        <v>79</v>
      </c>
      <c r="C6" s="39">
        <f t="shared" si="7"/>
        <v>4</v>
      </c>
      <c r="D6" s="41">
        <v>75</v>
      </c>
      <c r="E6" s="39">
        <f t="shared" si="8"/>
        <v>1</v>
      </c>
      <c r="F6" s="41">
        <v>79</v>
      </c>
      <c r="G6" s="39">
        <f t="shared" si="9"/>
        <v>3</v>
      </c>
      <c r="H6" s="41">
        <v>79</v>
      </c>
      <c r="I6" s="39">
        <f t="shared" ref="I6:I36" si="11">IF(AC6&gt;0,((H6-AA6)+(AB6-H7)),IF(H7=0, ,(H6-H7)))</f>
        <v>3</v>
      </c>
      <c r="J6" s="39">
        <f t="shared" ref="J6:J42" si="12">B6+D6+F6+H6</f>
        <v>312</v>
      </c>
      <c r="K6" s="39">
        <f t="shared" ref="K6:K42" si="13">J6/4</f>
        <v>78</v>
      </c>
      <c r="L6" s="39">
        <f t="shared" ref="L6:L19" si="14">IF(AC6&gt;0,((K6-AD6)+(AE6-K7)),IF(K7=0, ,(K6-K7)))</f>
        <v>2.75</v>
      </c>
      <c r="M6" s="149">
        <f t="shared" si="3"/>
        <v>24196</v>
      </c>
      <c r="N6" s="39">
        <f t="shared" ref="N6:N42" si="15">L6*M6/100</f>
        <v>665.39</v>
      </c>
      <c r="O6" s="39">
        <f>N6*0.529</f>
        <v>351.99131</v>
      </c>
      <c r="P6" s="42">
        <f t="shared" si="10"/>
        <v>4141.5297534600004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44746</v>
      </c>
      <c r="B7" s="41">
        <v>75</v>
      </c>
      <c r="C7" s="39">
        <f t="shared" si="7"/>
        <v>0</v>
      </c>
      <c r="D7" s="41">
        <v>74</v>
      </c>
      <c r="E7" s="39">
        <f t="shared" si="8"/>
        <v>0</v>
      </c>
      <c r="F7" s="41">
        <v>76</v>
      </c>
      <c r="G7" s="39">
        <f t="shared" si="9"/>
        <v>0</v>
      </c>
      <c r="H7" s="41">
        <v>76</v>
      </c>
      <c r="I7" s="39">
        <f t="shared" si="11"/>
        <v>0</v>
      </c>
      <c r="J7" s="39">
        <f t="shared" si="12"/>
        <v>301</v>
      </c>
      <c r="K7" s="39">
        <f t="shared" si="13"/>
        <v>75.25</v>
      </c>
      <c r="L7" s="39">
        <f t="shared" si="14"/>
        <v>0</v>
      </c>
      <c r="M7" s="149">
        <f t="shared" si="3"/>
        <v>24196</v>
      </c>
      <c r="N7" s="39">
        <f t="shared" si="15"/>
        <v>0</v>
      </c>
      <c r="O7" s="39">
        <f>N7*0.53</f>
        <v>0</v>
      </c>
      <c r="P7" s="42">
        <f t="shared" si="10"/>
        <v>0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44747</v>
      </c>
      <c r="B8" s="41"/>
      <c r="C8" s="39">
        <f t="shared" si="7"/>
        <v>0</v>
      </c>
      <c r="D8" s="41"/>
      <c r="E8" s="39">
        <f t="shared" si="8"/>
        <v>0</v>
      </c>
      <c r="F8" s="41"/>
      <c r="G8" s="39">
        <f t="shared" si="9"/>
        <v>0</v>
      </c>
      <c r="H8" s="41"/>
      <c r="I8" s="39">
        <f t="shared" si="11"/>
        <v>0</v>
      </c>
      <c r="J8" s="39">
        <f t="shared" si="12"/>
        <v>0</v>
      </c>
      <c r="K8" s="39">
        <f t="shared" si="13"/>
        <v>0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44748</v>
      </c>
      <c r="B9" s="41"/>
      <c r="C9" s="39">
        <f t="shared" si="7"/>
        <v>0</v>
      </c>
      <c r="D9" s="41"/>
      <c r="E9" s="39">
        <f t="shared" si="8"/>
        <v>0</v>
      </c>
      <c r="F9" s="41"/>
      <c r="G9" s="39">
        <f t="shared" si="9"/>
        <v>0</v>
      </c>
      <c r="H9" s="41"/>
      <c r="I9" s="39">
        <f t="shared" si="11"/>
        <v>0</v>
      </c>
      <c r="J9" s="39">
        <f t="shared" si="12"/>
        <v>0</v>
      </c>
      <c r="K9" s="39">
        <f t="shared" si="13"/>
        <v>0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44749</v>
      </c>
      <c r="B10" s="41"/>
      <c r="C10" s="39">
        <f t="shared" si="7"/>
        <v>0</v>
      </c>
      <c r="D10" s="41"/>
      <c r="E10" s="39">
        <f t="shared" si="8"/>
        <v>0</v>
      </c>
      <c r="F10" s="41"/>
      <c r="G10" s="39">
        <f t="shared" si="9"/>
        <v>0</v>
      </c>
      <c r="H10" s="41"/>
      <c r="I10" s="39">
        <f t="shared" si="11"/>
        <v>0</v>
      </c>
      <c r="J10" s="39">
        <f t="shared" si="12"/>
        <v>0</v>
      </c>
      <c r="K10" s="39">
        <f t="shared" si="13"/>
        <v>0</v>
      </c>
      <c r="L10" s="39">
        <f t="shared" si="14"/>
        <v>0</v>
      </c>
      <c r="M10" s="149">
        <f t="shared" si="17"/>
        <v>24196</v>
      </c>
      <c r="N10" s="39">
        <f t="shared" si="15"/>
        <v>0</v>
      </c>
      <c r="O10" s="148">
        <f t="shared" si="16"/>
        <v>0</v>
      </c>
      <c r="P10" s="42">
        <f t="shared" si="10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44750</v>
      </c>
      <c r="B11" s="41"/>
      <c r="C11" s="39">
        <f t="shared" si="7"/>
        <v>0</v>
      </c>
      <c r="D11" s="41"/>
      <c r="E11" s="39">
        <f t="shared" si="8"/>
        <v>0</v>
      </c>
      <c r="F11" s="41"/>
      <c r="G11" s="39">
        <f t="shared" si="9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44751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44752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44753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44754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44755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44756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44757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44758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44759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44760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44761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44762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44763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44764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44765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44766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44767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44768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44769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44770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44771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44772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44773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44774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0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1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1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1451.76</v>
      </c>
      <c r="O43" s="39">
        <f>N43*0.529</f>
        <v>767.98104000000001</v>
      </c>
      <c r="P43" s="42">
        <f>O43*11.766</f>
        <v>9036.0649166399999</v>
      </c>
      <c r="Q43" s="286">
        <f>SUM(Q4:Q42)</f>
        <v>0</v>
      </c>
      <c r="R43" s="287"/>
      <c r="S43" s="288"/>
      <c r="T43" s="289">
        <f>SUM(T4:T42)</f>
        <v>0</v>
      </c>
      <c r="U43" s="287"/>
      <c r="V43" s="288"/>
      <c r="W43" s="289">
        <f>SUM(W4:W42)</f>
        <v>0</v>
      </c>
      <c r="X43" s="287"/>
      <c r="Y43" s="288"/>
      <c r="Z43" s="289">
        <f>SUM(Z4:Z42)</f>
        <v>0</v>
      </c>
      <c r="AA43" s="287"/>
      <c r="AB43" s="288"/>
      <c r="AC43" s="39">
        <f t="shared" si="20"/>
        <v>0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1451.76</v>
      </c>
      <c r="L47" s="46">
        <f>O43</f>
        <v>767.98104000000001</v>
      </c>
      <c r="M47" s="46">
        <f>P43</f>
        <v>9036.0649166399999</v>
      </c>
    </row>
    <row r="48" spans="1:31" ht="54.75" customHeight="1" thickBot="1">
      <c r="H48" s="282" t="s">
        <v>86</v>
      </c>
      <c r="I48" s="283"/>
      <c r="J48" s="284"/>
      <c r="K48" s="43">
        <f>AC44</f>
        <v>0</v>
      </c>
      <c r="L48" s="44">
        <f>K48*0.529</f>
        <v>0</v>
      </c>
      <c r="M48" s="44">
        <f>L48*11.766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1"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44599</v>
      </c>
      <c r="D8" s="350"/>
      <c r="E8" s="113">
        <v>44627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1356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29"/>
      <c r="H17" s="330"/>
      <c r="I17" s="329">
        <f>+E17</f>
        <v>9841</v>
      </c>
      <c r="J17" s="330"/>
    </row>
    <row r="18" spans="1:10">
      <c r="A18" s="327" t="s">
        <v>111</v>
      </c>
      <c r="B18" s="328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29"/>
      <c r="H18" s="330"/>
      <c r="I18" s="329">
        <f>+E18</f>
        <v>6834</v>
      </c>
      <c r="J18" s="330"/>
    </row>
    <row r="19" spans="1:10">
      <c r="A19" s="327" t="s">
        <v>112</v>
      </c>
      <c r="B19" s="328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29"/>
      <c r="H19" s="330"/>
      <c r="I19" s="329">
        <f>+E19</f>
        <v>4802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21477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04">
        <f>SUM(H25,F25)</f>
        <v>10673.509236</v>
      </c>
      <c r="J25" s="305"/>
    </row>
    <row r="26" spans="1:10" ht="15">
      <c r="A26" s="301" t="s">
        <v>124</v>
      </c>
      <c r="B26" s="302"/>
      <c r="C26" s="303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04">
        <f t="shared" ref="I26:I31" si="0">SUM(H26,F26)</f>
        <v>5441.8458600000004</v>
      </c>
      <c r="J26" s="305"/>
    </row>
    <row r="27" spans="1:10" ht="15">
      <c r="A27" s="301" t="s">
        <v>125</v>
      </c>
      <c r="B27" s="302"/>
      <c r="C27" s="303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04">
        <f>SUM(H27,F27)</f>
        <v>7282.9821119999997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66739.527199999997</v>
      </c>
      <c r="G32" s="85"/>
      <c r="H32" s="86"/>
      <c r="I32" s="313">
        <f>SUM(I25:J31)</f>
        <v>76029.081007999994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44344</v>
      </c>
      <c r="D8" s="350"/>
      <c r="E8" s="113">
        <v>44740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1356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20380254</v>
      </c>
      <c r="D17" s="66">
        <v>20068636</v>
      </c>
      <c r="E17" s="67">
        <f>MIN(C17-D17)</f>
        <v>311618</v>
      </c>
      <c r="F17" s="67">
        <f>+E17</f>
        <v>311618</v>
      </c>
      <c r="G17" s="329"/>
      <c r="H17" s="330"/>
      <c r="I17" s="329">
        <f>+E17</f>
        <v>311618</v>
      </c>
      <c r="J17" s="330"/>
    </row>
    <row r="18" spans="1:10">
      <c r="A18" s="327" t="s">
        <v>111</v>
      </c>
      <c r="B18" s="328"/>
      <c r="C18" s="66">
        <v>11971286</v>
      </c>
      <c r="D18" s="66">
        <v>11824428</v>
      </c>
      <c r="E18" s="67">
        <f>MIN(C18-D18)</f>
        <v>146858</v>
      </c>
      <c r="F18" s="67">
        <f>+E18</f>
        <v>146858</v>
      </c>
      <c r="G18" s="329"/>
      <c r="H18" s="330"/>
      <c r="I18" s="329">
        <f>+E18</f>
        <v>146858</v>
      </c>
      <c r="J18" s="330"/>
    </row>
    <row r="19" spans="1:10">
      <c r="A19" s="327" t="s">
        <v>112</v>
      </c>
      <c r="B19" s="328"/>
      <c r="C19" s="66">
        <v>8938202</v>
      </c>
      <c r="D19" s="66">
        <v>8814739</v>
      </c>
      <c r="E19" s="67">
        <f>AVERAGE(C19-D19)</f>
        <v>123463</v>
      </c>
      <c r="F19" s="67">
        <f>+E19</f>
        <v>123463</v>
      </c>
      <c r="G19" s="329"/>
      <c r="H19" s="330"/>
      <c r="I19" s="329">
        <f>+E19</f>
        <v>123463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581939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311618</v>
      </c>
      <c r="E25" s="72">
        <v>0.95140000000000002</v>
      </c>
      <c r="F25" s="73">
        <f>PRODUCT(D25*E25)</f>
        <v>296473.3652</v>
      </c>
      <c r="G25" s="151">
        <v>14</v>
      </c>
      <c r="H25" s="65">
        <f>PRODUCT(0.14,F25)</f>
        <v>41506.271128000008</v>
      </c>
      <c r="I25" s="304">
        <f>SUM(H25,F25)</f>
        <v>337979.63632799999</v>
      </c>
      <c r="J25" s="305"/>
    </row>
    <row r="26" spans="1:10" ht="15">
      <c r="A26" s="301" t="s">
        <v>124</v>
      </c>
      <c r="B26" s="302"/>
      <c r="C26" s="303"/>
      <c r="D26" s="67">
        <f>+E18</f>
        <v>146858</v>
      </c>
      <c r="E26" s="74">
        <v>0.69850000000000001</v>
      </c>
      <c r="F26" s="73">
        <f>PRODUCT(D26*E26)</f>
        <v>102580.31299999999</v>
      </c>
      <c r="G26">
        <v>14</v>
      </c>
      <c r="H26" s="67">
        <f>PRODUCT(0.14,F26)</f>
        <v>14361.243820000002</v>
      </c>
      <c r="I26" s="304">
        <f t="shared" ref="I26:I31" si="0">SUM(H26,F26)</f>
        <v>116941.55682</v>
      </c>
      <c r="J26" s="305"/>
    </row>
    <row r="27" spans="1:10" ht="15">
      <c r="A27" s="301" t="s">
        <v>125</v>
      </c>
      <c r="B27" s="302"/>
      <c r="C27" s="303"/>
      <c r="D27" s="67">
        <f>+E19</f>
        <v>123463</v>
      </c>
      <c r="E27" s="74">
        <v>1.3304</v>
      </c>
      <c r="F27" s="73">
        <f>PRODUCT(D27*E27)</f>
        <v>164255.1752</v>
      </c>
      <c r="G27">
        <v>14</v>
      </c>
      <c r="H27" s="67">
        <f>PRODUCT(0.14,F27)</f>
        <v>22995.724528000002</v>
      </c>
      <c r="I27" s="304">
        <f>SUM(H27,F27)</f>
        <v>187250.89972799999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356</v>
      </c>
      <c r="E29" s="76">
        <f>E28*1.5</f>
        <v>65.822505000000007</v>
      </c>
      <c r="F29" s="77">
        <f>PRODUCT(D29,E29)</f>
        <v>23432.811780000004</v>
      </c>
      <c r="G29" s="78">
        <v>14</v>
      </c>
      <c r="H29" s="75">
        <f>PRODUCT(0.14,F29)</f>
        <v>3280.593649200001</v>
      </c>
      <c r="I29" s="317">
        <f t="shared" si="0"/>
        <v>26713.405429200004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632956.33517999994</v>
      </c>
      <c r="G32" s="85"/>
      <c r="H32" s="86"/>
      <c r="I32" s="313">
        <f>SUM(I25:J31)</f>
        <v>721516.24210519996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148296.1</v>
      </c>
      <c r="D8" s="97">
        <v>44713</v>
      </c>
      <c r="E8" s="96">
        <v>153235</v>
      </c>
      <c r="F8" s="97">
        <v>44743</v>
      </c>
      <c r="G8" s="98">
        <f>E8-C8</f>
        <v>4938.8999999999942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4938.8999999999942</v>
      </c>
      <c r="C13" s="397"/>
      <c r="D13" s="397">
        <v>8.7899999999999991</v>
      </c>
      <c r="E13" s="397"/>
      <c r="F13" s="399">
        <f>PRODUCT(D13,B13)</f>
        <v>43412.930999999946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4938.8999999999942</v>
      </c>
      <c r="C19" s="397"/>
      <c r="D19" s="397">
        <v>2.61</v>
      </c>
      <c r="E19" s="397"/>
      <c r="F19" s="397">
        <f>PRODUCT(D19,B19)</f>
        <v>12890.528999999984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56326.459999999934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3942.8521999999957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4151.1121999999959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60477.57219999993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C9" sqref="C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153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155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4" zoomScaleNormal="100" workbookViewId="0">
      <selection activeCell="H26" sqref="H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/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7" zoomScaleNormal="100" workbookViewId="0">
      <selection activeCell="H15" sqref="H1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/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8" zoomScaleNormal="100" workbookViewId="0">
      <selection activeCell="H15" sqref="H1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/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2022-07-04T14:24:49Z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