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Florence/"/>
    </mc:Choice>
  </mc:AlternateContent>
  <xr:revisionPtr revIDLastSave="3" documentId="8_{FC34F6CB-0DD5-4BF3-96E0-9CE5386CF29D}" xr6:coauthVersionLast="45" xr6:coauthVersionMax="45" xr10:uidLastSave="{BB50B122-9D48-4FA2-B918-929280DF96A9}"/>
  <bookViews>
    <workbookView xWindow="-110" yWindow="-110" windowWidth="19420" windowHeight="10420" activeTab="1" xr2:uid="{00000000-000D-0000-FFFF-FFFF00000000}"/>
  </bookViews>
  <sheets>
    <sheet name="TOTAL" sheetId="1" r:id="rId1"/>
    <sheet name="Submetering" sheetId="3" r:id="rId2"/>
    <sheet name="Florenc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3" i="2" l="1"/>
  <c r="O34" i="2"/>
  <c r="F19" i="2"/>
  <c r="D24" i="2"/>
  <c r="K23" i="2"/>
  <c r="K9" i="2"/>
  <c r="E32" i="3"/>
  <c r="E32" i="1"/>
  <c r="F32" i="3"/>
  <c r="G32" i="3"/>
  <c r="H32" i="3"/>
  <c r="G32" i="1" s="1"/>
  <c r="I32" i="3"/>
  <c r="J32" i="3"/>
  <c r="I32" i="1"/>
  <c r="K32" i="3"/>
  <c r="K32" i="1" s="1"/>
  <c r="L32" i="3"/>
  <c r="L32" i="1"/>
  <c r="E29" i="3"/>
  <c r="E29" i="1" s="1"/>
  <c r="E30" i="3"/>
  <c r="E30" i="1"/>
  <c r="E31" i="3"/>
  <c r="F29" i="3"/>
  <c r="F30" i="3"/>
  <c r="F31" i="3"/>
  <c r="G29" i="3"/>
  <c r="G30" i="3"/>
  <c r="G31" i="3"/>
  <c r="H29" i="3"/>
  <c r="H30" i="3"/>
  <c r="H31" i="3"/>
  <c r="I29" i="3"/>
  <c r="I30" i="3"/>
  <c r="I31" i="3"/>
  <c r="G31" i="1" s="1"/>
  <c r="L30" i="3"/>
  <c r="L30" i="1"/>
  <c r="L31" i="3"/>
  <c r="L31" i="1"/>
  <c r="K30" i="3"/>
  <c r="K31" i="3"/>
  <c r="K31" i="1"/>
  <c r="J31" i="3"/>
  <c r="I31" i="1" s="1"/>
  <c r="M22" i="2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5" i="1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G26" i="1" s="1"/>
  <c r="F27" i="3"/>
  <c r="F28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2" i="1" s="1"/>
  <c r="E23" i="3"/>
  <c r="E23" i="1"/>
  <c r="E24" i="3"/>
  <c r="E24" i="1" s="1"/>
  <c r="E25" i="3"/>
  <c r="E25" i="1"/>
  <c r="E26" i="3"/>
  <c r="E26" i="1" s="1"/>
  <c r="E27" i="3"/>
  <c r="E27" i="1"/>
  <c r="E28" i="3"/>
  <c r="E28" i="1" s="1"/>
  <c r="E2" i="3"/>
  <c r="O15" i="2"/>
  <c r="M15" i="2"/>
  <c r="K15" i="2"/>
  <c r="F28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5" i="2"/>
  <c r="D26" i="2"/>
  <c r="D27" i="2"/>
  <c r="D28" i="2"/>
  <c r="D29" i="2"/>
  <c r="D30" i="2"/>
  <c r="D31" i="2"/>
  <c r="D32" i="2"/>
  <c r="D33" i="2"/>
  <c r="D8" i="2"/>
  <c r="D7" i="2"/>
  <c r="D6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G27" i="1"/>
  <c r="I27" i="3"/>
  <c r="H28" i="3"/>
  <c r="I28" i="3"/>
  <c r="H2" i="3"/>
  <c r="I2" i="3"/>
  <c r="K30" i="1"/>
  <c r="O4" i="2"/>
  <c r="M6" i="2"/>
  <c r="O6" i="2"/>
  <c r="M7" i="2"/>
  <c r="O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M16" i="2"/>
  <c r="O16" i="2"/>
  <c r="M17" i="2"/>
  <c r="O17" i="2"/>
  <c r="M18" i="2"/>
  <c r="O18" i="2"/>
  <c r="M19" i="2"/>
  <c r="O19" i="2"/>
  <c r="M20" i="2"/>
  <c r="O20" i="2"/>
  <c r="M21" i="2"/>
  <c r="O21" i="2"/>
  <c r="O22" i="2"/>
  <c r="M23" i="2"/>
  <c r="O23" i="2"/>
  <c r="M24" i="2"/>
  <c r="O24" i="2"/>
  <c r="M25" i="2"/>
  <c r="O25" i="2"/>
  <c r="M26" i="2"/>
  <c r="O26" i="2"/>
  <c r="M27" i="2"/>
  <c r="O27" i="2"/>
  <c r="M28" i="2"/>
  <c r="O28" i="2"/>
  <c r="M29" i="2"/>
  <c r="O29" i="2"/>
  <c r="M30" i="2"/>
  <c r="O30" i="2"/>
  <c r="M31" i="2"/>
  <c r="O31" i="2"/>
  <c r="M32" i="2"/>
  <c r="O32" i="2"/>
  <c r="M33" i="2"/>
  <c r="L29" i="3"/>
  <c r="L29" i="1" s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 s="1"/>
  <c r="L18" i="3"/>
  <c r="L18" i="1"/>
  <c r="L17" i="3"/>
  <c r="L17" i="1"/>
  <c r="L16" i="3"/>
  <c r="L16" i="1"/>
  <c r="L15" i="3"/>
  <c r="L15" i="1"/>
  <c r="L14" i="3"/>
  <c r="L14" i="1"/>
  <c r="L13" i="3"/>
  <c r="L13" i="1" s="1"/>
  <c r="L12" i="3"/>
  <c r="L12" i="1"/>
  <c r="L11" i="3"/>
  <c r="L11" i="1" s="1"/>
  <c r="L10" i="3"/>
  <c r="L10" i="1"/>
  <c r="L9" i="3"/>
  <c r="L9" i="1" s="1"/>
  <c r="L8" i="3"/>
  <c r="L8" i="1"/>
  <c r="L7" i="3"/>
  <c r="L7" i="1"/>
  <c r="L6" i="3"/>
  <c r="L6" i="1"/>
  <c r="L5" i="3"/>
  <c r="L5" i="1" s="1"/>
  <c r="L4" i="3"/>
  <c r="L4" i="1"/>
  <c r="L3" i="3"/>
  <c r="L3" i="1"/>
  <c r="L2" i="3"/>
  <c r="L2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5" i="1" s="1"/>
  <c r="K16" i="3"/>
  <c r="K16" i="1"/>
  <c r="K17" i="3"/>
  <c r="K17" i="1" s="1"/>
  <c r="K18" i="3"/>
  <c r="K18" i="1"/>
  <c r="K19" i="3"/>
  <c r="K19" i="1" s="1"/>
  <c r="K20" i="3"/>
  <c r="K20" i="1"/>
  <c r="K21" i="3"/>
  <c r="K21" i="1" s="1"/>
  <c r="K22" i="3"/>
  <c r="K22" i="1"/>
  <c r="K23" i="3"/>
  <c r="K23" i="1" s="1"/>
  <c r="K24" i="3"/>
  <c r="K24" i="1"/>
  <c r="K25" i="3"/>
  <c r="K25" i="1" s="1"/>
  <c r="K26" i="3"/>
  <c r="K26" i="1"/>
  <c r="K27" i="3"/>
  <c r="K27" i="1" s="1"/>
  <c r="K28" i="3"/>
  <c r="K28" i="1"/>
  <c r="K29" i="3"/>
  <c r="K29" i="1" s="1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I22" i="1"/>
  <c r="J23" i="3"/>
  <c r="I23" i="1" s="1"/>
  <c r="J24" i="3"/>
  <c r="I24" i="1"/>
  <c r="J25" i="3"/>
  <c r="I25" i="1" s="1"/>
  <c r="J26" i="3"/>
  <c r="I26" i="1"/>
  <c r="J27" i="3"/>
  <c r="I27" i="1" s="1"/>
  <c r="J28" i="3"/>
  <c r="I28" i="1"/>
  <c r="J29" i="3"/>
  <c r="I29" i="1" s="1"/>
  <c r="J30" i="3"/>
  <c r="I30" i="1"/>
  <c r="J2" i="3"/>
  <c r="E31" i="1"/>
  <c r="K33" i="2"/>
  <c r="F33" i="2"/>
  <c r="H33" i="2"/>
  <c r="F6" i="2"/>
  <c r="H6" i="2"/>
  <c r="F7" i="2"/>
  <c r="H7" i="2"/>
  <c r="F8" i="2"/>
  <c r="H8" i="2"/>
  <c r="H4" i="2"/>
  <c r="F4" i="2"/>
  <c r="K6" i="2"/>
  <c r="K7" i="2"/>
  <c r="K8" i="2"/>
  <c r="F9" i="2"/>
  <c r="H9" i="2"/>
  <c r="F10" i="2"/>
  <c r="H10" i="2"/>
  <c r="K10" i="2"/>
  <c r="F11" i="2"/>
  <c r="H11" i="2"/>
  <c r="K11" i="2"/>
  <c r="F12" i="2"/>
  <c r="H12" i="2"/>
  <c r="K12" i="2"/>
  <c r="F13" i="2"/>
  <c r="H13" i="2"/>
  <c r="K13" i="2"/>
  <c r="F14" i="2"/>
  <c r="H14" i="2"/>
  <c r="K14" i="2"/>
  <c r="F15" i="2"/>
  <c r="F16" i="2"/>
  <c r="H16" i="2"/>
  <c r="K16" i="2"/>
  <c r="F17" i="2"/>
  <c r="H17" i="2"/>
  <c r="F18" i="2"/>
  <c r="H18" i="2"/>
  <c r="K18" i="2"/>
  <c r="H19" i="2"/>
  <c r="K19" i="2"/>
  <c r="F20" i="2"/>
  <c r="H20" i="2"/>
  <c r="K20" i="2"/>
  <c r="F21" i="2"/>
  <c r="H21" i="2"/>
  <c r="K21" i="2"/>
  <c r="F22" i="2"/>
  <c r="H22" i="2"/>
  <c r="K22" i="2"/>
  <c r="F23" i="2"/>
  <c r="H23" i="2"/>
  <c r="F24" i="2"/>
  <c r="H24" i="2"/>
  <c r="K24" i="2"/>
  <c r="F25" i="2"/>
  <c r="H25" i="2"/>
  <c r="K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22" i="1"/>
  <c r="G24" i="1"/>
  <c r="G30" i="1"/>
  <c r="G23" i="1"/>
  <c r="G29" i="1"/>
  <c r="G28" i="1"/>
</calcChain>
</file>

<file path=xl/sharedStrings.xml><?xml version="1.0" encoding="utf-8"?>
<sst xmlns="http://schemas.openxmlformats.org/spreadsheetml/2006/main" count="168" uniqueCount="87">
  <si>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</si>
  <si>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</si>
  <si>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</si>
  <si>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</si>
  <si>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</si>
  <si>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</si>
  <si>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</si>
  <si>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</si>
  <si>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</si>
  <si>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</si>
  <si>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</si>
  <si>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</si>
  <si>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</si>
  <si>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</si>
  <si>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</si>
  <si>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</si>
  <si>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</si>
  <si>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</si>
  <si>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</si>
  <si>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</si>
  <si>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</si>
  <si>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</si>
  <si>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</si>
  <si>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</si>
  <si>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</si>
  <si>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</si>
  <si>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</si>
  <si>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</si>
  <si>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</si>
  <si>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</si>
  <si>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</si>
  <si>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</si>
  <si>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</si>
  <si>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</si>
  <si>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</si>
  <si>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</si>
  <si>
    <t>10626</t>
  </si>
  <si>
    <t>10143</t>
  </si>
  <si>
    <t>10281</t>
  </si>
  <si>
    <t>8967</t>
  </si>
  <si>
    <t>10284</t>
  </si>
  <si>
    <t>9534</t>
  </si>
  <si>
    <t>9624</t>
  </si>
  <si>
    <t>9678</t>
  </si>
  <si>
    <t>8349</t>
  </si>
  <si>
    <t>9552</t>
  </si>
  <si>
    <t>11493</t>
  </si>
  <si>
    <t>6222</t>
  </si>
  <si>
    <t>6717</t>
  </si>
  <si>
    <t>7060</t>
  </si>
  <si>
    <t>7086</t>
  </si>
  <si>
    <t>6027</t>
  </si>
  <si>
    <t>8475</t>
  </si>
  <si>
    <t>83</t>
  </si>
  <si>
    <t>72</t>
  </si>
  <si>
    <t>62</t>
  </si>
  <si>
    <t>58</t>
  </si>
  <si>
    <t>66</t>
  </si>
  <si>
    <t>47</t>
  </si>
  <si>
    <t>57</t>
  </si>
  <si>
    <t>50</t>
  </si>
  <si>
    <t>48</t>
  </si>
  <si>
    <t>70</t>
  </si>
  <si>
    <t>99</t>
  </si>
  <si>
    <t>69</t>
  </si>
  <si>
    <t>64</t>
  </si>
  <si>
    <t>61</t>
  </si>
  <si>
    <t>65</t>
  </si>
  <si>
    <t>1593</t>
  </si>
  <si>
    <t>1413</t>
  </si>
  <si>
    <t>1516</t>
  </si>
  <si>
    <t>1706</t>
  </si>
  <si>
    <t>1517</t>
  </si>
  <si>
    <t>1506</t>
  </si>
  <si>
    <t>1369</t>
  </si>
  <si>
    <t>1305</t>
  </si>
  <si>
    <t>1475</t>
  </si>
  <si>
    <t>1612</t>
  </si>
  <si>
    <t>938</t>
  </si>
  <si>
    <t>973</t>
  </si>
  <si>
    <t>917</t>
  </si>
  <si>
    <t>918</t>
  </si>
  <si>
    <t>912</t>
  </si>
  <si>
    <t>923</t>
  </si>
  <si>
    <t>911</t>
  </si>
  <si>
    <t>884</t>
  </si>
  <si>
    <t>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</si>
</sst>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0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8" fillId="10" borderId="1" applyNumberFormat="0" applyAlignment="0" applyProtection="0"/>
    <xf numFmtId="0" fontId="3" fillId="10" borderId="2" applyNumberFormat="0" applyAlignment="0" applyProtection="0"/>
    <xf numFmtId="0" fontId="7" fillId="3" borderId="2" applyNumberFormat="0" applyAlignment="0" applyProtection="0"/>
    <xf numFmtId="0" fontId="11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0"/>
    <xf numFmtId="0" fontId="1" fillId="4" borderId="7" applyNumberFormat="0" applyFont="0" applyAlignment="0" applyProtection="0"/>
    <xf numFmtId="9" fontId="14" fillId="0" borderId="0" applyFont="0" applyFill="0" applyBorder="0" applyAlignment="0" applyProtection="0"/>
    <xf numFmtId="0" fontId="12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44" fontId="14" fillId="0" borderId="0" applyFont="0" applyFill="0" applyBorder="0" applyAlignment="0" applyProtection="0"/>
    <xf numFmtId="0" fontId="4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5" fillId="21" borderId="3" applyNumberFormat="0" applyAlignment="0" applyProtection="0"/>
  </cellStyleXfs>
  <cellXfs count="49">
    <xf numFmtId="0" fontId="0" fillId="0" borderId="0" xfId="0"/>
    <xf numFmtId="0" fontId="21" fillId="23" borderId="0" xfId="0" applyFont="1" applyFill="1" applyAlignment="1">
      <alignment horizontal="center"/>
    </xf>
    <xf numFmtId="0" fontId="20" fillId="24" borderId="10" xfId="0" applyFont="1" applyFill="1" applyBorder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0" fillId="24" borderId="10" xfId="0" applyNumberFormat="1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1" fontId="0" fillId="0" borderId="0" xfId="0" applyNumberFormat="1"/>
    <xf numFmtId="1" fontId="23" fillId="23" borderId="0" xfId="0" applyNumberFormat="1" applyFont="1" applyFill="1" applyAlignment="1">
      <alignment horizontal="center"/>
    </xf>
    <xf numFmtId="1" fontId="20" fillId="25" borderId="10" xfId="0" applyNumberFormat="1" applyFont="1" applyFill="1" applyBorder="1" applyAlignment="1">
      <alignment horizontal="center" vertical="center" wrapText="1"/>
    </xf>
    <xf numFmtId="1" fontId="20" fillId="0" borderId="0" xfId="0" applyNumberFormat="1" applyFont="1" applyAlignment="1">
      <alignment horizontal="center"/>
    </xf>
    <xf numFmtId="2" fontId="21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0" fillId="0" borderId="0" xfId="0" applyFont="1"/>
    <xf numFmtId="0" fontId="0" fillId="0" borderId="12" xfId="0" applyBorder="1" applyAlignment="1">
      <alignment horizontal="center"/>
    </xf>
    <xf numFmtId="0" fontId="24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20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20" fillId="0" borderId="14" xfId="0" applyFont="1" applyBorder="1"/>
    <xf numFmtId="0" fontId="20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wrapText="1"/>
    </xf>
    <xf numFmtId="164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1" fontId="22" fillId="28" borderId="12" xfId="0" applyNumberFormat="1" applyFont="1" applyFill="1" applyBorder="1" applyAlignment="1">
      <alignment horizontal="center"/>
    </xf>
    <xf numFmtId="0" fontId="21" fillId="23" borderId="12" xfId="0" applyFont="1" applyFill="1" applyBorder="1" applyAlignment="1">
      <alignment horizontal="center"/>
    </xf>
    <xf numFmtId="0" fontId="21" fillId="30" borderId="17" xfId="0" applyFont="1" applyFill="1" applyBorder="1" applyAlignment="1">
      <alignment horizontal="center" vertical="center"/>
    </xf>
    <xf numFmtId="0" fontId="21" fillId="30" borderId="18" xfId="0" applyFont="1" applyFill="1" applyBorder="1" applyAlignment="1">
      <alignment horizontal="center" vertical="center"/>
    </xf>
    <xf numFmtId="0" fontId="21" fillId="30" borderId="0" xfId="0" applyFont="1" applyFill="1" applyAlignment="1">
      <alignment horizontal="center" vertical="center"/>
    </xf>
    <xf numFmtId="0" fontId="26" fillId="29" borderId="16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0" fontId="23" fillId="23" borderId="11" xfId="0" applyFont="1" applyFill="1" applyBorder="1" applyAlignment="1">
      <alignment horizontal="center"/>
    </xf>
    <xf numFmtId="0" fontId="23" fillId="23" borderId="10" xfId="0" applyFont="1" applyFill="1" applyBorder="1" applyAlignment="1">
      <alignment horizontal="center"/>
    </xf>
    <xf numFmtId="0" fontId="26" fillId="29" borderId="19" xfId="0" applyFont="1" applyFill="1" applyBorder="1" applyAlignment="1">
      <alignment horizontal="center" vertical="center"/>
    </xf>
    <xf numFmtId="0" fontId="26" fillId="29" borderId="20" xfId="0" applyFont="1" applyFill="1" applyBorder="1" applyAlignment="1">
      <alignment horizontal="center" vertical="center"/>
    </xf>
    <xf numFmtId="0" fontId="26" fillId="31" borderId="21" xfId="0" applyFont="1" applyFill="1" applyBorder="1" applyAlignment="1">
      <alignment horizontal="center" vertical="center" wrapText="1"/>
    </xf>
    <xf numFmtId="0" fontId="26" fillId="31" borderId="22" xfId="0" applyFont="1" applyFill="1" applyBorder="1" applyAlignment="1">
      <alignment horizontal="center" vertical="center" wrapText="1"/>
    </xf>
    <xf numFmtId="1" fontId="22" fillId="0" borderId="15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</cellXfs>
  <cellStyles count="44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Eingabe" xfId="27" xr:uid="{00000000-0005-0000-0000-00001A000000}"/>
    <cellStyle name="Ergebnis" xfId="28" xr:uid="{00000000-0005-0000-0000-00001B000000}"/>
    <cellStyle name="Erklärender Text" xfId="29" xr:uid="{00000000-0005-0000-0000-00001C000000}"/>
    <cellStyle name="Gut" xfId="30" xr:uid="{00000000-0005-0000-0000-00001D000000}"/>
    <cellStyle name="Normal" xfId="0" builtinId="0"/>
    <cellStyle name="Normale 2" xfId="31" xr:uid="{00000000-0005-0000-0000-00001F000000}"/>
    <cellStyle name="Notiz" xfId="32" xr:uid="{00000000-0005-0000-0000-000020000000}"/>
    <cellStyle name="Percentuale 2" xfId="33" xr:uid="{00000000-0005-0000-0000-000021000000}"/>
    <cellStyle name="Schlecht" xfId="34" xr:uid="{00000000-0005-0000-0000-000022000000}"/>
    <cellStyle name="Überschrift" xfId="35" xr:uid="{00000000-0005-0000-0000-000023000000}"/>
    <cellStyle name="Überschrift 1" xfId="36" xr:uid="{00000000-0005-0000-0000-000024000000}"/>
    <cellStyle name="Überschrift 2" xfId="37" xr:uid="{00000000-0005-0000-0000-000025000000}"/>
    <cellStyle name="Überschrift 3" xfId="38" xr:uid="{00000000-0005-0000-0000-000026000000}"/>
    <cellStyle name="Überschrift 4" xfId="39" xr:uid="{00000000-0005-0000-0000-000027000000}"/>
    <cellStyle name="Valuta 2" xfId="40" xr:uid="{00000000-0005-0000-0000-000028000000}"/>
    <cellStyle name="Verknüpfte Zelle" xfId="41" xr:uid="{00000000-0005-0000-0000-000029000000}"/>
    <cellStyle name="Warnender Text" xfId="42" xr:uid="{00000000-0005-0000-0000-00002A000000}"/>
    <cellStyle name="Zelle überprüfen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F12" sqref="F12"/>
    </sheetView>
  </sheetViews>
  <sheetFormatPr defaultColWidth="11.54296875" defaultRowHeight="14.5" x14ac:dyDescent="0.35"/>
  <cols>
    <col min="1" max="1" width="18.1796875" style="16" customWidth="1"/>
    <col min="2" max="3" width="11.54296875" style="9"/>
    <col min="4" max="4" width="13.453125" style="9" customWidth="1"/>
    <col min="5" max="5" width="12.54296875" style="6" customWidth="1"/>
    <col min="6" max="6" width="12.54296875" style="31" customWidth="1"/>
    <col min="7" max="7" width="11.54296875" style="6"/>
    <col min="8" max="8" width="11.54296875" style="31"/>
    <col min="9" max="9" width="11.54296875" style="6"/>
    <col min="10" max="10" width="11.54296875" style="33"/>
    <col min="11" max="24" width="11.54296875" style="6"/>
  </cols>
  <sheetData>
    <row r="1" spans="1:24" s="16" customFormat="1" ht="43.5" x14ac:dyDescent="0.3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16" t="s">
        <v>25</v>
      </c>
      <c r="B2" s="9">
        <v>1</v>
      </c>
      <c r="C2" s="9">
        <v>3</v>
      </c>
      <c r="D2" s="9">
        <v>2020</v>
      </c>
      <c r="E2" s="19" t="s">
        <v>36</v>
      </c>
      <c r="F2" s="30">
        <v>0.15459999999999999</v>
      </c>
      <c r="G2" s="19" t="s">
        <v>68</v>
      </c>
      <c r="H2" s="30">
        <v>0.39100000000000001</v>
      </c>
      <c r="I2" s="19" t="s">
        <v>53</v>
      </c>
      <c r="J2" s="31">
        <v>3.0670000000000002</v>
      </c>
      <c r="K2" s="19">
        <v>16</v>
      </c>
      <c r="L2" s="19">
        <f>Submetering!L2</f>
        <v>75</v>
      </c>
    </row>
    <row r="3" spans="1:24" x14ac:dyDescent="0.35">
      <c r="A3" s="16" t="s">
        <v>25</v>
      </c>
      <c r="B3" s="9">
        <f>B2+1</f>
        <v>2</v>
      </c>
      <c r="C3" s="9">
        <v>3</v>
      </c>
      <c r="D3" s="9">
        <v>2020</v>
      </c>
      <c r="E3" s="19" t="s">
        <v>37</v>
      </c>
      <c r="F3" s="30">
        <v>0.15459999999999999</v>
      </c>
      <c r="G3" s="19" t="s">
        <v>69</v>
      </c>
      <c r="H3" s="30">
        <v>0.39100000000000001</v>
      </c>
      <c r="I3" s="19" t="s">
        <v>54</v>
      </c>
      <c r="J3" s="31">
        <v>3.0670000000000002</v>
      </c>
      <c r="K3" s="19">
        <v>13</v>
      </c>
      <c r="L3" s="19">
        <f>Submetering!L3</f>
        <v>75</v>
      </c>
    </row>
    <row r="4" spans="1:24" x14ac:dyDescent="0.35">
      <c r="A4" s="16" t="s">
        <v>25</v>
      </c>
      <c r="B4" s="9">
        <f t="shared" ref="B4:B32" si="0">B3+1</f>
        <v>3</v>
      </c>
      <c r="C4" s="9">
        <v>3</v>
      </c>
      <c r="D4" s="9">
        <v>2020</v>
      </c>
      <c r="E4" s="19" t="s">
        <v>38</v>
      </c>
      <c r="F4" s="30">
        <v>0.15459999999999999</v>
      </c>
      <c r="G4" s="19" t="s">
        <v>70</v>
      </c>
      <c r="H4" s="30">
        <v>0.39100000000000001</v>
      </c>
      <c r="I4" s="19" t="s">
        <v>55</v>
      </c>
      <c r="J4" s="31">
        <v>3.0670000000000002</v>
      </c>
      <c r="K4" s="19">
        <v>14</v>
      </c>
      <c r="L4" s="19">
        <f>Submetering!L4</f>
        <v>24</v>
      </c>
    </row>
    <row r="5" spans="1:24" x14ac:dyDescent="0.35">
      <c r="A5" s="16" t="s">
        <v>25</v>
      </c>
      <c r="B5" s="9">
        <f t="shared" si="0"/>
        <v>4</v>
      </c>
      <c r="C5" s="9">
        <v>3</v>
      </c>
      <c r="D5" s="9">
        <v>2020</v>
      </c>
      <c r="E5" s="19" t="s">
        <v>39</v>
      </c>
      <c r="F5" s="30">
        <v>0.15459999999999999</v>
      </c>
      <c r="G5" s="19" t="s">
        <v>70</v>
      </c>
      <c r="H5" s="30">
        <v>0.39100000000000001</v>
      </c>
      <c r="I5" s="19" t="s">
        <v>56</v>
      </c>
      <c r="J5" s="31">
        <v>3.0670000000000002</v>
      </c>
      <c r="K5" s="19">
        <v>6</v>
      </c>
      <c r="L5" s="19">
        <f>Submetering!L5</f>
        <v>11</v>
      </c>
    </row>
    <row r="6" spans="1:24" x14ac:dyDescent="0.35">
      <c r="A6" s="16" t="s">
        <v>25</v>
      </c>
      <c r="B6" s="9">
        <f t="shared" si="0"/>
        <v>5</v>
      </c>
      <c r="C6" s="9">
        <v>3</v>
      </c>
      <c r="D6" s="9">
        <v>2020</v>
      </c>
      <c r="E6" s="19" t="s">
        <v>40</v>
      </c>
      <c r="F6" s="30">
        <v>0.15459999999999999</v>
      </c>
      <c r="G6" s="19" t="s">
        <v>71</v>
      </c>
      <c r="H6" s="30">
        <v>0.39100000000000001</v>
      </c>
      <c r="I6" s="19" t="s">
        <v>57</v>
      </c>
      <c r="J6" s="31">
        <v>3.0670000000000002</v>
      </c>
      <c r="K6" s="19">
        <v>5</v>
      </c>
      <c r="L6" s="19">
        <f>Submetering!L6</f>
        <v>8</v>
      </c>
    </row>
    <row r="7" spans="1:24" x14ac:dyDescent="0.35">
      <c r="A7" s="16" t="s">
        <v>25</v>
      </c>
      <c r="B7" s="9">
        <f t="shared" si="0"/>
        <v>6</v>
      </c>
      <c r="C7" s="9">
        <v>3</v>
      </c>
      <c r="D7" s="9">
        <v>2020</v>
      </c>
      <c r="E7" s="19" t="s">
        <v>41</v>
      </c>
      <c r="F7" s="30">
        <v>0.15459999999999999</v>
      </c>
      <c r="G7" s="19" t="s">
        <v>72</v>
      </c>
      <c r="H7" s="30">
        <v>0.39100000000000001</v>
      </c>
      <c r="I7" s="19" t="s">
        <v>58</v>
      </c>
      <c r="J7" s="31">
        <v>3.0670000000000002</v>
      </c>
      <c r="K7" s="19">
        <v>4</v>
      </c>
      <c r="L7" s="19">
        <f>Submetering!L7</f>
        <v>7</v>
      </c>
    </row>
    <row r="8" spans="1:24" x14ac:dyDescent="0.35">
      <c r="A8" s="16" t="s">
        <v>25</v>
      </c>
      <c r="B8" s="9">
        <f t="shared" si="0"/>
        <v>7</v>
      </c>
      <c r="C8" s="9">
        <v>3</v>
      </c>
      <c r="D8" s="9">
        <v>2020</v>
      </c>
      <c r="E8" s="19" t="s">
        <v>42</v>
      </c>
      <c r="F8" s="30">
        <v>0.15459999999999999</v>
      </c>
      <c r="G8" s="19" t="s">
        <v>73</v>
      </c>
      <c r="H8" s="30">
        <v>0.39100000000000001</v>
      </c>
      <c r="I8" s="19" t="s">
        <v>59</v>
      </c>
      <c r="J8" s="31">
        <v>3.0670000000000002</v>
      </c>
      <c r="K8" s="19">
        <v>4</v>
      </c>
      <c r="L8" s="19">
        <f>Submetering!L8</f>
        <v>5</v>
      </c>
    </row>
    <row r="9" spans="1:24" x14ac:dyDescent="0.35">
      <c r="A9" s="16" t="s">
        <v>25</v>
      </c>
      <c r="B9" s="9">
        <f t="shared" si="0"/>
        <v>8</v>
      </c>
      <c r="C9" s="9">
        <v>3</v>
      </c>
      <c r="D9" s="9">
        <v>2020</v>
      </c>
      <c r="E9" s="19" t="s">
        <v>43</v>
      </c>
      <c r="F9" s="30">
        <v>0.15459999999999999</v>
      </c>
      <c r="G9" s="19" t="s">
        <v>74</v>
      </c>
      <c r="H9" s="30">
        <v>0.39100000000000001</v>
      </c>
      <c r="I9" s="19" t="s">
        <v>60</v>
      </c>
      <c r="J9" s="31">
        <v>3.0670000000000002</v>
      </c>
      <c r="K9" s="19">
        <v>1</v>
      </c>
      <c r="L9" s="19">
        <f>Submetering!L9</f>
        <v>8</v>
      </c>
    </row>
    <row r="10" spans="1:24" x14ac:dyDescent="0.35">
      <c r="A10" s="16" t="s">
        <v>25</v>
      </c>
      <c r="B10" s="9">
        <f t="shared" si="0"/>
        <v>9</v>
      </c>
      <c r="C10" s="9">
        <v>3</v>
      </c>
      <c r="D10" s="9">
        <v>2020</v>
      </c>
      <c r="E10" s="19" t="s">
        <v>44</v>
      </c>
      <c r="F10" s="30">
        <v>0.15459999999999999</v>
      </c>
      <c r="G10" s="19" t="s">
        <v>75</v>
      </c>
      <c r="H10" s="30">
        <v>0.39100000000000001</v>
      </c>
      <c r="I10" s="19" t="s">
        <v>61</v>
      </c>
      <c r="J10" s="31">
        <v>3.0670000000000002</v>
      </c>
      <c r="K10" s="19">
        <v>2</v>
      </c>
      <c r="L10" s="19">
        <f>Submetering!L10</f>
        <v>3</v>
      </c>
    </row>
    <row r="11" spans="1:24" x14ac:dyDescent="0.35">
      <c r="A11" s="16" t="s">
        <v>25</v>
      </c>
      <c r="B11" s="9">
        <f t="shared" si="0"/>
        <v>10</v>
      </c>
      <c r="C11" s="9">
        <v>3</v>
      </c>
      <c r="D11" s="9">
        <v>2020</v>
      </c>
      <c r="E11" s="19" t="s">
        <v>45</v>
      </c>
      <c r="F11" s="30">
        <v>0.15459999999999999</v>
      </c>
      <c r="G11" s="19" t="s">
        <v>76</v>
      </c>
      <c r="H11" s="30">
        <v>0.39100000000000001</v>
      </c>
      <c r="I11" s="19" t="s">
        <v>62</v>
      </c>
      <c r="J11" s="31">
        <v>3.0670000000000002</v>
      </c>
      <c r="K11" s="19">
        <v>3</v>
      </c>
      <c r="L11" s="19">
        <f>Submetering!L11</f>
        <v>3</v>
      </c>
    </row>
    <row r="12" spans="1:24" x14ac:dyDescent="0.35">
      <c r="A12" s="16" t="s">
        <v>25</v>
      </c>
      <c r="B12" s="9">
        <f t="shared" si="0"/>
        <v>11</v>
      </c>
      <c r="C12" s="9">
        <v>3</v>
      </c>
      <c r="D12" s="9">
        <v>2020</v>
      </c>
      <c r="E12" s="19" t="s">
        <v>46</v>
      </c>
      <c r="F12" s="30">
        <v>0.15459999999999999</v>
      </c>
      <c r="G12" s="19" t="s">
        <v>77</v>
      </c>
      <c r="H12" s="30">
        <v>0.39100000000000001</v>
      </c>
      <c r="I12" s="19" t="s">
        <v>63</v>
      </c>
      <c r="J12" s="31">
        <v>3.0670000000000002</v>
      </c>
      <c r="K12" s="19">
        <v>2</v>
      </c>
      <c r="L12" s="19">
        <f>Submetering!L12</f>
        <v>3</v>
      </c>
    </row>
    <row r="13" spans="1:24" x14ac:dyDescent="0.35">
      <c r="A13" s="16" t="s">
        <v>25</v>
      </c>
      <c r="B13" s="9">
        <f t="shared" si="0"/>
        <v>12</v>
      </c>
      <c r="C13" s="9">
        <v>3</v>
      </c>
      <c r="D13" s="9">
        <v>2020</v>
      </c>
      <c r="E13" s="19" t="s">
        <v>47</v>
      </c>
      <c r="F13" s="30">
        <v>0.15459999999999999</v>
      </c>
      <c r="G13" s="19" t="s">
        <v>78</v>
      </c>
      <c r="H13" s="30">
        <v>0.39100000000000001</v>
      </c>
      <c r="I13" s="19" t="s">
        <v>56</v>
      </c>
      <c r="J13" s="31">
        <v>3.0670000000000002</v>
      </c>
      <c r="K13" s="19">
        <v>1</v>
      </c>
      <c r="L13" s="19">
        <f>Submetering!L13</f>
        <v>0</v>
      </c>
    </row>
    <row r="14" spans="1:24" x14ac:dyDescent="0.35">
      <c r="A14" s="16" t="s">
        <v>25</v>
      </c>
      <c r="B14" s="9">
        <f t="shared" si="0"/>
        <v>13</v>
      </c>
      <c r="C14" s="9">
        <v>3</v>
      </c>
      <c r="D14" s="9">
        <v>2020</v>
      </c>
      <c r="E14" s="19" t="s">
        <v>48</v>
      </c>
      <c r="F14" s="30">
        <v>0.15459999999999999</v>
      </c>
      <c r="G14" s="19" t="s">
        <v>79</v>
      </c>
      <c r="H14" s="30">
        <v>0.39100000000000001</v>
      </c>
      <c r="I14" s="19" t="s">
        <v>59</v>
      </c>
      <c r="J14" s="31">
        <v>3.0670000000000002</v>
      </c>
      <c r="K14" s="19">
        <v>0</v>
      </c>
      <c r="L14" s="19">
        <f>Submetering!L14</f>
        <v>0</v>
      </c>
    </row>
    <row r="15" spans="1:24" x14ac:dyDescent="0.35">
      <c r="A15" s="16" t="s">
        <v>25</v>
      </c>
      <c r="B15" s="9">
        <f t="shared" si="0"/>
        <v>14</v>
      </c>
      <c r="C15" s="9">
        <v>3</v>
      </c>
      <c r="D15" s="9">
        <v>2020</v>
      </c>
      <c r="E15" s="19" t="s">
        <v>49</v>
      </c>
      <c r="F15" s="30">
        <v>0.15459999999999999</v>
      </c>
      <c r="G15" s="19" t="s">
        <v>80</v>
      </c>
      <c r="H15" s="30">
        <v>0.39100000000000001</v>
      </c>
      <c r="I15" s="19" t="s">
        <v>57</v>
      </c>
      <c r="J15" s="31">
        <v>3.0670000000000002</v>
      </c>
      <c r="K15" s="19">
        <f>Submetering!K15</f>
        <v>0</v>
      </c>
      <c r="L15" s="19">
        <f>Submetering!L15</f>
        <v>0</v>
      </c>
    </row>
    <row r="16" spans="1:24" x14ac:dyDescent="0.35">
      <c r="A16" s="16" t="s">
        <v>25</v>
      </c>
      <c r="B16" s="9">
        <f t="shared" si="0"/>
        <v>15</v>
      </c>
      <c r="C16" s="9">
        <v>3</v>
      </c>
      <c r="D16" s="9">
        <v>2020</v>
      </c>
      <c r="E16" s="19" t="s">
        <v>49</v>
      </c>
      <c r="F16" s="30">
        <v>0.15459999999999999</v>
      </c>
      <c r="G16" s="19" t="s">
        <v>81</v>
      </c>
      <c r="H16" s="30">
        <v>0.39100000000000001</v>
      </c>
      <c r="I16" s="19" t="s">
        <v>57</v>
      </c>
      <c r="J16" s="31">
        <v>3.0670000000000002</v>
      </c>
      <c r="K16" s="19">
        <f>Submetering!K16</f>
        <v>0</v>
      </c>
      <c r="L16" s="19">
        <f>Submetering!L16</f>
        <v>0</v>
      </c>
    </row>
    <row r="17" spans="1:12" x14ac:dyDescent="0.35">
      <c r="A17" s="16" t="s">
        <v>25</v>
      </c>
      <c r="B17" s="9">
        <f t="shared" si="0"/>
        <v>16</v>
      </c>
      <c r="C17" s="9">
        <v>3</v>
      </c>
      <c r="D17" s="9">
        <v>2020</v>
      </c>
      <c r="E17" s="19" t="s">
        <v>49</v>
      </c>
      <c r="F17" s="30">
        <v>0.15459999999999999</v>
      </c>
      <c r="G17" s="19" t="s">
        <v>82</v>
      </c>
      <c r="H17" s="30">
        <v>0.39100000000000001</v>
      </c>
      <c r="I17" s="19" t="s">
        <v>64</v>
      </c>
      <c r="J17" s="31">
        <v>3.0670000000000002</v>
      </c>
      <c r="K17" s="19">
        <f>Submetering!K17</f>
        <v>0</v>
      </c>
      <c r="L17" s="19">
        <f>Submetering!L17</f>
        <v>0</v>
      </c>
    </row>
    <row r="18" spans="1:12" x14ac:dyDescent="0.35">
      <c r="A18" s="16" t="s">
        <v>25</v>
      </c>
      <c r="B18" s="9">
        <f t="shared" si="0"/>
        <v>17</v>
      </c>
      <c r="C18" s="9">
        <v>3</v>
      </c>
      <c r="D18" s="9">
        <v>2020</v>
      </c>
      <c r="E18" s="19" t="s">
        <v>49</v>
      </c>
      <c r="F18" s="30">
        <v>0.15459999999999999</v>
      </c>
      <c r="G18" s="19" t="s">
        <v>83</v>
      </c>
      <c r="H18" s="30">
        <v>0.39100000000000001</v>
      </c>
      <c r="I18" s="19" t="s">
        <v>65</v>
      </c>
      <c r="J18" s="31">
        <v>3.0670000000000002</v>
      </c>
      <c r="K18" s="19">
        <f>Submetering!K18</f>
        <v>0</v>
      </c>
      <c r="L18" s="19">
        <f>Submetering!L18</f>
        <v>0</v>
      </c>
    </row>
    <row r="19" spans="1:12" x14ac:dyDescent="0.35">
      <c r="A19" s="16" t="s">
        <v>25</v>
      </c>
      <c r="B19" s="9">
        <f t="shared" si="0"/>
        <v>18</v>
      </c>
      <c r="C19" s="9">
        <v>3</v>
      </c>
      <c r="D19" s="9">
        <v>2020</v>
      </c>
      <c r="E19" s="19" t="s">
        <v>50</v>
      </c>
      <c r="F19" s="30">
        <v>0.15459999999999999</v>
      </c>
      <c r="G19" s="19" t="s">
        <v>84</v>
      </c>
      <c r="H19" s="30">
        <v>0.39100000000000001</v>
      </c>
      <c r="I19" s="19" t="s">
        <v>66</v>
      </c>
      <c r="J19" s="31">
        <v>3.0670000000000002</v>
      </c>
      <c r="K19" s="19">
        <f>Submetering!K19</f>
        <v>0</v>
      </c>
      <c r="L19" s="19">
        <f>Submetering!L19</f>
        <v>0</v>
      </c>
    </row>
    <row r="20" spans="1:12" x14ac:dyDescent="0.35">
      <c r="A20" s="16" t="s">
        <v>25</v>
      </c>
      <c r="B20" s="9">
        <f t="shared" si="0"/>
        <v>19</v>
      </c>
      <c r="C20" s="9">
        <v>3</v>
      </c>
      <c r="D20" s="9">
        <v>2020</v>
      </c>
      <c r="E20" s="19" t="s">
        <v>51</v>
      </c>
      <c r="F20" s="30">
        <v>0.15459999999999999</v>
      </c>
      <c r="G20" s="19" t="s">
        <v>85</v>
      </c>
      <c r="H20" s="30">
        <v>0.39100000000000001</v>
      </c>
      <c r="I20" s="19" t="s">
        <v>57</v>
      </c>
      <c r="J20" s="31">
        <v>3.0670000000000002</v>
      </c>
      <c r="K20" s="19">
        <f>Submetering!K20</f>
        <v>0</v>
      </c>
      <c r="L20" s="19">
        <f>Submetering!L20</f>
        <v>0</v>
      </c>
    </row>
    <row r="21" spans="1:12" x14ac:dyDescent="0.35">
      <c r="A21" s="16" t="s">
        <v>25</v>
      </c>
      <c r="B21" s="9">
        <f t="shared" si="0"/>
        <v>20</v>
      </c>
      <c r="C21" s="9">
        <v>3</v>
      </c>
      <c r="D21" s="9">
        <v>2020</v>
      </c>
      <c r="E21" s="19" t="s">
        <v>52</v>
      </c>
      <c r="F21" s="30">
        <v>0.15459999999999999</v>
      </c>
      <c r="G21" s="19" t="s">
        <v>86</v>
      </c>
      <c r="H21" s="30">
        <v>0.39100000000000001</v>
      </c>
      <c r="I21" s="19" t="s">
        <v>67</v>
      </c>
      <c r="J21" s="31">
        <v>3.0670000000000002</v>
      </c>
      <c r="K21" s="19">
        <f>Submetering!K21</f>
        <v>0</v>
      </c>
      <c r="L21" s="19">
        <f>Submetering!L21</f>
        <v>0</v>
      </c>
    </row>
    <row r="22" spans="1:12" x14ac:dyDescent="0.35">
      <c r="A22" s="16" t="s">
        <v>25</v>
      </c>
      <c r="B22" s="9">
        <f t="shared" si="0"/>
        <v>21</v>
      </c>
      <c r="C22" s="9">
        <v>3</v>
      </c>
      <c r="D22" s="9">
        <v>2020</v>
      </c>
      <c r="E22" s="19">
        <f>Submetering!E22</f>
        <v>0</v>
      </c>
      <c r="F22" s="30">
        <v>0.15459999999999999</v>
      </c>
      <c r="G22" s="19">
        <f>Submetering!F22+Submetering!G22+Submetering!H22+Submetering!I22</f>
        <v>0</v>
      </c>
      <c r="H22" s="30">
        <v>0.39100000000000001</v>
      </c>
      <c r="I22" s="19">
        <f>Submetering!J22</f>
        <v>0</v>
      </c>
      <c r="J22" s="31">
        <v>3.0670000000000002</v>
      </c>
      <c r="K22" s="19">
        <f>Submetering!K22</f>
        <v>0</v>
      </c>
      <c r="L22" s="19">
        <f>Submetering!L22</f>
        <v>0</v>
      </c>
    </row>
    <row r="23" spans="1:12" x14ac:dyDescent="0.35">
      <c r="A23" s="16" t="s">
        <v>25</v>
      </c>
      <c r="B23" s="9">
        <f t="shared" si="0"/>
        <v>22</v>
      </c>
      <c r="C23" s="9">
        <v>3</v>
      </c>
      <c r="D23" s="9">
        <v>2020</v>
      </c>
      <c r="E23" s="19">
        <f>Submetering!E23</f>
        <v>0</v>
      </c>
      <c r="F23" s="30">
        <v>0.15459999999999999</v>
      </c>
      <c r="G23" s="19">
        <f>Submetering!F23+Submetering!G23+Submetering!H23+Submetering!I23</f>
        <v>0</v>
      </c>
      <c r="H23" s="30">
        <v>0.39100000000000001</v>
      </c>
      <c r="I23" s="19">
        <f>Submetering!J23</f>
        <v>0</v>
      </c>
      <c r="J23" s="31">
        <v>3.0670000000000002</v>
      </c>
      <c r="K23" s="19">
        <f>Submetering!K23</f>
        <v>0</v>
      </c>
      <c r="L23" s="19">
        <f>Submetering!L23</f>
        <v>0</v>
      </c>
    </row>
    <row r="24" spans="1:12" x14ac:dyDescent="0.35">
      <c r="A24" s="16" t="s">
        <v>25</v>
      </c>
      <c r="B24" s="9">
        <f t="shared" si="0"/>
        <v>23</v>
      </c>
      <c r="C24" s="9">
        <v>3</v>
      </c>
      <c r="D24" s="9">
        <v>2020</v>
      </c>
      <c r="E24" s="19">
        <f>Submetering!E24</f>
        <v>0</v>
      </c>
      <c r="F24" s="30">
        <v>0.15459999999999999</v>
      </c>
      <c r="G24" s="19">
        <f>Submetering!F24+Submetering!G24+Submetering!H24+Submetering!I24</f>
        <v>0</v>
      </c>
      <c r="H24" s="30">
        <v>0.39100000000000001</v>
      </c>
      <c r="I24" s="19">
        <f>Submetering!J24</f>
        <v>0</v>
      </c>
      <c r="J24" s="31">
        <v>3.0670000000000002</v>
      </c>
      <c r="K24" s="19">
        <f>Submetering!K24</f>
        <v>0</v>
      </c>
      <c r="L24" s="19">
        <f>Submetering!L24</f>
        <v>0</v>
      </c>
    </row>
    <row r="25" spans="1:12" x14ac:dyDescent="0.35">
      <c r="A25" s="16" t="s">
        <v>25</v>
      </c>
      <c r="B25" s="9">
        <f t="shared" si="0"/>
        <v>24</v>
      </c>
      <c r="C25" s="9">
        <v>3</v>
      </c>
      <c r="D25" s="9">
        <v>2020</v>
      </c>
      <c r="E25" s="19">
        <f>Submetering!E25</f>
        <v>0</v>
      </c>
      <c r="F25" s="30">
        <v>0.15459999999999999</v>
      </c>
      <c r="G25" s="19">
        <f>Submetering!F25+Submetering!G25+Submetering!H25+Submetering!I25</f>
        <v>0</v>
      </c>
      <c r="H25" s="30">
        <v>0.39100000000000001</v>
      </c>
      <c r="I25" s="19">
        <f>Submetering!J25</f>
        <v>0</v>
      </c>
      <c r="J25" s="31">
        <v>3.0670000000000002</v>
      </c>
      <c r="K25" s="19">
        <f>Submetering!K25</f>
        <v>0</v>
      </c>
      <c r="L25" s="19">
        <f>Submetering!L25</f>
        <v>0</v>
      </c>
    </row>
    <row r="26" spans="1:12" x14ac:dyDescent="0.35">
      <c r="A26" s="16" t="s">
        <v>25</v>
      </c>
      <c r="B26" s="9">
        <f>B25+1</f>
        <v>25</v>
      </c>
      <c r="C26" s="9">
        <v>3</v>
      </c>
      <c r="D26" s="9">
        <v>2020</v>
      </c>
      <c r="E26" s="19">
        <f>Submetering!E26</f>
        <v>0</v>
      </c>
      <c r="F26" s="30">
        <v>0.15459999999999999</v>
      </c>
      <c r="G26" s="19">
        <f>Submetering!F26+Submetering!G26+Submetering!H26+Submetering!I26</f>
        <v>0</v>
      </c>
      <c r="H26" s="30">
        <v>0.39100000000000001</v>
      </c>
      <c r="I26" s="19">
        <f>Submetering!J26</f>
        <v>0</v>
      </c>
      <c r="J26" s="31">
        <v>3.0670000000000002</v>
      </c>
      <c r="K26" s="19">
        <f>Submetering!K26</f>
        <v>0</v>
      </c>
      <c r="L26" s="19">
        <f>Submetering!L26</f>
        <v>0</v>
      </c>
    </row>
    <row r="27" spans="1:12" x14ac:dyDescent="0.35">
      <c r="A27" s="16" t="s">
        <v>25</v>
      </c>
      <c r="B27" s="9">
        <f t="shared" si="0"/>
        <v>26</v>
      </c>
      <c r="C27" s="9">
        <v>3</v>
      </c>
      <c r="D27" s="9">
        <v>2020</v>
      </c>
      <c r="E27" s="19">
        <f>Submetering!E27</f>
        <v>0</v>
      </c>
      <c r="F27" s="30">
        <v>0.15459999999999999</v>
      </c>
      <c r="G27" s="19">
        <f>Submetering!F27+Submetering!G27+Submetering!H27+Submetering!I27</f>
        <v>0</v>
      </c>
      <c r="H27" s="30">
        <v>0.39100000000000001</v>
      </c>
      <c r="I27" s="19">
        <f>Submetering!J27</f>
        <v>0</v>
      </c>
      <c r="J27" s="31">
        <v>3.0670000000000002</v>
      </c>
      <c r="K27" s="19">
        <f>Submetering!K27</f>
        <v>0</v>
      </c>
      <c r="L27" s="19">
        <f>Submetering!L27</f>
        <v>0</v>
      </c>
    </row>
    <row r="28" spans="1:12" x14ac:dyDescent="0.35">
      <c r="A28" s="16" t="s">
        <v>25</v>
      </c>
      <c r="B28" s="9">
        <f t="shared" si="0"/>
        <v>27</v>
      </c>
      <c r="C28" s="9">
        <v>3</v>
      </c>
      <c r="D28" s="9">
        <v>2020</v>
      </c>
      <c r="E28" s="19">
        <f>Submetering!E28</f>
        <v>0</v>
      </c>
      <c r="F28" s="30">
        <v>0.15459999999999999</v>
      </c>
      <c r="G28" s="19">
        <f>Submetering!F28+Submetering!G28+Submetering!H28+Submetering!I28</f>
        <v>0</v>
      </c>
      <c r="H28" s="30">
        <v>0.39100000000000001</v>
      </c>
      <c r="I28" s="19">
        <f>Submetering!J28</f>
        <v>0</v>
      </c>
      <c r="J28" s="31">
        <v>3.0670000000000002</v>
      </c>
      <c r="K28" s="19">
        <f>Submetering!K28</f>
        <v>0</v>
      </c>
      <c r="L28" s="19">
        <f>Submetering!L28</f>
        <v>0</v>
      </c>
    </row>
    <row r="29" spans="1:12" x14ac:dyDescent="0.35">
      <c r="A29" s="16" t="s">
        <v>25</v>
      </c>
      <c r="B29" s="9">
        <f t="shared" si="0"/>
        <v>28</v>
      </c>
      <c r="C29" s="9">
        <v>3</v>
      </c>
      <c r="D29" s="9">
        <v>2020</v>
      </c>
      <c r="E29" s="19">
        <f>Submetering!E29</f>
        <v>0</v>
      </c>
      <c r="F29" s="30">
        <v>0.15459999999999999</v>
      </c>
      <c r="G29" s="19">
        <f>Submetering!F29+Submetering!G29+Submetering!H29+Submetering!I29</f>
        <v>0</v>
      </c>
      <c r="H29" s="30">
        <v>0.39100000000000001</v>
      </c>
      <c r="I29" s="19">
        <f>Submetering!J29</f>
        <v>0</v>
      </c>
      <c r="J29" s="31">
        <v>3.0670000000000002</v>
      </c>
      <c r="K29" s="19">
        <f>Submetering!K29</f>
        <v>0</v>
      </c>
      <c r="L29" s="19">
        <f>Submetering!L29</f>
        <v>0</v>
      </c>
    </row>
    <row r="30" spans="1:12" x14ac:dyDescent="0.35">
      <c r="A30" s="16" t="s">
        <v>25</v>
      </c>
      <c r="B30" s="9">
        <f t="shared" si="0"/>
        <v>29</v>
      </c>
      <c r="C30" s="9">
        <v>3</v>
      </c>
      <c r="D30" s="9">
        <v>2020</v>
      </c>
      <c r="E30" s="19">
        <f>Submetering!E30</f>
        <v>0</v>
      </c>
      <c r="F30" s="30">
        <v>0.15459999999999999</v>
      </c>
      <c r="G30" s="19">
        <f>Submetering!F30+Submetering!G30+Submetering!H30+Submetering!I30</f>
        <v>0</v>
      </c>
      <c r="H30" s="30">
        <v>0.39100000000000001</v>
      </c>
      <c r="I30" s="19">
        <f>Submetering!J30</f>
        <v>0</v>
      </c>
      <c r="J30" s="31">
        <v>3.0670000000000002</v>
      </c>
      <c r="K30" s="19">
        <f>Submetering!K30</f>
        <v>0</v>
      </c>
      <c r="L30" s="19">
        <f>Submetering!L30</f>
        <v>0</v>
      </c>
    </row>
    <row r="31" spans="1:12" x14ac:dyDescent="0.35">
      <c r="A31" s="16" t="s">
        <v>25</v>
      </c>
      <c r="B31" s="9">
        <f t="shared" si="0"/>
        <v>30</v>
      </c>
      <c r="C31" s="9">
        <v>3</v>
      </c>
      <c r="D31" s="9">
        <v>2020</v>
      </c>
      <c r="E31" s="19">
        <f>Submetering!E31</f>
        <v>0</v>
      </c>
      <c r="F31" s="30">
        <v>0.15459999999999999</v>
      </c>
      <c r="G31" s="19">
        <f>Submetering!F31+Submetering!G31+Submetering!H31+Submetering!I31</f>
        <v>0</v>
      </c>
      <c r="H31" s="30">
        <v>0.39100000000000001</v>
      </c>
      <c r="I31" s="19">
        <f>Submetering!J31</f>
        <v>0</v>
      </c>
      <c r="J31" s="31">
        <v>3.0670000000000002</v>
      </c>
      <c r="K31" s="19">
        <f>Submetering!K31</f>
        <v>0</v>
      </c>
      <c r="L31" s="19">
        <f>Submetering!L31</f>
        <v>0</v>
      </c>
    </row>
    <row r="32" spans="1:12" x14ac:dyDescent="0.35">
      <c r="A32" s="16" t="s">
        <v>25</v>
      </c>
      <c r="B32" s="9">
        <f t="shared" si="0"/>
        <v>31</v>
      </c>
      <c r="C32" s="9">
        <v>3</v>
      </c>
      <c r="D32" s="9">
        <v>2020</v>
      </c>
      <c r="E32" s="19">
        <f>Submetering!E32</f>
        <v>0</v>
      </c>
      <c r="F32" s="30">
        <v>0.15459999999999999</v>
      </c>
      <c r="G32" s="19">
        <f>Submetering!F32+Submetering!G32+Submetering!H32+Submetering!I32</f>
        <v>0</v>
      </c>
      <c r="H32" s="30">
        <v>1.391</v>
      </c>
      <c r="I32" s="19">
        <f>Submetering!J32</f>
        <v>0</v>
      </c>
      <c r="J32" s="31">
        <v>4.0670000000000002</v>
      </c>
      <c r="K32" s="19">
        <f>Submetering!K32</f>
        <v>0</v>
      </c>
      <c r="L32" s="19">
        <f>Submetering!L32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L1536"/>
  <sheetViews>
    <sheetView tabSelected="1" workbookViewId="0">
      <pane xSplit="2" ySplit="1" topLeftCell="C65395" activePane="bottomRight" state="frozen"/>
      <selection pane="topRight" activeCell="C1" sqref="C1"/>
      <selection pane="bottomLeft" activeCell="A2" sqref="A2"/>
      <selection pane="bottomRight" activeCell="A234" sqref="A234:XFD65445"/>
    </sheetView>
  </sheetViews>
  <sheetFormatPr defaultColWidth="11.54296875" defaultRowHeight="14.5" x14ac:dyDescent="0.35"/>
  <cols>
    <col min="1" max="1" width="13.81640625" style="16" customWidth="1"/>
    <col min="2" max="3" width="11.54296875" style="6" customWidth="1"/>
    <col min="4" max="4" width="13.453125" style="6" customWidth="1"/>
    <col min="5" max="10" width="12.54296875" style="19" customWidth="1"/>
    <col min="11" max="11" width="11.54296875" style="6"/>
    <col min="12" max="12" width="11.54296875" style="19"/>
  </cols>
  <sheetData>
    <row r="1" spans="1:12" s="16" customFormat="1" ht="43.5" x14ac:dyDescent="0.3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35">
      <c r="A2" s="16" t="s">
        <v>25</v>
      </c>
      <c r="B2" s="6">
        <v>1</v>
      </c>
      <c r="C2" s="6">
        <v>2</v>
      </c>
      <c r="D2" s="6">
        <v>2020</v>
      </c>
      <c r="E2" s="19">
        <f>IF(('Florence Daily'!C5-'Florence Daily'!C4&lt;0), "0",('Florence Daily'!C5-'Florence Daily'!C4)*3)</f>
        <v>10626</v>
      </c>
      <c r="F2" s="19">
        <f>IF(('Florence Daily'!E5-'Florence Daily'!E4)&lt;0,"0",('Florence Daily'!E5-'Florence Daily'!E4))</f>
        <v>1511</v>
      </c>
      <c r="G2" s="19">
        <f>IF(('Florence Daily'!G5-'Florence Daily'!G4)&lt;0,"0",('Florence Daily'!G5-'Florence Daily'!G4))</f>
        <v>0</v>
      </c>
      <c r="H2" s="19">
        <f>IF(('Florence Daily'!J5-'Florence Daily'!J4)&lt;0,"0",('Florence Daily'!J5-'Florence Daily'!J4))</f>
        <v>29</v>
      </c>
      <c r="I2" s="19">
        <f>IF(('Florence Daily'!L5-'Florence Daily'!L4)&lt;0,"0",('Florence Daily'!L5-'Florence Daily'!L4))</f>
        <v>53</v>
      </c>
      <c r="J2" s="19">
        <f>IF(('Florence Daily'!N5-'Florence Daily'!N4)&lt;0,"0",('Florence Daily'!N5-'Florence Daily'!N4))</f>
        <v>83</v>
      </c>
      <c r="K2" s="19">
        <f>'Florence Daily'!P5</f>
        <v>16</v>
      </c>
      <c r="L2" s="19">
        <f>'Florence Daily'!Q5</f>
        <v>75</v>
      </c>
    </row>
    <row r="3" spans="1:12" x14ac:dyDescent="0.35">
      <c r="A3" s="16" t="s">
        <v>25</v>
      </c>
      <c r="B3" s="6">
        <f>B2+1</f>
        <v>2</v>
      </c>
      <c r="C3" s="6">
        <v>2</v>
      </c>
      <c r="D3" s="6">
        <v>2020</v>
      </c>
      <c r="E3" s="19">
        <f>IF(('Florence Daily'!C6-'Florence Daily'!C5&lt;0), "0",('Florence Daily'!C6-'Florence Daily'!C5)*3)</f>
        <v>10143</v>
      </c>
      <c r="F3" s="19">
        <f>IF(('Florence Daily'!E6-'Florence Daily'!E5)&lt;0,"0",('Florence Daily'!E6-'Florence Daily'!E5))</f>
        <v>1339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30</v>
      </c>
      <c r="I3" s="19">
        <f>IF(('Florence Daily'!L6-'Florence Daily'!L5)&lt;0,"0",('Florence Daily'!L6-'Florence Daily'!L5))</f>
        <v>44</v>
      </c>
      <c r="J3" s="19">
        <f>IF(('Florence Daily'!N6-'Florence Daily'!N5)&lt;0,"0",('Florence Daily'!N6-'Florence Daily'!N5))</f>
        <v>72</v>
      </c>
      <c r="K3" s="19">
        <f>'Florence Daily'!P6</f>
        <v>13</v>
      </c>
      <c r="L3" s="19">
        <f>'Florence Daily'!Q6</f>
        <v>75</v>
      </c>
    </row>
    <row r="4" spans="1:12" x14ac:dyDescent="0.35">
      <c r="A4" s="16" t="s">
        <v>25</v>
      </c>
      <c r="B4" s="6">
        <f t="shared" ref="B4:B32" si="0">B3+1</f>
        <v>3</v>
      </c>
      <c r="C4" s="6">
        <v>2</v>
      </c>
      <c r="D4" s="6">
        <v>2020</v>
      </c>
      <c r="E4" s="19">
        <f>IF(('Florence Daily'!C7-'Florence Daily'!C6&lt;0), "0",('Florence Daily'!C7-'Florence Daily'!C6)*3)</f>
        <v>10281</v>
      </c>
      <c r="F4" s="19">
        <f>IF(('Florence Daily'!E7-'Florence Daily'!E6)&lt;0,"0",('Florence Daily'!E7-'Florence Daily'!E6))</f>
        <v>1438</v>
      </c>
      <c r="G4" s="19">
        <f>IF(('Florence Daily'!G7-'Florence Daily'!G6)&lt;0,"0",('Florence Daily'!G7-'Florence Daily'!G6))</f>
        <v>0</v>
      </c>
      <c r="H4" s="19">
        <f>IF(('Florence Daily'!J7-'Florence Daily'!J6)&lt;0,"0",('Florence Daily'!J7-'Florence Daily'!J6))</f>
        <v>27</v>
      </c>
      <c r="I4" s="19">
        <f>IF(('Florence Daily'!L7-'Florence Daily'!L6)&lt;0,"0",('Florence Daily'!L7-'Florence Daily'!L6))</f>
        <v>51</v>
      </c>
      <c r="J4" s="19">
        <f>IF(('Florence Daily'!N7-'Florence Daily'!N6)&lt;0,"0",('Florence Daily'!N7-'Florence Daily'!N6))</f>
        <v>62</v>
      </c>
      <c r="K4" s="19">
        <f>'Florence Daily'!P7</f>
        <v>14</v>
      </c>
      <c r="L4" s="19">
        <f>'Florence Daily'!Q7</f>
        <v>24</v>
      </c>
    </row>
    <row r="5" spans="1:12" x14ac:dyDescent="0.35">
      <c r="A5" s="16" t="s">
        <v>25</v>
      </c>
      <c r="B5" s="6">
        <f t="shared" si="0"/>
        <v>4</v>
      </c>
      <c r="C5" s="6">
        <v>2</v>
      </c>
      <c r="D5" s="6">
        <v>2020</v>
      </c>
      <c r="E5" s="19">
        <f>IF(('Florence Daily'!C8-'Florence Daily'!C7&lt;0), "0",('Florence Daily'!C8-'Florence Daily'!C7)*3)</f>
        <v>8967</v>
      </c>
      <c r="F5" s="19">
        <f>IF(('Florence Daily'!E8-'Florence Daily'!E7)&lt;0,"0",('Florence Daily'!E8-'Florence Daily'!E7))</f>
        <v>1444</v>
      </c>
      <c r="G5" s="19">
        <f>IF(('Florence Daily'!G8-'Florence Daily'!G7)&lt;0,"0",('Florence Daily'!G8-'Florence Daily'!G7))</f>
        <v>0</v>
      </c>
      <c r="H5" s="19">
        <f>IF(('Florence Daily'!J8-'Florence Daily'!J7)&lt;0,"0",('Florence Daily'!J8-'Florence Daily'!J7))</f>
        <v>25</v>
      </c>
      <c r="I5" s="19">
        <f>IF(('Florence Daily'!L8-'Florence Daily'!L7)&lt;0,"0",('Florence Daily'!L8-'Florence Daily'!L7))</f>
        <v>47</v>
      </c>
      <c r="J5" s="19">
        <f>IF(('Florence Daily'!N8-'Florence Daily'!N7)&lt;0,"0",('Florence Daily'!N8-'Florence Daily'!N7))</f>
        <v>58</v>
      </c>
      <c r="K5" s="19">
        <f>'Florence Daily'!P8</f>
        <v>6</v>
      </c>
      <c r="L5" s="19">
        <f>'Florence Daily'!Q8</f>
        <v>11</v>
      </c>
    </row>
    <row r="6" spans="1:12" x14ac:dyDescent="0.35">
      <c r="A6" s="16" t="s">
        <v>25</v>
      </c>
      <c r="B6" s="6">
        <f t="shared" si="0"/>
        <v>5</v>
      </c>
      <c r="C6" s="6">
        <v>2</v>
      </c>
      <c r="D6" s="6">
        <v>2020</v>
      </c>
      <c r="E6" s="19">
        <f>IF(('Florence Daily'!C9-'Florence Daily'!C8&lt;0), "0",('Florence Daily'!C9-'Florence Daily'!C8)*3)</f>
        <v>10284</v>
      </c>
      <c r="F6" s="19">
        <f>IF(('Florence Daily'!E9-'Florence Daily'!E8)&lt;0,"0",('Florence Daily'!E9-'Florence Daily'!E8))</f>
        <v>1630</v>
      </c>
      <c r="G6" s="19">
        <f>IF(('Florence Daily'!G9-'Florence Daily'!G8)&lt;0,"0",('Florence Daily'!G9-'Florence Daily'!G8))</f>
        <v>0</v>
      </c>
      <c r="H6" s="19">
        <f>IF(('Florence Daily'!J9-'Florence Daily'!J8)&lt;0,"0",('Florence Daily'!J9-'Florence Daily'!J8))</f>
        <v>21</v>
      </c>
      <c r="I6" s="19">
        <f>IF(('Florence Daily'!L9-'Florence Daily'!L8)&lt;0,"0",('Florence Daily'!L9-'Florence Daily'!L8))</f>
        <v>55</v>
      </c>
      <c r="J6" s="19">
        <f>IF(('Florence Daily'!N9-'Florence Daily'!N8)&lt;0,"0",('Florence Daily'!N9-'Florence Daily'!N8))</f>
        <v>66</v>
      </c>
      <c r="K6" s="19">
        <f>'Florence Daily'!P9</f>
        <v>5</v>
      </c>
      <c r="L6" s="19">
        <f>'Florence Daily'!Q9</f>
        <v>8</v>
      </c>
    </row>
    <row r="7" spans="1:12" x14ac:dyDescent="0.35">
      <c r="A7" s="16" t="s">
        <v>25</v>
      </c>
      <c r="B7" s="6">
        <f t="shared" si="0"/>
        <v>6</v>
      </c>
      <c r="C7" s="6">
        <v>2</v>
      </c>
      <c r="D7" s="6">
        <v>2020</v>
      </c>
      <c r="E7" s="19">
        <f>IF(('Florence Daily'!C10-'Florence Daily'!C9&lt;0), "0",('Florence Daily'!C10-'Florence Daily'!C9)*3)</f>
        <v>9534</v>
      </c>
      <c r="F7" s="19">
        <f>IF(('Florence Daily'!E10-'Florence Daily'!E9)&lt;0,"0",('Florence Daily'!E10-'Florence Daily'!E9))</f>
        <v>1445</v>
      </c>
      <c r="G7" s="19">
        <f>IF(('Florence Daily'!G10-'Florence Daily'!G9)&lt;0,"0",('Florence Daily'!G10-'Florence Daily'!G9))</f>
        <v>0</v>
      </c>
      <c r="H7" s="19">
        <f>IF(('Florence Daily'!J10-'Florence Daily'!J9)&lt;0,"0",('Florence Daily'!J10-'Florence Daily'!J9))</f>
        <v>18</v>
      </c>
      <c r="I7" s="19">
        <f>IF(('Florence Daily'!L10-'Florence Daily'!L9)&lt;0,"0",('Florence Daily'!L10-'Florence Daily'!L9))</f>
        <v>54</v>
      </c>
      <c r="J7" s="19">
        <f>IF(('Florence Daily'!N10-'Florence Daily'!N9)&lt;0,"0",('Florence Daily'!N10-'Florence Daily'!N9))</f>
        <v>47</v>
      </c>
      <c r="K7" s="19">
        <f>'Florence Daily'!P10</f>
        <v>4</v>
      </c>
      <c r="L7" s="19">
        <f>'Florence Daily'!Q10</f>
        <v>7</v>
      </c>
    </row>
    <row r="8" spans="1:12" x14ac:dyDescent="0.35">
      <c r="A8" s="16" t="s">
        <v>25</v>
      </c>
      <c r="B8" s="6">
        <f t="shared" si="0"/>
        <v>7</v>
      </c>
      <c r="C8" s="6">
        <v>2</v>
      </c>
      <c r="D8" s="6">
        <v>2020</v>
      </c>
      <c r="E8" s="19">
        <f>IF(('Florence Daily'!C11-'Florence Daily'!C10&lt;0), "0",('Florence Daily'!C11-'Florence Daily'!C10)*3)</f>
        <v>9624</v>
      </c>
      <c r="F8" s="19">
        <f>IF(('Florence Daily'!E11-'Florence Daily'!E10)&lt;0,"0",('Florence Daily'!E11-'Florence Daily'!E10))</f>
        <v>1435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16</v>
      </c>
      <c r="I8" s="19">
        <f>IF(('Florence Daily'!L11-'Florence Daily'!L10)&lt;0,"0",('Florence Daily'!L11-'Florence Daily'!L10))</f>
        <v>55</v>
      </c>
      <c r="J8" s="19">
        <f>IF(('Florence Daily'!N11-'Florence Daily'!N10)&lt;0,"0",('Florence Daily'!N11-'Florence Daily'!N10))</f>
        <v>57</v>
      </c>
      <c r="K8" s="19">
        <f>'Florence Daily'!P11</f>
        <v>4</v>
      </c>
      <c r="L8" s="19">
        <f>'Florence Daily'!Q11</f>
        <v>5</v>
      </c>
    </row>
    <row r="9" spans="1:12" x14ac:dyDescent="0.35">
      <c r="A9" s="16" t="s">
        <v>25</v>
      </c>
      <c r="B9" s="6">
        <f t="shared" si="0"/>
        <v>8</v>
      </c>
      <c r="C9" s="6">
        <v>2</v>
      </c>
      <c r="D9" s="6">
        <v>2020</v>
      </c>
      <c r="E9" s="19">
        <f>IF(('Florence Daily'!C12-'Florence Daily'!C11&lt;0), "0",('Florence Daily'!C12-'Florence Daily'!C11)*3)</f>
        <v>9678</v>
      </c>
      <c r="F9" s="19">
        <f>IF(('Florence Daily'!E12-'Florence Daily'!E11)&lt;0,"0",('Florence Daily'!E12-'Florence Daily'!E11))</f>
        <v>1295</v>
      </c>
      <c r="G9" s="19">
        <f>IF(('Florence Daily'!G12-'Florence Daily'!G11)&lt;0,"0",('Florence Daily'!G12-'Florence Daily'!G11))</f>
        <v>0</v>
      </c>
      <c r="H9" s="19">
        <f>IF(('Florence Daily'!J12-'Florence Daily'!J11)&lt;0,"0",('Florence Daily'!J12-'Florence Daily'!J11))</f>
        <v>24</v>
      </c>
      <c r="I9" s="19">
        <f>IF(('Florence Daily'!L12-'Florence Daily'!L11)&lt;0,"0",('Florence Daily'!L12-'Florence Daily'!L11))</f>
        <v>50</v>
      </c>
      <c r="J9" s="19">
        <f>IF(('Florence Daily'!N12-'Florence Daily'!N11)&lt;0,"0",('Florence Daily'!N12-'Florence Daily'!N11))</f>
        <v>50</v>
      </c>
      <c r="K9" s="19">
        <f>'Florence Daily'!P12</f>
        <v>1</v>
      </c>
      <c r="L9" s="19">
        <f>'Florence Daily'!Q12</f>
        <v>8</v>
      </c>
    </row>
    <row r="10" spans="1:12" x14ac:dyDescent="0.35">
      <c r="A10" s="16" t="s">
        <v>25</v>
      </c>
      <c r="B10" s="6">
        <f t="shared" si="0"/>
        <v>9</v>
      </c>
      <c r="C10" s="6">
        <v>2</v>
      </c>
      <c r="D10" s="6">
        <v>2020</v>
      </c>
      <c r="E10" s="19">
        <f>IF(('Florence Daily'!C13-'Florence Daily'!C12&lt;0), "0",('Florence Daily'!C13-'Florence Daily'!C12)*3)</f>
        <v>8349</v>
      </c>
      <c r="F10" s="19">
        <f>IF(('Florence Daily'!E13-'Florence Daily'!E12)&lt;0,"0",('Florence Daily'!E13-'Florence Daily'!E12))</f>
        <v>1239</v>
      </c>
      <c r="G10" s="19">
        <f>IF(('Florence Daily'!G13-'Florence Daily'!G12)&lt;0,"0",('Florence Daily'!G13-'Florence Daily'!G12))</f>
        <v>0</v>
      </c>
      <c r="H10" s="19">
        <f>IF(('Florence Daily'!J13-'Florence Daily'!J12)&lt;0,"0",('Florence Daily'!J13-'Florence Daily'!J12))</f>
        <v>24</v>
      </c>
      <c r="I10" s="19">
        <f>IF(('Florence Daily'!L13-'Florence Daily'!L12)&lt;0,"0",('Florence Daily'!L13-'Florence Daily'!L12))</f>
        <v>42</v>
      </c>
      <c r="J10" s="19">
        <f>IF(('Florence Daily'!N13-'Florence Daily'!N12)&lt;0,"0",('Florence Daily'!N13-'Florence Daily'!N12))</f>
        <v>48</v>
      </c>
      <c r="K10" s="19">
        <f>'Florence Daily'!P13</f>
        <v>2</v>
      </c>
      <c r="L10" s="19">
        <f>'Florence Daily'!Q13</f>
        <v>3</v>
      </c>
    </row>
    <row r="11" spans="1:12" x14ac:dyDescent="0.35">
      <c r="A11" s="16" t="s">
        <v>25</v>
      </c>
      <c r="B11" s="6">
        <f t="shared" si="0"/>
        <v>10</v>
      </c>
      <c r="C11" s="6">
        <v>2</v>
      </c>
      <c r="D11" s="6">
        <v>2020</v>
      </c>
      <c r="E11" s="19">
        <f>IF(('Florence Daily'!C14-'Florence Daily'!C13&lt;0), "0",('Florence Daily'!C14-'Florence Daily'!C13)*3)</f>
        <v>9552</v>
      </c>
      <c r="F11" s="19">
        <f>IF(('Florence Daily'!E14-'Florence Daily'!E13)&lt;0,"0",('Florence Daily'!E14-'Florence Daily'!E13))</f>
        <v>1404</v>
      </c>
      <c r="G11" s="19">
        <f>IF(('Florence Daily'!G14-'Florence Daily'!G13)&lt;0,"0",('Florence Daily'!G14-'Florence Daily'!G13))</f>
        <v>0</v>
      </c>
      <c r="H11" s="19">
        <f>IF(('Florence Daily'!J14-'Florence Daily'!J13)&lt;0,"0",('Florence Daily'!J14-'Florence Daily'!J13))</f>
        <v>19</v>
      </c>
      <c r="I11" s="19">
        <f>IF(('Florence Daily'!L14-'Florence Daily'!L13)&lt;0,"0",('Florence Daily'!L14-'Florence Daily'!L13))</f>
        <v>52</v>
      </c>
      <c r="J11" s="19">
        <f>IF(('Florence Daily'!N14-'Florence Daily'!N13)&lt;0,"0",('Florence Daily'!N14-'Florence Daily'!N13))</f>
        <v>70</v>
      </c>
      <c r="K11" s="19">
        <f>'Florence Daily'!P14</f>
        <v>3</v>
      </c>
      <c r="L11" s="19">
        <f>'Florence Daily'!Q14</f>
        <v>3</v>
      </c>
    </row>
    <row r="12" spans="1:12" x14ac:dyDescent="0.35">
      <c r="A12" s="16" t="s">
        <v>25</v>
      </c>
      <c r="B12" s="6">
        <f t="shared" si="0"/>
        <v>11</v>
      </c>
      <c r="C12" s="6">
        <v>2</v>
      </c>
      <c r="D12" s="6">
        <v>2020</v>
      </c>
      <c r="E12" s="19">
        <f>IF(('Florence Daily'!C15-'Florence Daily'!C14&lt;0), "0",('Florence Daily'!C15-'Florence Daily'!C14)*3)</f>
        <v>11493</v>
      </c>
      <c r="F12" s="19">
        <f>IF(('Florence Daily'!E15-'Florence Daily'!E14)&lt;0,"0",('Florence Daily'!E15-'Florence Daily'!E14))</f>
        <v>1519</v>
      </c>
      <c r="G12" s="19">
        <f>IF(('Florence Daily'!G15-'Florence Daily'!G14)&lt;0,"0",('Florence Daily'!G15-'Florence Daily'!G14))</f>
        <v>0</v>
      </c>
      <c r="H12" s="19">
        <f>IF(('Florence Daily'!J15-'Florence Daily'!J14)&lt;0,"0",('Florence Daily'!J15-'Florence Daily'!J14))</f>
        <v>31</v>
      </c>
      <c r="I12" s="19">
        <f>IF(('Florence Daily'!L15-'Florence Daily'!L14)&lt;0,"0",('Florence Daily'!L15-'Florence Daily'!L14))</f>
        <v>62</v>
      </c>
      <c r="J12" s="19">
        <f>IF(('Florence Daily'!N15-'Florence Daily'!N14)&lt;0,"0",('Florence Daily'!N15-'Florence Daily'!N14))</f>
        <v>99</v>
      </c>
      <c r="K12" s="19">
        <f>'Florence Daily'!P15</f>
        <v>2</v>
      </c>
      <c r="L12" s="19">
        <f>'Florence Daily'!Q15</f>
        <v>3</v>
      </c>
    </row>
    <row r="13" spans="1:12" x14ac:dyDescent="0.35">
      <c r="A13" s="16" t="s">
        <v>25</v>
      </c>
      <c r="B13" s="6">
        <f t="shared" si="0"/>
        <v>12</v>
      </c>
      <c r="C13" s="6">
        <v>2</v>
      </c>
      <c r="D13" s="6">
        <v>2020</v>
      </c>
      <c r="E13" s="19">
        <f>IF(('Florence Daily'!C16-'Florence Daily'!C15&lt;0), "0",('Florence Daily'!C16-'Florence Daily'!C15)*3)</f>
        <v>6222</v>
      </c>
      <c r="F13" s="19">
        <f>IF(('Florence Daily'!E16-'Florence Daily'!E15)&lt;0,"0",('Florence Daily'!E16-'Florence Daily'!E15))</f>
        <v>902</v>
      </c>
      <c r="G13" s="19">
        <f>IF(('Florence Daily'!G16-'Florence Daily'!G15)&lt;0,"0",('Florence Daily'!G16-'Florence Daily'!G15))</f>
        <v>0</v>
      </c>
      <c r="H13" s="19">
        <f>IF(('Florence Daily'!J16-'Florence Daily'!J15)&lt;0,"0",('Florence Daily'!J16-'Florence Daily'!J15))</f>
        <v>6</v>
      </c>
      <c r="I13" s="19">
        <f>IF(('Florence Daily'!L16-'Florence Daily'!L15)&lt;0,"0",('Florence Daily'!L16-'Florence Daily'!L15))</f>
        <v>30</v>
      </c>
      <c r="J13" s="19">
        <f>IF(('Florence Daily'!N16-'Florence Daily'!N15)&lt;0,"0",('Florence Daily'!N16-'Florence Daily'!N15))</f>
        <v>58</v>
      </c>
      <c r="K13" s="19">
        <f>'Florence Daily'!P16</f>
        <v>0</v>
      </c>
      <c r="L13" s="19">
        <f>'Florence Daily'!Q16</f>
        <v>0</v>
      </c>
    </row>
    <row r="14" spans="1:12" x14ac:dyDescent="0.35">
      <c r="A14" s="16" t="s">
        <v>25</v>
      </c>
      <c r="B14" s="6">
        <f t="shared" si="0"/>
        <v>13</v>
      </c>
      <c r="C14" s="6">
        <v>2</v>
      </c>
      <c r="D14" s="6">
        <v>2020</v>
      </c>
      <c r="E14" s="19" t="str">
        <f>IF(('Florence Daily'!C17-'Florence Daily'!C16&lt;0), "0",('Florence Daily'!C17-'Florence Daily'!C16)*3)</f>
        <v>0</v>
      </c>
      <c r="F14" s="19" t="str">
        <f>IF(('Florence Daily'!E17-'Florence Daily'!E16)&lt;0,"0",('Florence Daily'!E17-'Florence Daily'!E16))</f>
        <v>0</v>
      </c>
      <c r="G14" s="19" t="str">
        <f>IF(('Florence Daily'!G17-'Florence Daily'!G16)&lt;0,"0",('Florence Daily'!G17-'Florence Daily'!G16))</f>
        <v>0</v>
      </c>
      <c r="H14" s="19" t="str">
        <f>IF(('Florence Daily'!J17-'Florence Daily'!J16)&lt;0,"0",('Florence Daily'!J17-'Florence Daily'!J16))</f>
        <v>0</v>
      </c>
      <c r="I14" s="19" t="str">
        <f>IF(('Florence Daily'!L17-'Florence Daily'!L16)&lt;0,"0",('Florence Daily'!L17-'Florence Daily'!L16))</f>
        <v>0</v>
      </c>
      <c r="J14" s="19" t="str">
        <f>IF(('Florence Daily'!N17-'Florence Daily'!N16)&lt;0,"0",('Florence Daily'!N17-'Florence Daily'!N16))</f>
        <v>0</v>
      </c>
      <c r="K14" s="19">
        <f>'Florence Daily'!P17</f>
        <v>0</v>
      </c>
      <c r="L14" s="19">
        <f>'Florence Daily'!Q17</f>
        <v>0</v>
      </c>
    </row>
    <row r="15" spans="1:12" x14ac:dyDescent="0.35">
      <c r="A15" s="16" t="s">
        <v>25</v>
      </c>
      <c r="B15" s="6">
        <f t="shared" si="0"/>
        <v>14</v>
      </c>
      <c r="C15" s="6">
        <v>2</v>
      </c>
      <c r="D15" s="6">
        <v>2020</v>
      </c>
      <c r="E15" s="19">
        <f>IF(('Florence Daily'!C18-'Florence Daily'!C17&lt;0), "0",('Florence Daily'!C18-'Florence Daily'!C17)*3)</f>
        <v>0</v>
      </c>
      <c r="F15" s="19">
        <f>IF(('Florence Daily'!E18-'Florence Daily'!E17)&lt;0,"0",('Florence Daily'!E18-'Florence Daily'!E17))</f>
        <v>0</v>
      </c>
      <c r="G15" s="19">
        <f>IF(('Florence Daily'!G18-'Florence Daily'!G17)&lt;0,"0",('Florence Daily'!G18-'Florence Daily'!G17))</f>
        <v>0</v>
      </c>
      <c r="H15" s="19">
        <f>IF(('Florence Daily'!J18-'Florence Daily'!J17)&lt;0,"0",('Florence Daily'!J18-'Florence Daily'!J17))</f>
        <v>0</v>
      </c>
      <c r="I15" s="19">
        <f>IF(('Florence Daily'!L18-'Florence Daily'!L17)&lt;0,"0",('Florence Daily'!L18-'Florence Daily'!L17))</f>
        <v>0</v>
      </c>
      <c r="J15" s="19">
        <f>IF(('Florence Daily'!N18-'Florence Daily'!N17)&lt;0,"0",('Florence Daily'!N18-'Florence Daily'!N17))</f>
        <v>0</v>
      </c>
      <c r="K15" s="19">
        <f>'Florence Daily'!P18</f>
        <v>0</v>
      </c>
      <c r="L15" s="19">
        <f>'Florence Daily'!Q18</f>
        <v>0</v>
      </c>
    </row>
    <row r="16" spans="1:12" x14ac:dyDescent="0.35">
      <c r="A16" s="16" t="s">
        <v>25</v>
      </c>
      <c r="B16" s="6">
        <f t="shared" si="0"/>
        <v>15</v>
      </c>
      <c r="C16" s="6">
        <v>2</v>
      </c>
      <c r="D16" s="6">
        <v>2020</v>
      </c>
      <c r="E16" s="19">
        <f>IF(('Florence Daily'!C19-'Florence Daily'!C18&lt;0), "0",('Florence Daily'!C19-'Florence Daily'!C18)*3)</f>
        <v>0</v>
      </c>
      <c r="F16" s="19">
        <f>IF(('Florence Daily'!E19-'Florence Daily'!E18)&lt;0,"0",('Florence Daily'!E19-'Florence Daily'!E18))</f>
        <v>0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0</v>
      </c>
      <c r="I16" s="19">
        <f>IF(('Florence Daily'!L19-'Florence Daily'!L18)&lt;0,"0",('Florence Daily'!L19-'Florence Daily'!L18))</f>
        <v>0</v>
      </c>
      <c r="J16" s="19">
        <f>IF(('Florence Daily'!N19-'Florence Daily'!N18)&lt;0,"0",('Florence Daily'!N19-'Florence Daily'!N18))</f>
        <v>0</v>
      </c>
      <c r="K16" s="19">
        <f>'Florence Daily'!P19</f>
        <v>0</v>
      </c>
      <c r="L16" s="19">
        <f>'Florence Daily'!Q19</f>
        <v>0</v>
      </c>
    </row>
    <row r="17" spans="1:12" x14ac:dyDescent="0.35">
      <c r="A17" s="16" t="s">
        <v>25</v>
      </c>
      <c r="B17" s="6">
        <f t="shared" si="0"/>
        <v>16</v>
      </c>
      <c r="C17" s="6">
        <v>2</v>
      </c>
      <c r="D17" s="6">
        <v>2020</v>
      </c>
      <c r="E17" s="19">
        <f>IF(('Florence Daily'!C20-'Florence Daily'!C19&lt;0), "0",('Florence Daily'!C20-'Florence Daily'!C19)*3)</f>
        <v>0</v>
      </c>
      <c r="F17" s="19">
        <f>IF(('Florence Daily'!E20-'Florence Daily'!E19)&lt;0,"0",('Florence Daily'!E20-'Florence Daily'!E19))</f>
        <v>0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0</v>
      </c>
      <c r="I17" s="19">
        <f>IF(('Florence Daily'!L20-'Florence Daily'!L19)&lt;0,"0",('Florence Daily'!L20-'Florence Daily'!L19))</f>
        <v>0</v>
      </c>
      <c r="J17" s="19">
        <f>IF(('Florence Daily'!N20-'Florence Daily'!N19)&lt;0,"0",('Florence Daily'!N20-'Florence Daily'!N19))</f>
        <v>0</v>
      </c>
      <c r="K17" s="19">
        <f>'Florence Daily'!P20</f>
        <v>0</v>
      </c>
      <c r="L17" s="19">
        <f>'Florence Daily'!Q20</f>
        <v>0</v>
      </c>
    </row>
    <row r="18" spans="1:12" x14ac:dyDescent="0.35">
      <c r="A18" s="16" t="s">
        <v>25</v>
      </c>
      <c r="B18" s="6">
        <f t="shared" si="0"/>
        <v>17</v>
      </c>
      <c r="C18" s="6">
        <v>2</v>
      </c>
      <c r="D18" s="6">
        <v>2020</v>
      </c>
      <c r="E18" s="19">
        <f>IF(('Florence Daily'!C21-'Florence Daily'!C20&lt;0), "0",('Florence Daily'!C21-'Florence Daily'!C20)*3)</f>
        <v>0</v>
      </c>
      <c r="F18" s="19">
        <f>IF(('Florence Daily'!E21-'Florence Daily'!E20)&lt;0,"0",('Florence Daily'!E21-'Florence Daily'!E20))</f>
        <v>0</v>
      </c>
      <c r="G18" s="19">
        <f>IF(('Florence Daily'!G21-'Florence Daily'!G20)&lt;0,"0",('Florence Daily'!G21-'Florence Daily'!G20))</f>
        <v>0</v>
      </c>
      <c r="H18" s="19">
        <f>IF(('Florence Daily'!J21-'Florence Daily'!J20)&lt;0,"0",('Florence Daily'!J21-'Florence Daily'!J20))</f>
        <v>0</v>
      </c>
      <c r="I18" s="19">
        <f>IF(('Florence Daily'!L21-'Florence Daily'!L20)&lt;0,"0",('Florence Daily'!L21-'Florence Daily'!L20))</f>
        <v>0</v>
      </c>
      <c r="J18" s="19">
        <f>IF(('Florence Daily'!N21-'Florence Daily'!N20)&lt;0,"0",('Florence Daily'!N21-'Florence Daily'!N20))</f>
        <v>0</v>
      </c>
      <c r="K18" s="19">
        <f>'Florence Daily'!P21</f>
        <v>0</v>
      </c>
      <c r="L18" s="19">
        <f>'Florence Daily'!Q21</f>
        <v>0</v>
      </c>
    </row>
    <row r="19" spans="1:12" x14ac:dyDescent="0.35">
      <c r="A19" s="16" t="s">
        <v>25</v>
      </c>
      <c r="B19" s="6">
        <f t="shared" si="0"/>
        <v>18</v>
      </c>
      <c r="C19" s="6">
        <v>2</v>
      </c>
      <c r="D19" s="6">
        <v>2020</v>
      </c>
      <c r="E19" s="19">
        <f>IF(('Florence Daily'!C22-'Florence Daily'!C21&lt;0), "0",('Florence Daily'!C22-'Florence Daily'!C21)*3)</f>
        <v>0</v>
      </c>
      <c r="F19" s="19">
        <f>IF(('Florence Daily'!E22-'Florence Daily'!E21)&lt;0,"0",('Florence Daily'!E22-'Florence Daily'!E21))</f>
        <v>0</v>
      </c>
      <c r="G19" s="19">
        <f>IF(('Florence Daily'!G22-'Florence Daily'!G21)&lt;0,"0",('Florence Daily'!G22-'Florence Daily'!G21))</f>
        <v>0</v>
      </c>
      <c r="H19" s="19">
        <f>IF(('Florence Daily'!J22-'Florence Daily'!J21)&lt;0,"0",('Florence Daily'!J22-'Florence Daily'!J21))</f>
        <v>0</v>
      </c>
      <c r="I19" s="19">
        <f>IF(('Florence Daily'!L22-'Florence Daily'!L21)&lt;0,"0",('Florence Daily'!L22-'Florence Daily'!L21))</f>
        <v>0</v>
      </c>
      <c r="J19" s="19">
        <f>IF(('Florence Daily'!N22-'Florence Daily'!N21)&lt;0,"0",('Florence Daily'!N22-'Florence Daily'!N21))</f>
        <v>0</v>
      </c>
      <c r="K19" s="19">
        <f>'Florence Daily'!P22</f>
        <v>0</v>
      </c>
      <c r="L19" s="19">
        <f>'Florence Daily'!Q22</f>
        <v>0</v>
      </c>
    </row>
    <row r="20" spans="1:12" x14ac:dyDescent="0.35">
      <c r="A20" s="16" t="s">
        <v>25</v>
      </c>
      <c r="B20" s="6">
        <f t="shared" si="0"/>
        <v>19</v>
      </c>
      <c r="C20" s="6">
        <v>2</v>
      </c>
      <c r="D20" s="6">
        <v>2020</v>
      </c>
      <c r="E20" s="19">
        <f>IF(('Florence Daily'!C23-'Florence Daily'!C22&lt;0), "0",('Florence Daily'!C23-'Florence Daily'!C22)*3)</f>
        <v>0</v>
      </c>
      <c r="F20" s="19">
        <f>IF(('Florence Daily'!E23-'Florence Daily'!E22)&lt;0,"0",('Florence Daily'!E23-'Florence Daily'!E22))</f>
        <v>0</v>
      </c>
      <c r="G20" s="19">
        <f>IF(('Florence Daily'!G23-'Florence Daily'!G22)&lt;0,"0",('Florence Daily'!G23-'Florence Daily'!G22))</f>
        <v>0</v>
      </c>
      <c r="H20" s="19">
        <f>IF(('Florence Daily'!J23-'Florence Daily'!J22)&lt;0,"0",('Florence Daily'!J23-'Florence Daily'!J22))</f>
        <v>0</v>
      </c>
      <c r="I20" s="19">
        <f>IF(('Florence Daily'!L23-'Florence Daily'!L22)&lt;0,"0",('Florence Daily'!L23-'Florence Daily'!L22))</f>
        <v>0</v>
      </c>
      <c r="J20" s="19">
        <f>IF(('Florence Daily'!N23-'Florence Daily'!N22)&lt;0,"0",('Florence Daily'!N23-'Florence Daily'!N22))</f>
        <v>0</v>
      </c>
      <c r="K20" s="19">
        <f>'Florence Daily'!P23</f>
        <v>0</v>
      </c>
      <c r="L20" s="19">
        <f>'Florence Daily'!Q23</f>
        <v>0</v>
      </c>
    </row>
    <row r="21" spans="1:12" x14ac:dyDescent="0.35">
      <c r="A21" s="16" t="s">
        <v>25</v>
      </c>
      <c r="B21" s="6">
        <f t="shared" si="0"/>
        <v>20</v>
      </c>
      <c r="C21" s="6">
        <v>2</v>
      </c>
      <c r="D21" s="6">
        <v>2020</v>
      </c>
      <c r="E21" s="19">
        <f>IF(('Florence Daily'!C24-'Florence Daily'!C23&lt;0), "0",('Florence Daily'!C24-'Florence Daily'!C23)*3)</f>
        <v>0</v>
      </c>
      <c r="F21" s="19">
        <f>IF(('Florence Daily'!E24-'Florence Daily'!E23)&lt;0,"0",('Florence Daily'!E24-'Florence Daily'!E23))</f>
        <v>0</v>
      </c>
      <c r="G21" s="19">
        <f>IF(('Florence Daily'!G24-'Florence Daily'!G23)&lt;0,"0",('Florence Daily'!G24-'Florence Daily'!G23))</f>
        <v>0</v>
      </c>
      <c r="H21" s="19">
        <f>IF(('Florence Daily'!J24-'Florence Daily'!J23)&lt;0,"0",('Florence Daily'!J24-'Florence Daily'!J23))</f>
        <v>0</v>
      </c>
      <c r="I21" s="19">
        <f>IF(('Florence Daily'!L24-'Florence Daily'!L23)&lt;0,"0",('Florence Daily'!L24-'Florence Daily'!L23))</f>
        <v>0</v>
      </c>
      <c r="J21" s="19">
        <f>IF(('Florence Daily'!N24-'Florence Daily'!N23)&lt;0,"0",('Florence Daily'!N24-'Florence Daily'!N23))</f>
        <v>0</v>
      </c>
      <c r="K21" s="19">
        <f>'Florence Daily'!P24</f>
        <v>0</v>
      </c>
      <c r="L21" s="19">
        <f>'Florence Daily'!Q24</f>
        <v>0</v>
      </c>
    </row>
    <row r="22" spans="1:12" x14ac:dyDescent="0.35">
      <c r="A22" s="16" t="s">
        <v>25</v>
      </c>
      <c r="B22" s="6">
        <f t="shared" si="0"/>
        <v>21</v>
      </c>
      <c r="C22" s="6">
        <v>2</v>
      </c>
      <c r="D22" s="6">
        <v>2020</v>
      </c>
      <c r="E22" s="19">
        <f>IF(('Florence Daily'!C25-'Florence Daily'!C24&lt;0), "0",('Florence Daily'!C25-'Florence Daily'!C24)*3)</f>
        <v>0</v>
      </c>
      <c r="F22" s="19">
        <f>IF(('Florence Daily'!E25-'Florence Daily'!E24)&lt;0,"0",('Florence Daily'!E25-'Florence Daily'!E24))</f>
        <v>0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0</v>
      </c>
      <c r="I22" s="19">
        <f>IF(('Florence Daily'!L25-'Florence Daily'!L24)&lt;0,"0",('Florence Daily'!L25-'Florence Daily'!L24))</f>
        <v>0</v>
      </c>
      <c r="J22" s="19">
        <f>IF(('Florence Daily'!N25-'Florence Daily'!N24)&lt;0,"0",('Florence Daily'!N25-'Florence Daily'!N24))</f>
        <v>0</v>
      </c>
      <c r="K22" s="19">
        <f>'Florence Daily'!P25</f>
        <v>0</v>
      </c>
      <c r="L22" s="19">
        <f>'Florence Daily'!Q25</f>
        <v>0</v>
      </c>
    </row>
    <row r="23" spans="1:12" x14ac:dyDescent="0.35">
      <c r="A23" s="16" t="s">
        <v>25</v>
      </c>
      <c r="B23" s="6">
        <f t="shared" si="0"/>
        <v>22</v>
      </c>
      <c r="C23" s="6">
        <v>2</v>
      </c>
      <c r="D23" s="6">
        <v>2020</v>
      </c>
      <c r="E23" s="19">
        <f>IF(('Florence Daily'!C26-'Florence Daily'!C25&lt;0), "0",('Florence Daily'!C26-'Florence Daily'!C25)*3)</f>
        <v>0</v>
      </c>
      <c r="F23" s="19">
        <f>IF(('Florence Daily'!E26-'Florence Daily'!E25)&lt;0,"0",('Florence Daily'!E26-'Florence Daily'!E25))</f>
        <v>0</v>
      </c>
      <c r="G23" s="19">
        <f>IF(('Florence Daily'!G26-'Florence Daily'!G25)&lt;0,"0",('Florence Daily'!G26-'Florence Daily'!G25))</f>
        <v>0</v>
      </c>
      <c r="H23" s="19">
        <f>IF(('Florence Daily'!J26-'Florence Daily'!J25)&lt;0,"0",('Florence Daily'!J26-'Florence Daily'!J25))</f>
        <v>0</v>
      </c>
      <c r="I23" s="19">
        <f>IF(('Florence Daily'!L26-'Florence Daily'!L25)&lt;0,"0",('Florence Daily'!L26-'Florence Daily'!L25))</f>
        <v>0</v>
      </c>
      <c r="J23" s="19">
        <f>IF(('Florence Daily'!N26-'Florence Daily'!N25)&lt;0,"0",('Florence Daily'!N26-'Florence Daily'!N25))</f>
        <v>0</v>
      </c>
      <c r="K23" s="19">
        <f>'Florence Daily'!P26</f>
        <v>0</v>
      </c>
      <c r="L23" s="19">
        <f>'Florence Daily'!Q26</f>
        <v>0</v>
      </c>
    </row>
    <row r="24" spans="1:12" x14ac:dyDescent="0.35">
      <c r="A24" s="16" t="s">
        <v>25</v>
      </c>
      <c r="B24" s="6">
        <f t="shared" si="0"/>
        <v>23</v>
      </c>
      <c r="C24" s="6">
        <v>2</v>
      </c>
      <c r="D24" s="6">
        <v>2020</v>
      </c>
      <c r="E24" s="19">
        <f>IF(('Florence Daily'!C27-'Florence Daily'!C26&lt;0), "0",('Florence Daily'!C27-'Florence Daily'!C26)*3)</f>
        <v>0</v>
      </c>
      <c r="F24" s="19">
        <f>IF(('Florence Daily'!E27-'Florence Daily'!E26)&lt;0,"0",('Florence Daily'!E27-'Florence Daily'!E26))</f>
        <v>0</v>
      </c>
      <c r="G24" s="19">
        <f>IF(('Florence Daily'!G27-'Florence Daily'!G26)&lt;0,"0",('Florence Daily'!G27-'Florence Daily'!G26))</f>
        <v>0</v>
      </c>
      <c r="H24" s="19">
        <f>IF(('Florence Daily'!J27-'Florence Daily'!J26)&lt;0,"0",('Florence Daily'!J27-'Florence Daily'!J26))</f>
        <v>0</v>
      </c>
      <c r="I24" s="19">
        <f>IF(('Florence Daily'!L27-'Florence Daily'!L26)&lt;0,"0",('Florence Daily'!L27-'Florence Daily'!L26))</f>
        <v>0</v>
      </c>
      <c r="J24" s="19">
        <f>IF(('Florence Daily'!N27-'Florence Daily'!N26)&lt;0,"0",('Florence Daily'!N27-'Florence Daily'!N26))</f>
        <v>0</v>
      </c>
      <c r="K24" s="19">
        <f>'Florence Daily'!P27</f>
        <v>0</v>
      </c>
      <c r="L24" s="19">
        <f>'Florence Daily'!Q27</f>
        <v>0</v>
      </c>
    </row>
    <row r="25" spans="1:12" x14ac:dyDescent="0.35">
      <c r="A25" s="16" t="s">
        <v>25</v>
      </c>
      <c r="B25" s="6">
        <f t="shared" si="0"/>
        <v>24</v>
      </c>
      <c r="C25" s="6">
        <v>2</v>
      </c>
      <c r="D25" s="6">
        <v>2020</v>
      </c>
      <c r="E25" s="19">
        <f>IF(('Florence Daily'!C28-'Florence Daily'!C27&lt;0), "0",('Florence Daily'!C28-'Florence Daily'!C27)*3)</f>
        <v>0</v>
      </c>
      <c r="F25" s="19">
        <f>IF(('Florence Daily'!E28-'Florence Daily'!E27)&lt;0,"0",('Florence Daily'!E28-'Florence Daily'!E27))</f>
        <v>0</v>
      </c>
      <c r="G25" s="19">
        <f>IF(('Florence Daily'!G28-'Florence Daily'!G27)&lt;0,"0",('Florence Daily'!G28-'Florence Daily'!G27))</f>
        <v>0</v>
      </c>
      <c r="H25" s="19">
        <f>IF(('Florence Daily'!J28-'Florence Daily'!J27)&lt;0,"0",('Florence Daily'!J28-'Florence Daily'!J27))</f>
        <v>0</v>
      </c>
      <c r="I25" s="19">
        <f>IF(('Florence Daily'!L28-'Florence Daily'!L27)&lt;0,"0",('Florence Daily'!L28-'Florence Daily'!L27))</f>
        <v>0</v>
      </c>
      <c r="J25" s="19">
        <f>IF(('Florence Daily'!N28-'Florence Daily'!N27)&lt;0,"0",('Florence Daily'!N28-'Florence Daily'!N27))</f>
        <v>0</v>
      </c>
      <c r="K25" s="19">
        <f>'Florence Daily'!P28</f>
        <v>0</v>
      </c>
      <c r="L25" s="19">
        <f>'Florence Daily'!Q28</f>
        <v>0</v>
      </c>
    </row>
    <row r="26" spans="1:12" x14ac:dyDescent="0.35">
      <c r="A26" s="16" t="s">
        <v>25</v>
      </c>
      <c r="B26" s="6">
        <f>B25+1</f>
        <v>25</v>
      </c>
      <c r="C26" s="6">
        <v>2</v>
      </c>
      <c r="D26" s="6">
        <v>2020</v>
      </c>
      <c r="E26" s="19">
        <f>IF(('Florence Daily'!C29-'Florence Daily'!C28&lt;0), "0",('Florence Daily'!C29-'Florence Daily'!C28)*3)</f>
        <v>0</v>
      </c>
      <c r="F26" s="19">
        <f>IF(('Florence Daily'!E29-'Florence Daily'!E28)&lt;0,"0",('Florence Daily'!E29-'Florence Daily'!E28))</f>
        <v>0</v>
      </c>
      <c r="G26" s="19">
        <f>IF(('Florence Daily'!G29-'Florence Daily'!G28)&lt;0,"0",('Florence Daily'!G29-'Florence Daily'!G28))</f>
        <v>0</v>
      </c>
      <c r="H26" s="19">
        <f>IF(('Florence Daily'!J29-'Florence Daily'!J28)&lt;0,"0",('Florence Daily'!J29-'Florence Daily'!J28))</f>
        <v>0</v>
      </c>
      <c r="I26" s="19">
        <f>IF(('Florence Daily'!L29-'Florence Daily'!L28)&lt;0,"0",('Florence Daily'!L29-'Florence Daily'!L28))</f>
        <v>0</v>
      </c>
      <c r="J26" s="19">
        <f>IF(('Florence Daily'!N29-'Florence Daily'!N28)&lt;0,"0",('Florence Daily'!N29-'Florence Daily'!N28))</f>
        <v>0</v>
      </c>
      <c r="K26" s="19">
        <f>'Florence Daily'!P29</f>
        <v>0</v>
      </c>
      <c r="L26" s="19">
        <f>'Florence Daily'!Q29</f>
        <v>0</v>
      </c>
    </row>
    <row r="27" spans="1:12" x14ac:dyDescent="0.35">
      <c r="A27" s="16" t="s">
        <v>25</v>
      </c>
      <c r="B27" s="6">
        <f t="shared" si="0"/>
        <v>26</v>
      </c>
      <c r="C27" s="6">
        <v>2</v>
      </c>
      <c r="D27" s="6">
        <v>2020</v>
      </c>
      <c r="E27" s="19">
        <f>IF(('Florence Daily'!C30-'Florence Daily'!C29&lt;0), "0",('Florence Daily'!C30-'Florence Daily'!C29)*3)</f>
        <v>0</v>
      </c>
      <c r="F27" s="19">
        <f>IF(('Florence Daily'!E30-'Florence Daily'!E29)&lt;0,"0",('Florence Daily'!E30-'Florence Daily'!E29))</f>
        <v>0</v>
      </c>
      <c r="G27" s="19">
        <f>IF(('Florence Daily'!G30-'Florence Daily'!G29)&lt;0,"0",('Florence Daily'!G30-'Florence Daily'!G29))</f>
        <v>0</v>
      </c>
      <c r="H27" s="19">
        <f>IF(('Florence Daily'!J30-'Florence Daily'!J29)&lt;0,"0",('Florence Daily'!J30-'Florence Daily'!J29))</f>
        <v>0</v>
      </c>
      <c r="I27" s="19">
        <f>IF(('Florence Daily'!L30-'Florence Daily'!L29)&lt;0,"0",('Florence Daily'!L30-'Florence Daily'!L29))</f>
        <v>0</v>
      </c>
      <c r="J27" s="19">
        <f>IF(('Florence Daily'!N30-'Florence Daily'!N29)&lt;0,"0",('Florence Daily'!N30-'Florence Daily'!N29))</f>
        <v>0</v>
      </c>
      <c r="K27" s="19">
        <f>'Florence Daily'!P30</f>
        <v>0</v>
      </c>
      <c r="L27" s="19">
        <f>'Florence Daily'!Q30</f>
        <v>0</v>
      </c>
    </row>
    <row r="28" spans="1:12" x14ac:dyDescent="0.35">
      <c r="A28" s="16" t="s">
        <v>25</v>
      </c>
      <c r="B28" s="6">
        <f t="shared" si="0"/>
        <v>27</v>
      </c>
      <c r="C28" s="6">
        <v>2</v>
      </c>
      <c r="D28" s="6">
        <v>2020</v>
      </c>
      <c r="E28" s="19">
        <f>IF(('Florence Daily'!C31-'Florence Daily'!C30&lt;0), "0",('Florence Daily'!C31-'Florence Daily'!C30)*3)</f>
        <v>0</v>
      </c>
      <c r="F28" s="19">
        <f>IF(('Florence Daily'!E31-'Florence Daily'!E30)&lt;0,"0",('Florence Daily'!E31-'Florence Daily'!E30))</f>
        <v>0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0</v>
      </c>
      <c r="I28" s="19">
        <f>IF(('Florence Daily'!L31-'Florence Daily'!L30)&lt;0,"0",('Florence Daily'!L31-'Florence Daily'!L30))</f>
        <v>0</v>
      </c>
      <c r="J28" s="19">
        <f>IF(('Florence Daily'!N31-'Florence Daily'!N30)&lt;0,"0",('Florence Daily'!N31-'Florence Daily'!N30))</f>
        <v>0</v>
      </c>
      <c r="K28" s="19">
        <f>'Florence Daily'!P31</f>
        <v>0</v>
      </c>
      <c r="L28" s="19">
        <f>'Florence Daily'!Q31</f>
        <v>0</v>
      </c>
    </row>
    <row r="29" spans="1:12" x14ac:dyDescent="0.35">
      <c r="A29" s="16" t="s">
        <v>25</v>
      </c>
      <c r="B29" s="6">
        <f t="shared" si="0"/>
        <v>28</v>
      </c>
      <c r="C29" s="6">
        <v>2</v>
      </c>
      <c r="D29" s="6">
        <v>2020</v>
      </c>
      <c r="E29" s="19">
        <f>IF(('Florence Daily'!C32-'Florence Daily'!C31&lt;0), "0",('Florence Daily'!C32-'Florence Daily'!C31)*3)</f>
        <v>0</v>
      </c>
      <c r="F29" s="19">
        <f>IF(('Florence Daily'!E32-'Florence Daily'!E31)&lt;0,"0",('Florence Daily'!E32-'Florence Daily'!E31))</f>
        <v>0</v>
      </c>
      <c r="G29" s="19">
        <f>IF(('Florence Daily'!G32-'Florence Daily'!G31)&lt;0,"0",('Florence Daily'!G32-'Florence Daily'!G31))</f>
        <v>0</v>
      </c>
      <c r="H29" s="19">
        <f>IF(('Florence Daily'!J32-'Florence Daily'!J31)&lt;0,"0",('Florence Daily'!J32-'Florence Daily'!J31))</f>
        <v>0</v>
      </c>
      <c r="I29" s="19">
        <f>IF(('Florence Daily'!L32-'Florence Daily'!L31)&lt;0,"0",('Florence Daily'!L32-'Florence Daily'!L31))</f>
        <v>0</v>
      </c>
      <c r="J29" s="19">
        <f>IF(('Florence Daily'!N32-'Florence Daily'!N31)&lt;0,"0",('Florence Daily'!N32-'Florence Daily'!N31))</f>
        <v>0</v>
      </c>
      <c r="K29" s="19">
        <f>'Florence Daily'!P32</f>
        <v>0</v>
      </c>
      <c r="L29" s="19">
        <f>'Florence Daily'!Q32</f>
        <v>0</v>
      </c>
    </row>
    <row r="30" spans="1:12" x14ac:dyDescent="0.35">
      <c r="A30" s="16" t="s">
        <v>25</v>
      </c>
      <c r="B30" s="6">
        <f t="shared" si="0"/>
        <v>29</v>
      </c>
      <c r="C30" s="6">
        <v>2</v>
      </c>
      <c r="D30" s="6">
        <v>2020</v>
      </c>
      <c r="E30" s="19">
        <f>IF(('Florence Daily'!C33-'Florence Daily'!C32&lt;0), "0",('Florence Daily'!C33-'Florence Daily'!C32)*3)</f>
        <v>0</v>
      </c>
      <c r="F30" s="19">
        <f>IF(('Florence Daily'!E33-'Florence Daily'!E32)&lt;0,"0",('Florence Daily'!E33-'Florence Daily'!E32))</f>
        <v>0</v>
      </c>
      <c r="G30" s="19">
        <f>IF(('Florence Daily'!G33-'Florence Daily'!G32)&lt;0,"0",('Florence Daily'!G33-'Florence Daily'!G32))</f>
        <v>0</v>
      </c>
      <c r="H30" s="19">
        <f>IF(('Florence Daily'!J33-'Florence Daily'!J32)&lt;0,"0",('Florence Daily'!J33-'Florence Daily'!J32))</f>
        <v>0</v>
      </c>
      <c r="I30" s="19">
        <f>IF(('Florence Daily'!L33-'Florence Daily'!L32)&lt;0,"0",('Florence Daily'!L33-'Florence Daily'!L32))</f>
        <v>0</v>
      </c>
      <c r="J30" s="19">
        <f>IF(('Florence Daily'!N33-'Florence Daily'!N32)&lt;0,"0",('Florence Daily'!N33-'Florence Daily'!N32))</f>
        <v>0</v>
      </c>
      <c r="K30" s="19">
        <f>'Florence Daily'!P33</f>
        <v>0</v>
      </c>
      <c r="L30" s="19">
        <f>'Florence Daily'!Q33</f>
        <v>0</v>
      </c>
    </row>
    <row r="31" spans="1:12" x14ac:dyDescent="0.35">
      <c r="A31" s="16" t="s">
        <v>25</v>
      </c>
      <c r="B31" s="6">
        <f t="shared" si="0"/>
        <v>30</v>
      </c>
      <c r="C31" s="6">
        <v>2</v>
      </c>
      <c r="D31" s="6">
        <v>2020</v>
      </c>
      <c r="E31" s="19">
        <f>IF(('Florence Daily'!C34-'Florence Daily'!C33&lt;0), "0",('Florence Daily'!C34-'Florence Daily'!C33)*3)</f>
        <v>0</v>
      </c>
      <c r="F31" s="19">
        <f>IF(('Florence Daily'!E34-'Florence Daily'!E33)&lt;0,"0",('Florence Daily'!E34-'Florence Daily'!E33))</f>
        <v>0</v>
      </c>
      <c r="G31" s="19">
        <f>IF(('Florence Daily'!G34-'Florence Daily'!G33)&lt;0,"0",('Florence Daily'!G34-'Florence Daily'!G33))</f>
        <v>0</v>
      </c>
      <c r="H31" s="19">
        <f>IF(('Florence Daily'!J34-'Florence Daily'!J33)&lt;0,"0",('Florence Daily'!J34-'Florence Daily'!J33))</f>
        <v>0</v>
      </c>
      <c r="I31" s="19">
        <f>IF(('Florence Daily'!L34-'Florence Daily'!L33)&lt;0,"0",('Florence Daily'!L34-'Florence Daily'!L33))</f>
        <v>0</v>
      </c>
      <c r="J31" s="19">
        <f>IF(('Florence Daily'!N34-'Florence Daily'!N33)&lt;0,"0",('Florence Daily'!N34-'Florence Daily'!N33))</f>
        <v>0</v>
      </c>
      <c r="K31" s="19">
        <f>'Florence Daily'!P34</f>
        <v>0</v>
      </c>
      <c r="L31" s="19">
        <f>'Florence Daily'!Q34</f>
        <v>0</v>
      </c>
    </row>
    <row r="32" spans="1:12" x14ac:dyDescent="0.35">
      <c r="A32" s="16" t="s">
        <v>25</v>
      </c>
      <c r="B32" s="6">
        <f t="shared" si="0"/>
        <v>31</v>
      </c>
      <c r="C32" s="6">
        <v>2</v>
      </c>
      <c r="D32" s="6">
        <v>2020</v>
      </c>
      <c r="E32" s="19">
        <f>IF(('Florence Daily'!C35-'Florence Daily'!C34&lt;0), "0",('Florence Daily'!C35-'Florence Daily'!C34)*3)</f>
        <v>0</v>
      </c>
      <c r="F32" s="19">
        <f>IF(('Florence Daily'!E35-'Florence Daily'!E34)&lt;0,"0",('Florence Daily'!E35-'Florence Daily'!E34))</f>
        <v>0</v>
      </c>
      <c r="G32" s="19">
        <f>IF(('Florence Daily'!G35-'Florence Daily'!G34)&lt;0,"0",('Florence Daily'!G35-'Florence Daily'!G34))</f>
        <v>0</v>
      </c>
      <c r="H32" s="19">
        <f>IF(('Florence Daily'!J35-'Florence Daily'!J34)&lt;0,"0",('Florence Daily'!J35-'Florence Daily'!J34))</f>
        <v>0</v>
      </c>
      <c r="I32" s="19">
        <f>IF(('Florence Daily'!L35-'Florence Daily'!L34)&lt;0,"0",('Florence Daily'!L35-'Florence Daily'!L34))</f>
        <v>0</v>
      </c>
      <c r="J32" s="19">
        <f>IF(('Florence Daily'!N35-'Florence Daily'!N34)&lt;0,"0",('Florence Daily'!N35-'Florence Daily'!N34))</f>
        <v>0</v>
      </c>
      <c r="K32" s="19">
        <f>'Florence Daily'!P35</f>
        <v>0</v>
      </c>
      <c r="L32" s="19">
        <f>'Florence Daily'!Q35</f>
        <v>0</v>
      </c>
    </row>
    <row r="33" spans="11:11" x14ac:dyDescent="0.35">
      <c r="K33" s="19"/>
    </row>
    <row r="34" spans="11:11" x14ac:dyDescent="0.35">
      <c r="K34" s="19"/>
    </row>
    <row r="35" spans="11:11" x14ac:dyDescent="0.35">
      <c r="K35" s="19"/>
    </row>
    <row r="36" spans="11:11" x14ac:dyDescent="0.35">
      <c r="K36" s="19"/>
    </row>
    <row r="37" spans="11:11" x14ac:dyDescent="0.35">
      <c r="K37" s="19"/>
    </row>
    <row r="38" spans="11:11" x14ac:dyDescent="0.35">
      <c r="K38" s="19"/>
    </row>
    <row r="39" spans="11:11" x14ac:dyDescent="0.35">
      <c r="K39" s="19"/>
    </row>
    <row r="40" spans="11:11" x14ac:dyDescent="0.35">
      <c r="K40" s="19"/>
    </row>
    <row r="41" spans="11:11" x14ac:dyDescent="0.35">
      <c r="K41" s="19"/>
    </row>
    <row r="42" spans="11:11" x14ac:dyDescent="0.35">
      <c r="K42" s="19"/>
    </row>
    <row r="43" spans="11:11" x14ac:dyDescent="0.35">
      <c r="K43" s="19"/>
    </row>
    <row r="44" spans="11:11" x14ac:dyDescent="0.35">
      <c r="K44" s="19"/>
    </row>
    <row r="45" spans="11:11" x14ac:dyDescent="0.35">
      <c r="K45" s="19"/>
    </row>
    <row r="46" spans="11:11" x14ac:dyDescent="0.35">
      <c r="K46" s="19"/>
    </row>
    <row r="47" spans="11:11" x14ac:dyDescent="0.35">
      <c r="K47" s="19"/>
    </row>
    <row r="48" spans="11:11" x14ac:dyDescent="0.35">
      <c r="K48" s="19"/>
    </row>
    <row r="49" spans="11:11" x14ac:dyDescent="0.35">
      <c r="K49" s="19"/>
    </row>
    <row r="50" spans="11:11" x14ac:dyDescent="0.35">
      <c r="K50" s="19"/>
    </row>
    <row r="51" spans="11:11" x14ac:dyDescent="0.35">
      <c r="K51" s="19"/>
    </row>
    <row r="52" spans="11:11" x14ac:dyDescent="0.35">
      <c r="K52" s="19"/>
    </row>
    <row r="53" spans="11:11" x14ac:dyDescent="0.35">
      <c r="K53" s="19"/>
    </row>
    <row r="54" spans="11:11" x14ac:dyDescent="0.35">
      <c r="K54" s="19"/>
    </row>
    <row r="55" spans="11:11" x14ac:dyDescent="0.35">
      <c r="K55" s="19"/>
    </row>
    <row r="56" spans="11:11" x14ac:dyDescent="0.35">
      <c r="K56" s="19"/>
    </row>
    <row r="57" spans="11:11" x14ac:dyDescent="0.35">
      <c r="K57" s="19"/>
    </row>
    <row r="58" spans="11:11" x14ac:dyDescent="0.35">
      <c r="K58" s="19"/>
    </row>
    <row r="59" spans="11:11" x14ac:dyDescent="0.35">
      <c r="K59" s="19"/>
    </row>
    <row r="60" spans="11:11" x14ac:dyDescent="0.35">
      <c r="K60" s="19"/>
    </row>
    <row r="61" spans="11:11" x14ac:dyDescent="0.35">
      <c r="K61" s="19"/>
    </row>
    <row r="62" spans="11:11" x14ac:dyDescent="0.35">
      <c r="K62" s="19"/>
    </row>
    <row r="63" spans="11:11" x14ac:dyDescent="0.35">
      <c r="K63" s="19"/>
    </row>
    <row r="64" spans="11:11" x14ac:dyDescent="0.35">
      <c r="K64" s="19"/>
    </row>
    <row r="65" spans="11:11" x14ac:dyDescent="0.35">
      <c r="K65" s="19"/>
    </row>
    <row r="66" spans="11:11" x14ac:dyDescent="0.35">
      <c r="K66" s="19"/>
    </row>
    <row r="67" spans="11:11" x14ac:dyDescent="0.35">
      <c r="K67" s="19"/>
    </row>
    <row r="68" spans="11:11" x14ac:dyDescent="0.35">
      <c r="K68" s="19"/>
    </row>
    <row r="69" spans="11:11" x14ac:dyDescent="0.35">
      <c r="K69" s="19"/>
    </row>
    <row r="70" spans="11:11" x14ac:dyDescent="0.35">
      <c r="K70" s="19"/>
    </row>
    <row r="71" spans="11:11" x14ac:dyDescent="0.35">
      <c r="K71" s="19"/>
    </row>
    <row r="72" spans="11:11" x14ac:dyDescent="0.35">
      <c r="K72" s="19"/>
    </row>
    <row r="73" spans="11:11" x14ac:dyDescent="0.35">
      <c r="K73" s="19"/>
    </row>
    <row r="74" spans="11:11" x14ac:dyDescent="0.35">
      <c r="K74" s="19"/>
    </row>
    <row r="75" spans="11:11" x14ac:dyDescent="0.35">
      <c r="K75" s="19"/>
    </row>
    <row r="76" spans="11:11" x14ac:dyDescent="0.35">
      <c r="K76" s="19"/>
    </row>
    <row r="77" spans="11:11" x14ac:dyDescent="0.35">
      <c r="K77" s="19"/>
    </row>
    <row r="78" spans="11:11" x14ac:dyDescent="0.35">
      <c r="K78" s="19"/>
    </row>
    <row r="79" spans="11:11" x14ac:dyDescent="0.35">
      <c r="K79" s="19"/>
    </row>
    <row r="80" spans="11:11" x14ac:dyDescent="0.35">
      <c r="K80" s="19"/>
    </row>
    <row r="81" spans="11:11" x14ac:dyDescent="0.35">
      <c r="K81" s="19"/>
    </row>
    <row r="82" spans="11:11" x14ac:dyDescent="0.35">
      <c r="K82" s="19"/>
    </row>
    <row r="83" spans="11:11" x14ac:dyDescent="0.35">
      <c r="K83" s="19"/>
    </row>
    <row r="84" spans="11:11" x14ac:dyDescent="0.35">
      <c r="K84" s="19"/>
    </row>
    <row r="85" spans="11:11" x14ac:dyDescent="0.35">
      <c r="K85" s="19"/>
    </row>
    <row r="86" spans="11:11" x14ac:dyDescent="0.35">
      <c r="K86" s="19"/>
    </row>
    <row r="87" spans="11:11" x14ac:dyDescent="0.35">
      <c r="K87" s="19"/>
    </row>
    <row r="88" spans="11:11" x14ac:dyDescent="0.35">
      <c r="K88" s="19"/>
    </row>
    <row r="89" spans="11:11" x14ac:dyDescent="0.35">
      <c r="K89" s="19"/>
    </row>
    <row r="90" spans="11:11" x14ac:dyDescent="0.35">
      <c r="K90" s="19"/>
    </row>
    <row r="91" spans="11:11" x14ac:dyDescent="0.35">
      <c r="K91" s="19"/>
    </row>
    <row r="92" spans="11:11" x14ac:dyDescent="0.35">
      <c r="K92" s="19"/>
    </row>
    <row r="93" spans="11:11" x14ac:dyDescent="0.35">
      <c r="K93" s="19"/>
    </row>
    <row r="94" spans="11:11" x14ac:dyDescent="0.35">
      <c r="K94" s="19"/>
    </row>
    <row r="95" spans="11:11" x14ac:dyDescent="0.35">
      <c r="K95" s="19"/>
    </row>
    <row r="96" spans="11:11" x14ac:dyDescent="0.35">
      <c r="K96" s="19"/>
    </row>
    <row r="97" spans="11:11" x14ac:dyDescent="0.35">
      <c r="K97" s="19"/>
    </row>
    <row r="98" spans="11:11" x14ac:dyDescent="0.35">
      <c r="K98" s="19"/>
    </row>
    <row r="99" spans="11:11" x14ac:dyDescent="0.35">
      <c r="K99" s="19"/>
    </row>
    <row r="100" spans="11:11" x14ac:dyDescent="0.35">
      <c r="K100" s="19"/>
    </row>
    <row r="101" spans="11:11" x14ac:dyDescent="0.35">
      <c r="K101" s="19"/>
    </row>
    <row r="102" spans="11:11" x14ac:dyDescent="0.35">
      <c r="K102" s="19"/>
    </row>
    <row r="103" spans="11:11" x14ac:dyDescent="0.35">
      <c r="K103" s="19"/>
    </row>
    <row r="104" spans="11:11" x14ac:dyDescent="0.35">
      <c r="K104" s="19"/>
    </row>
    <row r="105" spans="11:11" x14ac:dyDescent="0.35">
      <c r="K105" s="19"/>
    </row>
    <row r="106" spans="11:11" x14ac:dyDescent="0.35">
      <c r="K106" s="19"/>
    </row>
    <row r="107" spans="11:11" x14ac:dyDescent="0.35">
      <c r="K107" s="19"/>
    </row>
    <row r="108" spans="11:11" x14ac:dyDescent="0.35">
      <c r="K108" s="19"/>
    </row>
    <row r="109" spans="11:11" x14ac:dyDescent="0.35">
      <c r="K109" s="19"/>
    </row>
    <row r="110" spans="11:11" x14ac:dyDescent="0.35">
      <c r="K110" s="19"/>
    </row>
    <row r="111" spans="11:11" x14ac:dyDescent="0.35">
      <c r="K111" s="19"/>
    </row>
    <row r="112" spans="11:11" x14ac:dyDescent="0.35">
      <c r="K112" s="19"/>
    </row>
    <row r="113" spans="11:11" x14ac:dyDescent="0.35">
      <c r="K113" s="19"/>
    </row>
    <row r="114" spans="11:11" x14ac:dyDescent="0.35">
      <c r="K114" s="19"/>
    </row>
    <row r="115" spans="11:11" x14ac:dyDescent="0.35">
      <c r="K115" s="19"/>
    </row>
    <row r="116" spans="11:11" x14ac:dyDescent="0.35">
      <c r="K116" s="19"/>
    </row>
    <row r="117" spans="11:11" x14ac:dyDescent="0.35">
      <c r="K117" s="19"/>
    </row>
    <row r="118" spans="11:11" x14ac:dyDescent="0.35">
      <c r="K118" s="19"/>
    </row>
    <row r="119" spans="11:11" x14ac:dyDescent="0.35">
      <c r="K119" s="19"/>
    </row>
    <row r="120" spans="11:11" x14ac:dyDescent="0.35">
      <c r="K120" s="19"/>
    </row>
    <row r="121" spans="11:11" x14ac:dyDescent="0.35">
      <c r="K121" s="19"/>
    </row>
    <row r="122" spans="11:11" x14ac:dyDescent="0.35">
      <c r="K122" s="19"/>
    </row>
    <row r="123" spans="11:11" x14ac:dyDescent="0.35">
      <c r="K123" s="19"/>
    </row>
    <row r="124" spans="11:11" x14ac:dyDescent="0.35">
      <c r="K124" s="19"/>
    </row>
    <row r="125" spans="11:11" x14ac:dyDescent="0.35">
      <c r="K125" s="19"/>
    </row>
    <row r="126" spans="11:11" x14ac:dyDescent="0.35">
      <c r="K126" s="19"/>
    </row>
    <row r="127" spans="11:11" x14ac:dyDescent="0.35">
      <c r="K127" s="19"/>
    </row>
    <row r="128" spans="11:11" x14ac:dyDescent="0.35">
      <c r="K128" s="19"/>
    </row>
    <row r="129" spans="11:11" x14ac:dyDescent="0.35">
      <c r="K129" s="19"/>
    </row>
    <row r="130" spans="11:11" x14ac:dyDescent="0.35">
      <c r="K130" s="19"/>
    </row>
    <row r="131" spans="11:11" x14ac:dyDescent="0.35">
      <c r="K131" s="19"/>
    </row>
    <row r="132" spans="11:11" x14ac:dyDescent="0.35">
      <c r="K132" s="19"/>
    </row>
    <row r="133" spans="11:11" x14ac:dyDescent="0.35">
      <c r="K133" s="19"/>
    </row>
    <row r="134" spans="11:11" x14ac:dyDescent="0.35">
      <c r="K134" s="19"/>
    </row>
    <row r="135" spans="11:11" x14ac:dyDescent="0.35">
      <c r="K135" s="19"/>
    </row>
    <row r="136" spans="11:11" x14ac:dyDescent="0.35">
      <c r="K136" s="19"/>
    </row>
    <row r="137" spans="11:11" x14ac:dyDescent="0.35">
      <c r="K137" s="19"/>
    </row>
    <row r="138" spans="11:11" x14ac:dyDescent="0.35">
      <c r="K138" s="19"/>
    </row>
    <row r="139" spans="11:11" x14ac:dyDescent="0.35">
      <c r="K139" s="19"/>
    </row>
    <row r="140" spans="11:11" x14ac:dyDescent="0.35">
      <c r="K140" s="19"/>
    </row>
    <row r="141" spans="11:11" x14ac:dyDescent="0.35">
      <c r="K141" s="19"/>
    </row>
    <row r="142" spans="11:11" x14ac:dyDescent="0.35">
      <c r="K142" s="19"/>
    </row>
    <row r="143" spans="11:11" x14ac:dyDescent="0.35">
      <c r="K143" s="19"/>
    </row>
    <row r="144" spans="11:11" x14ac:dyDescent="0.35">
      <c r="K144" s="19"/>
    </row>
    <row r="145" spans="11:11" x14ac:dyDescent="0.35">
      <c r="K145" s="19"/>
    </row>
    <row r="146" spans="11:11" x14ac:dyDescent="0.35">
      <c r="K146" s="19"/>
    </row>
    <row r="147" spans="11:11" x14ac:dyDescent="0.35">
      <c r="K147" s="19"/>
    </row>
    <row r="148" spans="11:11" x14ac:dyDescent="0.35">
      <c r="K148" s="19"/>
    </row>
    <row r="149" spans="11:11" x14ac:dyDescent="0.35">
      <c r="K149" s="19"/>
    </row>
    <row r="150" spans="11:11" x14ac:dyDescent="0.35">
      <c r="K150" s="19"/>
    </row>
    <row r="151" spans="11:11" x14ac:dyDescent="0.35">
      <c r="K151" s="19"/>
    </row>
    <row r="152" spans="11:11" x14ac:dyDescent="0.35">
      <c r="K152" s="19"/>
    </row>
    <row r="153" spans="11:11" x14ac:dyDescent="0.35">
      <c r="K153" s="19"/>
    </row>
    <row r="154" spans="11:11" x14ac:dyDescent="0.35">
      <c r="K154" s="19"/>
    </row>
    <row r="155" spans="11:11" x14ac:dyDescent="0.35">
      <c r="K155" s="19"/>
    </row>
    <row r="156" spans="11:11" x14ac:dyDescent="0.35">
      <c r="K156" s="19"/>
    </row>
    <row r="157" spans="11:11" x14ac:dyDescent="0.35">
      <c r="K157" s="19"/>
    </row>
    <row r="158" spans="11:11" x14ac:dyDescent="0.35">
      <c r="K158" s="19"/>
    </row>
    <row r="159" spans="11:11" x14ac:dyDescent="0.35">
      <c r="K159" s="19"/>
    </row>
    <row r="160" spans="11:11" x14ac:dyDescent="0.35">
      <c r="K160" s="19"/>
    </row>
    <row r="161" spans="11:11" x14ac:dyDescent="0.35">
      <c r="K161" s="19"/>
    </row>
    <row r="162" spans="11:11" x14ac:dyDescent="0.35">
      <c r="K162" s="19"/>
    </row>
    <row r="163" spans="11:11" x14ac:dyDescent="0.35">
      <c r="K163" s="19"/>
    </row>
    <row r="164" spans="11:11" x14ac:dyDescent="0.35">
      <c r="K164" s="19"/>
    </row>
    <row r="165" spans="11:11" x14ac:dyDescent="0.35">
      <c r="K165" s="19"/>
    </row>
    <row r="166" spans="11:11" x14ac:dyDescent="0.35">
      <c r="K166" s="19"/>
    </row>
    <row r="167" spans="11:11" x14ac:dyDescent="0.35">
      <c r="K167" s="19"/>
    </row>
    <row r="168" spans="11:11" x14ac:dyDescent="0.35">
      <c r="K168" s="19"/>
    </row>
    <row r="169" spans="11:11" x14ac:dyDescent="0.35">
      <c r="K169" s="19"/>
    </row>
    <row r="170" spans="11:11" x14ac:dyDescent="0.35">
      <c r="K170" s="19"/>
    </row>
    <row r="171" spans="11:11" x14ac:dyDescent="0.35">
      <c r="K171" s="19"/>
    </row>
    <row r="172" spans="11:11" x14ac:dyDescent="0.35">
      <c r="K172" s="19"/>
    </row>
    <row r="173" spans="11:11" x14ac:dyDescent="0.35">
      <c r="K173" s="19"/>
    </row>
    <row r="174" spans="11:11" x14ac:dyDescent="0.35">
      <c r="K174" s="19"/>
    </row>
    <row r="175" spans="11:11" x14ac:dyDescent="0.35">
      <c r="K175" s="19"/>
    </row>
    <row r="176" spans="11:11" x14ac:dyDescent="0.35">
      <c r="K176" s="19"/>
    </row>
    <row r="177" spans="11:11" x14ac:dyDescent="0.35">
      <c r="K177" s="19"/>
    </row>
    <row r="178" spans="11:11" x14ac:dyDescent="0.35">
      <c r="K178" s="19"/>
    </row>
    <row r="179" spans="11:11" x14ac:dyDescent="0.35">
      <c r="K179" s="19"/>
    </row>
    <row r="180" spans="11:11" x14ac:dyDescent="0.35">
      <c r="K180" s="19"/>
    </row>
    <row r="181" spans="11:11" x14ac:dyDescent="0.35">
      <c r="K181" s="19"/>
    </row>
    <row r="182" spans="11:11" x14ac:dyDescent="0.35">
      <c r="K182" s="19"/>
    </row>
    <row r="183" spans="11:11" x14ac:dyDescent="0.35">
      <c r="K183" s="19"/>
    </row>
    <row r="184" spans="11:11" x14ac:dyDescent="0.35">
      <c r="K184" s="19"/>
    </row>
    <row r="185" spans="11:11" x14ac:dyDescent="0.35">
      <c r="K185" s="19"/>
    </row>
    <row r="186" spans="11:11" x14ac:dyDescent="0.35">
      <c r="K186" s="19"/>
    </row>
    <row r="187" spans="11:11" x14ac:dyDescent="0.35">
      <c r="K187" s="19"/>
    </row>
    <row r="188" spans="11:11" x14ac:dyDescent="0.35">
      <c r="K188" s="19"/>
    </row>
    <row r="189" spans="11:11" x14ac:dyDescent="0.35">
      <c r="K189" s="19"/>
    </row>
    <row r="190" spans="11:11" x14ac:dyDescent="0.35">
      <c r="K190" s="19"/>
    </row>
    <row r="191" spans="11:11" x14ac:dyDescent="0.35">
      <c r="K191" s="19"/>
    </row>
    <row r="192" spans="11:11" x14ac:dyDescent="0.35">
      <c r="K192" s="19"/>
    </row>
    <row r="193" spans="11:11" x14ac:dyDescent="0.35">
      <c r="K193" s="19"/>
    </row>
    <row r="194" spans="11:11" x14ac:dyDescent="0.35">
      <c r="K194" s="19"/>
    </row>
    <row r="195" spans="11:11" x14ac:dyDescent="0.35">
      <c r="K195" s="19"/>
    </row>
    <row r="196" spans="11:11" x14ac:dyDescent="0.35">
      <c r="K196" s="19"/>
    </row>
    <row r="197" spans="11:11" x14ac:dyDescent="0.35">
      <c r="K197" s="19"/>
    </row>
    <row r="198" spans="11:11" x14ac:dyDescent="0.35">
      <c r="K198" s="19"/>
    </row>
    <row r="199" spans="11:11" x14ac:dyDescent="0.35">
      <c r="K199" s="19"/>
    </row>
    <row r="200" spans="11:11" x14ac:dyDescent="0.35">
      <c r="K200" s="19"/>
    </row>
    <row r="201" spans="11:11" x14ac:dyDescent="0.35">
      <c r="K201" s="19"/>
    </row>
    <row r="202" spans="11:11" x14ac:dyDescent="0.35">
      <c r="K202" s="19"/>
    </row>
    <row r="203" spans="11:11" x14ac:dyDescent="0.35">
      <c r="K203" s="19"/>
    </row>
    <row r="204" spans="11:11" x14ac:dyDescent="0.35">
      <c r="K204" s="19"/>
    </row>
    <row r="205" spans="11:11" x14ac:dyDescent="0.35">
      <c r="K205" s="19"/>
    </row>
    <row r="206" spans="11:11" x14ac:dyDescent="0.35">
      <c r="K206" s="19"/>
    </row>
    <row r="207" spans="11:11" x14ac:dyDescent="0.35">
      <c r="K207" s="19"/>
    </row>
    <row r="208" spans="11:11" x14ac:dyDescent="0.35">
      <c r="K208" s="19"/>
    </row>
    <row r="209" spans="11:11" x14ac:dyDescent="0.35">
      <c r="K209" s="19"/>
    </row>
    <row r="210" spans="11:11" x14ac:dyDescent="0.35">
      <c r="K210" s="19"/>
    </row>
    <row r="211" spans="11:11" x14ac:dyDescent="0.35">
      <c r="K211" s="19"/>
    </row>
    <row r="212" spans="11:11" x14ac:dyDescent="0.35">
      <c r="K212" s="19"/>
    </row>
    <row r="213" spans="11:11" x14ac:dyDescent="0.35">
      <c r="K213" s="19"/>
    </row>
    <row r="214" spans="11:11" x14ac:dyDescent="0.35">
      <c r="K214" s="19"/>
    </row>
    <row r="215" spans="11:11" x14ac:dyDescent="0.35">
      <c r="K215" s="19"/>
    </row>
    <row r="216" spans="11:11" x14ac:dyDescent="0.35">
      <c r="K216" s="19"/>
    </row>
    <row r="217" spans="11:11" x14ac:dyDescent="0.35">
      <c r="K217" s="19"/>
    </row>
    <row r="218" spans="11:11" x14ac:dyDescent="0.35">
      <c r="K218" s="19"/>
    </row>
    <row r="219" spans="11:11" x14ac:dyDescent="0.35">
      <c r="K219" s="19"/>
    </row>
    <row r="220" spans="11:11" x14ac:dyDescent="0.35">
      <c r="K220" s="19"/>
    </row>
    <row r="221" spans="11:11" x14ac:dyDescent="0.35">
      <c r="K221" s="19"/>
    </row>
    <row r="222" spans="11:11" x14ac:dyDescent="0.35">
      <c r="K222" s="19"/>
    </row>
    <row r="223" spans="11:11" x14ac:dyDescent="0.35">
      <c r="K223" s="19"/>
    </row>
    <row r="224" spans="11:11" x14ac:dyDescent="0.35">
      <c r="K224" s="19"/>
    </row>
    <row r="225" spans="11:11" x14ac:dyDescent="0.35">
      <c r="K225" s="19"/>
    </row>
    <row r="226" spans="11:11" x14ac:dyDescent="0.35">
      <c r="K226" s="19"/>
    </row>
    <row r="227" spans="11:11" x14ac:dyDescent="0.35">
      <c r="K227" s="19"/>
    </row>
    <row r="228" spans="11:11" x14ac:dyDescent="0.35">
      <c r="K228" s="19"/>
    </row>
    <row r="229" spans="11:11" x14ac:dyDescent="0.35">
      <c r="K229" s="19"/>
    </row>
    <row r="230" spans="11:11" x14ac:dyDescent="0.35">
      <c r="K230" s="19"/>
    </row>
    <row r="231" spans="11:11" x14ac:dyDescent="0.35">
      <c r="K231" s="19"/>
    </row>
    <row r="232" spans="11:11" x14ac:dyDescent="0.35">
      <c r="K232" s="19"/>
    </row>
    <row r="233" spans="11:11" x14ac:dyDescent="0.35">
      <c r="K233" s="19"/>
    </row>
    <row r="234" spans="11:11" x14ac:dyDescent="0.35">
      <c r="K234" s="19"/>
    </row>
    <row r="235" spans="11:11" x14ac:dyDescent="0.35">
      <c r="K235" s="19"/>
    </row>
    <row r="236" spans="11:11" x14ac:dyDescent="0.35">
      <c r="K236" s="19"/>
    </row>
    <row r="237" spans="11:11" x14ac:dyDescent="0.35">
      <c r="K237" s="19"/>
    </row>
    <row r="238" spans="11:11" x14ac:dyDescent="0.35">
      <c r="K238" s="19"/>
    </row>
    <row r="239" spans="11:11" x14ac:dyDescent="0.35">
      <c r="K239" s="19"/>
    </row>
    <row r="240" spans="11:11" x14ac:dyDescent="0.35">
      <c r="K240" s="19"/>
    </row>
    <row r="241" spans="11:11" x14ac:dyDescent="0.35">
      <c r="K241" s="19"/>
    </row>
    <row r="242" spans="11:11" x14ac:dyDescent="0.35">
      <c r="K242" s="19"/>
    </row>
    <row r="243" spans="11:11" x14ac:dyDescent="0.35">
      <c r="K243" s="19"/>
    </row>
    <row r="244" spans="11:11" x14ac:dyDescent="0.35">
      <c r="K244" s="19"/>
    </row>
    <row r="245" spans="11:11" x14ac:dyDescent="0.35">
      <c r="K245" s="19"/>
    </row>
    <row r="246" spans="11:11" x14ac:dyDescent="0.35">
      <c r="K246" s="19"/>
    </row>
    <row r="247" spans="11:11" x14ac:dyDescent="0.35">
      <c r="K247" s="19"/>
    </row>
    <row r="248" spans="11:11" x14ac:dyDescent="0.35">
      <c r="K248" s="19"/>
    </row>
    <row r="249" spans="11:11" x14ac:dyDescent="0.35">
      <c r="K249" s="19"/>
    </row>
    <row r="250" spans="11:11" x14ac:dyDescent="0.35">
      <c r="K250" s="19"/>
    </row>
    <row r="251" spans="11:11" x14ac:dyDescent="0.35">
      <c r="K251" s="19"/>
    </row>
    <row r="252" spans="11:11" x14ac:dyDescent="0.35">
      <c r="K252" s="19"/>
    </row>
    <row r="253" spans="11:11" x14ac:dyDescent="0.35">
      <c r="K253" s="19"/>
    </row>
    <row r="254" spans="11:11" x14ac:dyDescent="0.35">
      <c r="K254" s="19"/>
    </row>
    <row r="255" spans="11:11" x14ac:dyDescent="0.35">
      <c r="K255" s="19"/>
    </row>
    <row r="256" spans="11:11" x14ac:dyDescent="0.35">
      <c r="K256" s="19"/>
    </row>
    <row r="257" spans="11:11" x14ac:dyDescent="0.35">
      <c r="K257" s="19"/>
    </row>
    <row r="258" spans="11:11" x14ac:dyDescent="0.35">
      <c r="K258" s="19"/>
    </row>
    <row r="259" spans="11:11" x14ac:dyDescent="0.35">
      <c r="K259" s="19"/>
    </row>
    <row r="260" spans="11:11" x14ac:dyDescent="0.35">
      <c r="K260" s="19"/>
    </row>
    <row r="261" spans="11:11" x14ac:dyDescent="0.35">
      <c r="K261" s="19"/>
    </row>
    <row r="262" spans="11:11" x14ac:dyDescent="0.35">
      <c r="K262" s="19"/>
    </row>
    <row r="263" spans="11:11" x14ac:dyDescent="0.35">
      <c r="K263" s="19"/>
    </row>
    <row r="264" spans="11:11" x14ac:dyDescent="0.35">
      <c r="K264" s="19"/>
    </row>
    <row r="265" spans="11:11" x14ac:dyDescent="0.35">
      <c r="K265" s="19"/>
    </row>
    <row r="266" spans="11:11" x14ac:dyDescent="0.35">
      <c r="K266" s="19"/>
    </row>
    <row r="267" spans="11:11" x14ac:dyDescent="0.35">
      <c r="K267" s="19"/>
    </row>
    <row r="268" spans="11:11" x14ac:dyDescent="0.35">
      <c r="K268" s="19"/>
    </row>
    <row r="269" spans="11:11" x14ac:dyDescent="0.35">
      <c r="K269" s="19"/>
    </row>
    <row r="270" spans="11:11" x14ac:dyDescent="0.35">
      <c r="K270" s="19"/>
    </row>
    <row r="271" spans="11:11" x14ac:dyDescent="0.35">
      <c r="K271" s="19"/>
    </row>
    <row r="272" spans="11:11" x14ac:dyDescent="0.35">
      <c r="K272" s="19"/>
    </row>
    <row r="273" spans="11:11" x14ac:dyDescent="0.35">
      <c r="K273" s="19"/>
    </row>
    <row r="274" spans="11:11" x14ac:dyDescent="0.35">
      <c r="K274" s="19"/>
    </row>
    <row r="275" spans="11:11" x14ac:dyDescent="0.35">
      <c r="K275" s="19"/>
    </row>
    <row r="276" spans="11:11" x14ac:dyDescent="0.35">
      <c r="K276" s="19"/>
    </row>
    <row r="277" spans="11:11" x14ac:dyDescent="0.35">
      <c r="K277" s="19"/>
    </row>
    <row r="278" spans="11:11" x14ac:dyDescent="0.35">
      <c r="K278" s="19"/>
    </row>
    <row r="279" spans="11:11" x14ac:dyDescent="0.35">
      <c r="K279" s="19"/>
    </row>
    <row r="280" spans="11:11" x14ac:dyDescent="0.35">
      <c r="K280" s="19"/>
    </row>
    <row r="281" spans="11:11" x14ac:dyDescent="0.35">
      <c r="K281" s="19"/>
    </row>
    <row r="282" spans="11:11" x14ac:dyDescent="0.35">
      <c r="K282" s="19"/>
    </row>
    <row r="283" spans="11:11" x14ac:dyDescent="0.35">
      <c r="K283" s="19"/>
    </row>
    <row r="284" spans="11:11" x14ac:dyDescent="0.35">
      <c r="K284" s="19"/>
    </row>
    <row r="285" spans="11:11" x14ac:dyDescent="0.35">
      <c r="K285" s="19"/>
    </row>
    <row r="286" spans="11:11" x14ac:dyDescent="0.35">
      <c r="K286" s="19"/>
    </row>
    <row r="287" spans="11:11" x14ac:dyDescent="0.35">
      <c r="K287" s="19"/>
    </row>
    <row r="288" spans="11:11" x14ac:dyDescent="0.35">
      <c r="K288" s="19"/>
    </row>
    <row r="289" spans="11:11" x14ac:dyDescent="0.35">
      <c r="K289" s="19"/>
    </row>
    <row r="290" spans="11:11" x14ac:dyDescent="0.35">
      <c r="K290" s="19"/>
    </row>
    <row r="291" spans="11:11" x14ac:dyDescent="0.35">
      <c r="K291" s="19"/>
    </row>
    <row r="292" spans="11:11" x14ac:dyDescent="0.35">
      <c r="K292" s="19"/>
    </row>
    <row r="293" spans="11:11" x14ac:dyDescent="0.35">
      <c r="K293" s="19"/>
    </row>
    <row r="294" spans="11:11" x14ac:dyDescent="0.35">
      <c r="K294" s="19"/>
    </row>
    <row r="295" spans="11:11" x14ac:dyDescent="0.35">
      <c r="K295" s="19"/>
    </row>
    <row r="296" spans="11:11" x14ac:dyDescent="0.35">
      <c r="K296" s="19"/>
    </row>
    <row r="297" spans="11:11" x14ac:dyDescent="0.35">
      <c r="K297" s="19"/>
    </row>
    <row r="298" spans="11:11" x14ac:dyDescent="0.35">
      <c r="K298" s="19"/>
    </row>
    <row r="299" spans="11:11" x14ac:dyDescent="0.35">
      <c r="K299" s="19"/>
    </row>
    <row r="300" spans="11:11" x14ac:dyDescent="0.35">
      <c r="K300" s="19"/>
    </row>
    <row r="301" spans="11:11" x14ac:dyDescent="0.35">
      <c r="K301" s="19"/>
    </row>
    <row r="302" spans="11:11" x14ac:dyDescent="0.35">
      <c r="K302" s="19"/>
    </row>
    <row r="303" spans="11:11" x14ac:dyDescent="0.35">
      <c r="K303" s="19"/>
    </row>
    <row r="304" spans="11:11" x14ac:dyDescent="0.35">
      <c r="K304" s="19"/>
    </row>
    <row r="305" spans="11:11" x14ac:dyDescent="0.35">
      <c r="K305" s="19"/>
    </row>
    <row r="306" spans="11:11" x14ac:dyDescent="0.35">
      <c r="K306" s="19"/>
    </row>
    <row r="307" spans="11:11" x14ac:dyDescent="0.35">
      <c r="K307" s="19"/>
    </row>
    <row r="308" spans="11:11" x14ac:dyDescent="0.35">
      <c r="K308" s="19"/>
    </row>
    <row r="309" spans="11:11" x14ac:dyDescent="0.35">
      <c r="K309" s="19"/>
    </row>
    <row r="310" spans="11:11" x14ac:dyDescent="0.35">
      <c r="K310" s="19"/>
    </row>
    <row r="311" spans="11:11" x14ac:dyDescent="0.35">
      <c r="K311" s="19"/>
    </row>
    <row r="312" spans="11:11" x14ac:dyDescent="0.35">
      <c r="K312" s="19"/>
    </row>
    <row r="313" spans="11:11" x14ac:dyDescent="0.35">
      <c r="K313" s="19"/>
    </row>
    <row r="314" spans="11:11" x14ac:dyDescent="0.35">
      <c r="K314" s="19"/>
    </row>
    <row r="315" spans="11:11" x14ac:dyDescent="0.35">
      <c r="K315" s="19"/>
    </row>
    <row r="316" spans="11:11" x14ac:dyDescent="0.35">
      <c r="K316" s="19"/>
    </row>
    <row r="317" spans="11:11" x14ac:dyDescent="0.35">
      <c r="K317" s="19"/>
    </row>
    <row r="318" spans="11:11" x14ac:dyDescent="0.35">
      <c r="K318" s="19"/>
    </row>
    <row r="319" spans="11:11" x14ac:dyDescent="0.35">
      <c r="K319" s="19"/>
    </row>
    <row r="320" spans="11:11" x14ac:dyDescent="0.35">
      <c r="K320" s="19"/>
    </row>
    <row r="321" spans="11:11" x14ac:dyDescent="0.35">
      <c r="K321" s="19"/>
    </row>
    <row r="322" spans="11:11" x14ac:dyDescent="0.35">
      <c r="K322" s="19"/>
    </row>
    <row r="323" spans="11:11" x14ac:dyDescent="0.35">
      <c r="K323" s="19"/>
    </row>
    <row r="324" spans="11:11" x14ac:dyDescent="0.35">
      <c r="K324" s="19"/>
    </row>
    <row r="325" spans="11:11" x14ac:dyDescent="0.35">
      <c r="K325" s="19"/>
    </row>
    <row r="326" spans="11:11" x14ac:dyDescent="0.35">
      <c r="K326" s="19"/>
    </row>
    <row r="327" spans="11:11" x14ac:dyDescent="0.35">
      <c r="K327" s="19"/>
    </row>
    <row r="328" spans="11:11" x14ac:dyDescent="0.35">
      <c r="K328" s="19"/>
    </row>
    <row r="329" spans="11:11" x14ac:dyDescent="0.35">
      <c r="K329" s="19"/>
    </row>
    <row r="330" spans="11:11" x14ac:dyDescent="0.35">
      <c r="K330" s="19"/>
    </row>
    <row r="331" spans="11:11" x14ac:dyDescent="0.35">
      <c r="K331" s="19"/>
    </row>
    <row r="332" spans="11:11" x14ac:dyDescent="0.35">
      <c r="K332" s="19"/>
    </row>
    <row r="333" spans="11:11" x14ac:dyDescent="0.35">
      <c r="K333" s="19"/>
    </row>
    <row r="334" spans="11:11" x14ac:dyDescent="0.35">
      <c r="K334" s="19"/>
    </row>
    <row r="335" spans="11:11" x14ac:dyDescent="0.35">
      <c r="K335" s="19"/>
    </row>
    <row r="336" spans="11:11" x14ac:dyDescent="0.35">
      <c r="K336" s="19"/>
    </row>
    <row r="337" spans="11:11" x14ac:dyDescent="0.35">
      <c r="K337" s="19"/>
    </row>
    <row r="338" spans="11:11" x14ac:dyDescent="0.35">
      <c r="K338" s="19"/>
    </row>
    <row r="339" spans="11:11" x14ac:dyDescent="0.35">
      <c r="K339" s="19"/>
    </row>
    <row r="340" spans="11:11" x14ac:dyDescent="0.35">
      <c r="K340" s="19"/>
    </row>
    <row r="341" spans="11:11" x14ac:dyDescent="0.35">
      <c r="K341" s="19"/>
    </row>
    <row r="342" spans="11:11" x14ac:dyDescent="0.35">
      <c r="K342" s="19"/>
    </row>
    <row r="343" spans="11:11" x14ac:dyDescent="0.35">
      <c r="K343" s="19"/>
    </row>
    <row r="344" spans="11:11" x14ac:dyDescent="0.35">
      <c r="K344" s="19"/>
    </row>
    <row r="345" spans="11:11" x14ac:dyDescent="0.35">
      <c r="K345" s="19"/>
    </row>
    <row r="346" spans="11:11" x14ac:dyDescent="0.35">
      <c r="K346" s="19"/>
    </row>
    <row r="347" spans="11:11" x14ac:dyDescent="0.35">
      <c r="K347" s="19"/>
    </row>
    <row r="348" spans="11:11" x14ac:dyDescent="0.35">
      <c r="K348" s="19"/>
    </row>
    <row r="349" spans="11:11" x14ac:dyDescent="0.35">
      <c r="K349" s="19"/>
    </row>
    <row r="350" spans="11:11" x14ac:dyDescent="0.35">
      <c r="K350" s="19"/>
    </row>
    <row r="351" spans="11:11" x14ac:dyDescent="0.35">
      <c r="K351" s="19"/>
    </row>
    <row r="352" spans="11:11" x14ac:dyDescent="0.35">
      <c r="K352" s="19"/>
    </row>
    <row r="353" spans="11:11" x14ac:dyDescent="0.35">
      <c r="K353" s="19"/>
    </row>
    <row r="354" spans="11:11" x14ac:dyDescent="0.35">
      <c r="K354" s="19"/>
    </row>
    <row r="355" spans="11:11" x14ac:dyDescent="0.35">
      <c r="K355" s="19"/>
    </row>
    <row r="356" spans="11:11" x14ac:dyDescent="0.35">
      <c r="K356" s="19"/>
    </row>
    <row r="357" spans="11:11" x14ac:dyDescent="0.35">
      <c r="K357" s="19"/>
    </row>
    <row r="358" spans="11:11" x14ac:dyDescent="0.35">
      <c r="K358" s="19"/>
    </row>
    <row r="359" spans="11:11" x14ac:dyDescent="0.35">
      <c r="K359" s="19"/>
    </row>
    <row r="360" spans="11:11" x14ac:dyDescent="0.35">
      <c r="K360" s="19"/>
    </row>
    <row r="361" spans="11:11" x14ac:dyDescent="0.35">
      <c r="K361" s="19"/>
    </row>
    <row r="362" spans="11:11" x14ac:dyDescent="0.35">
      <c r="K362" s="19"/>
    </row>
    <row r="363" spans="11:11" x14ac:dyDescent="0.35">
      <c r="K363" s="19"/>
    </row>
    <row r="364" spans="11:11" x14ac:dyDescent="0.35">
      <c r="K364" s="19"/>
    </row>
    <row r="365" spans="11:11" x14ac:dyDescent="0.35">
      <c r="K365" s="19"/>
    </row>
    <row r="366" spans="11:11" x14ac:dyDescent="0.35">
      <c r="K366" s="19"/>
    </row>
    <row r="367" spans="11:11" x14ac:dyDescent="0.35">
      <c r="K367" s="19"/>
    </row>
    <row r="368" spans="11:11" x14ac:dyDescent="0.35">
      <c r="K368" s="19"/>
    </row>
    <row r="369" spans="11:11" x14ac:dyDescent="0.35">
      <c r="K369" s="19"/>
    </row>
    <row r="370" spans="11:11" x14ac:dyDescent="0.35">
      <c r="K370" s="19"/>
    </row>
    <row r="371" spans="11:11" x14ac:dyDescent="0.35">
      <c r="K371" s="19"/>
    </row>
    <row r="372" spans="11:11" x14ac:dyDescent="0.35">
      <c r="K372" s="19"/>
    </row>
    <row r="373" spans="11:11" x14ac:dyDescent="0.35">
      <c r="K373" s="19"/>
    </row>
    <row r="374" spans="11:11" x14ac:dyDescent="0.35">
      <c r="K374" s="19"/>
    </row>
    <row r="375" spans="11:11" x14ac:dyDescent="0.35">
      <c r="K375" s="19"/>
    </row>
    <row r="376" spans="11:11" x14ac:dyDescent="0.35">
      <c r="K376" s="19"/>
    </row>
    <row r="377" spans="11:11" x14ac:dyDescent="0.35">
      <c r="K377" s="19"/>
    </row>
    <row r="378" spans="11:11" x14ac:dyDescent="0.35">
      <c r="K378" s="19"/>
    </row>
    <row r="379" spans="11:11" x14ac:dyDescent="0.35">
      <c r="K379" s="19"/>
    </row>
    <row r="380" spans="11:11" x14ac:dyDescent="0.35">
      <c r="K380" s="19"/>
    </row>
    <row r="381" spans="11:11" x14ac:dyDescent="0.35">
      <c r="K381" s="19"/>
    </row>
    <row r="382" spans="11:11" x14ac:dyDescent="0.35">
      <c r="K382" s="19"/>
    </row>
    <row r="383" spans="11:11" x14ac:dyDescent="0.35">
      <c r="K383" s="19"/>
    </row>
    <row r="384" spans="11:11" x14ac:dyDescent="0.35">
      <c r="K384" s="19"/>
    </row>
    <row r="385" spans="11:11" x14ac:dyDescent="0.35">
      <c r="K385" s="19"/>
    </row>
    <row r="386" spans="11:11" x14ac:dyDescent="0.35">
      <c r="K386" s="19"/>
    </row>
    <row r="387" spans="11:11" x14ac:dyDescent="0.35">
      <c r="K387" s="19"/>
    </row>
    <row r="388" spans="11:11" x14ac:dyDescent="0.35">
      <c r="K388" s="19"/>
    </row>
    <row r="389" spans="11:11" x14ac:dyDescent="0.35">
      <c r="K389" s="19"/>
    </row>
    <row r="390" spans="11:11" x14ac:dyDescent="0.35">
      <c r="K390" s="19"/>
    </row>
    <row r="391" spans="11:11" x14ac:dyDescent="0.35">
      <c r="K391" s="19"/>
    </row>
    <row r="392" spans="11:11" x14ac:dyDescent="0.35">
      <c r="K392" s="19"/>
    </row>
    <row r="393" spans="11:11" x14ac:dyDescent="0.35">
      <c r="K393" s="19"/>
    </row>
    <row r="394" spans="11:11" x14ac:dyDescent="0.35">
      <c r="K394" s="19"/>
    </row>
    <row r="395" spans="11:11" x14ac:dyDescent="0.35">
      <c r="K395" s="19"/>
    </row>
    <row r="396" spans="11:11" x14ac:dyDescent="0.35">
      <c r="K396" s="19"/>
    </row>
    <row r="397" spans="11:11" x14ac:dyDescent="0.35">
      <c r="K397" s="19"/>
    </row>
    <row r="398" spans="11:11" x14ac:dyDescent="0.35">
      <c r="K398" s="19"/>
    </row>
    <row r="399" spans="11:11" x14ac:dyDescent="0.35">
      <c r="K399" s="19"/>
    </row>
    <row r="400" spans="11:11" x14ac:dyDescent="0.35">
      <c r="K400" s="19"/>
    </row>
    <row r="401" spans="11:11" x14ac:dyDescent="0.35">
      <c r="K401" s="19"/>
    </row>
    <row r="402" spans="11:11" x14ac:dyDescent="0.35">
      <c r="K402" s="19"/>
    </row>
    <row r="403" spans="11:11" x14ac:dyDescent="0.35">
      <c r="K403" s="19"/>
    </row>
    <row r="404" spans="11:11" x14ac:dyDescent="0.35">
      <c r="K404" s="19"/>
    </row>
    <row r="405" spans="11:11" x14ac:dyDescent="0.35">
      <c r="K405" s="19"/>
    </row>
    <row r="406" spans="11:11" x14ac:dyDescent="0.35">
      <c r="K406" s="19"/>
    </row>
    <row r="407" spans="11:11" x14ac:dyDescent="0.35">
      <c r="K407" s="19"/>
    </row>
    <row r="408" spans="11:11" x14ac:dyDescent="0.35">
      <c r="K408" s="19"/>
    </row>
    <row r="409" spans="11:11" x14ac:dyDescent="0.35">
      <c r="K409" s="19"/>
    </row>
    <row r="410" spans="11:11" x14ac:dyDescent="0.35">
      <c r="K410" s="19"/>
    </row>
    <row r="411" spans="11:11" x14ac:dyDescent="0.35">
      <c r="K411" s="19"/>
    </row>
    <row r="412" spans="11:11" x14ac:dyDescent="0.35">
      <c r="K412" s="19"/>
    </row>
    <row r="413" spans="11:11" x14ac:dyDescent="0.35">
      <c r="K413" s="19"/>
    </row>
    <row r="414" spans="11:11" x14ac:dyDescent="0.35">
      <c r="K414" s="19"/>
    </row>
    <row r="415" spans="11:11" x14ac:dyDescent="0.35">
      <c r="K415" s="19"/>
    </row>
    <row r="416" spans="11:11" x14ac:dyDescent="0.35">
      <c r="K416" s="19"/>
    </row>
    <row r="417" spans="11:11" x14ac:dyDescent="0.35">
      <c r="K417" s="19"/>
    </row>
    <row r="418" spans="11:11" x14ac:dyDescent="0.35">
      <c r="K418" s="19"/>
    </row>
    <row r="419" spans="11:11" x14ac:dyDescent="0.35">
      <c r="K419" s="19"/>
    </row>
    <row r="420" spans="11:11" x14ac:dyDescent="0.35">
      <c r="K420" s="19"/>
    </row>
    <row r="421" spans="11:11" x14ac:dyDescent="0.35">
      <c r="K421" s="19"/>
    </row>
    <row r="422" spans="11:11" x14ac:dyDescent="0.35">
      <c r="K422" s="19"/>
    </row>
    <row r="423" spans="11:11" x14ac:dyDescent="0.35">
      <c r="K423" s="19"/>
    </row>
    <row r="424" spans="11:11" x14ac:dyDescent="0.35">
      <c r="K424" s="19"/>
    </row>
    <row r="425" spans="11:11" x14ac:dyDescent="0.35">
      <c r="K425" s="19"/>
    </row>
    <row r="426" spans="11:11" x14ac:dyDescent="0.35">
      <c r="K426" s="19"/>
    </row>
    <row r="427" spans="11:11" x14ac:dyDescent="0.35">
      <c r="K427" s="19"/>
    </row>
    <row r="428" spans="11:11" x14ac:dyDescent="0.35">
      <c r="K428" s="19"/>
    </row>
    <row r="429" spans="11:11" x14ac:dyDescent="0.35">
      <c r="K429" s="19"/>
    </row>
    <row r="430" spans="11:11" x14ac:dyDescent="0.35">
      <c r="K430" s="19"/>
    </row>
    <row r="431" spans="11:11" x14ac:dyDescent="0.35">
      <c r="K431" s="19"/>
    </row>
    <row r="432" spans="11:11" x14ac:dyDescent="0.35">
      <c r="K432" s="19"/>
    </row>
    <row r="433" spans="11:11" x14ac:dyDescent="0.35">
      <c r="K433" s="19"/>
    </row>
    <row r="434" spans="11:11" x14ac:dyDescent="0.35">
      <c r="K434" s="19"/>
    </row>
    <row r="435" spans="11:11" x14ac:dyDescent="0.35">
      <c r="K435" s="19"/>
    </row>
    <row r="436" spans="11:11" x14ac:dyDescent="0.35">
      <c r="K436" s="19"/>
    </row>
    <row r="437" spans="11:11" x14ac:dyDescent="0.35">
      <c r="K437" s="19"/>
    </row>
    <row r="438" spans="11:11" x14ac:dyDescent="0.35">
      <c r="K438" s="19"/>
    </row>
    <row r="439" spans="11:11" x14ac:dyDescent="0.35">
      <c r="K439" s="19"/>
    </row>
    <row r="440" spans="11:11" x14ac:dyDescent="0.35">
      <c r="K440" s="19"/>
    </row>
    <row r="441" spans="11:11" x14ac:dyDescent="0.35">
      <c r="K441" s="19"/>
    </row>
    <row r="442" spans="11:11" x14ac:dyDescent="0.35">
      <c r="K442" s="19"/>
    </row>
    <row r="443" spans="11:11" x14ac:dyDescent="0.35">
      <c r="K443" s="19"/>
    </row>
    <row r="444" spans="11:11" x14ac:dyDescent="0.35">
      <c r="K444" s="19"/>
    </row>
    <row r="445" spans="11:11" x14ac:dyDescent="0.35">
      <c r="K445" s="19"/>
    </row>
    <row r="446" spans="11:11" x14ac:dyDescent="0.35">
      <c r="K446" s="19"/>
    </row>
    <row r="447" spans="11:11" x14ac:dyDescent="0.35">
      <c r="K447" s="19"/>
    </row>
    <row r="448" spans="11:11" x14ac:dyDescent="0.35">
      <c r="K448" s="19"/>
    </row>
    <row r="449" spans="11:11" x14ac:dyDescent="0.35">
      <c r="K449" s="19"/>
    </row>
    <row r="450" spans="11:11" x14ac:dyDescent="0.35">
      <c r="K450" s="19"/>
    </row>
    <row r="451" spans="11:11" x14ac:dyDescent="0.35">
      <c r="K451" s="19"/>
    </row>
    <row r="452" spans="11:11" x14ac:dyDescent="0.35">
      <c r="K452" s="19"/>
    </row>
    <row r="453" spans="11:11" x14ac:dyDescent="0.35">
      <c r="K453" s="19"/>
    </row>
    <row r="454" spans="11:11" x14ac:dyDescent="0.35">
      <c r="K454" s="19"/>
    </row>
    <row r="455" spans="11:11" x14ac:dyDescent="0.35">
      <c r="K455" s="19"/>
    </row>
    <row r="456" spans="11:11" x14ac:dyDescent="0.35">
      <c r="K456" s="19"/>
    </row>
    <row r="457" spans="11:11" x14ac:dyDescent="0.35">
      <c r="K457" s="19"/>
    </row>
    <row r="458" spans="11:11" x14ac:dyDescent="0.35">
      <c r="K458" s="19"/>
    </row>
    <row r="459" spans="11:11" x14ac:dyDescent="0.35">
      <c r="K459" s="19"/>
    </row>
    <row r="460" spans="11:11" x14ac:dyDescent="0.35">
      <c r="K460" s="19"/>
    </row>
    <row r="461" spans="11:11" x14ac:dyDescent="0.35">
      <c r="K461" s="19"/>
    </row>
    <row r="462" spans="11:11" x14ac:dyDescent="0.35">
      <c r="K462" s="19"/>
    </row>
    <row r="463" spans="11:11" x14ac:dyDescent="0.35">
      <c r="K463" s="19"/>
    </row>
    <row r="464" spans="11:11" x14ac:dyDescent="0.35">
      <c r="K464" s="19"/>
    </row>
    <row r="465" spans="11:11" x14ac:dyDescent="0.35">
      <c r="K465" s="19"/>
    </row>
    <row r="466" spans="11:11" x14ac:dyDescent="0.35">
      <c r="K466" s="19"/>
    </row>
    <row r="467" spans="11:11" x14ac:dyDescent="0.35">
      <c r="K467" s="19"/>
    </row>
    <row r="468" spans="11:11" x14ac:dyDescent="0.35">
      <c r="K468" s="19"/>
    </row>
    <row r="469" spans="11:11" x14ac:dyDescent="0.35">
      <c r="K469" s="19"/>
    </row>
    <row r="470" spans="11:11" x14ac:dyDescent="0.35">
      <c r="K470" s="19"/>
    </row>
    <row r="471" spans="11:11" x14ac:dyDescent="0.35">
      <c r="K471" s="19"/>
    </row>
    <row r="472" spans="11:11" x14ac:dyDescent="0.35">
      <c r="K472" s="19"/>
    </row>
    <row r="473" spans="11:11" x14ac:dyDescent="0.35">
      <c r="K473" s="19"/>
    </row>
    <row r="474" spans="11:11" x14ac:dyDescent="0.35">
      <c r="K474" s="19"/>
    </row>
    <row r="475" spans="11:11" x14ac:dyDescent="0.35">
      <c r="K475" s="19"/>
    </row>
    <row r="476" spans="11:11" x14ac:dyDescent="0.35">
      <c r="K476" s="19"/>
    </row>
    <row r="477" spans="11:11" x14ac:dyDescent="0.35">
      <c r="K477" s="19"/>
    </row>
    <row r="478" spans="11:11" x14ac:dyDescent="0.35">
      <c r="K478" s="19"/>
    </row>
    <row r="479" spans="11:11" x14ac:dyDescent="0.35">
      <c r="K479" s="19"/>
    </row>
    <row r="480" spans="11:11" x14ac:dyDescent="0.35">
      <c r="K480" s="19"/>
    </row>
    <row r="481" spans="11:11" x14ac:dyDescent="0.35">
      <c r="K481" s="19"/>
    </row>
    <row r="482" spans="11:11" x14ac:dyDescent="0.35">
      <c r="K482" s="19"/>
    </row>
    <row r="483" spans="11:11" x14ac:dyDescent="0.35">
      <c r="K483" s="19"/>
    </row>
    <row r="484" spans="11:11" x14ac:dyDescent="0.35">
      <c r="K484" s="19"/>
    </row>
    <row r="485" spans="11:11" x14ac:dyDescent="0.35">
      <c r="K485" s="19"/>
    </row>
    <row r="486" spans="11:11" x14ac:dyDescent="0.35">
      <c r="K486" s="19"/>
    </row>
    <row r="487" spans="11:11" x14ac:dyDescent="0.35">
      <c r="K487" s="19"/>
    </row>
    <row r="488" spans="11:11" x14ac:dyDescent="0.35">
      <c r="K488" s="19"/>
    </row>
    <row r="489" spans="11:11" x14ac:dyDescent="0.35">
      <c r="K489" s="19"/>
    </row>
    <row r="490" spans="11:11" x14ac:dyDescent="0.35">
      <c r="K490" s="19"/>
    </row>
    <row r="491" spans="11:11" x14ac:dyDescent="0.35">
      <c r="K491" s="19"/>
    </row>
    <row r="492" spans="11:11" x14ac:dyDescent="0.35">
      <c r="K492" s="19"/>
    </row>
    <row r="493" spans="11:11" x14ac:dyDescent="0.35">
      <c r="K493" s="19"/>
    </row>
    <row r="494" spans="11:11" x14ac:dyDescent="0.35">
      <c r="K494" s="19"/>
    </row>
    <row r="495" spans="11:11" x14ac:dyDescent="0.35">
      <c r="K495" s="19"/>
    </row>
    <row r="496" spans="11:11" x14ac:dyDescent="0.35">
      <c r="K496" s="19"/>
    </row>
    <row r="497" spans="11:11" x14ac:dyDescent="0.35">
      <c r="K497" s="19"/>
    </row>
    <row r="498" spans="11:11" x14ac:dyDescent="0.35">
      <c r="K498" s="19"/>
    </row>
    <row r="499" spans="11:11" x14ac:dyDescent="0.35">
      <c r="K499" s="19"/>
    </row>
    <row r="500" spans="11:11" x14ac:dyDescent="0.35">
      <c r="K500" s="19"/>
    </row>
    <row r="501" spans="11:11" x14ac:dyDescent="0.35">
      <c r="K501" s="19"/>
    </row>
    <row r="502" spans="11:11" x14ac:dyDescent="0.35">
      <c r="K502" s="19"/>
    </row>
    <row r="503" spans="11:11" x14ac:dyDescent="0.35">
      <c r="K503" s="19"/>
    </row>
    <row r="504" spans="11:11" x14ac:dyDescent="0.35">
      <c r="K504" s="19"/>
    </row>
    <row r="505" spans="11:11" x14ac:dyDescent="0.35">
      <c r="K505" s="19"/>
    </row>
    <row r="506" spans="11:11" x14ac:dyDescent="0.35">
      <c r="K506" s="19"/>
    </row>
    <row r="507" spans="11:11" x14ac:dyDescent="0.35">
      <c r="K507" s="19"/>
    </row>
    <row r="508" spans="11:11" x14ac:dyDescent="0.35">
      <c r="K508" s="19"/>
    </row>
    <row r="509" spans="11:11" x14ac:dyDescent="0.35">
      <c r="K509" s="19"/>
    </row>
    <row r="510" spans="11:11" x14ac:dyDescent="0.35">
      <c r="K510" s="19"/>
    </row>
    <row r="511" spans="11:11" x14ac:dyDescent="0.35">
      <c r="K511" s="19"/>
    </row>
    <row r="512" spans="11:11" x14ac:dyDescent="0.35">
      <c r="K512" s="19"/>
    </row>
    <row r="513" spans="11:11" x14ac:dyDescent="0.35">
      <c r="K513" s="19"/>
    </row>
    <row r="514" spans="11:11" x14ac:dyDescent="0.35">
      <c r="K514" s="19"/>
    </row>
    <row r="515" spans="11:11" x14ac:dyDescent="0.35">
      <c r="K515" s="19"/>
    </row>
    <row r="516" spans="11:11" x14ac:dyDescent="0.35">
      <c r="K516" s="19"/>
    </row>
    <row r="517" spans="11:11" x14ac:dyDescent="0.35">
      <c r="K517" s="19"/>
    </row>
    <row r="518" spans="11:11" x14ac:dyDescent="0.35">
      <c r="K518" s="19"/>
    </row>
    <row r="519" spans="11:11" x14ac:dyDescent="0.35">
      <c r="K519" s="19"/>
    </row>
    <row r="520" spans="11:11" x14ac:dyDescent="0.35">
      <c r="K520" s="19"/>
    </row>
    <row r="521" spans="11:11" x14ac:dyDescent="0.35">
      <c r="K521" s="19"/>
    </row>
    <row r="522" spans="11:11" x14ac:dyDescent="0.35">
      <c r="K522" s="19"/>
    </row>
    <row r="523" spans="11:11" x14ac:dyDescent="0.35">
      <c r="K523" s="19"/>
    </row>
    <row r="524" spans="11:11" x14ac:dyDescent="0.35">
      <c r="K524" s="19"/>
    </row>
    <row r="525" spans="11:11" x14ac:dyDescent="0.35">
      <c r="K525" s="19"/>
    </row>
    <row r="526" spans="11:11" x14ac:dyDescent="0.35">
      <c r="K526" s="19"/>
    </row>
    <row r="527" spans="11:11" x14ac:dyDescent="0.35">
      <c r="K527" s="19"/>
    </row>
    <row r="528" spans="11:11" x14ac:dyDescent="0.35">
      <c r="K528" s="19"/>
    </row>
    <row r="529" spans="11:11" x14ac:dyDescent="0.35">
      <c r="K529" s="19"/>
    </row>
    <row r="530" spans="11:11" x14ac:dyDescent="0.35">
      <c r="K530" s="19"/>
    </row>
    <row r="531" spans="11:11" x14ac:dyDescent="0.35">
      <c r="K531" s="19"/>
    </row>
    <row r="532" spans="11:11" x14ac:dyDescent="0.35">
      <c r="K532" s="19"/>
    </row>
    <row r="533" spans="11:11" x14ac:dyDescent="0.35">
      <c r="K533" s="19"/>
    </row>
    <row r="534" spans="11:11" x14ac:dyDescent="0.35">
      <c r="K534" s="19"/>
    </row>
    <row r="535" spans="11:11" x14ac:dyDescent="0.35">
      <c r="K535" s="19"/>
    </row>
    <row r="536" spans="11:11" x14ac:dyDescent="0.35">
      <c r="K536" s="19"/>
    </row>
    <row r="537" spans="11:11" x14ac:dyDescent="0.35">
      <c r="K537" s="19"/>
    </row>
    <row r="538" spans="11:11" x14ac:dyDescent="0.35">
      <c r="K538" s="19"/>
    </row>
    <row r="539" spans="11:11" x14ac:dyDescent="0.35">
      <c r="K539" s="19"/>
    </row>
    <row r="540" spans="11:11" x14ac:dyDescent="0.35">
      <c r="K540" s="19"/>
    </row>
    <row r="541" spans="11:11" x14ac:dyDescent="0.35">
      <c r="K541" s="19"/>
    </row>
    <row r="542" spans="11:11" x14ac:dyDescent="0.35">
      <c r="K542" s="19"/>
    </row>
    <row r="543" spans="11:11" x14ac:dyDescent="0.35">
      <c r="K543" s="19"/>
    </row>
    <row r="544" spans="11:11" x14ac:dyDescent="0.35">
      <c r="K544" s="19"/>
    </row>
    <row r="545" spans="11:11" x14ac:dyDescent="0.35">
      <c r="K545" s="19"/>
    </row>
    <row r="546" spans="11:11" x14ac:dyDescent="0.35">
      <c r="K546" s="19"/>
    </row>
    <row r="547" spans="11:11" x14ac:dyDescent="0.35">
      <c r="K547" s="19"/>
    </row>
    <row r="548" spans="11:11" x14ac:dyDescent="0.35">
      <c r="K548" s="19"/>
    </row>
    <row r="549" spans="11:11" x14ac:dyDescent="0.35">
      <c r="K549" s="19"/>
    </row>
    <row r="550" spans="11:11" x14ac:dyDescent="0.35">
      <c r="K550" s="19"/>
    </row>
    <row r="551" spans="11:11" x14ac:dyDescent="0.35">
      <c r="K551" s="19"/>
    </row>
    <row r="552" spans="11:11" x14ac:dyDescent="0.35">
      <c r="K552" s="19"/>
    </row>
    <row r="553" spans="11:11" x14ac:dyDescent="0.35">
      <c r="K553" s="19"/>
    </row>
    <row r="554" spans="11:11" x14ac:dyDescent="0.35">
      <c r="K554" s="19"/>
    </row>
    <row r="555" spans="11:11" x14ac:dyDescent="0.35">
      <c r="K555" s="19"/>
    </row>
    <row r="556" spans="11:11" x14ac:dyDescent="0.35">
      <c r="K556" s="19"/>
    </row>
    <row r="557" spans="11:11" x14ac:dyDescent="0.35">
      <c r="K557" s="19"/>
    </row>
    <row r="558" spans="11:11" x14ac:dyDescent="0.35">
      <c r="K558" s="19"/>
    </row>
    <row r="559" spans="11:11" x14ac:dyDescent="0.35">
      <c r="K559" s="19"/>
    </row>
    <row r="560" spans="11:11" x14ac:dyDescent="0.35">
      <c r="K560" s="19"/>
    </row>
    <row r="561" spans="11:11" x14ac:dyDescent="0.35">
      <c r="K561" s="19"/>
    </row>
    <row r="562" spans="11:11" x14ac:dyDescent="0.35">
      <c r="K562" s="19"/>
    </row>
    <row r="563" spans="11:11" x14ac:dyDescent="0.35">
      <c r="K563" s="19"/>
    </row>
    <row r="564" spans="11:11" x14ac:dyDescent="0.35">
      <c r="K564" s="19"/>
    </row>
    <row r="565" spans="11:11" x14ac:dyDescent="0.35">
      <c r="K565" s="19"/>
    </row>
    <row r="566" spans="11:11" x14ac:dyDescent="0.35">
      <c r="K566" s="19"/>
    </row>
    <row r="567" spans="11:11" x14ac:dyDescent="0.35">
      <c r="K567" s="19"/>
    </row>
    <row r="568" spans="11:11" x14ac:dyDescent="0.35">
      <c r="K568" s="19"/>
    </row>
    <row r="569" spans="11:11" x14ac:dyDescent="0.35">
      <c r="K569" s="19"/>
    </row>
    <row r="570" spans="11:11" x14ac:dyDescent="0.35">
      <c r="K570" s="19"/>
    </row>
    <row r="571" spans="11:11" x14ac:dyDescent="0.35">
      <c r="K571" s="19"/>
    </row>
    <row r="572" spans="11:11" x14ac:dyDescent="0.35">
      <c r="K572" s="19"/>
    </row>
    <row r="573" spans="11:11" x14ac:dyDescent="0.35">
      <c r="K573" s="19"/>
    </row>
    <row r="574" spans="11:11" x14ac:dyDescent="0.35">
      <c r="K574" s="19"/>
    </row>
    <row r="575" spans="11:11" x14ac:dyDescent="0.35">
      <c r="K575" s="19"/>
    </row>
    <row r="576" spans="11:11" x14ac:dyDescent="0.35">
      <c r="K576" s="19"/>
    </row>
    <row r="577" spans="11:11" x14ac:dyDescent="0.35">
      <c r="K577" s="19"/>
    </row>
    <row r="578" spans="11:11" x14ac:dyDescent="0.35">
      <c r="K578" s="19"/>
    </row>
    <row r="579" spans="11:11" x14ac:dyDescent="0.35">
      <c r="K579" s="19"/>
    </row>
    <row r="580" spans="11:11" x14ac:dyDescent="0.35">
      <c r="K580" s="19"/>
    </row>
    <row r="581" spans="11:11" x14ac:dyDescent="0.35">
      <c r="K581" s="19"/>
    </row>
    <row r="582" spans="11:11" x14ac:dyDescent="0.35">
      <c r="K582" s="19"/>
    </row>
    <row r="583" spans="11:11" x14ac:dyDescent="0.35">
      <c r="K583" s="19"/>
    </row>
    <row r="584" spans="11:11" x14ac:dyDescent="0.35">
      <c r="K584" s="19"/>
    </row>
    <row r="585" spans="11:11" x14ac:dyDescent="0.35">
      <c r="K585" s="19"/>
    </row>
    <row r="586" spans="11:11" x14ac:dyDescent="0.35">
      <c r="K586" s="19"/>
    </row>
    <row r="587" spans="11:11" x14ac:dyDescent="0.35">
      <c r="K587" s="19"/>
    </row>
    <row r="588" spans="11:11" x14ac:dyDescent="0.35">
      <c r="K588" s="19"/>
    </row>
    <row r="589" spans="11:11" x14ac:dyDescent="0.35">
      <c r="K589" s="19"/>
    </row>
    <row r="590" spans="11:11" x14ac:dyDescent="0.35">
      <c r="K590" s="19"/>
    </row>
    <row r="591" spans="11:11" x14ac:dyDescent="0.35">
      <c r="K591" s="19"/>
    </row>
    <row r="592" spans="11:11" x14ac:dyDescent="0.35">
      <c r="K592" s="19"/>
    </row>
    <row r="593" spans="11:11" x14ac:dyDescent="0.35">
      <c r="K593" s="19"/>
    </row>
    <row r="594" spans="11:11" x14ac:dyDescent="0.35">
      <c r="K594" s="19"/>
    </row>
    <row r="595" spans="11:11" x14ac:dyDescent="0.35">
      <c r="K595" s="19"/>
    </row>
    <row r="596" spans="11:11" x14ac:dyDescent="0.35">
      <c r="K596" s="19"/>
    </row>
    <row r="597" spans="11:11" x14ac:dyDescent="0.35">
      <c r="K597" s="19"/>
    </row>
    <row r="598" spans="11:11" x14ac:dyDescent="0.35">
      <c r="K598" s="19"/>
    </row>
    <row r="599" spans="11:11" x14ac:dyDescent="0.35">
      <c r="K599" s="19"/>
    </row>
    <row r="600" spans="11:11" x14ac:dyDescent="0.35">
      <c r="K600" s="19"/>
    </row>
    <row r="601" spans="11:11" x14ac:dyDescent="0.35">
      <c r="K601" s="19"/>
    </row>
    <row r="602" spans="11:11" x14ac:dyDescent="0.35">
      <c r="K602" s="19"/>
    </row>
    <row r="603" spans="11:11" x14ac:dyDescent="0.35">
      <c r="K603" s="19"/>
    </row>
    <row r="604" spans="11:11" x14ac:dyDescent="0.35">
      <c r="K604" s="19"/>
    </row>
    <row r="605" spans="11:11" x14ac:dyDescent="0.35">
      <c r="K605" s="19"/>
    </row>
    <row r="606" spans="11:11" x14ac:dyDescent="0.35">
      <c r="K606" s="19"/>
    </row>
    <row r="607" spans="11:11" x14ac:dyDescent="0.35">
      <c r="K607" s="19"/>
    </row>
    <row r="608" spans="11:11" x14ac:dyDescent="0.35">
      <c r="K608" s="19"/>
    </row>
    <row r="609" spans="11:11" x14ac:dyDescent="0.35">
      <c r="K609" s="19"/>
    </row>
    <row r="610" spans="11:11" x14ac:dyDescent="0.35">
      <c r="K610" s="19"/>
    </row>
    <row r="611" spans="11:11" x14ac:dyDescent="0.35">
      <c r="K611" s="19"/>
    </row>
    <row r="612" spans="11:11" x14ac:dyDescent="0.35">
      <c r="K612" s="19"/>
    </row>
    <row r="613" spans="11:11" x14ac:dyDescent="0.35">
      <c r="K613" s="19"/>
    </row>
    <row r="614" spans="11:11" x14ac:dyDescent="0.35">
      <c r="K614" s="19"/>
    </row>
    <row r="615" spans="11:11" x14ac:dyDescent="0.35">
      <c r="K615" s="19"/>
    </row>
    <row r="616" spans="11:11" x14ac:dyDescent="0.35">
      <c r="K616" s="19"/>
    </row>
    <row r="617" spans="11:11" x14ac:dyDescent="0.35">
      <c r="K617" s="19"/>
    </row>
    <row r="618" spans="11:11" x14ac:dyDescent="0.35">
      <c r="K618" s="19"/>
    </row>
    <row r="619" spans="11:11" x14ac:dyDescent="0.35">
      <c r="K619" s="19"/>
    </row>
    <row r="620" spans="11:11" x14ac:dyDescent="0.35">
      <c r="K620" s="19"/>
    </row>
    <row r="621" spans="11:11" x14ac:dyDescent="0.35">
      <c r="K621" s="19"/>
    </row>
    <row r="622" spans="11:11" x14ac:dyDescent="0.35">
      <c r="K622" s="19"/>
    </row>
    <row r="623" spans="11:11" x14ac:dyDescent="0.35">
      <c r="K623" s="19"/>
    </row>
    <row r="624" spans="11:11" x14ac:dyDescent="0.35">
      <c r="K624" s="19"/>
    </row>
    <row r="625" spans="11:11" x14ac:dyDescent="0.35">
      <c r="K625" s="19"/>
    </row>
    <row r="626" spans="11:11" x14ac:dyDescent="0.35">
      <c r="K626" s="19"/>
    </row>
    <row r="627" spans="11:11" x14ac:dyDescent="0.35">
      <c r="K627" s="19"/>
    </row>
    <row r="628" spans="11:11" x14ac:dyDescent="0.35">
      <c r="K628" s="19"/>
    </row>
    <row r="629" spans="11:11" x14ac:dyDescent="0.35">
      <c r="K629" s="19"/>
    </row>
    <row r="630" spans="11:11" x14ac:dyDescent="0.35">
      <c r="K630" s="19"/>
    </row>
    <row r="631" spans="11:11" x14ac:dyDescent="0.35">
      <c r="K631" s="19"/>
    </row>
    <row r="632" spans="11:11" x14ac:dyDescent="0.35">
      <c r="K632" s="19"/>
    </row>
    <row r="633" spans="11:11" x14ac:dyDescent="0.35">
      <c r="K633" s="19"/>
    </row>
    <row r="634" spans="11:11" x14ac:dyDescent="0.35">
      <c r="K634" s="19"/>
    </row>
    <row r="635" spans="11:11" x14ac:dyDescent="0.35">
      <c r="K635" s="19"/>
    </row>
    <row r="636" spans="11:11" x14ac:dyDescent="0.35">
      <c r="K636" s="19"/>
    </row>
    <row r="637" spans="11:11" x14ac:dyDescent="0.35">
      <c r="K637" s="19"/>
    </row>
    <row r="638" spans="11:11" x14ac:dyDescent="0.35">
      <c r="K638" s="19"/>
    </row>
    <row r="639" spans="11:11" x14ac:dyDescent="0.35">
      <c r="K639" s="19"/>
    </row>
    <row r="640" spans="11:11" x14ac:dyDescent="0.35">
      <c r="K640" s="19"/>
    </row>
    <row r="641" spans="11:11" x14ac:dyDescent="0.35">
      <c r="K641" s="19"/>
    </row>
    <row r="642" spans="11:11" x14ac:dyDescent="0.35">
      <c r="K642" s="19"/>
    </row>
    <row r="643" spans="11:11" x14ac:dyDescent="0.35">
      <c r="K643" s="19"/>
    </row>
    <row r="644" spans="11:11" x14ac:dyDescent="0.35">
      <c r="K644" s="19"/>
    </row>
    <row r="645" spans="11:11" x14ac:dyDescent="0.35">
      <c r="K645" s="19"/>
    </row>
    <row r="646" spans="11:11" x14ac:dyDescent="0.35">
      <c r="K646" s="19"/>
    </row>
    <row r="647" spans="11:11" x14ac:dyDescent="0.35">
      <c r="K647" s="19"/>
    </row>
    <row r="648" spans="11:11" x14ac:dyDescent="0.35">
      <c r="K648" s="19"/>
    </row>
    <row r="649" spans="11:11" x14ac:dyDescent="0.35">
      <c r="K649" s="19"/>
    </row>
    <row r="650" spans="11:11" x14ac:dyDescent="0.35">
      <c r="K650" s="19"/>
    </row>
    <row r="651" spans="11:11" x14ac:dyDescent="0.35">
      <c r="K651" s="19"/>
    </row>
    <row r="652" spans="11:11" x14ac:dyDescent="0.35">
      <c r="K652" s="19"/>
    </row>
    <row r="653" spans="11:11" x14ac:dyDescent="0.35">
      <c r="K653" s="19"/>
    </row>
    <row r="654" spans="11:11" x14ac:dyDescent="0.35">
      <c r="K654" s="19"/>
    </row>
    <row r="655" spans="11:11" x14ac:dyDescent="0.35">
      <c r="K655" s="19"/>
    </row>
    <row r="656" spans="11:11" x14ac:dyDescent="0.35">
      <c r="K656" s="19"/>
    </row>
    <row r="657" spans="11:11" x14ac:dyDescent="0.35">
      <c r="K657" s="19"/>
    </row>
    <row r="658" spans="11:11" x14ac:dyDescent="0.35">
      <c r="K658" s="19"/>
    </row>
    <row r="659" spans="11:11" x14ac:dyDescent="0.35">
      <c r="K659" s="19"/>
    </row>
    <row r="660" spans="11:11" x14ac:dyDescent="0.35">
      <c r="K660" s="19"/>
    </row>
    <row r="661" spans="11:11" x14ac:dyDescent="0.35">
      <c r="K661" s="19"/>
    </row>
    <row r="662" spans="11:11" x14ac:dyDescent="0.35">
      <c r="K662" s="19"/>
    </row>
    <row r="663" spans="11:11" x14ac:dyDescent="0.35">
      <c r="K663" s="19"/>
    </row>
    <row r="664" spans="11:11" x14ac:dyDescent="0.35">
      <c r="K664" s="19"/>
    </row>
    <row r="665" spans="11:11" x14ac:dyDescent="0.35">
      <c r="K665" s="19"/>
    </row>
    <row r="666" spans="11:11" x14ac:dyDescent="0.35">
      <c r="K666" s="19"/>
    </row>
    <row r="667" spans="11:11" x14ac:dyDescent="0.35">
      <c r="K667" s="19"/>
    </row>
    <row r="668" spans="11:11" x14ac:dyDescent="0.35">
      <c r="K668" s="19"/>
    </row>
    <row r="669" spans="11:11" x14ac:dyDescent="0.35">
      <c r="K669" s="19"/>
    </row>
    <row r="670" spans="11:11" x14ac:dyDescent="0.35">
      <c r="K670" s="19"/>
    </row>
    <row r="671" spans="11:11" x14ac:dyDescent="0.35">
      <c r="K671" s="19"/>
    </row>
    <row r="672" spans="11:11" x14ac:dyDescent="0.35">
      <c r="K672" s="19"/>
    </row>
    <row r="673" spans="11:11" x14ac:dyDescent="0.35">
      <c r="K673" s="19"/>
    </row>
    <row r="674" spans="11:11" x14ac:dyDescent="0.35">
      <c r="K674" s="19"/>
    </row>
    <row r="675" spans="11:11" x14ac:dyDescent="0.35">
      <c r="K675" s="19"/>
    </row>
    <row r="676" spans="11:11" x14ac:dyDescent="0.35">
      <c r="K676" s="19"/>
    </row>
    <row r="677" spans="11:11" x14ac:dyDescent="0.35">
      <c r="K677" s="19"/>
    </row>
    <row r="678" spans="11:11" x14ac:dyDescent="0.35">
      <c r="K678" s="19"/>
    </row>
    <row r="679" spans="11:11" x14ac:dyDescent="0.35">
      <c r="K679" s="19"/>
    </row>
    <row r="680" spans="11:11" x14ac:dyDescent="0.35">
      <c r="K680" s="19"/>
    </row>
    <row r="681" spans="11:11" x14ac:dyDescent="0.35">
      <c r="K681" s="19"/>
    </row>
    <row r="682" spans="11:11" x14ac:dyDescent="0.35">
      <c r="K682" s="19"/>
    </row>
    <row r="683" spans="11:11" x14ac:dyDescent="0.35">
      <c r="K683" s="19"/>
    </row>
    <row r="684" spans="11:11" x14ac:dyDescent="0.35">
      <c r="K684" s="19"/>
    </row>
    <row r="685" spans="11:11" x14ac:dyDescent="0.35">
      <c r="K685" s="19"/>
    </row>
    <row r="686" spans="11:11" x14ac:dyDescent="0.35">
      <c r="K686" s="19"/>
    </row>
    <row r="687" spans="11:11" x14ac:dyDescent="0.35">
      <c r="K687" s="19"/>
    </row>
    <row r="688" spans="11:11" x14ac:dyDescent="0.35">
      <c r="K688" s="19"/>
    </row>
    <row r="689" spans="11:11" x14ac:dyDescent="0.35">
      <c r="K689" s="19"/>
    </row>
    <row r="690" spans="11:11" x14ac:dyDescent="0.35">
      <c r="K690" s="19"/>
    </row>
    <row r="691" spans="11:11" x14ac:dyDescent="0.35">
      <c r="K691" s="19"/>
    </row>
    <row r="692" spans="11:11" x14ac:dyDescent="0.35">
      <c r="K692" s="19"/>
    </row>
    <row r="693" spans="11:11" x14ac:dyDescent="0.35">
      <c r="K693" s="19"/>
    </row>
    <row r="694" spans="11:11" x14ac:dyDescent="0.35">
      <c r="K694" s="19"/>
    </row>
    <row r="695" spans="11:11" x14ac:dyDescent="0.35">
      <c r="K695" s="19"/>
    </row>
    <row r="696" spans="11:11" x14ac:dyDescent="0.35">
      <c r="K696" s="19"/>
    </row>
    <row r="697" spans="11:11" x14ac:dyDescent="0.35">
      <c r="K697" s="19"/>
    </row>
    <row r="698" spans="11:11" x14ac:dyDescent="0.35">
      <c r="K698" s="19"/>
    </row>
    <row r="699" spans="11:11" x14ac:dyDescent="0.35">
      <c r="K699" s="19"/>
    </row>
    <row r="700" spans="11:11" x14ac:dyDescent="0.35">
      <c r="K700" s="19"/>
    </row>
    <row r="701" spans="11:11" x14ac:dyDescent="0.35">
      <c r="K701" s="19"/>
    </row>
    <row r="702" spans="11:11" x14ac:dyDescent="0.35">
      <c r="K702" s="19"/>
    </row>
    <row r="703" spans="11:11" x14ac:dyDescent="0.35">
      <c r="K703" s="19"/>
    </row>
    <row r="704" spans="11:11" x14ac:dyDescent="0.35">
      <c r="K704" s="19"/>
    </row>
    <row r="705" spans="11:11" x14ac:dyDescent="0.35">
      <c r="K705" s="19"/>
    </row>
    <row r="706" spans="11:11" x14ac:dyDescent="0.35">
      <c r="K706" s="19"/>
    </row>
    <row r="707" spans="11:11" x14ac:dyDescent="0.35">
      <c r="K707" s="19"/>
    </row>
    <row r="708" spans="11:11" x14ac:dyDescent="0.35">
      <c r="K708" s="19"/>
    </row>
    <row r="709" spans="11:11" x14ac:dyDescent="0.35">
      <c r="K709" s="19"/>
    </row>
    <row r="710" spans="11:11" x14ac:dyDescent="0.35">
      <c r="K710" s="19"/>
    </row>
    <row r="711" spans="11:11" x14ac:dyDescent="0.35">
      <c r="K711" s="19"/>
    </row>
    <row r="712" spans="11:11" x14ac:dyDescent="0.35">
      <c r="K712" s="19"/>
    </row>
    <row r="713" spans="11:11" x14ac:dyDescent="0.35">
      <c r="K713" s="19"/>
    </row>
    <row r="714" spans="11:11" x14ac:dyDescent="0.35">
      <c r="K714" s="19"/>
    </row>
    <row r="715" spans="11:11" x14ac:dyDescent="0.35">
      <c r="K715" s="19"/>
    </row>
    <row r="716" spans="11:11" x14ac:dyDescent="0.35">
      <c r="K716" s="19"/>
    </row>
    <row r="717" spans="11:11" x14ac:dyDescent="0.35">
      <c r="K717" s="19"/>
    </row>
    <row r="718" spans="11:11" x14ac:dyDescent="0.35">
      <c r="K718" s="19"/>
    </row>
    <row r="719" spans="11:11" x14ac:dyDescent="0.35">
      <c r="K719" s="19"/>
    </row>
    <row r="720" spans="11:11" x14ac:dyDescent="0.35">
      <c r="K720" s="19"/>
    </row>
    <row r="721" spans="11:11" x14ac:dyDescent="0.35">
      <c r="K721" s="19"/>
    </row>
    <row r="722" spans="11:11" x14ac:dyDescent="0.35">
      <c r="K722" s="19"/>
    </row>
    <row r="723" spans="11:11" x14ac:dyDescent="0.35">
      <c r="K723" s="19"/>
    </row>
    <row r="724" spans="11:11" x14ac:dyDescent="0.35">
      <c r="K724" s="19"/>
    </row>
    <row r="725" spans="11:11" x14ac:dyDescent="0.35">
      <c r="K725" s="19"/>
    </row>
    <row r="726" spans="11:11" x14ac:dyDescent="0.35">
      <c r="K726" s="19"/>
    </row>
    <row r="727" spans="11:11" x14ac:dyDescent="0.35">
      <c r="K727" s="19"/>
    </row>
    <row r="728" spans="11:11" x14ac:dyDescent="0.35">
      <c r="K728" s="19"/>
    </row>
    <row r="729" spans="11:11" x14ac:dyDescent="0.35">
      <c r="K729" s="19"/>
    </row>
    <row r="730" spans="11:11" x14ac:dyDescent="0.35">
      <c r="K730" s="19"/>
    </row>
    <row r="731" spans="11:11" x14ac:dyDescent="0.35">
      <c r="K731" s="19"/>
    </row>
    <row r="732" spans="11:11" x14ac:dyDescent="0.35">
      <c r="K732" s="19"/>
    </row>
    <row r="733" spans="11:11" x14ac:dyDescent="0.35">
      <c r="K733" s="19"/>
    </row>
    <row r="734" spans="11:11" x14ac:dyDescent="0.35">
      <c r="K734" s="19"/>
    </row>
    <row r="735" spans="11:11" x14ac:dyDescent="0.35">
      <c r="K735" s="19"/>
    </row>
    <row r="736" spans="11:11" x14ac:dyDescent="0.35">
      <c r="K736" s="19"/>
    </row>
    <row r="737" spans="11:11" x14ac:dyDescent="0.35">
      <c r="K737" s="19"/>
    </row>
    <row r="738" spans="11:11" x14ac:dyDescent="0.35">
      <c r="K738" s="19"/>
    </row>
    <row r="739" spans="11:11" x14ac:dyDescent="0.35">
      <c r="K739" s="19"/>
    </row>
    <row r="740" spans="11:11" x14ac:dyDescent="0.35">
      <c r="K740" s="19"/>
    </row>
    <row r="741" spans="11:11" x14ac:dyDescent="0.35">
      <c r="K741" s="19"/>
    </row>
    <row r="742" spans="11:11" x14ac:dyDescent="0.35">
      <c r="K742" s="19"/>
    </row>
    <row r="743" spans="11:11" x14ac:dyDescent="0.35">
      <c r="K743" s="19"/>
    </row>
    <row r="744" spans="11:11" x14ac:dyDescent="0.35">
      <c r="K744" s="19"/>
    </row>
    <row r="745" spans="11:11" x14ac:dyDescent="0.35">
      <c r="K745" s="19"/>
    </row>
    <row r="746" spans="11:11" x14ac:dyDescent="0.35">
      <c r="K746" s="19"/>
    </row>
    <row r="747" spans="11:11" x14ac:dyDescent="0.35">
      <c r="K747" s="19"/>
    </row>
    <row r="748" spans="11:11" x14ac:dyDescent="0.35">
      <c r="K748" s="19"/>
    </row>
    <row r="749" spans="11:11" x14ac:dyDescent="0.35">
      <c r="K749" s="19"/>
    </row>
    <row r="750" spans="11:11" x14ac:dyDescent="0.35">
      <c r="K750" s="19"/>
    </row>
    <row r="751" spans="11:11" x14ac:dyDescent="0.35">
      <c r="K751" s="19"/>
    </row>
    <row r="752" spans="11:11" x14ac:dyDescent="0.35">
      <c r="K752" s="19"/>
    </row>
    <row r="753" spans="11:11" x14ac:dyDescent="0.35">
      <c r="K753" s="19"/>
    </row>
    <row r="754" spans="11:11" x14ac:dyDescent="0.35">
      <c r="K754" s="19"/>
    </row>
    <row r="755" spans="11:11" x14ac:dyDescent="0.35">
      <c r="K755" s="19"/>
    </row>
    <row r="756" spans="11:11" x14ac:dyDescent="0.35">
      <c r="K756" s="19"/>
    </row>
    <row r="757" spans="11:11" x14ac:dyDescent="0.35">
      <c r="K757" s="19"/>
    </row>
    <row r="758" spans="11:11" x14ac:dyDescent="0.35">
      <c r="K758" s="19"/>
    </row>
    <row r="759" spans="11:11" x14ac:dyDescent="0.35">
      <c r="K759" s="19"/>
    </row>
    <row r="760" spans="11:11" x14ac:dyDescent="0.35">
      <c r="K760" s="19"/>
    </row>
    <row r="761" spans="11:11" x14ac:dyDescent="0.35">
      <c r="K761" s="19"/>
    </row>
    <row r="762" spans="11:11" x14ac:dyDescent="0.35">
      <c r="K762" s="19"/>
    </row>
    <row r="763" spans="11:11" x14ac:dyDescent="0.35">
      <c r="K763" s="19"/>
    </row>
    <row r="764" spans="11:11" x14ac:dyDescent="0.35">
      <c r="K764" s="19"/>
    </row>
    <row r="765" spans="11:11" x14ac:dyDescent="0.35">
      <c r="K765" s="19"/>
    </row>
    <row r="766" spans="11:11" x14ac:dyDescent="0.35">
      <c r="K766" s="19"/>
    </row>
    <row r="767" spans="11:11" x14ac:dyDescent="0.35">
      <c r="K767" s="19"/>
    </row>
    <row r="768" spans="11:11" x14ac:dyDescent="0.35">
      <c r="K768" s="19"/>
    </row>
    <row r="769" spans="11:11" x14ac:dyDescent="0.35">
      <c r="K769" s="19"/>
    </row>
    <row r="770" spans="11:11" x14ac:dyDescent="0.35">
      <c r="K770" s="19"/>
    </row>
    <row r="771" spans="11:11" x14ac:dyDescent="0.35">
      <c r="K771" s="19"/>
    </row>
    <row r="772" spans="11:11" x14ac:dyDescent="0.35">
      <c r="K772" s="19"/>
    </row>
    <row r="773" spans="11:11" x14ac:dyDescent="0.35">
      <c r="K773" s="19"/>
    </row>
    <row r="774" spans="11:11" x14ac:dyDescent="0.35">
      <c r="K774" s="19"/>
    </row>
    <row r="775" spans="11:11" x14ac:dyDescent="0.35">
      <c r="K775" s="19"/>
    </row>
    <row r="776" spans="11:11" x14ac:dyDescent="0.35">
      <c r="K776" s="19"/>
    </row>
    <row r="777" spans="11:11" x14ac:dyDescent="0.35">
      <c r="K777" s="19"/>
    </row>
    <row r="778" spans="11:11" x14ac:dyDescent="0.35">
      <c r="K778" s="19"/>
    </row>
    <row r="779" spans="11:11" x14ac:dyDescent="0.35">
      <c r="K779" s="19"/>
    </row>
    <row r="780" spans="11:11" x14ac:dyDescent="0.35">
      <c r="K780" s="19"/>
    </row>
    <row r="781" spans="11:11" x14ac:dyDescent="0.35">
      <c r="K781" s="19"/>
    </row>
    <row r="782" spans="11:11" x14ac:dyDescent="0.35">
      <c r="K782" s="19"/>
    </row>
    <row r="783" spans="11:11" x14ac:dyDescent="0.35">
      <c r="K783" s="19"/>
    </row>
    <row r="784" spans="11:11" x14ac:dyDescent="0.35">
      <c r="K784" s="19"/>
    </row>
    <row r="785" spans="11:11" x14ac:dyDescent="0.35">
      <c r="K785" s="19"/>
    </row>
    <row r="786" spans="11:11" x14ac:dyDescent="0.35">
      <c r="K786" s="19"/>
    </row>
    <row r="787" spans="11:11" x14ac:dyDescent="0.35">
      <c r="K787" s="19"/>
    </row>
    <row r="788" spans="11:11" x14ac:dyDescent="0.35">
      <c r="K788" s="19"/>
    </row>
    <row r="789" spans="11:11" x14ac:dyDescent="0.35">
      <c r="K789" s="19"/>
    </row>
    <row r="790" spans="11:11" x14ac:dyDescent="0.35">
      <c r="K790" s="19"/>
    </row>
    <row r="791" spans="11:11" x14ac:dyDescent="0.35">
      <c r="K791" s="19"/>
    </row>
    <row r="792" spans="11:11" x14ac:dyDescent="0.35">
      <c r="K792" s="19"/>
    </row>
    <row r="793" spans="11:11" x14ac:dyDescent="0.35">
      <c r="K793" s="19"/>
    </row>
    <row r="794" spans="11:11" x14ac:dyDescent="0.35">
      <c r="K794" s="19"/>
    </row>
    <row r="795" spans="11:11" x14ac:dyDescent="0.35">
      <c r="K795" s="19"/>
    </row>
    <row r="796" spans="11:11" x14ac:dyDescent="0.35">
      <c r="K796" s="19"/>
    </row>
    <row r="797" spans="11:11" x14ac:dyDescent="0.35">
      <c r="K797" s="19"/>
    </row>
    <row r="798" spans="11:11" x14ac:dyDescent="0.35">
      <c r="K798" s="19"/>
    </row>
    <row r="799" spans="11:11" x14ac:dyDescent="0.35">
      <c r="K799" s="19"/>
    </row>
    <row r="800" spans="11:11" x14ac:dyDescent="0.35">
      <c r="K800" s="19"/>
    </row>
    <row r="801" spans="11:11" x14ac:dyDescent="0.35">
      <c r="K801" s="19"/>
    </row>
    <row r="802" spans="11:11" x14ac:dyDescent="0.35">
      <c r="K802" s="19"/>
    </row>
    <row r="803" spans="11:11" x14ac:dyDescent="0.35">
      <c r="K803" s="19"/>
    </row>
    <row r="804" spans="11:11" x14ac:dyDescent="0.35">
      <c r="K804" s="19"/>
    </row>
    <row r="805" spans="11:11" x14ac:dyDescent="0.35">
      <c r="K805" s="19"/>
    </row>
    <row r="806" spans="11:11" x14ac:dyDescent="0.35">
      <c r="K806" s="19"/>
    </row>
    <row r="807" spans="11:11" x14ac:dyDescent="0.35">
      <c r="K807" s="19"/>
    </row>
    <row r="808" spans="11:11" x14ac:dyDescent="0.35">
      <c r="K808" s="19"/>
    </row>
    <row r="809" spans="11:11" x14ac:dyDescent="0.35">
      <c r="K809" s="19"/>
    </row>
    <row r="810" spans="11:11" x14ac:dyDescent="0.35">
      <c r="K810" s="19"/>
    </row>
    <row r="811" spans="11:11" x14ac:dyDescent="0.35">
      <c r="K811" s="19"/>
    </row>
    <row r="812" spans="11:11" x14ac:dyDescent="0.35">
      <c r="K812" s="19"/>
    </row>
    <row r="813" spans="11:11" x14ac:dyDescent="0.35">
      <c r="K813" s="19"/>
    </row>
    <row r="814" spans="11:11" x14ac:dyDescent="0.35">
      <c r="K814" s="19"/>
    </row>
    <row r="815" spans="11:11" x14ac:dyDescent="0.35">
      <c r="K815" s="19"/>
    </row>
    <row r="816" spans="11:11" x14ac:dyDescent="0.35">
      <c r="K816" s="19"/>
    </row>
    <row r="817" spans="11:11" x14ac:dyDescent="0.35">
      <c r="K817" s="19"/>
    </row>
    <row r="818" spans="11:11" x14ac:dyDescent="0.35">
      <c r="K818" s="19"/>
    </row>
    <row r="819" spans="11:11" x14ac:dyDescent="0.35">
      <c r="K819" s="19"/>
    </row>
    <row r="820" spans="11:11" x14ac:dyDescent="0.35">
      <c r="K820" s="19"/>
    </row>
    <row r="821" spans="11:11" x14ac:dyDescent="0.35">
      <c r="K821" s="19"/>
    </row>
    <row r="822" spans="11:11" x14ac:dyDescent="0.35">
      <c r="K822" s="19"/>
    </row>
    <row r="823" spans="11:11" x14ac:dyDescent="0.35">
      <c r="K823" s="19"/>
    </row>
    <row r="824" spans="11:11" x14ac:dyDescent="0.35">
      <c r="K824" s="19"/>
    </row>
    <row r="825" spans="11:11" x14ac:dyDescent="0.35">
      <c r="K825" s="19"/>
    </row>
    <row r="826" spans="11:11" x14ac:dyDescent="0.35">
      <c r="K826" s="19"/>
    </row>
    <row r="827" spans="11:11" x14ac:dyDescent="0.35">
      <c r="K827" s="19"/>
    </row>
    <row r="828" spans="11:11" x14ac:dyDescent="0.35">
      <c r="K828" s="19"/>
    </row>
    <row r="829" spans="11:11" x14ac:dyDescent="0.35">
      <c r="K829" s="19"/>
    </row>
    <row r="830" spans="11:11" x14ac:dyDescent="0.35">
      <c r="K830" s="19"/>
    </row>
    <row r="831" spans="11:11" x14ac:dyDescent="0.35">
      <c r="K831" s="19"/>
    </row>
    <row r="832" spans="11:11" x14ac:dyDescent="0.35">
      <c r="K832" s="19"/>
    </row>
    <row r="833" spans="11:11" x14ac:dyDescent="0.35">
      <c r="K833" s="19"/>
    </row>
    <row r="834" spans="11:11" x14ac:dyDescent="0.35">
      <c r="K834" s="19"/>
    </row>
    <row r="835" spans="11:11" x14ac:dyDescent="0.35">
      <c r="K835" s="19"/>
    </row>
    <row r="836" spans="11:11" x14ac:dyDescent="0.35">
      <c r="K836" s="19"/>
    </row>
    <row r="837" spans="11:11" x14ac:dyDescent="0.35">
      <c r="K837" s="19"/>
    </row>
    <row r="838" spans="11:11" x14ac:dyDescent="0.35">
      <c r="K838" s="19"/>
    </row>
    <row r="839" spans="11:11" x14ac:dyDescent="0.35">
      <c r="K839" s="19"/>
    </row>
    <row r="840" spans="11:11" x14ac:dyDescent="0.35">
      <c r="K840" s="19"/>
    </row>
    <row r="841" spans="11:11" x14ac:dyDescent="0.35">
      <c r="K841" s="19"/>
    </row>
    <row r="842" spans="11:11" x14ac:dyDescent="0.35">
      <c r="K842" s="19"/>
    </row>
    <row r="843" spans="11:11" x14ac:dyDescent="0.35">
      <c r="K843" s="19"/>
    </row>
    <row r="844" spans="11:11" x14ac:dyDescent="0.35">
      <c r="K844" s="19"/>
    </row>
    <row r="845" spans="11:11" x14ac:dyDescent="0.35">
      <c r="K845" s="19"/>
    </row>
    <row r="846" spans="11:11" x14ac:dyDescent="0.35">
      <c r="K846" s="19"/>
    </row>
    <row r="847" spans="11:11" x14ac:dyDescent="0.35">
      <c r="K847" s="19"/>
    </row>
    <row r="848" spans="11:11" x14ac:dyDescent="0.35">
      <c r="K848" s="19"/>
    </row>
    <row r="849" spans="11:11" x14ac:dyDescent="0.35">
      <c r="K849" s="19"/>
    </row>
    <row r="850" spans="11:11" x14ac:dyDescent="0.35">
      <c r="K850" s="19"/>
    </row>
    <row r="851" spans="11:11" x14ac:dyDescent="0.35">
      <c r="K851" s="19"/>
    </row>
    <row r="852" spans="11:11" x14ac:dyDescent="0.35">
      <c r="K852" s="19"/>
    </row>
    <row r="853" spans="11:11" x14ac:dyDescent="0.35">
      <c r="K853" s="19"/>
    </row>
    <row r="854" spans="11:11" x14ac:dyDescent="0.35">
      <c r="K854" s="19"/>
    </row>
    <row r="855" spans="11:11" x14ac:dyDescent="0.35">
      <c r="K855" s="19"/>
    </row>
    <row r="856" spans="11:11" x14ac:dyDescent="0.35">
      <c r="K856" s="19"/>
    </row>
    <row r="857" spans="11:11" x14ac:dyDescent="0.35">
      <c r="K857" s="19"/>
    </row>
    <row r="858" spans="11:11" x14ac:dyDescent="0.35">
      <c r="K858" s="19"/>
    </row>
    <row r="859" spans="11:11" x14ac:dyDescent="0.35">
      <c r="K859" s="19"/>
    </row>
    <row r="860" spans="11:11" x14ac:dyDescent="0.35">
      <c r="K860" s="19"/>
    </row>
    <row r="861" spans="11:11" x14ac:dyDescent="0.35">
      <c r="K861" s="19"/>
    </row>
    <row r="862" spans="11:11" x14ac:dyDescent="0.35">
      <c r="K862" s="19"/>
    </row>
    <row r="863" spans="11:11" x14ac:dyDescent="0.35">
      <c r="K863" s="19"/>
    </row>
    <row r="864" spans="11:11" x14ac:dyDescent="0.35">
      <c r="K864" s="19"/>
    </row>
    <row r="865" spans="11:11" x14ac:dyDescent="0.35">
      <c r="K865" s="19"/>
    </row>
    <row r="866" spans="11:11" x14ac:dyDescent="0.35">
      <c r="K866" s="19"/>
    </row>
    <row r="867" spans="11:11" x14ac:dyDescent="0.35">
      <c r="K867" s="19"/>
    </row>
    <row r="868" spans="11:11" x14ac:dyDescent="0.35">
      <c r="K868" s="19"/>
    </row>
    <row r="869" spans="11:11" x14ac:dyDescent="0.35">
      <c r="K869" s="19"/>
    </row>
    <row r="870" spans="11:11" x14ac:dyDescent="0.35">
      <c r="K870" s="19"/>
    </row>
    <row r="871" spans="11:11" x14ac:dyDescent="0.35">
      <c r="K871" s="19"/>
    </row>
    <row r="872" spans="11:11" x14ac:dyDescent="0.35">
      <c r="K872" s="19"/>
    </row>
    <row r="873" spans="11:11" x14ac:dyDescent="0.35">
      <c r="K873" s="19"/>
    </row>
    <row r="874" spans="11:11" x14ac:dyDescent="0.35">
      <c r="K874" s="19"/>
    </row>
    <row r="875" spans="11:11" x14ac:dyDescent="0.35">
      <c r="K875" s="19"/>
    </row>
    <row r="876" spans="11:11" x14ac:dyDescent="0.35">
      <c r="K876" s="19"/>
    </row>
    <row r="877" spans="11:11" x14ac:dyDescent="0.35">
      <c r="K877" s="19"/>
    </row>
    <row r="878" spans="11:11" x14ac:dyDescent="0.35">
      <c r="K878" s="19"/>
    </row>
    <row r="879" spans="11:11" x14ac:dyDescent="0.35">
      <c r="K879" s="19"/>
    </row>
    <row r="880" spans="11:11" x14ac:dyDescent="0.35">
      <c r="K880" s="19"/>
    </row>
    <row r="881" spans="11:11" x14ac:dyDescent="0.35">
      <c r="K881" s="19"/>
    </row>
    <row r="882" spans="11:11" x14ac:dyDescent="0.35">
      <c r="K882" s="19"/>
    </row>
    <row r="883" spans="11:11" x14ac:dyDescent="0.35">
      <c r="K883" s="19"/>
    </row>
    <row r="884" spans="11:11" x14ac:dyDescent="0.35">
      <c r="K884" s="19"/>
    </row>
    <row r="885" spans="11:11" x14ac:dyDescent="0.35">
      <c r="K885" s="19"/>
    </row>
    <row r="886" spans="11:11" x14ac:dyDescent="0.35">
      <c r="K886" s="19"/>
    </row>
    <row r="887" spans="11:11" x14ac:dyDescent="0.35">
      <c r="K887" s="19"/>
    </row>
    <row r="888" spans="11:11" x14ac:dyDescent="0.35">
      <c r="K888" s="19"/>
    </row>
    <row r="889" spans="11:11" x14ac:dyDescent="0.35">
      <c r="K889" s="19"/>
    </row>
    <row r="890" spans="11:11" x14ac:dyDescent="0.35">
      <c r="K890" s="19"/>
    </row>
    <row r="891" spans="11:11" x14ac:dyDescent="0.35">
      <c r="K891" s="19"/>
    </row>
    <row r="892" spans="11:11" x14ac:dyDescent="0.35">
      <c r="K892" s="19"/>
    </row>
    <row r="893" spans="11:11" x14ac:dyDescent="0.35">
      <c r="K893" s="19"/>
    </row>
    <row r="894" spans="11:11" x14ac:dyDescent="0.35">
      <c r="K894" s="19"/>
    </row>
    <row r="895" spans="11:11" x14ac:dyDescent="0.35">
      <c r="K895" s="19"/>
    </row>
    <row r="896" spans="11:11" x14ac:dyDescent="0.35">
      <c r="K896" s="19"/>
    </row>
    <row r="897" spans="11:11" x14ac:dyDescent="0.35">
      <c r="K897" s="19"/>
    </row>
    <row r="898" spans="11:11" x14ac:dyDescent="0.35">
      <c r="K898" s="19"/>
    </row>
    <row r="899" spans="11:11" x14ac:dyDescent="0.35">
      <c r="K899" s="19"/>
    </row>
    <row r="900" spans="11:11" x14ac:dyDescent="0.35">
      <c r="K900" s="19"/>
    </row>
    <row r="901" spans="11:11" x14ac:dyDescent="0.35">
      <c r="K901" s="19"/>
    </row>
    <row r="902" spans="11:11" x14ac:dyDescent="0.35">
      <c r="K902" s="19"/>
    </row>
    <row r="903" spans="11:11" x14ac:dyDescent="0.35">
      <c r="K903" s="19"/>
    </row>
    <row r="904" spans="11:11" x14ac:dyDescent="0.35">
      <c r="K904" s="19"/>
    </row>
    <row r="905" spans="11:11" x14ac:dyDescent="0.35">
      <c r="K905" s="19"/>
    </row>
    <row r="906" spans="11:11" x14ac:dyDescent="0.35">
      <c r="K906" s="19"/>
    </row>
    <row r="907" spans="11:11" x14ac:dyDescent="0.35">
      <c r="K907" s="19"/>
    </row>
    <row r="908" spans="11:11" x14ac:dyDescent="0.35">
      <c r="K908" s="19"/>
    </row>
    <row r="909" spans="11:11" x14ac:dyDescent="0.35">
      <c r="K909" s="19"/>
    </row>
    <row r="910" spans="11:11" x14ac:dyDescent="0.35">
      <c r="K910" s="19"/>
    </row>
    <row r="911" spans="11:11" x14ac:dyDescent="0.35">
      <c r="K911" s="19"/>
    </row>
    <row r="912" spans="11:11" x14ac:dyDescent="0.35">
      <c r="K912" s="19"/>
    </row>
    <row r="913" spans="11:11" x14ac:dyDescent="0.35">
      <c r="K913" s="19"/>
    </row>
    <row r="914" spans="11:11" x14ac:dyDescent="0.35">
      <c r="K914" s="19"/>
    </row>
    <row r="915" spans="11:11" x14ac:dyDescent="0.35">
      <c r="K915" s="19"/>
    </row>
    <row r="916" spans="11:11" x14ac:dyDescent="0.35">
      <c r="K916" s="19"/>
    </row>
    <row r="917" spans="11:11" x14ac:dyDescent="0.35">
      <c r="K917" s="19"/>
    </row>
    <row r="918" spans="11:11" x14ac:dyDescent="0.35">
      <c r="K918" s="19"/>
    </row>
    <row r="919" spans="11:11" x14ac:dyDescent="0.35">
      <c r="K919" s="19"/>
    </row>
    <row r="920" spans="11:11" x14ac:dyDescent="0.35">
      <c r="K920" s="19"/>
    </row>
    <row r="921" spans="11:11" x14ac:dyDescent="0.35">
      <c r="K921" s="19"/>
    </row>
    <row r="922" spans="11:11" x14ac:dyDescent="0.35">
      <c r="K922" s="19"/>
    </row>
    <row r="923" spans="11:11" x14ac:dyDescent="0.35">
      <c r="K923" s="19"/>
    </row>
    <row r="924" spans="11:11" x14ac:dyDescent="0.35">
      <c r="K924" s="19"/>
    </row>
    <row r="925" spans="11:11" x14ac:dyDescent="0.35">
      <c r="K925" s="19"/>
    </row>
    <row r="926" spans="11:11" x14ac:dyDescent="0.35">
      <c r="K926" s="19"/>
    </row>
    <row r="927" spans="11:11" x14ac:dyDescent="0.35">
      <c r="K927" s="19"/>
    </row>
    <row r="928" spans="11:11" x14ac:dyDescent="0.35">
      <c r="K928" s="19"/>
    </row>
    <row r="929" spans="11:11" x14ac:dyDescent="0.35">
      <c r="K929" s="19"/>
    </row>
    <row r="930" spans="11:11" x14ac:dyDescent="0.35">
      <c r="K930" s="19"/>
    </row>
    <row r="931" spans="11:11" x14ac:dyDescent="0.35">
      <c r="K931" s="19"/>
    </row>
    <row r="932" spans="11:11" x14ac:dyDescent="0.35">
      <c r="K932" s="19"/>
    </row>
    <row r="933" spans="11:11" x14ac:dyDescent="0.35">
      <c r="K933" s="19"/>
    </row>
    <row r="934" spans="11:11" x14ac:dyDescent="0.35">
      <c r="K934" s="19"/>
    </row>
    <row r="935" spans="11:11" x14ac:dyDescent="0.35">
      <c r="K935" s="19"/>
    </row>
    <row r="936" spans="11:11" x14ac:dyDescent="0.35">
      <c r="K936" s="19"/>
    </row>
    <row r="937" spans="11:11" x14ac:dyDescent="0.35">
      <c r="K937" s="19"/>
    </row>
    <row r="938" spans="11:11" x14ac:dyDescent="0.35">
      <c r="K938" s="19"/>
    </row>
    <row r="939" spans="11:11" x14ac:dyDescent="0.35">
      <c r="K939" s="19"/>
    </row>
    <row r="940" spans="11:11" x14ac:dyDescent="0.35">
      <c r="K940" s="19"/>
    </row>
    <row r="941" spans="11:11" x14ac:dyDescent="0.35">
      <c r="K941" s="19"/>
    </row>
    <row r="942" spans="11:11" x14ac:dyDescent="0.35">
      <c r="K942" s="19"/>
    </row>
    <row r="943" spans="11:11" x14ac:dyDescent="0.35">
      <c r="K943" s="19"/>
    </row>
    <row r="944" spans="11:11" x14ac:dyDescent="0.35">
      <c r="K944" s="19"/>
    </row>
    <row r="945" spans="11:11" x14ac:dyDescent="0.35">
      <c r="K945" s="19"/>
    </row>
    <row r="946" spans="11:11" x14ac:dyDescent="0.35">
      <c r="K946" s="19"/>
    </row>
    <row r="947" spans="11:11" x14ac:dyDescent="0.35">
      <c r="K947" s="19"/>
    </row>
    <row r="948" spans="11:11" x14ac:dyDescent="0.35">
      <c r="K948" s="19"/>
    </row>
    <row r="949" spans="11:11" x14ac:dyDescent="0.35">
      <c r="K949" s="19"/>
    </row>
    <row r="950" spans="11:11" x14ac:dyDescent="0.35">
      <c r="K950" s="19"/>
    </row>
    <row r="951" spans="11:11" x14ac:dyDescent="0.35">
      <c r="K951" s="19"/>
    </row>
    <row r="952" spans="11:11" x14ac:dyDescent="0.35">
      <c r="K952" s="19"/>
    </row>
    <row r="953" spans="11:11" x14ac:dyDescent="0.35">
      <c r="K953" s="19"/>
    </row>
    <row r="954" spans="11:11" x14ac:dyDescent="0.35">
      <c r="K954" s="19"/>
    </row>
    <row r="955" spans="11:11" x14ac:dyDescent="0.35">
      <c r="K955" s="19"/>
    </row>
    <row r="956" spans="11:11" x14ac:dyDescent="0.35">
      <c r="K956" s="19"/>
    </row>
    <row r="957" spans="11:11" x14ac:dyDescent="0.35">
      <c r="K957" s="19"/>
    </row>
    <row r="958" spans="11:11" x14ac:dyDescent="0.35">
      <c r="K958" s="19"/>
    </row>
    <row r="959" spans="11:11" x14ac:dyDescent="0.35">
      <c r="K959" s="19"/>
    </row>
    <row r="960" spans="11:11" x14ac:dyDescent="0.35">
      <c r="K960" s="19"/>
    </row>
    <row r="961" spans="11:11" x14ac:dyDescent="0.35">
      <c r="K961" s="19"/>
    </row>
    <row r="962" spans="11:11" x14ac:dyDescent="0.35">
      <c r="K962" s="19"/>
    </row>
    <row r="963" spans="11:11" x14ac:dyDescent="0.35">
      <c r="K963" s="19"/>
    </row>
    <row r="964" spans="11:11" x14ac:dyDescent="0.35">
      <c r="K964" s="19"/>
    </row>
    <row r="965" spans="11:11" x14ac:dyDescent="0.35">
      <c r="K965" s="19"/>
    </row>
    <row r="966" spans="11:11" x14ac:dyDescent="0.35">
      <c r="K966" s="19"/>
    </row>
    <row r="967" spans="11:11" x14ac:dyDescent="0.35">
      <c r="K967" s="19"/>
    </row>
    <row r="968" spans="11:11" x14ac:dyDescent="0.35">
      <c r="K968" s="19"/>
    </row>
    <row r="969" spans="11:11" x14ac:dyDescent="0.35">
      <c r="K969" s="19"/>
    </row>
    <row r="970" spans="11:11" x14ac:dyDescent="0.35">
      <c r="K970" s="19"/>
    </row>
    <row r="971" spans="11:11" x14ac:dyDescent="0.35">
      <c r="K971" s="19"/>
    </row>
    <row r="972" spans="11:11" x14ac:dyDescent="0.35">
      <c r="K972" s="19"/>
    </row>
    <row r="973" spans="11:11" x14ac:dyDescent="0.35">
      <c r="K973" s="19"/>
    </row>
    <row r="974" spans="11:11" x14ac:dyDescent="0.35">
      <c r="K974" s="19"/>
    </row>
    <row r="975" spans="11:11" x14ac:dyDescent="0.35">
      <c r="K975" s="19"/>
    </row>
    <row r="976" spans="11:11" x14ac:dyDescent="0.35">
      <c r="K976" s="19"/>
    </row>
    <row r="977" spans="11:11" x14ac:dyDescent="0.35">
      <c r="K977" s="19"/>
    </row>
    <row r="978" spans="11:11" x14ac:dyDescent="0.35">
      <c r="K978" s="19"/>
    </row>
    <row r="979" spans="11:11" x14ac:dyDescent="0.35">
      <c r="K979" s="19"/>
    </row>
    <row r="980" spans="11:11" x14ac:dyDescent="0.35">
      <c r="K980" s="19"/>
    </row>
    <row r="981" spans="11:11" x14ac:dyDescent="0.35">
      <c r="K981" s="19"/>
    </row>
    <row r="982" spans="11:11" x14ac:dyDescent="0.35">
      <c r="K982" s="19"/>
    </row>
    <row r="983" spans="11:11" x14ac:dyDescent="0.35">
      <c r="K983" s="19"/>
    </row>
    <row r="984" spans="11:11" x14ac:dyDescent="0.35">
      <c r="K984" s="19"/>
    </row>
    <row r="985" spans="11:11" x14ac:dyDescent="0.35">
      <c r="K985" s="19"/>
    </row>
    <row r="986" spans="11:11" x14ac:dyDescent="0.35">
      <c r="K986" s="19"/>
    </row>
    <row r="987" spans="11:11" x14ac:dyDescent="0.35">
      <c r="K987" s="19"/>
    </row>
    <row r="988" spans="11:11" x14ac:dyDescent="0.35">
      <c r="K988" s="19"/>
    </row>
    <row r="989" spans="11:11" x14ac:dyDescent="0.35">
      <c r="K989" s="19"/>
    </row>
    <row r="990" spans="11:11" x14ac:dyDescent="0.35">
      <c r="K990" s="19"/>
    </row>
    <row r="991" spans="11:11" x14ac:dyDescent="0.35">
      <c r="K991" s="19"/>
    </row>
    <row r="992" spans="11:11" x14ac:dyDescent="0.35">
      <c r="K992" s="19"/>
    </row>
    <row r="993" spans="11:11" x14ac:dyDescent="0.35">
      <c r="K993" s="19"/>
    </row>
    <row r="994" spans="11:11" x14ac:dyDescent="0.35">
      <c r="K994" s="19"/>
    </row>
    <row r="995" spans="11:11" x14ac:dyDescent="0.35">
      <c r="K995" s="19"/>
    </row>
    <row r="996" spans="11:11" x14ac:dyDescent="0.35">
      <c r="K996" s="19"/>
    </row>
    <row r="997" spans="11:11" x14ac:dyDescent="0.35">
      <c r="K997" s="19"/>
    </row>
    <row r="998" spans="11:11" x14ac:dyDescent="0.35">
      <c r="K998" s="19"/>
    </row>
    <row r="999" spans="11:11" x14ac:dyDescent="0.35">
      <c r="K999" s="19"/>
    </row>
    <row r="1000" spans="11:11" x14ac:dyDescent="0.35">
      <c r="K1000" s="19"/>
    </row>
    <row r="1001" spans="11:11" x14ac:dyDescent="0.35">
      <c r="K1001" s="19"/>
    </row>
    <row r="1002" spans="11:11" x14ac:dyDescent="0.35">
      <c r="K1002" s="19"/>
    </row>
    <row r="1003" spans="11:11" x14ac:dyDescent="0.35">
      <c r="K1003" s="19"/>
    </row>
    <row r="1004" spans="11:11" x14ac:dyDescent="0.35">
      <c r="K1004" s="19"/>
    </row>
    <row r="1005" spans="11:11" x14ac:dyDescent="0.35">
      <c r="K1005" s="19"/>
    </row>
    <row r="1006" spans="11:11" x14ac:dyDescent="0.35">
      <c r="K1006" s="19"/>
    </row>
    <row r="1007" spans="11:11" x14ac:dyDescent="0.35">
      <c r="K1007" s="19"/>
    </row>
    <row r="1008" spans="11:11" x14ac:dyDescent="0.35">
      <c r="K1008" s="19"/>
    </row>
    <row r="1009" spans="11:11" x14ac:dyDescent="0.35">
      <c r="K1009" s="19"/>
    </row>
    <row r="1010" spans="11:11" x14ac:dyDescent="0.35">
      <c r="K1010" s="19"/>
    </row>
    <row r="1011" spans="11:11" x14ac:dyDescent="0.35">
      <c r="K1011" s="19"/>
    </row>
    <row r="1012" spans="11:11" x14ac:dyDescent="0.35">
      <c r="K1012" s="19"/>
    </row>
    <row r="1013" spans="11:11" x14ac:dyDescent="0.35">
      <c r="K1013" s="19"/>
    </row>
    <row r="1014" spans="11:11" x14ac:dyDescent="0.35">
      <c r="K1014" s="19"/>
    </row>
    <row r="1015" spans="11:11" x14ac:dyDescent="0.35">
      <c r="K1015" s="19"/>
    </row>
    <row r="1016" spans="11:11" x14ac:dyDescent="0.35">
      <c r="K1016" s="19"/>
    </row>
    <row r="1017" spans="11:11" x14ac:dyDescent="0.35">
      <c r="K1017" s="19"/>
    </row>
    <row r="1018" spans="11:11" x14ac:dyDescent="0.35">
      <c r="K1018" s="19"/>
    </row>
    <row r="1019" spans="11:11" x14ac:dyDescent="0.35">
      <c r="K1019" s="19"/>
    </row>
    <row r="1020" spans="11:11" x14ac:dyDescent="0.35">
      <c r="K1020" s="19"/>
    </row>
    <row r="1021" spans="11:11" x14ac:dyDescent="0.35">
      <c r="K1021" s="19"/>
    </row>
    <row r="1022" spans="11:11" x14ac:dyDescent="0.35">
      <c r="K1022" s="19"/>
    </row>
    <row r="1023" spans="11:11" x14ac:dyDescent="0.35">
      <c r="K1023" s="19"/>
    </row>
    <row r="1024" spans="11:11" x14ac:dyDescent="0.35">
      <c r="K1024" s="19"/>
    </row>
    <row r="1025" spans="11:11" x14ac:dyDescent="0.35">
      <c r="K1025" s="19"/>
    </row>
    <row r="1026" spans="11:11" x14ac:dyDescent="0.35">
      <c r="K1026" s="19"/>
    </row>
    <row r="1027" spans="11:11" x14ac:dyDescent="0.35">
      <c r="K1027" s="19"/>
    </row>
    <row r="1028" spans="11:11" x14ac:dyDescent="0.35">
      <c r="K1028" s="19"/>
    </row>
    <row r="1029" spans="11:11" x14ac:dyDescent="0.35">
      <c r="K1029" s="19"/>
    </row>
    <row r="1030" spans="11:11" x14ac:dyDescent="0.35">
      <c r="K1030" s="19"/>
    </row>
    <row r="1031" spans="11:11" x14ac:dyDescent="0.35">
      <c r="K1031" s="19"/>
    </row>
    <row r="1032" spans="11:11" x14ac:dyDescent="0.35">
      <c r="K1032" s="19"/>
    </row>
    <row r="1033" spans="11:11" x14ac:dyDescent="0.35">
      <c r="K1033" s="19"/>
    </row>
    <row r="1034" spans="11:11" x14ac:dyDescent="0.35">
      <c r="K1034" s="19"/>
    </row>
    <row r="1035" spans="11:11" x14ac:dyDescent="0.35">
      <c r="K1035" s="19"/>
    </row>
    <row r="1036" spans="11:11" x14ac:dyDescent="0.35">
      <c r="K1036" s="19"/>
    </row>
    <row r="1037" spans="11:11" x14ac:dyDescent="0.35">
      <c r="K1037" s="19"/>
    </row>
    <row r="1038" spans="11:11" x14ac:dyDescent="0.35">
      <c r="K1038" s="19"/>
    </row>
    <row r="1039" spans="11:11" x14ac:dyDescent="0.35">
      <c r="K1039" s="19"/>
    </row>
    <row r="1040" spans="11:11" x14ac:dyDescent="0.35">
      <c r="K1040" s="19"/>
    </row>
    <row r="1041" spans="11:11" x14ac:dyDescent="0.35">
      <c r="K1041" s="19"/>
    </row>
    <row r="1042" spans="11:11" x14ac:dyDescent="0.35">
      <c r="K1042" s="19"/>
    </row>
    <row r="1043" spans="11:11" x14ac:dyDescent="0.35">
      <c r="K1043" s="19"/>
    </row>
    <row r="1044" spans="11:11" x14ac:dyDescent="0.35">
      <c r="K1044" s="19"/>
    </row>
    <row r="1045" spans="11:11" x14ac:dyDescent="0.35">
      <c r="K1045" s="19"/>
    </row>
    <row r="1046" spans="11:11" x14ac:dyDescent="0.35">
      <c r="K1046" s="19"/>
    </row>
    <row r="1047" spans="11:11" x14ac:dyDescent="0.35">
      <c r="K1047" s="19"/>
    </row>
    <row r="1048" spans="11:11" x14ac:dyDescent="0.35">
      <c r="K1048" s="19"/>
    </row>
    <row r="1049" spans="11:11" x14ac:dyDescent="0.35">
      <c r="K1049" s="19"/>
    </row>
    <row r="1050" spans="11:11" x14ac:dyDescent="0.35">
      <c r="K1050" s="19"/>
    </row>
    <row r="1051" spans="11:11" x14ac:dyDescent="0.35">
      <c r="K1051" s="19"/>
    </row>
    <row r="1052" spans="11:11" x14ac:dyDescent="0.35">
      <c r="K1052" s="19"/>
    </row>
    <row r="1053" spans="11:11" x14ac:dyDescent="0.35">
      <c r="K1053" s="19"/>
    </row>
    <row r="1054" spans="11:11" x14ac:dyDescent="0.35">
      <c r="K1054" s="19"/>
    </row>
    <row r="1055" spans="11:11" x14ac:dyDescent="0.35">
      <c r="K1055" s="19"/>
    </row>
    <row r="1056" spans="11:11" x14ac:dyDescent="0.35">
      <c r="K1056" s="19"/>
    </row>
    <row r="1057" spans="11:11" x14ac:dyDescent="0.35">
      <c r="K1057" s="19"/>
    </row>
    <row r="1058" spans="11:11" x14ac:dyDescent="0.35">
      <c r="K1058" s="19"/>
    </row>
    <row r="1059" spans="11:11" x14ac:dyDescent="0.35">
      <c r="K1059" s="19"/>
    </row>
    <row r="1060" spans="11:11" x14ac:dyDescent="0.35">
      <c r="K1060" s="19"/>
    </row>
    <row r="1061" spans="11:11" x14ac:dyDescent="0.35">
      <c r="K1061" s="19"/>
    </row>
    <row r="1062" spans="11:11" x14ac:dyDescent="0.35">
      <c r="K1062" s="19"/>
    </row>
    <row r="1063" spans="11:11" x14ac:dyDescent="0.35">
      <c r="K1063" s="19"/>
    </row>
    <row r="1064" spans="11:11" x14ac:dyDescent="0.35">
      <c r="K1064" s="19"/>
    </row>
    <row r="1065" spans="11:11" x14ac:dyDescent="0.35">
      <c r="K1065" s="19"/>
    </row>
    <row r="1066" spans="11:11" x14ac:dyDescent="0.35">
      <c r="K1066" s="19"/>
    </row>
    <row r="1067" spans="11:11" x14ac:dyDescent="0.35">
      <c r="K1067" s="19"/>
    </row>
    <row r="1068" spans="11:11" x14ac:dyDescent="0.35">
      <c r="K1068" s="19"/>
    </row>
    <row r="1069" spans="11:11" x14ac:dyDescent="0.35">
      <c r="K1069" s="19"/>
    </row>
    <row r="1070" spans="11:11" x14ac:dyDescent="0.35">
      <c r="K1070" s="19"/>
    </row>
    <row r="1071" spans="11:11" x14ac:dyDescent="0.35">
      <c r="K1071" s="19"/>
    </row>
    <row r="1072" spans="11:11" x14ac:dyDescent="0.35">
      <c r="K1072" s="19"/>
    </row>
    <row r="1073" spans="11:11" x14ac:dyDescent="0.35">
      <c r="K1073" s="19"/>
    </row>
    <row r="1074" spans="11:11" x14ac:dyDescent="0.35">
      <c r="K1074" s="19"/>
    </row>
    <row r="1075" spans="11:11" x14ac:dyDescent="0.35">
      <c r="K1075" s="19"/>
    </row>
    <row r="1076" spans="11:11" x14ac:dyDescent="0.35">
      <c r="K1076" s="19"/>
    </row>
    <row r="1077" spans="11:11" x14ac:dyDescent="0.35">
      <c r="K1077" s="19"/>
    </row>
    <row r="1078" spans="11:11" x14ac:dyDescent="0.35">
      <c r="K1078" s="19"/>
    </row>
    <row r="1079" spans="11:11" x14ac:dyDescent="0.35">
      <c r="K1079" s="19"/>
    </row>
    <row r="1080" spans="11:11" x14ac:dyDescent="0.35">
      <c r="K1080" s="19"/>
    </row>
    <row r="1081" spans="11:11" x14ac:dyDescent="0.35">
      <c r="K1081" s="19"/>
    </row>
    <row r="1082" spans="11:11" x14ac:dyDescent="0.35">
      <c r="K1082" s="19"/>
    </row>
    <row r="1083" spans="11:11" x14ac:dyDescent="0.35">
      <c r="K1083" s="19"/>
    </row>
    <row r="1084" spans="11:11" x14ac:dyDescent="0.35">
      <c r="K1084" s="19"/>
    </row>
    <row r="1085" spans="11:11" x14ac:dyDescent="0.35">
      <c r="K1085" s="19"/>
    </row>
    <row r="1086" spans="11:11" x14ac:dyDescent="0.35">
      <c r="K1086" s="19"/>
    </row>
    <row r="1087" spans="11:11" x14ac:dyDescent="0.35">
      <c r="K1087" s="19"/>
    </row>
    <row r="1088" spans="11:11" x14ac:dyDescent="0.35">
      <c r="K1088" s="19"/>
    </row>
    <row r="1089" spans="11:11" x14ac:dyDescent="0.35">
      <c r="K1089" s="19"/>
    </row>
    <row r="1090" spans="11:11" x14ac:dyDescent="0.35">
      <c r="K1090" s="19"/>
    </row>
    <row r="1091" spans="11:11" x14ac:dyDescent="0.35">
      <c r="K1091" s="19"/>
    </row>
    <row r="1092" spans="11:11" x14ac:dyDescent="0.35">
      <c r="K1092" s="19"/>
    </row>
    <row r="1093" spans="11:11" x14ac:dyDescent="0.35">
      <c r="K1093" s="19"/>
    </row>
    <row r="1094" spans="11:11" x14ac:dyDescent="0.35">
      <c r="K1094" s="19"/>
    </row>
    <row r="1095" spans="11:11" x14ac:dyDescent="0.35">
      <c r="K1095" s="19"/>
    </row>
    <row r="1096" spans="11:11" x14ac:dyDescent="0.35">
      <c r="K1096" s="19"/>
    </row>
    <row r="1097" spans="11:11" x14ac:dyDescent="0.35">
      <c r="K1097" s="19"/>
    </row>
    <row r="1098" spans="11:11" x14ac:dyDescent="0.35">
      <c r="K1098" s="19"/>
    </row>
    <row r="1099" spans="11:11" x14ac:dyDescent="0.35">
      <c r="K1099" s="19"/>
    </row>
    <row r="1100" spans="11:11" x14ac:dyDescent="0.35">
      <c r="K1100" s="19"/>
    </row>
    <row r="1101" spans="11:11" x14ac:dyDescent="0.35">
      <c r="K1101" s="19"/>
    </row>
    <row r="1102" spans="11:11" x14ac:dyDescent="0.35">
      <c r="K1102" s="19"/>
    </row>
    <row r="1103" spans="11:11" x14ac:dyDescent="0.35">
      <c r="K1103" s="19"/>
    </row>
    <row r="1104" spans="11:11" x14ac:dyDescent="0.35">
      <c r="K1104" s="19"/>
    </row>
    <row r="1105" spans="11:11" x14ac:dyDescent="0.35">
      <c r="K1105" s="19"/>
    </row>
    <row r="1106" spans="11:11" x14ac:dyDescent="0.35">
      <c r="K1106" s="19"/>
    </row>
    <row r="1107" spans="11:11" x14ac:dyDescent="0.35">
      <c r="K1107" s="19"/>
    </row>
    <row r="1108" spans="11:11" x14ac:dyDescent="0.35">
      <c r="K1108" s="19"/>
    </row>
    <row r="1109" spans="11:11" x14ac:dyDescent="0.35">
      <c r="K1109" s="19"/>
    </row>
    <row r="1110" spans="11:11" x14ac:dyDescent="0.35">
      <c r="K1110" s="19"/>
    </row>
    <row r="1111" spans="11:11" x14ac:dyDescent="0.35">
      <c r="K1111" s="19"/>
    </row>
    <row r="1112" spans="11:11" x14ac:dyDescent="0.35">
      <c r="K1112" s="19"/>
    </row>
    <row r="1113" spans="11:11" x14ac:dyDescent="0.35">
      <c r="K1113" s="19"/>
    </row>
    <row r="1114" spans="11:11" x14ac:dyDescent="0.35">
      <c r="K1114" s="19"/>
    </row>
    <row r="1115" spans="11:11" x14ac:dyDescent="0.35">
      <c r="K1115" s="19"/>
    </row>
    <row r="1116" spans="11:11" x14ac:dyDescent="0.35">
      <c r="K1116" s="19"/>
    </row>
    <row r="1117" spans="11:11" x14ac:dyDescent="0.35">
      <c r="K1117" s="19"/>
    </row>
    <row r="1118" spans="11:11" x14ac:dyDescent="0.35">
      <c r="K1118" s="19"/>
    </row>
    <row r="1119" spans="11:11" x14ac:dyDescent="0.35">
      <c r="K1119" s="19"/>
    </row>
    <row r="1120" spans="11:11" x14ac:dyDescent="0.35">
      <c r="K1120" s="19"/>
    </row>
    <row r="1121" spans="11:11" x14ac:dyDescent="0.35">
      <c r="K1121" s="19"/>
    </row>
    <row r="1122" spans="11:11" x14ac:dyDescent="0.35">
      <c r="K1122" s="19"/>
    </row>
    <row r="1123" spans="11:11" x14ac:dyDescent="0.35">
      <c r="K1123" s="19"/>
    </row>
    <row r="1124" spans="11:11" x14ac:dyDescent="0.35">
      <c r="K1124" s="19"/>
    </row>
    <row r="1125" spans="11:11" x14ac:dyDescent="0.35">
      <c r="K1125" s="19"/>
    </row>
    <row r="1126" spans="11:11" x14ac:dyDescent="0.35">
      <c r="K1126" s="19"/>
    </row>
    <row r="1127" spans="11:11" x14ac:dyDescent="0.35">
      <c r="K1127" s="19"/>
    </row>
    <row r="1128" spans="11:11" x14ac:dyDescent="0.35">
      <c r="K1128" s="19"/>
    </row>
    <row r="1129" spans="11:11" x14ac:dyDescent="0.35">
      <c r="K1129" s="19"/>
    </row>
    <row r="1130" spans="11:11" x14ac:dyDescent="0.35">
      <c r="K1130" s="19"/>
    </row>
    <row r="1131" spans="11:11" x14ac:dyDescent="0.35">
      <c r="K1131" s="19"/>
    </row>
    <row r="1132" spans="11:11" x14ac:dyDescent="0.35">
      <c r="K1132" s="19"/>
    </row>
    <row r="1133" spans="11:11" x14ac:dyDescent="0.35">
      <c r="K1133" s="19"/>
    </row>
    <row r="1134" spans="11:11" x14ac:dyDescent="0.35">
      <c r="K1134" s="19"/>
    </row>
    <row r="1135" spans="11:11" x14ac:dyDescent="0.35">
      <c r="K1135" s="19"/>
    </row>
    <row r="1136" spans="11:11" x14ac:dyDescent="0.35">
      <c r="K1136" s="19"/>
    </row>
    <row r="1137" spans="11:11" x14ac:dyDescent="0.35">
      <c r="K1137" s="19"/>
    </row>
    <row r="1138" spans="11:11" x14ac:dyDescent="0.35">
      <c r="K1138" s="19"/>
    </row>
    <row r="1139" spans="11:11" x14ac:dyDescent="0.35">
      <c r="K1139" s="19"/>
    </row>
    <row r="1140" spans="11:11" x14ac:dyDescent="0.35">
      <c r="K1140" s="19"/>
    </row>
    <row r="1141" spans="11:11" x14ac:dyDescent="0.35">
      <c r="K1141" s="19"/>
    </row>
    <row r="1142" spans="11:11" x14ac:dyDescent="0.35">
      <c r="K1142" s="19"/>
    </row>
    <row r="1143" spans="11:11" x14ac:dyDescent="0.35">
      <c r="K1143" s="19"/>
    </row>
    <row r="1144" spans="11:11" x14ac:dyDescent="0.35">
      <c r="K1144" s="19"/>
    </row>
    <row r="1145" spans="11:11" x14ac:dyDescent="0.35">
      <c r="K1145" s="19"/>
    </row>
    <row r="1146" spans="11:11" x14ac:dyDescent="0.35">
      <c r="K1146" s="19"/>
    </row>
    <row r="1147" spans="11:11" x14ac:dyDescent="0.35">
      <c r="K1147" s="19"/>
    </row>
    <row r="1148" spans="11:11" x14ac:dyDescent="0.35">
      <c r="K1148" s="19"/>
    </row>
    <row r="1149" spans="11:11" x14ac:dyDescent="0.35">
      <c r="K1149" s="19"/>
    </row>
    <row r="1150" spans="11:11" x14ac:dyDescent="0.35">
      <c r="K1150" s="19"/>
    </row>
    <row r="1151" spans="11:11" x14ac:dyDescent="0.35">
      <c r="K1151" s="19"/>
    </row>
    <row r="1152" spans="11:11" x14ac:dyDescent="0.35">
      <c r="K1152" s="19"/>
    </row>
    <row r="1153" spans="11:11" x14ac:dyDescent="0.35">
      <c r="K1153" s="19"/>
    </row>
    <row r="1154" spans="11:11" x14ac:dyDescent="0.35">
      <c r="K1154" s="19"/>
    </row>
    <row r="1155" spans="11:11" x14ac:dyDescent="0.35">
      <c r="K1155" s="19"/>
    </row>
    <row r="1156" spans="11:11" x14ac:dyDescent="0.35">
      <c r="K1156" s="19"/>
    </row>
    <row r="1157" spans="11:11" x14ac:dyDescent="0.35">
      <c r="K1157" s="19"/>
    </row>
    <row r="1158" spans="11:11" x14ac:dyDescent="0.35">
      <c r="K1158" s="19"/>
    </row>
    <row r="1159" spans="11:11" x14ac:dyDescent="0.35">
      <c r="K1159" s="19"/>
    </row>
    <row r="1160" spans="11:11" x14ac:dyDescent="0.35">
      <c r="K1160" s="19"/>
    </row>
    <row r="1161" spans="11:11" x14ac:dyDescent="0.35">
      <c r="K1161" s="19"/>
    </row>
    <row r="1162" spans="11:11" x14ac:dyDescent="0.35">
      <c r="K1162" s="19"/>
    </row>
    <row r="1163" spans="11:11" x14ac:dyDescent="0.35">
      <c r="K1163" s="19"/>
    </row>
    <row r="1164" spans="11:11" x14ac:dyDescent="0.35">
      <c r="K1164" s="19"/>
    </row>
    <row r="1165" spans="11:11" x14ac:dyDescent="0.35">
      <c r="K1165" s="19"/>
    </row>
    <row r="1166" spans="11:11" x14ac:dyDescent="0.35">
      <c r="K1166" s="19"/>
    </row>
    <row r="1167" spans="11:11" x14ac:dyDescent="0.35">
      <c r="K1167" s="19"/>
    </row>
    <row r="1168" spans="11:11" x14ac:dyDescent="0.35">
      <c r="K1168" s="19"/>
    </row>
    <row r="1169" spans="11:11" x14ac:dyDescent="0.35">
      <c r="K1169" s="19"/>
    </row>
    <row r="1170" spans="11:11" x14ac:dyDescent="0.35">
      <c r="K1170" s="19"/>
    </row>
    <row r="1171" spans="11:11" x14ac:dyDescent="0.35">
      <c r="K1171" s="19"/>
    </row>
    <row r="1172" spans="11:11" x14ac:dyDescent="0.35">
      <c r="K1172" s="19"/>
    </row>
    <row r="1173" spans="11:11" x14ac:dyDescent="0.35">
      <c r="K1173" s="19"/>
    </row>
    <row r="1174" spans="11:11" x14ac:dyDescent="0.35">
      <c r="K1174" s="19"/>
    </row>
    <row r="1175" spans="11:11" x14ac:dyDescent="0.35">
      <c r="K1175" s="19"/>
    </row>
    <row r="1176" spans="11:11" x14ac:dyDescent="0.35">
      <c r="K1176" s="19"/>
    </row>
    <row r="1177" spans="11:11" x14ac:dyDescent="0.35">
      <c r="K1177" s="19"/>
    </row>
    <row r="1178" spans="11:11" x14ac:dyDescent="0.35">
      <c r="K1178" s="19"/>
    </row>
    <row r="1179" spans="11:11" x14ac:dyDescent="0.35">
      <c r="K1179" s="19"/>
    </row>
    <row r="1180" spans="11:11" x14ac:dyDescent="0.35">
      <c r="K1180" s="19"/>
    </row>
    <row r="1181" spans="11:11" x14ac:dyDescent="0.35">
      <c r="K1181" s="19"/>
    </row>
    <row r="1182" spans="11:11" x14ac:dyDescent="0.35">
      <c r="K1182" s="19"/>
    </row>
    <row r="1183" spans="11:11" x14ac:dyDescent="0.35">
      <c r="K1183" s="19"/>
    </row>
    <row r="1184" spans="11:11" x14ac:dyDescent="0.35">
      <c r="K1184" s="19"/>
    </row>
    <row r="1185" spans="11:11" x14ac:dyDescent="0.35">
      <c r="K1185" s="19"/>
    </row>
    <row r="1186" spans="11:11" x14ac:dyDescent="0.35">
      <c r="K1186" s="19"/>
    </row>
    <row r="1187" spans="11:11" x14ac:dyDescent="0.35">
      <c r="K1187" s="19"/>
    </row>
    <row r="1188" spans="11:11" x14ac:dyDescent="0.35">
      <c r="K1188" s="19"/>
    </row>
    <row r="1189" spans="11:11" x14ac:dyDescent="0.35">
      <c r="K1189" s="19"/>
    </row>
    <row r="1190" spans="11:11" x14ac:dyDescent="0.35">
      <c r="K1190" s="19"/>
    </row>
    <row r="1191" spans="11:11" x14ac:dyDescent="0.35">
      <c r="K1191" s="19"/>
    </row>
    <row r="1192" spans="11:11" x14ac:dyDescent="0.35">
      <c r="K1192" s="19"/>
    </row>
    <row r="1193" spans="11:11" x14ac:dyDescent="0.35">
      <c r="K1193" s="19"/>
    </row>
    <row r="1194" spans="11:11" x14ac:dyDescent="0.35">
      <c r="K1194" s="19"/>
    </row>
    <row r="1195" spans="11:11" x14ac:dyDescent="0.35">
      <c r="K1195" s="19"/>
    </row>
    <row r="1196" spans="11:11" x14ac:dyDescent="0.35">
      <c r="K1196" s="19"/>
    </row>
    <row r="1197" spans="11:11" x14ac:dyDescent="0.35">
      <c r="K1197" s="19"/>
    </row>
    <row r="1198" spans="11:11" x14ac:dyDescent="0.35">
      <c r="K1198" s="19"/>
    </row>
    <row r="1199" spans="11:11" x14ac:dyDescent="0.35">
      <c r="K1199" s="19"/>
    </row>
    <row r="1200" spans="11:11" x14ac:dyDescent="0.35">
      <c r="K1200" s="19"/>
    </row>
    <row r="1201" spans="11:11" x14ac:dyDescent="0.35">
      <c r="K1201" s="19"/>
    </row>
    <row r="1202" spans="11:11" x14ac:dyDescent="0.35">
      <c r="K1202" s="19"/>
    </row>
    <row r="1203" spans="11:11" x14ac:dyDescent="0.35">
      <c r="K1203" s="19"/>
    </row>
    <row r="1204" spans="11:11" x14ac:dyDescent="0.35">
      <c r="K1204" s="19"/>
    </row>
    <row r="1205" spans="11:11" x14ac:dyDescent="0.35">
      <c r="K1205" s="19"/>
    </row>
    <row r="1206" spans="11:11" x14ac:dyDescent="0.35">
      <c r="K1206" s="19"/>
    </row>
    <row r="1207" spans="11:11" x14ac:dyDescent="0.35">
      <c r="K1207" s="19"/>
    </row>
    <row r="1208" spans="11:11" x14ac:dyDescent="0.35">
      <c r="K1208" s="19"/>
    </row>
    <row r="1209" spans="11:11" x14ac:dyDescent="0.35">
      <c r="K1209" s="19"/>
    </row>
    <row r="1210" spans="11:11" x14ac:dyDescent="0.35">
      <c r="K1210" s="19"/>
    </row>
    <row r="1211" spans="11:11" x14ac:dyDescent="0.35">
      <c r="K1211" s="19"/>
    </row>
    <row r="1212" spans="11:11" x14ac:dyDescent="0.35">
      <c r="K1212" s="19"/>
    </row>
    <row r="1213" spans="11:11" x14ac:dyDescent="0.35">
      <c r="K1213" s="19"/>
    </row>
    <row r="1214" spans="11:11" x14ac:dyDescent="0.35">
      <c r="K1214" s="19"/>
    </row>
    <row r="1215" spans="11:11" x14ac:dyDescent="0.35">
      <c r="K1215" s="19"/>
    </row>
    <row r="1216" spans="11:11" x14ac:dyDescent="0.35">
      <c r="K1216" s="19"/>
    </row>
    <row r="1217" spans="11:11" x14ac:dyDescent="0.35">
      <c r="K1217" s="19"/>
    </row>
    <row r="1218" spans="11:11" x14ac:dyDescent="0.35">
      <c r="K1218" s="19"/>
    </row>
    <row r="1219" spans="11:11" x14ac:dyDescent="0.35">
      <c r="K1219" s="19"/>
    </row>
    <row r="1220" spans="11:11" x14ac:dyDescent="0.35">
      <c r="K1220" s="19"/>
    </row>
    <row r="1221" spans="11:11" x14ac:dyDescent="0.35">
      <c r="K1221" s="19"/>
    </row>
    <row r="1222" spans="11:11" x14ac:dyDescent="0.35">
      <c r="K1222" s="19"/>
    </row>
    <row r="1223" spans="11:11" x14ac:dyDescent="0.35">
      <c r="K1223" s="19"/>
    </row>
    <row r="1224" spans="11:11" x14ac:dyDescent="0.35">
      <c r="K1224" s="19"/>
    </row>
    <row r="1225" spans="11:11" x14ac:dyDescent="0.35">
      <c r="K1225" s="19"/>
    </row>
    <row r="1226" spans="11:11" x14ac:dyDescent="0.35">
      <c r="K1226" s="19"/>
    </row>
    <row r="1227" spans="11:11" x14ac:dyDescent="0.35">
      <c r="K1227" s="19"/>
    </row>
    <row r="1228" spans="11:11" x14ac:dyDescent="0.35">
      <c r="K1228" s="19"/>
    </row>
    <row r="1229" spans="11:11" x14ac:dyDescent="0.35">
      <c r="K1229" s="19"/>
    </row>
    <row r="1230" spans="11:11" x14ac:dyDescent="0.35">
      <c r="K1230" s="19"/>
    </row>
    <row r="1231" spans="11:11" x14ac:dyDescent="0.35">
      <c r="K1231" s="19"/>
    </row>
    <row r="1232" spans="11:11" x14ac:dyDescent="0.35">
      <c r="K1232" s="19"/>
    </row>
    <row r="1233" spans="11:11" x14ac:dyDescent="0.35">
      <c r="K1233" s="19"/>
    </row>
    <row r="1234" spans="11:11" x14ac:dyDescent="0.35">
      <c r="K1234" s="19"/>
    </row>
    <row r="1235" spans="11:11" x14ac:dyDescent="0.35">
      <c r="K1235" s="19"/>
    </row>
    <row r="1236" spans="11:11" x14ac:dyDescent="0.35">
      <c r="K1236" s="19"/>
    </row>
    <row r="1237" spans="11:11" x14ac:dyDescent="0.35">
      <c r="K1237" s="19"/>
    </row>
    <row r="1238" spans="11:11" x14ac:dyDescent="0.35">
      <c r="K1238" s="19"/>
    </row>
    <row r="1239" spans="11:11" x14ac:dyDescent="0.35">
      <c r="K1239" s="19"/>
    </row>
    <row r="1240" spans="11:11" x14ac:dyDescent="0.35">
      <c r="K1240" s="19"/>
    </row>
    <row r="1241" spans="11:11" x14ac:dyDescent="0.35">
      <c r="K1241" s="19"/>
    </row>
    <row r="1242" spans="11:11" x14ac:dyDescent="0.35">
      <c r="K1242" s="19"/>
    </row>
    <row r="1243" spans="11:11" x14ac:dyDescent="0.35">
      <c r="K1243" s="19"/>
    </row>
    <row r="1244" spans="11:11" x14ac:dyDescent="0.35">
      <c r="K1244" s="19"/>
    </row>
    <row r="1245" spans="11:11" x14ac:dyDescent="0.35">
      <c r="K1245" s="19"/>
    </row>
    <row r="1246" spans="11:11" x14ac:dyDescent="0.35">
      <c r="K1246" s="19"/>
    </row>
    <row r="1247" spans="11:11" x14ac:dyDescent="0.35">
      <c r="K1247" s="19"/>
    </row>
    <row r="1248" spans="11:11" x14ac:dyDescent="0.35">
      <c r="K1248" s="19"/>
    </row>
    <row r="1249" spans="11:11" x14ac:dyDescent="0.35">
      <c r="K1249" s="19"/>
    </row>
    <row r="1250" spans="11:11" x14ac:dyDescent="0.35">
      <c r="K1250" s="19"/>
    </row>
    <row r="1251" spans="11:11" x14ac:dyDescent="0.35">
      <c r="K1251" s="19"/>
    </row>
    <row r="1252" spans="11:11" x14ac:dyDescent="0.35">
      <c r="K1252" s="19"/>
    </row>
    <row r="1253" spans="11:11" x14ac:dyDescent="0.35">
      <c r="K1253" s="19"/>
    </row>
    <row r="1254" spans="11:11" x14ac:dyDescent="0.35">
      <c r="K1254" s="19"/>
    </row>
    <row r="1255" spans="11:11" x14ac:dyDescent="0.35">
      <c r="K1255" s="19"/>
    </row>
    <row r="1256" spans="11:11" x14ac:dyDescent="0.35">
      <c r="K1256" s="19"/>
    </row>
    <row r="1257" spans="11:11" x14ac:dyDescent="0.35">
      <c r="K1257" s="19"/>
    </row>
    <row r="1258" spans="11:11" x14ac:dyDescent="0.35">
      <c r="K1258" s="19"/>
    </row>
    <row r="1259" spans="11:11" x14ac:dyDescent="0.35">
      <c r="K1259" s="19"/>
    </row>
    <row r="1260" spans="11:11" x14ac:dyDescent="0.35">
      <c r="K1260" s="19"/>
    </row>
    <row r="1261" spans="11:11" x14ac:dyDescent="0.35">
      <c r="K1261" s="19"/>
    </row>
    <row r="1262" spans="11:11" x14ac:dyDescent="0.35">
      <c r="K1262" s="19"/>
    </row>
    <row r="1263" spans="11:11" x14ac:dyDescent="0.35">
      <c r="K1263" s="19"/>
    </row>
    <row r="1264" spans="11:11" x14ac:dyDescent="0.35">
      <c r="K1264" s="19"/>
    </row>
    <row r="1265" spans="11:11" x14ac:dyDescent="0.35">
      <c r="K1265" s="19"/>
    </row>
    <row r="1266" spans="11:11" x14ac:dyDescent="0.35">
      <c r="K1266" s="19"/>
    </row>
    <row r="1267" spans="11:11" x14ac:dyDescent="0.35">
      <c r="K1267" s="19"/>
    </row>
    <row r="1268" spans="11:11" x14ac:dyDescent="0.35">
      <c r="K1268" s="19"/>
    </row>
    <row r="1269" spans="11:11" x14ac:dyDescent="0.35">
      <c r="K1269" s="19"/>
    </row>
    <row r="1270" spans="11:11" x14ac:dyDescent="0.35">
      <c r="K1270" s="19"/>
    </row>
    <row r="1271" spans="11:11" x14ac:dyDescent="0.35">
      <c r="K1271" s="19"/>
    </row>
    <row r="1272" spans="11:11" x14ac:dyDescent="0.35">
      <c r="K1272" s="19"/>
    </row>
    <row r="1273" spans="11:11" x14ac:dyDescent="0.35">
      <c r="K1273" s="19"/>
    </row>
    <row r="1274" spans="11:11" x14ac:dyDescent="0.35">
      <c r="K1274" s="19"/>
    </row>
    <row r="1275" spans="11:11" x14ac:dyDescent="0.35">
      <c r="K1275" s="19"/>
    </row>
    <row r="1276" spans="11:11" x14ac:dyDescent="0.35">
      <c r="K1276" s="19"/>
    </row>
    <row r="1277" spans="11:11" x14ac:dyDescent="0.35">
      <c r="K1277" s="19"/>
    </row>
    <row r="1278" spans="11:11" x14ac:dyDescent="0.35">
      <c r="K1278" s="19"/>
    </row>
    <row r="1279" spans="11:11" x14ac:dyDescent="0.35">
      <c r="K1279" s="19"/>
    </row>
    <row r="1280" spans="11:11" x14ac:dyDescent="0.35">
      <c r="K1280" s="19"/>
    </row>
    <row r="1281" spans="11:11" x14ac:dyDescent="0.35">
      <c r="K1281" s="19"/>
    </row>
    <row r="1282" spans="11:11" x14ac:dyDescent="0.35">
      <c r="K1282" s="19"/>
    </row>
    <row r="1283" spans="11:11" x14ac:dyDescent="0.35">
      <c r="K1283" s="19"/>
    </row>
    <row r="1284" spans="11:11" x14ac:dyDescent="0.35">
      <c r="K1284" s="19"/>
    </row>
    <row r="1285" spans="11:11" x14ac:dyDescent="0.35">
      <c r="K1285" s="19"/>
    </row>
    <row r="1286" spans="11:11" x14ac:dyDescent="0.35">
      <c r="K1286" s="19"/>
    </row>
    <row r="1287" spans="11:11" x14ac:dyDescent="0.35">
      <c r="K1287" s="19"/>
    </row>
    <row r="1288" spans="11:11" x14ac:dyDescent="0.35">
      <c r="K1288" s="19"/>
    </row>
    <row r="1289" spans="11:11" x14ac:dyDescent="0.35">
      <c r="K1289" s="19"/>
    </row>
    <row r="1290" spans="11:11" x14ac:dyDescent="0.35">
      <c r="K1290" s="19"/>
    </row>
    <row r="1291" spans="11:11" x14ac:dyDescent="0.35">
      <c r="K1291" s="19"/>
    </row>
    <row r="1292" spans="11:11" x14ac:dyDescent="0.35">
      <c r="K1292" s="19"/>
    </row>
    <row r="1293" spans="11:11" x14ac:dyDescent="0.35">
      <c r="K1293" s="19"/>
    </row>
    <row r="1294" spans="11:11" x14ac:dyDescent="0.35">
      <c r="K1294" s="19"/>
    </row>
    <row r="1295" spans="11:11" x14ac:dyDescent="0.35">
      <c r="K1295" s="19"/>
    </row>
    <row r="1296" spans="11:11" x14ac:dyDescent="0.35">
      <c r="K1296" s="19"/>
    </row>
    <row r="1297" spans="11:11" x14ac:dyDescent="0.35">
      <c r="K1297" s="19"/>
    </row>
    <row r="1298" spans="11:11" x14ac:dyDescent="0.35">
      <c r="K1298" s="19"/>
    </row>
    <row r="1299" spans="11:11" x14ac:dyDescent="0.35">
      <c r="K1299" s="19"/>
    </row>
    <row r="1300" spans="11:11" x14ac:dyDescent="0.35">
      <c r="K1300" s="19"/>
    </row>
    <row r="1301" spans="11:11" x14ac:dyDescent="0.35">
      <c r="K1301" s="19"/>
    </row>
    <row r="1302" spans="11:11" x14ac:dyDescent="0.35">
      <c r="K1302" s="19"/>
    </row>
    <row r="1303" spans="11:11" x14ac:dyDescent="0.35">
      <c r="K1303" s="19"/>
    </row>
    <row r="1304" spans="11:11" x14ac:dyDescent="0.35">
      <c r="K1304" s="19"/>
    </row>
    <row r="1305" spans="11:11" x14ac:dyDescent="0.35">
      <c r="K1305" s="19"/>
    </row>
    <row r="1306" spans="11:11" x14ac:dyDescent="0.35">
      <c r="K1306" s="19"/>
    </row>
    <row r="1307" spans="11:11" x14ac:dyDescent="0.35">
      <c r="K1307" s="19"/>
    </row>
    <row r="1308" spans="11:11" x14ac:dyDescent="0.35">
      <c r="K1308" s="19"/>
    </row>
    <row r="1309" spans="11:11" x14ac:dyDescent="0.35">
      <c r="K1309" s="19"/>
    </row>
    <row r="1310" spans="11:11" x14ac:dyDescent="0.35">
      <c r="K1310" s="19"/>
    </row>
    <row r="1311" spans="11:11" x14ac:dyDescent="0.35">
      <c r="K1311" s="19"/>
    </row>
    <row r="1312" spans="11:11" x14ac:dyDescent="0.35">
      <c r="K1312" s="19"/>
    </row>
    <row r="1313" spans="11:11" x14ac:dyDescent="0.35">
      <c r="K1313" s="19"/>
    </row>
    <row r="1314" spans="11:11" x14ac:dyDescent="0.35">
      <c r="K1314" s="19"/>
    </row>
    <row r="1315" spans="11:11" x14ac:dyDescent="0.35">
      <c r="K1315" s="19"/>
    </row>
    <row r="1316" spans="11:11" x14ac:dyDescent="0.35">
      <c r="K1316" s="19"/>
    </row>
    <row r="1317" spans="11:11" x14ac:dyDescent="0.35">
      <c r="K1317" s="19"/>
    </row>
    <row r="1318" spans="11:11" x14ac:dyDescent="0.35">
      <c r="K1318" s="19"/>
    </row>
    <row r="1319" spans="11:11" x14ac:dyDescent="0.35">
      <c r="K1319" s="19"/>
    </row>
    <row r="1320" spans="11:11" x14ac:dyDescent="0.35">
      <c r="K1320" s="19"/>
    </row>
    <row r="1321" spans="11:11" x14ac:dyDescent="0.35">
      <c r="K1321" s="19"/>
    </row>
    <row r="1322" spans="11:11" x14ac:dyDescent="0.35">
      <c r="K1322" s="19"/>
    </row>
    <row r="1323" spans="11:11" x14ac:dyDescent="0.35">
      <c r="K1323" s="19"/>
    </row>
    <row r="1324" spans="11:11" x14ac:dyDescent="0.35">
      <c r="K1324" s="19"/>
    </row>
    <row r="1325" spans="11:11" x14ac:dyDescent="0.35">
      <c r="K1325" s="19"/>
    </row>
    <row r="1326" spans="11:11" x14ac:dyDescent="0.35">
      <c r="K1326" s="19"/>
    </row>
    <row r="1327" spans="11:11" x14ac:dyDescent="0.35">
      <c r="K1327" s="19"/>
    </row>
    <row r="1328" spans="11:11" x14ac:dyDescent="0.35">
      <c r="K1328" s="19"/>
    </row>
    <row r="1329" spans="11:11" x14ac:dyDescent="0.35">
      <c r="K1329" s="19"/>
    </row>
    <row r="1330" spans="11:11" x14ac:dyDescent="0.35">
      <c r="K1330" s="19"/>
    </row>
    <row r="1331" spans="11:11" x14ac:dyDescent="0.35">
      <c r="K1331" s="19"/>
    </row>
    <row r="1332" spans="11:11" x14ac:dyDescent="0.35">
      <c r="K1332" s="19"/>
    </row>
    <row r="1333" spans="11:11" x14ac:dyDescent="0.35">
      <c r="K1333" s="19"/>
    </row>
    <row r="1334" spans="11:11" x14ac:dyDescent="0.35">
      <c r="K1334" s="19"/>
    </row>
    <row r="1335" spans="11:11" x14ac:dyDescent="0.35">
      <c r="K1335" s="19"/>
    </row>
    <row r="1336" spans="11:11" x14ac:dyDescent="0.35">
      <c r="K1336" s="19"/>
    </row>
    <row r="1337" spans="11:11" x14ac:dyDescent="0.35">
      <c r="K1337" s="19"/>
    </row>
    <row r="1338" spans="11:11" x14ac:dyDescent="0.35">
      <c r="K1338" s="19"/>
    </row>
    <row r="1339" spans="11:11" x14ac:dyDescent="0.35">
      <c r="K1339" s="19"/>
    </row>
    <row r="1340" spans="11:11" x14ac:dyDescent="0.35">
      <c r="K1340" s="19"/>
    </row>
    <row r="1341" spans="11:11" x14ac:dyDescent="0.35">
      <c r="K1341" s="19"/>
    </row>
    <row r="1342" spans="11:11" x14ac:dyDescent="0.35">
      <c r="K1342" s="19"/>
    </row>
    <row r="1343" spans="11:11" x14ac:dyDescent="0.35">
      <c r="K1343" s="19"/>
    </row>
    <row r="1344" spans="11:11" x14ac:dyDescent="0.35">
      <c r="K1344" s="19"/>
    </row>
    <row r="1345" spans="11:11" x14ac:dyDescent="0.35">
      <c r="K1345" s="19"/>
    </row>
    <row r="1346" spans="11:11" x14ac:dyDescent="0.35">
      <c r="K1346" s="19"/>
    </row>
    <row r="1347" spans="11:11" x14ac:dyDescent="0.35">
      <c r="K1347" s="19"/>
    </row>
    <row r="1348" spans="11:11" x14ac:dyDescent="0.35">
      <c r="K1348" s="19"/>
    </row>
    <row r="1349" spans="11:11" x14ac:dyDescent="0.35">
      <c r="K1349" s="19"/>
    </row>
    <row r="1350" spans="11:11" x14ac:dyDescent="0.35">
      <c r="K1350" s="19"/>
    </row>
    <row r="1351" spans="11:11" x14ac:dyDescent="0.35">
      <c r="K1351" s="19"/>
    </row>
    <row r="1352" spans="11:11" x14ac:dyDescent="0.35">
      <c r="K1352" s="19"/>
    </row>
    <row r="1353" spans="11:11" x14ac:dyDescent="0.35">
      <c r="K1353" s="19"/>
    </row>
    <row r="1354" spans="11:11" x14ac:dyDescent="0.35">
      <c r="K1354" s="19"/>
    </row>
    <row r="1355" spans="11:11" x14ac:dyDescent="0.35">
      <c r="K1355" s="19"/>
    </row>
    <row r="1356" spans="11:11" x14ac:dyDescent="0.35">
      <c r="K1356" s="19"/>
    </row>
    <row r="1357" spans="11:11" x14ac:dyDescent="0.35">
      <c r="K1357" s="19"/>
    </row>
    <row r="1358" spans="11:11" x14ac:dyDescent="0.35">
      <c r="K1358" s="19"/>
    </row>
    <row r="1359" spans="11:11" x14ac:dyDescent="0.35">
      <c r="K1359" s="19"/>
    </row>
    <row r="1360" spans="11:11" x14ac:dyDescent="0.35">
      <c r="K1360" s="19"/>
    </row>
    <row r="1361" spans="11:11" x14ac:dyDescent="0.35">
      <c r="K1361" s="19"/>
    </row>
    <row r="1362" spans="11:11" x14ac:dyDescent="0.35">
      <c r="K1362" s="19"/>
    </row>
    <row r="1363" spans="11:11" x14ac:dyDescent="0.35">
      <c r="K1363" s="19"/>
    </row>
    <row r="1364" spans="11:11" x14ac:dyDescent="0.35">
      <c r="K1364" s="19"/>
    </row>
    <row r="1365" spans="11:11" x14ac:dyDescent="0.35">
      <c r="K1365" s="19"/>
    </row>
    <row r="1366" spans="11:11" x14ac:dyDescent="0.35">
      <c r="K1366" s="19"/>
    </row>
    <row r="1367" spans="11:11" x14ac:dyDescent="0.35">
      <c r="K1367" s="19"/>
    </row>
    <row r="1368" spans="11:11" x14ac:dyDescent="0.35">
      <c r="K1368" s="19"/>
    </row>
    <row r="1369" spans="11:11" x14ac:dyDescent="0.35">
      <c r="K1369" s="19"/>
    </row>
    <row r="1370" spans="11:11" x14ac:dyDescent="0.35">
      <c r="K1370" s="19"/>
    </row>
    <row r="1371" spans="11:11" x14ac:dyDescent="0.35">
      <c r="K1371" s="19"/>
    </row>
    <row r="1372" spans="11:11" x14ac:dyDescent="0.35">
      <c r="K1372" s="19"/>
    </row>
    <row r="1373" spans="11:11" x14ac:dyDescent="0.35">
      <c r="K1373" s="19"/>
    </row>
    <row r="1374" spans="11:11" x14ac:dyDescent="0.35">
      <c r="K1374" s="19"/>
    </row>
    <row r="1375" spans="11:11" x14ac:dyDescent="0.35">
      <c r="K1375" s="19"/>
    </row>
    <row r="1376" spans="11:11" x14ac:dyDescent="0.35">
      <c r="K1376" s="19"/>
    </row>
    <row r="1377" spans="11:11" x14ac:dyDescent="0.35">
      <c r="K1377" s="19"/>
    </row>
    <row r="1378" spans="11:11" x14ac:dyDescent="0.35">
      <c r="K1378" s="19"/>
    </row>
    <row r="1379" spans="11:11" x14ac:dyDescent="0.35">
      <c r="K1379" s="19"/>
    </row>
    <row r="1380" spans="11:11" x14ac:dyDescent="0.35">
      <c r="K1380" s="19"/>
    </row>
    <row r="1381" spans="11:11" x14ac:dyDescent="0.35">
      <c r="K1381" s="19"/>
    </row>
    <row r="1382" spans="11:11" x14ac:dyDescent="0.35">
      <c r="K1382" s="19"/>
    </row>
    <row r="1383" spans="11:11" x14ac:dyDescent="0.35">
      <c r="K1383" s="19"/>
    </row>
    <row r="1384" spans="11:11" x14ac:dyDescent="0.35">
      <c r="K1384" s="19"/>
    </row>
    <row r="1385" spans="11:11" x14ac:dyDescent="0.35">
      <c r="K1385" s="19"/>
    </row>
    <row r="1386" spans="11:11" x14ac:dyDescent="0.35">
      <c r="K1386" s="19"/>
    </row>
    <row r="1387" spans="11:11" x14ac:dyDescent="0.35">
      <c r="K1387" s="19"/>
    </row>
    <row r="1388" spans="11:11" x14ac:dyDescent="0.35">
      <c r="K1388" s="19"/>
    </row>
    <row r="1389" spans="11:11" x14ac:dyDescent="0.35">
      <c r="K1389" s="19"/>
    </row>
    <row r="1390" spans="11:11" x14ac:dyDescent="0.35">
      <c r="K1390" s="19"/>
    </row>
    <row r="1391" spans="11:11" x14ac:dyDescent="0.35">
      <c r="K1391" s="19"/>
    </row>
    <row r="1392" spans="11:11" x14ac:dyDescent="0.35">
      <c r="K1392" s="19"/>
    </row>
    <row r="1393" spans="11:11" x14ac:dyDescent="0.35">
      <c r="K1393" s="19"/>
    </row>
    <row r="1394" spans="11:11" x14ac:dyDescent="0.35">
      <c r="K1394" s="19"/>
    </row>
    <row r="1395" spans="11:11" x14ac:dyDescent="0.35">
      <c r="K1395" s="19"/>
    </row>
    <row r="1396" spans="11:11" x14ac:dyDescent="0.35">
      <c r="K1396" s="19"/>
    </row>
    <row r="1397" spans="11:11" x14ac:dyDescent="0.35">
      <c r="K1397" s="19"/>
    </row>
    <row r="1398" spans="11:11" x14ac:dyDescent="0.35">
      <c r="K1398" s="19"/>
    </row>
    <row r="1399" spans="11:11" x14ac:dyDescent="0.35">
      <c r="K1399" s="19"/>
    </row>
    <row r="1400" spans="11:11" x14ac:dyDescent="0.35">
      <c r="K1400" s="19"/>
    </row>
    <row r="1401" spans="11:11" x14ac:dyDescent="0.35">
      <c r="K1401" s="19"/>
    </row>
    <row r="1402" spans="11:11" x14ac:dyDescent="0.35">
      <c r="K1402" s="19"/>
    </row>
    <row r="1403" spans="11:11" x14ac:dyDescent="0.35">
      <c r="K1403" s="19"/>
    </row>
    <row r="1404" spans="11:11" x14ac:dyDescent="0.35">
      <c r="K1404" s="19"/>
    </row>
    <row r="1405" spans="11:11" x14ac:dyDescent="0.35">
      <c r="K1405" s="19"/>
    </row>
    <row r="1406" spans="11:11" x14ac:dyDescent="0.35">
      <c r="K1406" s="19"/>
    </row>
    <row r="1407" spans="11:11" x14ac:dyDescent="0.35">
      <c r="K1407" s="19"/>
    </row>
    <row r="1408" spans="11:11" x14ac:dyDescent="0.35">
      <c r="K1408" s="19"/>
    </row>
    <row r="1409" spans="11:11" x14ac:dyDescent="0.35">
      <c r="K1409" s="19"/>
    </row>
    <row r="1410" spans="11:11" x14ac:dyDescent="0.35">
      <c r="K1410" s="19"/>
    </row>
    <row r="1411" spans="11:11" x14ac:dyDescent="0.35">
      <c r="K1411" s="19"/>
    </row>
    <row r="1412" spans="11:11" x14ac:dyDescent="0.35">
      <c r="K1412" s="19"/>
    </row>
    <row r="1413" spans="11:11" x14ac:dyDescent="0.35">
      <c r="K1413" s="19"/>
    </row>
    <row r="1414" spans="11:11" x14ac:dyDescent="0.35">
      <c r="K1414" s="19"/>
    </row>
    <row r="1415" spans="11:11" x14ac:dyDescent="0.35">
      <c r="K1415" s="19"/>
    </row>
    <row r="1416" spans="11:11" x14ac:dyDescent="0.35">
      <c r="K1416" s="19"/>
    </row>
    <row r="1417" spans="11:11" x14ac:dyDescent="0.35">
      <c r="K1417" s="19"/>
    </row>
    <row r="1418" spans="11:11" x14ac:dyDescent="0.35">
      <c r="K1418" s="19"/>
    </row>
    <row r="1419" spans="11:11" x14ac:dyDescent="0.35">
      <c r="K1419" s="19"/>
    </row>
    <row r="1420" spans="11:11" x14ac:dyDescent="0.35">
      <c r="K1420" s="19"/>
    </row>
    <row r="1421" spans="11:11" x14ac:dyDescent="0.35">
      <c r="K1421" s="19"/>
    </row>
    <row r="1422" spans="11:11" x14ac:dyDescent="0.35">
      <c r="K1422" s="19"/>
    </row>
    <row r="1423" spans="11:11" x14ac:dyDescent="0.35">
      <c r="K1423" s="19"/>
    </row>
    <row r="1424" spans="11:11" x14ac:dyDescent="0.35">
      <c r="K1424" s="19"/>
    </row>
    <row r="1425" spans="11:11" x14ac:dyDescent="0.35">
      <c r="K1425" s="19"/>
    </row>
    <row r="1426" spans="11:11" x14ac:dyDescent="0.35">
      <c r="K1426" s="19"/>
    </row>
    <row r="1427" spans="11:11" x14ac:dyDescent="0.35">
      <c r="K1427" s="19"/>
    </row>
    <row r="1428" spans="11:11" x14ac:dyDescent="0.35">
      <c r="K1428" s="19"/>
    </row>
    <row r="1429" spans="11:11" x14ac:dyDescent="0.35">
      <c r="K1429" s="19"/>
    </row>
    <row r="1430" spans="11:11" x14ac:dyDescent="0.35">
      <c r="K1430" s="19"/>
    </row>
    <row r="1431" spans="11:11" x14ac:dyDescent="0.35">
      <c r="K1431" s="19"/>
    </row>
    <row r="1432" spans="11:11" x14ac:dyDescent="0.35">
      <c r="K1432" s="19"/>
    </row>
    <row r="1433" spans="11:11" x14ac:dyDescent="0.35">
      <c r="K1433" s="19"/>
    </row>
    <row r="1434" spans="11:11" x14ac:dyDescent="0.35">
      <c r="K1434" s="19"/>
    </row>
    <row r="1435" spans="11:11" x14ac:dyDescent="0.35">
      <c r="K1435" s="19"/>
    </row>
    <row r="1436" spans="11:11" x14ac:dyDescent="0.35">
      <c r="K1436" s="19"/>
    </row>
    <row r="1437" spans="11:11" x14ac:dyDescent="0.35">
      <c r="K1437" s="19"/>
    </row>
    <row r="1438" spans="11:11" x14ac:dyDescent="0.35">
      <c r="K1438" s="19"/>
    </row>
    <row r="1439" spans="11:11" x14ac:dyDescent="0.35">
      <c r="K1439" s="19"/>
    </row>
    <row r="1440" spans="11:11" x14ac:dyDescent="0.35">
      <c r="K1440" s="19"/>
    </row>
    <row r="1441" spans="11:11" x14ac:dyDescent="0.35">
      <c r="K1441" s="19"/>
    </row>
    <row r="1442" spans="11:11" x14ac:dyDescent="0.35">
      <c r="K1442" s="19"/>
    </row>
    <row r="1443" spans="11:11" x14ac:dyDescent="0.35">
      <c r="K1443" s="19"/>
    </row>
    <row r="1444" spans="11:11" x14ac:dyDescent="0.35">
      <c r="K1444" s="19"/>
    </row>
    <row r="1445" spans="11:11" x14ac:dyDescent="0.35">
      <c r="K1445" s="19"/>
    </row>
    <row r="1446" spans="11:11" x14ac:dyDescent="0.35">
      <c r="K1446" s="19"/>
    </row>
    <row r="1447" spans="11:11" x14ac:dyDescent="0.35">
      <c r="K1447" s="19"/>
    </row>
    <row r="1448" spans="11:11" x14ac:dyDescent="0.35">
      <c r="K1448" s="19"/>
    </row>
    <row r="1449" spans="11:11" x14ac:dyDescent="0.35">
      <c r="K1449" s="19"/>
    </row>
    <row r="1450" spans="11:11" x14ac:dyDescent="0.35">
      <c r="K1450" s="19"/>
    </row>
    <row r="1451" spans="11:11" x14ac:dyDescent="0.35">
      <c r="K1451" s="19"/>
    </row>
    <row r="1452" spans="11:11" x14ac:dyDescent="0.35">
      <c r="K1452" s="19"/>
    </row>
    <row r="1453" spans="11:11" x14ac:dyDescent="0.35">
      <c r="K1453" s="19"/>
    </row>
    <row r="1454" spans="11:11" x14ac:dyDescent="0.35">
      <c r="K1454" s="19"/>
    </row>
    <row r="1455" spans="11:11" x14ac:dyDescent="0.35">
      <c r="K1455" s="19"/>
    </row>
    <row r="1456" spans="11:11" x14ac:dyDescent="0.35">
      <c r="K1456" s="19"/>
    </row>
    <row r="1457" spans="11:11" x14ac:dyDescent="0.35">
      <c r="K1457" s="19"/>
    </row>
    <row r="1458" spans="11:11" x14ac:dyDescent="0.35">
      <c r="K1458" s="19"/>
    </row>
    <row r="1459" spans="11:11" x14ac:dyDescent="0.35">
      <c r="K1459" s="19"/>
    </row>
    <row r="1460" spans="11:11" x14ac:dyDescent="0.35">
      <c r="K1460" s="19"/>
    </row>
    <row r="1461" spans="11:11" x14ac:dyDescent="0.35">
      <c r="K1461" s="19"/>
    </row>
    <row r="1462" spans="11:11" x14ac:dyDescent="0.35">
      <c r="K1462" s="19"/>
    </row>
    <row r="1463" spans="11:11" x14ac:dyDescent="0.35">
      <c r="K1463" s="19"/>
    </row>
    <row r="1464" spans="11:11" x14ac:dyDescent="0.35">
      <c r="K1464" s="19"/>
    </row>
    <row r="1465" spans="11:11" x14ac:dyDescent="0.35">
      <c r="K1465" s="19"/>
    </row>
    <row r="1466" spans="11:11" x14ac:dyDescent="0.35">
      <c r="K1466" s="19"/>
    </row>
    <row r="1467" spans="11:11" x14ac:dyDescent="0.35">
      <c r="K1467" s="19"/>
    </row>
    <row r="1468" spans="11:11" x14ac:dyDescent="0.35">
      <c r="K1468" s="19"/>
    </row>
    <row r="1469" spans="11:11" x14ac:dyDescent="0.35">
      <c r="K1469" s="19"/>
    </row>
    <row r="1470" spans="11:11" x14ac:dyDescent="0.35">
      <c r="K1470" s="19"/>
    </row>
    <row r="1471" spans="11:11" x14ac:dyDescent="0.35">
      <c r="K1471" s="19"/>
    </row>
    <row r="1472" spans="11:11" x14ac:dyDescent="0.35">
      <c r="K1472" s="19"/>
    </row>
    <row r="1473" spans="11:11" x14ac:dyDescent="0.35">
      <c r="K1473" s="19"/>
    </row>
    <row r="1474" spans="11:11" x14ac:dyDescent="0.35">
      <c r="K1474" s="19"/>
    </row>
    <row r="1475" spans="11:11" x14ac:dyDescent="0.35">
      <c r="K1475" s="19"/>
    </row>
    <row r="1476" spans="11:11" x14ac:dyDescent="0.35">
      <c r="K1476" s="19"/>
    </row>
    <row r="1477" spans="11:11" x14ac:dyDescent="0.35">
      <c r="K1477" s="19"/>
    </row>
    <row r="1478" spans="11:11" x14ac:dyDescent="0.35">
      <c r="K1478" s="19"/>
    </row>
    <row r="1479" spans="11:11" x14ac:dyDescent="0.35">
      <c r="K1479" s="19"/>
    </row>
    <row r="1480" spans="11:11" x14ac:dyDescent="0.35">
      <c r="K1480" s="19"/>
    </row>
    <row r="1481" spans="11:11" x14ac:dyDescent="0.35">
      <c r="K1481" s="19"/>
    </row>
    <row r="1482" spans="11:11" x14ac:dyDescent="0.35">
      <c r="K1482" s="19"/>
    </row>
    <row r="1483" spans="11:11" x14ac:dyDescent="0.35">
      <c r="K1483" s="19"/>
    </row>
    <row r="1484" spans="11:11" x14ac:dyDescent="0.35">
      <c r="K1484" s="19"/>
    </row>
    <row r="1485" spans="11:11" x14ac:dyDescent="0.35">
      <c r="K1485" s="19"/>
    </row>
    <row r="1486" spans="11:11" x14ac:dyDescent="0.35">
      <c r="K1486" s="19"/>
    </row>
    <row r="1487" spans="11:11" x14ac:dyDescent="0.35">
      <c r="K1487" s="19"/>
    </row>
    <row r="1488" spans="11:11" x14ac:dyDescent="0.35">
      <c r="K1488" s="19"/>
    </row>
    <row r="1489" spans="11:11" x14ac:dyDescent="0.35">
      <c r="K1489" s="19"/>
    </row>
    <row r="1490" spans="11:11" x14ac:dyDescent="0.35">
      <c r="K1490" s="19"/>
    </row>
    <row r="1491" spans="11:11" x14ac:dyDescent="0.35">
      <c r="K1491" s="19"/>
    </row>
    <row r="1492" spans="11:11" x14ac:dyDescent="0.35">
      <c r="K1492" s="19"/>
    </row>
    <row r="1493" spans="11:11" x14ac:dyDescent="0.35">
      <c r="K1493" s="19"/>
    </row>
    <row r="1494" spans="11:11" x14ac:dyDescent="0.35">
      <c r="K1494" s="19"/>
    </row>
    <row r="1495" spans="11:11" x14ac:dyDescent="0.35">
      <c r="K1495" s="19"/>
    </row>
    <row r="1496" spans="11:11" x14ac:dyDescent="0.35">
      <c r="K1496" s="19"/>
    </row>
    <row r="1497" spans="11:11" x14ac:dyDescent="0.35">
      <c r="K1497" s="19"/>
    </row>
    <row r="1498" spans="11:11" x14ac:dyDescent="0.35">
      <c r="K1498" s="19"/>
    </row>
    <row r="1499" spans="11:11" x14ac:dyDescent="0.35">
      <c r="K1499" s="19"/>
    </row>
    <row r="1500" spans="11:11" x14ac:dyDescent="0.35">
      <c r="K1500" s="19"/>
    </row>
    <row r="1501" spans="11:11" x14ac:dyDescent="0.35">
      <c r="K1501" s="19"/>
    </row>
    <row r="1502" spans="11:11" x14ac:dyDescent="0.35">
      <c r="K1502" s="19"/>
    </row>
    <row r="1503" spans="11:11" x14ac:dyDescent="0.35">
      <c r="K1503" s="19"/>
    </row>
    <row r="1504" spans="11:11" x14ac:dyDescent="0.35">
      <c r="K1504" s="19"/>
    </row>
    <row r="1505" spans="11:11" x14ac:dyDescent="0.35">
      <c r="K1505" s="19"/>
    </row>
    <row r="1506" spans="11:11" x14ac:dyDescent="0.35">
      <c r="K1506" s="19"/>
    </row>
    <row r="1507" spans="11:11" x14ac:dyDescent="0.35">
      <c r="K1507" s="19"/>
    </row>
    <row r="1508" spans="11:11" x14ac:dyDescent="0.35">
      <c r="K1508" s="19"/>
    </row>
    <row r="1509" spans="11:11" x14ac:dyDescent="0.35">
      <c r="K1509" s="19"/>
    </row>
    <row r="1510" spans="11:11" x14ac:dyDescent="0.35">
      <c r="K1510" s="19"/>
    </row>
    <row r="1511" spans="11:11" x14ac:dyDescent="0.35">
      <c r="K1511" s="19"/>
    </row>
    <row r="1512" spans="11:11" x14ac:dyDescent="0.35">
      <c r="K1512" s="19"/>
    </row>
    <row r="1513" spans="11:11" x14ac:dyDescent="0.35">
      <c r="K1513" s="19"/>
    </row>
    <row r="1514" spans="11:11" x14ac:dyDescent="0.35">
      <c r="K1514" s="19"/>
    </row>
    <row r="1515" spans="11:11" x14ac:dyDescent="0.35">
      <c r="K1515" s="19"/>
    </row>
    <row r="1516" spans="11:11" x14ac:dyDescent="0.35">
      <c r="K1516" s="19"/>
    </row>
    <row r="1517" spans="11:11" x14ac:dyDescent="0.35">
      <c r="K1517" s="19"/>
    </row>
    <row r="1518" spans="11:11" x14ac:dyDescent="0.35">
      <c r="K1518" s="19"/>
    </row>
    <row r="1519" spans="11:11" x14ac:dyDescent="0.35">
      <c r="K1519" s="19"/>
    </row>
    <row r="1520" spans="11:11" x14ac:dyDescent="0.35">
      <c r="K1520" s="19"/>
    </row>
    <row r="1521" spans="11:11" x14ac:dyDescent="0.35">
      <c r="K1521" s="19"/>
    </row>
    <row r="1522" spans="11:11" x14ac:dyDescent="0.35">
      <c r="K1522" s="19"/>
    </row>
    <row r="1523" spans="11:11" x14ac:dyDescent="0.35">
      <c r="K1523" s="19"/>
    </row>
    <row r="1524" spans="11:11" x14ac:dyDescent="0.35">
      <c r="K1524" s="19"/>
    </row>
    <row r="1525" spans="11:11" x14ac:dyDescent="0.35">
      <c r="K1525" s="19"/>
    </row>
    <row r="1526" spans="11:11" x14ac:dyDescent="0.35">
      <c r="K1526" s="19"/>
    </row>
    <row r="1527" spans="11:11" x14ac:dyDescent="0.35">
      <c r="K1527" s="19"/>
    </row>
    <row r="1528" spans="11:11" x14ac:dyDescent="0.35">
      <c r="K1528" s="19"/>
    </row>
    <row r="1529" spans="11:11" x14ac:dyDescent="0.35">
      <c r="K1529" s="19"/>
    </row>
    <row r="1530" spans="11:11" x14ac:dyDescent="0.35">
      <c r="K1530" s="19"/>
    </row>
    <row r="1531" spans="11:11" x14ac:dyDescent="0.35">
      <c r="K1531" s="19"/>
    </row>
    <row r="1532" spans="11:11" x14ac:dyDescent="0.35">
      <c r="K1532" s="19"/>
    </row>
    <row r="1533" spans="11:11" x14ac:dyDescent="0.35">
      <c r="K1533" s="19"/>
    </row>
    <row r="1534" spans="11:11" x14ac:dyDescent="0.35">
      <c r="K1534" s="19"/>
    </row>
    <row r="1535" spans="11:11" x14ac:dyDescent="0.35">
      <c r="K1535" s="19"/>
    </row>
    <row r="1536" spans="11:11" x14ac:dyDescent="0.35">
      <c r="K1536" s="19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Q35"/>
  <sheetViews>
    <sheetView zoomScale="70" zoomScaleNormal="70" workbookViewId="0">
      <pane ySplit="2" topLeftCell="A12" activePane="bottomLeft" state="frozen"/>
      <selection pane="bottomLeft" activeCell="P18" sqref="P18"/>
    </sheetView>
  </sheetViews>
  <sheetFormatPr defaultRowHeight="14.5" x14ac:dyDescent="0.35"/>
  <cols>
    <col min="1" max="1" width="14" customWidth="1"/>
    <col min="2" max="2" width="2" customWidth="1"/>
    <col min="3" max="3" width="11.81640625" style="6" customWidth="1"/>
    <col min="4" max="4" width="13.54296875" style="13" customWidth="1"/>
    <col min="5" max="5" width="13.81640625" customWidth="1"/>
    <col min="6" max="6" width="13.81640625" style="15" customWidth="1"/>
    <col min="7" max="7" width="14.81640625" customWidth="1"/>
    <col min="8" max="8" width="14.81640625" style="6" customWidth="1"/>
    <col min="9" max="9" width="2.1796875" style="9" customWidth="1"/>
    <col min="10" max="10" width="10.453125" style="6" customWidth="1"/>
    <col min="11" max="11" width="14.1796875" customWidth="1"/>
    <col min="12" max="12" width="8.81640625" customWidth="1"/>
    <col min="13" max="13" width="13.81640625" customWidth="1"/>
    <col min="14" max="14" width="8.81640625" customWidth="1"/>
    <col min="15" max="15" width="12.54296875" customWidth="1"/>
    <col min="16" max="17" width="13" style="19" customWidth="1"/>
  </cols>
  <sheetData>
    <row r="1" spans="1:17" ht="10.5" customHeight="1" thickBot="1" x14ac:dyDescent="0.65">
      <c r="A1" s="1"/>
      <c r="B1" s="35"/>
      <c r="C1" s="1"/>
      <c r="D1" s="11"/>
      <c r="E1" s="1"/>
      <c r="F1" s="14"/>
      <c r="G1" s="1"/>
      <c r="H1" s="1"/>
      <c r="I1" s="36"/>
      <c r="J1" s="41"/>
      <c r="K1" s="42"/>
      <c r="L1" s="42"/>
      <c r="M1" s="42"/>
      <c r="N1" s="42"/>
      <c r="O1" s="42"/>
      <c r="P1" s="20"/>
      <c r="Q1" s="20"/>
    </row>
    <row r="2" spans="1:17" ht="35.25" customHeight="1" thickBot="1" x14ac:dyDescent="0.4">
      <c r="A2" s="18" t="s">
        <v>12</v>
      </c>
      <c r="B2" s="35"/>
      <c r="C2" s="43" t="s">
        <v>26</v>
      </c>
      <c r="D2" s="44"/>
      <c r="E2" s="39" t="s">
        <v>30</v>
      </c>
      <c r="F2" s="39"/>
      <c r="G2" s="39" t="s">
        <v>31</v>
      </c>
      <c r="H2" s="39"/>
      <c r="I2" s="37"/>
      <c r="J2" s="39" t="s">
        <v>29</v>
      </c>
      <c r="K2" s="39"/>
      <c r="L2" s="39" t="s">
        <v>32</v>
      </c>
      <c r="M2" s="39"/>
      <c r="N2" s="45" t="s">
        <v>33</v>
      </c>
      <c r="O2" s="46"/>
      <c r="P2" s="10"/>
      <c r="Q2" s="10"/>
    </row>
    <row r="3" spans="1:17" ht="44.25" customHeight="1" x14ac:dyDescent="0.35">
      <c r="A3" s="2" t="s">
        <v>0</v>
      </c>
      <c r="B3" s="35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12" t="s">
        <v>28</v>
      </c>
      <c r="I3" s="37"/>
      <c r="J3" s="4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35">
      <c r="A4" s="7">
        <v>43890</v>
      </c>
      <c r="B4" s="35"/>
      <c r="C4" s="17">
        <v>20767992</v>
      </c>
      <c r="D4" s="40">
        <v>10698</v>
      </c>
      <c r="E4" s="17">
        <v>717423</v>
      </c>
      <c r="F4" s="40">
        <f>IF((E5-E4&lt;0), "",E5-E4)</f>
        <v>1511</v>
      </c>
      <c r="G4" s="17">
        <v>1528</v>
      </c>
      <c r="H4" s="40">
        <f>IF((G5-G4&lt;0), "",G5-G4)</f>
        <v>0</v>
      </c>
      <c r="I4" s="37"/>
      <c r="J4" s="17">
        <v>45063</v>
      </c>
      <c r="K4" s="40">
        <f>IF((J5-J4&lt;0), "",J5-J4)</f>
        <v>29</v>
      </c>
      <c r="L4" s="17">
        <v>40225</v>
      </c>
      <c r="M4" s="40">
        <f>IF((L5-L4&lt;0), "",L5-L4)</f>
        <v>53</v>
      </c>
      <c r="N4" s="17">
        <v>425531</v>
      </c>
      <c r="O4" s="47">
        <f>IF((N5-N4&lt;0), "",N5-N4)</f>
        <v>83</v>
      </c>
      <c r="P4" s="20">
        <v>27</v>
      </c>
      <c r="Q4" s="20">
        <v>54</v>
      </c>
    </row>
    <row r="5" spans="1:17" ht="33" customHeight="1" x14ac:dyDescent="0.35">
      <c r="A5" s="7">
        <v>43891</v>
      </c>
      <c r="B5" s="35"/>
      <c r="C5" s="17">
        <v>20771534</v>
      </c>
      <c r="D5" s="40"/>
      <c r="E5" s="17">
        <v>718934</v>
      </c>
      <c r="F5" s="40"/>
      <c r="G5" s="17">
        <v>1528</v>
      </c>
      <c r="H5" s="40"/>
      <c r="I5" s="37"/>
      <c r="J5" s="17">
        <v>45092</v>
      </c>
      <c r="K5" s="40"/>
      <c r="L5" s="17">
        <v>40278</v>
      </c>
      <c r="M5" s="40"/>
      <c r="N5" s="17">
        <v>425614</v>
      </c>
      <c r="O5" s="48"/>
      <c r="P5" s="22">
        <v>16</v>
      </c>
      <c r="Q5" s="22">
        <v>75</v>
      </c>
    </row>
    <row r="6" spans="1:17" ht="45" customHeight="1" x14ac:dyDescent="0.45">
      <c r="A6" s="7">
        <v>43892</v>
      </c>
      <c r="B6" s="35"/>
      <c r="C6" s="17">
        <v>20774915</v>
      </c>
      <c r="D6" s="8">
        <f>IF((C6-C5&lt;0), "",(C6-C5)*3)</f>
        <v>10143</v>
      </c>
      <c r="E6" s="17">
        <v>720273</v>
      </c>
      <c r="F6" s="8">
        <f t="shared" ref="F6:F32" si="0">IF((E6-E5&lt;0), "",E6-E5)</f>
        <v>1339</v>
      </c>
      <c r="G6" s="17">
        <v>1528</v>
      </c>
      <c r="H6" s="8">
        <f>IF((G6-G5&lt;0), "",G6-G5)</f>
        <v>0</v>
      </c>
      <c r="I6" s="38"/>
      <c r="J6" s="17">
        <v>45122</v>
      </c>
      <c r="K6" s="8">
        <f t="shared" ref="K6:K32" si="1">IF((J6-J5&lt;0), "",J6-J5)</f>
        <v>30</v>
      </c>
      <c r="L6" s="17">
        <v>40322</v>
      </c>
      <c r="M6" s="8">
        <f t="shared" ref="M6:M32" si="2">IF((L6-L5&lt;0), "",L6-L5)</f>
        <v>44</v>
      </c>
      <c r="N6" s="17">
        <v>425686</v>
      </c>
      <c r="O6" s="8">
        <f t="shared" ref="O6:O34" si="3">IF((N6-N5&lt;0), "",N6-N5)</f>
        <v>72</v>
      </c>
      <c r="P6" s="20">
        <v>13</v>
      </c>
      <c r="Q6" s="20">
        <v>75</v>
      </c>
    </row>
    <row r="7" spans="1:17" ht="45" customHeight="1" x14ac:dyDescent="0.45">
      <c r="A7" s="7">
        <v>43893</v>
      </c>
      <c r="B7" s="35"/>
      <c r="C7" s="17">
        <v>20778342</v>
      </c>
      <c r="D7" s="8">
        <f>IF((C7-C6&lt;0), "",(C7-C6)*3)</f>
        <v>10281</v>
      </c>
      <c r="E7" s="17">
        <v>721711</v>
      </c>
      <c r="F7" s="8">
        <f t="shared" si="0"/>
        <v>1438</v>
      </c>
      <c r="G7" s="17">
        <v>1528</v>
      </c>
      <c r="H7" s="8">
        <f>IF((G7-G6&lt;0), "",G7-G6)</f>
        <v>0</v>
      </c>
      <c r="I7" s="37"/>
      <c r="J7" s="17">
        <v>45149</v>
      </c>
      <c r="K7" s="8">
        <f t="shared" si="1"/>
        <v>27</v>
      </c>
      <c r="L7" s="17">
        <v>40373</v>
      </c>
      <c r="M7" s="8">
        <f t="shared" si="2"/>
        <v>51</v>
      </c>
      <c r="N7" s="17">
        <v>425748</v>
      </c>
      <c r="O7" s="8">
        <f t="shared" si="3"/>
        <v>62</v>
      </c>
      <c r="P7" s="20">
        <v>14</v>
      </c>
      <c r="Q7" s="20">
        <v>24</v>
      </c>
    </row>
    <row r="8" spans="1:17" ht="45" customHeight="1" x14ac:dyDescent="0.45">
      <c r="A8" s="7">
        <v>43894</v>
      </c>
      <c r="B8" s="35"/>
      <c r="C8" s="17">
        <v>20781331</v>
      </c>
      <c r="D8" s="8">
        <f>IF((C8-C7&lt;0), "",(C8-C7)*3)</f>
        <v>8967</v>
      </c>
      <c r="E8" s="17">
        <v>723155</v>
      </c>
      <c r="F8" s="8">
        <f t="shared" si="0"/>
        <v>1444</v>
      </c>
      <c r="G8" s="17">
        <v>1528</v>
      </c>
      <c r="H8" s="8">
        <f t="shared" ref="H8:H32" si="4">IF((G8-G7&lt;0), "",G8-G7)</f>
        <v>0</v>
      </c>
      <c r="I8" s="37"/>
      <c r="J8" s="17">
        <v>45174</v>
      </c>
      <c r="K8" s="8">
        <f t="shared" si="1"/>
        <v>25</v>
      </c>
      <c r="L8" s="17">
        <v>40420</v>
      </c>
      <c r="M8" s="8">
        <f t="shared" si="2"/>
        <v>47</v>
      </c>
      <c r="N8" s="17">
        <v>425806</v>
      </c>
      <c r="O8" s="8">
        <f t="shared" si="3"/>
        <v>58</v>
      </c>
      <c r="P8" s="20">
        <v>6</v>
      </c>
      <c r="Q8" s="20">
        <v>11</v>
      </c>
    </row>
    <row r="9" spans="1:17" ht="45" customHeight="1" x14ac:dyDescent="0.45">
      <c r="A9" s="7">
        <v>43895</v>
      </c>
      <c r="B9" s="35"/>
      <c r="C9" s="17">
        <v>20784759</v>
      </c>
      <c r="D9" s="8">
        <f t="shared" ref="D9:D33" si="5">IF((C9-C8&lt;0), "",(C9-C8)*3)</f>
        <v>10284</v>
      </c>
      <c r="E9" s="17">
        <v>724785</v>
      </c>
      <c r="F9" s="8">
        <f t="shared" si="0"/>
        <v>1630</v>
      </c>
      <c r="G9" s="17">
        <v>1528</v>
      </c>
      <c r="H9" s="8">
        <f t="shared" si="4"/>
        <v>0</v>
      </c>
      <c r="I9" s="37"/>
      <c r="J9" s="17">
        <v>45195</v>
      </c>
      <c r="K9" s="8">
        <f t="shared" si="1"/>
        <v>21</v>
      </c>
      <c r="L9" s="17">
        <v>40475</v>
      </c>
      <c r="M9" s="8">
        <f t="shared" si="2"/>
        <v>55</v>
      </c>
      <c r="N9" s="17">
        <v>425872</v>
      </c>
      <c r="O9" s="8">
        <f t="shared" si="3"/>
        <v>66</v>
      </c>
      <c r="P9" s="20">
        <v>5</v>
      </c>
      <c r="Q9" s="20">
        <v>8</v>
      </c>
    </row>
    <row r="10" spans="1:17" ht="45" customHeight="1" x14ac:dyDescent="0.45">
      <c r="A10" s="7">
        <v>43896</v>
      </c>
      <c r="B10" s="35"/>
      <c r="C10" s="17">
        <v>20787937</v>
      </c>
      <c r="D10" s="8">
        <f t="shared" si="5"/>
        <v>9534</v>
      </c>
      <c r="E10" s="17">
        <v>726230</v>
      </c>
      <c r="F10" s="8">
        <f t="shared" si="0"/>
        <v>1445</v>
      </c>
      <c r="G10" s="17">
        <v>1528</v>
      </c>
      <c r="H10" s="8">
        <f t="shared" si="4"/>
        <v>0</v>
      </c>
      <c r="I10" s="37"/>
      <c r="J10" s="17">
        <v>45213</v>
      </c>
      <c r="K10" s="8">
        <f t="shared" si="1"/>
        <v>18</v>
      </c>
      <c r="L10" s="17">
        <v>40529</v>
      </c>
      <c r="M10" s="8">
        <f t="shared" si="2"/>
        <v>54</v>
      </c>
      <c r="N10" s="17">
        <v>425919</v>
      </c>
      <c r="O10" s="8">
        <f t="shared" si="3"/>
        <v>47</v>
      </c>
      <c r="P10" s="20">
        <v>4</v>
      </c>
      <c r="Q10" s="20">
        <v>7</v>
      </c>
    </row>
    <row r="11" spans="1:17" ht="45" customHeight="1" x14ac:dyDescent="0.45">
      <c r="A11" s="7">
        <v>43897</v>
      </c>
      <c r="B11" s="35"/>
      <c r="C11" s="17">
        <v>20791145</v>
      </c>
      <c r="D11" s="8">
        <f t="shared" si="5"/>
        <v>9624</v>
      </c>
      <c r="E11" s="17">
        <v>727665</v>
      </c>
      <c r="F11" s="8">
        <f t="shared" si="0"/>
        <v>1435</v>
      </c>
      <c r="G11" s="17">
        <v>1528</v>
      </c>
      <c r="H11" s="8">
        <f t="shared" si="4"/>
        <v>0</v>
      </c>
      <c r="I11" s="37"/>
      <c r="J11" s="17">
        <v>45229</v>
      </c>
      <c r="K11" s="8">
        <f t="shared" si="1"/>
        <v>16</v>
      </c>
      <c r="L11" s="17">
        <v>40584</v>
      </c>
      <c r="M11" s="8">
        <f t="shared" si="2"/>
        <v>55</v>
      </c>
      <c r="N11" s="17">
        <v>425976</v>
      </c>
      <c r="O11" s="8">
        <f t="shared" si="3"/>
        <v>57</v>
      </c>
      <c r="P11" s="20">
        <v>4</v>
      </c>
      <c r="Q11" s="20">
        <v>5</v>
      </c>
    </row>
    <row r="12" spans="1:17" ht="45" customHeight="1" x14ac:dyDescent="0.45">
      <c r="A12" s="7">
        <v>43898</v>
      </c>
      <c r="B12" s="35"/>
      <c r="C12" s="17">
        <v>20794371</v>
      </c>
      <c r="D12" s="8">
        <f t="shared" si="5"/>
        <v>9678</v>
      </c>
      <c r="E12" s="17">
        <v>728960</v>
      </c>
      <c r="F12" s="8">
        <f t="shared" si="0"/>
        <v>1295</v>
      </c>
      <c r="G12" s="17">
        <v>1528</v>
      </c>
      <c r="H12" s="8">
        <f t="shared" si="4"/>
        <v>0</v>
      </c>
      <c r="I12" s="37"/>
      <c r="J12" s="17">
        <v>45253</v>
      </c>
      <c r="K12" s="8">
        <f t="shared" si="1"/>
        <v>24</v>
      </c>
      <c r="L12" s="17">
        <v>40634</v>
      </c>
      <c r="M12" s="8">
        <f t="shared" si="2"/>
        <v>50</v>
      </c>
      <c r="N12" s="17">
        <v>426026</v>
      </c>
      <c r="O12" s="8">
        <f t="shared" si="3"/>
        <v>50</v>
      </c>
      <c r="P12" s="20">
        <v>1</v>
      </c>
      <c r="Q12" s="20">
        <v>8</v>
      </c>
    </row>
    <row r="13" spans="1:17" ht="45" customHeight="1" x14ac:dyDescent="0.45">
      <c r="A13" s="7">
        <v>43899</v>
      </c>
      <c r="B13" s="35"/>
      <c r="C13" s="17">
        <v>20797154</v>
      </c>
      <c r="D13" s="8">
        <f t="shared" si="5"/>
        <v>8349</v>
      </c>
      <c r="E13" s="17">
        <v>730199</v>
      </c>
      <c r="F13" s="8">
        <f t="shared" si="0"/>
        <v>1239</v>
      </c>
      <c r="G13" s="17">
        <v>1528</v>
      </c>
      <c r="H13" s="8">
        <f t="shared" si="4"/>
        <v>0</v>
      </c>
      <c r="I13" s="37"/>
      <c r="J13" s="17">
        <v>45277</v>
      </c>
      <c r="K13" s="34">
        <f t="shared" si="1"/>
        <v>24</v>
      </c>
      <c r="L13" s="17">
        <v>40676</v>
      </c>
      <c r="M13" s="34">
        <f t="shared" si="2"/>
        <v>42</v>
      </c>
      <c r="N13" s="17">
        <v>426074</v>
      </c>
      <c r="O13" s="8">
        <f t="shared" si="3"/>
        <v>48</v>
      </c>
      <c r="P13" s="20">
        <v>2</v>
      </c>
      <c r="Q13" s="20">
        <v>3</v>
      </c>
    </row>
    <row r="14" spans="1:17" ht="45" customHeight="1" x14ac:dyDescent="0.45">
      <c r="A14" s="7">
        <v>43900</v>
      </c>
      <c r="B14" s="35"/>
      <c r="C14" s="17">
        <v>20800338</v>
      </c>
      <c r="D14" s="8">
        <f t="shared" si="5"/>
        <v>9552</v>
      </c>
      <c r="E14" s="17">
        <v>731603</v>
      </c>
      <c r="F14" s="8">
        <f t="shared" si="0"/>
        <v>1404</v>
      </c>
      <c r="G14" s="17">
        <v>1528</v>
      </c>
      <c r="H14" s="8">
        <f t="shared" si="4"/>
        <v>0</v>
      </c>
      <c r="I14" s="37"/>
      <c r="J14" s="17">
        <v>45296</v>
      </c>
      <c r="K14" s="8">
        <f t="shared" si="1"/>
        <v>19</v>
      </c>
      <c r="L14" s="17">
        <v>40728</v>
      </c>
      <c r="M14" s="8">
        <f t="shared" si="2"/>
        <v>52</v>
      </c>
      <c r="N14" s="17">
        <v>426144</v>
      </c>
      <c r="O14" s="8">
        <f t="shared" si="3"/>
        <v>70</v>
      </c>
      <c r="P14" s="20">
        <v>3</v>
      </c>
      <c r="Q14" s="20">
        <v>3</v>
      </c>
    </row>
    <row r="15" spans="1:17" ht="45" customHeight="1" x14ac:dyDescent="0.45">
      <c r="A15" s="7">
        <v>43901</v>
      </c>
      <c r="B15" s="35"/>
      <c r="C15" s="17">
        <v>20804169</v>
      </c>
      <c r="D15" s="8">
        <f t="shared" si="5"/>
        <v>11493</v>
      </c>
      <c r="E15" s="17">
        <v>733122</v>
      </c>
      <c r="F15" s="8">
        <f t="shared" si="0"/>
        <v>1519</v>
      </c>
      <c r="G15" s="17">
        <v>1528</v>
      </c>
      <c r="H15" s="8">
        <f t="shared" si="4"/>
        <v>0</v>
      </c>
      <c r="I15" s="37"/>
      <c r="J15" s="17">
        <v>45327</v>
      </c>
      <c r="K15" s="8">
        <f t="shared" si="1"/>
        <v>31</v>
      </c>
      <c r="L15" s="17">
        <v>40790</v>
      </c>
      <c r="M15" s="8">
        <f t="shared" si="2"/>
        <v>62</v>
      </c>
      <c r="N15" s="17">
        <v>426243</v>
      </c>
      <c r="O15" s="8">
        <f t="shared" si="3"/>
        <v>99</v>
      </c>
      <c r="P15" s="20">
        <v>2</v>
      </c>
      <c r="Q15" s="20">
        <v>3</v>
      </c>
    </row>
    <row r="16" spans="1:17" ht="45" customHeight="1" x14ac:dyDescent="0.45">
      <c r="A16" s="7">
        <v>43902</v>
      </c>
      <c r="B16" s="35"/>
      <c r="C16" s="17">
        <v>20806243</v>
      </c>
      <c r="D16" s="8">
        <f t="shared" si="5"/>
        <v>6222</v>
      </c>
      <c r="E16" s="17">
        <v>734024</v>
      </c>
      <c r="F16" s="8">
        <f t="shared" si="0"/>
        <v>902</v>
      </c>
      <c r="G16" s="17">
        <v>1528</v>
      </c>
      <c r="H16" s="8">
        <f t="shared" si="4"/>
        <v>0</v>
      </c>
      <c r="I16" s="37"/>
      <c r="J16" s="17">
        <v>45333</v>
      </c>
      <c r="K16" s="8">
        <f t="shared" si="1"/>
        <v>6</v>
      </c>
      <c r="L16" s="17">
        <v>40820</v>
      </c>
      <c r="M16" s="8">
        <f t="shared" si="2"/>
        <v>30</v>
      </c>
      <c r="N16" s="17">
        <v>426301</v>
      </c>
      <c r="O16" s="8">
        <f t="shared" si="3"/>
        <v>58</v>
      </c>
      <c r="P16" s="20"/>
      <c r="Q16" s="20"/>
    </row>
    <row r="17" spans="1:17" ht="45" customHeight="1" x14ac:dyDescent="0.45">
      <c r="A17" s="7">
        <v>43903</v>
      </c>
      <c r="B17" s="35"/>
      <c r="C17" s="17"/>
      <c r="D17" s="8" t="str">
        <f t="shared" si="5"/>
        <v/>
      </c>
      <c r="E17" s="17"/>
      <c r="F17" s="8" t="str">
        <f t="shared" si="0"/>
        <v/>
      </c>
      <c r="G17" s="17"/>
      <c r="H17" s="8" t="str">
        <f t="shared" si="4"/>
        <v/>
      </c>
      <c r="I17" s="37"/>
      <c r="J17" s="17"/>
      <c r="K17" s="8" t="str">
        <f t="shared" si="1"/>
        <v/>
      </c>
      <c r="L17" s="17"/>
      <c r="M17" s="8" t="str">
        <f t="shared" si="2"/>
        <v/>
      </c>
      <c r="N17" s="17"/>
      <c r="O17" s="8" t="str">
        <f t="shared" si="3"/>
        <v/>
      </c>
      <c r="P17" s="20"/>
      <c r="Q17" s="20"/>
    </row>
    <row r="18" spans="1:17" ht="45" customHeight="1" x14ac:dyDescent="0.45">
      <c r="A18" s="7">
        <v>43904</v>
      </c>
      <c r="B18" s="35"/>
      <c r="C18" s="17"/>
      <c r="D18" s="8">
        <f t="shared" si="5"/>
        <v>0</v>
      </c>
      <c r="E18" s="17"/>
      <c r="F18" s="8">
        <f t="shared" si="0"/>
        <v>0</v>
      </c>
      <c r="G18" s="17"/>
      <c r="H18" s="8">
        <f t="shared" si="4"/>
        <v>0</v>
      </c>
      <c r="I18" s="37"/>
      <c r="J18" s="17"/>
      <c r="K18" s="8">
        <f t="shared" si="1"/>
        <v>0</v>
      </c>
      <c r="L18" s="17"/>
      <c r="M18" s="8">
        <f t="shared" si="2"/>
        <v>0</v>
      </c>
      <c r="N18" s="17"/>
      <c r="O18" s="8">
        <f t="shared" si="3"/>
        <v>0</v>
      </c>
      <c r="P18" s="20"/>
      <c r="Q18" s="20"/>
    </row>
    <row r="19" spans="1:17" ht="45" customHeight="1" x14ac:dyDescent="0.45">
      <c r="A19" s="7">
        <v>43905</v>
      </c>
      <c r="B19" s="35"/>
      <c r="C19" s="17"/>
      <c r="D19" s="8">
        <f t="shared" si="5"/>
        <v>0</v>
      </c>
      <c r="E19" s="17"/>
      <c r="F19" s="8">
        <f t="shared" si="0"/>
        <v>0</v>
      </c>
      <c r="G19" s="17"/>
      <c r="H19" s="8">
        <f t="shared" si="4"/>
        <v>0</v>
      </c>
      <c r="I19" s="37"/>
      <c r="J19" s="17"/>
      <c r="K19" s="8">
        <f t="shared" si="1"/>
        <v>0</v>
      </c>
      <c r="L19" s="17"/>
      <c r="M19" s="8">
        <f t="shared" si="2"/>
        <v>0</v>
      </c>
      <c r="N19" s="17"/>
      <c r="O19" s="8">
        <f t="shared" si="3"/>
        <v>0</v>
      </c>
      <c r="P19" s="20"/>
      <c r="Q19" s="20"/>
    </row>
    <row r="20" spans="1:17" ht="45" customHeight="1" x14ac:dyDescent="0.45">
      <c r="A20" s="7">
        <v>43906</v>
      </c>
      <c r="B20" s="35"/>
      <c r="C20" s="17"/>
      <c r="D20" s="8">
        <f t="shared" si="5"/>
        <v>0</v>
      </c>
      <c r="E20" s="17"/>
      <c r="F20" s="8">
        <f t="shared" si="0"/>
        <v>0</v>
      </c>
      <c r="G20" s="17"/>
      <c r="H20" s="8">
        <f t="shared" si="4"/>
        <v>0</v>
      </c>
      <c r="I20" s="37"/>
      <c r="J20" s="17"/>
      <c r="K20" s="8">
        <f t="shared" si="1"/>
        <v>0</v>
      </c>
      <c r="L20" s="17"/>
      <c r="M20" s="8">
        <f t="shared" si="2"/>
        <v>0</v>
      </c>
      <c r="N20" s="17"/>
      <c r="O20" s="8">
        <f t="shared" si="3"/>
        <v>0</v>
      </c>
      <c r="P20" s="20"/>
      <c r="Q20" s="20"/>
    </row>
    <row r="21" spans="1:17" ht="45" customHeight="1" x14ac:dyDescent="0.45">
      <c r="A21" s="7">
        <v>43907</v>
      </c>
      <c r="B21" s="35"/>
      <c r="C21" s="17"/>
      <c r="D21" s="8">
        <f t="shared" si="5"/>
        <v>0</v>
      </c>
      <c r="E21" s="17"/>
      <c r="F21" s="8">
        <f t="shared" si="0"/>
        <v>0</v>
      </c>
      <c r="G21" s="17"/>
      <c r="H21" s="8">
        <f t="shared" si="4"/>
        <v>0</v>
      </c>
      <c r="I21" s="37"/>
      <c r="J21" s="17"/>
      <c r="K21" s="8">
        <f t="shared" si="1"/>
        <v>0</v>
      </c>
      <c r="L21" s="17"/>
      <c r="M21" s="8">
        <f t="shared" si="2"/>
        <v>0</v>
      </c>
      <c r="N21" s="17"/>
      <c r="O21" s="8">
        <f t="shared" si="3"/>
        <v>0</v>
      </c>
      <c r="P21" s="20"/>
      <c r="Q21" s="20"/>
    </row>
    <row r="22" spans="1:17" ht="45" customHeight="1" x14ac:dyDescent="0.45">
      <c r="A22" s="7">
        <v>43908</v>
      </c>
      <c r="B22" s="35"/>
      <c r="C22" s="17"/>
      <c r="D22" s="8">
        <f t="shared" si="5"/>
        <v>0</v>
      </c>
      <c r="E22" s="17"/>
      <c r="F22" s="8">
        <f t="shared" si="0"/>
        <v>0</v>
      </c>
      <c r="G22" s="17"/>
      <c r="H22" s="8">
        <f t="shared" si="4"/>
        <v>0</v>
      </c>
      <c r="I22" s="37"/>
      <c r="J22" s="17"/>
      <c r="K22" s="8">
        <f t="shared" si="1"/>
        <v>0</v>
      </c>
      <c r="L22" s="17"/>
      <c r="M22" s="8">
        <f t="shared" si="2"/>
        <v>0</v>
      </c>
      <c r="N22" s="17"/>
      <c r="O22" s="8">
        <f t="shared" si="3"/>
        <v>0</v>
      </c>
      <c r="P22" s="20"/>
      <c r="Q22" s="20"/>
    </row>
    <row r="23" spans="1:17" ht="45" customHeight="1" x14ac:dyDescent="0.45">
      <c r="A23" s="7">
        <v>43909</v>
      </c>
      <c r="B23" s="35"/>
      <c r="C23" s="17"/>
      <c r="D23" s="8">
        <f t="shared" si="5"/>
        <v>0</v>
      </c>
      <c r="E23" s="17"/>
      <c r="F23" s="8">
        <f t="shared" si="0"/>
        <v>0</v>
      </c>
      <c r="G23" s="17"/>
      <c r="H23" s="8">
        <f t="shared" si="4"/>
        <v>0</v>
      </c>
      <c r="I23" s="37"/>
      <c r="J23" s="17"/>
      <c r="K23" s="8">
        <f t="shared" si="1"/>
        <v>0</v>
      </c>
      <c r="L23" s="17"/>
      <c r="M23" s="8">
        <f t="shared" si="2"/>
        <v>0</v>
      </c>
      <c r="N23" s="17"/>
      <c r="O23" s="8">
        <f t="shared" si="3"/>
        <v>0</v>
      </c>
      <c r="P23" s="20"/>
      <c r="Q23" s="20"/>
    </row>
    <row r="24" spans="1:17" ht="45" customHeight="1" x14ac:dyDescent="0.45">
      <c r="A24" s="7">
        <v>43910</v>
      </c>
      <c r="B24" s="35"/>
      <c r="C24" s="17"/>
      <c r="D24" s="8">
        <f t="shared" si="5"/>
        <v>0</v>
      </c>
      <c r="E24" s="17"/>
      <c r="F24" s="8">
        <f t="shared" si="0"/>
        <v>0</v>
      </c>
      <c r="G24" s="17"/>
      <c r="H24" s="8">
        <f t="shared" si="4"/>
        <v>0</v>
      </c>
      <c r="I24" s="37"/>
      <c r="J24" s="17"/>
      <c r="K24" s="34">
        <f t="shared" si="1"/>
        <v>0</v>
      </c>
      <c r="L24" s="17"/>
      <c r="M24" s="34">
        <f t="shared" si="2"/>
        <v>0</v>
      </c>
      <c r="N24" s="17"/>
      <c r="O24" s="8">
        <f t="shared" si="3"/>
        <v>0</v>
      </c>
      <c r="P24" s="20"/>
      <c r="Q24" s="20"/>
    </row>
    <row r="25" spans="1:17" ht="45" customHeight="1" x14ac:dyDescent="0.45">
      <c r="A25" s="7">
        <v>43911</v>
      </c>
      <c r="B25" s="35"/>
      <c r="C25" s="17"/>
      <c r="D25" s="8">
        <f t="shared" si="5"/>
        <v>0</v>
      </c>
      <c r="E25" s="17"/>
      <c r="F25" s="8">
        <f t="shared" si="0"/>
        <v>0</v>
      </c>
      <c r="G25" s="17"/>
      <c r="H25" s="8">
        <f t="shared" si="4"/>
        <v>0</v>
      </c>
      <c r="I25" s="37"/>
      <c r="J25" s="17"/>
      <c r="K25" s="8">
        <f t="shared" si="1"/>
        <v>0</v>
      </c>
      <c r="L25" s="17"/>
      <c r="M25" s="8">
        <f t="shared" si="2"/>
        <v>0</v>
      </c>
      <c r="N25" s="17"/>
      <c r="O25" s="8">
        <f t="shared" si="3"/>
        <v>0</v>
      </c>
      <c r="P25" s="20"/>
      <c r="Q25" s="20"/>
    </row>
    <row r="26" spans="1:17" ht="45" customHeight="1" x14ac:dyDescent="0.45">
      <c r="A26" s="7">
        <v>43912</v>
      </c>
      <c r="B26" s="35"/>
      <c r="C26" s="17"/>
      <c r="D26" s="8">
        <f t="shared" si="5"/>
        <v>0</v>
      </c>
      <c r="E26" s="17"/>
      <c r="F26" s="8">
        <f t="shared" si="0"/>
        <v>0</v>
      </c>
      <c r="G26" s="17"/>
      <c r="H26" s="8">
        <f t="shared" si="4"/>
        <v>0</v>
      </c>
      <c r="I26" s="37"/>
      <c r="J26" s="17"/>
      <c r="K26" s="8">
        <f t="shared" si="1"/>
        <v>0</v>
      </c>
      <c r="L26" s="17"/>
      <c r="M26" s="8">
        <f t="shared" si="2"/>
        <v>0</v>
      </c>
      <c r="N26" s="17"/>
      <c r="O26" s="8">
        <f t="shared" si="3"/>
        <v>0</v>
      </c>
      <c r="P26" s="20"/>
      <c r="Q26" s="20"/>
    </row>
    <row r="27" spans="1:17" ht="45" customHeight="1" x14ac:dyDescent="0.45">
      <c r="A27" s="7">
        <v>43913</v>
      </c>
      <c r="B27" s="35"/>
      <c r="C27" s="17"/>
      <c r="D27" s="8">
        <f t="shared" si="5"/>
        <v>0</v>
      </c>
      <c r="E27" s="17"/>
      <c r="F27" s="8">
        <f t="shared" si="0"/>
        <v>0</v>
      </c>
      <c r="G27" s="17"/>
      <c r="H27" s="8">
        <f t="shared" si="4"/>
        <v>0</v>
      </c>
      <c r="I27" s="37"/>
      <c r="J27" s="17"/>
      <c r="K27" s="8">
        <f t="shared" si="1"/>
        <v>0</v>
      </c>
      <c r="L27" s="17"/>
      <c r="M27" s="8">
        <f t="shared" si="2"/>
        <v>0</v>
      </c>
      <c r="N27" s="17"/>
      <c r="O27" s="8">
        <f t="shared" si="3"/>
        <v>0</v>
      </c>
      <c r="P27" s="20"/>
      <c r="Q27" s="20"/>
    </row>
    <row r="28" spans="1:17" ht="45" customHeight="1" x14ac:dyDescent="0.45">
      <c r="A28" s="7">
        <v>43914</v>
      </c>
      <c r="B28" s="35"/>
      <c r="C28" s="17"/>
      <c r="D28" s="8">
        <f t="shared" si="5"/>
        <v>0</v>
      </c>
      <c r="E28" s="17"/>
      <c r="F28" s="8">
        <f t="shared" si="0"/>
        <v>0</v>
      </c>
      <c r="G28" s="17"/>
      <c r="H28" s="8">
        <f t="shared" si="4"/>
        <v>0</v>
      </c>
      <c r="I28" s="37"/>
      <c r="J28" s="17"/>
      <c r="K28" s="8">
        <f t="shared" si="1"/>
        <v>0</v>
      </c>
      <c r="L28" s="17"/>
      <c r="M28" s="8">
        <f t="shared" si="2"/>
        <v>0</v>
      </c>
      <c r="N28" s="17"/>
      <c r="O28" s="8">
        <f t="shared" si="3"/>
        <v>0</v>
      </c>
      <c r="P28" s="20"/>
      <c r="Q28" s="20"/>
    </row>
    <row r="29" spans="1:17" ht="45" customHeight="1" x14ac:dyDescent="0.45">
      <c r="A29" s="7">
        <v>43915</v>
      </c>
      <c r="B29" s="35"/>
      <c r="C29" s="17"/>
      <c r="D29" s="8">
        <f t="shared" si="5"/>
        <v>0</v>
      </c>
      <c r="E29" s="17"/>
      <c r="F29" s="8">
        <f t="shared" si="0"/>
        <v>0</v>
      </c>
      <c r="G29" s="17"/>
      <c r="H29" s="8">
        <f t="shared" si="4"/>
        <v>0</v>
      </c>
      <c r="I29" s="37"/>
      <c r="J29" s="17"/>
      <c r="K29" s="8">
        <f t="shared" si="1"/>
        <v>0</v>
      </c>
      <c r="L29" s="17"/>
      <c r="M29" s="8">
        <f t="shared" si="2"/>
        <v>0</v>
      </c>
      <c r="N29" s="17"/>
      <c r="O29" s="8">
        <f t="shared" si="3"/>
        <v>0</v>
      </c>
      <c r="P29" s="20"/>
      <c r="Q29" s="20"/>
    </row>
    <row r="30" spans="1:17" ht="45" customHeight="1" x14ac:dyDescent="0.45">
      <c r="A30" s="7">
        <v>43916</v>
      </c>
      <c r="B30" s="35"/>
      <c r="C30" s="17"/>
      <c r="D30" s="8">
        <f t="shared" si="5"/>
        <v>0</v>
      </c>
      <c r="E30" s="17"/>
      <c r="F30" s="8">
        <f t="shared" si="0"/>
        <v>0</v>
      </c>
      <c r="G30" s="17"/>
      <c r="H30" s="8">
        <f t="shared" si="4"/>
        <v>0</v>
      </c>
      <c r="I30" s="38"/>
      <c r="J30" s="17"/>
      <c r="K30" s="8">
        <f t="shared" si="1"/>
        <v>0</v>
      </c>
      <c r="L30" s="17"/>
      <c r="M30" s="8">
        <f t="shared" si="2"/>
        <v>0</v>
      </c>
      <c r="N30" s="17"/>
      <c r="O30" s="8">
        <f t="shared" si="3"/>
        <v>0</v>
      </c>
      <c r="P30" s="20"/>
      <c r="Q30" s="20"/>
    </row>
    <row r="31" spans="1:17" ht="45" customHeight="1" x14ac:dyDescent="0.45">
      <c r="A31" s="7">
        <v>43917</v>
      </c>
      <c r="B31" s="35"/>
      <c r="C31" s="17"/>
      <c r="D31" s="8">
        <f t="shared" si="5"/>
        <v>0</v>
      </c>
      <c r="E31" s="17"/>
      <c r="F31" s="8">
        <f t="shared" si="0"/>
        <v>0</v>
      </c>
      <c r="G31" s="17"/>
      <c r="H31" s="8">
        <f t="shared" si="4"/>
        <v>0</v>
      </c>
      <c r="I31" s="38"/>
      <c r="J31" s="17"/>
      <c r="K31" s="8">
        <f t="shared" si="1"/>
        <v>0</v>
      </c>
      <c r="L31" s="17"/>
      <c r="M31" s="8">
        <f t="shared" si="2"/>
        <v>0</v>
      </c>
      <c r="N31" s="17"/>
      <c r="O31" s="8">
        <f t="shared" si="3"/>
        <v>0</v>
      </c>
      <c r="P31" s="20"/>
      <c r="Q31" s="20"/>
    </row>
    <row r="32" spans="1:17" ht="45" customHeight="1" x14ac:dyDescent="0.45">
      <c r="A32" s="7">
        <v>43918</v>
      </c>
      <c r="B32" s="35"/>
      <c r="C32" s="17"/>
      <c r="D32" s="8">
        <f t="shared" si="5"/>
        <v>0</v>
      </c>
      <c r="E32" s="17"/>
      <c r="F32" s="8">
        <f t="shared" si="0"/>
        <v>0</v>
      </c>
      <c r="G32" s="17"/>
      <c r="H32" s="8">
        <f t="shared" si="4"/>
        <v>0</v>
      </c>
      <c r="I32" s="38"/>
      <c r="J32" s="17"/>
      <c r="K32" s="8">
        <f t="shared" si="1"/>
        <v>0</v>
      </c>
      <c r="L32" s="17"/>
      <c r="M32" s="8">
        <f t="shared" si="2"/>
        <v>0</v>
      </c>
      <c r="N32" s="17"/>
      <c r="O32" s="8">
        <f t="shared" si="3"/>
        <v>0</v>
      </c>
      <c r="P32" s="20"/>
      <c r="Q32" s="20"/>
    </row>
    <row r="33" spans="1:17" ht="36" customHeight="1" x14ac:dyDescent="0.45">
      <c r="A33" s="7">
        <v>43919</v>
      </c>
      <c r="C33" s="17"/>
      <c r="D33" s="8">
        <f t="shared" si="5"/>
        <v>0</v>
      </c>
      <c r="E33" s="17"/>
      <c r="F33" s="8">
        <f>IF((E33-E32&lt;0), "",E33-E32)</f>
        <v>0</v>
      </c>
      <c r="G33" s="17"/>
      <c r="H33" s="8">
        <f>IF((G33-G32&lt;0), "",G33-G32)</f>
        <v>0</v>
      </c>
      <c r="J33" s="17"/>
      <c r="K33" s="8">
        <f>IF((J33-J32&lt;0), "",J33-J32)</f>
        <v>0</v>
      </c>
      <c r="L33" s="17"/>
      <c r="M33" s="8">
        <f>IF((L33-L32&lt;0), "",L33-L32)</f>
        <v>0</v>
      </c>
      <c r="N33" s="17"/>
      <c r="O33" s="8">
        <f t="shared" si="3"/>
        <v>0</v>
      </c>
      <c r="P33" s="20"/>
      <c r="Q33" s="20"/>
    </row>
    <row r="34" spans="1:17" ht="47.25" customHeight="1" x14ac:dyDescent="0.45">
      <c r="A34" s="7">
        <v>43920</v>
      </c>
      <c r="C34" s="17"/>
      <c r="D34" s="8"/>
      <c r="E34" s="17"/>
      <c r="F34" s="8"/>
      <c r="G34" s="17"/>
      <c r="H34" s="8"/>
      <c r="J34" s="17"/>
      <c r="K34" s="8"/>
      <c r="L34" s="17"/>
      <c r="M34" s="8"/>
      <c r="N34" s="17"/>
      <c r="O34" s="8">
        <f t="shared" si="3"/>
        <v>0</v>
      </c>
      <c r="P34" s="20"/>
      <c r="Q34" s="20"/>
    </row>
    <row r="35" spans="1:17" ht="47.25" customHeight="1" x14ac:dyDescent="0.45">
      <c r="A35" s="7">
        <v>43921</v>
      </c>
      <c r="C35" s="17"/>
      <c r="D35" s="8"/>
      <c r="E35" s="17"/>
      <c r="F35" s="8"/>
      <c r="G35" s="17"/>
      <c r="H35" s="8"/>
      <c r="J35" s="17"/>
      <c r="K35" s="8"/>
      <c r="L35" s="17"/>
      <c r="M35" s="8"/>
      <c r="N35" s="17"/>
      <c r="O35" s="8"/>
      <c r="P35" s="20"/>
      <c r="Q35" s="20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Ronald Diab</cp:lastModifiedBy>
  <cp:lastPrinted>2019-04-02T11:32:44Z</cp:lastPrinted>
  <dcterms:created xsi:type="dcterms:W3CDTF">2017-05-03T09:23:30Z</dcterms:created>
  <dcterms:modified xsi:type="dcterms:W3CDTF">2020-03-24T10:10:34Z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